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11.246\Planificacion\aalba\2026\01 IMPRENTA 2026\"/>
    </mc:Choice>
  </mc:AlternateContent>
  <xr:revisionPtr revIDLastSave="0" documentId="13_ncr:1_{A621E301-C15D-4E7B-94F1-0F880DDF1F3B}" xr6:coauthVersionLast="47" xr6:coauthVersionMax="47" xr10:uidLastSave="{00000000-0000-0000-0000-000000000000}"/>
  <bookViews>
    <workbookView xWindow="-120" yWindow="-120" windowWidth="29040" windowHeight="15720" activeTab="1" xr2:uid="{F620B50D-120A-4DFD-BF42-478B01C45A24}"/>
  </bookViews>
  <sheets>
    <sheet name="DATOS" sheetId="2" r:id="rId1"/>
    <sheet name="Control - Imprenta" sheetId="1" r:id="rId2"/>
    <sheet name="Hoja3" sheetId="23" r:id="rId3"/>
    <sheet name="STOCK SAP" sheetId="11" r:id="rId4"/>
    <sheet name="cronog tarde" sheetId="20" r:id="rId5"/>
    <sheet name="RMA" sheetId="6" r:id="rId6"/>
    <sheet name="Tabla_Imprenta" sheetId="16" r:id="rId7"/>
    <sheet name="HORARIO" sheetId="5" r:id="rId8"/>
    <sheet name="Hoja1" sheetId="24" r:id="rId9"/>
  </sheets>
  <definedNames>
    <definedName name="DatosExternos_1" localSheetId="0" hidden="1">DATOS!$A$1:$S$284</definedName>
    <definedName name="DatosExternos_1" localSheetId="6" hidden="1">Tabla_Imprenta!$A$1:$AU$677</definedName>
    <definedName name="DatosExternos_2" localSheetId="5" hidden="1">RMA!$A$1:$S$706</definedName>
    <definedName name="_xlnm.Print_Titles" localSheetId="1">'Control - Imprenta'!$1:$1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J418" i="1" l="1"/>
  <c r="C408" i="1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4" i="1"/>
  <c r="O363" i="1"/>
  <c r="O367" i="1"/>
  <c r="O365" i="1"/>
  <c r="O366" i="1"/>
  <c r="O391" i="1"/>
  <c r="O362" i="1"/>
  <c r="O369" i="1"/>
  <c r="O368" i="1"/>
  <c r="O371" i="1"/>
  <c r="O372" i="1"/>
  <c r="O370" i="1"/>
  <c r="O374" i="1"/>
  <c r="O373" i="1"/>
  <c r="O376" i="1"/>
  <c r="O379" i="1"/>
  <c r="O378" i="1"/>
  <c r="O375" i="1"/>
  <c r="O377" i="1"/>
  <c r="O381" i="1"/>
  <c r="O474" i="1"/>
  <c r="O383" i="1"/>
  <c r="O384" i="1"/>
  <c r="O385" i="1"/>
  <c r="O389" i="1"/>
  <c r="O386" i="1"/>
  <c r="O387" i="1"/>
  <c r="O380" i="1"/>
  <c r="O390" i="1"/>
  <c r="O382" i="1"/>
  <c r="O392" i="1"/>
  <c r="O388" i="1"/>
  <c r="O394" i="1"/>
  <c r="O395" i="1"/>
  <c r="O393" i="1"/>
  <c r="O396" i="1"/>
  <c r="O398" i="1"/>
  <c r="O397" i="1"/>
  <c r="O400" i="1"/>
  <c r="O401" i="1"/>
  <c r="O402" i="1"/>
  <c r="O555" i="1"/>
  <c r="O403" i="1"/>
  <c r="O404" i="1"/>
  <c r="O406" i="1"/>
  <c r="O407" i="1"/>
  <c r="O408" i="1"/>
  <c r="O409" i="1"/>
  <c r="O410" i="1"/>
  <c r="O411" i="1"/>
  <c r="O415" i="1"/>
  <c r="O413" i="1"/>
  <c r="O414" i="1"/>
  <c r="O418" i="1"/>
  <c r="O416" i="1"/>
  <c r="O417" i="1"/>
  <c r="O419" i="1"/>
  <c r="O420" i="1"/>
  <c r="O421" i="1"/>
  <c r="O405" i="1"/>
  <c r="O422" i="1"/>
  <c r="O423" i="1"/>
  <c r="O424" i="1"/>
  <c r="O425" i="1"/>
  <c r="O426" i="1"/>
  <c r="O427" i="1"/>
  <c r="O412" i="1"/>
  <c r="O429" i="1"/>
  <c r="O430" i="1"/>
  <c r="O431" i="1"/>
  <c r="O483" i="1"/>
  <c r="O480" i="1"/>
  <c r="O433" i="1"/>
  <c r="O434" i="1"/>
  <c r="O432" i="1"/>
  <c r="O593" i="1"/>
  <c r="O438" i="1"/>
  <c r="O439" i="1"/>
  <c r="O435" i="1"/>
  <c r="O436" i="1"/>
  <c r="O442" i="1"/>
  <c r="O437" i="1"/>
  <c r="O440" i="1"/>
  <c r="O461" i="1"/>
  <c r="O441" i="1"/>
  <c r="O444" i="1"/>
  <c r="O446" i="1"/>
  <c r="O449" i="1"/>
  <c r="O450" i="1"/>
  <c r="O447" i="1"/>
  <c r="O448" i="1"/>
  <c r="O466" i="1"/>
  <c r="O452" i="1"/>
  <c r="O453" i="1"/>
  <c r="O456" i="1"/>
  <c r="O457" i="1"/>
  <c r="O475" i="1"/>
  <c r="O455" i="1"/>
  <c r="O459" i="1"/>
  <c r="O460" i="1"/>
  <c r="O462" i="1"/>
  <c r="O478" i="1"/>
  <c r="O464" i="1"/>
  <c r="O465" i="1"/>
  <c r="O470" i="1"/>
  <c r="O467" i="1"/>
  <c r="O468" i="1"/>
  <c r="O469" i="1"/>
  <c r="O482" i="1"/>
  <c r="O471" i="1"/>
  <c r="O472" i="1"/>
  <c r="O476" i="1"/>
  <c r="O494" i="1"/>
  <c r="O477" i="1"/>
  <c r="O479" i="1"/>
  <c r="O489" i="1"/>
  <c r="O490" i="1"/>
  <c r="O491" i="1"/>
  <c r="O493" i="1"/>
  <c r="O481" i="1"/>
  <c r="O497" i="1"/>
  <c r="O496" i="1"/>
  <c r="O484" i="1"/>
  <c r="O485" i="1"/>
  <c r="O499" i="1"/>
  <c r="O487" i="1"/>
  <c r="O500" i="1"/>
  <c r="O501" i="1"/>
  <c r="O503" i="1"/>
  <c r="O508" i="1"/>
  <c r="O492" i="1"/>
  <c r="O509" i="1"/>
  <c r="O510" i="1"/>
  <c r="O513" i="1"/>
  <c r="O515" i="1"/>
  <c r="O516" i="1"/>
  <c r="O519" i="1"/>
  <c r="O518" i="1"/>
  <c r="O521" i="1"/>
  <c r="O522" i="1"/>
  <c r="O523" i="1"/>
  <c r="O526" i="1"/>
  <c r="O527" i="1"/>
  <c r="O528" i="1"/>
  <c r="O530" i="1"/>
  <c r="O531" i="1"/>
  <c r="O532" i="1"/>
  <c r="O533" i="1"/>
  <c r="O534" i="1"/>
  <c r="O535" i="1"/>
  <c r="O537" i="1"/>
  <c r="O538" i="1"/>
  <c r="O540" i="1"/>
  <c r="O539" i="1"/>
  <c r="O473" i="1"/>
  <c r="O541" i="1"/>
  <c r="O542" i="1"/>
  <c r="O543" i="1"/>
  <c r="O545" i="1"/>
  <c r="O544" i="1"/>
  <c r="O546" i="1"/>
  <c r="O547" i="1"/>
  <c r="O399" i="1"/>
  <c r="O548" i="1"/>
  <c r="O549" i="1"/>
  <c r="O550" i="1"/>
  <c r="O504" i="1"/>
  <c r="O552" i="1"/>
  <c r="O562" i="1"/>
  <c r="O563" i="1"/>
  <c r="O564" i="1"/>
  <c r="O565" i="1"/>
  <c r="O551" i="1"/>
  <c r="O525" i="1"/>
  <c r="O536" i="1"/>
  <c r="O502" i="1"/>
  <c r="O553" i="1"/>
  <c r="O507" i="1"/>
  <c r="O556" i="1"/>
  <c r="O558" i="1"/>
  <c r="O486" i="1"/>
  <c r="O559" i="1"/>
  <c r="O505" i="1"/>
  <c r="O451" i="1"/>
  <c r="O454" i="1"/>
  <c r="O512" i="1"/>
  <c r="O557" i="1"/>
  <c r="O560" i="1"/>
  <c r="O463" i="1"/>
  <c r="O524" i="1"/>
  <c r="O443" i="1"/>
  <c r="O506" i="1"/>
  <c r="O495" i="1"/>
  <c r="O498" i="1"/>
  <c r="O566" i="1"/>
  <c r="O561" i="1"/>
  <c r="O567" i="1"/>
  <c r="O568" i="1"/>
  <c r="O554" i="1"/>
  <c r="O569" i="1"/>
  <c r="O570" i="1"/>
  <c r="O572" i="1"/>
  <c r="O573" i="1"/>
  <c r="O574" i="1"/>
  <c r="O571" i="1"/>
  <c r="O576" i="1"/>
  <c r="O577" i="1"/>
  <c r="O580" i="1"/>
  <c r="O578" i="1"/>
  <c r="O579" i="1"/>
  <c r="O582" i="1"/>
  <c r="O511" i="1"/>
  <c r="O584" i="1"/>
  <c r="O583" i="1"/>
  <c r="O589" i="1"/>
  <c r="O588" i="1"/>
  <c r="O586" i="1"/>
  <c r="O585" i="1"/>
  <c r="O529" i="1"/>
  <c r="O488" i="1"/>
  <c r="O581" i="1"/>
  <c r="O590" i="1"/>
  <c r="O591" i="1"/>
  <c r="O514" i="1"/>
  <c r="O575" i="1"/>
  <c r="O517" i="1"/>
  <c r="O520" i="1"/>
  <c r="O594" i="1"/>
  <c r="O458" i="1"/>
  <c r="O587" i="1"/>
  <c r="O595" i="1"/>
  <c r="O445" i="1"/>
  <c r="O597" i="1"/>
  <c r="O592" i="1"/>
  <c r="O598" i="1"/>
  <c r="O599" i="1"/>
  <c r="O596" i="1"/>
  <c r="O428" i="1"/>
  <c r="O600" i="1"/>
  <c r="O601" i="1"/>
  <c r="O602" i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8" i="1"/>
  <c r="H19" i="1"/>
  <c r="H20" i="1"/>
  <c r="H21" i="1"/>
  <c r="H23" i="1"/>
  <c r="H25" i="1"/>
  <c r="H26" i="1"/>
  <c r="H27" i="1"/>
  <c r="H28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2" i="1"/>
  <c r="H283" i="1"/>
  <c r="H284" i="1"/>
  <c r="H285" i="1"/>
  <c r="H286" i="1"/>
  <c r="H288" i="1"/>
  <c r="H289" i="1"/>
  <c r="H290" i="1"/>
  <c r="H291" i="1"/>
  <c r="H292" i="1"/>
  <c r="H293" i="1"/>
  <c r="H295" i="1"/>
  <c r="H298" i="1"/>
  <c r="H301" i="1"/>
  <c r="H307" i="1"/>
  <c r="H318" i="1"/>
  <c r="H336" i="1"/>
  <c r="H442" i="1"/>
  <c r="G409" i="1"/>
  <c r="H24" i="1"/>
  <c r="H407" i="1"/>
  <c r="H22" i="1"/>
  <c r="H287" i="1"/>
  <c r="H300" i="1"/>
  <c r="H17" i="1"/>
  <c r="H411" i="1"/>
  <c r="H410" i="1"/>
  <c r="H16" i="1"/>
  <c r="H422" i="1"/>
  <c r="H312" i="1"/>
  <c r="H294" i="1"/>
  <c r="H311" i="1"/>
  <c r="H321" i="1"/>
  <c r="H361" i="1"/>
  <c r="H310" i="1"/>
  <c r="H350" i="1"/>
  <c r="H297" i="1"/>
  <c r="H358" i="1"/>
  <c r="H281" i="1"/>
  <c r="H30" i="1"/>
  <c r="H531" i="1"/>
  <c r="H305" i="1"/>
  <c r="H384" i="1"/>
  <c r="H372" i="1"/>
  <c r="H456" i="1"/>
  <c r="H484" i="1"/>
  <c r="H325" i="1"/>
  <c r="H337" i="1"/>
  <c r="H335" i="1"/>
  <c r="H303" i="1"/>
  <c r="H309" i="1"/>
  <c r="H332" i="1"/>
  <c r="H438" i="1"/>
  <c r="H457" i="1"/>
  <c r="H385" i="1"/>
  <c r="H449" i="1"/>
  <c r="H381" i="1"/>
  <c r="H320" i="1"/>
  <c r="H450" i="1"/>
  <c r="H346" i="1"/>
  <c r="H356" i="1"/>
  <c r="H430" i="1"/>
  <c r="H370" i="1"/>
  <c r="H317" i="1"/>
  <c r="H315" i="1"/>
  <c r="H349" i="1"/>
  <c r="H327" i="1"/>
  <c r="H316" i="1"/>
  <c r="H345" i="1"/>
  <c r="H339" i="1"/>
  <c r="H308" i="1"/>
  <c r="H343" i="1"/>
  <c r="H467" i="1"/>
  <c r="H416" i="1"/>
  <c r="H481" i="1"/>
  <c r="H468" i="1"/>
  <c r="H414" i="1"/>
  <c r="H469" i="1"/>
  <c r="H348" i="1"/>
  <c r="H413" i="1"/>
  <c r="H319" i="1"/>
  <c r="H360" i="1"/>
  <c r="H338" i="1"/>
  <c r="H322" i="1"/>
  <c r="H280" i="1"/>
  <c r="H432" i="1"/>
  <c r="H433" i="1"/>
  <c r="H333" i="1"/>
  <c r="H353" i="1"/>
  <c r="H491" i="1"/>
  <c r="H340" i="1"/>
  <c r="H357" i="1"/>
  <c r="H378" i="1"/>
  <c r="H470" i="1"/>
  <c r="H313" i="1"/>
  <c r="H314" i="1"/>
  <c r="H593" i="1"/>
  <c r="H405" i="1"/>
  <c r="H523" i="1"/>
  <c r="H352" i="1"/>
  <c r="H324" i="1"/>
  <c r="H331" i="1"/>
  <c r="H424" i="1"/>
  <c r="H341" i="1"/>
  <c r="H425" i="1"/>
  <c r="H329" i="1"/>
  <c r="H487" i="1"/>
  <c r="H571" i="1"/>
  <c r="H403" i="1"/>
  <c r="H347" i="1"/>
  <c r="H522" i="1"/>
  <c r="H344" i="1"/>
  <c r="H439" i="1"/>
  <c r="H359" i="1"/>
  <c r="H503" i="1"/>
  <c r="H383" i="1"/>
  <c r="H369" i="1"/>
  <c r="H389" i="1"/>
  <c r="H393" i="1"/>
  <c r="H477" i="1"/>
  <c r="H400" i="1"/>
  <c r="H296" i="1"/>
  <c r="H365" i="1"/>
  <c r="H462" i="1"/>
  <c r="H366" i="1"/>
  <c r="H394" i="1"/>
  <c r="H556" i="1"/>
  <c r="H546" i="1"/>
  <c r="H396" i="1"/>
  <c r="H391" i="1"/>
  <c r="H397" i="1"/>
  <c r="H364" i="1"/>
  <c r="H417" i="1"/>
  <c r="H31" i="1"/>
  <c r="H323" i="1"/>
  <c r="H330" i="1"/>
  <c r="H351" i="1"/>
  <c r="H342" i="1"/>
  <c r="H392" i="1"/>
  <c r="H390" i="1"/>
  <c r="H304" i="1"/>
  <c r="H509" i="1"/>
  <c r="H493" i="1"/>
  <c r="H426" i="1"/>
  <c r="H306" i="1"/>
  <c r="H548" i="1"/>
  <c r="H460" i="1"/>
  <c r="H387" i="1"/>
  <c r="H492" i="1"/>
  <c r="H453" i="1"/>
  <c r="H363" i="1"/>
  <c r="H448" i="1"/>
  <c r="H374" i="1"/>
  <c r="H29" i="1"/>
  <c r="H440" i="1"/>
  <c r="H431" i="1"/>
  <c r="H377" i="1"/>
  <c r="H541" i="1"/>
  <c r="H355" i="1"/>
  <c r="H362" i="1"/>
  <c r="H480" i="1"/>
  <c r="H375" i="1"/>
  <c r="H368" i="1"/>
  <c r="H367" i="1"/>
  <c r="H302" i="1"/>
  <c r="H376" i="1"/>
  <c r="H354" i="1"/>
  <c r="H485" i="1"/>
  <c r="H299" i="1"/>
  <c r="H412" i="1"/>
  <c r="H326" i="1"/>
  <c r="H501" i="1"/>
  <c r="H419" i="1"/>
  <c r="H334" i="1"/>
  <c r="H530" i="1"/>
  <c r="H527" i="1"/>
  <c r="H528" i="1"/>
  <c r="H518" i="1"/>
  <c r="H472" i="1"/>
  <c r="H496" i="1"/>
  <c r="H371" i="1"/>
  <c r="H490" i="1"/>
  <c r="H479" i="1"/>
  <c r="H513" i="1"/>
  <c r="H464" i="1"/>
  <c r="H437" i="1"/>
  <c r="H465" i="1"/>
  <c r="H436" i="1"/>
  <c r="H519" i="1"/>
  <c r="H526" i="1"/>
  <c r="H510" i="1"/>
  <c r="H380" i="1"/>
  <c r="H382" i="1"/>
  <c r="H373" i="1"/>
  <c r="H415" i="1"/>
  <c r="H418" i="1"/>
  <c r="H423" i="1"/>
  <c r="H434" i="1"/>
  <c r="H459" i="1"/>
  <c r="H408" i="1"/>
  <c r="H461" i="1"/>
  <c r="H441" i="1"/>
  <c r="H447" i="1"/>
  <c r="H386" i="1"/>
  <c r="H388" i="1"/>
  <c r="H402" i="1"/>
  <c r="H555" i="1"/>
  <c r="H428" i="1"/>
  <c r="H379" i="1"/>
  <c r="H420" i="1"/>
  <c r="H328" i="1"/>
  <c r="H429" i="1"/>
  <c r="H575" i="1"/>
  <c r="H406" i="1"/>
  <c r="H395" i="1"/>
  <c r="H466" i="1"/>
  <c r="H401" i="1"/>
  <c r="H475" i="1"/>
  <c r="H494" i="1"/>
  <c r="H478" i="1"/>
  <c r="H482" i="1"/>
  <c r="H455" i="1"/>
  <c r="H427" i="1"/>
  <c r="H409" i="1"/>
  <c r="H444" i="1"/>
  <c r="H590" i="1"/>
  <c r="H591" i="1"/>
  <c r="H545" i="1"/>
  <c r="H489" i="1"/>
  <c r="H476" i="1"/>
  <c r="H601" i="1"/>
  <c r="H586" i="1"/>
  <c r="H569" i="1"/>
  <c r="H539" i="1"/>
  <c r="H557" i="1"/>
  <c r="H551" i="1"/>
  <c r="H542" i="1"/>
  <c r="H559" i="1"/>
  <c r="H568" i="1"/>
  <c r="H543" i="1"/>
  <c r="H540" i="1"/>
  <c r="H452" i="1"/>
  <c r="H599" i="1"/>
  <c r="H471" i="1"/>
  <c r="H554" i="1"/>
  <c r="H516" i="1"/>
  <c r="H544" i="1"/>
  <c r="H404" i="1"/>
  <c r="H421" i="1"/>
  <c r="H446" i="1"/>
  <c r="H435" i="1"/>
  <c r="H500" i="1"/>
  <c r="H499" i="1"/>
  <c r="H497" i="1"/>
  <c r="H508" i="1"/>
  <c r="H398" i="1"/>
  <c r="H549" i="1"/>
  <c r="H574" i="1"/>
  <c r="H521" i="1"/>
  <c r="H537" i="1"/>
  <c r="H515" i="1"/>
  <c r="H538" i="1"/>
  <c r="H562" i="1"/>
  <c r="H399" i="1"/>
  <c r="H563" i="1"/>
  <c r="H547" i="1"/>
  <c r="H474" i="1"/>
  <c r="H564" i="1"/>
  <c r="H565" i="1"/>
  <c r="H483" i="1"/>
  <c r="H572" i="1"/>
  <c r="H511" i="1"/>
  <c r="H581" i="1"/>
  <c r="H550" i="1"/>
  <c r="H443" i="1"/>
  <c r="H463" i="1"/>
  <c r="H560" i="1"/>
  <c r="H597" i="1"/>
  <c r="H576" i="1"/>
  <c r="H529" i="1"/>
  <c r="H588" i="1"/>
  <c r="H552" i="1"/>
  <c r="H592" i="1"/>
  <c r="H587" i="1"/>
  <c r="H598" i="1"/>
  <c r="H502" i="1"/>
  <c r="H567" i="1"/>
  <c r="H566" i="1"/>
  <c r="H505" i="1"/>
  <c r="H585" i="1"/>
  <c r="H532" i="1"/>
  <c r="H533" i="1"/>
  <c r="H486" i="1"/>
  <c r="H589" i="1"/>
  <c r="H512" i="1"/>
  <c r="H584" i="1"/>
  <c r="H534" i="1"/>
  <c r="H570" i="1"/>
  <c r="H504" i="1"/>
  <c r="H580" i="1"/>
  <c r="H594" i="1"/>
  <c r="H524" i="1"/>
  <c r="H583" i="1"/>
  <c r="H488" i="1"/>
  <c r="H525" i="1"/>
  <c r="H573" i="1"/>
  <c r="H451" i="1"/>
  <c r="H517" i="1"/>
  <c r="H445" i="1"/>
  <c r="H578" i="1"/>
  <c r="H514" i="1"/>
  <c r="H577" i="1"/>
  <c r="H458" i="1"/>
  <c r="H454" i="1"/>
  <c r="H507" i="1"/>
  <c r="H600" i="1"/>
  <c r="H535" i="1"/>
  <c r="H536" i="1"/>
  <c r="H506" i="1"/>
  <c r="H596" i="1"/>
  <c r="H595" i="1"/>
  <c r="H582" i="1"/>
  <c r="H558" i="1"/>
  <c r="H602" i="1"/>
  <c r="H553" i="1"/>
  <c r="H520" i="1"/>
  <c r="H561" i="1"/>
  <c r="H473" i="1"/>
  <c r="H495" i="1"/>
  <c r="H579" i="1"/>
  <c r="H498" i="1"/>
  <c r="I409" i="1" l="1"/>
  <c r="A572" i="1" l="1"/>
  <c r="A511" i="1"/>
  <c r="A581" i="1"/>
  <c r="A550" i="1"/>
  <c r="A443" i="1"/>
  <c r="A463" i="1"/>
  <c r="A560" i="1"/>
  <c r="A597" i="1"/>
  <c r="A576" i="1"/>
  <c r="A529" i="1"/>
  <c r="A588" i="1"/>
  <c r="A552" i="1"/>
  <c r="A592" i="1"/>
  <c r="A587" i="1"/>
  <c r="A598" i="1"/>
  <c r="A502" i="1"/>
  <c r="A567" i="1"/>
  <c r="A566" i="1"/>
  <c r="A505" i="1"/>
  <c r="A585" i="1"/>
  <c r="A532" i="1"/>
  <c r="A533" i="1"/>
  <c r="A486" i="1"/>
  <c r="A589" i="1"/>
  <c r="A512" i="1"/>
  <c r="A584" i="1"/>
  <c r="A534" i="1"/>
  <c r="A570" i="1"/>
  <c r="A504" i="1"/>
  <c r="A580" i="1"/>
  <c r="A594" i="1"/>
  <c r="A524" i="1"/>
  <c r="A583" i="1"/>
  <c r="A488" i="1"/>
  <c r="A525" i="1"/>
  <c r="A573" i="1"/>
  <c r="A451" i="1"/>
  <c r="A517" i="1"/>
  <c r="A445" i="1"/>
  <c r="A578" i="1"/>
  <c r="A514" i="1"/>
  <c r="A577" i="1"/>
  <c r="A458" i="1"/>
  <c r="A454" i="1"/>
  <c r="A507" i="1"/>
  <c r="A600" i="1"/>
  <c r="A535" i="1"/>
  <c r="A536" i="1"/>
  <c r="A506" i="1"/>
  <c r="A596" i="1"/>
  <c r="A595" i="1"/>
  <c r="A582" i="1"/>
  <c r="A558" i="1"/>
  <c r="A602" i="1"/>
  <c r="A553" i="1"/>
  <c r="A520" i="1"/>
  <c r="A561" i="1"/>
  <c r="A473" i="1"/>
  <c r="A495" i="1"/>
  <c r="A579" i="1"/>
  <c r="A498" i="1"/>
  <c r="B572" i="1"/>
  <c r="B511" i="1"/>
  <c r="B581" i="1"/>
  <c r="B550" i="1"/>
  <c r="B443" i="1"/>
  <c r="B463" i="1"/>
  <c r="B560" i="1"/>
  <c r="B597" i="1"/>
  <c r="B576" i="1"/>
  <c r="B529" i="1"/>
  <c r="B588" i="1"/>
  <c r="B552" i="1"/>
  <c r="B592" i="1"/>
  <c r="B587" i="1"/>
  <c r="B598" i="1"/>
  <c r="B502" i="1"/>
  <c r="B567" i="1"/>
  <c r="B566" i="1"/>
  <c r="B505" i="1"/>
  <c r="B585" i="1"/>
  <c r="B532" i="1"/>
  <c r="B533" i="1"/>
  <c r="B486" i="1"/>
  <c r="B589" i="1"/>
  <c r="B512" i="1"/>
  <c r="B584" i="1"/>
  <c r="B534" i="1"/>
  <c r="B570" i="1"/>
  <c r="B504" i="1"/>
  <c r="B580" i="1"/>
  <c r="B594" i="1"/>
  <c r="B524" i="1"/>
  <c r="B583" i="1"/>
  <c r="B488" i="1"/>
  <c r="B525" i="1"/>
  <c r="B573" i="1"/>
  <c r="B451" i="1"/>
  <c r="B517" i="1"/>
  <c r="B445" i="1"/>
  <c r="B578" i="1"/>
  <c r="B514" i="1"/>
  <c r="B577" i="1"/>
  <c r="B458" i="1"/>
  <c r="B454" i="1"/>
  <c r="B507" i="1"/>
  <c r="B600" i="1"/>
  <c r="B535" i="1"/>
  <c r="B536" i="1"/>
  <c r="B506" i="1"/>
  <c r="B596" i="1"/>
  <c r="B595" i="1"/>
  <c r="B582" i="1"/>
  <c r="B558" i="1"/>
  <c r="B602" i="1"/>
  <c r="B553" i="1"/>
  <c r="B520" i="1"/>
  <c r="B561" i="1"/>
  <c r="B473" i="1"/>
  <c r="B495" i="1"/>
  <c r="B579" i="1"/>
  <c r="B498" i="1"/>
  <c r="C572" i="1"/>
  <c r="C511" i="1"/>
  <c r="C581" i="1"/>
  <c r="C550" i="1"/>
  <c r="C443" i="1"/>
  <c r="C463" i="1"/>
  <c r="C560" i="1"/>
  <c r="C597" i="1"/>
  <c r="C576" i="1"/>
  <c r="C529" i="1"/>
  <c r="C588" i="1"/>
  <c r="C552" i="1"/>
  <c r="C592" i="1"/>
  <c r="C587" i="1"/>
  <c r="C598" i="1"/>
  <c r="C502" i="1"/>
  <c r="C567" i="1"/>
  <c r="C566" i="1"/>
  <c r="C505" i="1"/>
  <c r="C585" i="1"/>
  <c r="C532" i="1"/>
  <c r="C533" i="1"/>
  <c r="C486" i="1"/>
  <c r="C589" i="1"/>
  <c r="C512" i="1"/>
  <c r="C584" i="1"/>
  <c r="C534" i="1"/>
  <c r="C570" i="1"/>
  <c r="C504" i="1"/>
  <c r="C580" i="1"/>
  <c r="C594" i="1"/>
  <c r="C524" i="1"/>
  <c r="C583" i="1"/>
  <c r="C488" i="1"/>
  <c r="C525" i="1"/>
  <c r="C573" i="1"/>
  <c r="C451" i="1"/>
  <c r="C517" i="1"/>
  <c r="C445" i="1"/>
  <c r="C578" i="1"/>
  <c r="C514" i="1"/>
  <c r="C577" i="1"/>
  <c r="C458" i="1"/>
  <c r="C454" i="1"/>
  <c r="C507" i="1"/>
  <c r="C600" i="1"/>
  <c r="C535" i="1"/>
  <c r="C536" i="1"/>
  <c r="C506" i="1"/>
  <c r="C596" i="1"/>
  <c r="C595" i="1"/>
  <c r="C582" i="1"/>
  <c r="C558" i="1"/>
  <c r="C602" i="1"/>
  <c r="C553" i="1"/>
  <c r="C520" i="1"/>
  <c r="C561" i="1"/>
  <c r="C473" i="1"/>
  <c r="C495" i="1"/>
  <c r="C579" i="1"/>
  <c r="C498" i="1"/>
  <c r="D572" i="1"/>
  <c r="D511" i="1"/>
  <c r="D581" i="1"/>
  <c r="D550" i="1"/>
  <c r="D443" i="1"/>
  <c r="D463" i="1"/>
  <c r="D560" i="1"/>
  <c r="D597" i="1"/>
  <c r="D576" i="1"/>
  <c r="D529" i="1"/>
  <c r="D588" i="1"/>
  <c r="D552" i="1"/>
  <c r="D592" i="1"/>
  <c r="D587" i="1"/>
  <c r="D598" i="1"/>
  <c r="D502" i="1"/>
  <c r="D567" i="1"/>
  <c r="D566" i="1"/>
  <c r="D505" i="1"/>
  <c r="D585" i="1"/>
  <c r="D532" i="1"/>
  <c r="D533" i="1"/>
  <c r="D486" i="1"/>
  <c r="D589" i="1"/>
  <c r="D512" i="1"/>
  <c r="D584" i="1"/>
  <c r="D534" i="1"/>
  <c r="D570" i="1"/>
  <c r="D504" i="1"/>
  <c r="D580" i="1"/>
  <c r="D594" i="1"/>
  <c r="D524" i="1"/>
  <c r="D583" i="1"/>
  <c r="D488" i="1"/>
  <c r="D525" i="1"/>
  <c r="D573" i="1"/>
  <c r="D451" i="1"/>
  <c r="D517" i="1"/>
  <c r="D445" i="1"/>
  <c r="D578" i="1"/>
  <c r="D514" i="1"/>
  <c r="D577" i="1"/>
  <c r="D458" i="1"/>
  <c r="D454" i="1"/>
  <c r="D507" i="1"/>
  <c r="D600" i="1"/>
  <c r="D535" i="1"/>
  <c r="D536" i="1"/>
  <c r="D506" i="1"/>
  <c r="D596" i="1"/>
  <c r="D595" i="1"/>
  <c r="D582" i="1"/>
  <c r="D558" i="1"/>
  <c r="D602" i="1"/>
  <c r="D553" i="1"/>
  <c r="D520" i="1"/>
  <c r="D561" i="1"/>
  <c r="D473" i="1"/>
  <c r="D495" i="1"/>
  <c r="D579" i="1"/>
  <c r="D498" i="1"/>
  <c r="E572" i="1"/>
  <c r="E511" i="1"/>
  <c r="E581" i="1"/>
  <c r="E550" i="1"/>
  <c r="E443" i="1"/>
  <c r="E463" i="1"/>
  <c r="E560" i="1"/>
  <c r="E597" i="1"/>
  <c r="E576" i="1"/>
  <c r="E529" i="1"/>
  <c r="E588" i="1"/>
  <c r="E552" i="1"/>
  <c r="E592" i="1"/>
  <c r="E587" i="1"/>
  <c r="E598" i="1"/>
  <c r="E502" i="1"/>
  <c r="E567" i="1"/>
  <c r="E566" i="1"/>
  <c r="E505" i="1"/>
  <c r="E585" i="1"/>
  <c r="E532" i="1"/>
  <c r="E533" i="1"/>
  <c r="E486" i="1"/>
  <c r="E589" i="1"/>
  <c r="E512" i="1"/>
  <c r="E584" i="1"/>
  <c r="E534" i="1"/>
  <c r="E570" i="1"/>
  <c r="E504" i="1"/>
  <c r="E580" i="1"/>
  <c r="E594" i="1"/>
  <c r="E524" i="1"/>
  <c r="E583" i="1"/>
  <c r="E488" i="1"/>
  <c r="E525" i="1"/>
  <c r="E573" i="1"/>
  <c r="E451" i="1"/>
  <c r="E517" i="1"/>
  <c r="E445" i="1"/>
  <c r="E578" i="1"/>
  <c r="E514" i="1"/>
  <c r="E577" i="1"/>
  <c r="E458" i="1"/>
  <c r="E454" i="1"/>
  <c r="E507" i="1"/>
  <c r="E600" i="1"/>
  <c r="E535" i="1"/>
  <c r="E536" i="1"/>
  <c r="E506" i="1"/>
  <c r="E596" i="1"/>
  <c r="E595" i="1"/>
  <c r="E582" i="1"/>
  <c r="E558" i="1"/>
  <c r="E602" i="1"/>
  <c r="E553" i="1"/>
  <c r="E520" i="1"/>
  <c r="E561" i="1"/>
  <c r="E473" i="1"/>
  <c r="E495" i="1"/>
  <c r="E579" i="1"/>
  <c r="E498" i="1"/>
  <c r="G572" i="1"/>
  <c r="I572" i="1" s="1"/>
  <c r="G511" i="1"/>
  <c r="I511" i="1" s="1"/>
  <c r="G581" i="1"/>
  <c r="I581" i="1" s="1"/>
  <c r="G550" i="1"/>
  <c r="I550" i="1" s="1"/>
  <c r="G443" i="1"/>
  <c r="I443" i="1" s="1"/>
  <c r="G463" i="1"/>
  <c r="I463" i="1" s="1"/>
  <c r="G560" i="1"/>
  <c r="I560" i="1" s="1"/>
  <c r="G597" i="1"/>
  <c r="I597" i="1" s="1"/>
  <c r="G576" i="1"/>
  <c r="I576" i="1" s="1"/>
  <c r="G529" i="1"/>
  <c r="I529" i="1" s="1"/>
  <c r="G588" i="1"/>
  <c r="I588" i="1" s="1"/>
  <c r="G552" i="1"/>
  <c r="I552" i="1" s="1"/>
  <c r="G592" i="1"/>
  <c r="I592" i="1" s="1"/>
  <c r="G587" i="1"/>
  <c r="I587" i="1" s="1"/>
  <c r="G598" i="1"/>
  <c r="I598" i="1" s="1"/>
  <c r="G502" i="1"/>
  <c r="I502" i="1" s="1"/>
  <c r="G567" i="1"/>
  <c r="I567" i="1" s="1"/>
  <c r="G566" i="1"/>
  <c r="I566" i="1" s="1"/>
  <c r="G505" i="1"/>
  <c r="I505" i="1" s="1"/>
  <c r="G585" i="1"/>
  <c r="I585" i="1" s="1"/>
  <c r="G532" i="1"/>
  <c r="I532" i="1" s="1"/>
  <c r="G533" i="1"/>
  <c r="I533" i="1" s="1"/>
  <c r="G486" i="1"/>
  <c r="I486" i="1" s="1"/>
  <c r="G589" i="1"/>
  <c r="I589" i="1" s="1"/>
  <c r="G512" i="1"/>
  <c r="I512" i="1" s="1"/>
  <c r="G584" i="1"/>
  <c r="I584" i="1" s="1"/>
  <c r="G534" i="1"/>
  <c r="I534" i="1" s="1"/>
  <c r="G570" i="1"/>
  <c r="I570" i="1" s="1"/>
  <c r="G504" i="1"/>
  <c r="I504" i="1" s="1"/>
  <c r="G580" i="1"/>
  <c r="I580" i="1" s="1"/>
  <c r="G594" i="1"/>
  <c r="I594" i="1" s="1"/>
  <c r="G524" i="1"/>
  <c r="I524" i="1" s="1"/>
  <c r="G583" i="1"/>
  <c r="I583" i="1" s="1"/>
  <c r="G488" i="1"/>
  <c r="I488" i="1" s="1"/>
  <c r="G525" i="1"/>
  <c r="I525" i="1" s="1"/>
  <c r="G573" i="1"/>
  <c r="I573" i="1" s="1"/>
  <c r="G451" i="1"/>
  <c r="I451" i="1" s="1"/>
  <c r="G517" i="1"/>
  <c r="I517" i="1" s="1"/>
  <c r="G445" i="1"/>
  <c r="I445" i="1" s="1"/>
  <c r="G578" i="1"/>
  <c r="I578" i="1" s="1"/>
  <c r="G514" i="1"/>
  <c r="I514" i="1" s="1"/>
  <c r="G577" i="1"/>
  <c r="I577" i="1" s="1"/>
  <c r="G458" i="1"/>
  <c r="I458" i="1" s="1"/>
  <c r="G454" i="1"/>
  <c r="I454" i="1" s="1"/>
  <c r="G507" i="1"/>
  <c r="I507" i="1" s="1"/>
  <c r="G600" i="1"/>
  <c r="I600" i="1" s="1"/>
  <c r="G535" i="1"/>
  <c r="I535" i="1" s="1"/>
  <c r="G536" i="1"/>
  <c r="I536" i="1" s="1"/>
  <c r="G506" i="1"/>
  <c r="I506" i="1" s="1"/>
  <c r="G596" i="1"/>
  <c r="I596" i="1" s="1"/>
  <c r="G595" i="1"/>
  <c r="I595" i="1" s="1"/>
  <c r="G582" i="1"/>
  <c r="I582" i="1" s="1"/>
  <c r="G558" i="1"/>
  <c r="I558" i="1" s="1"/>
  <c r="G602" i="1"/>
  <c r="I602" i="1" s="1"/>
  <c r="G553" i="1"/>
  <c r="I553" i="1" s="1"/>
  <c r="G520" i="1"/>
  <c r="I520" i="1" s="1"/>
  <c r="G561" i="1"/>
  <c r="I561" i="1" s="1"/>
  <c r="G473" i="1"/>
  <c r="I473" i="1" s="1"/>
  <c r="G495" i="1"/>
  <c r="I495" i="1" s="1"/>
  <c r="G579" i="1"/>
  <c r="I579" i="1" s="1"/>
  <c r="G498" i="1"/>
  <c r="I498" i="1" s="1"/>
  <c r="J572" i="1"/>
  <c r="J511" i="1"/>
  <c r="J581" i="1"/>
  <c r="J550" i="1"/>
  <c r="J443" i="1"/>
  <c r="J463" i="1"/>
  <c r="J560" i="1"/>
  <c r="J597" i="1"/>
  <c r="J576" i="1"/>
  <c r="J529" i="1"/>
  <c r="J588" i="1"/>
  <c r="J552" i="1"/>
  <c r="J592" i="1"/>
  <c r="J587" i="1"/>
  <c r="J598" i="1"/>
  <c r="J502" i="1"/>
  <c r="J567" i="1"/>
  <c r="J566" i="1"/>
  <c r="J505" i="1"/>
  <c r="J585" i="1"/>
  <c r="J532" i="1"/>
  <c r="J533" i="1"/>
  <c r="J486" i="1"/>
  <c r="J589" i="1"/>
  <c r="J512" i="1"/>
  <c r="J584" i="1"/>
  <c r="J534" i="1"/>
  <c r="J570" i="1"/>
  <c r="J504" i="1"/>
  <c r="J580" i="1"/>
  <c r="J594" i="1"/>
  <c r="J524" i="1"/>
  <c r="J583" i="1"/>
  <c r="J488" i="1"/>
  <c r="J525" i="1"/>
  <c r="J573" i="1"/>
  <c r="J451" i="1"/>
  <c r="J517" i="1"/>
  <c r="J445" i="1"/>
  <c r="J578" i="1"/>
  <c r="J514" i="1"/>
  <c r="J577" i="1"/>
  <c r="J458" i="1"/>
  <c r="J454" i="1"/>
  <c r="J507" i="1"/>
  <c r="J600" i="1"/>
  <c r="J535" i="1"/>
  <c r="J536" i="1"/>
  <c r="J506" i="1"/>
  <c r="J596" i="1"/>
  <c r="J595" i="1"/>
  <c r="J582" i="1"/>
  <c r="J558" i="1"/>
  <c r="J602" i="1"/>
  <c r="J553" i="1"/>
  <c r="J520" i="1"/>
  <c r="J561" i="1"/>
  <c r="J473" i="1"/>
  <c r="J495" i="1"/>
  <c r="J579" i="1"/>
  <c r="J498" i="1"/>
  <c r="K572" i="1"/>
  <c r="K511" i="1"/>
  <c r="K581" i="1"/>
  <c r="K550" i="1"/>
  <c r="K443" i="1"/>
  <c r="K463" i="1"/>
  <c r="K560" i="1"/>
  <c r="K597" i="1"/>
  <c r="K576" i="1"/>
  <c r="K529" i="1"/>
  <c r="K588" i="1"/>
  <c r="K552" i="1"/>
  <c r="K592" i="1"/>
  <c r="K587" i="1"/>
  <c r="K598" i="1"/>
  <c r="K502" i="1"/>
  <c r="K567" i="1"/>
  <c r="K566" i="1"/>
  <c r="K505" i="1"/>
  <c r="K585" i="1"/>
  <c r="K532" i="1"/>
  <c r="K533" i="1"/>
  <c r="K486" i="1"/>
  <c r="K589" i="1"/>
  <c r="K512" i="1"/>
  <c r="K584" i="1"/>
  <c r="K534" i="1"/>
  <c r="K570" i="1"/>
  <c r="K504" i="1"/>
  <c r="K580" i="1"/>
  <c r="K594" i="1"/>
  <c r="K524" i="1"/>
  <c r="K583" i="1"/>
  <c r="K488" i="1"/>
  <c r="K525" i="1"/>
  <c r="K573" i="1"/>
  <c r="K451" i="1"/>
  <c r="K517" i="1"/>
  <c r="K445" i="1"/>
  <c r="K578" i="1"/>
  <c r="K514" i="1"/>
  <c r="K577" i="1"/>
  <c r="K458" i="1"/>
  <c r="K454" i="1"/>
  <c r="K507" i="1"/>
  <c r="K600" i="1"/>
  <c r="K535" i="1"/>
  <c r="K536" i="1"/>
  <c r="K506" i="1"/>
  <c r="K596" i="1"/>
  <c r="K595" i="1"/>
  <c r="K582" i="1"/>
  <c r="K558" i="1"/>
  <c r="K602" i="1"/>
  <c r="K553" i="1"/>
  <c r="K520" i="1"/>
  <c r="K561" i="1"/>
  <c r="K473" i="1"/>
  <c r="K495" i="1"/>
  <c r="K579" i="1"/>
  <c r="K498" i="1"/>
  <c r="L572" i="1"/>
  <c r="L511" i="1"/>
  <c r="L581" i="1"/>
  <c r="L550" i="1"/>
  <c r="L443" i="1"/>
  <c r="L463" i="1"/>
  <c r="L560" i="1"/>
  <c r="L597" i="1"/>
  <c r="L576" i="1"/>
  <c r="L529" i="1"/>
  <c r="L588" i="1"/>
  <c r="L552" i="1"/>
  <c r="L592" i="1"/>
  <c r="L587" i="1"/>
  <c r="L598" i="1"/>
  <c r="L502" i="1"/>
  <c r="L567" i="1"/>
  <c r="L566" i="1"/>
  <c r="L505" i="1"/>
  <c r="L585" i="1"/>
  <c r="L532" i="1"/>
  <c r="L533" i="1"/>
  <c r="L486" i="1"/>
  <c r="L589" i="1"/>
  <c r="L512" i="1"/>
  <c r="L584" i="1"/>
  <c r="L534" i="1"/>
  <c r="L570" i="1"/>
  <c r="L504" i="1"/>
  <c r="L580" i="1"/>
  <c r="L594" i="1"/>
  <c r="L524" i="1"/>
  <c r="L583" i="1"/>
  <c r="L488" i="1"/>
  <c r="L525" i="1"/>
  <c r="L573" i="1"/>
  <c r="L451" i="1"/>
  <c r="L517" i="1"/>
  <c r="L445" i="1"/>
  <c r="L578" i="1"/>
  <c r="L514" i="1"/>
  <c r="L577" i="1"/>
  <c r="L458" i="1"/>
  <c r="L454" i="1"/>
  <c r="L507" i="1"/>
  <c r="L600" i="1"/>
  <c r="L535" i="1"/>
  <c r="L536" i="1"/>
  <c r="L506" i="1"/>
  <c r="L596" i="1"/>
  <c r="L595" i="1"/>
  <c r="L582" i="1"/>
  <c r="L558" i="1"/>
  <c r="L602" i="1"/>
  <c r="L553" i="1"/>
  <c r="L520" i="1"/>
  <c r="L561" i="1"/>
  <c r="L473" i="1"/>
  <c r="L495" i="1"/>
  <c r="L579" i="1"/>
  <c r="L498" i="1"/>
  <c r="M572" i="1"/>
  <c r="M511" i="1"/>
  <c r="M581" i="1"/>
  <c r="M550" i="1"/>
  <c r="M443" i="1"/>
  <c r="M463" i="1"/>
  <c r="M560" i="1"/>
  <c r="M597" i="1"/>
  <c r="M576" i="1"/>
  <c r="M529" i="1"/>
  <c r="M588" i="1"/>
  <c r="M552" i="1"/>
  <c r="M592" i="1"/>
  <c r="M587" i="1"/>
  <c r="M598" i="1"/>
  <c r="M502" i="1"/>
  <c r="M567" i="1"/>
  <c r="M566" i="1"/>
  <c r="M505" i="1"/>
  <c r="M585" i="1"/>
  <c r="M532" i="1"/>
  <c r="M533" i="1"/>
  <c r="M486" i="1"/>
  <c r="M589" i="1"/>
  <c r="M512" i="1"/>
  <c r="M584" i="1"/>
  <c r="M534" i="1"/>
  <c r="M570" i="1"/>
  <c r="M504" i="1"/>
  <c r="M580" i="1"/>
  <c r="M594" i="1"/>
  <c r="M524" i="1"/>
  <c r="M583" i="1"/>
  <c r="M488" i="1"/>
  <c r="M525" i="1"/>
  <c r="M573" i="1"/>
  <c r="M451" i="1"/>
  <c r="M517" i="1"/>
  <c r="M445" i="1"/>
  <c r="M578" i="1"/>
  <c r="M514" i="1"/>
  <c r="M577" i="1"/>
  <c r="M458" i="1"/>
  <c r="M454" i="1"/>
  <c r="M507" i="1"/>
  <c r="M600" i="1"/>
  <c r="M535" i="1"/>
  <c r="M536" i="1"/>
  <c r="M506" i="1"/>
  <c r="M596" i="1"/>
  <c r="M595" i="1"/>
  <c r="M582" i="1"/>
  <c r="M558" i="1"/>
  <c r="M602" i="1"/>
  <c r="M553" i="1"/>
  <c r="M520" i="1"/>
  <c r="M561" i="1"/>
  <c r="M473" i="1"/>
  <c r="M495" i="1"/>
  <c r="M579" i="1"/>
  <c r="M498" i="1"/>
  <c r="N572" i="1"/>
  <c r="N511" i="1"/>
  <c r="N581" i="1"/>
  <c r="N550" i="1"/>
  <c r="N443" i="1"/>
  <c r="N463" i="1"/>
  <c r="N560" i="1"/>
  <c r="N597" i="1"/>
  <c r="N576" i="1"/>
  <c r="N529" i="1"/>
  <c r="N588" i="1"/>
  <c r="N552" i="1"/>
  <c r="N592" i="1"/>
  <c r="N587" i="1"/>
  <c r="P587" i="1" s="1"/>
  <c r="Q587" i="1" s="1"/>
  <c r="N598" i="1"/>
  <c r="N502" i="1"/>
  <c r="N567" i="1"/>
  <c r="N566" i="1"/>
  <c r="N505" i="1"/>
  <c r="N585" i="1"/>
  <c r="P585" i="1" s="1"/>
  <c r="Q585" i="1" s="1"/>
  <c r="N532" i="1"/>
  <c r="N533" i="1"/>
  <c r="N486" i="1"/>
  <c r="N589" i="1"/>
  <c r="N512" i="1"/>
  <c r="N584" i="1"/>
  <c r="N534" i="1"/>
  <c r="N570" i="1"/>
  <c r="N504" i="1"/>
  <c r="N580" i="1"/>
  <c r="N594" i="1"/>
  <c r="N524" i="1"/>
  <c r="N583" i="1"/>
  <c r="N488" i="1"/>
  <c r="N525" i="1"/>
  <c r="N573" i="1"/>
  <c r="N451" i="1"/>
  <c r="N517" i="1"/>
  <c r="N445" i="1"/>
  <c r="N578" i="1"/>
  <c r="N514" i="1"/>
  <c r="N577" i="1"/>
  <c r="N458" i="1"/>
  <c r="N454" i="1"/>
  <c r="N507" i="1"/>
  <c r="N600" i="1"/>
  <c r="P600" i="1" s="1"/>
  <c r="Q600" i="1" s="1"/>
  <c r="N535" i="1"/>
  <c r="N536" i="1"/>
  <c r="N506" i="1"/>
  <c r="N596" i="1"/>
  <c r="N595" i="1"/>
  <c r="N582" i="1"/>
  <c r="P582" i="1" s="1"/>
  <c r="Q582" i="1" s="1"/>
  <c r="N558" i="1"/>
  <c r="N602" i="1"/>
  <c r="N553" i="1"/>
  <c r="N520" i="1"/>
  <c r="N561" i="1"/>
  <c r="N473" i="1"/>
  <c r="P473" i="1" s="1"/>
  <c r="Q473" i="1" s="1"/>
  <c r="N495" i="1"/>
  <c r="N579" i="1"/>
  <c r="N498" i="1"/>
  <c r="P495" i="1" l="1"/>
  <c r="Q495" i="1" s="1"/>
  <c r="P486" i="1"/>
  <c r="Q486" i="1" s="1"/>
  <c r="P558" i="1"/>
  <c r="Q558" i="1" s="1"/>
  <c r="P567" i="1"/>
  <c r="Q567" i="1" s="1"/>
  <c r="P525" i="1"/>
  <c r="Q525" i="1" s="1"/>
  <c r="P535" i="1"/>
  <c r="Q535" i="1" s="1"/>
  <c r="P504" i="1"/>
  <c r="Q504" i="1" s="1"/>
  <c r="P514" i="1"/>
  <c r="Q514" i="1" s="1"/>
  <c r="P596" i="1"/>
  <c r="Q596" i="1" s="1"/>
  <c r="P524" i="1"/>
  <c r="Q524" i="1" s="1"/>
  <c r="P517" i="1"/>
  <c r="Q517" i="1" s="1"/>
  <c r="P584" i="1"/>
  <c r="Q584" i="1" s="1"/>
  <c r="P454" i="1"/>
  <c r="Q454" i="1" s="1"/>
  <c r="P520" i="1"/>
  <c r="Q520" i="1" s="1"/>
  <c r="P560" i="1"/>
  <c r="Q560" i="1" s="1"/>
  <c r="P572" i="1"/>
  <c r="Q572" i="1" s="1"/>
  <c r="P588" i="1"/>
  <c r="Q588" i="1" s="1"/>
  <c r="P443" i="1"/>
  <c r="Q443" i="1" s="1"/>
  <c r="P578" i="1"/>
  <c r="Q578" i="1" s="1"/>
  <c r="P488" i="1"/>
  <c r="Q488" i="1" s="1"/>
  <c r="P570" i="1"/>
  <c r="Q570" i="1" s="1"/>
  <c r="P533" i="1"/>
  <c r="Q533" i="1" s="1"/>
  <c r="P502" i="1"/>
  <c r="Q502" i="1" s="1"/>
  <c r="P529" i="1"/>
  <c r="Q529" i="1" s="1"/>
  <c r="P550" i="1"/>
  <c r="Q550" i="1" s="1"/>
  <c r="P579" i="1"/>
  <c r="Q579" i="1" s="1"/>
  <c r="P536" i="1"/>
  <c r="Q536" i="1" s="1"/>
  <c r="P573" i="1"/>
  <c r="Q573" i="1" s="1"/>
  <c r="P589" i="1"/>
  <c r="Q589" i="1" s="1"/>
  <c r="P552" i="1"/>
  <c r="Q552" i="1" s="1"/>
  <c r="P602" i="1"/>
  <c r="Q602" i="1" s="1"/>
  <c r="P577" i="1"/>
  <c r="Q577" i="1" s="1"/>
  <c r="P580" i="1"/>
  <c r="Q580" i="1" s="1"/>
  <c r="P566" i="1"/>
  <c r="Q566" i="1" s="1"/>
  <c r="P463" i="1"/>
  <c r="Q463" i="1" s="1"/>
  <c r="P561" i="1"/>
  <c r="Q561" i="1" s="1"/>
  <c r="P595" i="1"/>
  <c r="Q595" i="1" s="1"/>
  <c r="P507" i="1"/>
  <c r="Q507" i="1" s="1"/>
  <c r="P445" i="1"/>
  <c r="Q445" i="1" s="1"/>
  <c r="P583" i="1"/>
  <c r="Q583" i="1" s="1"/>
  <c r="P534" i="1"/>
  <c r="Q534" i="1" s="1"/>
  <c r="P532" i="1"/>
  <c r="Q532" i="1" s="1"/>
  <c r="P598" i="1"/>
  <c r="Q598" i="1" s="1"/>
  <c r="P576" i="1"/>
  <c r="Q576" i="1" s="1"/>
  <c r="P581" i="1"/>
  <c r="Q581" i="1" s="1"/>
  <c r="P553" i="1"/>
  <c r="Q553" i="1" s="1"/>
  <c r="P451" i="1"/>
  <c r="Q451" i="1" s="1"/>
  <c r="P511" i="1"/>
  <c r="Q511" i="1" s="1"/>
  <c r="P498" i="1"/>
  <c r="Q498" i="1" s="1"/>
  <c r="P506" i="1"/>
  <c r="Q506" i="1" s="1"/>
  <c r="P458" i="1"/>
  <c r="Q458" i="1" s="1"/>
  <c r="P594" i="1"/>
  <c r="Q594" i="1" s="1"/>
  <c r="P512" i="1"/>
  <c r="Q512" i="1" s="1"/>
  <c r="P505" i="1"/>
  <c r="Q505" i="1" s="1"/>
  <c r="P592" i="1"/>
  <c r="Q592" i="1" s="1"/>
  <c r="P597" i="1"/>
  <c r="Q597" i="1" s="1"/>
  <c r="C483" i="1" l="1"/>
  <c r="C421" i="1" l="1"/>
  <c r="N29" i="1" l="1"/>
  <c r="L5" i="24" l="1"/>
  <c r="I5" i="24"/>
  <c r="C16" i="24"/>
  <c r="C8" i="24"/>
  <c r="A562" i="1" l="1"/>
  <c r="A399" i="1"/>
  <c r="A563" i="1"/>
  <c r="A547" i="1"/>
  <c r="A474" i="1"/>
  <c r="A564" i="1"/>
  <c r="A565" i="1"/>
  <c r="A483" i="1"/>
  <c r="B562" i="1"/>
  <c r="B399" i="1"/>
  <c r="B563" i="1"/>
  <c r="B547" i="1"/>
  <c r="B474" i="1"/>
  <c r="B564" i="1"/>
  <c r="B565" i="1"/>
  <c r="B483" i="1"/>
  <c r="C562" i="1"/>
  <c r="C399" i="1"/>
  <c r="C563" i="1"/>
  <c r="C547" i="1"/>
  <c r="C474" i="1"/>
  <c r="C564" i="1"/>
  <c r="C565" i="1"/>
  <c r="D562" i="1"/>
  <c r="D399" i="1"/>
  <c r="D563" i="1"/>
  <c r="D547" i="1"/>
  <c r="D474" i="1"/>
  <c r="D564" i="1"/>
  <c r="D565" i="1"/>
  <c r="D483" i="1"/>
  <c r="E562" i="1"/>
  <c r="E399" i="1"/>
  <c r="E563" i="1"/>
  <c r="E547" i="1"/>
  <c r="E474" i="1"/>
  <c r="E564" i="1"/>
  <c r="E565" i="1"/>
  <c r="E483" i="1"/>
  <c r="G562" i="1"/>
  <c r="I562" i="1" s="1"/>
  <c r="G399" i="1"/>
  <c r="I399" i="1" s="1"/>
  <c r="G563" i="1"/>
  <c r="I563" i="1" s="1"/>
  <c r="G547" i="1"/>
  <c r="I547" i="1" s="1"/>
  <c r="G474" i="1"/>
  <c r="I474" i="1" s="1"/>
  <c r="G564" i="1"/>
  <c r="I564" i="1" s="1"/>
  <c r="G565" i="1"/>
  <c r="I565" i="1" s="1"/>
  <c r="G483" i="1"/>
  <c r="I483" i="1" s="1"/>
  <c r="J562" i="1"/>
  <c r="J399" i="1"/>
  <c r="J563" i="1"/>
  <c r="J547" i="1"/>
  <c r="J474" i="1"/>
  <c r="J564" i="1"/>
  <c r="J565" i="1"/>
  <c r="J483" i="1"/>
  <c r="K562" i="1"/>
  <c r="K399" i="1"/>
  <c r="K563" i="1"/>
  <c r="K547" i="1"/>
  <c r="K474" i="1"/>
  <c r="K564" i="1"/>
  <c r="K565" i="1"/>
  <c r="K483" i="1"/>
  <c r="L562" i="1"/>
  <c r="L399" i="1"/>
  <c r="L563" i="1"/>
  <c r="L547" i="1"/>
  <c r="L474" i="1"/>
  <c r="L564" i="1"/>
  <c r="L565" i="1"/>
  <c r="L483" i="1"/>
  <c r="M562" i="1"/>
  <c r="M399" i="1"/>
  <c r="M563" i="1"/>
  <c r="M547" i="1"/>
  <c r="M474" i="1"/>
  <c r="M564" i="1"/>
  <c r="M565" i="1"/>
  <c r="M483" i="1"/>
  <c r="N562" i="1"/>
  <c r="N399" i="1"/>
  <c r="N563" i="1"/>
  <c r="N547" i="1"/>
  <c r="N474" i="1"/>
  <c r="N564" i="1"/>
  <c r="N565" i="1"/>
  <c r="N483" i="1"/>
  <c r="P547" i="1" l="1"/>
  <c r="Q547" i="1" s="1"/>
  <c r="P563" i="1"/>
  <c r="Q563" i="1" s="1"/>
  <c r="P564" i="1"/>
  <c r="Q564" i="1" s="1"/>
  <c r="P565" i="1"/>
  <c r="Q565" i="1" s="1"/>
  <c r="P562" i="1"/>
  <c r="Q562" i="1" s="1"/>
  <c r="P474" i="1"/>
  <c r="Q474" i="1" s="1"/>
  <c r="P483" i="1"/>
  <c r="Q483" i="1" s="1"/>
  <c r="P399" i="1"/>
  <c r="Q399" i="1" s="1"/>
  <c r="K340" i="1"/>
  <c r="A545" i="1" l="1"/>
  <c r="A489" i="1"/>
  <c r="A476" i="1"/>
  <c r="A601" i="1"/>
  <c r="A586" i="1"/>
  <c r="A569" i="1"/>
  <c r="A539" i="1"/>
  <c r="A557" i="1"/>
  <c r="A551" i="1"/>
  <c r="A542" i="1"/>
  <c r="A559" i="1"/>
  <c r="A568" i="1"/>
  <c r="A543" i="1"/>
  <c r="A540" i="1"/>
  <c r="A452" i="1"/>
  <c r="A599" i="1"/>
  <c r="A471" i="1"/>
  <c r="A554" i="1"/>
  <c r="A516" i="1"/>
  <c r="A544" i="1"/>
  <c r="A404" i="1"/>
  <c r="A421" i="1"/>
  <c r="A446" i="1"/>
  <c r="A435" i="1"/>
  <c r="A500" i="1"/>
  <c r="A499" i="1"/>
  <c r="A497" i="1"/>
  <c r="A508" i="1"/>
  <c r="A398" i="1"/>
  <c r="A549" i="1"/>
  <c r="A574" i="1"/>
  <c r="A521" i="1"/>
  <c r="A537" i="1"/>
  <c r="A515" i="1"/>
  <c r="A538" i="1"/>
  <c r="B545" i="1"/>
  <c r="B489" i="1"/>
  <c r="B476" i="1"/>
  <c r="B601" i="1"/>
  <c r="B586" i="1"/>
  <c r="B569" i="1"/>
  <c r="B539" i="1"/>
  <c r="B557" i="1"/>
  <c r="B551" i="1"/>
  <c r="B542" i="1"/>
  <c r="B559" i="1"/>
  <c r="B568" i="1"/>
  <c r="B543" i="1"/>
  <c r="B540" i="1"/>
  <c r="B452" i="1"/>
  <c r="B599" i="1"/>
  <c r="B471" i="1"/>
  <c r="B554" i="1"/>
  <c r="B516" i="1"/>
  <c r="B544" i="1"/>
  <c r="B404" i="1"/>
  <c r="B421" i="1"/>
  <c r="B446" i="1"/>
  <c r="B435" i="1"/>
  <c r="B500" i="1"/>
  <c r="B499" i="1"/>
  <c r="B497" i="1"/>
  <c r="B508" i="1"/>
  <c r="B398" i="1"/>
  <c r="B549" i="1"/>
  <c r="B574" i="1"/>
  <c r="B521" i="1"/>
  <c r="B537" i="1"/>
  <c r="B515" i="1"/>
  <c r="B538" i="1"/>
  <c r="C545" i="1"/>
  <c r="C489" i="1"/>
  <c r="C476" i="1"/>
  <c r="C601" i="1"/>
  <c r="C586" i="1"/>
  <c r="C569" i="1"/>
  <c r="C539" i="1"/>
  <c r="C557" i="1"/>
  <c r="C551" i="1"/>
  <c r="C542" i="1"/>
  <c r="C559" i="1"/>
  <c r="C568" i="1"/>
  <c r="C543" i="1"/>
  <c r="C540" i="1"/>
  <c r="C452" i="1"/>
  <c r="C599" i="1"/>
  <c r="C471" i="1"/>
  <c r="C554" i="1"/>
  <c r="C516" i="1"/>
  <c r="C544" i="1"/>
  <c r="C404" i="1"/>
  <c r="C446" i="1"/>
  <c r="C435" i="1"/>
  <c r="C500" i="1"/>
  <c r="C499" i="1"/>
  <c r="C497" i="1"/>
  <c r="C508" i="1"/>
  <c r="C398" i="1"/>
  <c r="C549" i="1"/>
  <c r="C574" i="1"/>
  <c r="C521" i="1"/>
  <c r="C537" i="1"/>
  <c r="C515" i="1"/>
  <c r="C538" i="1"/>
  <c r="D545" i="1"/>
  <c r="D489" i="1"/>
  <c r="D476" i="1"/>
  <c r="D601" i="1"/>
  <c r="D586" i="1"/>
  <c r="D569" i="1"/>
  <c r="D539" i="1"/>
  <c r="D557" i="1"/>
  <c r="D551" i="1"/>
  <c r="D542" i="1"/>
  <c r="D559" i="1"/>
  <c r="D568" i="1"/>
  <c r="D543" i="1"/>
  <c r="D540" i="1"/>
  <c r="D452" i="1"/>
  <c r="D599" i="1"/>
  <c r="D471" i="1"/>
  <c r="D554" i="1"/>
  <c r="D516" i="1"/>
  <c r="D544" i="1"/>
  <c r="D404" i="1"/>
  <c r="D421" i="1"/>
  <c r="D446" i="1"/>
  <c r="D435" i="1"/>
  <c r="D500" i="1"/>
  <c r="D499" i="1"/>
  <c r="D497" i="1"/>
  <c r="D508" i="1"/>
  <c r="D398" i="1"/>
  <c r="D549" i="1"/>
  <c r="D574" i="1"/>
  <c r="D521" i="1"/>
  <c r="D537" i="1"/>
  <c r="D515" i="1"/>
  <c r="D538" i="1"/>
  <c r="E545" i="1"/>
  <c r="E489" i="1"/>
  <c r="E476" i="1"/>
  <c r="E601" i="1"/>
  <c r="E586" i="1"/>
  <c r="E569" i="1"/>
  <c r="E539" i="1"/>
  <c r="E557" i="1"/>
  <c r="E551" i="1"/>
  <c r="E542" i="1"/>
  <c r="E559" i="1"/>
  <c r="E568" i="1"/>
  <c r="E543" i="1"/>
  <c r="E540" i="1"/>
  <c r="E452" i="1"/>
  <c r="E599" i="1"/>
  <c r="E471" i="1"/>
  <c r="E554" i="1"/>
  <c r="E516" i="1"/>
  <c r="E544" i="1"/>
  <c r="E404" i="1"/>
  <c r="E421" i="1"/>
  <c r="E446" i="1"/>
  <c r="E435" i="1"/>
  <c r="E500" i="1"/>
  <c r="E499" i="1"/>
  <c r="E497" i="1"/>
  <c r="E508" i="1"/>
  <c r="E398" i="1"/>
  <c r="E549" i="1"/>
  <c r="E574" i="1"/>
  <c r="E521" i="1"/>
  <c r="E537" i="1"/>
  <c r="E515" i="1"/>
  <c r="E538" i="1"/>
  <c r="G545" i="1"/>
  <c r="I545" i="1" s="1"/>
  <c r="G489" i="1"/>
  <c r="I489" i="1" s="1"/>
  <c r="G476" i="1"/>
  <c r="I476" i="1" s="1"/>
  <c r="G601" i="1"/>
  <c r="I601" i="1" s="1"/>
  <c r="G586" i="1"/>
  <c r="I586" i="1" s="1"/>
  <c r="G569" i="1"/>
  <c r="I569" i="1" s="1"/>
  <c r="G539" i="1"/>
  <c r="I539" i="1" s="1"/>
  <c r="G557" i="1"/>
  <c r="I557" i="1" s="1"/>
  <c r="G551" i="1"/>
  <c r="I551" i="1" s="1"/>
  <c r="G542" i="1"/>
  <c r="I542" i="1" s="1"/>
  <c r="G559" i="1"/>
  <c r="I559" i="1" s="1"/>
  <c r="G568" i="1"/>
  <c r="I568" i="1" s="1"/>
  <c r="G543" i="1"/>
  <c r="I543" i="1" s="1"/>
  <c r="G540" i="1"/>
  <c r="I540" i="1" s="1"/>
  <c r="G452" i="1"/>
  <c r="I452" i="1" s="1"/>
  <c r="G599" i="1"/>
  <c r="I599" i="1" s="1"/>
  <c r="G471" i="1"/>
  <c r="I471" i="1" s="1"/>
  <c r="G554" i="1"/>
  <c r="I554" i="1" s="1"/>
  <c r="G516" i="1"/>
  <c r="I516" i="1" s="1"/>
  <c r="G544" i="1"/>
  <c r="I544" i="1" s="1"/>
  <c r="G404" i="1"/>
  <c r="I404" i="1" s="1"/>
  <c r="G421" i="1"/>
  <c r="I421" i="1" s="1"/>
  <c r="G446" i="1"/>
  <c r="I446" i="1" s="1"/>
  <c r="G435" i="1"/>
  <c r="I435" i="1" s="1"/>
  <c r="G500" i="1"/>
  <c r="I500" i="1" s="1"/>
  <c r="G499" i="1"/>
  <c r="I499" i="1" s="1"/>
  <c r="G497" i="1"/>
  <c r="I497" i="1" s="1"/>
  <c r="G508" i="1"/>
  <c r="I508" i="1" s="1"/>
  <c r="G398" i="1"/>
  <c r="I398" i="1" s="1"/>
  <c r="G549" i="1"/>
  <c r="I549" i="1" s="1"/>
  <c r="G574" i="1"/>
  <c r="I574" i="1" s="1"/>
  <c r="G521" i="1"/>
  <c r="I521" i="1" s="1"/>
  <c r="G537" i="1"/>
  <c r="I537" i="1" s="1"/>
  <c r="G515" i="1"/>
  <c r="I515" i="1" s="1"/>
  <c r="G538" i="1"/>
  <c r="I538" i="1" s="1"/>
  <c r="J545" i="1"/>
  <c r="J489" i="1"/>
  <c r="J476" i="1"/>
  <c r="J601" i="1"/>
  <c r="J586" i="1"/>
  <c r="J569" i="1"/>
  <c r="J539" i="1"/>
  <c r="J557" i="1"/>
  <c r="J551" i="1"/>
  <c r="J542" i="1"/>
  <c r="J559" i="1"/>
  <c r="J568" i="1"/>
  <c r="J543" i="1"/>
  <c r="J540" i="1"/>
  <c r="J452" i="1"/>
  <c r="J599" i="1"/>
  <c r="J471" i="1"/>
  <c r="J554" i="1"/>
  <c r="J516" i="1"/>
  <c r="J544" i="1"/>
  <c r="J404" i="1"/>
  <c r="J421" i="1"/>
  <c r="J446" i="1"/>
  <c r="J435" i="1"/>
  <c r="J500" i="1"/>
  <c r="J499" i="1"/>
  <c r="J497" i="1"/>
  <c r="J508" i="1"/>
  <c r="J398" i="1"/>
  <c r="J549" i="1"/>
  <c r="J574" i="1"/>
  <c r="J521" i="1"/>
  <c r="J537" i="1"/>
  <c r="J515" i="1"/>
  <c r="J538" i="1"/>
  <c r="K545" i="1"/>
  <c r="K489" i="1"/>
  <c r="K476" i="1"/>
  <c r="K601" i="1"/>
  <c r="K586" i="1"/>
  <c r="K569" i="1"/>
  <c r="K539" i="1"/>
  <c r="K557" i="1"/>
  <c r="K551" i="1"/>
  <c r="K542" i="1"/>
  <c r="K559" i="1"/>
  <c r="K568" i="1"/>
  <c r="K543" i="1"/>
  <c r="K540" i="1"/>
  <c r="K452" i="1"/>
  <c r="K599" i="1"/>
  <c r="K471" i="1"/>
  <c r="K554" i="1"/>
  <c r="K516" i="1"/>
  <c r="K544" i="1"/>
  <c r="K404" i="1"/>
  <c r="K421" i="1"/>
  <c r="K446" i="1"/>
  <c r="K435" i="1"/>
  <c r="K500" i="1"/>
  <c r="K499" i="1"/>
  <c r="K497" i="1"/>
  <c r="K508" i="1"/>
  <c r="K398" i="1"/>
  <c r="K549" i="1"/>
  <c r="K574" i="1"/>
  <c r="K521" i="1"/>
  <c r="K537" i="1"/>
  <c r="K515" i="1"/>
  <c r="K538" i="1"/>
  <c r="L545" i="1"/>
  <c r="L489" i="1"/>
  <c r="L476" i="1"/>
  <c r="L601" i="1"/>
  <c r="L586" i="1"/>
  <c r="L569" i="1"/>
  <c r="L539" i="1"/>
  <c r="L557" i="1"/>
  <c r="L551" i="1"/>
  <c r="L542" i="1"/>
  <c r="L559" i="1"/>
  <c r="L568" i="1"/>
  <c r="L543" i="1"/>
  <c r="L540" i="1"/>
  <c r="L452" i="1"/>
  <c r="L599" i="1"/>
  <c r="L471" i="1"/>
  <c r="L554" i="1"/>
  <c r="L516" i="1"/>
  <c r="L544" i="1"/>
  <c r="L404" i="1"/>
  <c r="L421" i="1"/>
  <c r="L446" i="1"/>
  <c r="L435" i="1"/>
  <c r="L500" i="1"/>
  <c r="L499" i="1"/>
  <c r="L497" i="1"/>
  <c r="L508" i="1"/>
  <c r="L398" i="1"/>
  <c r="L549" i="1"/>
  <c r="L574" i="1"/>
  <c r="L521" i="1"/>
  <c r="L537" i="1"/>
  <c r="L515" i="1"/>
  <c r="L538" i="1"/>
  <c r="M545" i="1"/>
  <c r="M489" i="1"/>
  <c r="M476" i="1"/>
  <c r="M601" i="1"/>
  <c r="M586" i="1"/>
  <c r="M569" i="1"/>
  <c r="M539" i="1"/>
  <c r="M557" i="1"/>
  <c r="M551" i="1"/>
  <c r="M542" i="1"/>
  <c r="M559" i="1"/>
  <c r="M568" i="1"/>
  <c r="M543" i="1"/>
  <c r="M540" i="1"/>
  <c r="M452" i="1"/>
  <c r="M599" i="1"/>
  <c r="M471" i="1"/>
  <c r="M554" i="1"/>
  <c r="M516" i="1"/>
  <c r="M544" i="1"/>
  <c r="M404" i="1"/>
  <c r="M421" i="1"/>
  <c r="M446" i="1"/>
  <c r="M435" i="1"/>
  <c r="M500" i="1"/>
  <c r="M499" i="1"/>
  <c r="M497" i="1"/>
  <c r="M508" i="1"/>
  <c r="M398" i="1"/>
  <c r="M549" i="1"/>
  <c r="M574" i="1"/>
  <c r="M521" i="1"/>
  <c r="M537" i="1"/>
  <c r="M515" i="1"/>
  <c r="M538" i="1"/>
  <c r="N545" i="1"/>
  <c r="N489" i="1"/>
  <c r="N476" i="1"/>
  <c r="N601" i="1"/>
  <c r="N586" i="1"/>
  <c r="N569" i="1"/>
  <c r="N539" i="1"/>
  <c r="N557" i="1"/>
  <c r="N551" i="1"/>
  <c r="N542" i="1"/>
  <c r="N559" i="1"/>
  <c r="N568" i="1"/>
  <c r="N543" i="1"/>
  <c r="N540" i="1"/>
  <c r="N452" i="1"/>
  <c r="N599" i="1"/>
  <c r="N471" i="1"/>
  <c r="N554" i="1"/>
  <c r="N516" i="1"/>
  <c r="N544" i="1"/>
  <c r="N404" i="1"/>
  <c r="N421" i="1"/>
  <c r="N446" i="1"/>
  <c r="N435" i="1"/>
  <c r="N500" i="1"/>
  <c r="N499" i="1"/>
  <c r="N497" i="1"/>
  <c r="N508" i="1"/>
  <c r="N398" i="1"/>
  <c r="N549" i="1"/>
  <c r="N574" i="1"/>
  <c r="N521" i="1"/>
  <c r="N537" i="1"/>
  <c r="N515" i="1"/>
  <c r="N538" i="1"/>
  <c r="A455" i="1"/>
  <c r="A427" i="1"/>
  <c r="A409" i="1"/>
  <c r="A444" i="1"/>
  <c r="A590" i="1"/>
  <c r="A591" i="1"/>
  <c r="B455" i="1"/>
  <c r="B427" i="1"/>
  <c r="B409" i="1"/>
  <c r="B444" i="1"/>
  <c r="B590" i="1"/>
  <c r="B591" i="1"/>
  <c r="C455" i="1"/>
  <c r="C427" i="1"/>
  <c r="C409" i="1"/>
  <c r="C444" i="1"/>
  <c r="C590" i="1"/>
  <c r="C591" i="1"/>
  <c r="D455" i="1"/>
  <c r="D427" i="1"/>
  <c r="D409" i="1"/>
  <c r="D444" i="1"/>
  <c r="D590" i="1"/>
  <c r="D591" i="1"/>
  <c r="E455" i="1"/>
  <c r="E427" i="1"/>
  <c r="E409" i="1"/>
  <c r="E444" i="1"/>
  <c r="E590" i="1"/>
  <c r="E591" i="1"/>
  <c r="G455" i="1"/>
  <c r="I455" i="1" s="1"/>
  <c r="G427" i="1"/>
  <c r="I427" i="1" s="1"/>
  <c r="G444" i="1"/>
  <c r="I444" i="1" s="1"/>
  <c r="G590" i="1"/>
  <c r="I590" i="1" s="1"/>
  <c r="G591" i="1"/>
  <c r="I591" i="1" s="1"/>
  <c r="J455" i="1"/>
  <c r="J427" i="1"/>
  <c r="J409" i="1"/>
  <c r="J444" i="1"/>
  <c r="J590" i="1"/>
  <c r="J591" i="1"/>
  <c r="K455" i="1"/>
  <c r="K427" i="1"/>
  <c r="K409" i="1"/>
  <c r="K444" i="1"/>
  <c r="K590" i="1"/>
  <c r="K591" i="1"/>
  <c r="L455" i="1"/>
  <c r="L427" i="1"/>
  <c r="L409" i="1"/>
  <c r="L444" i="1"/>
  <c r="L590" i="1"/>
  <c r="L591" i="1"/>
  <c r="M455" i="1"/>
  <c r="M427" i="1"/>
  <c r="M409" i="1"/>
  <c r="M444" i="1"/>
  <c r="M590" i="1"/>
  <c r="M591" i="1"/>
  <c r="N455" i="1"/>
  <c r="N427" i="1"/>
  <c r="N409" i="1"/>
  <c r="N444" i="1"/>
  <c r="N590" i="1"/>
  <c r="N591" i="1"/>
  <c r="P444" i="1" l="1"/>
  <c r="Q444" i="1" s="1"/>
  <c r="P427" i="1"/>
  <c r="Q427" i="1" s="1"/>
  <c r="P590" i="1"/>
  <c r="Q590" i="1" s="1"/>
  <c r="P549" i="1"/>
  <c r="Q549" i="1" s="1"/>
  <c r="P435" i="1"/>
  <c r="Q435" i="1" s="1"/>
  <c r="P554" i="1"/>
  <c r="Q554" i="1" s="1"/>
  <c r="P568" i="1"/>
  <c r="Q568" i="1" s="1"/>
  <c r="P569" i="1"/>
  <c r="Q569" i="1" s="1"/>
  <c r="P574" i="1"/>
  <c r="Q574" i="1" s="1"/>
  <c r="P500" i="1"/>
  <c r="Q500" i="1" s="1"/>
  <c r="P516" i="1"/>
  <c r="Q516" i="1" s="1"/>
  <c r="P543" i="1"/>
  <c r="Q543" i="1" s="1"/>
  <c r="P539" i="1"/>
  <c r="Q539" i="1" s="1"/>
  <c r="P545" i="1"/>
  <c r="Q545" i="1" s="1"/>
  <c r="P591" i="1"/>
  <c r="Q591" i="1" s="1"/>
  <c r="P537" i="1"/>
  <c r="Q537" i="1" s="1"/>
  <c r="P497" i="1"/>
  <c r="Q497" i="1" s="1"/>
  <c r="P404" i="1"/>
  <c r="Q404" i="1" s="1"/>
  <c r="P452" i="1"/>
  <c r="Q452" i="1" s="1"/>
  <c r="P551" i="1"/>
  <c r="Q551" i="1" s="1"/>
  <c r="P476" i="1"/>
  <c r="Q476" i="1" s="1"/>
  <c r="P515" i="1"/>
  <c r="Q515" i="1" s="1"/>
  <c r="P508" i="1"/>
  <c r="Q508" i="1" s="1"/>
  <c r="P421" i="1"/>
  <c r="Q421" i="1" s="1"/>
  <c r="P599" i="1"/>
  <c r="Q599" i="1" s="1"/>
  <c r="P542" i="1"/>
  <c r="Q542" i="1" s="1"/>
  <c r="P601" i="1"/>
  <c r="Q601" i="1" s="1"/>
  <c r="P538" i="1"/>
  <c r="Q538" i="1" s="1"/>
  <c r="P471" i="1"/>
  <c r="Q471" i="1" s="1"/>
  <c r="P586" i="1"/>
  <c r="Q586" i="1" s="1"/>
  <c r="P521" i="1"/>
  <c r="Q521" i="1" s="1"/>
  <c r="P499" i="1"/>
  <c r="Q499" i="1" s="1"/>
  <c r="P544" i="1"/>
  <c r="Q544" i="1" s="1"/>
  <c r="P540" i="1"/>
  <c r="Q540" i="1" s="1"/>
  <c r="P557" i="1"/>
  <c r="Q557" i="1" s="1"/>
  <c r="P489" i="1"/>
  <c r="Q489" i="1" s="1"/>
  <c r="P409" i="1"/>
  <c r="Q409" i="1" s="1"/>
  <c r="P398" i="1"/>
  <c r="Q398" i="1" s="1"/>
  <c r="P559" i="1"/>
  <c r="Q559" i="1" s="1"/>
  <c r="P455" i="1"/>
  <c r="Q455" i="1" s="1"/>
  <c r="P446" i="1"/>
  <c r="Q446" i="1" s="1"/>
  <c r="J353" i="1" l="1"/>
  <c r="J40" i="1"/>
  <c r="C384" i="1"/>
  <c r="C39" i="1"/>
  <c r="C279" i="1" l="1"/>
  <c r="K356" i="1"/>
  <c r="C277" i="1" l="1"/>
  <c r="N41" i="1" l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24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21" i="1"/>
  <c r="N407" i="1"/>
  <c r="N158" i="1"/>
  <c r="N159" i="1"/>
  <c r="N160" i="1"/>
  <c r="N161" i="1"/>
  <c r="N162" i="1"/>
  <c r="N163" i="1"/>
  <c r="N164" i="1"/>
  <c r="N165" i="1"/>
  <c r="N321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0" i="1"/>
  <c r="N183" i="1"/>
  <c r="N22" i="1"/>
  <c r="N184" i="1"/>
  <c r="N185" i="1"/>
  <c r="N186" i="1"/>
  <c r="N20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311" i="1"/>
  <c r="N290" i="1"/>
  <c r="N199" i="1"/>
  <c r="N200" i="1"/>
  <c r="N201" i="1"/>
  <c r="N202" i="1"/>
  <c r="N203" i="1"/>
  <c r="N204" i="1"/>
  <c r="N205" i="1"/>
  <c r="N206" i="1"/>
  <c r="N207" i="1"/>
  <c r="N208" i="1"/>
  <c r="N209" i="1"/>
  <c r="N294" i="1"/>
  <c r="N210" i="1"/>
  <c r="N211" i="1"/>
  <c r="N212" i="1"/>
  <c r="N213" i="1"/>
  <c r="N214" i="1"/>
  <c r="N215" i="1"/>
  <c r="N9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37" i="1"/>
  <c r="N238" i="1"/>
  <c r="N239" i="1"/>
  <c r="N3" i="1"/>
  <c r="N303" i="1"/>
  <c r="N240" i="1"/>
  <c r="N241" i="1"/>
  <c r="N38" i="1"/>
  <c r="N242" i="1"/>
  <c r="N243" i="1"/>
  <c r="N244" i="1"/>
  <c r="N4" i="1"/>
  <c r="N245" i="1"/>
  <c r="N246" i="1"/>
  <c r="N2" i="1"/>
  <c r="N456" i="1"/>
  <c r="N247" i="1"/>
  <c r="N248" i="1"/>
  <c r="N484" i="1"/>
  <c r="N249" i="1"/>
  <c r="N250" i="1"/>
  <c r="N16" i="1"/>
  <c r="N17" i="1"/>
  <c r="N34" i="1"/>
  <c r="N251" i="1"/>
  <c r="N12" i="1"/>
  <c r="N5" i="1"/>
  <c r="N13" i="1"/>
  <c r="N26" i="1"/>
  <c r="N297" i="1"/>
  <c r="N14" i="1"/>
  <c r="N36" i="1"/>
  <c r="N27" i="1"/>
  <c r="N28" i="1"/>
  <c r="N287" i="1"/>
  <c r="N6" i="1"/>
  <c r="N19" i="1"/>
  <c r="N410" i="1"/>
  <c r="N252" i="1"/>
  <c r="N318" i="1"/>
  <c r="N23" i="1"/>
  <c r="N7" i="1"/>
  <c r="N30" i="1"/>
  <c r="N310" i="1"/>
  <c r="N346" i="1"/>
  <c r="N253" i="1"/>
  <c r="N254" i="1"/>
  <c r="N430" i="1"/>
  <c r="N255" i="1"/>
  <c r="N293" i="1"/>
  <c r="N35" i="1"/>
  <c r="N256" i="1"/>
  <c r="N313" i="1"/>
  <c r="N349" i="1"/>
  <c r="N257" i="1"/>
  <c r="N457" i="1"/>
  <c r="N411" i="1"/>
  <c r="N258" i="1"/>
  <c r="N259" i="1"/>
  <c r="N15" i="1"/>
  <c r="N300" i="1"/>
  <c r="N32" i="1"/>
  <c r="N422" i="1"/>
  <c r="N33" i="1"/>
  <c r="N11" i="1"/>
  <c r="N285" i="1"/>
  <c r="N319" i="1"/>
  <c r="N334" i="1"/>
  <c r="N314" i="1"/>
  <c r="N449" i="1"/>
  <c r="N450" i="1"/>
  <c r="N18" i="1"/>
  <c r="N40" i="1"/>
  <c r="N335" i="1"/>
  <c r="N292" i="1"/>
  <c r="N277" i="1"/>
  <c r="N316" i="1"/>
  <c r="N308" i="1"/>
  <c r="N278" i="1"/>
  <c r="N279" i="1"/>
  <c r="N312" i="1"/>
  <c r="N361" i="1"/>
  <c r="N25" i="1"/>
  <c r="N327" i="1"/>
  <c r="N339" i="1"/>
  <c r="N442" i="1"/>
  <c r="N390" i="1"/>
  <c r="N283" i="1"/>
  <c r="N350" i="1"/>
  <c r="N291" i="1"/>
  <c r="N286" i="1"/>
  <c r="N8" i="1"/>
  <c r="N260" i="1"/>
  <c r="N261" i="1"/>
  <c r="N288" i="1"/>
  <c r="N289" i="1"/>
  <c r="N358" i="1"/>
  <c r="N337" i="1"/>
  <c r="N343" i="1"/>
  <c r="N393" i="1"/>
  <c r="N309" i="1"/>
  <c r="N320" i="1"/>
  <c r="N39" i="1"/>
  <c r="N345" i="1"/>
  <c r="N262" i="1"/>
  <c r="N281" i="1"/>
  <c r="N340" i="1"/>
  <c r="N315" i="1"/>
  <c r="N298" i="1"/>
  <c r="N31" i="1"/>
  <c r="N295" i="1"/>
  <c r="N370" i="1"/>
  <c r="N282" i="1"/>
  <c r="N324" i="1"/>
  <c r="N348" i="1"/>
  <c r="N305" i="1"/>
  <c r="N492" i="1"/>
  <c r="N301" i="1"/>
  <c r="N304" i="1"/>
  <c r="N329" i="1"/>
  <c r="N263" i="1"/>
  <c r="N264" i="1"/>
  <c r="N265" i="1"/>
  <c r="N266" i="1"/>
  <c r="N267" i="1"/>
  <c r="N268" i="1"/>
  <c r="N269" i="1"/>
  <c r="N270" i="1"/>
  <c r="N384" i="1"/>
  <c r="N271" i="1"/>
  <c r="N272" i="1"/>
  <c r="N273" i="1"/>
  <c r="N274" i="1"/>
  <c r="N331" i="1"/>
  <c r="N364" i="1"/>
  <c r="N322" i="1"/>
  <c r="N541" i="1"/>
  <c r="N280" i="1"/>
  <c r="N472" i="1"/>
  <c r="N325" i="1"/>
  <c r="N487" i="1"/>
  <c r="N284" i="1"/>
  <c r="N306" i="1"/>
  <c r="N332" i="1"/>
  <c r="N369" i="1"/>
  <c r="N302" i="1"/>
  <c r="N341" i="1"/>
  <c r="N347" i="1"/>
  <c r="N330" i="1"/>
  <c r="N377" i="1"/>
  <c r="N367" i="1"/>
  <c r="N338" i="1"/>
  <c r="N496" i="1"/>
  <c r="N391" i="1"/>
  <c r="N333" i="1"/>
  <c r="N353" i="1"/>
  <c r="N453" i="1"/>
  <c r="N352" i="1"/>
  <c r="N419" i="1"/>
  <c r="N375" i="1"/>
  <c r="N344" i="1"/>
  <c r="N317" i="1"/>
  <c r="N477" i="1"/>
  <c r="N356" i="1"/>
  <c r="N448" i="1"/>
  <c r="N351" i="1"/>
  <c r="N359" i="1"/>
  <c r="N440" i="1"/>
  <c r="N363" i="1"/>
  <c r="N275" i="1"/>
  <c r="N276" i="1"/>
  <c r="N368" i="1"/>
  <c r="N357" i="1"/>
  <c r="N389" i="1"/>
  <c r="N593" i="1"/>
  <c r="N360" i="1"/>
  <c r="N362" i="1"/>
  <c r="N431" i="1"/>
  <c r="N381" i="1"/>
  <c r="N366" i="1"/>
  <c r="N371" i="1"/>
  <c r="N365" i="1"/>
  <c r="N372" i="1"/>
  <c r="N423" i="1"/>
  <c r="N460" i="1"/>
  <c r="N405" i="1"/>
  <c r="N556" i="1"/>
  <c r="N412" i="1"/>
  <c r="N355" i="1"/>
  <c r="N462" i="1"/>
  <c r="N438" i="1"/>
  <c r="N396" i="1"/>
  <c r="N336" i="1"/>
  <c r="N400" i="1"/>
  <c r="N480" i="1"/>
  <c r="N413" i="1"/>
  <c r="N342" i="1"/>
  <c r="N397" i="1"/>
  <c r="N296" i="1"/>
  <c r="N373" i="1"/>
  <c r="N414" i="1"/>
  <c r="N299" i="1"/>
  <c r="N385" i="1"/>
  <c r="N416" i="1"/>
  <c r="N380" i="1"/>
  <c r="N354" i="1"/>
  <c r="N467" i="1"/>
  <c r="N468" i="1"/>
  <c r="N425" i="1"/>
  <c r="N382" i="1"/>
  <c r="N469" i="1"/>
  <c r="N481" i="1"/>
  <c r="N491" i="1"/>
  <c r="N501" i="1"/>
  <c r="N376" i="1"/>
  <c r="N513" i="1"/>
  <c r="N519" i="1"/>
  <c r="N417" i="1"/>
  <c r="N415" i="1"/>
  <c r="N378" i="1"/>
  <c r="N387" i="1"/>
  <c r="N383" i="1"/>
  <c r="N523" i="1"/>
  <c r="N522" i="1"/>
  <c r="N526" i="1"/>
  <c r="N418" i="1"/>
  <c r="N374" i="1"/>
  <c r="N424" i="1"/>
  <c r="N426" i="1"/>
  <c r="N470" i="1"/>
  <c r="N436" i="1"/>
  <c r="N493" i="1"/>
  <c r="N531" i="1"/>
  <c r="N328" i="1"/>
  <c r="N307" i="1"/>
  <c r="N326" i="1"/>
  <c r="N386" i="1"/>
  <c r="N395" i="1"/>
  <c r="N490" i="1"/>
  <c r="N479" i="1"/>
  <c r="N464" i="1"/>
  <c r="N392" i="1"/>
  <c r="N437" i="1"/>
  <c r="N465" i="1"/>
  <c r="N459" i="1"/>
  <c r="N447" i="1"/>
  <c r="N388" i="1"/>
  <c r="N429" i="1"/>
  <c r="N401" i="1"/>
  <c r="N546" i="1"/>
  <c r="N485" i="1"/>
  <c r="N530" i="1"/>
  <c r="N394" i="1"/>
  <c r="N527" i="1"/>
  <c r="N528" i="1"/>
  <c r="N518" i="1"/>
  <c r="N402" i="1"/>
  <c r="N406" i="1"/>
  <c r="N323" i="1"/>
  <c r="N548" i="1"/>
  <c r="N503" i="1"/>
  <c r="N510" i="1"/>
  <c r="N509" i="1"/>
  <c r="N441" i="1"/>
  <c r="N420" i="1"/>
  <c r="N461" i="1"/>
  <c r="N466" i="1"/>
  <c r="N475" i="1"/>
  <c r="N494" i="1"/>
  <c r="N478" i="1"/>
  <c r="N482" i="1"/>
  <c r="N555" i="1"/>
  <c r="N439" i="1"/>
  <c r="N433" i="1"/>
  <c r="N434" i="1"/>
  <c r="N408" i="1"/>
  <c r="N403" i="1"/>
  <c r="N432" i="1"/>
  <c r="N571" i="1"/>
  <c r="N379" i="1"/>
  <c r="N575" i="1"/>
  <c r="N428" i="1"/>
  <c r="G259" i="1" l="1"/>
  <c r="E17" i="1"/>
  <c r="P259" i="1" l="1"/>
  <c r="Q259" i="1" s="1"/>
  <c r="I259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24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21" i="1"/>
  <c r="M407" i="1"/>
  <c r="M158" i="1"/>
  <c r="M159" i="1"/>
  <c r="M160" i="1"/>
  <c r="M161" i="1"/>
  <c r="M162" i="1"/>
  <c r="M163" i="1"/>
  <c r="M164" i="1"/>
  <c r="M165" i="1"/>
  <c r="M321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0" i="1"/>
  <c r="M183" i="1"/>
  <c r="M22" i="1"/>
  <c r="M184" i="1"/>
  <c r="M185" i="1"/>
  <c r="M186" i="1"/>
  <c r="M20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311" i="1"/>
  <c r="M290" i="1"/>
  <c r="M199" i="1"/>
  <c r="M200" i="1"/>
  <c r="M201" i="1"/>
  <c r="M202" i="1"/>
  <c r="M203" i="1"/>
  <c r="M204" i="1"/>
  <c r="M205" i="1"/>
  <c r="M206" i="1"/>
  <c r="M207" i="1"/>
  <c r="M208" i="1"/>
  <c r="M209" i="1"/>
  <c r="M294" i="1"/>
  <c r="M210" i="1"/>
  <c r="M211" i="1"/>
  <c r="M212" i="1"/>
  <c r="M213" i="1"/>
  <c r="M214" i="1"/>
  <c r="M215" i="1"/>
  <c r="M9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37" i="1"/>
  <c r="M238" i="1"/>
  <c r="M239" i="1"/>
  <c r="M3" i="1"/>
  <c r="M303" i="1"/>
  <c r="M240" i="1"/>
  <c r="M241" i="1"/>
  <c r="M38" i="1"/>
  <c r="M242" i="1"/>
  <c r="M243" i="1"/>
  <c r="M244" i="1"/>
  <c r="M4" i="1"/>
  <c r="M245" i="1"/>
  <c r="M246" i="1"/>
  <c r="M2" i="1"/>
  <c r="M456" i="1"/>
  <c r="M247" i="1"/>
  <c r="M248" i="1"/>
  <c r="M484" i="1"/>
  <c r="M249" i="1"/>
  <c r="M250" i="1"/>
  <c r="M16" i="1"/>
  <c r="M17" i="1"/>
  <c r="M34" i="1"/>
  <c r="M251" i="1"/>
  <c r="M12" i="1"/>
  <c r="M5" i="1"/>
  <c r="M13" i="1"/>
  <c r="M26" i="1"/>
  <c r="M297" i="1"/>
  <c r="M14" i="1"/>
  <c r="M36" i="1"/>
  <c r="M27" i="1"/>
  <c r="M28" i="1"/>
  <c r="M287" i="1"/>
  <c r="M6" i="1"/>
  <c r="M19" i="1"/>
  <c r="M410" i="1"/>
  <c r="M252" i="1"/>
  <c r="M318" i="1"/>
  <c r="M23" i="1"/>
  <c r="M7" i="1"/>
  <c r="M30" i="1"/>
  <c r="M310" i="1"/>
  <c r="M346" i="1"/>
  <c r="M253" i="1"/>
  <c r="M254" i="1"/>
  <c r="M430" i="1"/>
  <c r="M255" i="1"/>
  <c r="M293" i="1"/>
  <c r="M35" i="1"/>
  <c r="M256" i="1"/>
  <c r="M313" i="1"/>
  <c r="M349" i="1"/>
  <c r="M257" i="1"/>
  <c r="M457" i="1"/>
  <c r="M411" i="1"/>
  <c r="M258" i="1"/>
  <c r="M259" i="1"/>
  <c r="M15" i="1"/>
  <c r="M300" i="1"/>
  <c r="M32" i="1"/>
  <c r="M422" i="1"/>
  <c r="M33" i="1"/>
  <c r="M11" i="1"/>
  <c r="M285" i="1"/>
  <c r="M319" i="1"/>
  <c r="M334" i="1"/>
  <c r="M314" i="1"/>
  <c r="M449" i="1"/>
  <c r="M450" i="1"/>
  <c r="M18" i="1"/>
  <c r="M40" i="1"/>
  <c r="M335" i="1"/>
  <c r="M292" i="1"/>
  <c r="M277" i="1"/>
  <c r="M316" i="1"/>
  <c r="M308" i="1"/>
  <c r="M278" i="1"/>
  <c r="M279" i="1"/>
  <c r="M312" i="1"/>
  <c r="M361" i="1"/>
  <c r="M25" i="1"/>
  <c r="M327" i="1"/>
  <c r="M339" i="1"/>
  <c r="M442" i="1"/>
  <c r="M390" i="1"/>
  <c r="M283" i="1"/>
  <c r="M350" i="1"/>
  <c r="M291" i="1"/>
  <c r="M286" i="1"/>
  <c r="M8" i="1"/>
  <c r="M260" i="1"/>
  <c r="M261" i="1"/>
  <c r="M288" i="1"/>
  <c r="M289" i="1"/>
  <c r="M358" i="1"/>
  <c r="M337" i="1"/>
  <c r="M343" i="1"/>
  <c r="M393" i="1"/>
  <c r="M309" i="1"/>
  <c r="M320" i="1"/>
  <c r="M39" i="1"/>
  <c r="M29" i="1"/>
  <c r="M345" i="1"/>
  <c r="M262" i="1"/>
  <c r="M281" i="1"/>
  <c r="M340" i="1"/>
  <c r="M315" i="1"/>
  <c r="M298" i="1"/>
  <c r="M31" i="1"/>
  <c r="M295" i="1"/>
  <c r="M370" i="1"/>
  <c r="M282" i="1"/>
  <c r="M324" i="1"/>
  <c r="M348" i="1"/>
  <c r="M305" i="1"/>
  <c r="M492" i="1"/>
  <c r="M301" i="1"/>
  <c r="M304" i="1"/>
  <c r="M329" i="1"/>
  <c r="M263" i="1"/>
  <c r="M264" i="1"/>
  <c r="M265" i="1"/>
  <c r="M266" i="1"/>
  <c r="M267" i="1"/>
  <c r="M268" i="1"/>
  <c r="M269" i="1"/>
  <c r="M270" i="1"/>
  <c r="M384" i="1"/>
  <c r="M271" i="1"/>
  <c r="M272" i="1"/>
  <c r="M273" i="1"/>
  <c r="M274" i="1"/>
  <c r="M331" i="1"/>
  <c r="M364" i="1"/>
  <c r="M322" i="1"/>
  <c r="M541" i="1"/>
  <c r="M280" i="1"/>
  <c r="M472" i="1"/>
  <c r="M325" i="1"/>
  <c r="M487" i="1"/>
  <c r="M284" i="1"/>
  <c r="M306" i="1"/>
  <c r="M332" i="1"/>
  <c r="M369" i="1"/>
  <c r="M302" i="1"/>
  <c r="M341" i="1"/>
  <c r="M347" i="1"/>
  <c r="M330" i="1"/>
  <c r="M377" i="1"/>
  <c r="M367" i="1"/>
  <c r="M338" i="1"/>
  <c r="M496" i="1"/>
  <c r="M391" i="1"/>
  <c r="M333" i="1"/>
  <c r="M353" i="1"/>
  <c r="M453" i="1"/>
  <c r="M352" i="1"/>
  <c r="M419" i="1"/>
  <c r="M375" i="1"/>
  <c r="M344" i="1"/>
  <c r="M317" i="1"/>
  <c r="M477" i="1"/>
  <c r="M356" i="1"/>
  <c r="M448" i="1"/>
  <c r="M351" i="1"/>
  <c r="M359" i="1"/>
  <c r="M440" i="1"/>
  <c r="M363" i="1"/>
  <c r="M275" i="1"/>
  <c r="M276" i="1"/>
  <c r="M368" i="1"/>
  <c r="M357" i="1"/>
  <c r="M389" i="1"/>
  <c r="M593" i="1"/>
  <c r="M360" i="1"/>
  <c r="M362" i="1"/>
  <c r="M431" i="1"/>
  <c r="M381" i="1"/>
  <c r="M366" i="1"/>
  <c r="M371" i="1"/>
  <c r="M365" i="1"/>
  <c r="M372" i="1"/>
  <c r="M423" i="1"/>
  <c r="M460" i="1"/>
  <c r="M405" i="1"/>
  <c r="M556" i="1"/>
  <c r="M412" i="1"/>
  <c r="M355" i="1"/>
  <c r="M462" i="1"/>
  <c r="M438" i="1"/>
  <c r="M396" i="1"/>
  <c r="M336" i="1"/>
  <c r="M400" i="1"/>
  <c r="M480" i="1"/>
  <c r="M413" i="1"/>
  <c r="M342" i="1"/>
  <c r="M397" i="1"/>
  <c r="M296" i="1"/>
  <c r="M373" i="1"/>
  <c r="M414" i="1"/>
  <c r="M299" i="1"/>
  <c r="M385" i="1"/>
  <c r="M416" i="1"/>
  <c r="M380" i="1"/>
  <c r="M354" i="1"/>
  <c r="M467" i="1"/>
  <c r="M468" i="1"/>
  <c r="M425" i="1"/>
  <c r="M382" i="1"/>
  <c r="M469" i="1"/>
  <c r="M481" i="1"/>
  <c r="M491" i="1"/>
  <c r="M501" i="1"/>
  <c r="M376" i="1"/>
  <c r="M513" i="1"/>
  <c r="M519" i="1"/>
  <c r="M417" i="1"/>
  <c r="M415" i="1"/>
  <c r="M378" i="1"/>
  <c r="M387" i="1"/>
  <c r="M383" i="1"/>
  <c r="M523" i="1"/>
  <c r="M522" i="1"/>
  <c r="M526" i="1"/>
  <c r="M418" i="1"/>
  <c r="M374" i="1"/>
  <c r="M424" i="1"/>
  <c r="M426" i="1"/>
  <c r="M470" i="1"/>
  <c r="M436" i="1"/>
  <c r="M493" i="1"/>
  <c r="M531" i="1"/>
  <c r="M328" i="1"/>
  <c r="M307" i="1"/>
  <c r="M326" i="1"/>
  <c r="M386" i="1"/>
  <c r="M395" i="1"/>
  <c r="M490" i="1"/>
  <c r="M479" i="1"/>
  <c r="M464" i="1"/>
  <c r="M392" i="1"/>
  <c r="M437" i="1"/>
  <c r="M465" i="1"/>
  <c r="M459" i="1"/>
  <c r="M447" i="1"/>
  <c r="M388" i="1"/>
  <c r="M429" i="1"/>
  <c r="M401" i="1"/>
  <c r="M546" i="1"/>
  <c r="M485" i="1"/>
  <c r="M530" i="1"/>
  <c r="M394" i="1"/>
  <c r="M527" i="1"/>
  <c r="M528" i="1"/>
  <c r="M518" i="1"/>
  <c r="M402" i="1"/>
  <c r="M406" i="1"/>
  <c r="M323" i="1"/>
  <c r="M548" i="1"/>
  <c r="M503" i="1"/>
  <c r="M510" i="1"/>
  <c r="M509" i="1"/>
  <c r="M441" i="1"/>
  <c r="M420" i="1"/>
  <c r="M461" i="1"/>
  <c r="M466" i="1"/>
  <c r="M475" i="1"/>
  <c r="M494" i="1"/>
  <c r="M478" i="1"/>
  <c r="M482" i="1"/>
  <c r="M555" i="1"/>
  <c r="M439" i="1"/>
  <c r="M433" i="1"/>
  <c r="M434" i="1"/>
  <c r="M408" i="1"/>
  <c r="M403" i="1"/>
  <c r="M432" i="1"/>
  <c r="M571" i="1"/>
  <c r="M379" i="1"/>
  <c r="M575" i="1"/>
  <c r="M428" i="1"/>
  <c r="L43" i="1"/>
  <c r="C313" i="1" l="1"/>
  <c r="A459" i="1"/>
  <c r="A408" i="1"/>
  <c r="A461" i="1"/>
  <c r="A441" i="1"/>
  <c r="A447" i="1"/>
  <c r="A386" i="1"/>
  <c r="A388" i="1"/>
  <c r="A402" i="1"/>
  <c r="A555" i="1"/>
  <c r="A428" i="1"/>
  <c r="A379" i="1"/>
  <c r="A420" i="1"/>
  <c r="A328" i="1"/>
  <c r="A429" i="1"/>
  <c r="A575" i="1"/>
  <c r="A406" i="1"/>
  <c r="A395" i="1"/>
  <c r="A466" i="1"/>
  <c r="A401" i="1"/>
  <c r="A475" i="1"/>
  <c r="A494" i="1"/>
  <c r="A478" i="1"/>
  <c r="A482" i="1"/>
  <c r="B459" i="1"/>
  <c r="B408" i="1"/>
  <c r="B461" i="1"/>
  <c r="B441" i="1"/>
  <c r="B447" i="1"/>
  <c r="B386" i="1"/>
  <c r="B388" i="1"/>
  <c r="B402" i="1"/>
  <c r="B555" i="1"/>
  <c r="B428" i="1"/>
  <c r="B379" i="1"/>
  <c r="B420" i="1"/>
  <c r="B328" i="1"/>
  <c r="B429" i="1"/>
  <c r="B575" i="1"/>
  <c r="B406" i="1"/>
  <c r="B395" i="1"/>
  <c r="B466" i="1"/>
  <c r="B401" i="1"/>
  <c r="B475" i="1"/>
  <c r="B494" i="1"/>
  <c r="B478" i="1"/>
  <c r="B482" i="1"/>
  <c r="C459" i="1"/>
  <c r="C461" i="1"/>
  <c r="C441" i="1"/>
  <c r="C447" i="1"/>
  <c r="C386" i="1"/>
  <c r="C388" i="1"/>
  <c r="C402" i="1"/>
  <c r="C555" i="1"/>
  <c r="C428" i="1"/>
  <c r="C379" i="1"/>
  <c r="C420" i="1"/>
  <c r="C328" i="1"/>
  <c r="C429" i="1"/>
  <c r="C575" i="1"/>
  <c r="C406" i="1"/>
  <c r="C395" i="1"/>
  <c r="C466" i="1"/>
  <c r="C401" i="1"/>
  <c r="C475" i="1"/>
  <c r="C494" i="1"/>
  <c r="C478" i="1"/>
  <c r="C482" i="1"/>
  <c r="D459" i="1"/>
  <c r="D408" i="1"/>
  <c r="D461" i="1"/>
  <c r="D441" i="1"/>
  <c r="D447" i="1"/>
  <c r="D386" i="1"/>
  <c r="D388" i="1"/>
  <c r="D402" i="1"/>
  <c r="D555" i="1"/>
  <c r="D428" i="1"/>
  <c r="D379" i="1"/>
  <c r="D420" i="1"/>
  <c r="D328" i="1"/>
  <c r="D429" i="1"/>
  <c r="D575" i="1"/>
  <c r="D406" i="1"/>
  <c r="D395" i="1"/>
  <c r="D466" i="1"/>
  <c r="D401" i="1"/>
  <c r="D475" i="1"/>
  <c r="D494" i="1"/>
  <c r="D478" i="1"/>
  <c r="D482" i="1"/>
  <c r="E459" i="1"/>
  <c r="E408" i="1"/>
  <c r="E461" i="1"/>
  <c r="E441" i="1"/>
  <c r="E447" i="1"/>
  <c r="E386" i="1"/>
  <c r="E388" i="1"/>
  <c r="E402" i="1"/>
  <c r="E555" i="1"/>
  <c r="E428" i="1"/>
  <c r="E379" i="1"/>
  <c r="E420" i="1"/>
  <c r="E328" i="1"/>
  <c r="E429" i="1"/>
  <c r="E575" i="1"/>
  <c r="E406" i="1"/>
  <c r="E395" i="1"/>
  <c r="E466" i="1"/>
  <c r="E401" i="1"/>
  <c r="E475" i="1"/>
  <c r="E494" i="1"/>
  <c r="E478" i="1"/>
  <c r="E482" i="1"/>
  <c r="G459" i="1"/>
  <c r="G408" i="1"/>
  <c r="G461" i="1"/>
  <c r="G441" i="1"/>
  <c r="G447" i="1"/>
  <c r="G386" i="1"/>
  <c r="G388" i="1"/>
  <c r="G402" i="1"/>
  <c r="G555" i="1"/>
  <c r="G428" i="1"/>
  <c r="G379" i="1"/>
  <c r="G420" i="1"/>
  <c r="G328" i="1"/>
  <c r="G429" i="1"/>
  <c r="G575" i="1"/>
  <c r="G406" i="1"/>
  <c r="G395" i="1"/>
  <c r="G466" i="1"/>
  <c r="G401" i="1"/>
  <c r="G475" i="1"/>
  <c r="G494" i="1"/>
  <c r="G478" i="1"/>
  <c r="G482" i="1"/>
  <c r="J459" i="1"/>
  <c r="J408" i="1"/>
  <c r="J461" i="1"/>
  <c r="J441" i="1"/>
  <c r="J447" i="1"/>
  <c r="J386" i="1"/>
  <c r="J388" i="1"/>
  <c r="J402" i="1"/>
  <c r="J555" i="1"/>
  <c r="J428" i="1"/>
  <c r="J379" i="1"/>
  <c r="J420" i="1"/>
  <c r="J328" i="1"/>
  <c r="J429" i="1"/>
  <c r="J575" i="1"/>
  <c r="J406" i="1"/>
  <c r="J395" i="1"/>
  <c r="J466" i="1"/>
  <c r="J401" i="1"/>
  <c r="J475" i="1"/>
  <c r="J494" i="1"/>
  <c r="J478" i="1"/>
  <c r="J482" i="1"/>
  <c r="K459" i="1"/>
  <c r="K408" i="1"/>
  <c r="K461" i="1"/>
  <c r="K441" i="1"/>
  <c r="K447" i="1"/>
  <c r="K386" i="1"/>
  <c r="K388" i="1"/>
  <c r="K402" i="1"/>
  <c r="K555" i="1"/>
  <c r="K428" i="1"/>
  <c r="K379" i="1"/>
  <c r="K420" i="1"/>
  <c r="K328" i="1"/>
  <c r="K429" i="1"/>
  <c r="K575" i="1"/>
  <c r="K406" i="1"/>
  <c r="K395" i="1"/>
  <c r="K466" i="1"/>
  <c r="K401" i="1"/>
  <c r="K475" i="1"/>
  <c r="K494" i="1"/>
  <c r="K478" i="1"/>
  <c r="K482" i="1"/>
  <c r="L459" i="1"/>
  <c r="L408" i="1"/>
  <c r="L461" i="1"/>
  <c r="L441" i="1"/>
  <c r="L447" i="1"/>
  <c r="L386" i="1"/>
  <c r="L388" i="1"/>
  <c r="L402" i="1"/>
  <c r="L555" i="1"/>
  <c r="L428" i="1"/>
  <c r="L379" i="1"/>
  <c r="L420" i="1"/>
  <c r="L328" i="1"/>
  <c r="L429" i="1"/>
  <c r="L575" i="1"/>
  <c r="L406" i="1"/>
  <c r="L395" i="1"/>
  <c r="L466" i="1"/>
  <c r="L401" i="1"/>
  <c r="L475" i="1"/>
  <c r="L494" i="1"/>
  <c r="L478" i="1"/>
  <c r="L482" i="1"/>
  <c r="A4" i="1"/>
  <c r="B4" i="1"/>
  <c r="C4" i="1"/>
  <c r="D4" i="1"/>
  <c r="E4" i="1"/>
  <c r="G4" i="1"/>
  <c r="J4" i="1"/>
  <c r="K4" i="1"/>
  <c r="L4" i="1"/>
  <c r="P420" i="1" l="1"/>
  <c r="Q420" i="1" s="1"/>
  <c r="I420" i="1"/>
  <c r="P478" i="1"/>
  <c r="Q478" i="1" s="1"/>
  <c r="I478" i="1"/>
  <c r="P406" i="1"/>
  <c r="Q406" i="1" s="1"/>
  <c r="I406" i="1"/>
  <c r="P428" i="1"/>
  <c r="Q428" i="1" s="1"/>
  <c r="I428" i="1"/>
  <c r="P441" i="1"/>
  <c r="Q441" i="1" s="1"/>
  <c r="I441" i="1"/>
  <c r="P494" i="1"/>
  <c r="Q494" i="1" s="1"/>
  <c r="I494" i="1"/>
  <c r="P575" i="1"/>
  <c r="Q575" i="1" s="1"/>
  <c r="I575" i="1"/>
  <c r="P555" i="1"/>
  <c r="Q555" i="1" s="1"/>
  <c r="I555" i="1"/>
  <c r="P461" i="1"/>
  <c r="Q461" i="1" s="1"/>
  <c r="I461" i="1"/>
  <c r="P466" i="1"/>
  <c r="Q466" i="1" s="1"/>
  <c r="I466" i="1"/>
  <c r="P4" i="1"/>
  <c r="Q4" i="1" s="1"/>
  <c r="I4" i="1"/>
  <c r="P475" i="1"/>
  <c r="Q475" i="1" s="1"/>
  <c r="I475" i="1"/>
  <c r="P429" i="1"/>
  <c r="Q429" i="1" s="1"/>
  <c r="I429" i="1"/>
  <c r="P402" i="1"/>
  <c r="Q402" i="1" s="1"/>
  <c r="I402" i="1"/>
  <c r="P408" i="1"/>
  <c r="Q408" i="1" s="1"/>
  <c r="I408" i="1"/>
  <c r="P401" i="1"/>
  <c r="Q401" i="1" s="1"/>
  <c r="I401" i="1"/>
  <c r="P328" i="1"/>
  <c r="Q328" i="1" s="1"/>
  <c r="I328" i="1"/>
  <c r="P388" i="1"/>
  <c r="Q388" i="1" s="1"/>
  <c r="I388" i="1"/>
  <c r="P459" i="1"/>
  <c r="Q459" i="1" s="1"/>
  <c r="I459" i="1"/>
  <c r="P386" i="1"/>
  <c r="Q386" i="1" s="1"/>
  <c r="I386" i="1"/>
  <c r="P482" i="1"/>
  <c r="Q482" i="1" s="1"/>
  <c r="I482" i="1"/>
  <c r="P395" i="1"/>
  <c r="Q395" i="1" s="1"/>
  <c r="I395" i="1"/>
  <c r="P379" i="1"/>
  <c r="Q379" i="1" s="1"/>
  <c r="I379" i="1"/>
  <c r="P447" i="1"/>
  <c r="Q447" i="1" s="1"/>
  <c r="I447" i="1"/>
  <c r="K531" i="1"/>
  <c r="D387" i="1" l="1"/>
  <c r="E438" i="1" l="1"/>
  <c r="G209" i="1" l="1"/>
  <c r="P209" i="1" l="1"/>
  <c r="Q209" i="1" s="1"/>
  <c r="I209" i="1"/>
  <c r="A434" i="1"/>
  <c r="B434" i="1"/>
  <c r="C434" i="1"/>
  <c r="D434" i="1"/>
  <c r="E434" i="1"/>
  <c r="G434" i="1"/>
  <c r="J434" i="1"/>
  <c r="K434" i="1"/>
  <c r="L434" i="1"/>
  <c r="A326" i="1"/>
  <c r="B326" i="1"/>
  <c r="C326" i="1"/>
  <c r="D326" i="1"/>
  <c r="E326" i="1"/>
  <c r="G326" i="1"/>
  <c r="J326" i="1"/>
  <c r="K326" i="1"/>
  <c r="L326" i="1"/>
  <c r="A299" i="1"/>
  <c r="B299" i="1"/>
  <c r="C299" i="1"/>
  <c r="D299" i="1"/>
  <c r="E299" i="1"/>
  <c r="G299" i="1"/>
  <c r="I299" i="1" s="1"/>
  <c r="J299" i="1"/>
  <c r="K299" i="1"/>
  <c r="L299" i="1"/>
  <c r="A367" i="1"/>
  <c r="A302" i="1"/>
  <c r="A295" i="1"/>
  <c r="A376" i="1"/>
  <c r="A354" i="1"/>
  <c r="B367" i="1"/>
  <c r="B302" i="1"/>
  <c r="B295" i="1"/>
  <c r="B376" i="1"/>
  <c r="B354" i="1"/>
  <c r="C367" i="1"/>
  <c r="C302" i="1"/>
  <c r="C295" i="1"/>
  <c r="C376" i="1"/>
  <c r="C354" i="1"/>
  <c r="D367" i="1"/>
  <c r="D302" i="1"/>
  <c r="D295" i="1"/>
  <c r="D376" i="1"/>
  <c r="D354" i="1"/>
  <c r="E367" i="1"/>
  <c r="E302" i="1"/>
  <c r="E295" i="1"/>
  <c r="E376" i="1"/>
  <c r="E354" i="1"/>
  <c r="G367" i="1"/>
  <c r="I367" i="1" s="1"/>
  <c r="G302" i="1"/>
  <c r="G295" i="1"/>
  <c r="G376" i="1"/>
  <c r="I376" i="1" s="1"/>
  <c r="G354" i="1"/>
  <c r="I354" i="1" s="1"/>
  <c r="J367" i="1"/>
  <c r="J302" i="1"/>
  <c r="J295" i="1"/>
  <c r="J376" i="1"/>
  <c r="J354" i="1"/>
  <c r="K367" i="1"/>
  <c r="K302" i="1"/>
  <c r="K295" i="1"/>
  <c r="K376" i="1"/>
  <c r="K354" i="1"/>
  <c r="L367" i="1"/>
  <c r="L302" i="1"/>
  <c r="L295" i="1"/>
  <c r="L376" i="1"/>
  <c r="L354" i="1"/>
  <c r="A375" i="1"/>
  <c r="B375" i="1"/>
  <c r="C375" i="1"/>
  <c r="D375" i="1"/>
  <c r="E375" i="1"/>
  <c r="G375" i="1"/>
  <c r="I375" i="1" s="1"/>
  <c r="J375" i="1"/>
  <c r="K375" i="1"/>
  <c r="L375" i="1"/>
  <c r="P326" i="1" l="1"/>
  <c r="Q326" i="1" s="1"/>
  <c r="I326" i="1"/>
  <c r="P295" i="1"/>
  <c r="Q295" i="1" s="1"/>
  <c r="I295" i="1"/>
  <c r="P302" i="1"/>
  <c r="Q302" i="1" s="1"/>
  <c r="I302" i="1"/>
  <c r="P434" i="1"/>
  <c r="Q434" i="1" s="1"/>
  <c r="I434" i="1"/>
  <c r="P367" i="1"/>
  <c r="Q367" i="1" s="1"/>
  <c r="B54" i="20"/>
  <c r="B32" i="20"/>
  <c r="B10" i="20"/>
  <c r="A30" i="20"/>
  <c r="A8" i="20"/>
  <c r="A52" i="20"/>
  <c r="E28" i="20"/>
  <c r="E50" i="20"/>
  <c r="E6" i="20"/>
  <c r="P375" i="1"/>
  <c r="Q375" i="1" s="1"/>
  <c r="B55" i="20"/>
  <c r="B33" i="20"/>
  <c r="B11" i="20"/>
  <c r="A7" i="20"/>
  <c r="A51" i="20"/>
  <c r="A29" i="20"/>
  <c r="F10" i="20"/>
  <c r="F32" i="20"/>
  <c r="F54" i="20"/>
  <c r="E29" i="20"/>
  <c r="E51" i="20"/>
  <c r="E7" i="20"/>
  <c r="P299" i="1"/>
  <c r="Q299" i="1" s="1"/>
  <c r="B6" i="20"/>
  <c r="B50" i="20"/>
  <c r="B28" i="20"/>
  <c r="E55" i="20"/>
  <c r="E11" i="20"/>
  <c r="E33" i="20"/>
  <c r="A55" i="20"/>
  <c r="A33" i="20"/>
  <c r="A11" i="20"/>
  <c r="G32" i="20"/>
  <c r="I32" i="20" s="1"/>
  <c r="G10" i="20"/>
  <c r="I10" i="20" s="1"/>
  <c r="G54" i="20"/>
  <c r="I54" i="20" s="1"/>
  <c r="P354" i="1"/>
  <c r="Q354" i="1" s="1"/>
  <c r="B7" i="20"/>
  <c r="B51" i="20"/>
  <c r="B29" i="20"/>
  <c r="E8" i="20"/>
  <c r="E30" i="20"/>
  <c r="E52" i="20"/>
  <c r="A50" i="20"/>
  <c r="A28" i="20"/>
  <c r="A6" i="20"/>
  <c r="G33" i="20"/>
  <c r="I33" i="20" s="1"/>
  <c r="G11" i="20"/>
  <c r="I11" i="20" s="1"/>
  <c r="G55" i="20"/>
  <c r="I55" i="20" s="1"/>
  <c r="F51" i="20"/>
  <c r="F7" i="20"/>
  <c r="F29" i="20"/>
  <c r="P376" i="1"/>
  <c r="Q376" i="1" s="1"/>
  <c r="B30" i="20"/>
  <c r="B8" i="20"/>
  <c r="B52" i="20"/>
  <c r="A32" i="20"/>
  <c r="A10" i="20"/>
  <c r="A54" i="20"/>
  <c r="G6" i="20"/>
  <c r="I6" i="20" s="1"/>
  <c r="G28" i="20"/>
  <c r="I28" i="20" s="1"/>
  <c r="G50" i="20"/>
  <c r="I50" i="20" s="1"/>
  <c r="G52" i="20"/>
  <c r="I52" i="20" s="1"/>
  <c r="G30" i="20"/>
  <c r="I30" i="20" s="1"/>
  <c r="G8" i="20"/>
  <c r="I8" i="20" s="1"/>
  <c r="E54" i="20"/>
  <c r="E10" i="20"/>
  <c r="E32" i="20"/>
  <c r="F55" i="20"/>
  <c r="F11" i="20"/>
  <c r="F33" i="20"/>
  <c r="G51" i="20"/>
  <c r="I51" i="20" s="1"/>
  <c r="G7" i="20"/>
  <c r="I7" i="20" s="1"/>
  <c r="G29" i="20"/>
  <c r="I29" i="20" s="1"/>
  <c r="F30" i="20"/>
  <c r="F52" i="20"/>
  <c r="F8" i="20"/>
  <c r="F50" i="20"/>
  <c r="F6" i="20"/>
  <c r="F28" i="20"/>
  <c r="G307" i="1"/>
  <c r="A280" i="1"/>
  <c r="A432" i="1"/>
  <c r="A433" i="1"/>
  <c r="A333" i="1"/>
  <c r="A353" i="1"/>
  <c r="A491" i="1"/>
  <c r="A340" i="1"/>
  <c r="A357" i="1"/>
  <c r="A298" i="1"/>
  <c r="A378" i="1"/>
  <c r="A470" i="1"/>
  <c r="A313" i="1"/>
  <c r="A314" i="1"/>
  <c r="A593" i="1"/>
  <c r="A405" i="1"/>
  <c r="A523" i="1"/>
  <c r="A352" i="1"/>
  <c r="A324" i="1"/>
  <c r="A331" i="1"/>
  <c r="A288" i="1"/>
  <c r="A424" i="1"/>
  <c r="A341" i="1"/>
  <c r="A425" i="1"/>
  <c r="A329" i="1"/>
  <c r="A487" i="1"/>
  <c r="A571" i="1"/>
  <c r="A403" i="1"/>
  <c r="A347" i="1"/>
  <c r="A522" i="1"/>
  <c r="A344" i="1"/>
  <c r="A439" i="1"/>
  <c r="A359" i="1"/>
  <c r="A503" i="1"/>
  <c r="A33" i="1"/>
  <c r="A383" i="1"/>
  <c r="A369" i="1"/>
  <c r="A389" i="1"/>
  <c r="A393" i="1"/>
  <c r="A289" i="1"/>
  <c r="A477" i="1"/>
  <c r="A400" i="1"/>
  <c r="A296" i="1"/>
  <c r="A365" i="1"/>
  <c r="A462" i="1"/>
  <c r="A366" i="1"/>
  <c r="A394" i="1"/>
  <c r="A556" i="1"/>
  <c r="A546" i="1"/>
  <c r="A396" i="1"/>
  <c r="A391" i="1"/>
  <c r="A397" i="1"/>
  <c r="A364" i="1"/>
  <c r="A417" i="1"/>
  <c r="A31" i="1"/>
  <c r="A323" i="1"/>
  <c r="A330" i="1"/>
  <c r="A351" i="1"/>
  <c r="A342" i="1"/>
  <c r="A392" i="1"/>
  <c r="A390" i="1"/>
  <c r="A304" i="1"/>
  <c r="A509" i="1"/>
  <c r="A493" i="1"/>
  <c r="A426" i="1"/>
  <c r="A306" i="1"/>
  <c r="A548" i="1"/>
  <c r="A460" i="1"/>
  <c r="A387" i="1"/>
  <c r="A492" i="1"/>
  <c r="A453" i="1"/>
  <c r="A363" i="1"/>
  <c r="A448" i="1"/>
  <c r="A374" i="1"/>
  <c r="A29" i="1"/>
  <c r="A440" i="1"/>
  <c r="A431" i="1"/>
  <c r="A377" i="1"/>
  <c r="A541" i="1"/>
  <c r="A355" i="1"/>
  <c r="A362" i="1"/>
  <c r="A480" i="1"/>
  <c r="A368" i="1"/>
  <c r="A485" i="1"/>
  <c r="A307" i="1"/>
  <c r="A412" i="1"/>
  <c r="A501" i="1"/>
  <c r="A419" i="1"/>
  <c r="A334" i="1"/>
  <c r="A530" i="1"/>
  <c r="A527" i="1"/>
  <c r="A528" i="1"/>
  <c r="A518" i="1"/>
  <c r="A472" i="1"/>
  <c r="A496" i="1"/>
  <c r="A371" i="1"/>
  <c r="A490" i="1"/>
  <c r="A479" i="1"/>
  <c r="A513" i="1"/>
  <c r="A464" i="1"/>
  <c r="A437" i="1"/>
  <c r="A465" i="1"/>
  <c r="A436" i="1"/>
  <c r="A519" i="1"/>
  <c r="A526" i="1"/>
  <c r="A510" i="1"/>
  <c r="A380" i="1"/>
  <c r="A382" i="1"/>
  <c r="A373" i="1"/>
  <c r="A415" i="1"/>
  <c r="A418" i="1"/>
  <c r="A423" i="1"/>
  <c r="B280" i="1"/>
  <c r="B432" i="1"/>
  <c r="B433" i="1"/>
  <c r="B333" i="1"/>
  <c r="B353" i="1"/>
  <c r="B491" i="1"/>
  <c r="B340" i="1"/>
  <c r="B357" i="1"/>
  <c r="B298" i="1"/>
  <c r="B378" i="1"/>
  <c r="B470" i="1"/>
  <c r="B313" i="1"/>
  <c r="B314" i="1"/>
  <c r="B593" i="1"/>
  <c r="B405" i="1"/>
  <c r="B523" i="1"/>
  <c r="B352" i="1"/>
  <c r="B324" i="1"/>
  <c r="B331" i="1"/>
  <c r="B288" i="1"/>
  <c r="B424" i="1"/>
  <c r="B341" i="1"/>
  <c r="B425" i="1"/>
  <c r="B329" i="1"/>
  <c r="B487" i="1"/>
  <c r="B571" i="1"/>
  <c r="B403" i="1"/>
  <c r="B347" i="1"/>
  <c r="B522" i="1"/>
  <c r="B344" i="1"/>
  <c r="B439" i="1"/>
  <c r="B359" i="1"/>
  <c r="B503" i="1"/>
  <c r="B33" i="1"/>
  <c r="B383" i="1"/>
  <c r="B369" i="1"/>
  <c r="B389" i="1"/>
  <c r="B393" i="1"/>
  <c r="B289" i="1"/>
  <c r="B477" i="1"/>
  <c r="B400" i="1"/>
  <c r="B296" i="1"/>
  <c r="B365" i="1"/>
  <c r="B462" i="1"/>
  <c r="B366" i="1"/>
  <c r="B394" i="1"/>
  <c r="B556" i="1"/>
  <c r="B546" i="1"/>
  <c r="B396" i="1"/>
  <c r="B391" i="1"/>
  <c r="B397" i="1"/>
  <c r="B364" i="1"/>
  <c r="B417" i="1"/>
  <c r="B31" i="1"/>
  <c r="B323" i="1"/>
  <c r="B330" i="1"/>
  <c r="B351" i="1"/>
  <c r="B342" i="1"/>
  <c r="B392" i="1"/>
  <c r="B390" i="1"/>
  <c r="B304" i="1"/>
  <c r="B509" i="1"/>
  <c r="B493" i="1"/>
  <c r="B426" i="1"/>
  <c r="B306" i="1"/>
  <c r="B548" i="1"/>
  <c r="B460" i="1"/>
  <c r="B387" i="1"/>
  <c r="B492" i="1"/>
  <c r="B453" i="1"/>
  <c r="B363" i="1"/>
  <c r="B448" i="1"/>
  <c r="B374" i="1"/>
  <c r="B29" i="1"/>
  <c r="B440" i="1"/>
  <c r="B431" i="1"/>
  <c r="B377" i="1"/>
  <c r="B541" i="1"/>
  <c r="B355" i="1"/>
  <c r="B362" i="1"/>
  <c r="B480" i="1"/>
  <c r="B368" i="1"/>
  <c r="B485" i="1"/>
  <c r="B307" i="1"/>
  <c r="B412" i="1"/>
  <c r="B501" i="1"/>
  <c r="B419" i="1"/>
  <c r="B334" i="1"/>
  <c r="B530" i="1"/>
  <c r="B527" i="1"/>
  <c r="B528" i="1"/>
  <c r="B518" i="1"/>
  <c r="B472" i="1"/>
  <c r="B496" i="1"/>
  <c r="B371" i="1"/>
  <c r="B490" i="1"/>
  <c r="B479" i="1"/>
  <c r="B513" i="1"/>
  <c r="B464" i="1"/>
  <c r="B437" i="1"/>
  <c r="B465" i="1"/>
  <c r="B436" i="1"/>
  <c r="B519" i="1"/>
  <c r="B526" i="1"/>
  <c r="B510" i="1"/>
  <c r="B380" i="1"/>
  <c r="B382" i="1"/>
  <c r="B373" i="1"/>
  <c r="B415" i="1"/>
  <c r="B418" i="1"/>
  <c r="B423" i="1"/>
  <c r="C280" i="1"/>
  <c r="C432" i="1"/>
  <c r="C433" i="1"/>
  <c r="C333" i="1"/>
  <c r="C353" i="1"/>
  <c r="C491" i="1"/>
  <c r="C340" i="1"/>
  <c r="C357" i="1"/>
  <c r="C298" i="1"/>
  <c r="C378" i="1"/>
  <c r="C470" i="1"/>
  <c r="C314" i="1"/>
  <c r="C593" i="1"/>
  <c r="C405" i="1"/>
  <c r="C523" i="1"/>
  <c r="C352" i="1"/>
  <c r="C324" i="1"/>
  <c r="C331" i="1"/>
  <c r="C288" i="1"/>
  <c r="C424" i="1"/>
  <c r="C341" i="1"/>
  <c r="C425" i="1"/>
  <c r="C329" i="1"/>
  <c r="C487" i="1"/>
  <c r="C571" i="1"/>
  <c r="C403" i="1"/>
  <c r="C347" i="1"/>
  <c r="C522" i="1"/>
  <c r="C344" i="1"/>
  <c r="C439" i="1"/>
  <c r="C359" i="1"/>
  <c r="C503" i="1"/>
  <c r="C33" i="1"/>
  <c r="C383" i="1"/>
  <c r="C369" i="1"/>
  <c r="C389" i="1"/>
  <c r="C393" i="1"/>
  <c r="C289" i="1"/>
  <c r="C477" i="1"/>
  <c r="C400" i="1"/>
  <c r="C296" i="1"/>
  <c r="C365" i="1"/>
  <c r="C462" i="1"/>
  <c r="C366" i="1"/>
  <c r="C394" i="1"/>
  <c r="C556" i="1"/>
  <c r="C546" i="1"/>
  <c r="C396" i="1"/>
  <c r="C391" i="1"/>
  <c r="C397" i="1"/>
  <c r="C364" i="1"/>
  <c r="C417" i="1"/>
  <c r="C31" i="1"/>
  <c r="C323" i="1"/>
  <c r="C330" i="1"/>
  <c r="C351" i="1"/>
  <c r="C342" i="1"/>
  <c r="C392" i="1"/>
  <c r="C390" i="1"/>
  <c r="C304" i="1"/>
  <c r="C509" i="1"/>
  <c r="C493" i="1"/>
  <c r="C426" i="1"/>
  <c r="C306" i="1"/>
  <c r="C548" i="1"/>
  <c r="C460" i="1"/>
  <c r="C387" i="1"/>
  <c r="C492" i="1"/>
  <c r="C453" i="1"/>
  <c r="C363" i="1"/>
  <c r="C448" i="1"/>
  <c r="C374" i="1"/>
  <c r="C29" i="1"/>
  <c r="C440" i="1"/>
  <c r="C431" i="1"/>
  <c r="C377" i="1"/>
  <c r="C541" i="1"/>
  <c r="C355" i="1"/>
  <c r="C362" i="1"/>
  <c r="C480" i="1"/>
  <c r="C368" i="1"/>
  <c r="C485" i="1"/>
  <c r="C307" i="1"/>
  <c r="C412" i="1"/>
  <c r="C501" i="1"/>
  <c r="C419" i="1"/>
  <c r="C334" i="1"/>
  <c r="C530" i="1"/>
  <c r="C527" i="1"/>
  <c r="C528" i="1"/>
  <c r="C518" i="1"/>
  <c r="C472" i="1"/>
  <c r="C496" i="1"/>
  <c r="C371" i="1"/>
  <c r="C490" i="1"/>
  <c r="C479" i="1"/>
  <c r="C513" i="1"/>
  <c r="C464" i="1"/>
  <c r="C437" i="1"/>
  <c r="C465" i="1"/>
  <c r="C436" i="1"/>
  <c r="C519" i="1"/>
  <c r="C526" i="1"/>
  <c r="C510" i="1"/>
  <c r="C380" i="1"/>
  <c r="C382" i="1"/>
  <c r="C373" i="1"/>
  <c r="C415" i="1"/>
  <c r="C418" i="1"/>
  <c r="C423" i="1"/>
  <c r="D280" i="1"/>
  <c r="D432" i="1"/>
  <c r="D433" i="1"/>
  <c r="D333" i="1"/>
  <c r="D353" i="1"/>
  <c r="D491" i="1"/>
  <c r="D340" i="1"/>
  <c r="D357" i="1"/>
  <c r="D298" i="1"/>
  <c r="D378" i="1"/>
  <c r="D470" i="1"/>
  <c r="D313" i="1"/>
  <c r="D314" i="1"/>
  <c r="D593" i="1"/>
  <c r="D405" i="1"/>
  <c r="D523" i="1"/>
  <c r="D352" i="1"/>
  <c r="D324" i="1"/>
  <c r="D331" i="1"/>
  <c r="D288" i="1"/>
  <c r="D424" i="1"/>
  <c r="D341" i="1"/>
  <c r="D425" i="1"/>
  <c r="D329" i="1"/>
  <c r="D487" i="1"/>
  <c r="D571" i="1"/>
  <c r="D403" i="1"/>
  <c r="D347" i="1"/>
  <c r="D522" i="1"/>
  <c r="D344" i="1"/>
  <c r="D439" i="1"/>
  <c r="D359" i="1"/>
  <c r="D503" i="1"/>
  <c r="D33" i="1"/>
  <c r="D383" i="1"/>
  <c r="D369" i="1"/>
  <c r="D389" i="1"/>
  <c r="D393" i="1"/>
  <c r="D289" i="1"/>
  <c r="D477" i="1"/>
  <c r="D400" i="1"/>
  <c r="D296" i="1"/>
  <c r="D365" i="1"/>
  <c r="D462" i="1"/>
  <c r="D366" i="1"/>
  <c r="D394" i="1"/>
  <c r="D556" i="1"/>
  <c r="D546" i="1"/>
  <c r="D396" i="1"/>
  <c r="D391" i="1"/>
  <c r="D397" i="1"/>
  <c r="D364" i="1"/>
  <c r="D417" i="1"/>
  <c r="D31" i="1"/>
  <c r="D323" i="1"/>
  <c r="D330" i="1"/>
  <c r="D351" i="1"/>
  <c r="D342" i="1"/>
  <c r="D392" i="1"/>
  <c r="D390" i="1"/>
  <c r="D304" i="1"/>
  <c r="D509" i="1"/>
  <c r="D493" i="1"/>
  <c r="D426" i="1"/>
  <c r="D306" i="1"/>
  <c r="D548" i="1"/>
  <c r="D460" i="1"/>
  <c r="D492" i="1"/>
  <c r="D453" i="1"/>
  <c r="D363" i="1"/>
  <c r="D448" i="1"/>
  <c r="D374" i="1"/>
  <c r="D29" i="1"/>
  <c r="D440" i="1"/>
  <c r="D431" i="1"/>
  <c r="D377" i="1"/>
  <c r="D541" i="1"/>
  <c r="D355" i="1"/>
  <c r="D362" i="1"/>
  <c r="D480" i="1"/>
  <c r="D368" i="1"/>
  <c r="D485" i="1"/>
  <c r="D307" i="1"/>
  <c r="D412" i="1"/>
  <c r="D501" i="1"/>
  <c r="D419" i="1"/>
  <c r="D334" i="1"/>
  <c r="D530" i="1"/>
  <c r="D527" i="1"/>
  <c r="D528" i="1"/>
  <c r="D518" i="1"/>
  <c r="D472" i="1"/>
  <c r="D496" i="1"/>
  <c r="D371" i="1"/>
  <c r="D490" i="1"/>
  <c r="D479" i="1"/>
  <c r="D513" i="1"/>
  <c r="D464" i="1"/>
  <c r="D437" i="1"/>
  <c r="D465" i="1"/>
  <c r="D436" i="1"/>
  <c r="D519" i="1"/>
  <c r="D526" i="1"/>
  <c r="D510" i="1"/>
  <c r="D380" i="1"/>
  <c r="D382" i="1"/>
  <c r="D373" i="1"/>
  <c r="D415" i="1"/>
  <c r="D418" i="1"/>
  <c r="D423" i="1"/>
  <c r="E280" i="1"/>
  <c r="E432" i="1"/>
  <c r="E433" i="1"/>
  <c r="E333" i="1"/>
  <c r="E353" i="1"/>
  <c r="E491" i="1"/>
  <c r="E340" i="1"/>
  <c r="E357" i="1"/>
  <c r="E298" i="1"/>
  <c r="E378" i="1"/>
  <c r="E470" i="1"/>
  <c r="E313" i="1"/>
  <c r="E314" i="1"/>
  <c r="E593" i="1"/>
  <c r="E405" i="1"/>
  <c r="E523" i="1"/>
  <c r="E352" i="1"/>
  <c r="E324" i="1"/>
  <c r="E331" i="1"/>
  <c r="E288" i="1"/>
  <c r="E424" i="1"/>
  <c r="E341" i="1"/>
  <c r="E425" i="1"/>
  <c r="E329" i="1"/>
  <c r="E487" i="1"/>
  <c r="E571" i="1"/>
  <c r="E403" i="1"/>
  <c r="E347" i="1"/>
  <c r="E522" i="1"/>
  <c r="E344" i="1"/>
  <c r="E439" i="1"/>
  <c r="E359" i="1"/>
  <c r="E503" i="1"/>
  <c r="E33" i="1"/>
  <c r="E383" i="1"/>
  <c r="E369" i="1"/>
  <c r="E389" i="1"/>
  <c r="E393" i="1"/>
  <c r="E289" i="1"/>
  <c r="E477" i="1"/>
  <c r="E400" i="1"/>
  <c r="E296" i="1"/>
  <c r="E365" i="1"/>
  <c r="E462" i="1"/>
  <c r="E366" i="1"/>
  <c r="E394" i="1"/>
  <c r="E556" i="1"/>
  <c r="E546" i="1"/>
  <c r="E396" i="1"/>
  <c r="E391" i="1"/>
  <c r="E397" i="1"/>
  <c r="E364" i="1"/>
  <c r="E417" i="1"/>
  <c r="E31" i="1"/>
  <c r="E323" i="1"/>
  <c r="E330" i="1"/>
  <c r="E351" i="1"/>
  <c r="E342" i="1"/>
  <c r="E392" i="1"/>
  <c r="E390" i="1"/>
  <c r="E304" i="1"/>
  <c r="E509" i="1"/>
  <c r="E493" i="1"/>
  <c r="E426" i="1"/>
  <c r="E306" i="1"/>
  <c r="E548" i="1"/>
  <c r="E460" i="1"/>
  <c r="E387" i="1"/>
  <c r="E492" i="1"/>
  <c r="E453" i="1"/>
  <c r="E363" i="1"/>
  <c r="E448" i="1"/>
  <c r="E374" i="1"/>
  <c r="E29" i="1"/>
  <c r="E440" i="1"/>
  <c r="E431" i="1"/>
  <c r="E377" i="1"/>
  <c r="E541" i="1"/>
  <c r="E355" i="1"/>
  <c r="E362" i="1"/>
  <c r="E480" i="1"/>
  <c r="E368" i="1"/>
  <c r="E485" i="1"/>
  <c r="E307" i="1"/>
  <c r="E412" i="1"/>
  <c r="E501" i="1"/>
  <c r="E419" i="1"/>
  <c r="E334" i="1"/>
  <c r="E530" i="1"/>
  <c r="E527" i="1"/>
  <c r="E528" i="1"/>
  <c r="E518" i="1"/>
  <c r="E472" i="1"/>
  <c r="E496" i="1"/>
  <c r="E371" i="1"/>
  <c r="E490" i="1"/>
  <c r="E479" i="1"/>
  <c r="E513" i="1"/>
  <c r="E464" i="1"/>
  <c r="E437" i="1"/>
  <c r="E465" i="1"/>
  <c r="E436" i="1"/>
  <c r="E519" i="1"/>
  <c r="E526" i="1"/>
  <c r="E510" i="1"/>
  <c r="E380" i="1"/>
  <c r="E382" i="1"/>
  <c r="E373" i="1"/>
  <c r="E415" i="1"/>
  <c r="E418" i="1"/>
  <c r="E423" i="1"/>
  <c r="G280" i="1"/>
  <c r="I280" i="1" s="1"/>
  <c r="G432" i="1"/>
  <c r="G433" i="1"/>
  <c r="G333" i="1"/>
  <c r="G353" i="1"/>
  <c r="G491" i="1"/>
  <c r="G340" i="1"/>
  <c r="G357" i="1"/>
  <c r="G298" i="1"/>
  <c r="G378" i="1"/>
  <c r="G470" i="1"/>
  <c r="G313" i="1"/>
  <c r="G314" i="1"/>
  <c r="G593" i="1"/>
  <c r="G405" i="1"/>
  <c r="G523" i="1"/>
  <c r="G352" i="1"/>
  <c r="G324" i="1"/>
  <c r="G331" i="1"/>
  <c r="G288" i="1"/>
  <c r="G424" i="1"/>
  <c r="G341" i="1"/>
  <c r="G425" i="1"/>
  <c r="G329" i="1"/>
  <c r="G487" i="1"/>
  <c r="G571" i="1"/>
  <c r="G403" i="1"/>
  <c r="G347" i="1"/>
  <c r="G522" i="1"/>
  <c r="G344" i="1"/>
  <c r="G439" i="1"/>
  <c r="G359" i="1"/>
  <c r="G503" i="1"/>
  <c r="I503" i="1" s="1"/>
  <c r="G33" i="1"/>
  <c r="G383" i="1"/>
  <c r="G369" i="1"/>
  <c r="G389" i="1"/>
  <c r="G393" i="1"/>
  <c r="G289" i="1"/>
  <c r="G477" i="1"/>
  <c r="G400" i="1"/>
  <c r="G296" i="1"/>
  <c r="I296" i="1" s="1"/>
  <c r="G365" i="1"/>
  <c r="G462" i="1"/>
  <c r="G366" i="1"/>
  <c r="G394" i="1"/>
  <c r="G556" i="1"/>
  <c r="G546" i="1"/>
  <c r="G396" i="1"/>
  <c r="G391" i="1"/>
  <c r="G397" i="1"/>
  <c r="G364" i="1"/>
  <c r="I364" i="1" s="1"/>
  <c r="G417" i="1"/>
  <c r="G31" i="1"/>
  <c r="G323" i="1"/>
  <c r="G330" i="1"/>
  <c r="G351" i="1"/>
  <c r="G342" i="1"/>
  <c r="I342" i="1" s="1"/>
  <c r="G392" i="1"/>
  <c r="G390" i="1"/>
  <c r="G304" i="1"/>
  <c r="G509" i="1"/>
  <c r="G493" i="1"/>
  <c r="G426" i="1"/>
  <c r="G306" i="1"/>
  <c r="G548" i="1"/>
  <c r="G460" i="1"/>
  <c r="G387" i="1"/>
  <c r="G492" i="1"/>
  <c r="G453" i="1"/>
  <c r="G363" i="1"/>
  <c r="G448" i="1"/>
  <c r="G374" i="1"/>
  <c r="G29" i="1"/>
  <c r="I29" i="1" s="1"/>
  <c r="G440" i="1"/>
  <c r="G431" i="1"/>
  <c r="G377" i="1"/>
  <c r="I377" i="1" s="1"/>
  <c r="G541" i="1"/>
  <c r="G355" i="1"/>
  <c r="G362" i="1"/>
  <c r="G480" i="1"/>
  <c r="G368" i="1"/>
  <c r="G485" i="1"/>
  <c r="G412" i="1"/>
  <c r="G501" i="1"/>
  <c r="G419" i="1"/>
  <c r="G334" i="1"/>
  <c r="G530" i="1"/>
  <c r="G527" i="1"/>
  <c r="G528" i="1"/>
  <c r="G518" i="1"/>
  <c r="G472" i="1"/>
  <c r="G496" i="1"/>
  <c r="G371" i="1"/>
  <c r="G490" i="1"/>
  <c r="I490" i="1" s="1"/>
  <c r="G479" i="1"/>
  <c r="I479" i="1" s="1"/>
  <c r="G513" i="1"/>
  <c r="G464" i="1"/>
  <c r="I464" i="1" s="1"/>
  <c r="G437" i="1"/>
  <c r="I437" i="1" s="1"/>
  <c r="G465" i="1"/>
  <c r="I465" i="1" s="1"/>
  <c r="G436" i="1"/>
  <c r="I436" i="1" s="1"/>
  <c r="G519" i="1"/>
  <c r="G526" i="1"/>
  <c r="G510" i="1"/>
  <c r="G380" i="1"/>
  <c r="I380" i="1" s="1"/>
  <c r="G382" i="1"/>
  <c r="I382" i="1" s="1"/>
  <c r="G373" i="1"/>
  <c r="I373" i="1" s="1"/>
  <c r="G415" i="1"/>
  <c r="I415" i="1" s="1"/>
  <c r="G418" i="1"/>
  <c r="I418" i="1" s="1"/>
  <c r="G423" i="1"/>
  <c r="J280" i="1"/>
  <c r="J432" i="1"/>
  <c r="J433" i="1"/>
  <c r="J333" i="1"/>
  <c r="J491" i="1"/>
  <c r="J340" i="1"/>
  <c r="J357" i="1"/>
  <c r="J298" i="1"/>
  <c r="J378" i="1"/>
  <c r="J470" i="1"/>
  <c r="J313" i="1"/>
  <c r="J314" i="1"/>
  <c r="J593" i="1"/>
  <c r="J405" i="1"/>
  <c r="J523" i="1"/>
  <c r="J352" i="1"/>
  <c r="J324" i="1"/>
  <c r="J331" i="1"/>
  <c r="J288" i="1"/>
  <c r="J424" i="1"/>
  <c r="J341" i="1"/>
  <c r="J425" i="1"/>
  <c r="J329" i="1"/>
  <c r="J487" i="1"/>
  <c r="J571" i="1"/>
  <c r="J403" i="1"/>
  <c r="J347" i="1"/>
  <c r="J522" i="1"/>
  <c r="J344" i="1"/>
  <c r="J439" i="1"/>
  <c r="J359" i="1"/>
  <c r="J503" i="1"/>
  <c r="J33" i="1"/>
  <c r="J383" i="1"/>
  <c r="J369" i="1"/>
  <c r="J389" i="1"/>
  <c r="J393" i="1"/>
  <c r="J289" i="1"/>
  <c r="J477" i="1"/>
  <c r="J400" i="1"/>
  <c r="J296" i="1"/>
  <c r="J365" i="1"/>
  <c r="J462" i="1"/>
  <c r="J366" i="1"/>
  <c r="J394" i="1"/>
  <c r="J556" i="1"/>
  <c r="J546" i="1"/>
  <c r="J396" i="1"/>
  <c r="J391" i="1"/>
  <c r="J397" i="1"/>
  <c r="J364" i="1"/>
  <c r="J417" i="1"/>
  <c r="J31" i="1"/>
  <c r="J323" i="1"/>
  <c r="J330" i="1"/>
  <c r="J351" i="1"/>
  <c r="J342" i="1"/>
  <c r="J392" i="1"/>
  <c r="J390" i="1"/>
  <c r="J304" i="1"/>
  <c r="J509" i="1"/>
  <c r="J493" i="1"/>
  <c r="J426" i="1"/>
  <c r="J306" i="1"/>
  <c r="J548" i="1"/>
  <c r="J460" i="1"/>
  <c r="J387" i="1"/>
  <c r="J492" i="1"/>
  <c r="J453" i="1"/>
  <c r="J363" i="1"/>
  <c r="J448" i="1"/>
  <c r="J374" i="1"/>
  <c r="J29" i="1"/>
  <c r="J440" i="1"/>
  <c r="J431" i="1"/>
  <c r="J377" i="1"/>
  <c r="J541" i="1"/>
  <c r="J355" i="1"/>
  <c r="J362" i="1"/>
  <c r="J480" i="1"/>
  <c r="J368" i="1"/>
  <c r="J485" i="1"/>
  <c r="J307" i="1"/>
  <c r="J412" i="1"/>
  <c r="J501" i="1"/>
  <c r="J419" i="1"/>
  <c r="J334" i="1"/>
  <c r="J530" i="1"/>
  <c r="J527" i="1"/>
  <c r="J528" i="1"/>
  <c r="J518" i="1"/>
  <c r="J472" i="1"/>
  <c r="J496" i="1"/>
  <c r="J371" i="1"/>
  <c r="J490" i="1"/>
  <c r="J479" i="1"/>
  <c r="J513" i="1"/>
  <c r="J464" i="1"/>
  <c r="J437" i="1"/>
  <c r="J465" i="1"/>
  <c r="J436" i="1"/>
  <c r="J519" i="1"/>
  <c r="J526" i="1"/>
  <c r="J510" i="1"/>
  <c r="J380" i="1"/>
  <c r="J382" i="1"/>
  <c r="J373" i="1"/>
  <c r="J415" i="1"/>
  <c r="J423" i="1"/>
  <c r="K280" i="1"/>
  <c r="K432" i="1"/>
  <c r="K433" i="1"/>
  <c r="K333" i="1"/>
  <c r="K353" i="1"/>
  <c r="K491" i="1"/>
  <c r="K357" i="1"/>
  <c r="K298" i="1"/>
  <c r="K378" i="1"/>
  <c r="K470" i="1"/>
  <c r="K313" i="1"/>
  <c r="K314" i="1"/>
  <c r="K593" i="1"/>
  <c r="K405" i="1"/>
  <c r="K523" i="1"/>
  <c r="K352" i="1"/>
  <c r="K324" i="1"/>
  <c r="K331" i="1"/>
  <c r="K288" i="1"/>
  <c r="K424" i="1"/>
  <c r="K341" i="1"/>
  <c r="K425" i="1"/>
  <c r="K329" i="1"/>
  <c r="K487" i="1"/>
  <c r="K571" i="1"/>
  <c r="K403" i="1"/>
  <c r="K347" i="1"/>
  <c r="K522" i="1"/>
  <c r="K344" i="1"/>
  <c r="K439" i="1"/>
  <c r="K359" i="1"/>
  <c r="K503" i="1"/>
  <c r="K33" i="1"/>
  <c r="K383" i="1"/>
  <c r="K369" i="1"/>
  <c r="K389" i="1"/>
  <c r="K393" i="1"/>
  <c r="K289" i="1"/>
  <c r="K477" i="1"/>
  <c r="K400" i="1"/>
  <c r="K296" i="1"/>
  <c r="K365" i="1"/>
  <c r="K462" i="1"/>
  <c r="K366" i="1"/>
  <c r="K394" i="1"/>
  <c r="K556" i="1"/>
  <c r="K546" i="1"/>
  <c r="K396" i="1"/>
  <c r="K391" i="1"/>
  <c r="K397" i="1"/>
  <c r="K364" i="1"/>
  <c r="K417" i="1"/>
  <c r="K31" i="1"/>
  <c r="K323" i="1"/>
  <c r="K330" i="1"/>
  <c r="K351" i="1"/>
  <c r="K342" i="1"/>
  <c r="K392" i="1"/>
  <c r="K390" i="1"/>
  <c r="K304" i="1"/>
  <c r="K509" i="1"/>
  <c r="K493" i="1"/>
  <c r="K426" i="1"/>
  <c r="K306" i="1"/>
  <c r="K548" i="1"/>
  <c r="K460" i="1"/>
  <c r="K387" i="1"/>
  <c r="K492" i="1"/>
  <c r="K453" i="1"/>
  <c r="K363" i="1"/>
  <c r="K448" i="1"/>
  <c r="K374" i="1"/>
  <c r="K29" i="1"/>
  <c r="K440" i="1"/>
  <c r="K431" i="1"/>
  <c r="K377" i="1"/>
  <c r="K541" i="1"/>
  <c r="K355" i="1"/>
  <c r="K362" i="1"/>
  <c r="K480" i="1"/>
  <c r="K368" i="1"/>
  <c r="K485" i="1"/>
  <c r="K307" i="1"/>
  <c r="K412" i="1"/>
  <c r="K501" i="1"/>
  <c r="K419" i="1"/>
  <c r="K334" i="1"/>
  <c r="K530" i="1"/>
  <c r="K527" i="1"/>
  <c r="K528" i="1"/>
  <c r="K518" i="1"/>
  <c r="K472" i="1"/>
  <c r="K496" i="1"/>
  <c r="K371" i="1"/>
  <c r="K490" i="1"/>
  <c r="K479" i="1"/>
  <c r="K513" i="1"/>
  <c r="K464" i="1"/>
  <c r="K437" i="1"/>
  <c r="K465" i="1"/>
  <c r="K436" i="1"/>
  <c r="K519" i="1"/>
  <c r="K526" i="1"/>
  <c r="K510" i="1"/>
  <c r="K380" i="1"/>
  <c r="K382" i="1"/>
  <c r="K373" i="1"/>
  <c r="K415" i="1"/>
  <c r="K418" i="1"/>
  <c r="K423" i="1"/>
  <c r="L280" i="1"/>
  <c r="L432" i="1"/>
  <c r="L433" i="1"/>
  <c r="L333" i="1"/>
  <c r="L353" i="1"/>
  <c r="L491" i="1"/>
  <c r="L340" i="1"/>
  <c r="L357" i="1"/>
  <c r="L298" i="1"/>
  <c r="L378" i="1"/>
  <c r="L470" i="1"/>
  <c r="L313" i="1"/>
  <c r="L314" i="1"/>
  <c r="L593" i="1"/>
  <c r="L405" i="1"/>
  <c r="L523" i="1"/>
  <c r="L352" i="1"/>
  <c r="L324" i="1"/>
  <c r="L331" i="1"/>
  <c r="L288" i="1"/>
  <c r="L424" i="1"/>
  <c r="L341" i="1"/>
  <c r="L425" i="1"/>
  <c r="L329" i="1"/>
  <c r="L487" i="1"/>
  <c r="L571" i="1"/>
  <c r="L403" i="1"/>
  <c r="L347" i="1"/>
  <c r="L522" i="1"/>
  <c r="L344" i="1"/>
  <c r="L439" i="1"/>
  <c r="L359" i="1"/>
  <c r="L503" i="1"/>
  <c r="L33" i="1"/>
  <c r="L383" i="1"/>
  <c r="L369" i="1"/>
  <c r="L389" i="1"/>
  <c r="L393" i="1"/>
  <c r="L289" i="1"/>
  <c r="L477" i="1"/>
  <c r="L400" i="1"/>
  <c r="L296" i="1"/>
  <c r="L365" i="1"/>
  <c r="L462" i="1"/>
  <c r="L366" i="1"/>
  <c r="L394" i="1"/>
  <c r="L556" i="1"/>
  <c r="L546" i="1"/>
  <c r="L396" i="1"/>
  <c r="L391" i="1"/>
  <c r="L397" i="1"/>
  <c r="L364" i="1"/>
  <c r="L417" i="1"/>
  <c r="L31" i="1"/>
  <c r="L323" i="1"/>
  <c r="L330" i="1"/>
  <c r="L351" i="1"/>
  <c r="L342" i="1"/>
  <c r="L392" i="1"/>
  <c r="L390" i="1"/>
  <c r="L304" i="1"/>
  <c r="L509" i="1"/>
  <c r="L493" i="1"/>
  <c r="L426" i="1"/>
  <c r="L306" i="1"/>
  <c r="L548" i="1"/>
  <c r="L460" i="1"/>
  <c r="L387" i="1"/>
  <c r="L492" i="1"/>
  <c r="L453" i="1"/>
  <c r="L363" i="1"/>
  <c r="L448" i="1"/>
  <c r="L374" i="1"/>
  <c r="L29" i="1"/>
  <c r="L440" i="1"/>
  <c r="L431" i="1"/>
  <c r="L377" i="1"/>
  <c r="L541" i="1"/>
  <c r="L355" i="1"/>
  <c r="L362" i="1"/>
  <c r="L480" i="1"/>
  <c r="L368" i="1"/>
  <c r="L485" i="1"/>
  <c r="L307" i="1"/>
  <c r="L412" i="1"/>
  <c r="L501" i="1"/>
  <c r="L419" i="1"/>
  <c r="L334" i="1"/>
  <c r="L530" i="1"/>
  <c r="L527" i="1"/>
  <c r="L528" i="1"/>
  <c r="L518" i="1"/>
  <c r="L472" i="1"/>
  <c r="L496" i="1"/>
  <c r="L371" i="1"/>
  <c r="L490" i="1"/>
  <c r="L479" i="1"/>
  <c r="L513" i="1"/>
  <c r="L464" i="1"/>
  <c r="L437" i="1"/>
  <c r="L465" i="1"/>
  <c r="L436" i="1"/>
  <c r="L519" i="1"/>
  <c r="L526" i="1"/>
  <c r="L510" i="1"/>
  <c r="L380" i="1"/>
  <c r="L382" i="1"/>
  <c r="L373" i="1"/>
  <c r="L415" i="1"/>
  <c r="L418" i="1"/>
  <c r="L423" i="1"/>
  <c r="A338" i="1"/>
  <c r="B338" i="1"/>
  <c r="C338" i="1"/>
  <c r="D338" i="1"/>
  <c r="E338" i="1"/>
  <c r="G338" i="1"/>
  <c r="J338" i="1"/>
  <c r="K338" i="1"/>
  <c r="L338" i="1"/>
  <c r="A356" i="1"/>
  <c r="B356" i="1"/>
  <c r="C356" i="1"/>
  <c r="D356" i="1"/>
  <c r="E356" i="1"/>
  <c r="G356" i="1"/>
  <c r="J356" i="1"/>
  <c r="L356" i="1"/>
  <c r="A282" i="1"/>
  <c r="B282" i="1"/>
  <c r="C282" i="1"/>
  <c r="D282" i="1"/>
  <c r="E282" i="1"/>
  <c r="G282" i="1"/>
  <c r="J282" i="1"/>
  <c r="K282" i="1"/>
  <c r="L282" i="1"/>
  <c r="A284" i="1"/>
  <c r="B284" i="1"/>
  <c r="C284" i="1"/>
  <c r="D284" i="1"/>
  <c r="E284" i="1"/>
  <c r="G284" i="1"/>
  <c r="J284" i="1"/>
  <c r="K284" i="1"/>
  <c r="L284" i="1"/>
  <c r="A385" i="1"/>
  <c r="B385" i="1"/>
  <c r="C385" i="1"/>
  <c r="D385" i="1"/>
  <c r="E385" i="1"/>
  <c r="G385" i="1"/>
  <c r="J385" i="1"/>
  <c r="K385" i="1"/>
  <c r="L385" i="1"/>
  <c r="P519" i="1" l="1"/>
  <c r="Q519" i="1" s="1"/>
  <c r="I519" i="1"/>
  <c r="P528" i="1"/>
  <c r="Q528" i="1" s="1"/>
  <c r="I528" i="1"/>
  <c r="P412" i="1"/>
  <c r="Q412" i="1" s="1"/>
  <c r="I412" i="1"/>
  <c r="P541" i="1"/>
  <c r="Q541" i="1" s="1"/>
  <c r="I541" i="1"/>
  <c r="P448" i="1"/>
  <c r="Q448" i="1" s="1"/>
  <c r="I448" i="1"/>
  <c r="P548" i="1"/>
  <c r="Q548" i="1" s="1"/>
  <c r="I548" i="1"/>
  <c r="P390" i="1"/>
  <c r="Q390" i="1" s="1"/>
  <c r="I390" i="1"/>
  <c r="P31" i="1"/>
  <c r="Q31" i="1" s="1"/>
  <c r="I31" i="1"/>
  <c r="P546" i="1"/>
  <c r="Q546" i="1" s="1"/>
  <c r="I546" i="1"/>
  <c r="P369" i="1"/>
  <c r="Q369" i="1" s="1"/>
  <c r="I369" i="1"/>
  <c r="P344" i="1"/>
  <c r="Q344" i="1" s="1"/>
  <c r="I344" i="1"/>
  <c r="P329" i="1"/>
  <c r="Q329" i="1" s="1"/>
  <c r="I329" i="1"/>
  <c r="P324" i="1"/>
  <c r="Q324" i="1" s="1"/>
  <c r="I324" i="1"/>
  <c r="P313" i="1"/>
  <c r="Q313" i="1" s="1"/>
  <c r="I313" i="1"/>
  <c r="P491" i="1"/>
  <c r="Q491" i="1" s="1"/>
  <c r="I491" i="1"/>
  <c r="P356" i="1"/>
  <c r="Q356" i="1" s="1"/>
  <c r="I356" i="1"/>
  <c r="P284" i="1"/>
  <c r="Q284" i="1" s="1"/>
  <c r="I284" i="1"/>
  <c r="P527" i="1"/>
  <c r="Q527" i="1" s="1"/>
  <c r="I527" i="1"/>
  <c r="P485" i="1"/>
  <c r="Q485" i="1" s="1"/>
  <c r="I485" i="1"/>
  <c r="P363" i="1"/>
  <c r="Q363" i="1" s="1"/>
  <c r="I363" i="1"/>
  <c r="P306" i="1"/>
  <c r="Q306" i="1" s="1"/>
  <c r="I306" i="1"/>
  <c r="P392" i="1"/>
  <c r="Q392" i="1" s="1"/>
  <c r="I392" i="1"/>
  <c r="P417" i="1"/>
  <c r="Q417" i="1" s="1"/>
  <c r="I417" i="1"/>
  <c r="P556" i="1"/>
  <c r="Q556" i="1" s="1"/>
  <c r="I556" i="1"/>
  <c r="P400" i="1"/>
  <c r="Q400" i="1" s="1"/>
  <c r="I400" i="1"/>
  <c r="P383" i="1"/>
  <c r="Q383" i="1" s="1"/>
  <c r="I383" i="1"/>
  <c r="P522" i="1"/>
  <c r="Q522" i="1" s="1"/>
  <c r="I522" i="1"/>
  <c r="P425" i="1"/>
  <c r="Q425" i="1" s="1"/>
  <c r="I425" i="1"/>
  <c r="P352" i="1"/>
  <c r="Q352" i="1" s="1"/>
  <c r="I352" i="1"/>
  <c r="P470" i="1"/>
  <c r="Q470" i="1" s="1"/>
  <c r="I470" i="1"/>
  <c r="P353" i="1"/>
  <c r="Q353" i="1" s="1"/>
  <c r="I353" i="1"/>
  <c r="P307" i="1"/>
  <c r="Q307" i="1" s="1"/>
  <c r="I307" i="1"/>
  <c r="P371" i="1"/>
  <c r="Q371" i="1" s="1"/>
  <c r="I371" i="1"/>
  <c r="P530" i="1"/>
  <c r="Q530" i="1" s="1"/>
  <c r="I530" i="1"/>
  <c r="P368" i="1"/>
  <c r="Q368" i="1" s="1"/>
  <c r="I368" i="1"/>
  <c r="P431" i="1"/>
  <c r="Q431" i="1" s="1"/>
  <c r="I431" i="1"/>
  <c r="P453" i="1"/>
  <c r="Q453" i="1" s="1"/>
  <c r="I453" i="1"/>
  <c r="P426" i="1"/>
  <c r="Q426" i="1" s="1"/>
  <c r="I426" i="1"/>
  <c r="P394" i="1"/>
  <c r="Q394" i="1" s="1"/>
  <c r="I394" i="1"/>
  <c r="P477" i="1"/>
  <c r="Q477" i="1" s="1"/>
  <c r="I477" i="1"/>
  <c r="P33" i="1"/>
  <c r="Q33" i="1" s="1"/>
  <c r="I33" i="1"/>
  <c r="P347" i="1"/>
  <c r="Q347" i="1" s="1"/>
  <c r="I347" i="1"/>
  <c r="P341" i="1"/>
  <c r="Q341" i="1" s="1"/>
  <c r="I341" i="1"/>
  <c r="P523" i="1"/>
  <c r="Q523" i="1" s="1"/>
  <c r="I523" i="1"/>
  <c r="P378" i="1"/>
  <c r="Q378" i="1" s="1"/>
  <c r="I378" i="1"/>
  <c r="P333" i="1"/>
  <c r="Q333" i="1" s="1"/>
  <c r="I333" i="1"/>
  <c r="P338" i="1"/>
  <c r="Q338" i="1" s="1"/>
  <c r="I338" i="1"/>
  <c r="P496" i="1"/>
  <c r="Q496" i="1" s="1"/>
  <c r="I496" i="1"/>
  <c r="P334" i="1"/>
  <c r="Q334" i="1" s="1"/>
  <c r="I334" i="1"/>
  <c r="P480" i="1"/>
  <c r="Q480" i="1" s="1"/>
  <c r="I480" i="1"/>
  <c r="P440" i="1"/>
  <c r="Q440" i="1" s="1"/>
  <c r="I440" i="1"/>
  <c r="P492" i="1"/>
  <c r="Q492" i="1" s="1"/>
  <c r="I492" i="1"/>
  <c r="P493" i="1"/>
  <c r="Q493" i="1" s="1"/>
  <c r="I493" i="1"/>
  <c r="P351" i="1"/>
  <c r="Q351" i="1" s="1"/>
  <c r="I351" i="1"/>
  <c r="P397" i="1"/>
  <c r="Q397" i="1" s="1"/>
  <c r="I397" i="1"/>
  <c r="P366" i="1"/>
  <c r="Q366" i="1" s="1"/>
  <c r="I366" i="1"/>
  <c r="P289" i="1"/>
  <c r="Q289" i="1" s="1"/>
  <c r="I289" i="1"/>
  <c r="P403" i="1"/>
  <c r="Q403" i="1" s="1"/>
  <c r="I403" i="1"/>
  <c r="P424" i="1"/>
  <c r="Q424" i="1" s="1"/>
  <c r="I424" i="1"/>
  <c r="P405" i="1"/>
  <c r="Q405" i="1" s="1"/>
  <c r="I405" i="1"/>
  <c r="P298" i="1"/>
  <c r="Q298" i="1" s="1"/>
  <c r="I298" i="1"/>
  <c r="P433" i="1"/>
  <c r="Q433" i="1" s="1"/>
  <c r="I433" i="1"/>
  <c r="P385" i="1"/>
  <c r="Q385" i="1" s="1"/>
  <c r="I385" i="1"/>
  <c r="P282" i="1"/>
  <c r="Q282" i="1" s="1"/>
  <c r="I282" i="1"/>
  <c r="P423" i="1"/>
  <c r="Q423" i="1" s="1"/>
  <c r="I423" i="1"/>
  <c r="P510" i="1"/>
  <c r="Q510" i="1" s="1"/>
  <c r="I510" i="1"/>
  <c r="P472" i="1"/>
  <c r="Q472" i="1" s="1"/>
  <c r="I472" i="1"/>
  <c r="P419" i="1"/>
  <c r="Q419" i="1" s="1"/>
  <c r="I419" i="1"/>
  <c r="P362" i="1"/>
  <c r="Q362" i="1" s="1"/>
  <c r="I362" i="1"/>
  <c r="P387" i="1"/>
  <c r="Q387" i="1" s="1"/>
  <c r="I387" i="1"/>
  <c r="P509" i="1"/>
  <c r="Q509" i="1" s="1"/>
  <c r="I509" i="1"/>
  <c r="P330" i="1"/>
  <c r="Q330" i="1" s="1"/>
  <c r="I330" i="1"/>
  <c r="P391" i="1"/>
  <c r="Q391" i="1" s="1"/>
  <c r="I391" i="1"/>
  <c r="P462" i="1"/>
  <c r="Q462" i="1" s="1"/>
  <c r="I462" i="1"/>
  <c r="P393" i="1"/>
  <c r="Q393" i="1" s="1"/>
  <c r="I393" i="1"/>
  <c r="P359" i="1"/>
  <c r="Q359" i="1" s="1"/>
  <c r="I359" i="1"/>
  <c r="P571" i="1"/>
  <c r="Q571" i="1" s="1"/>
  <c r="I571" i="1"/>
  <c r="P288" i="1"/>
  <c r="Q288" i="1" s="1"/>
  <c r="I288" i="1"/>
  <c r="P593" i="1"/>
  <c r="Q593" i="1" s="1"/>
  <c r="I593" i="1"/>
  <c r="P357" i="1"/>
  <c r="Q357" i="1" s="1"/>
  <c r="I357" i="1"/>
  <c r="P432" i="1"/>
  <c r="Q432" i="1" s="1"/>
  <c r="I432" i="1"/>
  <c r="P526" i="1"/>
  <c r="Q526" i="1" s="1"/>
  <c r="I526" i="1"/>
  <c r="P513" i="1"/>
  <c r="Q513" i="1" s="1"/>
  <c r="I513" i="1"/>
  <c r="P518" i="1"/>
  <c r="Q518" i="1" s="1"/>
  <c r="I518" i="1"/>
  <c r="P501" i="1"/>
  <c r="Q501" i="1" s="1"/>
  <c r="I501" i="1"/>
  <c r="P355" i="1"/>
  <c r="Q355" i="1" s="1"/>
  <c r="I355" i="1"/>
  <c r="P374" i="1"/>
  <c r="Q374" i="1" s="1"/>
  <c r="I374" i="1"/>
  <c r="P460" i="1"/>
  <c r="Q460" i="1" s="1"/>
  <c r="I460" i="1"/>
  <c r="P304" i="1"/>
  <c r="Q304" i="1" s="1"/>
  <c r="I304" i="1"/>
  <c r="P323" i="1"/>
  <c r="Q323" i="1" s="1"/>
  <c r="I323" i="1"/>
  <c r="P396" i="1"/>
  <c r="Q396" i="1" s="1"/>
  <c r="I396" i="1"/>
  <c r="P365" i="1"/>
  <c r="Q365" i="1" s="1"/>
  <c r="I365" i="1"/>
  <c r="P389" i="1"/>
  <c r="Q389" i="1" s="1"/>
  <c r="I389" i="1"/>
  <c r="P439" i="1"/>
  <c r="Q439" i="1" s="1"/>
  <c r="I439" i="1"/>
  <c r="P487" i="1"/>
  <c r="Q487" i="1" s="1"/>
  <c r="I487" i="1"/>
  <c r="P331" i="1"/>
  <c r="Q331" i="1" s="1"/>
  <c r="I331" i="1"/>
  <c r="P314" i="1"/>
  <c r="Q314" i="1" s="1"/>
  <c r="I314" i="1"/>
  <c r="P340" i="1"/>
  <c r="Q340" i="1" s="1"/>
  <c r="I340" i="1"/>
  <c r="G57" i="20"/>
  <c r="I57" i="20" s="1"/>
  <c r="G35" i="20"/>
  <c r="I35" i="20" s="1"/>
  <c r="G13" i="20"/>
  <c r="I13" i="20" s="1"/>
  <c r="G40" i="20"/>
  <c r="I40" i="20" s="1"/>
  <c r="G18" i="20"/>
  <c r="I18" i="20" s="1"/>
  <c r="G62" i="20"/>
  <c r="I62" i="20" s="1"/>
  <c r="G45" i="20"/>
  <c r="I45" i="20" s="1"/>
  <c r="G23" i="20"/>
  <c r="I23" i="20" s="1"/>
  <c r="G67" i="20"/>
  <c r="I67" i="20" s="1"/>
  <c r="G5" i="20"/>
  <c r="I5" i="20" s="1"/>
  <c r="G27" i="20"/>
  <c r="I27" i="20" s="1"/>
  <c r="G49" i="20"/>
  <c r="I49" i="20" s="1"/>
  <c r="F42" i="20"/>
  <c r="F64" i="20"/>
  <c r="F20" i="20"/>
  <c r="F68" i="20"/>
  <c r="F24" i="20"/>
  <c r="F46" i="20"/>
  <c r="B37" i="20"/>
  <c r="B15" i="20"/>
  <c r="B59" i="20"/>
  <c r="P465" i="1"/>
  <c r="Q465" i="1" s="1"/>
  <c r="B43" i="20"/>
  <c r="B21" i="20"/>
  <c r="B65" i="20"/>
  <c r="P342" i="1"/>
  <c r="Q342" i="1" s="1"/>
  <c r="B48" i="20"/>
  <c r="B26" i="20"/>
  <c r="B4" i="20"/>
  <c r="P364" i="1"/>
  <c r="Q364" i="1" s="1"/>
  <c r="B31" i="20"/>
  <c r="B9" i="20"/>
  <c r="B53" i="20"/>
  <c r="E60" i="20"/>
  <c r="E16" i="20"/>
  <c r="E38" i="20"/>
  <c r="E66" i="20"/>
  <c r="E22" i="20"/>
  <c r="E44" i="20"/>
  <c r="A13" i="20"/>
  <c r="A57" i="20"/>
  <c r="A35" i="20"/>
  <c r="A18" i="20"/>
  <c r="A62" i="20"/>
  <c r="A40" i="20"/>
  <c r="A67" i="20"/>
  <c r="A45" i="20"/>
  <c r="A23" i="20"/>
  <c r="A49" i="20"/>
  <c r="A27" i="20"/>
  <c r="A5" i="20"/>
  <c r="G59" i="20"/>
  <c r="I59" i="20" s="1"/>
  <c r="G37" i="20"/>
  <c r="I37" i="20" s="1"/>
  <c r="G15" i="20"/>
  <c r="I15" i="20" s="1"/>
  <c r="G65" i="20"/>
  <c r="I65" i="20" s="1"/>
  <c r="G43" i="20"/>
  <c r="I43" i="20" s="1"/>
  <c r="G21" i="20"/>
  <c r="I21" i="20" s="1"/>
  <c r="G34" i="20"/>
  <c r="I34" i="20" s="1"/>
  <c r="G12" i="20"/>
  <c r="I12" i="20" s="1"/>
  <c r="G56" i="20"/>
  <c r="I56" i="20" s="1"/>
  <c r="F61" i="20"/>
  <c r="F17" i="20"/>
  <c r="F39" i="20"/>
  <c r="F3" i="20"/>
  <c r="F25" i="20"/>
  <c r="F47" i="20"/>
  <c r="P380" i="1"/>
  <c r="Q380" i="1" s="1"/>
  <c r="B36" i="20"/>
  <c r="B14" i="20"/>
  <c r="B58" i="20"/>
  <c r="P437" i="1"/>
  <c r="Q437" i="1" s="1"/>
  <c r="B19" i="20"/>
  <c r="B63" i="20"/>
  <c r="B41" i="20"/>
  <c r="P503" i="1"/>
  <c r="Q503" i="1" s="1"/>
  <c r="B24" i="20"/>
  <c r="B68" i="20"/>
  <c r="B46" i="20"/>
  <c r="E35" i="20"/>
  <c r="E57" i="20"/>
  <c r="E13" i="20"/>
  <c r="E40" i="20"/>
  <c r="E62" i="20"/>
  <c r="E18" i="20"/>
  <c r="E67" i="20"/>
  <c r="E23" i="20"/>
  <c r="E45" i="20"/>
  <c r="E49" i="20"/>
  <c r="E5" i="20"/>
  <c r="E27" i="20"/>
  <c r="A37" i="20"/>
  <c r="A15" i="20"/>
  <c r="A59" i="20"/>
  <c r="A43" i="20"/>
  <c r="A21" i="20"/>
  <c r="A65" i="20"/>
  <c r="A12" i="20"/>
  <c r="A56" i="20"/>
  <c r="A34" i="20"/>
  <c r="C28" i="20"/>
  <c r="C6" i="20"/>
  <c r="C50" i="20"/>
  <c r="G58" i="20"/>
  <c r="I58" i="20" s="1"/>
  <c r="G36" i="20"/>
  <c r="I36" i="20" s="1"/>
  <c r="G14" i="20"/>
  <c r="I14" i="20" s="1"/>
  <c r="G63" i="20"/>
  <c r="I63" i="20" s="1"/>
  <c r="G41" i="20"/>
  <c r="I41" i="20" s="1"/>
  <c r="G19" i="20"/>
  <c r="I19" i="20" s="1"/>
  <c r="G26" i="20"/>
  <c r="I26" i="20" s="1"/>
  <c r="G4" i="20"/>
  <c r="I4" i="20" s="1"/>
  <c r="G48" i="20"/>
  <c r="I48" i="20" s="1"/>
  <c r="G53" i="20"/>
  <c r="I53" i="20" s="1"/>
  <c r="G31" i="20"/>
  <c r="I31" i="20" s="1"/>
  <c r="G9" i="20"/>
  <c r="I9" i="20" s="1"/>
  <c r="F16" i="20"/>
  <c r="F38" i="20"/>
  <c r="F60" i="20"/>
  <c r="F22" i="20"/>
  <c r="F44" i="20"/>
  <c r="F66" i="20"/>
  <c r="P464" i="1"/>
  <c r="Q464" i="1" s="1"/>
  <c r="B42" i="20"/>
  <c r="B20" i="20"/>
  <c r="B64" i="20"/>
  <c r="P29" i="1"/>
  <c r="Q29" i="1" s="1"/>
  <c r="B25" i="20"/>
  <c r="B3" i="20"/>
  <c r="B47" i="20"/>
  <c r="E59" i="20"/>
  <c r="E15" i="20"/>
  <c r="E37" i="20"/>
  <c r="E65" i="20"/>
  <c r="E21" i="20"/>
  <c r="E43" i="20"/>
  <c r="E34" i="20"/>
  <c r="E56" i="20"/>
  <c r="E12" i="20"/>
  <c r="A36" i="20"/>
  <c r="A14" i="20"/>
  <c r="A58" i="20"/>
  <c r="A19" i="20"/>
  <c r="A63" i="20"/>
  <c r="A41" i="20"/>
  <c r="A26" i="20"/>
  <c r="A4" i="20"/>
  <c r="A48" i="20"/>
  <c r="A31" i="20"/>
  <c r="A9" i="20"/>
  <c r="A53" i="20"/>
  <c r="G64" i="20"/>
  <c r="I64" i="20" s="1"/>
  <c r="G42" i="20"/>
  <c r="I42" i="20" s="1"/>
  <c r="G20" i="20"/>
  <c r="I20" i="20" s="1"/>
  <c r="G46" i="20"/>
  <c r="I46" i="20" s="1"/>
  <c r="G24" i="20"/>
  <c r="I24" i="20" s="1"/>
  <c r="G68" i="20"/>
  <c r="I68" i="20" s="1"/>
  <c r="F57" i="20"/>
  <c r="F13" i="20"/>
  <c r="F35" i="20"/>
  <c r="F62" i="20"/>
  <c r="F18" i="20"/>
  <c r="F40" i="20"/>
  <c r="F67" i="20"/>
  <c r="F23" i="20"/>
  <c r="F45" i="20"/>
  <c r="F49" i="20"/>
  <c r="F5" i="20"/>
  <c r="F27" i="20"/>
  <c r="B61" i="20"/>
  <c r="B39" i="20"/>
  <c r="B17" i="20"/>
  <c r="E14" i="20"/>
  <c r="E36" i="20"/>
  <c r="E58" i="20"/>
  <c r="E41" i="20"/>
  <c r="E63" i="20"/>
  <c r="E19" i="20"/>
  <c r="E48" i="20"/>
  <c r="E26" i="20"/>
  <c r="E4" i="20"/>
  <c r="E53" i="20"/>
  <c r="E9" i="20"/>
  <c r="E31" i="20"/>
  <c r="A42" i="20"/>
  <c r="A20" i="20"/>
  <c r="A64" i="20"/>
  <c r="A24" i="20"/>
  <c r="A68" i="20"/>
  <c r="A46" i="20"/>
  <c r="F15" i="20"/>
  <c r="F37" i="20"/>
  <c r="F59" i="20"/>
  <c r="F21" i="20"/>
  <c r="F43" i="20"/>
  <c r="F65" i="20"/>
  <c r="F56" i="20"/>
  <c r="F12" i="20"/>
  <c r="F34" i="20"/>
  <c r="P415" i="1"/>
  <c r="Q415" i="1" s="1"/>
  <c r="B60" i="20"/>
  <c r="B38" i="20"/>
  <c r="B16" i="20"/>
  <c r="P479" i="1"/>
  <c r="Q479" i="1" s="1"/>
  <c r="B66" i="20"/>
  <c r="B44" i="20"/>
  <c r="B22" i="20"/>
  <c r="P296" i="1"/>
  <c r="Q296" i="1" s="1"/>
  <c r="B49" i="20"/>
  <c r="B27" i="20"/>
  <c r="B5" i="20"/>
  <c r="E20" i="20"/>
  <c r="E42" i="20"/>
  <c r="E64" i="20"/>
  <c r="E46" i="20"/>
  <c r="E68" i="20"/>
  <c r="E24" i="20"/>
  <c r="A61" i="20"/>
  <c r="A39" i="20"/>
  <c r="A17" i="20"/>
  <c r="A25" i="20"/>
  <c r="A3" i="20"/>
  <c r="A47" i="20"/>
  <c r="C52" i="20"/>
  <c r="C8" i="20"/>
  <c r="C30" i="20"/>
  <c r="G39" i="20"/>
  <c r="I39" i="20" s="1"/>
  <c r="G17" i="20"/>
  <c r="I17" i="20" s="1"/>
  <c r="G61" i="20"/>
  <c r="I61" i="20" s="1"/>
  <c r="G47" i="20"/>
  <c r="I47" i="20" s="1"/>
  <c r="G25" i="20"/>
  <c r="I25" i="20" s="1"/>
  <c r="G3" i="20"/>
  <c r="I3" i="20" s="1"/>
  <c r="G38" i="20"/>
  <c r="I38" i="20" s="1"/>
  <c r="G16" i="20"/>
  <c r="I16" i="20" s="1"/>
  <c r="G60" i="20"/>
  <c r="I60" i="20" s="1"/>
  <c r="G44" i="20"/>
  <c r="I44" i="20" s="1"/>
  <c r="G22" i="20"/>
  <c r="I22" i="20" s="1"/>
  <c r="G66" i="20"/>
  <c r="I66" i="20" s="1"/>
  <c r="F36" i="20"/>
  <c r="F58" i="20"/>
  <c r="F14" i="20"/>
  <c r="F63" i="20"/>
  <c r="F19" i="20"/>
  <c r="F41" i="20"/>
  <c r="F4" i="20"/>
  <c r="F26" i="20"/>
  <c r="F48" i="20"/>
  <c r="F9" i="20"/>
  <c r="F31" i="20"/>
  <c r="F53" i="20"/>
  <c r="B13" i="20"/>
  <c r="B57" i="20"/>
  <c r="B35" i="20"/>
  <c r="P436" i="1"/>
  <c r="Q436" i="1" s="1"/>
  <c r="B18" i="20"/>
  <c r="B62" i="20"/>
  <c r="B40" i="20"/>
  <c r="P490" i="1"/>
  <c r="Q490" i="1" s="1"/>
  <c r="B67" i="20"/>
  <c r="B45" i="20"/>
  <c r="B23" i="20"/>
  <c r="P377" i="1"/>
  <c r="Q377" i="1" s="1"/>
  <c r="B12" i="20"/>
  <c r="B56" i="20"/>
  <c r="B34" i="20"/>
  <c r="E61" i="20"/>
  <c r="E17" i="20"/>
  <c r="E39" i="20"/>
  <c r="E47" i="20"/>
  <c r="E3" i="20"/>
  <c r="E25" i="20"/>
  <c r="A38" i="20"/>
  <c r="A16" i="20"/>
  <c r="A60" i="20"/>
  <c r="A44" i="20"/>
  <c r="A22" i="20"/>
  <c r="A66" i="20"/>
  <c r="C51" i="20"/>
  <c r="C29" i="20"/>
  <c r="C7" i="20"/>
  <c r="C33" i="20"/>
  <c r="C55" i="20"/>
  <c r="C11" i="20"/>
  <c r="C32" i="20"/>
  <c r="C54" i="20"/>
  <c r="C10" i="20"/>
  <c r="P373" i="1"/>
  <c r="Q373" i="1" s="1"/>
  <c r="P382" i="1"/>
  <c r="Q382" i="1" s="1"/>
  <c r="P418" i="1"/>
  <c r="Q418" i="1" s="1"/>
  <c r="P280" i="1"/>
  <c r="Q280" i="1" s="1"/>
  <c r="A263" i="1"/>
  <c r="A264" i="1"/>
  <c r="A265" i="1"/>
  <c r="A266" i="1"/>
  <c r="A267" i="1"/>
  <c r="A268" i="1"/>
  <c r="A269" i="1"/>
  <c r="A270" i="1"/>
  <c r="A271" i="1"/>
  <c r="A272" i="1"/>
  <c r="A273" i="1"/>
  <c r="A274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K310" i="1"/>
  <c r="A259" i="1"/>
  <c r="A360" i="1"/>
  <c r="A322" i="1"/>
  <c r="B259" i="1"/>
  <c r="B360" i="1"/>
  <c r="B322" i="1"/>
  <c r="C259" i="1"/>
  <c r="C360" i="1"/>
  <c r="C322" i="1"/>
  <c r="D259" i="1"/>
  <c r="D360" i="1"/>
  <c r="D322" i="1"/>
  <c r="E259" i="1"/>
  <c r="E360" i="1"/>
  <c r="E322" i="1"/>
  <c r="G360" i="1"/>
  <c r="G322" i="1"/>
  <c r="J259" i="1"/>
  <c r="J360" i="1"/>
  <c r="J322" i="1"/>
  <c r="K259" i="1"/>
  <c r="K360" i="1"/>
  <c r="K322" i="1"/>
  <c r="L259" i="1"/>
  <c r="L360" i="1"/>
  <c r="L322" i="1"/>
  <c r="P270" i="1" l="1"/>
  <c r="Q270" i="1" s="1"/>
  <c r="I270" i="1"/>
  <c r="P264" i="1"/>
  <c r="Q264" i="1" s="1"/>
  <c r="I264" i="1"/>
  <c r="P269" i="1"/>
  <c r="Q269" i="1" s="1"/>
  <c r="I269" i="1"/>
  <c r="P263" i="1"/>
  <c r="Q263" i="1" s="1"/>
  <c r="I263" i="1"/>
  <c r="P274" i="1"/>
  <c r="Q274" i="1" s="1"/>
  <c r="I274" i="1"/>
  <c r="P268" i="1"/>
  <c r="Q268" i="1" s="1"/>
  <c r="I268" i="1"/>
  <c r="P273" i="1"/>
  <c r="Q273" i="1" s="1"/>
  <c r="I273" i="1"/>
  <c r="P267" i="1"/>
  <c r="Q267" i="1" s="1"/>
  <c r="I267" i="1"/>
  <c r="P322" i="1"/>
  <c r="Q322" i="1" s="1"/>
  <c r="I322" i="1"/>
  <c r="P360" i="1"/>
  <c r="Q360" i="1" s="1"/>
  <c r="I360" i="1"/>
  <c r="P272" i="1"/>
  <c r="Q272" i="1" s="1"/>
  <c r="I272" i="1"/>
  <c r="P266" i="1"/>
  <c r="Q266" i="1" s="1"/>
  <c r="I266" i="1"/>
  <c r="P271" i="1"/>
  <c r="Q271" i="1" s="1"/>
  <c r="I271" i="1"/>
  <c r="P265" i="1"/>
  <c r="Q265" i="1" s="1"/>
  <c r="I265" i="1"/>
  <c r="C40" i="20"/>
  <c r="C62" i="20"/>
  <c r="C18" i="20"/>
  <c r="C64" i="20"/>
  <c r="C20" i="20"/>
  <c r="C42" i="20"/>
  <c r="C38" i="20"/>
  <c r="C60" i="20"/>
  <c r="C16" i="20"/>
  <c r="C58" i="20"/>
  <c r="C14" i="20"/>
  <c r="C36" i="20"/>
  <c r="C26" i="20"/>
  <c r="C48" i="20"/>
  <c r="C4" i="20"/>
  <c r="C57" i="20"/>
  <c r="C13" i="20"/>
  <c r="C35" i="20"/>
  <c r="C45" i="20"/>
  <c r="C67" i="20"/>
  <c r="C23" i="20"/>
  <c r="C47" i="20"/>
  <c r="C3" i="20"/>
  <c r="C25" i="20"/>
  <c r="C44" i="20"/>
  <c r="C66" i="20"/>
  <c r="C22" i="20"/>
  <c r="C63" i="20"/>
  <c r="C19" i="20"/>
  <c r="C41" i="20"/>
  <c r="C53" i="20"/>
  <c r="C9" i="20"/>
  <c r="C31" i="20"/>
  <c r="C39" i="20"/>
  <c r="C61" i="20"/>
  <c r="C17" i="20"/>
  <c r="C34" i="20"/>
  <c r="C56" i="20"/>
  <c r="C12" i="20"/>
  <c r="C59" i="20"/>
  <c r="C15" i="20"/>
  <c r="C37" i="20"/>
  <c r="C27" i="20"/>
  <c r="C5" i="20"/>
  <c r="C49" i="20"/>
  <c r="C46" i="20"/>
  <c r="C68" i="20"/>
  <c r="C24" i="20"/>
  <c r="C65" i="20"/>
  <c r="C21" i="20"/>
  <c r="C43" i="20"/>
  <c r="J26" i="1"/>
  <c r="A319" i="1"/>
  <c r="B319" i="1"/>
  <c r="C319" i="1"/>
  <c r="D319" i="1"/>
  <c r="E319" i="1"/>
  <c r="G319" i="1"/>
  <c r="J319" i="1"/>
  <c r="K319" i="1"/>
  <c r="L319" i="1"/>
  <c r="P319" i="1" l="1"/>
  <c r="Q319" i="1" s="1"/>
  <c r="I319" i="1"/>
  <c r="K384" i="1"/>
  <c r="E337" i="1"/>
  <c r="J281" i="1"/>
  <c r="K206" i="1"/>
  <c r="C219" i="1" l="1"/>
  <c r="E200" i="1" l="1"/>
  <c r="C257" i="1"/>
  <c r="A442" i="1"/>
  <c r="A257" i="1"/>
  <c r="A327" i="1"/>
  <c r="A316" i="1"/>
  <c r="A345" i="1"/>
  <c r="A339" i="1"/>
  <c r="A308" i="1"/>
  <c r="A5" i="1"/>
  <c r="A343" i="1"/>
  <c r="A292" i="1"/>
  <c r="A6" i="1"/>
  <c r="A467" i="1"/>
  <c r="A416" i="1"/>
  <c r="A481" i="1"/>
  <c r="A468" i="1"/>
  <c r="A414" i="1"/>
  <c r="A469" i="1"/>
  <c r="A348" i="1"/>
  <c r="A413" i="1"/>
  <c r="B442" i="1"/>
  <c r="B257" i="1"/>
  <c r="B327" i="1"/>
  <c r="B316" i="1"/>
  <c r="B345" i="1"/>
  <c r="B339" i="1"/>
  <c r="B308" i="1"/>
  <c r="B5" i="1"/>
  <c r="B343" i="1"/>
  <c r="B292" i="1"/>
  <c r="B6" i="1"/>
  <c r="B467" i="1"/>
  <c r="B416" i="1"/>
  <c r="B481" i="1"/>
  <c r="B468" i="1"/>
  <c r="B414" i="1"/>
  <c r="B469" i="1"/>
  <c r="B348" i="1"/>
  <c r="B413" i="1"/>
  <c r="C442" i="1"/>
  <c r="C327" i="1"/>
  <c r="C316" i="1"/>
  <c r="C345" i="1"/>
  <c r="C339" i="1"/>
  <c r="C308" i="1"/>
  <c r="C5" i="1"/>
  <c r="C343" i="1"/>
  <c r="C292" i="1"/>
  <c r="C6" i="1"/>
  <c r="C467" i="1"/>
  <c r="C416" i="1"/>
  <c r="C481" i="1"/>
  <c r="C468" i="1"/>
  <c r="C414" i="1"/>
  <c r="C469" i="1"/>
  <c r="C348" i="1"/>
  <c r="C413" i="1"/>
  <c r="D442" i="1"/>
  <c r="D257" i="1"/>
  <c r="D327" i="1"/>
  <c r="D316" i="1"/>
  <c r="D345" i="1"/>
  <c r="D339" i="1"/>
  <c r="D308" i="1"/>
  <c r="D5" i="1"/>
  <c r="D343" i="1"/>
  <c r="D292" i="1"/>
  <c r="D6" i="1"/>
  <c r="D467" i="1"/>
  <c r="D416" i="1"/>
  <c r="D481" i="1"/>
  <c r="D468" i="1"/>
  <c r="D414" i="1"/>
  <c r="D469" i="1"/>
  <c r="D348" i="1"/>
  <c r="D413" i="1"/>
  <c r="E442" i="1"/>
  <c r="E257" i="1"/>
  <c r="E327" i="1"/>
  <c r="E316" i="1"/>
  <c r="E345" i="1"/>
  <c r="E339" i="1"/>
  <c r="E308" i="1"/>
  <c r="E5" i="1"/>
  <c r="E343" i="1"/>
  <c r="E292" i="1"/>
  <c r="E6" i="1"/>
  <c r="E467" i="1"/>
  <c r="E416" i="1"/>
  <c r="E481" i="1"/>
  <c r="E468" i="1"/>
  <c r="E414" i="1"/>
  <c r="E469" i="1"/>
  <c r="E348" i="1"/>
  <c r="E413" i="1"/>
  <c r="G442" i="1"/>
  <c r="G257" i="1"/>
  <c r="G327" i="1"/>
  <c r="G316" i="1"/>
  <c r="G345" i="1"/>
  <c r="G339" i="1"/>
  <c r="G308" i="1"/>
  <c r="G5" i="1"/>
  <c r="G343" i="1"/>
  <c r="G292" i="1"/>
  <c r="G6" i="1"/>
  <c r="G467" i="1"/>
  <c r="G416" i="1"/>
  <c r="G481" i="1"/>
  <c r="G468" i="1"/>
  <c r="G414" i="1"/>
  <c r="G469" i="1"/>
  <c r="G348" i="1"/>
  <c r="G413" i="1"/>
  <c r="J442" i="1"/>
  <c r="J257" i="1"/>
  <c r="J327" i="1"/>
  <c r="J316" i="1"/>
  <c r="J345" i="1"/>
  <c r="J339" i="1"/>
  <c r="J308" i="1"/>
  <c r="J5" i="1"/>
  <c r="J343" i="1"/>
  <c r="J292" i="1"/>
  <c r="J6" i="1"/>
  <c r="J467" i="1"/>
  <c r="J416" i="1"/>
  <c r="J481" i="1"/>
  <c r="J468" i="1"/>
  <c r="J414" i="1"/>
  <c r="J469" i="1"/>
  <c r="J348" i="1"/>
  <c r="J413" i="1"/>
  <c r="K442" i="1"/>
  <c r="K257" i="1"/>
  <c r="K327" i="1"/>
  <c r="K316" i="1"/>
  <c r="K345" i="1"/>
  <c r="K339" i="1"/>
  <c r="K308" i="1"/>
  <c r="K5" i="1"/>
  <c r="K343" i="1"/>
  <c r="K292" i="1"/>
  <c r="K6" i="1"/>
  <c r="K467" i="1"/>
  <c r="K416" i="1"/>
  <c r="K481" i="1"/>
  <c r="K468" i="1"/>
  <c r="K414" i="1"/>
  <c r="K469" i="1"/>
  <c r="K348" i="1"/>
  <c r="K413" i="1"/>
  <c r="L442" i="1"/>
  <c r="L257" i="1"/>
  <c r="L327" i="1"/>
  <c r="L316" i="1"/>
  <c r="L345" i="1"/>
  <c r="L339" i="1"/>
  <c r="L308" i="1"/>
  <c r="L5" i="1"/>
  <c r="L343" i="1"/>
  <c r="L292" i="1"/>
  <c r="L6" i="1"/>
  <c r="L467" i="1"/>
  <c r="L416" i="1"/>
  <c r="L481" i="1"/>
  <c r="L468" i="1"/>
  <c r="L414" i="1"/>
  <c r="L469" i="1"/>
  <c r="L348" i="1"/>
  <c r="L413" i="1"/>
  <c r="K243" i="1"/>
  <c r="P348" i="1" l="1"/>
  <c r="Q348" i="1" s="1"/>
  <c r="I348" i="1"/>
  <c r="P467" i="1"/>
  <c r="Q467" i="1" s="1"/>
  <c r="I467" i="1"/>
  <c r="P339" i="1"/>
  <c r="Q339" i="1" s="1"/>
  <c r="I339" i="1"/>
  <c r="P469" i="1"/>
  <c r="Q469" i="1" s="1"/>
  <c r="I469" i="1"/>
  <c r="P6" i="1"/>
  <c r="Q6" i="1" s="1"/>
  <c r="I6" i="1"/>
  <c r="P345" i="1"/>
  <c r="Q345" i="1" s="1"/>
  <c r="I345" i="1"/>
  <c r="P414" i="1"/>
  <c r="Q414" i="1" s="1"/>
  <c r="I414" i="1"/>
  <c r="P292" i="1"/>
  <c r="Q292" i="1" s="1"/>
  <c r="I292" i="1"/>
  <c r="P316" i="1"/>
  <c r="Q316" i="1" s="1"/>
  <c r="I316" i="1"/>
  <c r="P468" i="1"/>
  <c r="Q468" i="1" s="1"/>
  <c r="I468" i="1"/>
  <c r="P343" i="1"/>
  <c r="Q343" i="1" s="1"/>
  <c r="I343" i="1"/>
  <c r="P327" i="1"/>
  <c r="Q327" i="1" s="1"/>
  <c r="I327" i="1"/>
  <c r="P481" i="1"/>
  <c r="Q481" i="1" s="1"/>
  <c r="I481" i="1"/>
  <c r="P5" i="1"/>
  <c r="Q5" i="1" s="1"/>
  <c r="I5" i="1"/>
  <c r="P257" i="1"/>
  <c r="Q257" i="1" s="1"/>
  <c r="I257" i="1"/>
  <c r="P413" i="1"/>
  <c r="Q413" i="1" s="1"/>
  <c r="I413" i="1"/>
  <c r="P416" i="1"/>
  <c r="Q416" i="1" s="1"/>
  <c r="I416" i="1"/>
  <c r="P308" i="1"/>
  <c r="Q308" i="1" s="1"/>
  <c r="I308" i="1"/>
  <c r="P442" i="1"/>
  <c r="Q442" i="1" s="1"/>
  <c r="I442" i="1"/>
  <c r="G211" i="1"/>
  <c r="P211" i="1" l="1"/>
  <c r="Q211" i="1" s="1"/>
  <c r="I211" i="1"/>
  <c r="AF131" i="1"/>
  <c r="AG131" i="1" s="1"/>
  <c r="E26" i="1"/>
  <c r="C201" i="1" l="1"/>
  <c r="K12" i="1" l="1"/>
  <c r="J372" i="1"/>
  <c r="J258" i="1" l="1"/>
  <c r="K19" i="1"/>
  <c r="G223" i="1"/>
  <c r="E171" i="1"/>
  <c r="C310" i="1"/>
  <c r="K175" i="1"/>
  <c r="P223" i="1" l="1"/>
  <c r="Q223" i="1" s="1"/>
  <c r="I223" i="1"/>
  <c r="A256" i="1"/>
  <c r="A235" i="1"/>
  <c r="B256" i="1"/>
  <c r="B235" i="1"/>
  <c r="C256" i="1"/>
  <c r="C235" i="1"/>
  <c r="D256" i="1"/>
  <c r="D235" i="1"/>
  <c r="E256" i="1"/>
  <c r="E235" i="1"/>
  <c r="G256" i="1"/>
  <c r="G235" i="1"/>
  <c r="J256" i="1"/>
  <c r="J235" i="1"/>
  <c r="K256" i="1"/>
  <c r="K235" i="1"/>
  <c r="L256" i="1"/>
  <c r="L235" i="1"/>
  <c r="P235" i="1" l="1"/>
  <c r="Q235" i="1" s="1"/>
  <c r="I235" i="1"/>
  <c r="P256" i="1"/>
  <c r="Q256" i="1" s="1"/>
  <c r="I256" i="1"/>
  <c r="A211" i="1"/>
  <c r="A303" i="1"/>
  <c r="A34" i="1"/>
  <c r="A309" i="1"/>
  <c r="A26" i="1"/>
  <c r="A23" i="1"/>
  <c r="A276" i="1"/>
  <c r="A13" i="1"/>
  <c r="A332" i="1"/>
  <c r="A39" i="1"/>
  <c r="A438" i="1"/>
  <c r="A258" i="1"/>
  <c r="A252" i="1"/>
  <c r="A11" i="1"/>
  <c r="A32" i="1"/>
  <c r="A209" i="1"/>
  <c r="A243" i="1"/>
  <c r="A457" i="1"/>
  <c r="A188" i="1"/>
  <c r="A3" i="1"/>
  <c r="A279" i="1"/>
  <c r="A278" i="1"/>
  <c r="A260" i="1"/>
  <c r="A261" i="1"/>
  <c r="A40" i="1"/>
  <c r="A222" i="1"/>
  <c r="A449" i="1"/>
  <c r="A381" i="1"/>
  <c r="A320" i="1"/>
  <c r="A275" i="1"/>
  <c r="A240" i="1"/>
  <c r="A450" i="1"/>
  <c r="A286" i="1"/>
  <c r="A336" i="1"/>
  <c r="A207" i="1"/>
  <c r="A206" i="1"/>
  <c r="A346" i="1"/>
  <c r="A253" i="1"/>
  <c r="A430" i="1"/>
  <c r="A254" i="1"/>
  <c r="A370" i="1"/>
  <c r="A317" i="1"/>
  <c r="A315" i="1"/>
  <c r="A27" i="1"/>
  <c r="A349" i="1"/>
  <c r="A28" i="1"/>
  <c r="B211" i="1"/>
  <c r="B303" i="1"/>
  <c r="B34" i="1"/>
  <c r="B309" i="1"/>
  <c r="B26" i="1"/>
  <c r="B23" i="1"/>
  <c r="B276" i="1"/>
  <c r="B13" i="1"/>
  <c r="B332" i="1"/>
  <c r="B39" i="1"/>
  <c r="B438" i="1"/>
  <c r="B258" i="1"/>
  <c r="B252" i="1"/>
  <c r="B11" i="1"/>
  <c r="B32" i="1"/>
  <c r="B209" i="1"/>
  <c r="B243" i="1"/>
  <c r="B457" i="1"/>
  <c r="B188" i="1"/>
  <c r="B3" i="1"/>
  <c r="B279" i="1"/>
  <c r="B278" i="1"/>
  <c r="B260" i="1"/>
  <c r="B261" i="1"/>
  <c r="B40" i="1"/>
  <c r="B222" i="1"/>
  <c r="B449" i="1"/>
  <c r="B381" i="1"/>
  <c r="B320" i="1"/>
  <c r="B275" i="1"/>
  <c r="B240" i="1"/>
  <c r="B450" i="1"/>
  <c r="B286" i="1"/>
  <c r="B336" i="1"/>
  <c r="B207" i="1"/>
  <c r="B206" i="1"/>
  <c r="B346" i="1"/>
  <c r="B253" i="1"/>
  <c r="B430" i="1"/>
  <c r="B254" i="1"/>
  <c r="B370" i="1"/>
  <c r="B317" i="1"/>
  <c r="B315" i="1"/>
  <c r="B27" i="1"/>
  <c r="B349" i="1"/>
  <c r="B28" i="1"/>
  <c r="C211" i="1"/>
  <c r="C303" i="1"/>
  <c r="C34" i="1"/>
  <c r="C309" i="1"/>
  <c r="C26" i="1"/>
  <c r="C23" i="1"/>
  <c r="C276" i="1"/>
  <c r="C13" i="1"/>
  <c r="C332" i="1"/>
  <c r="C438" i="1"/>
  <c r="C258" i="1"/>
  <c r="C252" i="1"/>
  <c r="C11" i="1"/>
  <c r="C32" i="1"/>
  <c r="C209" i="1"/>
  <c r="C243" i="1"/>
  <c r="C457" i="1"/>
  <c r="C188" i="1"/>
  <c r="C3" i="1"/>
  <c r="C278" i="1"/>
  <c r="C260" i="1"/>
  <c r="C261" i="1"/>
  <c r="C40" i="1"/>
  <c r="C222" i="1"/>
  <c r="C449" i="1"/>
  <c r="C381" i="1"/>
  <c r="C320" i="1"/>
  <c r="C275" i="1"/>
  <c r="C240" i="1"/>
  <c r="C450" i="1"/>
  <c r="C286" i="1"/>
  <c r="C336" i="1"/>
  <c r="C207" i="1"/>
  <c r="C206" i="1"/>
  <c r="C346" i="1"/>
  <c r="C253" i="1"/>
  <c r="C430" i="1"/>
  <c r="C254" i="1"/>
  <c r="C370" i="1"/>
  <c r="C317" i="1"/>
  <c r="C315" i="1"/>
  <c r="C27" i="1"/>
  <c r="C349" i="1"/>
  <c r="C28" i="1"/>
  <c r="D211" i="1"/>
  <c r="D303" i="1"/>
  <c r="D34" i="1"/>
  <c r="D309" i="1"/>
  <c r="D26" i="1"/>
  <c r="D23" i="1"/>
  <c r="D276" i="1"/>
  <c r="D13" i="1"/>
  <c r="D332" i="1"/>
  <c r="D39" i="1"/>
  <c r="D438" i="1"/>
  <c r="D258" i="1"/>
  <c r="D252" i="1"/>
  <c r="D11" i="1"/>
  <c r="D32" i="1"/>
  <c r="D209" i="1"/>
  <c r="D243" i="1"/>
  <c r="D457" i="1"/>
  <c r="D188" i="1"/>
  <c r="D3" i="1"/>
  <c r="D279" i="1"/>
  <c r="D278" i="1"/>
  <c r="D260" i="1"/>
  <c r="D261" i="1"/>
  <c r="D40" i="1"/>
  <c r="D222" i="1"/>
  <c r="D449" i="1"/>
  <c r="D381" i="1"/>
  <c r="D320" i="1"/>
  <c r="D275" i="1"/>
  <c r="D240" i="1"/>
  <c r="D450" i="1"/>
  <c r="D286" i="1"/>
  <c r="D336" i="1"/>
  <c r="D207" i="1"/>
  <c r="D206" i="1"/>
  <c r="D346" i="1"/>
  <c r="D253" i="1"/>
  <c r="D430" i="1"/>
  <c r="D254" i="1"/>
  <c r="D370" i="1"/>
  <c r="D317" i="1"/>
  <c r="D315" i="1"/>
  <c r="D27" i="1"/>
  <c r="D349" i="1"/>
  <c r="D28" i="1"/>
  <c r="E211" i="1"/>
  <c r="E303" i="1"/>
  <c r="E34" i="1"/>
  <c r="E309" i="1"/>
  <c r="E23" i="1"/>
  <c r="E276" i="1"/>
  <c r="E13" i="1"/>
  <c r="E332" i="1"/>
  <c r="E39" i="1"/>
  <c r="E258" i="1"/>
  <c r="E252" i="1"/>
  <c r="E11" i="1"/>
  <c r="E32" i="1"/>
  <c r="E209" i="1"/>
  <c r="E243" i="1"/>
  <c r="E457" i="1"/>
  <c r="E188" i="1"/>
  <c r="E3" i="1"/>
  <c r="E279" i="1"/>
  <c r="E278" i="1"/>
  <c r="E260" i="1"/>
  <c r="E261" i="1"/>
  <c r="E40" i="1"/>
  <c r="E222" i="1"/>
  <c r="E449" i="1"/>
  <c r="E381" i="1"/>
  <c r="E320" i="1"/>
  <c r="E275" i="1"/>
  <c r="E240" i="1"/>
  <c r="E450" i="1"/>
  <c r="E286" i="1"/>
  <c r="E336" i="1"/>
  <c r="E207" i="1"/>
  <c r="E206" i="1"/>
  <c r="E346" i="1"/>
  <c r="E253" i="1"/>
  <c r="E430" i="1"/>
  <c r="E254" i="1"/>
  <c r="E370" i="1"/>
  <c r="E317" i="1"/>
  <c r="E315" i="1"/>
  <c r="E27" i="1"/>
  <c r="E349" i="1"/>
  <c r="E28" i="1"/>
  <c r="G303" i="1"/>
  <c r="G34" i="1"/>
  <c r="G309" i="1"/>
  <c r="I309" i="1" s="1"/>
  <c r="G26" i="1"/>
  <c r="G23" i="1"/>
  <c r="G276" i="1"/>
  <c r="G13" i="1"/>
  <c r="G332" i="1"/>
  <c r="G39" i="1"/>
  <c r="G438" i="1"/>
  <c r="G258" i="1"/>
  <c r="G252" i="1"/>
  <c r="G11" i="1"/>
  <c r="G32" i="1"/>
  <c r="G243" i="1"/>
  <c r="G457" i="1"/>
  <c r="G188" i="1"/>
  <c r="G3" i="1"/>
  <c r="G279" i="1"/>
  <c r="G278" i="1"/>
  <c r="G260" i="1"/>
  <c r="G261" i="1"/>
  <c r="G40" i="1"/>
  <c r="G222" i="1"/>
  <c r="G449" i="1"/>
  <c r="G381" i="1"/>
  <c r="G320" i="1"/>
  <c r="G275" i="1"/>
  <c r="G240" i="1"/>
  <c r="G450" i="1"/>
  <c r="G286" i="1"/>
  <c r="G336" i="1"/>
  <c r="G207" i="1"/>
  <c r="G206" i="1"/>
  <c r="G346" i="1"/>
  <c r="G253" i="1"/>
  <c r="G430" i="1"/>
  <c r="G254" i="1"/>
  <c r="G370" i="1"/>
  <c r="G317" i="1"/>
  <c r="G315" i="1"/>
  <c r="G27" i="1"/>
  <c r="G349" i="1"/>
  <c r="G28" i="1"/>
  <c r="J211" i="1"/>
  <c r="J303" i="1"/>
  <c r="J34" i="1"/>
  <c r="J309" i="1"/>
  <c r="J23" i="1"/>
  <c r="J276" i="1"/>
  <c r="J13" i="1"/>
  <c r="J332" i="1"/>
  <c r="J39" i="1"/>
  <c r="J438" i="1"/>
  <c r="J252" i="1"/>
  <c r="J11" i="1"/>
  <c r="J32" i="1"/>
  <c r="J209" i="1"/>
  <c r="J243" i="1"/>
  <c r="J457" i="1"/>
  <c r="J188" i="1"/>
  <c r="J3" i="1"/>
  <c r="J279" i="1"/>
  <c r="J278" i="1"/>
  <c r="J260" i="1"/>
  <c r="J261" i="1"/>
  <c r="J222" i="1"/>
  <c r="J449" i="1"/>
  <c r="J381" i="1"/>
  <c r="J320" i="1"/>
  <c r="J275" i="1"/>
  <c r="J240" i="1"/>
  <c r="J450" i="1"/>
  <c r="J286" i="1"/>
  <c r="J336" i="1"/>
  <c r="J207" i="1"/>
  <c r="J206" i="1"/>
  <c r="J346" i="1"/>
  <c r="J253" i="1"/>
  <c r="J430" i="1"/>
  <c r="J254" i="1"/>
  <c r="J370" i="1"/>
  <c r="J317" i="1"/>
  <c r="J315" i="1"/>
  <c r="J27" i="1"/>
  <c r="J349" i="1"/>
  <c r="J28" i="1"/>
  <c r="K211" i="1"/>
  <c r="K303" i="1"/>
  <c r="K34" i="1"/>
  <c r="K309" i="1"/>
  <c r="K26" i="1"/>
  <c r="K23" i="1"/>
  <c r="K276" i="1"/>
  <c r="K13" i="1"/>
  <c r="K332" i="1"/>
  <c r="K39" i="1"/>
  <c r="K438" i="1"/>
  <c r="K258" i="1"/>
  <c r="K252" i="1"/>
  <c r="K11" i="1"/>
  <c r="K32" i="1"/>
  <c r="K209" i="1"/>
  <c r="K457" i="1"/>
  <c r="K188" i="1"/>
  <c r="K3" i="1"/>
  <c r="K279" i="1"/>
  <c r="K278" i="1"/>
  <c r="K260" i="1"/>
  <c r="K261" i="1"/>
  <c r="K40" i="1"/>
  <c r="K222" i="1"/>
  <c r="K449" i="1"/>
  <c r="K381" i="1"/>
  <c r="K320" i="1"/>
  <c r="K275" i="1"/>
  <c r="K240" i="1"/>
  <c r="K450" i="1"/>
  <c r="K286" i="1"/>
  <c r="K336" i="1"/>
  <c r="K207" i="1"/>
  <c r="K346" i="1"/>
  <c r="K253" i="1"/>
  <c r="K430" i="1"/>
  <c r="K254" i="1"/>
  <c r="K370" i="1"/>
  <c r="K317" i="1"/>
  <c r="K315" i="1"/>
  <c r="K27" i="1"/>
  <c r="K349" i="1"/>
  <c r="K28" i="1"/>
  <c r="L211" i="1"/>
  <c r="L303" i="1"/>
  <c r="L34" i="1"/>
  <c r="L309" i="1"/>
  <c r="L26" i="1"/>
  <c r="L23" i="1"/>
  <c r="L276" i="1"/>
  <c r="L13" i="1"/>
  <c r="L332" i="1"/>
  <c r="L39" i="1"/>
  <c r="L438" i="1"/>
  <c r="L258" i="1"/>
  <c r="L252" i="1"/>
  <c r="L11" i="1"/>
  <c r="L32" i="1"/>
  <c r="L209" i="1"/>
  <c r="L243" i="1"/>
  <c r="L457" i="1"/>
  <c r="L188" i="1"/>
  <c r="L3" i="1"/>
  <c r="L279" i="1"/>
  <c r="L278" i="1"/>
  <c r="L260" i="1"/>
  <c r="L261" i="1"/>
  <c r="L40" i="1"/>
  <c r="L222" i="1"/>
  <c r="L449" i="1"/>
  <c r="L381" i="1"/>
  <c r="L320" i="1"/>
  <c r="L275" i="1"/>
  <c r="L240" i="1"/>
  <c r="L450" i="1"/>
  <c r="L286" i="1"/>
  <c r="L336" i="1"/>
  <c r="L207" i="1"/>
  <c r="L206" i="1"/>
  <c r="L346" i="1"/>
  <c r="L253" i="1"/>
  <c r="L430" i="1"/>
  <c r="L254" i="1"/>
  <c r="L370" i="1"/>
  <c r="L317" i="1"/>
  <c r="L315" i="1"/>
  <c r="L27" i="1"/>
  <c r="L349" i="1"/>
  <c r="L28" i="1"/>
  <c r="C156" i="1"/>
  <c r="P317" i="1" l="1"/>
  <c r="Q317" i="1" s="1"/>
  <c r="I317" i="1"/>
  <c r="P206" i="1"/>
  <c r="Q206" i="1" s="1"/>
  <c r="I206" i="1"/>
  <c r="P275" i="1"/>
  <c r="Q275" i="1" s="1"/>
  <c r="I275" i="1"/>
  <c r="P261" i="1"/>
  <c r="Q261" i="1" s="1"/>
  <c r="I261" i="1"/>
  <c r="P457" i="1"/>
  <c r="Q457" i="1" s="1"/>
  <c r="I457" i="1"/>
  <c r="P438" i="1"/>
  <c r="Q438" i="1" s="1"/>
  <c r="I438" i="1"/>
  <c r="P26" i="1"/>
  <c r="Q26" i="1" s="1"/>
  <c r="I26" i="1"/>
  <c r="P370" i="1"/>
  <c r="Q370" i="1" s="1"/>
  <c r="I370" i="1"/>
  <c r="P207" i="1"/>
  <c r="Q207" i="1" s="1"/>
  <c r="I207" i="1"/>
  <c r="P320" i="1"/>
  <c r="Q320" i="1" s="1"/>
  <c r="I320" i="1"/>
  <c r="P260" i="1"/>
  <c r="Q260" i="1" s="1"/>
  <c r="I260" i="1"/>
  <c r="P243" i="1"/>
  <c r="Q243" i="1" s="1"/>
  <c r="I243" i="1"/>
  <c r="P39" i="1"/>
  <c r="Q39" i="1" s="1"/>
  <c r="I39" i="1"/>
  <c r="P28" i="1"/>
  <c r="Q28" i="1" s="1"/>
  <c r="I28" i="1"/>
  <c r="P254" i="1"/>
  <c r="Q254" i="1" s="1"/>
  <c r="I254" i="1"/>
  <c r="P336" i="1"/>
  <c r="Q336" i="1" s="1"/>
  <c r="I336" i="1"/>
  <c r="P381" i="1"/>
  <c r="Q381" i="1" s="1"/>
  <c r="I381" i="1"/>
  <c r="P278" i="1"/>
  <c r="Q278" i="1" s="1"/>
  <c r="I278" i="1"/>
  <c r="P32" i="1"/>
  <c r="Q32" i="1" s="1"/>
  <c r="I32" i="1"/>
  <c r="P332" i="1"/>
  <c r="Q332" i="1" s="1"/>
  <c r="I332" i="1"/>
  <c r="P34" i="1"/>
  <c r="Q34" i="1" s="1"/>
  <c r="I34" i="1"/>
  <c r="P349" i="1"/>
  <c r="Q349" i="1" s="1"/>
  <c r="I349" i="1"/>
  <c r="P430" i="1"/>
  <c r="Q430" i="1" s="1"/>
  <c r="I430" i="1"/>
  <c r="P286" i="1"/>
  <c r="Q286" i="1" s="1"/>
  <c r="I286" i="1"/>
  <c r="P449" i="1"/>
  <c r="Q449" i="1" s="1"/>
  <c r="I449" i="1"/>
  <c r="P279" i="1"/>
  <c r="Q279" i="1" s="1"/>
  <c r="I279" i="1"/>
  <c r="P11" i="1"/>
  <c r="Q11" i="1" s="1"/>
  <c r="I11" i="1"/>
  <c r="P13" i="1"/>
  <c r="Q13" i="1" s="1"/>
  <c r="I13" i="1"/>
  <c r="P303" i="1"/>
  <c r="Q303" i="1" s="1"/>
  <c r="I303" i="1"/>
  <c r="P27" i="1"/>
  <c r="Q27" i="1" s="1"/>
  <c r="I27" i="1"/>
  <c r="P253" i="1"/>
  <c r="Q253" i="1" s="1"/>
  <c r="I253" i="1"/>
  <c r="P450" i="1"/>
  <c r="Q450" i="1" s="1"/>
  <c r="I450" i="1"/>
  <c r="P222" i="1"/>
  <c r="Q222" i="1" s="1"/>
  <c r="I222" i="1"/>
  <c r="P3" i="1"/>
  <c r="Q3" i="1" s="1"/>
  <c r="I3" i="1"/>
  <c r="P252" i="1"/>
  <c r="Q252" i="1" s="1"/>
  <c r="I252" i="1"/>
  <c r="P276" i="1"/>
  <c r="Q276" i="1" s="1"/>
  <c r="I276" i="1"/>
  <c r="P315" i="1"/>
  <c r="Q315" i="1" s="1"/>
  <c r="I315" i="1"/>
  <c r="P346" i="1"/>
  <c r="Q346" i="1" s="1"/>
  <c r="I346" i="1"/>
  <c r="P240" i="1"/>
  <c r="Q240" i="1" s="1"/>
  <c r="I240" i="1"/>
  <c r="P40" i="1"/>
  <c r="Q40" i="1" s="1"/>
  <c r="I40" i="1"/>
  <c r="P188" i="1"/>
  <c r="Q188" i="1" s="1"/>
  <c r="I188" i="1"/>
  <c r="P258" i="1"/>
  <c r="Q258" i="1" s="1"/>
  <c r="I258" i="1"/>
  <c r="P23" i="1"/>
  <c r="Q23" i="1" s="1"/>
  <c r="I23" i="1"/>
  <c r="P309" i="1"/>
  <c r="Q309" i="1" s="1"/>
  <c r="C186" i="1"/>
  <c r="A384" i="1"/>
  <c r="A301" i="1"/>
  <c r="A372" i="1"/>
  <c r="A456" i="1"/>
  <c r="A484" i="1"/>
  <c r="A156" i="1"/>
  <c r="A8" i="1"/>
  <c r="A195" i="1"/>
  <c r="A325" i="1"/>
  <c r="A283" i="1"/>
  <c r="A36" i="1"/>
  <c r="A201" i="1"/>
  <c r="A262" i="1"/>
  <c r="A204" i="1"/>
  <c r="A198" i="1"/>
  <c r="A183" i="1"/>
  <c r="A337" i="1"/>
  <c r="A277" i="1"/>
  <c r="A335" i="1"/>
  <c r="B384" i="1"/>
  <c r="B301" i="1"/>
  <c r="B372" i="1"/>
  <c r="B456" i="1"/>
  <c r="B484" i="1"/>
  <c r="B156" i="1"/>
  <c r="B8" i="1"/>
  <c r="B195" i="1"/>
  <c r="B325" i="1"/>
  <c r="B283" i="1"/>
  <c r="B36" i="1"/>
  <c r="B201" i="1"/>
  <c r="B262" i="1"/>
  <c r="B204" i="1"/>
  <c r="B198" i="1"/>
  <c r="B183" i="1"/>
  <c r="B337" i="1"/>
  <c r="B277" i="1"/>
  <c r="B335" i="1"/>
  <c r="C301" i="1"/>
  <c r="C372" i="1"/>
  <c r="C456" i="1"/>
  <c r="C484" i="1"/>
  <c r="C8" i="1"/>
  <c r="C195" i="1"/>
  <c r="C325" i="1"/>
  <c r="C283" i="1"/>
  <c r="C36" i="1"/>
  <c r="C262" i="1"/>
  <c r="C204" i="1"/>
  <c r="C198" i="1"/>
  <c r="C183" i="1"/>
  <c r="C337" i="1"/>
  <c r="C335" i="1"/>
  <c r="D384" i="1"/>
  <c r="D301" i="1"/>
  <c r="D372" i="1"/>
  <c r="D456" i="1"/>
  <c r="D484" i="1"/>
  <c r="D156" i="1"/>
  <c r="D8" i="1"/>
  <c r="D195" i="1"/>
  <c r="D325" i="1"/>
  <c r="D283" i="1"/>
  <c r="D36" i="1"/>
  <c r="D201" i="1"/>
  <c r="D262" i="1"/>
  <c r="D204" i="1"/>
  <c r="D198" i="1"/>
  <c r="D183" i="1"/>
  <c r="D337" i="1"/>
  <c r="D277" i="1"/>
  <c r="D335" i="1"/>
  <c r="E384" i="1"/>
  <c r="E301" i="1"/>
  <c r="E372" i="1"/>
  <c r="E456" i="1"/>
  <c r="E484" i="1"/>
  <c r="E156" i="1"/>
  <c r="E8" i="1"/>
  <c r="E195" i="1"/>
  <c r="E325" i="1"/>
  <c r="E283" i="1"/>
  <c r="E36" i="1"/>
  <c r="E201" i="1"/>
  <c r="E262" i="1"/>
  <c r="E204" i="1"/>
  <c r="E198" i="1"/>
  <c r="E183" i="1"/>
  <c r="E277" i="1"/>
  <c r="E335" i="1"/>
  <c r="G384" i="1"/>
  <c r="G301" i="1"/>
  <c r="G372" i="1"/>
  <c r="G456" i="1"/>
  <c r="G484" i="1"/>
  <c r="G156" i="1"/>
  <c r="G8" i="1"/>
  <c r="G195" i="1"/>
  <c r="G325" i="1"/>
  <c r="G283" i="1"/>
  <c r="G36" i="1"/>
  <c r="G201" i="1"/>
  <c r="G262" i="1"/>
  <c r="G204" i="1"/>
  <c r="G198" i="1"/>
  <c r="G183" i="1"/>
  <c r="G337" i="1"/>
  <c r="G277" i="1"/>
  <c r="G335" i="1"/>
  <c r="J384" i="1"/>
  <c r="J301" i="1"/>
  <c r="J456" i="1"/>
  <c r="J484" i="1"/>
  <c r="J156" i="1"/>
  <c r="J8" i="1"/>
  <c r="J195" i="1"/>
  <c r="J325" i="1"/>
  <c r="J283" i="1"/>
  <c r="J36" i="1"/>
  <c r="J201" i="1"/>
  <c r="J262" i="1"/>
  <c r="J204" i="1"/>
  <c r="J198" i="1"/>
  <c r="J183" i="1"/>
  <c r="J337" i="1"/>
  <c r="J277" i="1"/>
  <c r="J335" i="1"/>
  <c r="K301" i="1"/>
  <c r="K372" i="1"/>
  <c r="K456" i="1"/>
  <c r="K484" i="1"/>
  <c r="K156" i="1"/>
  <c r="K8" i="1"/>
  <c r="K195" i="1"/>
  <c r="K325" i="1"/>
  <c r="K283" i="1"/>
  <c r="K36" i="1"/>
  <c r="K201" i="1"/>
  <c r="K262" i="1"/>
  <c r="K204" i="1"/>
  <c r="K198" i="1"/>
  <c r="K183" i="1"/>
  <c r="K337" i="1"/>
  <c r="K277" i="1"/>
  <c r="K335" i="1"/>
  <c r="L384" i="1"/>
  <c r="L301" i="1"/>
  <c r="L372" i="1"/>
  <c r="L456" i="1"/>
  <c r="L484" i="1"/>
  <c r="L156" i="1"/>
  <c r="L8" i="1"/>
  <c r="L195" i="1"/>
  <c r="L325" i="1"/>
  <c r="L283" i="1"/>
  <c r="L36" i="1"/>
  <c r="L201" i="1"/>
  <c r="L262" i="1"/>
  <c r="L204" i="1"/>
  <c r="L198" i="1"/>
  <c r="L183" i="1"/>
  <c r="L337" i="1"/>
  <c r="L277" i="1"/>
  <c r="L335" i="1"/>
  <c r="P301" i="1" l="1"/>
  <c r="Q301" i="1" s="1"/>
  <c r="I301" i="1"/>
  <c r="P335" i="1"/>
  <c r="Q335" i="1" s="1"/>
  <c r="I335" i="1"/>
  <c r="P262" i="1"/>
  <c r="Q262" i="1" s="1"/>
  <c r="I262" i="1"/>
  <c r="P8" i="1"/>
  <c r="Q8" i="1" s="1"/>
  <c r="I8" i="1"/>
  <c r="P384" i="1"/>
  <c r="Q384" i="1" s="1"/>
  <c r="I384" i="1"/>
  <c r="P195" i="1"/>
  <c r="Q195" i="1" s="1"/>
  <c r="I195" i="1"/>
  <c r="P277" i="1"/>
  <c r="Q277" i="1" s="1"/>
  <c r="I277" i="1"/>
  <c r="P201" i="1"/>
  <c r="Q201" i="1" s="1"/>
  <c r="I201" i="1"/>
  <c r="P156" i="1"/>
  <c r="Q156" i="1" s="1"/>
  <c r="I156" i="1"/>
  <c r="P204" i="1"/>
  <c r="Q204" i="1" s="1"/>
  <c r="I204" i="1"/>
  <c r="P337" i="1"/>
  <c r="Q337" i="1" s="1"/>
  <c r="I337" i="1"/>
  <c r="P36" i="1"/>
  <c r="Q36" i="1" s="1"/>
  <c r="I36" i="1"/>
  <c r="P484" i="1"/>
  <c r="Q484" i="1" s="1"/>
  <c r="I484" i="1"/>
  <c r="P183" i="1"/>
  <c r="Q183" i="1" s="1"/>
  <c r="I183" i="1"/>
  <c r="P283" i="1"/>
  <c r="Q283" i="1" s="1"/>
  <c r="I283" i="1"/>
  <c r="P456" i="1"/>
  <c r="Q456" i="1" s="1"/>
  <c r="I456" i="1"/>
  <c r="P198" i="1"/>
  <c r="Q198" i="1" s="1"/>
  <c r="I198" i="1"/>
  <c r="P325" i="1"/>
  <c r="Q325" i="1" s="1"/>
  <c r="I325" i="1"/>
  <c r="P372" i="1"/>
  <c r="Q372" i="1" s="1"/>
  <c r="I372" i="1"/>
  <c r="J232" i="1"/>
  <c r="E236" i="1" l="1"/>
  <c r="D305" i="1" l="1"/>
  <c r="A230" i="1" l="1"/>
  <c r="B230" i="1"/>
  <c r="C230" i="1"/>
  <c r="D230" i="1"/>
  <c r="E230" i="1"/>
  <c r="G230" i="1"/>
  <c r="J230" i="1"/>
  <c r="K230" i="1"/>
  <c r="L230" i="1"/>
  <c r="A281" i="1"/>
  <c r="A35" i="1"/>
  <c r="A30" i="1"/>
  <c r="A531" i="1"/>
  <c r="A241" i="1"/>
  <c r="A228" i="1"/>
  <c r="A25" i="1"/>
  <c r="A250" i="1"/>
  <c r="A305" i="1"/>
  <c r="A251" i="1"/>
  <c r="B281" i="1"/>
  <c r="B35" i="1"/>
  <c r="B30" i="1"/>
  <c r="B531" i="1"/>
  <c r="B241" i="1"/>
  <c r="B228" i="1"/>
  <c r="B25" i="1"/>
  <c r="B250" i="1"/>
  <c r="B305" i="1"/>
  <c r="B251" i="1"/>
  <c r="C281" i="1"/>
  <c r="C35" i="1"/>
  <c r="C30" i="1"/>
  <c r="C531" i="1"/>
  <c r="C241" i="1"/>
  <c r="C228" i="1"/>
  <c r="C25" i="1"/>
  <c r="C250" i="1"/>
  <c r="C305" i="1"/>
  <c r="C251" i="1"/>
  <c r="D281" i="1"/>
  <c r="D35" i="1"/>
  <c r="D30" i="1"/>
  <c r="D531" i="1"/>
  <c r="D241" i="1"/>
  <c r="D228" i="1"/>
  <c r="D25" i="1"/>
  <c r="D250" i="1"/>
  <c r="D251" i="1"/>
  <c r="E281" i="1"/>
  <c r="E35" i="1"/>
  <c r="E30" i="1"/>
  <c r="E531" i="1"/>
  <c r="E241" i="1"/>
  <c r="E228" i="1"/>
  <c r="E25" i="1"/>
  <c r="E250" i="1"/>
  <c r="E305" i="1"/>
  <c r="E251" i="1"/>
  <c r="G281" i="1"/>
  <c r="G35" i="1"/>
  <c r="G30" i="1"/>
  <c r="G531" i="1"/>
  <c r="G241" i="1"/>
  <c r="G228" i="1"/>
  <c r="G25" i="1"/>
  <c r="G250" i="1"/>
  <c r="G305" i="1"/>
  <c r="G251" i="1"/>
  <c r="J35" i="1"/>
  <c r="J30" i="1"/>
  <c r="J531" i="1"/>
  <c r="J241" i="1"/>
  <c r="J228" i="1"/>
  <c r="J25" i="1"/>
  <c r="J250" i="1"/>
  <c r="J305" i="1"/>
  <c r="J251" i="1"/>
  <c r="K281" i="1"/>
  <c r="K35" i="1"/>
  <c r="K30" i="1"/>
  <c r="K241" i="1"/>
  <c r="K228" i="1"/>
  <c r="K25" i="1"/>
  <c r="K250" i="1"/>
  <c r="K305" i="1"/>
  <c r="K251" i="1"/>
  <c r="L281" i="1"/>
  <c r="L35" i="1"/>
  <c r="L30" i="1"/>
  <c r="L531" i="1"/>
  <c r="L241" i="1"/>
  <c r="L228" i="1"/>
  <c r="L25" i="1"/>
  <c r="L250" i="1"/>
  <c r="L305" i="1"/>
  <c r="L251" i="1"/>
  <c r="P250" i="1" l="1"/>
  <c r="Q250" i="1" s="1"/>
  <c r="I250" i="1"/>
  <c r="P35" i="1"/>
  <c r="Q35" i="1" s="1"/>
  <c r="I35" i="1"/>
  <c r="P230" i="1"/>
  <c r="Q230" i="1" s="1"/>
  <c r="I230" i="1"/>
  <c r="P25" i="1"/>
  <c r="Q25" i="1" s="1"/>
  <c r="I25" i="1"/>
  <c r="P281" i="1"/>
  <c r="Q281" i="1" s="1"/>
  <c r="I281" i="1"/>
  <c r="P228" i="1"/>
  <c r="Q228" i="1" s="1"/>
  <c r="I228" i="1"/>
  <c r="P241" i="1"/>
  <c r="Q241" i="1" s="1"/>
  <c r="I241" i="1"/>
  <c r="P251" i="1"/>
  <c r="Q251" i="1" s="1"/>
  <c r="I251" i="1"/>
  <c r="P531" i="1"/>
  <c r="Q531" i="1" s="1"/>
  <c r="I531" i="1"/>
  <c r="P305" i="1"/>
  <c r="Q305" i="1" s="1"/>
  <c r="I305" i="1"/>
  <c r="P30" i="1"/>
  <c r="Q30" i="1" s="1"/>
  <c r="I30" i="1"/>
  <c r="C166" i="1"/>
  <c r="A166" i="1"/>
  <c r="B166" i="1"/>
  <c r="D166" i="1"/>
  <c r="E166" i="1"/>
  <c r="G166" i="1"/>
  <c r="J166" i="1"/>
  <c r="K166" i="1"/>
  <c r="L166" i="1"/>
  <c r="P166" i="1" l="1"/>
  <c r="Q166" i="1" s="1"/>
  <c r="I166" i="1"/>
  <c r="A200" i="1"/>
  <c r="A193" i="1"/>
  <c r="B200" i="1"/>
  <c r="B193" i="1"/>
  <c r="C200" i="1"/>
  <c r="C193" i="1"/>
  <c r="D200" i="1"/>
  <c r="D193" i="1"/>
  <c r="E193" i="1"/>
  <c r="G200" i="1"/>
  <c r="G193" i="1"/>
  <c r="J200" i="1"/>
  <c r="J193" i="1"/>
  <c r="K200" i="1"/>
  <c r="K193" i="1"/>
  <c r="L200" i="1"/>
  <c r="L193" i="1"/>
  <c r="A310" i="1"/>
  <c r="A224" i="1"/>
  <c r="A239" i="1"/>
  <c r="A176" i="1"/>
  <c r="A7" i="1"/>
  <c r="A174" i="1"/>
  <c r="A173" i="1"/>
  <c r="A205" i="1"/>
  <c r="A223" i="1"/>
  <c r="A350" i="1"/>
  <c r="A255" i="1"/>
  <c r="A297" i="1"/>
  <c r="A358" i="1"/>
  <c r="B310" i="1"/>
  <c r="B224" i="1"/>
  <c r="B239" i="1"/>
  <c r="B176" i="1"/>
  <c r="B7" i="1"/>
  <c r="B174" i="1"/>
  <c r="B173" i="1"/>
  <c r="B205" i="1"/>
  <c r="B223" i="1"/>
  <c r="B350" i="1"/>
  <c r="B255" i="1"/>
  <c r="B297" i="1"/>
  <c r="B358" i="1"/>
  <c r="C224" i="1"/>
  <c r="C239" i="1"/>
  <c r="C176" i="1"/>
  <c r="C7" i="1"/>
  <c r="C174" i="1"/>
  <c r="C173" i="1"/>
  <c r="C205" i="1"/>
  <c r="C223" i="1"/>
  <c r="C350" i="1"/>
  <c r="C255" i="1"/>
  <c r="C297" i="1"/>
  <c r="C358" i="1"/>
  <c r="D310" i="1"/>
  <c r="D224" i="1"/>
  <c r="D239" i="1"/>
  <c r="D176" i="1"/>
  <c r="D7" i="1"/>
  <c r="D174" i="1"/>
  <c r="D173" i="1"/>
  <c r="D205" i="1"/>
  <c r="D223" i="1"/>
  <c r="D350" i="1"/>
  <c r="D255" i="1"/>
  <c r="D297" i="1"/>
  <c r="D358" i="1"/>
  <c r="E310" i="1"/>
  <c r="E224" i="1"/>
  <c r="E239" i="1"/>
  <c r="E176" i="1"/>
  <c r="E7" i="1"/>
  <c r="E174" i="1"/>
  <c r="E173" i="1"/>
  <c r="E205" i="1"/>
  <c r="E223" i="1"/>
  <c r="E350" i="1"/>
  <c r="E255" i="1"/>
  <c r="E297" i="1"/>
  <c r="E358" i="1"/>
  <c r="G310" i="1"/>
  <c r="G224" i="1"/>
  <c r="G239" i="1"/>
  <c r="G176" i="1"/>
  <c r="G7" i="1"/>
  <c r="G174" i="1"/>
  <c r="G173" i="1"/>
  <c r="G205" i="1"/>
  <c r="G350" i="1"/>
  <c r="G255" i="1"/>
  <c r="G297" i="1"/>
  <c r="G358" i="1"/>
  <c r="J310" i="1"/>
  <c r="J224" i="1"/>
  <c r="J239" i="1"/>
  <c r="J176" i="1"/>
  <c r="J7" i="1"/>
  <c r="J174" i="1"/>
  <c r="J173" i="1"/>
  <c r="J205" i="1"/>
  <c r="J223" i="1"/>
  <c r="J350" i="1"/>
  <c r="J255" i="1"/>
  <c r="J297" i="1"/>
  <c r="J358" i="1"/>
  <c r="K224" i="1"/>
  <c r="K239" i="1"/>
  <c r="K176" i="1"/>
  <c r="K7" i="1"/>
  <c r="K174" i="1"/>
  <c r="K173" i="1"/>
  <c r="K205" i="1"/>
  <c r="K223" i="1"/>
  <c r="K350" i="1"/>
  <c r="K255" i="1"/>
  <c r="K297" i="1"/>
  <c r="K358" i="1"/>
  <c r="L310" i="1"/>
  <c r="L224" i="1"/>
  <c r="L239" i="1"/>
  <c r="L176" i="1"/>
  <c r="L7" i="1"/>
  <c r="L174" i="1"/>
  <c r="L173" i="1"/>
  <c r="L205" i="1"/>
  <c r="L223" i="1"/>
  <c r="L350" i="1"/>
  <c r="L255" i="1"/>
  <c r="L297" i="1"/>
  <c r="L358" i="1"/>
  <c r="P173" i="1" l="1"/>
  <c r="Q173" i="1" s="1"/>
  <c r="I173" i="1"/>
  <c r="P310" i="1"/>
  <c r="Q310" i="1" s="1"/>
  <c r="I310" i="1"/>
  <c r="P200" i="1"/>
  <c r="Q200" i="1" s="1"/>
  <c r="I200" i="1"/>
  <c r="P358" i="1"/>
  <c r="Q358" i="1" s="1"/>
  <c r="I358" i="1"/>
  <c r="P174" i="1"/>
  <c r="Q174" i="1" s="1"/>
  <c r="I174" i="1"/>
  <c r="P297" i="1"/>
  <c r="Q297" i="1" s="1"/>
  <c r="I297" i="1"/>
  <c r="P7" i="1"/>
  <c r="Q7" i="1" s="1"/>
  <c r="I7" i="1"/>
  <c r="P255" i="1"/>
  <c r="Q255" i="1" s="1"/>
  <c r="I255" i="1"/>
  <c r="P176" i="1"/>
  <c r="Q176" i="1" s="1"/>
  <c r="I176" i="1"/>
  <c r="P350" i="1"/>
  <c r="Q350" i="1" s="1"/>
  <c r="I350" i="1"/>
  <c r="P239" i="1"/>
  <c r="Q239" i="1" s="1"/>
  <c r="I239" i="1"/>
  <c r="P205" i="1"/>
  <c r="Q205" i="1" s="1"/>
  <c r="I205" i="1"/>
  <c r="P224" i="1"/>
  <c r="Q224" i="1" s="1"/>
  <c r="I224" i="1"/>
  <c r="P193" i="1"/>
  <c r="Q193" i="1" s="1"/>
  <c r="I193" i="1"/>
  <c r="G147" i="1"/>
  <c r="P147" i="1" l="1"/>
  <c r="Q147" i="1" s="1"/>
  <c r="I147" i="1"/>
  <c r="A38" i="1"/>
  <c r="B38" i="1"/>
  <c r="C38" i="1"/>
  <c r="D38" i="1"/>
  <c r="E38" i="1"/>
  <c r="G38" i="1"/>
  <c r="J38" i="1"/>
  <c r="K38" i="1"/>
  <c r="L38" i="1"/>
  <c r="P38" i="1" l="1"/>
  <c r="Q38" i="1" s="1"/>
  <c r="I38" i="1"/>
  <c r="C140" i="1"/>
  <c r="C21" i="1"/>
  <c r="A208" i="1" l="1"/>
  <c r="A12" i="1"/>
  <c r="A161" i="1"/>
  <c r="A172" i="1"/>
  <c r="A20" i="1"/>
  <c r="A194" i="1"/>
  <c r="A165" i="1"/>
  <c r="A187" i="1"/>
  <c r="A210" i="1"/>
  <c r="A196" i="1"/>
  <c r="A180" i="1"/>
  <c r="A248" i="1"/>
  <c r="A10" i="1"/>
  <c r="A152" i="1"/>
  <c r="A247" i="1"/>
  <c r="A318" i="1"/>
  <c r="A197" i="1"/>
  <c r="A290" i="1"/>
  <c r="A124" i="1"/>
  <c r="A118" i="1"/>
  <c r="A157" i="1"/>
  <c r="A236" i="1"/>
  <c r="A140" i="1"/>
  <c r="A106" i="1"/>
  <c r="A94" i="1"/>
  <c r="A170" i="1"/>
  <c r="A182" i="1"/>
  <c r="A149" i="1"/>
  <c r="A361" i="1"/>
  <c r="A192" i="1"/>
  <c r="A147" i="1"/>
  <c r="A175" i="1"/>
  <c r="A215" i="1"/>
  <c r="A229" i="1"/>
  <c r="A225" i="1"/>
  <c r="A227" i="1"/>
  <c r="A212" i="1"/>
  <c r="B208" i="1"/>
  <c r="B12" i="1"/>
  <c r="B161" i="1"/>
  <c r="B172" i="1"/>
  <c r="B20" i="1"/>
  <c r="B194" i="1"/>
  <c r="B165" i="1"/>
  <c r="B187" i="1"/>
  <c r="B210" i="1"/>
  <c r="B196" i="1"/>
  <c r="B180" i="1"/>
  <c r="B248" i="1"/>
  <c r="B10" i="1"/>
  <c r="B152" i="1"/>
  <c r="B247" i="1"/>
  <c r="B318" i="1"/>
  <c r="B197" i="1"/>
  <c r="B290" i="1"/>
  <c r="B124" i="1"/>
  <c r="B118" i="1"/>
  <c r="B157" i="1"/>
  <c r="B236" i="1"/>
  <c r="B140" i="1"/>
  <c r="B106" i="1"/>
  <c r="B94" i="1"/>
  <c r="B170" i="1"/>
  <c r="B182" i="1"/>
  <c r="B149" i="1"/>
  <c r="B361" i="1"/>
  <c r="B192" i="1"/>
  <c r="B147" i="1"/>
  <c r="B175" i="1"/>
  <c r="B215" i="1"/>
  <c r="B229" i="1"/>
  <c r="B225" i="1"/>
  <c r="B227" i="1"/>
  <c r="B212" i="1"/>
  <c r="C208" i="1"/>
  <c r="C12" i="1"/>
  <c r="C161" i="1"/>
  <c r="C172" i="1"/>
  <c r="C20" i="1"/>
  <c r="C194" i="1"/>
  <c r="C165" i="1"/>
  <c r="C187" i="1"/>
  <c r="C210" i="1"/>
  <c r="C196" i="1"/>
  <c r="C180" i="1"/>
  <c r="C248" i="1"/>
  <c r="C10" i="1"/>
  <c r="C152" i="1"/>
  <c r="C247" i="1"/>
  <c r="C318" i="1"/>
  <c r="C197" i="1"/>
  <c r="C290" i="1"/>
  <c r="C124" i="1"/>
  <c r="C118" i="1"/>
  <c r="C157" i="1"/>
  <c r="C236" i="1"/>
  <c r="C106" i="1"/>
  <c r="C94" i="1"/>
  <c r="C170" i="1"/>
  <c r="C182" i="1"/>
  <c r="C149" i="1"/>
  <c r="C361" i="1"/>
  <c r="C192" i="1"/>
  <c r="C147" i="1"/>
  <c r="C175" i="1"/>
  <c r="C215" i="1"/>
  <c r="C229" i="1"/>
  <c r="C225" i="1"/>
  <c r="C227" i="1"/>
  <c r="C212" i="1"/>
  <c r="D208" i="1"/>
  <c r="D12" i="1"/>
  <c r="D161" i="1"/>
  <c r="D172" i="1"/>
  <c r="D20" i="1"/>
  <c r="D194" i="1"/>
  <c r="D165" i="1"/>
  <c r="D187" i="1"/>
  <c r="D210" i="1"/>
  <c r="D196" i="1"/>
  <c r="D180" i="1"/>
  <c r="D248" i="1"/>
  <c r="D10" i="1"/>
  <c r="D152" i="1"/>
  <c r="D247" i="1"/>
  <c r="D318" i="1"/>
  <c r="D197" i="1"/>
  <c r="D290" i="1"/>
  <c r="D124" i="1"/>
  <c r="D118" i="1"/>
  <c r="D157" i="1"/>
  <c r="D236" i="1"/>
  <c r="D140" i="1"/>
  <c r="D106" i="1"/>
  <c r="D94" i="1"/>
  <c r="D170" i="1"/>
  <c r="D182" i="1"/>
  <c r="D149" i="1"/>
  <c r="D361" i="1"/>
  <c r="D192" i="1"/>
  <c r="D147" i="1"/>
  <c r="D175" i="1"/>
  <c r="D215" i="1"/>
  <c r="D229" i="1"/>
  <c r="D225" i="1"/>
  <c r="D227" i="1"/>
  <c r="D212" i="1"/>
  <c r="E208" i="1"/>
  <c r="E12" i="1"/>
  <c r="E161" i="1"/>
  <c r="E172" i="1"/>
  <c r="E20" i="1"/>
  <c r="E194" i="1"/>
  <c r="E165" i="1"/>
  <c r="E187" i="1"/>
  <c r="E210" i="1"/>
  <c r="E196" i="1"/>
  <c r="E180" i="1"/>
  <c r="E248" i="1"/>
  <c r="E10" i="1"/>
  <c r="E152" i="1"/>
  <c r="E247" i="1"/>
  <c r="E318" i="1"/>
  <c r="E197" i="1"/>
  <c r="E290" i="1"/>
  <c r="E124" i="1"/>
  <c r="E118" i="1"/>
  <c r="E157" i="1"/>
  <c r="E140" i="1"/>
  <c r="E106" i="1"/>
  <c r="E94" i="1"/>
  <c r="E170" i="1"/>
  <c r="E182" i="1"/>
  <c r="E149" i="1"/>
  <c r="E361" i="1"/>
  <c r="E192" i="1"/>
  <c r="E147" i="1"/>
  <c r="E175" i="1"/>
  <c r="E215" i="1"/>
  <c r="E229" i="1"/>
  <c r="E225" i="1"/>
  <c r="E227" i="1"/>
  <c r="E212" i="1"/>
  <c r="G208" i="1"/>
  <c r="G12" i="1"/>
  <c r="G161" i="1"/>
  <c r="G172" i="1"/>
  <c r="G20" i="1"/>
  <c r="G194" i="1"/>
  <c r="G165" i="1"/>
  <c r="G187" i="1"/>
  <c r="G210" i="1"/>
  <c r="G196" i="1"/>
  <c r="G180" i="1"/>
  <c r="G248" i="1"/>
  <c r="G10" i="1"/>
  <c r="G152" i="1"/>
  <c r="G247" i="1"/>
  <c r="G318" i="1"/>
  <c r="G197" i="1"/>
  <c r="G290" i="1"/>
  <c r="G124" i="1"/>
  <c r="G118" i="1"/>
  <c r="G157" i="1"/>
  <c r="G236" i="1"/>
  <c r="G140" i="1"/>
  <c r="G106" i="1"/>
  <c r="G94" i="1"/>
  <c r="G170" i="1"/>
  <c r="G182" i="1"/>
  <c r="G149" i="1"/>
  <c r="G361" i="1"/>
  <c r="G192" i="1"/>
  <c r="G175" i="1"/>
  <c r="G215" i="1"/>
  <c r="G229" i="1"/>
  <c r="G225" i="1"/>
  <c r="G227" i="1"/>
  <c r="G212" i="1"/>
  <c r="J208" i="1"/>
  <c r="J12" i="1"/>
  <c r="J161" i="1"/>
  <c r="J172" i="1"/>
  <c r="J20" i="1"/>
  <c r="J194" i="1"/>
  <c r="J165" i="1"/>
  <c r="J187" i="1"/>
  <c r="J210" i="1"/>
  <c r="J196" i="1"/>
  <c r="J180" i="1"/>
  <c r="J248" i="1"/>
  <c r="J10" i="1"/>
  <c r="J152" i="1"/>
  <c r="J247" i="1"/>
  <c r="J318" i="1"/>
  <c r="J197" i="1"/>
  <c r="J290" i="1"/>
  <c r="J124" i="1"/>
  <c r="J118" i="1"/>
  <c r="J157" i="1"/>
  <c r="J236" i="1"/>
  <c r="J140" i="1"/>
  <c r="J106" i="1"/>
  <c r="J94" i="1"/>
  <c r="J170" i="1"/>
  <c r="J182" i="1"/>
  <c r="J149" i="1"/>
  <c r="J361" i="1"/>
  <c r="J192" i="1"/>
  <c r="J147" i="1"/>
  <c r="J175" i="1"/>
  <c r="J215" i="1"/>
  <c r="J229" i="1"/>
  <c r="J225" i="1"/>
  <c r="J227" i="1"/>
  <c r="J212" i="1"/>
  <c r="K208" i="1"/>
  <c r="K161" i="1"/>
  <c r="K172" i="1"/>
  <c r="K20" i="1"/>
  <c r="K194" i="1"/>
  <c r="K165" i="1"/>
  <c r="K187" i="1"/>
  <c r="K210" i="1"/>
  <c r="K196" i="1"/>
  <c r="K180" i="1"/>
  <c r="K248" i="1"/>
  <c r="K10" i="1"/>
  <c r="K152" i="1"/>
  <c r="K247" i="1"/>
  <c r="K318" i="1"/>
  <c r="K197" i="1"/>
  <c r="K290" i="1"/>
  <c r="K124" i="1"/>
  <c r="K118" i="1"/>
  <c r="K157" i="1"/>
  <c r="K236" i="1"/>
  <c r="K140" i="1"/>
  <c r="K106" i="1"/>
  <c r="K94" i="1"/>
  <c r="K170" i="1"/>
  <c r="K182" i="1"/>
  <c r="K149" i="1"/>
  <c r="K361" i="1"/>
  <c r="K192" i="1"/>
  <c r="K147" i="1"/>
  <c r="K215" i="1"/>
  <c r="K229" i="1"/>
  <c r="K225" i="1"/>
  <c r="K227" i="1"/>
  <c r="K212" i="1"/>
  <c r="L208" i="1"/>
  <c r="L12" i="1"/>
  <c r="L161" i="1"/>
  <c r="L172" i="1"/>
  <c r="L20" i="1"/>
  <c r="L194" i="1"/>
  <c r="L165" i="1"/>
  <c r="L187" i="1"/>
  <c r="L210" i="1"/>
  <c r="L196" i="1"/>
  <c r="L180" i="1"/>
  <c r="L248" i="1"/>
  <c r="L10" i="1"/>
  <c r="L152" i="1"/>
  <c r="L247" i="1"/>
  <c r="L318" i="1"/>
  <c r="L197" i="1"/>
  <c r="L290" i="1"/>
  <c r="L124" i="1"/>
  <c r="L118" i="1"/>
  <c r="L157" i="1"/>
  <c r="L236" i="1"/>
  <c r="L140" i="1"/>
  <c r="L106" i="1"/>
  <c r="L94" i="1"/>
  <c r="L170" i="1"/>
  <c r="L182" i="1"/>
  <c r="L149" i="1"/>
  <c r="L361" i="1"/>
  <c r="L192" i="1"/>
  <c r="L147" i="1"/>
  <c r="L175" i="1"/>
  <c r="L215" i="1"/>
  <c r="L229" i="1"/>
  <c r="L225" i="1"/>
  <c r="L227" i="1"/>
  <c r="L212" i="1"/>
  <c r="P229" i="1" l="1"/>
  <c r="Q229" i="1" s="1"/>
  <c r="I229" i="1"/>
  <c r="P182" i="1"/>
  <c r="Q182" i="1" s="1"/>
  <c r="I182" i="1"/>
  <c r="P157" i="1"/>
  <c r="Q157" i="1" s="1"/>
  <c r="I157" i="1"/>
  <c r="P247" i="1"/>
  <c r="Q247" i="1" s="1"/>
  <c r="I247" i="1"/>
  <c r="P210" i="1"/>
  <c r="Q210" i="1" s="1"/>
  <c r="I210" i="1"/>
  <c r="P161" i="1"/>
  <c r="Q161" i="1" s="1"/>
  <c r="I161" i="1"/>
  <c r="P215" i="1"/>
  <c r="Q215" i="1" s="1"/>
  <c r="I215" i="1"/>
  <c r="P170" i="1"/>
  <c r="Q170" i="1" s="1"/>
  <c r="I170" i="1"/>
  <c r="P118" i="1"/>
  <c r="Q118" i="1" s="1"/>
  <c r="I118" i="1"/>
  <c r="P152" i="1"/>
  <c r="Q152" i="1" s="1"/>
  <c r="I152" i="1"/>
  <c r="P187" i="1"/>
  <c r="Q187" i="1" s="1"/>
  <c r="I187" i="1"/>
  <c r="P12" i="1"/>
  <c r="Q12" i="1" s="1"/>
  <c r="I12" i="1"/>
  <c r="P175" i="1"/>
  <c r="Q175" i="1" s="1"/>
  <c r="I175" i="1"/>
  <c r="P94" i="1"/>
  <c r="Q94" i="1" s="1"/>
  <c r="I94" i="1"/>
  <c r="P124" i="1"/>
  <c r="Q124" i="1" s="1"/>
  <c r="I124" i="1"/>
  <c r="P10" i="1"/>
  <c r="Q10" i="1" s="1"/>
  <c r="I10" i="1"/>
  <c r="P165" i="1"/>
  <c r="Q165" i="1" s="1"/>
  <c r="I165" i="1"/>
  <c r="P208" i="1"/>
  <c r="Q208" i="1" s="1"/>
  <c r="I208" i="1"/>
  <c r="P212" i="1"/>
  <c r="Q212" i="1" s="1"/>
  <c r="I212" i="1"/>
  <c r="P192" i="1"/>
  <c r="Q192" i="1" s="1"/>
  <c r="I192" i="1"/>
  <c r="P106" i="1"/>
  <c r="Q106" i="1" s="1"/>
  <c r="I106" i="1"/>
  <c r="P290" i="1"/>
  <c r="Q290" i="1" s="1"/>
  <c r="I290" i="1"/>
  <c r="P248" i="1"/>
  <c r="Q248" i="1" s="1"/>
  <c r="I248" i="1"/>
  <c r="P194" i="1"/>
  <c r="Q194" i="1" s="1"/>
  <c r="I194" i="1"/>
  <c r="P227" i="1"/>
  <c r="Q227" i="1" s="1"/>
  <c r="I227" i="1"/>
  <c r="P361" i="1"/>
  <c r="Q361" i="1" s="1"/>
  <c r="I361" i="1"/>
  <c r="P140" i="1"/>
  <c r="Q140" i="1" s="1"/>
  <c r="I140" i="1"/>
  <c r="P197" i="1"/>
  <c r="Q197" i="1" s="1"/>
  <c r="I197" i="1"/>
  <c r="P180" i="1"/>
  <c r="Q180" i="1" s="1"/>
  <c r="I180" i="1"/>
  <c r="P20" i="1"/>
  <c r="Q20" i="1" s="1"/>
  <c r="I20" i="1"/>
  <c r="P225" i="1"/>
  <c r="Q225" i="1" s="1"/>
  <c r="I225" i="1"/>
  <c r="P149" i="1"/>
  <c r="Q149" i="1" s="1"/>
  <c r="I149" i="1"/>
  <c r="P236" i="1"/>
  <c r="Q236" i="1" s="1"/>
  <c r="I236" i="1"/>
  <c r="P318" i="1"/>
  <c r="Q318" i="1" s="1"/>
  <c r="I318" i="1"/>
  <c r="P196" i="1"/>
  <c r="Q196" i="1" s="1"/>
  <c r="I196" i="1"/>
  <c r="P172" i="1"/>
  <c r="Q172" i="1" s="1"/>
  <c r="I172" i="1"/>
  <c r="A143" i="1"/>
  <c r="A146" i="1"/>
  <c r="A144" i="1"/>
  <c r="A151" i="1"/>
  <c r="A213" i="1"/>
  <c r="A171" i="1"/>
  <c r="A202" i="1"/>
  <c r="A312" i="1"/>
  <c r="A184" i="1"/>
  <c r="A246" i="1"/>
  <c r="A244" i="1"/>
  <c r="A163" i="1"/>
  <c r="A294" i="1"/>
  <c r="A311" i="1"/>
  <c r="A9" i="1"/>
  <c r="A321" i="1"/>
  <c r="A160" i="1"/>
  <c r="B143" i="1"/>
  <c r="B146" i="1"/>
  <c r="B144" i="1"/>
  <c r="B151" i="1"/>
  <c r="B213" i="1"/>
  <c r="B171" i="1"/>
  <c r="B202" i="1"/>
  <c r="B312" i="1"/>
  <c r="B184" i="1"/>
  <c r="B246" i="1"/>
  <c r="B244" i="1"/>
  <c r="B163" i="1"/>
  <c r="B294" i="1"/>
  <c r="B311" i="1"/>
  <c r="B9" i="1"/>
  <c r="B321" i="1"/>
  <c r="B160" i="1"/>
  <c r="C143" i="1"/>
  <c r="C146" i="1"/>
  <c r="C144" i="1"/>
  <c r="C151" i="1"/>
  <c r="C213" i="1"/>
  <c r="C171" i="1"/>
  <c r="C202" i="1"/>
  <c r="C312" i="1"/>
  <c r="C184" i="1"/>
  <c r="C246" i="1"/>
  <c r="C244" i="1"/>
  <c r="C163" i="1"/>
  <c r="C294" i="1"/>
  <c r="C311" i="1"/>
  <c r="C9" i="1"/>
  <c r="C321" i="1"/>
  <c r="C160" i="1"/>
  <c r="D143" i="1"/>
  <c r="D146" i="1"/>
  <c r="D144" i="1"/>
  <c r="D151" i="1"/>
  <c r="D213" i="1"/>
  <c r="D171" i="1"/>
  <c r="D202" i="1"/>
  <c r="D312" i="1"/>
  <c r="D184" i="1"/>
  <c r="D246" i="1"/>
  <c r="D244" i="1"/>
  <c r="D163" i="1"/>
  <c r="D294" i="1"/>
  <c r="D311" i="1"/>
  <c r="D9" i="1"/>
  <c r="D321" i="1"/>
  <c r="D160" i="1"/>
  <c r="E143" i="1"/>
  <c r="E146" i="1"/>
  <c r="E144" i="1"/>
  <c r="E151" i="1"/>
  <c r="E213" i="1"/>
  <c r="E202" i="1"/>
  <c r="E312" i="1"/>
  <c r="E184" i="1"/>
  <c r="E246" i="1"/>
  <c r="E244" i="1"/>
  <c r="E163" i="1"/>
  <c r="E294" i="1"/>
  <c r="E311" i="1"/>
  <c r="E9" i="1"/>
  <c r="E321" i="1"/>
  <c r="E160" i="1"/>
  <c r="G143" i="1"/>
  <c r="G146" i="1"/>
  <c r="G144" i="1"/>
  <c r="G151" i="1"/>
  <c r="G213" i="1"/>
  <c r="G171" i="1"/>
  <c r="G202" i="1"/>
  <c r="G312" i="1"/>
  <c r="G184" i="1"/>
  <c r="G246" i="1"/>
  <c r="G244" i="1"/>
  <c r="G163" i="1"/>
  <c r="G294" i="1"/>
  <c r="G311" i="1"/>
  <c r="G9" i="1"/>
  <c r="G321" i="1"/>
  <c r="G160" i="1"/>
  <c r="J143" i="1"/>
  <c r="J146" i="1"/>
  <c r="J144" i="1"/>
  <c r="J151" i="1"/>
  <c r="J213" i="1"/>
  <c r="J171" i="1"/>
  <c r="J202" i="1"/>
  <c r="J312" i="1"/>
  <c r="J184" i="1"/>
  <c r="J246" i="1"/>
  <c r="J244" i="1"/>
  <c r="J163" i="1"/>
  <c r="J294" i="1"/>
  <c r="J311" i="1"/>
  <c r="J9" i="1"/>
  <c r="J321" i="1"/>
  <c r="J160" i="1"/>
  <c r="K143" i="1"/>
  <c r="K146" i="1"/>
  <c r="K144" i="1"/>
  <c r="K151" i="1"/>
  <c r="K213" i="1"/>
  <c r="K171" i="1"/>
  <c r="K202" i="1"/>
  <c r="K312" i="1"/>
  <c r="K184" i="1"/>
  <c r="K246" i="1"/>
  <c r="K244" i="1"/>
  <c r="K163" i="1"/>
  <c r="K294" i="1"/>
  <c r="K311" i="1"/>
  <c r="K9" i="1"/>
  <c r="K321" i="1"/>
  <c r="K160" i="1"/>
  <c r="L143" i="1"/>
  <c r="L146" i="1"/>
  <c r="L144" i="1"/>
  <c r="L151" i="1"/>
  <c r="L213" i="1"/>
  <c r="L171" i="1"/>
  <c r="L202" i="1"/>
  <c r="L312" i="1"/>
  <c r="L184" i="1"/>
  <c r="L246" i="1"/>
  <c r="L244" i="1"/>
  <c r="L163" i="1"/>
  <c r="L294" i="1"/>
  <c r="L311" i="1"/>
  <c r="L9" i="1"/>
  <c r="L321" i="1"/>
  <c r="L160" i="1"/>
  <c r="A191" i="1"/>
  <c r="B191" i="1"/>
  <c r="C191" i="1"/>
  <c r="D191" i="1"/>
  <c r="E191" i="1"/>
  <c r="G191" i="1"/>
  <c r="J191" i="1"/>
  <c r="K191" i="1"/>
  <c r="L191" i="1"/>
  <c r="P163" i="1" l="1"/>
  <c r="Q163" i="1" s="1"/>
  <c r="I163" i="1"/>
  <c r="P171" i="1"/>
  <c r="Q171" i="1" s="1"/>
  <c r="I171" i="1"/>
  <c r="P160" i="1"/>
  <c r="Q160" i="1" s="1"/>
  <c r="I160" i="1"/>
  <c r="P244" i="1"/>
  <c r="Q244" i="1" s="1"/>
  <c r="I244" i="1"/>
  <c r="P213" i="1"/>
  <c r="Q213" i="1" s="1"/>
  <c r="I213" i="1"/>
  <c r="P321" i="1"/>
  <c r="Q321" i="1" s="1"/>
  <c r="I321" i="1"/>
  <c r="P246" i="1"/>
  <c r="Q246" i="1" s="1"/>
  <c r="I246" i="1"/>
  <c r="P151" i="1"/>
  <c r="Q151" i="1" s="1"/>
  <c r="I151" i="1"/>
  <c r="P9" i="1"/>
  <c r="Q9" i="1" s="1"/>
  <c r="I9" i="1"/>
  <c r="P184" i="1"/>
  <c r="Q184" i="1" s="1"/>
  <c r="I184" i="1"/>
  <c r="P144" i="1"/>
  <c r="Q144" i="1" s="1"/>
  <c r="I144" i="1"/>
  <c r="P191" i="1"/>
  <c r="Q191" i="1" s="1"/>
  <c r="I191" i="1"/>
  <c r="P311" i="1"/>
  <c r="Q311" i="1" s="1"/>
  <c r="I311" i="1"/>
  <c r="P312" i="1"/>
  <c r="Q312" i="1" s="1"/>
  <c r="I312" i="1"/>
  <c r="P146" i="1"/>
  <c r="Q146" i="1" s="1"/>
  <c r="I146" i="1"/>
  <c r="P294" i="1"/>
  <c r="Q294" i="1" s="1"/>
  <c r="I294" i="1"/>
  <c r="P202" i="1"/>
  <c r="Q202" i="1" s="1"/>
  <c r="I202" i="1"/>
  <c r="P143" i="1"/>
  <c r="Q143" i="1" s="1"/>
  <c r="I143" i="1"/>
  <c r="C169" i="1"/>
  <c r="C111" i="1"/>
  <c r="A422" i="1" l="1"/>
  <c r="B422" i="1"/>
  <c r="C422" i="1"/>
  <c r="D422" i="1"/>
  <c r="E422" i="1"/>
  <c r="G422" i="1"/>
  <c r="J422" i="1"/>
  <c r="K422" i="1"/>
  <c r="L422" i="1"/>
  <c r="P422" i="1" l="1"/>
  <c r="Q422" i="1" s="1"/>
  <c r="I422" i="1"/>
  <c r="A2" i="1"/>
  <c r="A19" i="1"/>
  <c r="A155" i="1"/>
  <c r="A249" i="1"/>
  <c r="A139" i="1"/>
  <c r="A138" i="1"/>
  <c r="B2" i="1"/>
  <c r="B19" i="1"/>
  <c r="B155" i="1"/>
  <c r="B249" i="1"/>
  <c r="B139" i="1"/>
  <c r="B138" i="1"/>
  <c r="C2" i="1"/>
  <c r="C19" i="1"/>
  <c r="C155" i="1"/>
  <c r="C249" i="1"/>
  <c r="C139" i="1"/>
  <c r="C138" i="1"/>
  <c r="D2" i="1"/>
  <c r="D19" i="1"/>
  <c r="D155" i="1"/>
  <c r="D249" i="1"/>
  <c r="D139" i="1"/>
  <c r="D138" i="1"/>
  <c r="E2" i="1"/>
  <c r="E19" i="1"/>
  <c r="E155" i="1"/>
  <c r="E249" i="1"/>
  <c r="E139" i="1"/>
  <c r="E138" i="1"/>
  <c r="G2" i="1"/>
  <c r="G19" i="1"/>
  <c r="G155" i="1"/>
  <c r="G249" i="1"/>
  <c r="G139" i="1"/>
  <c r="G138" i="1"/>
  <c r="J2" i="1"/>
  <c r="J19" i="1"/>
  <c r="J155" i="1"/>
  <c r="J249" i="1"/>
  <c r="J139" i="1"/>
  <c r="J138" i="1"/>
  <c r="K2" i="1"/>
  <c r="K155" i="1"/>
  <c r="K249" i="1"/>
  <c r="K139" i="1"/>
  <c r="K138" i="1"/>
  <c r="L2" i="1"/>
  <c r="L19" i="1"/>
  <c r="L155" i="1"/>
  <c r="L249" i="1"/>
  <c r="L139" i="1"/>
  <c r="L138" i="1"/>
  <c r="A154" i="1"/>
  <c r="B154" i="1"/>
  <c r="C154" i="1"/>
  <c r="D154" i="1"/>
  <c r="E154" i="1"/>
  <c r="G154" i="1"/>
  <c r="J154" i="1"/>
  <c r="K154" i="1"/>
  <c r="L154" i="1"/>
  <c r="A159" i="1"/>
  <c r="A287" i="1"/>
  <c r="A300" i="1"/>
  <c r="A18" i="1"/>
  <c r="A17" i="1"/>
  <c r="A37" i="1"/>
  <c r="A411" i="1"/>
  <c r="A410" i="1"/>
  <c r="A237" i="1"/>
  <c r="B159" i="1"/>
  <c r="B287" i="1"/>
  <c r="B300" i="1"/>
  <c r="B18" i="1"/>
  <c r="B17" i="1"/>
  <c r="B37" i="1"/>
  <c r="B411" i="1"/>
  <c r="B410" i="1"/>
  <c r="B237" i="1"/>
  <c r="C159" i="1"/>
  <c r="C287" i="1"/>
  <c r="C300" i="1"/>
  <c r="C18" i="1"/>
  <c r="C17" i="1"/>
  <c r="C37" i="1"/>
  <c r="C411" i="1"/>
  <c r="C410" i="1"/>
  <c r="C237" i="1"/>
  <c r="D159" i="1"/>
  <c r="D287" i="1"/>
  <c r="D300" i="1"/>
  <c r="D18" i="1"/>
  <c r="D17" i="1"/>
  <c r="D37" i="1"/>
  <c r="D411" i="1"/>
  <c r="D410" i="1"/>
  <c r="D237" i="1"/>
  <c r="E159" i="1"/>
  <c r="E287" i="1"/>
  <c r="E300" i="1"/>
  <c r="E18" i="1"/>
  <c r="E37" i="1"/>
  <c r="E411" i="1"/>
  <c r="E410" i="1"/>
  <c r="E237" i="1"/>
  <c r="G159" i="1"/>
  <c r="G287" i="1"/>
  <c r="G300" i="1"/>
  <c r="G18" i="1"/>
  <c r="G17" i="1"/>
  <c r="G37" i="1"/>
  <c r="G411" i="1"/>
  <c r="G410" i="1"/>
  <c r="G237" i="1"/>
  <c r="J159" i="1"/>
  <c r="J287" i="1"/>
  <c r="J300" i="1"/>
  <c r="J18" i="1"/>
  <c r="J17" i="1"/>
  <c r="J37" i="1"/>
  <c r="J411" i="1"/>
  <c r="J410" i="1"/>
  <c r="J237" i="1"/>
  <c r="K159" i="1"/>
  <c r="K287" i="1"/>
  <c r="K300" i="1"/>
  <c r="K18" i="1"/>
  <c r="K17" i="1"/>
  <c r="K37" i="1"/>
  <c r="K411" i="1"/>
  <c r="K410" i="1"/>
  <c r="K237" i="1"/>
  <c r="L159" i="1"/>
  <c r="L287" i="1"/>
  <c r="L300" i="1"/>
  <c r="L18" i="1"/>
  <c r="L17" i="1"/>
  <c r="L37" i="1"/>
  <c r="L411" i="1"/>
  <c r="L410" i="1"/>
  <c r="L237" i="1"/>
  <c r="A131" i="1"/>
  <c r="A407" i="1"/>
  <c r="A22" i="1"/>
  <c r="A145" i="1"/>
  <c r="B131" i="1"/>
  <c r="B407" i="1"/>
  <c r="B22" i="1"/>
  <c r="B145" i="1"/>
  <c r="C131" i="1"/>
  <c r="C407" i="1"/>
  <c r="C22" i="1"/>
  <c r="C145" i="1"/>
  <c r="D131" i="1"/>
  <c r="D407" i="1"/>
  <c r="D22" i="1"/>
  <c r="D145" i="1"/>
  <c r="E131" i="1"/>
  <c r="E407" i="1"/>
  <c r="E22" i="1"/>
  <c r="E145" i="1"/>
  <c r="G131" i="1"/>
  <c r="G407" i="1"/>
  <c r="G22" i="1"/>
  <c r="G145" i="1"/>
  <c r="J131" i="1"/>
  <c r="J407" i="1"/>
  <c r="J22" i="1"/>
  <c r="J145" i="1"/>
  <c r="K131" i="1"/>
  <c r="K407" i="1"/>
  <c r="K22" i="1"/>
  <c r="K145" i="1"/>
  <c r="L131" i="1"/>
  <c r="L407" i="1"/>
  <c r="L22" i="1"/>
  <c r="L145" i="1"/>
  <c r="P145" i="1" l="1"/>
  <c r="Q145" i="1" s="1"/>
  <c r="I145" i="1"/>
  <c r="P37" i="1"/>
  <c r="Q37" i="1" s="1"/>
  <c r="I37" i="1"/>
  <c r="P249" i="1"/>
  <c r="Q249" i="1" s="1"/>
  <c r="I249" i="1"/>
  <c r="P22" i="1"/>
  <c r="Q22" i="1" s="1"/>
  <c r="I22" i="1"/>
  <c r="P17" i="1"/>
  <c r="Q17" i="1" s="1"/>
  <c r="I17" i="1"/>
  <c r="P155" i="1"/>
  <c r="Q155" i="1" s="1"/>
  <c r="I155" i="1"/>
  <c r="P407" i="1"/>
  <c r="Q407" i="1" s="1"/>
  <c r="I407" i="1"/>
  <c r="P18" i="1"/>
  <c r="Q18" i="1" s="1"/>
  <c r="I18" i="1"/>
  <c r="P19" i="1"/>
  <c r="Q19" i="1" s="1"/>
  <c r="I19" i="1"/>
  <c r="P131" i="1"/>
  <c r="Q131" i="1" s="1"/>
  <c r="I131" i="1"/>
  <c r="P237" i="1"/>
  <c r="Q237" i="1" s="1"/>
  <c r="I237" i="1"/>
  <c r="P300" i="1"/>
  <c r="Q300" i="1" s="1"/>
  <c r="I300" i="1"/>
  <c r="P2" i="1"/>
  <c r="Q2" i="1" s="1"/>
  <c r="I2" i="1"/>
  <c r="P410" i="1"/>
  <c r="Q410" i="1" s="1"/>
  <c r="I410" i="1"/>
  <c r="P287" i="1"/>
  <c r="Q287" i="1" s="1"/>
  <c r="I287" i="1"/>
  <c r="P138" i="1"/>
  <c r="Q138" i="1" s="1"/>
  <c r="I138" i="1"/>
  <c r="P411" i="1"/>
  <c r="Q411" i="1" s="1"/>
  <c r="I411" i="1"/>
  <c r="P159" i="1"/>
  <c r="Q159" i="1" s="1"/>
  <c r="I159" i="1"/>
  <c r="P154" i="1"/>
  <c r="Q154" i="1" s="1"/>
  <c r="I154" i="1"/>
  <c r="P139" i="1"/>
  <c r="Q139" i="1" s="1"/>
  <c r="I139" i="1"/>
  <c r="A185" i="1"/>
  <c r="A216" i="1"/>
  <c r="A15" i="1"/>
  <c r="A100" i="1"/>
  <c r="A242" i="1"/>
  <c r="A153" i="1"/>
  <c r="B185" i="1"/>
  <c r="B216" i="1"/>
  <c r="B15" i="1"/>
  <c r="B100" i="1"/>
  <c r="B242" i="1"/>
  <c r="B153" i="1"/>
  <c r="C185" i="1"/>
  <c r="C216" i="1"/>
  <c r="C15" i="1"/>
  <c r="C100" i="1"/>
  <c r="C242" i="1"/>
  <c r="C153" i="1"/>
  <c r="D185" i="1"/>
  <c r="D216" i="1"/>
  <c r="D15" i="1"/>
  <c r="D100" i="1"/>
  <c r="D242" i="1"/>
  <c r="D153" i="1"/>
  <c r="E185" i="1"/>
  <c r="E216" i="1"/>
  <c r="E15" i="1"/>
  <c r="E100" i="1"/>
  <c r="E242" i="1"/>
  <c r="E153" i="1"/>
  <c r="G185" i="1"/>
  <c r="G216" i="1"/>
  <c r="G15" i="1"/>
  <c r="G100" i="1"/>
  <c r="G242" i="1"/>
  <c r="G153" i="1"/>
  <c r="J185" i="1"/>
  <c r="J216" i="1"/>
  <c r="J15" i="1"/>
  <c r="J100" i="1"/>
  <c r="J242" i="1"/>
  <c r="J153" i="1"/>
  <c r="K185" i="1"/>
  <c r="K216" i="1"/>
  <c r="K15" i="1"/>
  <c r="K100" i="1"/>
  <c r="K242" i="1"/>
  <c r="K153" i="1"/>
  <c r="L185" i="1"/>
  <c r="L216" i="1"/>
  <c r="L15" i="1"/>
  <c r="L100" i="1"/>
  <c r="L242" i="1"/>
  <c r="L153" i="1"/>
  <c r="P153" i="1" l="1"/>
  <c r="Q153" i="1" s="1"/>
  <c r="I153" i="1"/>
  <c r="P216" i="1"/>
  <c r="Q216" i="1" s="1"/>
  <c r="I216" i="1"/>
  <c r="P185" i="1"/>
  <c r="Q185" i="1" s="1"/>
  <c r="I185" i="1"/>
  <c r="P242" i="1"/>
  <c r="Q242" i="1" s="1"/>
  <c r="I242" i="1"/>
  <c r="P100" i="1"/>
  <c r="Q100" i="1" s="1"/>
  <c r="I100" i="1"/>
  <c r="P15" i="1"/>
  <c r="Q15" i="1" s="1"/>
  <c r="I15" i="1"/>
  <c r="C231" i="1"/>
  <c r="A233" i="1"/>
  <c r="A21" i="1"/>
  <c r="A231" i="1"/>
  <c r="A221" i="1"/>
  <c r="A14" i="1"/>
  <c r="A190" i="1"/>
  <c r="A137" i="1"/>
  <c r="A285" i="1"/>
  <c r="A120" i="1"/>
  <c r="A167" i="1"/>
  <c r="A203" i="1"/>
  <c r="A232" i="1"/>
  <c r="A150" i="1"/>
  <c r="A189" i="1"/>
  <c r="A16" i="1"/>
  <c r="A245" i="1"/>
  <c r="A121" i="1"/>
  <c r="A179" i="1"/>
  <c r="A238" i="1"/>
  <c r="B233" i="1"/>
  <c r="B21" i="1"/>
  <c r="B231" i="1"/>
  <c r="B221" i="1"/>
  <c r="B14" i="1"/>
  <c r="B190" i="1"/>
  <c r="B137" i="1"/>
  <c r="B285" i="1"/>
  <c r="B120" i="1"/>
  <c r="B167" i="1"/>
  <c r="B203" i="1"/>
  <c r="B232" i="1"/>
  <c r="B150" i="1"/>
  <c r="B189" i="1"/>
  <c r="B16" i="1"/>
  <c r="B245" i="1"/>
  <c r="B121" i="1"/>
  <c r="B179" i="1"/>
  <c r="B238" i="1"/>
  <c r="C233" i="1"/>
  <c r="C221" i="1"/>
  <c r="C14" i="1"/>
  <c r="C190" i="1"/>
  <c r="C137" i="1"/>
  <c r="C285" i="1"/>
  <c r="C120" i="1"/>
  <c r="C167" i="1"/>
  <c r="C203" i="1"/>
  <c r="C232" i="1"/>
  <c r="C150" i="1"/>
  <c r="C189" i="1"/>
  <c r="C16" i="1"/>
  <c r="C245" i="1"/>
  <c r="C121" i="1"/>
  <c r="C179" i="1"/>
  <c r="C238" i="1"/>
  <c r="D233" i="1"/>
  <c r="D21" i="1"/>
  <c r="D231" i="1"/>
  <c r="D221" i="1"/>
  <c r="D14" i="1"/>
  <c r="D190" i="1"/>
  <c r="D137" i="1"/>
  <c r="D285" i="1"/>
  <c r="D120" i="1"/>
  <c r="D167" i="1"/>
  <c r="D203" i="1"/>
  <c r="D232" i="1"/>
  <c r="D150" i="1"/>
  <c r="D189" i="1"/>
  <c r="D16" i="1"/>
  <c r="D245" i="1"/>
  <c r="D121" i="1"/>
  <c r="D179" i="1"/>
  <c r="D238" i="1"/>
  <c r="E233" i="1"/>
  <c r="E21" i="1"/>
  <c r="E231" i="1"/>
  <c r="E221" i="1"/>
  <c r="E14" i="1"/>
  <c r="E190" i="1"/>
  <c r="E137" i="1"/>
  <c r="E285" i="1"/>
  <c r="E120" i="1"/>
  <c r="E167" i="1"/>
  <c r="E203" i="1"/>
  <c r="E232" i="1"/>
  <c r="E150" i="1"/>
  <c r="E189" i="1"/>
  <c r="E16" i="1"/>
  <c r="E245" i="1"/>
  <c r="E121" i="1"/>
  <c r="E179" i="1"/>
  <c r="E238" i="1"/>
  <c r="G233" i="1"/>
  <c r="G21" i="1"/>
  <c r="G231" i="1"/>
  <c r="G221" i="1"/>
  <c r="G14" i="1"/>
  <c r="G190" i="1"/>
  <c r="G137" i="1"/>
  <c r="G285" i="1"/>
  <c r="G120" i="1"/>
  <c r="G167" i="1"/>
  <c r="G203" i="1"/>
  <c r="G232" i="1"/>
  <c r="G150" i="1"/>
  <c r="G189" i="1"/>
  <c r="G16" i="1"/>
  <c r="G245" i="1"/>
  <c r="G121" i="1"/>
  <c r="G179" i="1"/>
  <c r="G238" i="1"/>
  <c r="J233" i="1"/>
  <c r="J21" i="1"/>
  <c r="J231" i="1"/>
  <c r="J221" i="1"/>
  <c r="J14" i="1"/>
  <c r="J190" i="1"/>
  <c r="J137" i="1"/>
  <c r="J285" i="1"/>
  <c r="J120" i="1"/>
  <c r="J167" i="1"/>
  <c r="J203" i="1"/>
  <c r="J150" i="1"/>
  <c r="J189" i="1"/>
  <c r="J16" i="1"/>
  <c r="J245" i="1"/>
  <c r="J121" i="1"/>
  <c r="J179" i="1"/>
  <c r="J238" i="1"/>
  <c r="K233" i="1"/>
  <c r="K21" i="1"/>
  <c r="K231" i="1"/>
  <c r="K221" i="1"/>
  <c r="K14" i="1"/>
  <c r="K190" i="1"/>
  <c r="K137" i="1"/>
  <c r="K285" i="1"/>
  <c r="K120" i="1"/>
  <c r="K167" i="1"/>
  <c r="K203" i="1"/>
  <c r="K232" i="1"/>
  <c r="K150" i="1"/>
  <c r="K189" i="1"/>
  <c r="K16" i="1"/>
  <c r="K245" i="1"/>
  <c r="K121" i="1"/>
  <c r="K179" i="1"/>
  <c r="K238" i="1"/>
  <c r="L233" i="1"/>
  <c r="L21" i="1"/>
  <c r="L231" i="1"/>
  <c r="L221" i="1"/>
  <c r="L14" i="1"/>
  <c r="L190" i="1"/>
  <c r="L137" i="1"/>
  <c r="L285" i="1"/>
  <c r="L120" i="1"/>
  <c r="L167" i="1"/>
  <c r="L203" i="1"/>
  <c r="L232" i="1"/>
  <c r="L150" i="1"/>
  <c r="L189" i="1"/>
  <c r="L16" i="1"/>
  <c r="L245" i="1"/>
  <c r="L121" i="1"/>
  <c r="L179" i="1"/>
  <c r="L238" i="1"/>
  <c r="P189" i="1" l="1"/>
  <c r="Q189" i="1" s="1"/>
  <c r="I189" i="1"/>
  <c r="P285" i="1"/>
  <c r="Q285" i="1" s="1"/>
  <c r="I285" i="1"/>
  <c r="P21" i="1"/>
  <c r="Q21" i="1" s="1"/>
  <c r="I21" i="1"/>
  <c r="P238" i="1"/>
  <c r="Q238" i="1" s="1"/>
  <c r="I238" i="1"/>
  <c r="P150" i="1"/>
  <c r="Q150" i="1" s="1"/>
  <c r="I150" i="1"/>
  <c r="P137" i="1"/>
  <c r="Q137" i="1" s="1"/>
  <c r="I137" i="1"/>
  <c r="P233" i="1"/>
  <c r="Q233" i="1" s="1"/>
  <c r="I233" i="1"/>
  <c r="P179" i="1"/>
  <c r="Q179" i="1" s="1"/>
  <c r="I179" i="1"/>
  <c r="P232" i="1"/>
  <c r="Q232" i="1" s="1"/>
  <c r="I232" i="1"/>
  <c r="P190" i="1"/>
  <c r="Q190" i="1" s="1"/>
  <c r="I190" i="1"/>
  <c r="P121" i="1"/>
  <c r="Q121" i="1" s="1"/>
  <c r="I121" i="1"/>
  <c r="P203" i="1"/>
  <c r="Q203" i="1" s="1"/>
  <c r="I203" i="1"/>
  <c r="P14" i="1"/>
  <c r="Q14" i="1" s="1"/>
  <c r="I14" i="1"/>
  <c r="P245" i="1"/>
  <c r="Q245" i="1" s="1"/>
  <c r="I245" i="1"/>
  <c r="P167" i="1"/>
  <c r="Q167" i="1" s="1"/>
  <c r="I167" i="1"/>
  <c r="P221" i="1"/>
  <c r="Q221" i="1" s="1"/>
  <c r="I221" i="1"/>
  <c r="P16" i="1"/>
  <c r="Q16" i="1" s="1"/>
  <c r="I16" i="1"/>
  <c r="P120" i="1"/>
  <c r="Q120" i="1" s="1"/>
  <c r="I120" i="1"/>
  <c r="P231" i="1"/>
  <c r="Q231" i="1" s="1"/>
  <c r="I231" i="1"/>
  <c r="A81" i="1"/>
  <c r="B81" i="1"/>
  <c r="C81" i="1"/>
  <c r="D81" i="1"/>
  <c r="E81" i="1"/>
  <c r="G81" i="1"/>
  <c r="J81" i="1"/>
  <c r="K81" i="1"/>
  <c r="L81" i="1"/>
  <c r="P81" i="1" l="1"/>
  <c r="Q81" i="1" s="1"/>
  <c r="I81" i="1"/>
  <c r="A67" i="1"/>
  <c r="B67" i="1"/>
  <c r="C67" i="1"/>
  <c r="D67" i="1"/>
  <c r="E67" i="1"/>
  <c r="G67" i="1"/>
  <c r="J67" i="1"/>
  <c r="K67" i="1"/>
  <c r="L67" i="1"/>
  <c r="P67" i="1" l="1"/>
  <c r="Q67" i="1" s="1"/>
  <c r="I67" i="1"/>
  <c r="A95" i="1"/>
  <c r="A113" i="1"/>
  <c r="A62" i="1"/>
  <c r="A90" i="1"/>
  <c r="A220" i="1"/>
  <c r="A142" i="1"/>
  <c r="A64" i="1"/>
  <c r="A24" i="1"/>
  <c r="A83" i="1"/>
  <c r="A107" i="1"/>
  <c r="A126" i="1"/>
  <c r="B95" i="1"/>
  <c r="B113" i="1"/>
  <c r="B62" i="1"/>
  <c r="B90" i="1"/>
  <c r="B220" i="1"/>
  <c r="B142" i="1"/>
  <c r="B64" i="1"/>
  <c r="B24" i="1"/>
  <c r="B83" i="1"/>
  <c r="B107" i="1"/>
  <c r="B126" i="1"/>
  <c r="C95" i="1"/>
  <c r="C113" i="1"/>
  <c r="C62" i="1"/>
  <c r="C90" i="1"/>
  <c r="C220" i="1"/>
  <c r="C142" i="1"/>
  <c r="C64" i="1"/>
  <c r="C24" i="1"/>
  <c r="C83" i="1"/>
  <c r="C107" i="1"/>
  <c r="C126" i="1"/>
  <c r="D95" i="1"/>
  <c r="D113" i="1"/>
  <c r="D62" i="1"/>
  <c r="D90" i="1"/>
  <c r="D220" i="1"/>
  <c r="D142" i="1"/>
  <c r="D64" i="1"/>
  <c r="D24" i="1"/>
  <c r="D83" i="1"/>
  <c r="D107" i="1"/>
  <c r="D126" i="1"/>
  <c r="E95" i="1"/>
  <c r="E113" i="1"/>
  <c r="E62" i="1"/>
  <c r="E90" i="1"/>
  <c r="E220" i="1"/>
  <c r="E142" i="1"/>
  <c r="E64" i="1"/>
  <c r="E24" i="1"/>
  <c r="E83" i="1"/>
  <c r="E107" i="1"/>
  <c r="E126" i="1"/>
  <c r="G95" i="1"/>
  <c r="G113" i="1"/>
  <c r="G62" i="1"/>
  <c r="G90" i="1"/>
  <c r="G220" i="1"/>
  <c r="G142" i="1"/>
  <c r="G64" i="1"/>
  <c r="G24" i="1"/>
  <c r="G83" i="1"/>
  <c r="G107" i="1"/>
  <c r="G126" i="1"/>
  <c r="J95" i="1"/>
  <c r="J113" i="1"/>
  <c r="J62" i="1"/>
  <c r="J90" i="1"/>
  <c r="J220" i="1"/>
  <c r="J142" i="1"/>
  <c r="J64" i="1"/>
  <c r="J24" i="1"/>
  <c r="J83" i="1"/>
  <c r="J107" i="1"/>
  <c r="J126" i="1"/>
  <c r="K95" i="1"/>
  <c r="K113" i="1"/>
  <c r="K62" i="1"/>
  <c r="K90" i="1"/>
  <c r="K220" i="1"/>
  <c r="K142" i="1"/>
  <c r="K64" i="1"/>
  <c r="K24" i="1"/>
  <c r="K83" i="1"/>
  <c r="K107" i="1"/>
  <c r="K126" i="1"/>
  <c r="L95" i="1"/>
  <c r="L113" i="1"/>
  <c r="L62" i="1"/>
  <c r="L90" i="1"/>
  <c r="L220" i="1"/>
  <c r="L142" i="1"/>
  <c r="L64" i="1"/>
  <c r="L24" i="1"/>
  <c r="L83" i="1"/>
  <c r="L107" i="1"/>
  <c r="L126" i="1"/>
  <c r="P83" i="1" l="1"/>
  <c r="Q83" i="1" s="1"/>
  <c r="I83" i="1"/>
  <c r="P62" i="1"/>
  <c r="Q62" i="1" s="1"/>
  <c r="I62" i="1"/>
  <c r="P24" i="1"/>
  <c r="Q24" i="1" s="1"/>
  <c r="I24" i="1"/>
  <c r="P113" i="1"/>
  <c r="Q113" i="1" s="1"/>
  <c r="I113" i="1"/>
  <c r="P64" i="1"/>
  <c r="Q64" i="1" s="1"/>
  <c r="I64" i="1"/>
  <c r="P95" i="1"/>
  <c r="Q95" i="1" s="1"/>
  <c r="I95" i="1"/>
  <c r="P142" i="1"/>
  <c r="Q142" i="1" s="1"/>
  <c r="I142" i="1"/>
  <c r="P126" i="1"/>
  <c r="Q126" i="1" s="1"/>
  <c r="I126" i="1"/>
  <c r="P220" i="1"/>
  <c r="Q220" i="1" s="1"/>
  <c r="I220" i="1"/>
  <c r="P107" i="1"/>
  <c r="Q107" i="1" s="1"/>
  <c r="I107" i="1"/>
  <c r="P90" i="1"/>
  <c r="Q90" i="1" s="1"/>
  <c r="I90" i="1"/>
  <c r="C79" i="1"/>
  <c r="A104" i="1" l="1"/>
  <c r="B104" i="1"/>
  <c r="C104" i="1"/>
  <c r="D104" i="1"/>
  <c r="E104" i="1"/>
  <c r="G104" i="1"/>
  <c r="J104" i="1"/>
  <c r="K104" i="1"/>
  <c r="L104" i="1"/>
  <c r="P104" i="1" l="1"/>
  <c r="Q104" i="1" s="1"/>
  <c r="I104" i="1"/>
  <c r="C70" i="1"/>
  <c r="A91" i="1"/>
  <c r="A98" i="1"/>
  <c r="A108" i="1"/>
  <c r="A218" i="1"/>
  <c r="A69" i="1"/>
  <c r="A219" i="1"/>
  <c r="A127" i="1"/>
  <c r="A214" i="1"/>
  <c r="A87" i="1"/>
  <c r="A217" i="1"/>
  <c r="A88" i="1"/>
  <c r="A85" i="1"/>
  <c r="B91" i="1"/>
  <c r="B98" i="1"/>
  <c r="B108" i="1"/>
  <c r="B218" i="1"/>
  <c r="B69" i="1"/>
  <c r="B219" i="1"/>
  <c r="B127" i="1"/>
  <c r="B214" i="1"/>
  <c r="B87" i="1"/>
  <c r="B217" i="1"/>
  <c r="B88" i="1"/>
  <c r="B85" i="1"/>
  <c r="C91" i="1"/>
  <c r="C98" i="1"/>
  <c r="C108" i="1"/>
  <c r="C218" i="1"/>
  <c r="C69" i="1"/>
  <c r="C127" i="1"/>
  <c r="C214" i="1"/>
  <c r="C87" i="1"/>
  <c r="C217" i="1"/>
  <c r="C88" i="1"/>
  <c r="C85" i="1"/>
  <c r="D91" i="1"/>
  <c r="D98" i="1"/>
  <c r="D108" i="1"/>
  <c r="D218" i="1"/>
  <c r="D69" i="1"/>
  <c r="D219" i="1"/>
  <c r="D127" i="1"/>
  <c r="D214" i="1"/>
  <c r="D87" i="1"/>
  <c r="D217" i="1"/>
  <c r="D88" i="1"/>
  <c r="D85" i="1"/>
  <c r="E91" i="1"/>
  <c r="E98" i="1"/>
  <c r="E108" i="1"/>
  <c r="E218" i="1"/>
  <c r="E69" i="1"/>
  <c r="E219" i="1"/>
  <c r="E127" i="1"/>
  <c r="E214" i="1"/>
  <c r="E87" i="1"/>
  <c r="E217" i="1"/>
  <c r="E88" i="1"/>
  <c r="E85" i="1"/>
  <c r="G91" i="1"/>
  <c r="G98" i="1"/>
  <c r="G108" i="1"/>
  <c r="G218" i="1"/>
  <c r="G69" i="1"/>
  <c r="G219" i="1"/>
  <c r="G127" i="1"/>
  <c r="G214" i="1"/>
  <c r="G87" i="1"/>
  <c r="G217" i="1"/>
  <c r="G88" i="1"/>
  <c r="G85" i="1"/>
  <c r="J91" i="1"/>
  <c r="J98" i="1"/>
  <c r="J108" i="1"/>
  <c r="J218" i="1"/>
  <c r="J69" i="1"/>
  <c r="J219" i="1"/>
  <c r="J127" i="1"/>
  <c r="J214" i="1"/>
  <c r="J87" i="1"/>
  <c r="J217" i="1"/>
  <c r="J88" i="1"/>
  <c r="J85" i="1"/>
  <c r="K91" i="1"/>
  <c r="K98" i="1"/>
  <c r="K108" i="1"/>
  <c r="K218" i="1"/>
  <c r="K69" i="1"/>
  <c r="K219" i="1"/>
  <c r="K127" i="1"/>
  <c r="K214" i="1"/>
  <c r="K87" i="1"/>
  <c r="K217" i="1"/>
  <c r="K88" i="1"/>
  <c r="K85" i="1"/>
  <c r="L91" i="1"/>
  <c r="L98" i="1"/>
  <c r="L108" i="1"/>
  <c r="L218" i="1"/>
  <c r="L69" i="1"/>
  <c r="L219" i="1"/>
  <c r="L127" i="1"/>
  <c r="L214" i="1"/>
  <c r="L87" i="1"/>
  <c r="L217" i="1"/>
  <c r="L88" i="1"/>
  <c r="L85" i="1"/>
  <c r="P217" i="1" l="1"/>
  <c r="Q217" i="1" s="1"/>
  <c r="I217" i="1"/>
  <c r="P218" i="1"/>
  <c r="Q218" i="1" s="1"/>
  <c r="I218" i="1"/>
  <c r="P87" i="1"/>
  <c r="Q87" i="1" s="1"/>
  <c r="I87" i="1"/>
  <c r="P108" i="1"/>
  <c r="Q108" i="1" s="1"/>
  <c r="I108" i="1"/>
  <c r="P214" i="1"/>
  <c r="Q214" i="1" s="1"/>
  <c r="I214" i="1"/>
  <c r="P98" i="1"/>
  <c r="Q98" i="1" s="1"/>
  <c r="I98" i="1"/>
  <c r="P127" i="1"/>
  <c r="Q127" i="1" s="1"/>
  <c r="I127" i="1"/>
  <c r="P91" i="1"/>
  <c r="Q91" i="1" s="1"/>
  <c r="I91" i="1"/>
  <c r="P85" i="1"/>
  <c r="Q85" i="1" s="1"/>
  <c r="I85" i="1"/>
  <c r="P219" i="1"/>
  <c r="Q219" i="1" s="1"/>
  <c r="I219" i="1"/>
  <c r="P88" i="1"/>
  <c r="Q88" i="1" s="1"/>
  <c r="I88" i="1"/>
  <c r="P69" i="1"/>
  <c r="Q69" i="1" s="1"/>
  <c r="I69" i="1"/>
  <c r="A168" i="1"/>
  <c r="A66" i="1"/>
  <c r="A75" i="1"/>
  <c r="A162" i="1"/>
  <c r="A111" i="1"/>
  <c r="A54" i="1"/>
  <c r="A93" i="1"/>
  <c r="A76" i="1"/>
  <c r="A177" i="1"/>
  <c r="A178" i="1"/>
  <c r="A68" i="1"/>
  <c r="A72" i="1"/>
  <c r="A46" i="1"/>
  <c r="A102" i="1"/>
  <c r="A169" i="1"/>
  <c r="A234" i="1"/>
  <c r="A59" i="1"/>
  <c r="A63" i="1"/>
  <c r="A123" i="1"/>
  <c r="A82" i="1"/>
  <c r="A136" i="1"/>
  <c r="A97" i="1"/>
  <c r="A148" i="1"/>
  <c r="A135" i="1"/>
  <c r="A226" i="1"/>
  <c r="B168" i="1"/>
  <c r="B66" i="1"/>
  <c r="B75" i="1"/>
  <c r="B162" i="1"/>
  <c r="B111" i="1"/>
  <c r="B54" i="1"/>
  <c r="B93" i="1"/>
  <c r="B76" i="1"/>
  <c r="B177" i="1"/>
  <c r="B178" i="1"/>
  <c r="B68" i="1"/>
  <c r="B72" i="1"/>
  <c r="B46" i="1"/>
  <c r="B102" i="1"/>
  <c r="B169" i="1"/>
  <c r="B234" i="1"/>
  <c r="B59" i="1"/>
  <c r="B63" i="1"/>
  <c r="B123" i="1"/>
  <c r="B82" i="1"/>
  <c r="B136" i="1"/>
  <c r="B97" i="1"/>
  <c r="B148" i="1"/>
  <c r="B135" i="1"/>
  <c r="B226" i="1"/>
  <c r="C168" i="1"/>
  <c r="C66" i="1"/>
  <c r="C75" i="1"/>
  <c r="C162" i="1"/>
  <c r="C54" i="1"/>
  <c r="C93" i="1"/>
  <c r="C76" i="1"/>
  <c r="C177" i="1"/>
  <c r="C178" i="1"/>
  <c r="C68" i="1"/>
  <c r="C72" i="1"/>
  <c r="C46" i="1"/>
  <c r="C102" i="1"/>
  <c r="C234" i="1"/>
  <c r="C59" i="1"/>
  <c r="C63" i="1"/>
  <c r="C123" i="1"/>
  <c r="C82" i="1"/>
  <c r="C136" i="1"/>
  <c r="C97" i="1"/>
  <c r="C148" i="1"/>
  <c r="C135" i="1"/>
  <c r="C226" i="1"/>
  <c r="D168" i="1"/>
  <c r="D66" i="1"/>
  <c r="D75" i="1"/>
  <c r="D162" i="1"/>
  <c r="D111" i="1"/>
  <c r="D54" i="1"/>
  <c r="D93" i="1"/>
  <c r="D76" i="1"/>
  <c r="D177" i="1"/>
  <c r="D178" i="1"/>
  <c r="D68" i="1"/>
  <c r="D72" i="1"/>
  <c r="D46" i="1"/>
  <c r="D102" i="1"/>
  <c r="D169" i="1"/>
  <c r="D234" i="1"/>
  <c r="D59" i="1"/>
  <c r="D63" i="1"/>
  <c r="D123" i="1"/>
  <c r="D82" i="1"/>
  <c r="D136" i="1"/>
  <c r="D97" i="1"/>
  <c r="D148" i="1"/>
  <c r="D135" i="1"/>
  <c r="D226" i="1"/>
  <c r="E168" i="1"/>
  <c r="E66" i="1"/>
  <c r="E75" i="1"/>
  <c r="E162" i="1"/>
  <c r="E111" i="1"/>
  <c r="E54" i="1"/>
  <c r="E93" i="1"/>
  <c r="E76" i="1"/>
  <c r="E177" i="1"/>
  <c r="E178" i="1"/>
  <c r="E68" i="1"/>
  <c r="E72" i="1"/>
  <c r="E46" i="1"/>
  <c r="E102" i="1"/>
  <c r="E169" i="1"/>
  <c r="E234" i="1"/>
  <c r="E59" i="1"/>
  <c r="E63" i="1"/>
  <c r="E123" i="1"/>
  <c r="E82" i="1"/>
  <c r="E136" i="1"/>
  <c r="E97" i="1"/>
  <c r="E148" i="1"/>
  <c r="E135" i="1"/>
  <c r="E226" i="1"/>
  <c r="G168" i="1"/>
  <c r="G66" i="1"/>
  <c r="G75" i="1"/>
  <c r="G162" i="1"/>
  <c r="G111" i="1"/>
  <c r="G54" i="1"/>
  <c r="G93" i="1"/>
  <c r="G76" i="1"/>
  <c r="G177" i="1"/>
  <c r="G178" i="1"/>
  <c r="G68" i="1"/>
  <c r="G72" i="1"/>
  <c r="G46" i="1"/>
  <c r="G102" i="1"/>
  <c r="G169" i="1"/>
  <c r="G234" i="1"/>
  <c r="G59" i="1"/>
  <c r="G63" i="1"/>
  <c r="G123" i="1"/>
  <c r="G82" i="1"/>
  <c r="G136" i="1"/>
  <c r="G97" i="1"/>
  <c r="G148" i="1"/>
  <c r="G135" i="1"/>
  <c r="G226" i="1"/>
  <c r="J168" i="1"/>
  <c r="J66" i="1"/>
  <c r="J75" i="1"/>
  <c r="J162" i="1"/>
  <c r="J111" i="1"/>
  <c r="J54" i="1"/>
  <c r="J93" i="1"/>
  <c r="J76" i="1"/>
  <c r="J177" i="1"/>
  <c r="J178" i="1"/>
  <c r="J68" i="1"/>
  <c r="J72" i="1"/>
  <c r="J46" i="1"/>
  <c r="J102" i="1"/>
  <c r="J169" i="1"/>
  <c r="J234" i="1"/>
  <c r="J59" i="1"/>
  <c r="J63" i="1"/>
  <c r="J123" i="1"/>
  <c r="J82" i="1"/>
  <c r="J136" i="1"/>
  <c r="J97" i="1"/>
  <c r="J148" i="1"/>
  <c r="J135" i="1"/>
  <c r="J226" i="1"/>
  <c r="K168" i="1"/>
  <c r="K66" i="1"/>
  <c r="K75" i="1"/>
  <c r="K162" i="1"/>
  <c r="K111" i="1"/>
  <c r="K54" i="1"/>
  <c r="K93" i="1"/>
  <c r="K76" i="1"/>
  <c r="K177" i="1"/>
  <c r="K178" i="1"/>
  <c r="K68" i="1"/>
  <c r="K72" i="1"/>
  <c r="K46" i="1"/>
  <c r="K102" i="1"/>
  <c r="K169" i="1"/>
  <c r="K234" i="1"/>
  <c r="K59" i="1"/>
  <c r="K63" i="1"/>
  <c r="K123" i="1"/>
  <c r="K82" i="1"/>
  <c r="K136" i="1"/>
  <c r="K97" i="1"/>
  <c r="K148" i="1"/>
  <c r="K135" i="1"/>
  <c r="K226" i="1"/>
  <c r="L168" i="1"/>
  <c r="L66" i="1"/>
  <c r="L75" i="1"/>
  <c r="L162" i="1"/>
  <c r="L111" i="1"/>
  <c r="L54" i="1"/>
  <c r="L93" i="1"/>
  <c r="L76" i="1"/>
  <c r="L177" i="1"/>
  <c r="L178" i="1"/>
  <c r="L68" i="1"/>
  <c r="L72" i="1"/>
  <c r="L46" i="1"/>
  <c r="L102" i="1"/>
  <c r="L169" i="1"/>
  <c r="L234" i="1"/>
  <c r="L59" i="1"/>
  <c r="L63" i="1"/>
  <c r="L123" i="1"/>
  <c r="L82" i="1"/>
  <c r="L136" i="1"/>
  <c r="L97" i="1"/>
  <c r="L148" i="1"/>
  <c r="L135" i="1"/>
  <c r="L226" i="1"/>
  <c r="D96" i="1"/>
  <c r="E80" i="1"/>
  <c r="P136" i="1" l="1"/>
  <c r="Q136" i="1" s="1"/>
  <c r="I136" i="1"/>
  <c r="P169" i="1"/>
  <c r="Q169" i="1" s="1"/>
  <c r="I169" i="1"/>
  <c r="P177" i="1"/>
  <c r="Q177" i="1" s="1"/>
  <c r="I177" i="1"/>
  <c r="P75" i="1"/>
  <c r="Q75" i="1" s="1"/>
  <c r="I75" i="1"/>
  <c r="P82" i="1"/>
  <c r="Q82" i="1" s="1"/>
  <c r="I82" i="1"/>
  <c r="P102" i="1"/>
  <c r="Q102" i="1" s="1"/>
  <c r="I102" i="1"/>
  <c r="P76" i="1"/>
  <c r="Q76" i="1" s="1"/>
  <c r="I76" i="1"/>
  <c r="P66" i="1"/>
  <c r="Q66" i="1" s="1"/>
  <c r="I66" i="1"/>
  <c r="P226" i="1"/>
  <c r="Q226" i="1" s="1"/>
  <c r="I226" i="1"/>
  <c r="P123" i="1"/>
  <c r="Q123" i="1" s="1"/>
  <c r="I123" i="1"/>
  <c r="P46" i="1"/>
  <c r="Q46" i="1" s="1"/>
  <c r="I46" i="1"/>
  <c r="P93" i="1"/>
  <c r="Q93" i="1" s="1"/>
  <c r="I93" i="1"/>
  <c r="P168" i="1"/>
  <c r="Q168" i="1" s="1"/>
  <c r="I168" i="1"/>
  <c r="P135" i="1"/>
  <c r="Q135" i="1" s="1"/>
  <c r="I135" i="1"/>
  <c r="P63" i="1"/>
  <c r="Q63" i="1" s="1"/>
  <c r="I63" i="1"/>
  <c r="P72" i="1"/>
  <c r="Q72" i="1" s="1"/>
  <c r="I72" i="1"/>
  <c r="P54" i="1"/>
  <c r="Q54" i="1" s="1"/>
  <c r="I54" i="1"/>
  <c r="P148" i="1"/>
  <c r="Q148" i="1" s="1"/>
  <c r="I148" i="1"/>
  <c r="P59" i="1"/>
  <c r="Q59" i="1" s="1"/>
  <c r="I59" i="1"/>
  <c r="P68" i="1"/>
  <c r="Q68" i="1" s="1"/>
  <c r="I68" i="1"/>
  <c r="P111" i="1"/>
  <c r="Q111" i="1" s="1"/>
  <c r="I111" i="1"/>
  <c r="P97" i="1"/>
  <c r="Q97" i="1" s="1"/>
  <c r="I97" i="1"/>
  <c r="P234" i="1"/>
  <c r="Q234" i="1" s="1"/>
  <c r="I234" i="1"/>
  <c r="P178" i="1"/>
  <c r="Q178" i="1" s="1"/>
  <c r="I178" i="1"/>
  <c r="P162" i="1"/>
  <c r="Q162" i="1" s="1"/>
  <c r="I162" i="1"/>
  <c r="C84" i="1"/>
  <c r="A105" i="1" l="1"/>
  <c r="B105" i="1"/>
  <c r="C105" i="1"/>
  <c r="D105" i="1"/>
  <c r="E105" i="1"/>
  <c r="G105" i="1"/>
  <c r="J105" i="1"/>
  <c r="K105" i="1"/>
  <c r="L105" i="1"/>
  <c r="P105" i="1" l="1"/>
  <c r="Q105" i="1" s="1"/>
  <c r="I105" i="1"/>
  <c r="A129" i="1"/>
  <c r="B129" i="1"/>
  <c r="C129" i="1"/>
  <c r="D129" i="1"/>
  <c r="E129" i="1"/>
  <c r="G129" i="1"/>
  <c r="J129" i="1"/>
  <c r="K129" i="1"/>
  <c r="L129" i="1"/>
  <c r="P129" i="1" l="1"/>
  <c r="Q129" i="1" s="1"/>
  <c r="I129" i="1"/>
  <c r="A78" i="1"/>
  <c r="A117" i="1"/>
  <c r="B117" i="1"/>
  <c r="C117" i="1"/>
  <c r="D117" i="1"/>
  <c r="E117" i="1"/>
  <c r="G117" i="1"/>
  <c r="J117" i="1"/>
  <c r="K117" i="1"/>
  <c r="L117" i="1"/>
  <c r="P117" i="1" l="1"/>
  <c r="Q117" i="1" s="1"/>
  <c r="I117" i="1"/>
  <c r="D78" i="1"/>
  <c r="K78" i="1" l="1"/>
  <c r="A125" i="1" l="1"/>
  <c r="A48" i="1"/>
  <c r="B48" i="1"/>
  <c r="C48" i="1"/>
  <c r="D48" i="1"/>
  <c r="E48" i="1"/>
  <c r="G48" i="1"/>
  <c r="J48" i="1"/>
  <c r="K48" i="1"/>
  <c r="L48" i="1"/>
  <c r="A112" i="1"/>
  <c r="A119" i="1"/>
  <c r="B112" i="1"/>
  <c r="B119" i="1"/>
  <c r="C112" i="1"/>
  <c r="C119" i="1"/>
  <c r="D112" i="1"/>
  <c r="D119" i="1"/>
  <c r="E112" i="1"/>
  <c r="E119" i="1"/>
  <c r="G112" i="1"/>
  <c r="G119" i="1"/>
  <c r="J112" i="1"/>
  <c r="J119" i="1"/>
  <c r="K112" i="1"/>
  <c r="K119" i="1"/>
  <c r="L112" i="1"/>
  <c r="L119" i="1"/>
  <c r="P119" i="1" l="1"/>
  <c r="Q119" i="1" s="1"/>
  <c r="I119" i="1"/>
  <c r="P112" i="1"/>
  <c r="Q112" i="1" s="1"/>
  <c r="I112" i="1"/>
  <c r="P48" i="1"/>
  <c r="Q48" i="1" s="1"/>
  <c r="I48" i="1"/>
  <c r="K41" i="1"/>
  <c r="L103" i="1"/>
  <c r="J52" i="1"/>
  <c r="C52" i="1"/>
  <c r="C293" i="1" l="1"/>
  <c r="A293" i="1"/>
  <c r="B293" i="1"/>
  <c r="D293" i="1"/>
  <c r="E293" i="1"/>
  <c r="G293" i="1"/>
  <c r="J293" i="1"/>
  <c r="K293" i="1"/>
  <c r="L293" i="1"/>
  <c r="P293" i="1" l="1"/>
  <c r="Q293" i="1" s="1"/>
  <c r="I293" i="1"/>
  <c r="K99" i="1"/>
  <c r="E41" i="1"/>
  <c r="K77" i="1" l="1"/>
  <c r="D56" i="1"/>
  <c r="C44" i="1" l="1"/>
  <c r="A44" i="1"/>
  <c r="B77" i="1" l="1"/>
  <c r="A132" i="1"/>
  <c r="A128" i="1"/>
  <c r="A56" i="1"/>
  <c r="C132" i="1"/>
  <c r="C53" i="1" l="1"/>
  <c r="E158" i="1" l="1"/>
  <c r="L89" i="1" l="1"/>
  <c r="L116" i="1"/>
  <c r="L78" i="1"/>
  <c r="L70" i="1"/>
  <c r="L71" i="1"/>
  <c r="L141" i="1"/>
  <c r="L92" i="1"/>
  <c r="L45" i="1"/>
  <c r="L53" i="1"/>
  <c r="L60" i="1"/>
  <c r="L79" i="1"/>
  <c r="L74" i="1"/>
  <c r="L181" i="1"/>
  <c r="L61" i="1"/>
  <c r="L110" i="1"/>
  <c r="L80" i="1"/>
  <c r="L199" i="1"/>
  <c r="L158" i="1"/>
  <c r="K89" i="1"/>
  <c r="K116" i="1"/>
  <c r="K70" i="1"/>
  <c r="K71" i="1"/>
  <c r="K43" i="1"/>
  <c r="K141" i="1"/>
  <c r="K92" i="1"/>
  <c r="K45" i="1"/>
  <c r="K53" i="1"/>
  <c r="K60" i="1"/>
  <c r="K79" i="1"/>
  <c r="K74" i="1"/>
  <c r="K181" i="1"/>
  <c r="K61" i="1"/>
  <c r="K110" i="1"/>
  <c r="K80" i="1"/>
  <c r="K199" i="1"/>
  <c r="K158" i="1"/>
  <c r="J89" i="1"/>
  <c r="J116" i="1"/>
  <c r="J78" i="1"/>
  <c r="J70" i="1"/>
  <c r="J71" i="1"/>
  <c r="J43" i="1"/>
  <c r="J141" i="1"/>
  <c r="J92" i="1"/>
  <c r="J45" i="1"/>
  <c r="J53" i="1"/>
  <c r="J60" i="1"/>
  <c r="J79" i="1"/>
  <c r="J74" i="1"/>
  <c r="J181" i="1"/>
  <c r="J61" i="1"/>
  <c r="J110" i="1"/>
  <c r="J80" i="1"/>
  <c r="J199" i="1"/>
  <c r="J158" i="1"/>
  <c r="G89" i="1"/>
  <c r="G116" i="1"/>
  <c r="G78" i="1"/>
  <c r="G70" i="1"/>
  <c r="G71" i="1"/>
  <c r="G43" i="1"/>
  <c r="G141" i="1"/>
  <c r="G92" i="1"/>
  <c r="G45" i="1"/>
  <c r="G53" i="1"/>
  <c r="G60" i="1"/>
  <c r="G79" i="1"/>
  <c r="G74" i="1"/>
  <c r="G181" i="1"/>
  <c r="G61" i="1"/>
  <c r="G110" i="1"/>
  <c r="G80" i="1"/>
  <c r="G199" i="1"/>
  <c r="G158" i="1"/>
  <c r="E89" i="1"/>
  <c r="E116" i="1"/>
  <c r="E78" i="1"/>
  <c r="E70" i="1"/>
  <c r="E71" i="1"/>
  <c r="E43" i="1"/>
  <c r="E141" i="1"/>
  <c r="E92" i="1"/>
  <c r="E45" i="1"/>
  <c r="E53" i="1"/>
  <c r="E60" i="1"/>
  <c r="E79" i="1"/>
  <c r="E74" i="1"/>
  <c r="E181" i="1"/>
  <c r="E61" i="1"/>
  <c r="E110" i="1"/>
  <c r="E199" i="1"/>
  <c r="D89" i="1"/>
  <c r="D116" i="1"/>
  <c r="D70" i="1"/>
  <c r="D71" i="1"/>
  <c r="D43" i="1"/>
  <c r="D141" i="1"/>
  <c r="D92" i="1"/>
  <c r="D45" i="1"/>
  <c r="D53" i="1"/>
  <c r="D60" i="1"/>
  <c r="D79" i="1"/>
  <c r="D74" i="1"/>
  <c r="D181" i="1"/>
  <c r="D61" i="1"/>
  <c r="D110" i="1"/>
  <c r="D80" i="1"/>
  <c r="D199" i="1"/>
  <c r="D158" i="1"/>
  <c r="C89" i="1"/>
  <c r="C116" i="1"/>
  <c r="C78" i="1"/>
  <c r="C71" i="1"/>
  <c r="C43" i="1"/>
  <c r="C141" i="1"/>
  <c r="C92" i="1"/>
  <c r="C45" i="1"/>
  <c r="C60" i="1"/>
  <c r="C74" i="1"/>
  <c r="C181" i="1"/>
  <c r="C61" i="1"/>
  <c r="C110" i="1"/>
  <c r="C80" i="1"/>
  <c r="C199" i="1"/>
  <c r="C158" i="1"/>
  <c r="B89" i="1"/>
  <c r="B116" i="1"/>
  <c r="B78" i="1"/>
  <c r="B70" i="1"/>
  <c r="B71" i="1"/>
  <c r="B43" i="1"/>
  <c r="B141" i="1"/>
  <c r="B92" i="1"/>
  <c r="B45" i="1"/>
  <c r="B53" i="1"/>
  <c r="B60" i="1"/>
  <c r="B79" i="1"/>
  <c r="B74" i="1"/>
  <c r="B181" i="1"/>
  <c r="B61" i="1"/>
  <c r="B110" i="1"/>
  <c r="B80" i="1"/>
  <c r="B199" i="1"/>
  <c r="B158" i="1"/>
  <c r="A89" i="1"/>
  <c r="A116" i="1"/>
  <c r="A70" i="1"/>
  <c r="A71" i="1"/>
  <c r="A43" i="1"/>
  <c r="A141" i="1"/>
  <c r="A92" i="1"/>
  <c r="A45" i="1"/>
  <c r="A53" i="1"/>
  <c r="A60" i="1"/>
  <c r="A79" i="1"/>
  <c r="A74" i="1"/>
  <c r="A181" i="1"/>
  <c r="A61" i="1"/>
  <c r="A110" i="1"/>
  <c r="A80" i="1"/>
  <c r="A199" i="1"/>
  <c r="A158" i="1"/>
  <c r="P80" i="1" l="1"/>
  <c r="Q80" i="1" s="1"/>
  <c r="I80" i="1"/>
  <c r="P60" i="1"/>
  <c r="Q60" i="1" s="1"/>
  <c r="I60" i="1"/>
  <c r="P71" i="1"/>
  <c r="Q71" i="1" s="1"/>
  <c r="I71" i="1"/>
  <c r="P110" i="1"/>
  <c r="Q110" i="1" s="1"/>
  <c r="I110" i="1"/>
  <c r="P53" i="1"/>
  <c r="Q53" i="1" s="1"/>
  <c r="I53" i="1"/>
  <c r="P70" i="1"/>
  <c r="Q70" i="1" s="1"/>
  <c r="I70" i="1"/>
  <c r="P61" i="1"/>
  <c r="Q61" i="1" s="1"/>
  <c r="I61" i="1"/>
  <c r="P45" i="1"/>
  <c r="Q45" i="1" s="1"/>
  <c r="I45" i="1"/>
  <c r="P78" i="1"/>
  <c r="Q78" i="1" s="1"/>
  <c r="I78" i="1"/>
  <c r="P181" i="1"/>
  <c r="Q181" i="1" s="1"/>
  <c r="I181" i="1"/>
  <c r="P92" i="1"/>
  <c r="Q92" i="1" s="1"/>
  <c r="I92" i="1"/>
  <c r="P116" i="1"/>
  <c r="Q116" i="1" s="1"/>
  <c r="I116" i="1"/>
  <c r="P158" i="1"/>
  <c r="Q158" i="1" s="1"/>
  <c r="I158" i="1"/>
  <c r="P74" i="1"/>
  <c r="Q74" i="1" s="1"/>
  <c r="I74" i="1"/>
  <c r="P141" i="1"/>
  <c r="Q141" i="1" s="1"/>
  <c r="I141" i="1"/>
  <c r="P89" i="1"/>
  <c r="Q89" i="1" s="1"/>
  <c r="I89" i="1"/>
  <c r="P199" i="1"/>
  <c r="Q199" i="1" s="1"/>
  <c r="I199" i="1"/>
  <c r="P79" i="1"/>
  <c r="Q79" i="1" s="1"/>
  <c r="I79" i="1"/>
  <c r="P43" i="1"/>
  <c r="Q43" i="1" s="1"/>
  <c r="I43" i="1"/>
  <c r="C77" i="1"/>
  <c r="A99" i="1" l="1"/>
  <c r="B99" i="1"/>
  <c r="B125" i="1"/>
  <c r="C99" i="1"/>
  <c r="C125" i="1"/>
  <c r="D99" i="1"/>
  <c r="D125" i="1"/>
  <c r="E99" i="1"/>
  <c r="E125" i="1"/>
  <c r="G99" i="1"/>
  <c r="G125" i="1"/>
  <c r="J99" i="1"/>
  <c r="J125" i="1"/>
  <c r="K125" i="1"/>
  <c r="L99" i="1"/>
  <c r="L125" i="1"/>
  <c r="P125" i="1" l="1"/>
  <c r="Q125" i="1" s="1"/>
  <c r="I125" i="1"/>
  <c r="P99" i="1"/>
  <c r="Q99" i="1" s="1"/>
  <c r="I99" i="1"/>
  <c r="A164" i="1"/>
  <c r="A47" i="1"/>
  <c r="A133" i="1"/>
  <c r="A103" i="1"/>
  <c r="A115" i="1"/>
  <c r="A55" i="1"/>
  <c r="A134" i="1"/>
  <c r="A52" i="1"/>
  <c r="A51" i="1"/>
  <c r="A86" i="1"/>
  <c r="B128" i="1"/>
  <c r="B164" i="1"/>
  <c r="B47" i="1"/>
  <c r="B133" i="1"/>
  <c r="B103" i="1"/>
  <c r="B115" i="1"/>
  <c r="B55" i="1"/>
  <c r="B44" i="1"/>
  <c r="B134" i="1"/>
  <c r="B52" i="1"/>
  <c r="B51" i="1"/>
  <c r="B86" i="1"/>
  <c r="C128" i="1"/>
  <c r="C164" i="1"/>
  <c r="C47" i="1"/>
  <c r="C133" i="1"/>
  <c r="C103" i="1"/>
  <c r="C115" i="1"/>
  <c r="C55" i="1"/>
  <c r="C134" i="1"/>
  <c r="C51" i="1"/>
  <c r="C86" i="1"/>
  <c r="D128" i="1"/>
  <c r="D164" i="1"/>
  <c r="D47" i="1"/>
  <c r="D133" i="1"/>
  <c r="D103" i="1"/>
  <c r="D115" i="1"/>
  <c r="D55" i="1"/>
  <c r="D44" i="1"/>
  <c r="D134" i="1"/>
  <c r="D52" i="1"/>
  <c r="D51" i="1"/>
  <c r="D86" i="1"/>
  <c r="E128" i="1"/>
  <c r="E164" i="1"/>
  <c r="E47" i="1"/>
  <c r="E133" i="1"/>
  <c r="E103" i="1"/>
  <c r="E115" i="1"/>
  <c r="E55" i="1"/>
  <c r="E44" i="1"/>
  <c r="E134" i="1"/>
  <c r="E52" i="1"/>
  <c r="E51" i="1"/>
  <c r="E86" i="1"/>
  <c r="G128" i="1"/>
  <c r="G164" i="1"/>
  <c r="G47" i="1"/>
  <c r="G133" i="1"/>
  <c r="G103" i="1"/>
  <c r="G115" i="1"/>
  <c r="G55" i="1"/>
  <c r="G44" i="1"/>
  <c r="G134" i="1"/>
  <c r="G52" i="1"/>
  <c r="G51" i="1"/>
  <c r="G86" i="1"/>
  <c r="J128" i="1"/>
  <c r="J164" i="1"/>
  <c r="J47" i="1"/>
  <c r="J133" i="1"/>
  <c r="J103" i="1"/>
  <c r="J115" i="1"/>
  <c r="J55" i="1"/>
  <c r="J44" i="1"/>
  <c r="J134" i="1"/>
  <c r="J51" i="1"/>
  <c r="J86" i="1"/>
  <c r="K128" i="1"/>
  <c r="K164" i="1"/>
  <c r="K47" i="1"/>
  <c r="K133" i="1"/>
  <c r="K103" i="1"/>
  <c r="K115" i="1"/>
  <c r="K55" i="1"/>
  <c r="K44" i="1"/>
  <c r="K134" i="1"/>
  <c r="K52" i="1"/>
  <c r="K51" i="1"/>
  <c r="K86" i="1"/>
  <c r="L128" i="1"/>
  <c r="L164" i="1"/>
  <c r="L47" i="1"/>
  <c r="L133" i="1"/>
  <c r="L115" i="1"/>
  <c r="L55" i="1"/>
  <c r="L44" i="1"/>
  <c r="L134" i="1"/>
  <c r="L52" i="1"/>
  <c r="L51" i="1"/>
  <c r="L86" i="1"/>
  <c r="P86" i="1" l="1"/>
  <c r="Q86" i="1" s="1"/>
  <c r="I86" i="1"/>
  <c r="P115" i="1"/>
  <c r="Q115" i="1" s="1"/>
  <c r="I115" i="1"/>
  <c r="P51" i="1"/>
  <c r="Q51" i="1" s="1"/>
  <c r="I51" i="1"/>
  <c r="P103" i="1"/>
  <c r="Q103" i="1" s="1"/>
  <c r="I103" i="1"/>
  <c r="P52" i="1"/>
  <c r="Q52" i="1" s="1"/>
  <c r="I52" i="1"/>
  <c r="P133" i="1"/>
  <c r="Q133" i="1" s="1"/>
  <c r="I133" i="1"/>
  <c r="P134" i="1"/>
  <c r="Q134" i="1" s="1"/>
  <c r="I134" i="1"/>
  <c r="P47" i="1"/>
  <c r="Q47" i="1" s="1"/>
  <c r="I47" i="1"/>
  <c r="P44" i="1"/>
  <c r="Q44" i="1" s="1"/>
  <c r="I44" i="1"/>
  <c r="P164" i="1"/>
  <c r="Q164" i="1" s="1"/>
  <c r="I164" i="1"/>
  <c r="P55" i="1"/>
  <c r="Q55" i="1" s="1"/>
  <c r="I55" i="1"/>
  <c r="P128" i="1"/>
  <c r="Q128" i="1" s="1"/>
  <c r="I128" i="1"/>
  <c r="C122" i="1"/>
  <c r="A84" i="1" l="1"/>
  <c r="A114" i="1"/>
  <c r="A101" i="1"/>
  <c r="B84" i="1"/>
  <c r="B132" i="1"/>
  <c r="B114" i="1"/>
  <c r="B101" i="1"/>
  <c r="C114" i="1"/>
  <c r="C101" i="1"/>
  <c r="D84" i="1"/>
  <c r="D132" i="1"/>
  <c r="D114" i="1"/>
  <c r="D101" i="1"/>
  <c r="E84" i="1"/>
  <c r="E132" i="1"/>
  <c r="E114" i="1"/>
  <c r="E101" i="1"/>
  <c r="G84" i="1"/>
  <c r="G132" i="1"/>
  <c r="G114" i="1"/>
  <c r="G101" i="1"/>
  <c r="J84" i="1"/>
  <c r="J132" i="1"/>
  <c r="J114" i="1"/>
  <c r="J101" i="1"/>
  <c r="K84" i="1"/>
  <c r="K132" i="1"/>
  <c r="K114" i="1"/>
  <c r="K101" i="1"/>
  <c r="L84" i="1"/>
  <c r="L132" i="1"/>
  <c r="L114" i="1"/>
  <c r="L101" i="1"/>
  <c r="P84" i="1" l="1"/>
  <c r="Q84" i="1" s="1"/>
  <c r="I84" i="1"/>
  <c r="P101" i="1"/>
  <c r="Q101" i="1" s="1"/>
  <c r="I101" i="1"/>
  <c r="P114" i="1"/>
  <c r="Q114" i="1" s="1"/>
  <c r="I114" i="1"/>
  <c r="P132" i="1"/>
  <c r="Q132" i="1" s="1"/>
  <c r="I132" i="1"/>
  <c r="A73" i="1"/>
  <c r="A42" i="1"/>
  <c r="A122" i="1"/>
  <c r="A57" i="1"/>
  <c r="A77" i="1"/>
  <c r="A58" i="1"/>
  <c r="A130" i="1"/>
  <c r="B73" i="1"/>
  <c r="B42" i="1"/>
  <c r="B122" i="1"/>
  <c r="B56" i="1"/>
  <c r="B57" i="1"/>
  <c r="B58" i="1"/>
  <c r="B130" i="1"/>
  <c r="C73" i="1"/>
  <c r="C42" i="1"/>
  <c r="C56" i="1"/>
  <c r="C57" i="1"/>
  <c r="C58" i="1"/>
  <c r="C130" i="1"/>
  <c r="D73" i="1"/>
  <c r="D42" i="1"/>
  <c r="D122" i="1"/>
  <c r="D57" i="1"/>
  <c r="D77" i="1"/>
  <c r="D58" i="1"/>
  <c r="D130" i="1"/>
  <c r="E73" i="1"/>
  <c r="E42" i="1"/>
  <c r="E122" i="1"/>
  <c r="E56" i="1"/>
  <c r="E57" i="1"/>
  <c r="E77" i="1"/>
  <c r="E58" i="1"/>
  <c r="E130" i="1"/>
  <c r="G73" i="1"/>
  <c r="G42" i="1"/>
  <c r="G122" i="1"/>
  <c r="G56" i="1"/>
  <c r="G57" i="1"/>
  <c r="G77" i="1"/>
  <c r="G58" i="1"/>
  <c r="G130" i="1"/>
  <c r="J73" i="1"/>
  <c r="J42" i="1"/>
  <c r="J122" i="1"/>
  <c r="J56" i="1"/>
  <c r="J57" i="1"/>
  <c r="J77" i="1"/>
  <c r="J58" i="1"/>
  <c r="J130" i="1"/>
  <c r="K73" i="1"/>
  <c r="K42" i="1"/>
  <c r="K122" i="1"/>
  <c r="K56" i="1"/>
  <c r="K57" i="1"/>
  <c r="K58" i="1"/>
  <c r="K130" i="1"/>
  <c r="L73" i="1"/>
  <c r="L42" i="1"/>
  <c r="L122" i="1"/>
  <c r="L56" i="1"/>
  <c r="L57" i="1"/>
  <c r="L77" i="1"/>
  <c r="L58" i="1"/>
  <c r="L130" i="1"/>
  <c r="P57" i="1" l="1"/>
  <c r="Q57" i="1" s="1"/>
  <c r="I57" i="1"/>
  <c r="P56" i="1"/>
  <c r="Q56" i="1" s="1"/>
  <c r="I56" i="1"/>
  <c r="P122" i="1"/>
  <c r="Q122" i="1" s="1"/>
  <c r="I122" i="1"/>
  <c r="P130" i="1"/>
  <c r="Q130" i="1" s="1"/>
  <c r="I130" i="1"/>
  <c r="P42" i="1"/>
  <c r="Q42" i="1" s="1"/>
  <c r="I42" i="1"/>
  <c r="P58" i="1"/>
  <c r="Q58" i="1" s="1"/>
  <c r="I58" i="1"/>
  <c r="P73" i="1"/>
  <c r="Q73" i="1" s="1"/>
  <c r="I73" i="1"/>
  <c r="P77" i="1"/>
  <c r="Q77" i="1" s="1"/>
  <c r="I77" i="1"/>
  <c r="A186" i="1"/>
  <c r="A50" i="1"/>
  <c r="B186" i="1"/>
  <c r="B50" i="1"/>
  <c r="C50" i="1"/>
  <c r="D186" i="1"/>
  <c r="D50" i="1"/>
  <c r="E186" i="1"/>
  <c r="E50" i="1"/>
  <c r="G186" i="1"/>
  <c r="G50" i="1"/>
  <c r="J186" i="1"/>
  <c r="J50" i="1"/>
  <c r="K186" i="1"/>
  <c r="K50" i="1"/>
  <c r="L186" i="1"/>
  <c r="L50" i="1"/>
  <c r="P50" i="1" l="1"/>
  <c r="Q50" i="1" s="1"/>
  <c r="I50" i="1"/>
  <c r="P186" i="1"/>
  <c r="Q186" i="1" s="1"/>
  <c r="I186" i="1"/>
  <c r="A291" i="1"/>
  <c r="B291" i="1"/>
  <c r="C291" i="1"/>
  <c r="D291" i="1"/>
  <c r="E291" i="1"/>
  <c r="G291" i="1"/>
  <c r="J291" i="1"/>
  <c r="K291" i="1"/>
  <c r="L291" i="1"/>
  <c r="P291" i="1" l="1"/>
  <c r="Q291" i="1" s="1"/>
  <c r="I291" i="1"/>
  <c r="C4" i="5"/>
  <c r="D4" i="5" s="1"/>
  <c r="A109" i="1" l="1"/>
  <c r="A41" i="1"/>
  <c r="A96" i="1"/>
  <c r="A65" i="1"/>
  <c r="B109" i="1"/>
  <c r="B41" i="1"/>
  <c r="B96" i="1"/>
  <c r="B65" i="1"/>
  <c r="C109" i="1"/>
  <c r="C41" i="1"/>
  <c r="C96" i="1"/>
  <c r="C65" i="1"/>
  <c r="D109" i="1"/>
  <c r="D41" i="1"/>
  <c r="D65" i="1"/>
  <c r="E109" i="1"/>
  <c r="E96" i="1"/>
  <c r="E65" i="1"/>
  <c r="G109" i="1"/>
  <c r="G41" i="1"/>
  <c r="G96" i="1"/>
  <c r="G65" i="1"/>
  <c r="J109" i="1"/>
  <c r="J41" i="1"/>
  <c r="J96" i="1"/>
  <c r="J65" i="1"/>
  <c r="K109" i="1"/>
  <c r="K96" i="1"/>
  <c r="K65" i="1"/>
  <c r="L109" i="1"/>
  <c r="L41" i="1"/>
  <c r="L96" i="1"/>
  <c r="L65" i="1"/>
  <c r="P65" i="1" l="1"/>
  <c r="Q65" i="1" s="1"/>
  <c r="I65" i="1"/>
  <c r="P96" i="1"/>
  <c r="Q96" i="1" s="1"/>
  <c r="I96" i="1"/>
  <c r="P41" i="1"/>
  <c r="Q41" i="1" s="1"/>
  <c r="I41" i="1"/>
  <c r="P109" i="1"/>
  <c r="Q109" i="1" s="1"/>
  <c r="I109" i="1"/>
  <c r="O54" i="5"/>
  <c r="O55" i="5"/>
  <c r="AT3" i="5"/>
  <c r="AS4" i="5"/>
  <c r="AR4" i="5"/>
  <c r="AQ4" i="5"/>
  <c r="AP4" i="5"/>
  <c r="AO4" i="5"/>
  <c r="AT4" i="5" l="1"/>
  <c r="Q54" i="5"/>
  <c r="S54" i="5" s="1"/>
  <c r="AI6" i="5"/>
  <c r="AI5" i="5"/>
  <c r="AI4" i="5"/>
  <c r="AI3" i="5"/>
  <c r="AI2" i="5"/>
  <c r="AI1" i="5"/>
  <c r="AK3" i="5" l="1"/>
  <c r="L2" i="5"/>
  <c r="V34" i="5" l="1"/>
  <c r="X34" i="5" s="1"/>
  <c r="V35" i="5"/>
  <c r="V36" i="5"/>
  <c r="V37" i="5"/>
  <c r="V38" i="5"/>
  <c r="V39" i="5"/>
  <c r="V40" i="5"/>
  <c r="V41" i="5"/>
  <c r="V42" i="5"/>
  <c r="V43" i="5"/>
  <c r="V33" i="5"/>
  <c r="V32" i="5"/>
  <c r="AR16" i="5" l="1"/>
  <c r="BC15" i="5"/>
  <c r="BC16" i="5"/>
  <c r="AL17" i="5"/>
  <c r="AL16" i="5"/>
  <c r="AX16" i="5"/>
  <c r="AX15" i="5"/>
  <c r="AR17" i="5"/>
  <c r="AR15" i="5"/>
  <c r="AS16" i="5" l="1"/>
  <c r="L43" i="5" l="1"/>
  <c r="N43" i="5" s="1"/>
  <c r="L42" i="5"/>
  <c r="N42" i="5" s="1"/>
  <c r="L41" i="5"/>
  <c r="N41" i="5" s="1"/>
  <c r="L40" i="5"/>
  <c r="N40" i="5" s="1"/>
  <c r="L39" i="5"/>
  <c r="N39" i="5" s="1"/>
  <c r="L38" i="5"/>
  <c r="N38" i="5" s="1"/>
  <c r="L37" i="5"/>
  <c r="N37" i="5" s="1"/>
  <c r="L36" i="5"/>
  <c r="N36" i="5" s="1"/>
  <c r="L35" i="5"/>
  <c r="N35" i="5" s="1"/>
  <c r="L34" i="5"/>
  <c r="N34" i="5" s="1"/>
  <c r="L33" i="5"/>
  <c r="N33" i="5" s="1"/>
  <c r="L32" i="5"/>
  <c r="N32" i="5" s="1"/>
  <c r="L31" i="5"/>
  <c r="N31" i="5" s="1"/>
  <c r="N30" i="5"/>
  <c r="AM16" i="5" l="1"/>
  <c r="AL15" i="5"/>
  <c r="X43" i="5"/>
  <c r="X42" i="5"/>
  <c r="X41" i="5"/>
  <c r="X40" i="5"/>
  <c r="X39" i="5"/>
  <c r="X38" i="5"/>
  <c r="X37" i="5"/>
  <c r="X36" i="5"/>
  <c r="X35" i="5"/>
  <c r="X33" i="5"/>
  <c r="X32" i="5"/>
  <c r="X31" i="5"/>
  <c r="X30" i="5"/>
  <c r="V16" i="5"/>
  <c r="X16" i="5" s="1"/>
  <c r="V17" i="5"/>
  <c r="X17" i="5" s="1"/>
  <c r="V18" i="5"/>
  <c r="X18" i="5" s="1"/>
  <c r="V19" i="5"/>
  <c r="X19" i="5" s="1"/>
  <c r="V20" i="5"/>
  <c r="X20" i="5" s="1"/>
  <c r="V21" i="5"/>
  <c r="X21" i="5" s="1"/>
  <c r="V22" i="5"/>
  <c r="X22" i="5" s="1"/>
  <c r="V23" i="5"/>
  <c r="X23" i="5" s="1"/>
  <c r="V15" i="5"/>
  <c r="X15" i="5" s="1"/>
  <c r="X14" i="5"/>
  <c r="X13" i="5"/>
  <c r="X12" i="5"/>
  <c r="X11" i="5"/>
  <c r="X10" i="5"/>
  <c r="L13" i="5" l="1"/>
  <c r="N13" i="5" s="1"/>
  <c r="L23" i="5"/>
  <c r="N23" i="5" s="1"/>
  <c r="L22" i="5"/>
  <c r="N22" i="5" s="1"/>
  <c r="L21" i="5"/>
  <c r="N21" i="5" s="1"/>
  <c r="L20" i="5"/>
  <c r="N20" i="5" s="1"/>
  <c r="L19" i="5"/>
  <c r="N19" i="5" s="1"/>
  <c r="L18" i="5"/>
  <c r="N18" i="5" s="1"/>
  <c r="L17" i="5"/>
  <c r="N17" i="5" s="1"/>
  <c r="L16" i="5"/>
  <c r="N16" i="5" s="1"/>
  <c r="L15" i="5"/>
  <c r="N15" i="5" s="1"/>
  <c r="L14" i="5"/>
  <c r="N14" i="5" s="1"/>
  <c r="L12" i="5"/>
  <c r="N12" i="5" s="1"/>
  <c r="L11" i="5"/>
  <c r="N11" i="5" s="1"/>
  <c r="N10" i="5"/>
  <c r="A65" i="5"/>
  <c r="C65" i="5" s="1"/>
  <c r="A64" i="5"/>
  <c r="C64" i="5" s="1"/>
  <c r="A63" i="5"/>
  <c r="C63" i="5" s="1"/>
  <c r="A62" i="5"/>
  <c r="C62" i="5" s="1"/>
  <c r="A61" i="5"/>
  <c r="C61" i="5" s="1"/>
  <c r="A60" i="5"/>
  <c r="C60" i="5" s="1"/>
  <c r="A59" i="5"/>
  <c r="C59" i="5" s="1"/>
  <c r="A58" i="5"/>
  <c r="C58" i="5" s="1"/>
  <c r="A57" i="5"/>
  <c r="C57" i="5" s="1"/>
  <c r="A56" i="5"/>
  <c r="C56" i="5" s="1"/>
  <c r="A55" i="5"/>
  <c r="C55" i="5" s="1"/>
  <c r="A54" i="5"/>
  <c r="C54" i="5" s="1"/>
  <c r="A53" i="5"/>
  <c r="C53" i="5" s="1"/>
  <c r="A52" i="5"/>
  <c r="C52" i="5" s="1"/>
  <c r="C51" i="5"/>
  <c r="C50" i="5"/>
  <c r="A45" i="5"/>
  <c r="C45" i="5" s="1"/>
  <c r="A44" i="5"/>
  <c r="C44" i="5" s="1"/>
  <c r="A43" i="5"/>
  <c r="C43" i="5" s="1"/>
  <c r="A42" i="5"/>
  <c r="C42" i="5" s="1"/>
  <c r="A41" i="5"/>
  <c r="C41" i="5" s="1"/>
  <c r="A40" i="5"/>
  <c r="C40" i="5" s="1"/>
  <c r="A39" i="5"/>
  <c r="C39" i="5" s="1"/>
  <c r="A38" i="5"/>
  <c r="C38" i="5" s="1"/>
  <c r="A37" i="5"/>
  <c r="C37" i="5" s="1"/>
  <c r="A36" i="5"/>
  <c r="C36" i="5" s="1"/>
  <c r="A35" i="5"/>
  <c r="C35" i="5" s="1"/>
  <c r="A34" i="5"/>
  <c r="C34" i="5" s="1"/>
  <c r="A33" i="5"/>
  <c r="C33" i="5" s="1"/>
  <c r="A32" i="5"/>
  <c r="C32" i="5" s="1"/>
  <c r="C31" i="5"/>
  <c r="C30" i="5"/>
  <c r="A25" i="5"/>
  <c r="C25" i="5" s="1"/>
  <c r="C10" i="5"/>
  <c r="A21" i="5"/>
  <c r="C21" i="5" s="1"/>
  <c r="A22" i="5"/>
  <c r="C22" i="5" s="1"/>
  <c r="A23" i="5"/>
  <c r="C23" i="5" s="1"/>
  <c r="A24" i="5"/>
  <c r="C24" i="5" s="1"/>
  <c r="A20" i="5"/>
  <c r="C20" i="5" s="1"/>
  <c r="C11" i="5"/>
  <c r="A12" i="5"/>
  <c r="C12" i="5" s="1"/>
  <c r="A13" i="5"/>
  <c r="C13" i="5" s="1"/>
  <c r="A14" i="5"/>
  <c r="C14" i="5" s="1"/>
  <c r="A15" i="5"/>
  <c r="C15" i="5" s="1"/>
  <c r="A16" i="5"/>
  <c r="C16" i="5" s="1"/>
  <c r="A17" i="5"/>
  <c r="C17" i="5" s="1"/>
  <c r="A18" i="5"/>
  <c r="C18" i="5" s="1"/>
  <c r="A19" i="5"/>
  <c r="C19" i="5" s="1"/>
  <c r="C2" i="5"/>
  <c r="D2" i="5" l="1"/>
  <c r="Q3" i="5" s="1"/>
  <c r="S3" i="5" s="1"/>
  <c r="G2" i="5"/>
  <c r="F2" i="5"/>
  <c r="E2" i="5"/>
  <c r="H2" i="5"/>
  <c r="I2" i="5" l="1"/>
  <c r="C3" i="5"/>
  <c r="E3" i="5" l="1"/>
  <c r="G3" i="5"/>
  <c r="D3" i="5"/>
  <c r="H3" i="5"/>
  <c r="O3" i="5" s="1"/>
  <c r="F3" i="5"/>
  <c r="I3" i="5" l="1"/>
  <c r="K49" i="1"/>
  <c r="J49" i="1"/>
  <c r="G49" i="1"/>
  <c r="P49" i="1" l="1"/>
  <c r="Q49" i="1" s="1"/>
  <c r="I49" i="1"/>
  <c r="A49" i="1"/>
  <c r="B49" i="1"/>
  <c r="E49" i="1"/>
  <c r="D49" i="1"/>
  <c r="C49" i="1"/>
  <c r="L4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E64DCB-E247-48B4-B342-E4A37AC8D88E}" keepAlive="1" name="Consulta - Anexar1" description="Conexión a la consulta 'Anexar1' en el libro." type="5" refreshedVersion="8" background="1" saveData="1">
    <dbPr connection="Provider=Microsoft.Mashup.OleDb.1;Data Source=$Workbook$;Location=Anexar1;Extended Properties=&quot;&quot;" command="SELECT * FROM [Anexar1]"/>
  </connection>
  <connection id="2" xr16:uid="{ED109828-178F-4DAD-AE0F-7F2639F89D75}" keepAlive="1" name="Consulta - Tabla_Imprenta" description="Conexión a la consulta 'Tabla_Imprenta' en el libro." type="5" refreshedVersion="8" background="1" saveData="1">
    <dbPr connection="Provider=Microsoft.Mashup.OleDb.1;Data Source=$Workbook$;Location=Tabla_Imprenta;Extended Properties=&quot;&quot;" command="SELECT * FROM [Tabla_Imprenta]"/>
  </connection>
  <connection id="3" xr16:uid="{1322BA7B-F4F1-4FAB-A8FD-E7F4265B0CE5}" keepAlive="1" name="Consulta - Tabla_registro" description="Conexión a la consulta 'Tabla_registro' en el libro." type="5" refreshedVersion="8" background="1" saveData="1">
    <dbPr connection="Provider=Microsoft.Mashup.OleDb.1;Data Source=$Workbook$;Location=Tabla_registro;Extended Properties=&quot;&quot;" command="SELECT * FROM [Tabla_registro]"/>
  </connection>
</connections>
</file>

<file path=xl/sharedStrings.xml><?xml version="1.0" encoding="utf-8"?>
<sst xmlns="http://schemas.openxmlformats.org/spreadsheetml/2006/main" count="34020" uniqueCount="5727">
  <si>
    <t>FECHA EMISIÓN</t>
  </si>
  <si>
    <t>CÓD. SOLICITUD</t>
  </si>
  <si>
    <t>PRODUCTO</t>
  </si>
  <si>
    <t>FORMA FARMACEUTICA</t>
  </si>
  <si>
    <t>INSTITUCIÓN</t>
  </si>
  <si>
    <t>LOTE</t>
  </si>
  <si>
    <t>FECHA VTO.</t>
  </si>
  <si>
    <t>STOCK</t>
  </si>
  <si>
    <t>COMERCIO</t>
  </si>
  <si>
    <t>CÁPSULA BLANDA</t>
  </si>
  <si>
    <t>MM-2025</t>
  </si>
  <si>
    <t>COMPRIMIDO</t>
  </si>
  <si>
    <t>COMPRIMIDO RECUBIERTO</t>
  </si>
  <si>
    <t>GOTAS</t>
  </si>
  <si>
    <t>FORMA COSMETICA: EMULSION</t>
  </si>
  <si>
    <t>SUSPENSIÓN</t>
  </si>
  <si>
    <t>COMPRIMIDO MASTICABLE</t>
  </si>
  <si>
    <t>CREMA DÉRMICA</t>
  </si>
  <si>
    <t>En control</t>
  </si>
  <si>
    <t>CANTIDAD ENVASE SECUNDARIO</t>
  </si>
  <si>
    <t>CANTIDAD IMPRIMIR</t>
  </si>
  <si>
    <t>ESTADO</t>
  </si>
  <si>
    <t>PENDIENTE</t>
  </si>
  <si>
    <t>CAJA</t>
  </si>
  <si>
    <t>LINEA</t>
  </si>
  <si>
    <t>N/A</t>
  </si>
  <si>
    <t>FECHA PRODUCCIÓN</t>
  </si>
  <si>
    <t>FECHA CAJA</t>
  </si>
  <si>
    <t/>
  </si>
  <si>
    <t>MÁQUINA</t>
  </si>
  <si>
    <t>MOZP</t>
  </si>
  <si>
    <t>SPEED</t>
  </si>
  <si>
    <t>PRODUCCIÓN</t>
  </si>
  <si>
    <t>GTO</t>
  </si>
  <si>
    <t>TOTAL DÍA (9.6) TJ</t>
  </si>
  <si>
    <t>EXTRAS (1 1/2)</t>
  </si>
  <si>
    <t>LUNES</t>
  </si>
  <si>
    <t>MARTES</t>
  </si>
  <si>
    <t>MIERCOLES</t>
  </si>
  <si>
    <t>JUEVES</t>
  </si>
  <si>
    <t>VIERNES</t>
  </si>
  <si>
    <t>HUGO</t>
  </si>
  <si>
    <t>FABIAN</t>
  </si>
  <si>
    <t>WILLIAM</t>
  </si>
  <si>
    <t>SÁBADO</t>
  </si>
  <si>
    <t>EXTRAS</t>
  </si>
  <si>
    <t>INICIO</t>
  </si>
  <si>
    <t>FIN</t>
  </si>
  <si>
    <t>CARGA</t>
  </si>
  <si>
    <t>SEMANA 1</t>
  </si>
  <si>
    <t>FAB HUGO</t>
  </si>
  <si>
    <t>SEMANA 2</t>
  </si>
  <si>
    <t>WILL HUGO</t>
  </si>
  <si>
    <t>SEMANA 3</t>
  </si>
  <si>
    <t>KORD 2</t>
  </si>
  <si>
    <t>JESUS</t>
  </si>
  <si>
    <t>JUAN</t>
  </si>
  <si>
    <t>HR SEMANA 1</t>
  </si>
  <si>
    <t>HR SEMANA 2</t>
  </si>
  <si>
    <t>PROMEDIO</t>
  </si>
  <si>
    <t>WALDO</t>
  </si>
  <si>
    <t>DANIEL</t>
  </si>
  <si>
    <t>SUPERVISOR</t>
  </si>
  <si>
    <t>ACCIÓN</t>
  </si>
  <si>
    <t>SEMANAS</t>
  </si>
  <si>
    <t>SABADO</t>
  </si>
  <si>
    <t>INGRESO</t>
  </si>
  <si>
    <t>SALIDA</t>
  </si>
  <si>
    <t>HORAS</t>
  </si>
  <si>
    <t>07:00 - 16:00</t>
  </si>
  <si>
    <t>14:00 - 23:00</t>
  </si>
  <si>
    <t>LUNES A VIERNES</t>
  </si>
  <si>
    <t>FABIAN Y HUGO</t>
  </si>
  <si>
    <t>07:00 - 15:00</t>
  </si>
  <si>
    <t>12:24 - 22:00</t>
  </si>
  <si>
    <t>08:00 - 22:00</t>
  </si>
  <si>
    <t>08:00 - 17:36</t>
  </si>
  <si>
    <t>SEMANA 1 - EXTRAS</t>
  </si>
  <si>
    <t>SEMANA</t>
  </si>
  <si>
    <t>FIN DE</t>
  </si>
  <si>
    <t>ENTRE</t>
  </si>
  <si>
    <t>SEMANA 2 - EXTRAS</t>
  </si>
  <si>
    <t>20:00 - 22:00 sup</t>
  </si>
  <si>
    <t>17:36 - 22:00 op</t>
  </si>
  <si>
    <t>10:00 - 15:00 op</t>
  </si>
  <si>
    <t>13:30 - 15:00 op</t>
  </si>
  <si>
    <t>CANTIDAD PEDIDA</t>
  </si>
  <si>
    <t>R.S.</t>
  </si>
  <si>
    <t>-</t>
  </si>
  <si>
    <t>GTO NORMAL</t>
  </si>
  <si>
    <t>MO NORMAL</t>
  </si>
  <si>
    <t>MO TURNO</t>
  </si>
  <si>
    <t>BARNIZADORA</t>
  </si>
  <si>
    <t>IMPRESIÓN OFFSET</t>
  </si>
  <si>
    <t>EXTRAS-CONS</t>
  </si>
  <si>
    <t>EXTRAS-TOMADO</t>
  </si>
  <si>
    <t>HORAS EXTRAS PENDIENTES</t>
  </si>
  <si>
    <t>TOTAL</t>
  </si>
  <si>
    <t>CALIBR</t>
  </si>
  <si>
    <t>EXT GTO</t>
  </si>
  <si>
    <t>CÁPSULA DE LIBERACION RETARDADA</t>
  </si>
  <si>
    <t>FECHA ENVASE PRIMARIO</t>
  </si>
  <si>
    <t>MM-2026</t>
  </si>
  <si>
    <t>MATERIAL</t>
  </si>
  <si>
    <t>CICLO</t>
  </si>
  <si>
    <t>12697</t>
  </si>
  <si>
    <t>CREMA VAGINAL</t>
  </si>
  <si>
    <t>12652</t>
  </si>
  <si>
    <t>12619</t>
  </si>
  <si>
    <t>12618</t>
  </si>
  <si>
    <t>12607</t>
  </si>
  <si>
    <t>12606</t>
  </si>
  <si>
    <t>12626</t>
  </si>
  <si>
    <t>12676</t>
  </si>
  <si>
    <t>12623</t>
  </si>
  <si>
    <t>12608</t>
  </si>
  <si>
    <t>12649</t>
  </si>
  <si>
    <t>12638</t>
  </si>
  <si>
    <t>12601</t>
  </si>
  <si>
    <t>12655</t>
  </si>
  <si>
    <t>12635</t>
  </si>
  <si>
    <t>12680</t>
  </si>
  <si>
    <t>12647</t>
  </si>
  <si>
    <t>12646</t>
  </si>
  <si>
    <t>12645</t>
  </si>
  <si>
    <t>12648</t>
  </si>
  <si>
    <t>12613</t>
  </si>
  <si>
    <t>12678</t>
  </si>
  <si>
    <t>12677</t>
  </si>
  <si>
    <t>12644</t>
  </si>
  <si>
    <t>12624</t>
  </si>
  <si>
    <t>NN-74472</t>
  </si>
  <si>
    <t>12603</t>
  </si>
  <si>
    <t>12639</t>
  </si>
  <si>
    <t>12640</t>
  </si>
  <si>
    <t>12643</t>
  </si>
  <si>
    <t>12642</t>
  </si>
  <si>
    <t>12641</t>
  </si>
  <si>
    <t>12617</t>
  </si>
  <si>
    <t>12633</t>
  </si>
  <si>
    <t>12605</t>
  </si>
  <si>
    <t>COMPRIMIDO RANURADO</t>
  </si>
  <si>
    <t>12653</t>
  </si>
  <si>
    <t>12620</t>
  </si>
  <si>
    <t>12650</t>
  </si>
  <si>
    <t>12612</t>
  </si>
  <si>
    <t>12615</t>
  </si>
  <si>
    <t>12610</t>
  </si>
  <si>
    <t>12609</t>
  </si>
  <si>
    <t>12616</t>
  </si>
  <si>
    <t>12627</t>
  </si>
  <si>
    <t>02126</t>
  </si>
  <si>
    <t>12629</t>
  </si>
  <si>
    <t>12654</t>
  </si>
  <si>
    <t>NSOC78752-21BO</t>
  </si>
  <si>
    <t>12656</t>
  </si>
  <si>
    <t>12636</t>
  </si>
  <si>
    <t>12651</t>
  </si>
  <si>
    <t>12634</t>
  </si>
  <si>
    <t>03126</t>
  </si>
  <si>
    <t>12628</t>
  </si>
  <si>
    <t>12630</t>
  </si>
  <si>
    <t>12637</t>
  </si>
  <si>
    <t>12632</t>
  </si>
  <si>
    <t>01126</t>
  </si>
  <si>
    <t>12604</t>
  </si>
  <si>
    <t>CÁPSULA DE LIBERACION PROLONGADA</t>
  </si>
  <si>
    <t>12611</t>
  </si>
  <si>
    <t>COMPRIMIDO RECUBIERTO - COMPRIMIDO RECUBIERTO - CÁPSULA DE LIBERACIÓN RETARDADA CON MICROGRÁNULOS</t>
  </si>
  <si>
    <t>12631-1</t>
  </si>
  <si>
    <t>12614</t>
  </si>
  <si>
    <t>IMPRIMIR</t>
  </si>
  <si>
    <t>GENERICO</t>
  </si>
  <si>
    <t>GENERAL</t>
  </si>
  <si>
    <t>GTO 52</t>
  </si>
  <si>
    <t>GINECOLOGICO</t>
  </si>
  <si>
    <t>VETERINARIO</t>
  </si>
  <si>
    <t>PEDIATRICO</t>
  </si>
  <si>
    <t>LOCION</t>
  </si>
  <si>
    <t>12663</t>
  </si>
  <si>
    <t>12684</t>
  </si>
  <si>
    <t>JARABE</t>
  </si>
  <si>
    <t>12657</t>
  </si>
  <si>
    <t>NN-30788</t>
  </si>
  <si>
    <t>12688</t>
  </si>
  <si>
    <t>12666</t>
  </si>
  <si>
    <t>UNGÜENTO</t>
  </si>
  <si>
    <t>12679</t>
  </si>
  <si>
    <t>12659</t>
  </si>
  <si>
    <t>12658</t>
  </si>
  <si>
    <t>12664</t>
  </si>
  <si>
    <t>12665</t>
  </si>
  <si>
    <t>POLVO</t>
  </si>
  <si>
    <t>12672</t>
  </si>
  <si>
    <t>12673</t>
  </si>
  <si>
    <t>12671</t>
  </si>
  <si>
    <t>12662</t>
  </si>
  <si>
    <t>12667</t>
  </si>
  <si>
    <t>12685</t>
  </si>
  <si>
    <t>12689</t>
  </si>
  <si>
    <t>12670</t>
  </si>
  <si>
    <t>POLVO PARA SUSPENSIÓN</t>
  </si>
  <si>
    <t>04126</t>
  </si>
  <si>
    <t>12681</t>
  </si>
  <si>
    <t>12687</t>
  </si>
  <si>
    <t>12660</t>
  </si>
  <si>
    <t>12686</t>
  </si>
  <si>
    <t>12661</t>
  </si>
  <si>
    <t>NN-51109</t>
  </si>
  <si>
    <t>12683</t>
  </si>
  <si>
    <t>05126</t>
  </si>
  <si>
    <t>IFA GENERAL</t>
  </si>
  <si>
    <t>POLVO PARA INYECTABLE</t>
  </si>
  <si>
    <t>A26108</t>
  </si>
  <si>
    <t>A26103</t>
  </si>
  <si>
    <t>A26104</t>
  </si>
  <si>
    <t>A26111</t>
  </si>
  <si>
    <t>A26101</t>
  </si>
  <si>
    <t>A26112</t>
  </si>
  <si>
    <t>A26105</t>
  </si>
  <si>
    <t>A26109</t>
  </si>
  <si>
    <t>A26102</t>
  </si>
  <si>
    <t>A26110</t>
  </si>
  <si>
    <t>A26107</t>
  </si>
  <si>
    <t>A26106</t>
  </si>
  <si>
    <t>RMA</t>
  </si>
  <si>
    <t>FECHA DE INGRESO</t>
  </si>
  <si>
    <t>PRESENTACIÓN COMERCIAL</t>
  </si>
  <si>
    <t>CODIGO MATERIAL</t>
  </si>
  <si>
    <t>REGISTRO SANITARIO</t>
  </si>
  <si>
    <t>VENCIMIENTO DE REGISTRO</t>
  </si>
  <si>
    <t>DIAS RESTANTES DEL REGISTRO</t>
  </si>
  <si>
    <t>MATERIAL REQUERIDO</t>
  </si>
  <si>
    <t>CANT. SOLIC. CAJAS Y POSOLOGIA</t>
  </si>
  <si>
    <t>CANTIDAD EN STOCK</t>
  </si>
  <si>
    <t>CANTIDAD REQUERIDA PARA CUBRIR</t>
  </si>
  <si>
    <t>TOMAR EN CUENTA</t>
  </si>
  <si>
    <t>BACITRACINA-NEOMICINA</t>
  </si>
  <si>
    <t xml:space="preserve">TUBO X 10 G </t>
  </si>
  <si>
    <t>NN-37108/2024</t>
  </si>
  <si>
    <t>CAJAS</t>
  </si>
  <si>
    <t>GENÉRICO</t>
  </si>
  <si>
    <t>METRONIDAZOL 500 mg</t>
  </si>
  <si>
    <t>ÓVULO VAGINAL</t>
  </si>
  <si>
    <t>CAJA X 10 OVULOS</t>
  </si>
  <si>
    <t>NN-44623/2022</t>
  </si>
  <si>
    <t>CODEÍNA 10 mg</t>
  </si>
  <si>
    <t>FRASCO X 100 ML</t>
  </si>
  <si>
    <t>NN-20646/2021</t>
  </si>
  <si>
    <t xml:space="preserve">EXAMILL® </t>
  </si>
  <si>
    <t>TUBO X 10 G + 1 APLICADOR</t>
  </si>
  <si>
    <t>GINECOLÓGICO</t>
  </si>
  <si>
    <t>CLOTRIM® 1%</t>
  </si>
  <si>
    <t>NN-17676/2024</t>
  </si>
  <si>
    <t>ATORVASTATINA 10 mg</t>
  </si>
  <si>
    <t>CAJA X 30 COMPRIMIDOS</t>
  </si>
  <si>
    <t>NN-41154/2021</t>
  </si>
  <si>
    <t>GLIBENCLAMIDA  5 mg</t>
  </si>
  <si>
    <t>CAJA X 100 COMPRIMIDOS</t>
  </si>
  <si>
    <t>NN-33767/2022</t>
  </si>
  <si>
    <t>FLAMADIN® RELAX</t>
  </si>
  <si>
    <t>SOBRE X 2 COMPRIMIDOS</t>
  </si>
  <si>
    <t>SOBRES</t>
  </si>
  <si>
    <t>LÍNEA GENERAL</t>
  </si>
  <si>
    <t>RELEVOX® 40 mg</t>
  </si>
  <si>
    <t>NN-73923/2025</t>
  </si>
  <si>
    <t>DOLOGRIP® INFANTIL</t>
  </si>
  <si>
    <t>FRASCO PET X 100 ML</t>
  </si>
  <si>
    <t>NN-30788/2021</t>
  </si>
  <si>
    <t>PEDIÁTRICO</t>
  </si>
  <si>
    <t>IFASAN® 10%</t>
  </si>
  <si>
    <t>FRASCO X 30 ML</t>
  </si>
  <si>
    <t>NN-22290/2022</t>
  </si>
  <si>
    <t>SULFATO FERROSO COMPUESTO M.E.</t>
  </si>
  <si>
    <t>CAJA X 500 COMP</t>
  </si>
  <si>
    <t>NN-28299/2024</t>
  </si>
  <si>
    <t>CUBRE PARA UN LOTE</t>
  </si>
  <si>
    <t>SARNOL® 20%</t>
  </si>
  <si>
    <t>NN-20570/2023</t>
  </si>
  <si>
    <t>CUBRE LAS CAJAS PARA UN LOTE 63 DE 6000</t>
  </si>
  <si>
    <t>CETIRIZINA 5 mg</t>
  </si>
  <si>
    <t>NN-57785/2021</t>
  </si>
  <si>
    <t>IFAMET® 250 mg</t>
  </si>
  <si>
    <t>FRASCO 100 ML</t>
  </si>
  <si>
    <t>NN-17718/2024</t>
  </si>
  <si>
    <t>MEBENDAZOL  100 mg</t>
  </si>
  <si>
    <t>NN-26222/2023</t>
  </si>
  <si>
    <t>ZITROMIN® 200 mg</t>
  </si>
  <si>
    <t>NN-35706/2023</t>
  </si>
  <si>
    <t>FLAMACOX® RELAX</t>
  </si>
  <si>
    <t>CAJA X 10 CAPSULAS</t>
  </si>
  <si>
    <t>NN-69176/2024</t>
  </si>
  <si>
    <t>DIPROFEN® FLU FUERTE</t>
  </si>
  <si>
    <t>CAJA X 10 COMPRIMIDOS</t>
  </si>
  <si>
    <t>NN-41982/2021</t>
  </si>
  <si>
    <t xml:space="preserve">MULTIGYN® </t>
  </si>
  <si>
    <t>POMO X 10 G</t>
  </si>
  <si>
    <t>NN-31520/2021</t>
  </si>
  <si>
    <t xml:space="preserve">IFATRIM® FUERTE  </t>
  </si>
  <si>
    <t>FRASCO X 60 ML</t>
  </si>
  <si>
    <t>NN-17721/2024</t>
  </si>
  <si>
    <t>LEVOFLOXACINA 500 mg</t>
  </si>
  <si>
    <t>NN-58192/2021</t>
  </si>
  <si>
    <t>CUBRE POSO</t>
  </si>
  <si>
    <t>HIDROCLOROTIAZIDA  50 mg</t>
  </si>
  <si>
    <t>NN-26227/2023</t>
  </si>
  <si>
    <t>LEVOKAST®</t>
  </si>
  <si>
    <t>NN-75226/2020</t>
  </si>
  <si>
    <t>COTRIMOXAZOL  800/160 mg</t>
  </si>
  <si>
    <t>NN-21649/2021</t>
  </si>
  <si>
    <t>METOCLOPRAMIDA 10 mg</t>
  </si>
  <si>
    <t>NN-33752/2022</t>
  </si>
  <si>
    <t>FENORAL® 200 mg</t>
  </si>
  <si>
    <t>NN-60744/2022</t>
  </si>
  <si>
    <t>IBUPROFENO  100 mg</t>
  </si>
  <si>
    <t>NN-30424/2025</t>
  </si>
  <si>
    <t>PARACETAMOL  100 mg</t>
  </si>
  <si>
    <t>GOTERO 15 ML</t>
  </si>
  <si>
    <t>PARACETAMOL  500 mg</t>
  </si>
  <si>
    <t>NN-20638/2025</t>
  </si>
  <si>
    <t>SON 10 LOTES DESDE EL 39 AL 48</t>
  </si>
  <si>
    <t>CUBRE</t>
  </si>
  <si>
    <t>Columna1</t>
  </si>
  <si>
    <t>UM</t>
  </si>
  <si>
    <t>UD</t>
  </si>
  <si>
    <t>IFA-00778</t>
  </si>
  <si>
    <t>POSOLOGIA ACICLOVIR 400 MG COMP. RECUBIERTO ( PG )</t>
  </si>
  <si>
    <t>IFA-00779</t>
  </si>
  <si>
    <t>POSOLOGIA ACICLOVIR 5 % CREMA DERMICA (PG)</t>
  </si>
  <si>
    <t>IFA-00780</t>
  </si>
  <si>
    <t>POSOLOGIA ACIDO NALIDIXICO COMP. SUSP. (PG)</t>
  </si>
  <si>
    <t>IFA-00781</t>
  </si>
  <si>
    <t>IFA-00782</t>
  </si>
  <si>
    <t>POSOLOGIA AGUA ANESTESICA 1 % SOL. INYECTABLE</t>
  </si>
  <si>
    <t>IFA-00783</t>
  </si>
  <si>
    <t>POSOLOGIA AGUA INYECTABLE SOL. INYECTABLE</t>
  </si>
  <si>
    <t>IFA-00784</t>
  </si>
  <si>
    <t>POSOLOGIA ALBENDAZOL COMP. MASTICABLE Y SUSP.( PG)</t>
  </si>
  <si>
    <t>IFA-00785</t>
  </si>
  <si>
    <t>POSOLOGIA ALENDRONATO 70 MG COMPRIMIDOS (PG)</t>
  </si>
  <si>
    <t>IFA-00786</t>
  </si>
  <si>
    <t>POSOLOGIA ALOPURINOL 300 MG COMP. (PG)</t>
  </si>
  <si>
    <t>IFA-00787</t>
  </si>
  <si>
    <t>POSOLOGIA ALPRAZOLAN 0.50 MG COMP. (PG)</t>
  </si>
  <si>
    <t>IFA-00789</t>
  </si>
  <si>
    <t>POSOLOGIA AMBROXOL FORTE JARABE,AMBROXOL JARABE (PG)</t>
  </si>
  <si>
    <t>IFA-00790</t>
  </si>
  <si>
    <t>POSOLOGIA AMBROXOL JARABE ( IFAVET )</t>
  </si>
  <si>
    <t>IFA-00791</t>
  </si>
  <si>
    <t>POSOLOGIA AMIKACINA 500 MG SOL. INYECTABLE (PG)</t>
  </si>
  <si>
    <t>IFA-00792</t>
  </si>
  <si>
    <t>POSOLOGIA AMIODARONA 200 MG COMP. (PG)</t>
  </si>
  <si>
    <t>IFA-00793</t>
  </si>
  <si>
    <t>POSOLOGIA AMLODIPINA 10 MG COMP. (PG)</t>
  </si>
  <si>
    <t>IFA-00794</t>
  </si>
  <si>
    <t>POSOLOGIA AMOXICILINA ACIDO CLAVULANICO POLVO PARA SUSP. 250/62.5 MG</t>
  </si>
  <si>
    <t>IFA-00796</t>
  </si>
  <si>
    <t>POSOLOGIA AMOXICILINA SUSP. POLVO ( IFAVET )</t>
  </si>
  <si>
    <t>IFA-00799</t>
  </si>
  <si>
    <t>IFA-00801</t>
  </si>
  <si>
    <t>POSOLOGIA ANALTIN 200 MG COMPRIMIDO</t>
  </si>
  <si>
    <t>IFA-00802</t>
  </si>
  <si>
    <t>POSOLOGIA ANTIGRIPAL COMPRIMIDO Y GOTAS (PG)</t>
  </si>
  <si>
    <t>IFA-00803</t>
  </si>
  <si>
    <t>POSOLOGIA APARKIN 250-25 MG COMP. RECUBIERTO</t>
  </si>
  <si>
    <t>IFA-00805</t>
  </si>
  <si>
    <t>POSOLOGIA ATENOLOL 100 MG COMPRIMIDOS (PG)</t>
  </si>
  <si>
    <t>IFA-00806</t>
  </si>
  <si>
    <t>POSOLOGIA ATORVASTATINA 10 MG COMP. RECUBIERTO (PG)</t>
  </si>
  <si>
    <t>IFA-00807</t>
  </si>
  <si>
    <t>POSOLOGIA AZITROMICINA COMP. RECUBIERTO POLVO PARA SUSPENSION.</t>
  </si>
  <si>
    <t>IFA-00808</t>
  </si>
  <si>
    <t>POSOLOGIA BACITRACINA- NEOMICINA UNGUENTO (PG)</t>
  </si>
  <si>
    <t>IFA-00809</t>
  </si>
  <si>
    <t>POSOLOGIA BENZALIL 25 % LOCION</t>
  </si>
  <si>
    <t>IFA-00810</t>
  </si>
  <si>
    <t>POSOLOGIA BETAMETASONA 0.1% CREMA DERMICA (PG)</t>
  </si>
  <si>
    <t>IFA-00811</t>
  </si>
  <si>
    <t>POSOLOGIA BROMARIN A300 COMP. RECUBIERTO</t>
  </si>
  <si>
    <t>IFA-00812</t>
  </si>
  <si>
    <t>POSOLOGIA BROMARIN COMPRIMIDO</t>
  </si>
  <si>
    <t>IFA-00813</t>
  </si>
  <si>
    <t>POSOLOGIA BROMHEXINA 4 MG JARABE ( PG )</t>
  </si>
  <si>
    <t>IFA-00814</t>
  </si>
  <si>
    <t>POSOLOGIA BROMHEXINA 4 MG JARABE (IFAVET)</t>
  </si>
  <si>
    <t>IFA-00815</t>
  </si>
  <si>
    <t>POSOLOGIA BRONCOFLU JARABE</t>
  </si>
  <si>
    <t>IFA-00816</t>
  </si>
  <si>
    <t>POSOLOGIA BROXILIN DUO POLVO PARA SUSPENSION</t>
  </si>
  <si>
    <t>IFA-00817</t>
  </si>
  <si>
    <t>POSOLOGIA CARBAMAZEPINA 200 MG COMPRIMIDO . (PG)</t>
  </si>
  <si>
    <t>IFA-00818</t>
  </si>
  <si>
    <t>POSOLOGIA CEFABIOTIC POLVO PARA SUSPENSION. CAPSULA</t>
  </si>
  <si>
    <t>IFA-00819</t>
  </si>
  <si>
    <t>POSOLOGIA CEFALEXINA COMP. RECUBIERTO POLVO PARA SUSP. (PG)</t>
  </si>
  <si>
    <t>IFA-00820</t>
  </si>
  <si>
    <t>POSOLOGIA CEFALEXINA 500 MG COMPRIMIDOS (IFAVET)</t>
  </si>
  <si>
    <t>IFA-00821</t>
  </si>
  <si>
    <t>POSOLOGIA CEFAZOLINA 1000 POLVO PARA INYECTABLE (PG)</t>
  </si>
  <si>
    <t>IFA-00822</t>
  </si>
  <si>
    <t>POSOLOGIA CEFIXIMA 400 MG CAPSULAS (PG)</t>
  </si>
  <si>
    <t>IFA-00823</t>
  </si>
  <si>
    <t>POSOLOGIA CEFOTAXIMA 1 G SOL. INYECTABLE ( IFAVET )</t>
  </si>
  <si>
    <t>IFA-00824</t>
  </si>
  <si>
    <t>POSOLOGIA CEFOTAXIMA 1000 POLVO PARA INYECTABLE (PG)</t>
  </si>
  <si>
    <t>IFA-00826</t>
  </si>
  <si>
    <t>POSOLOGIA CEFTRIAX POLVO PARA INYECTABLE</t>
  </si>
  <si>
    <t>IFA-00827</t>
  </si>
  <si>
    <t>POSOLOGIA CEFTRIAXONA 1000 POLVO PARA INYECTABLE (PG)</t>
  </si>
  <si>
    <t>IFA-00828</t>
  </si>
  <si>
    <t>POSOLOGIA CESTODEN COMP. MASTICABLE. SUSPENSION</t>
  </si>
  <si>
    <t>IFA-00829</t>
  </si>
  <si>
    <t>POSOLOGIA CETIRIZINA 5 MG JARABE (PG)</t>
  </si>
  <si>
    <t>IFA-00830</t>
  </si>
  <si>
    <t>POSOLOGIA CIFLOX COMP. RECUBIERTO</t>
  </si>
  <si>
    <t>IFA-00831</t>
  </si>
  <si>
    <t>POSOLOGIA CILASTAX POLVO PARA INYECTABLE</t>
  </si>
  <si>
    <t>IFA-00833</t>
  </si>
  <si>
    <t>POSOLOGIA CIPROFLOXACINA 500 MG COMPRIMIDOS (IFAVET)</t>
  </si>
  <si>
    <t>IFA-00834</t>
  </si>
  <si>
    <t>POSOLOGIA CLARIMEX GRANULOS PARA SUSPENSION. COMP. RECUBIERTO</t>
  </si>
  <si>
    <t>IFA-00837</t>
  </si>
  <si>
    <t>POSOLOGIA CLORFENAMINA COMPRIMIDO . JARABE (PG)</t>
  </si>
  <si>
    <t>IFA-00838</t>
  </si>
  <si>
    <t>POSOLOGIA CLORURO DE POTASIO 20 % SOL. INYECTABLE (PG)</t>
  </si>
  <si>
    <t>IFA-00839</t>
  </si>
  <si>
    <t>POSOLOGIA CLOTRIM BG CREMA DERMICA</t>
  </si>
  <si>
    <t>IFA-00840</t>
  </si>
  <si>
    <t>POSOLOGIA CLOTRIM 500 MG OVULO VAGINAL</t>
  </si>
  <si>
    <t>IFA-00841</t>
  </si>
  <si>
    <t>POSOLOGIA CLOTRIM CREMA DERMICA.CREMA VAGINAL. TALCO.</t>
  </si>
  <si>
    <t>IFA-00843</t>
  </si>
  <si>
    <t>POSOLOGIA CLOTRIMAZOL CREMA DERMICA OVULO VAGINAL (PG)</t>
  </si>
  <si>
    <t>IFA-00844</t>
  </si>
  <si>
    <t>POSOLOGIA CLOXIN POLVO PARA INYECTABLE</t>
  </si>
  <si>
    <t>IFA-00845</t>
  </si>
  <si>
    <t>POSOLOGIA CODEINA 10 MG JARABE. (PG)</t>
  </si>
  <si>
    <t>IFA-00846</t>
  </si>
  <si>
    <t>IFA-00848</t>
  </si>
  <si>
    <t>POSOLOGIA COMPLEJO B POTENCIADO JARABE (IFAVET)</t>
  </si>
  <si>
    <t>IFA-00849</t>
  </si>
  <si>
    <t>POSOLOGIA COMPLEJO COMPUESTO COMPRIMIDO ( IFAVET )</t>
  </si>
  <si>
    <t>IFA-00850</t>
  </si>
  <si>
    <t>POSOLOGIA COMPLEVITA POLVO SOLUBLE ( IFAVET )</t>
  </si>
  <si>
    <t>IFA-00851</t>
  </si>
  <si>
    <t>POSOLOGIA COMPLEVITA POTENCIADO (IFAVET)</t>
  </si>
  <si>
    <t>IFA-00853</t>
  </si>
  <si>
    <t>POSOLOGIA DERMO VET LOCION ( IFAVET )</t>
  </si>
  <si>
    <t>IFA-00854</t>
  </si>
  <si>
    <t>POSOLOGIA DEXAMETASONA COMP. SOLUCION INYECTABLE. (PG)</t>
  </si>
  <si>
    <t>IFA-00855</t>
  </si>
  <si>
    <t>POSOLOGIA DEXTROMETORFANO 10 MG JARABE (PG)</t>
  </si>
  <si>
    <t>IFA-00856</t>
  </si>
  <si>
    <t>POSOLOGIA DICLOFENACO COMP.RECUBIERTO.GEL. SOLUCION INYECTABLE. ( PG)</t>
  </si>
  <si>
    <t>IFA-00857</t>
  </si>
  <si>
    <t>POSOLOGIA DICLOXACILINA POLVO PARA SUSP. CAPSULA (PG)</t>
  </si>
  <si>
    <t>IFA-00858</t>
  </si>
  <si>
    <t>POSOLOGIA DIMENHIDRINATO 50 MG COMP. (PG)</t>
  </si>
  <si>
    <t>IFA-00860</t>
  </si>
  <si>
    <t>POSOLOGIA DIPROFEN FLU COMP. RECUBIERTO SUSPENSION</t>
  </si>
  <si>
    <t>IFA-00862</t>
  </si>
  <si>
    <t>IFA-00863</t>
  </si>
  <si>
    <t>POSOLOGIA DOLOFIXIN SOL. INYECTABLE</t>
  </si>
  <si>
    <t>IFA-00864</t>
  </si>
  <si>
    <t>POSOLOGIA DOLOGRIP JARABE. GOTAS. COMP. RECUBIERTO</t>
  </si>
  <si>
    <t>IFA-00866</t>
  </si>
  <si>
    <t>POSOLOGIA DOLOMIGRAL PLUS COMP. RECUBIERTO</t>
  </si>
  <si>
    <t>IFA-00867</t>
  </si>
  <si>
    <t>POSOLOGIA DOMPERIDONA 10 MG GOTAS (PG)</t>
  </si>
  <si>
    <t>IFA-00868</t>
  </si>
  <si>
    <t>POSOLOGIA DOMPERIDONA-VET GOTAS (IFAVET)</t>
  </si>
  <si>
    <t>IFA-00869</t>
  </si>
  <si>
    <t>POSOLOGIA DONTOFLAMON COMP. RECUBIERTO SUSPENSION</t>
  </si>
  <si>
    <t>IFA-00870</t>
  </si>
  <si>
    <t>POSOLOGIA DOXICICLINA 100 MG COMP. (PG)</t>
  </si>
  <si>
    <t>IFA-00871</t>
  </si>
  <si>
    <t>POSOLOGIA DOXI-VET COMP. RECUBIERTO ( IFAVET )</t>
  </si>
  <si>
    <t>IFA-00872</t>
  </si>
  <si>
    <t>POSOLOGIA DOXI-VET PLUS COMP. PALATABLE (IFAVET)</t>
  </si>
  <si>
    <t>IFA-00873</t>
  </si>
  <si>
    <t>IFA-00874</t>
  </si>
  <si>
    <t>POSOLOGIA ENALAPRIL MALEATO 10 MG COMP. RANURADO (PG)</t>
  </si>
  <si>
    <t>IFA-00877</t>
  </si>
  <si>
    <t>POSOLOGIA ESPASMO NACLODIL SOL. INYECTABLE</t>
  </si>
  <si>
    <t>IFA-00879</t>
  </si>
  <si>
    <t>POSOLOGIA FENORAL SOL. INYECTABLE. CAPS. LIBERACION PROLONGADA</t>
  </si>
  <si>
    <t>IFA-00880</t>
  </si>
  <si>
    <t>POSOLOGIA FERRASOL FN GOTAS</t>
  </si>
  <si>
    <t>IFA-00882</t>
  </si>
  <si>
    <t>POSOLOGIA FERROCAN JARABE - GOTAS ( IFAVET )</t>
  </si>
  <si>
    <t>IFA-00883</t>
  </si>
  <si>
    <t>POSOLOGIA FINASTERIDA 5 MG COMP. RECUBIERTO (PG)</t>
  </si>
  <si>
    <t>IFA-00884</t>
  </si>
  <si>
    <t>POSOLOGIA FLAMACOX CAPS. BLANDAS</t>
  </si>
  <si>
    <t>IFA-00885</t>
  </si>
  <si>
    <t>POSOLOGIA FLAMACOX RELAX CAPS. BLANDAS</t>
  </si>
  <si>
    <t>IFA-00886</t>
  </si>
  <si>
    <t>POSOLOGIA FLAMACOXINE CAPS. BLANDA</t>
  </si>
  <si>
    <t>IFA-00887</t>
  </si>
  <si>
    <t>POSOLOGIA FLAMADIN 1 % GEL</t>
  </si>
  <si>
    <t>IFA-00888</t>
  </si>
  <si>
    <t>POSOLOGIA FLAMADIN 15 MG GOTAS</t>
  </si>
  <si>
    <t>IFA-00889</t>
  </si>
  <si>
    <t>POSOLOGIA FLAMADIN B1 B6 B12 COMP. RECUBIERTO</t>
  </si>
  <si>
    <t>IFA-00890</t>
  </si>
  <si>
    <t>POSOLOGIA FLAMADIN B12 SOL. INYECTABLE</t>
  </si>
  <si>
    <t>IFA-00892</t>
  </si>
  <si>
    <t>POSOLOGIA FLAMADIN PLUS CAPSULAS BLANDAS</t>
  </si>
  <si>
    <t>IFA-00893</t>
  </si>
  <si>
    <t>POSOLOGIA FLAMADIN RELAX COMP. RECUBIERTO</t>
  </si>
  <si>
    <t>IFA-00894</t>
  </si>
  <si>
    <t>POSOLOGIA FLECOXIB 200 MG CAPSULA</t>
  </si>
  <si>
    <t>IFA-00895</t>
  </si>
  <si>
    <t>POSOLOGIA FLUCOMICOL CAPSULA</t>
  </si>
  <si>
    <t>IFA-00896</t>
  </si>
  <si>
    <t>POSOLOGIA FLUCONAZOL CAPSULAS (PG)</t>
  </si>
  <si>
    <t>IFA-00897</t>
  </si>
  <si>
    <t>POSOLOGIA FLUOXETINA 20 MG COMPRIMIDOS (PG)</t>
  </si>
  <si>
    <t>IFA-00900</t>
  </si>
  <si>
    <t>POSOLOGIA FRIXADOL UNGUENTO (PG)</t>
  </si>
  <si>
    <t>IFA-00902</t>
  </si>
  <si>
    <t>POSOLOGIA FUROSEMIDA 40 MG COMPRIMIDOS ( IFAVET )</t>
  </si>
  <si>
    <t>IFA-00903</t>
  </si>
  <si>
    <t>POSOLOGIA GASTROZIN HP CAPS. LIBERACION RETARDADA</t>
  </si>
  <si>
    <t>IFA-00904</t>
  </si>
  <si>
    <t>POSOLOGIA GEMFIBROZILO 600 MG COMP. RECUBIERTO (PG)</t>
  </si>
  <si>
    <t>IFA-00905</t>
  </si>
  <si>
    <t>POSOLOGIA GENTAMICINA 80 MG SOL. INYECTABLE (PG)</t>
  </si>
  <si>
    <t>IFA-00906</t>
  </si>
  <si>
    <t>POSOLOGIA GLIBENCLAMIDA 5 MG COMP. RECUBIERTO (PG)</t>
  </si>
  <si>
    <t>IFA-00907</t>
  </si>
  <si>
    <t>POSOLOGIA GLUCONATO DE CALCIO 10 % SOL. INYECTABLE (PG)</t>
  </si>
  <si>
    <t>IFA-00908</t>
  </si>
  <si>
    <t>POSOLOGIA GRISEOFULVINA 500 MG COMP. (PG)</t>
  </si>
  <si>
    <t>IFA-00909</t>
  </si>
  <si>
    <t>POSOLOGIA GRISEOFULVINA 500 MG COMPRIMIDOS (IFAVET)</t>
  </si>
  <si>
    <t>IFA-00910</t>
  </si>
  <si>
    <t>POSOLOGIA GRISEOVINA CAPSULAS BLANDAS</t>
  </si>
  <si>
    <t>IFA-00911</t>
  </si>
  <si>
    <t>POSOLOGIA HIDROCLOROTIAZIDA 50 MG COMP. RANURADO (PG)</t>
  </si>
  <si>
    <t>IFA-00912</t>
  </si>
  <si>
    <t>POSOLOGIA HIDROCLOROTIAZIDA AMILORIDA 50/5 MG COMP. (PG)</t>
  </si>
  <si>
    <t>IFA-00914</t>
  </si>
  <si>
    <t>POSOLOGIA HIPECORT 6 MG COMPRIMIDO</t>
  </si>
  <si>
    <t>IFA-00917</t>
  </si>
  <si>
    <t>POSOLOGIA IBUPROFENO SUSP. COMPRIMIDOS (PG)</t>
  </si>
  <si>
    <t>IFA-00918</t>
  </si>
  <si>
    <t>POSOLOGIA IFABENA CREMA DERMICA. SUSPENSION</t>
  </si>
  <si>
    <t>IFA-00919</t>
  </si>
  <si>
    <t>POSOLOGIA IFAMET SUSPENSION</t>
  </si>
  <si>
    <t>IFA-00920</t>
  </si>
  <si>
    <t>POSOLOGIA IFAMET N OVULO VAGINAL</t>
  </si>
  <si>
    <t>IFA-00921</t>
  </si>
  <si>
    <t>POSOLOGIA IFAMETASONA SOL. INYECTABLE ( IFAVET )</t>
  </si>
  <si>
    <t>IFA-00922</t>
  </si>
  <si>
    <t>POSOLOGIA IFAMICIN SOL. INYECTABLE ( IFAVET )</t>
  </si>
  <si>
    <t>IFA-00923</t>
  </si>
  <si>
    <t>POSOLOGIA IFAMINA COMPRIMIDO RECUBIERTO</t>
  </si>
  <si>
    <t>IFA-00925</t>
  </si>
  <si>
    <t>POSOLOGIA IFASAN 10 % LOCION</t>
  </si>
  <si>
    <t>IFA-00926</t>
  </si>
  <si>
    <t>POSOLOGIA IFASODICA POLVO PARA INYECTABLE</t>
  </si>
  <si>
    <t>IFA-00927</t>
  </si>
  <si>
    <t>POSOLOGIA IFATRIM SUSPENSION</t>
  </si>
  <si>
    <t>IFA-00928</t>
  </si>
  <si>
    <t>POSOLOGIA IFOTAXIMA 1000 POLVO PARA INYECTABLE</t>
  </si>
  <si>
    <t>IFA-00929</t>
  </si>
  <si>
    <t>POSOLOGIA INCRETIN COMP. RECUBIERTO</t>
  </si>
  <si>
    <t>IFA-00930</t>
  </si>
  <si>
    <t>POSOLOGIA INCRETIN COMPUESTO COMPRIMIDO</t>
  </si>
  <si>
    <t>IFA-00931</t>
  </si>
  <si>
    <t>POSOLOGIA INDOMETACINA 25 MG COMP. RECUBIERTO (PG)</t>
  </si>
  <si>
    <t>IFA-00932</t>
  </si>
  <si>
    <t>POSOLOGIA INSTRUCTIVO PARA APLICADOR VAGINAL</t>
  </si>
  <si>
    <t>IFA-00933</t>
  </si>
  <si>
    <t>POSOLOGIA INSTRUCTIVO PARA PREPARAR LA SUSPENSION</t>
  </si>
  <si>
    <t>IFA-00934</t>
  </si>
  <si>
    <t>POSOLOGIA INSTRUCTIVOS PARA ADAPTAR JERINGAS</t>
  </si>
  <si>
    <t>IFA-00936</t>
  </si>
  <si>
    <t>POSOLOGIA KALENDA CREMA VAGINAL. OVULO VAGINAL</t>
  </si>
  <si>
    <t>IFA-00937</t>
  </si>
  <si>
    <t>POSOLOGIA KETOCONAZOL COMP.RECUEBIERTO, CREMA DERMICA (PG)</t>
  </si>
  <si>
    <t>IFA-00938</t>
  </si>
  <si>
    <t>POSOLOGIA KETOCONAZOL COMPRIMIDOS, CREMA DERMICA (IFAVET)</t>
  </si>
  <si>
    <t>IFA-00939</t>
  </si>
  <si>
    <t>POSOLOGIA KETOROLACO COMP. RECUBIERTO SOLUCION INYECTABLE (</t>
  </si>
  <si>
    <t>IFA-00940</t>
  </si>
  <si>
    <t>POSOLOGIA LANSOPRAZOL 30 MG CAPSULAS . (PG)</t>
  </si>
  <si>
    <t>IFA-00941</t>
  </si>
  <si>
    <t>POSOLOGIA LAXYL CAPSULA BLANDA</t>
  </si>
  <si>
    <t>IFA-00942</t>
  </si>
  <si>
    <t>POSOLOGIA LEVOCAN GOTAS ( IFAVET )</t>
  </si>
  <si>
    <t>IFA-00943</t>
  </si>
  <si>
    <t>POSOLOGIA LEVODOPA CARBIDOPA 250/25 COMP. RECUBIERTO (PG)</t>
  </si>
  <si>
    <t>IFA-00944</t>
  </si>
  <si>
    <t>POSOLOGIA LEVOFLOXACINA 500 MG COMP. RECUBIERTO (PG)</t>
  </si>
  <si>
    <t>IFA-00945</t>
  </si>
  <si>
    <t>POSOLOGIA LEVOKAST COMPRIMIDO MASTICABLE</t>
  </si>
  <si>
    <t>IFA-00946</t>
  </si>
  <si>
    <t>POSOLOGIA LIDERMAN CAPSULA BLANDA</t>
  </si>
  <si>
    <t>IFA-00947</t>
  </si>
  <si>
    <t>POSOLOGIA LIDOCAINA 4% GEL (PG)</t>
  </si>
  <si>
    <t>IFA-00948</t>
  </si>
  <si>
    <t>POSOLOGIA LIDOCAINA 2% SOL. INYECTABLE (PG)</t>
  </si>
  <si>
    <t>IFA-00949</t>
  </si>
  <si>
    <t>POSOLOGIA LIDOCAINA 2% SOL. INYECTABLE ( IFAVET )</t>
  </si>
  <si>
    <t>IFA-00950</t>
  </si>
  <si>
    <t>POSOLOGIA LOPERAMIDA 2 MG COMP. (PG)</t>
  </si>
  <si>
    <t>IFA-00951</t>
  </si>
  <si>
    <t>POSOLOGIA LOSARTAN 50 MG COMP. RECUBIERTO (PG)</t>
  </si>
  <si>
    <t>IFA-00953</t>
  </si>
  <si>
    <t>POSOLOGIA MEBENDAZOL COMP. RECUBIERTO SUSPENSION (PG)</t>
  </si>
  <si>
    <t>IFA-00954</t>
  </si>
  <si>
    <t>POSOLOGIA MELOXICAM 15 MG COMPRIMIDOS (PG)</t>
  </si>
  <si>
    <t>IFA-00955</t>
  </si>
  <si>
    <t>POSOLOGIA MELOXICAN 7,5 MG COMPRIMIDO ( IFAVET )</t>
  </si>
  <si>
    <t>IFA-00956</t>
  </si>
  <si>
    <t>POSOLOGIA METAMIZOL 1 GR SOL. INYECTABLE (PG)</t>
  </si>
  <si>
    <t>IFA-00957</t>
  </si>
  <si>
    <t>POSOLOGIA METFORMINA 850 MG COMP. RECUBIERTO (PG)</t>
  </si>
  <si>
    <t>IFA-00958</t>
  </si>
  <si>
    <t>POSOLOGIA METOCLOPRAMIDA COMP.GOTAS SOL. INYECTABLE ( PG )</t>
  </si>
  <si>
    <t>IFA-00960</t>
  </si>
  <si>
    <t>POSOLOGIA METOCLOPRAMIDA SOL. INYECTABLE ( IFAVET )</t>
  </si>
  <si>
    <t>IFA-00961</t>
  </si>
  <si>
    <t>POSOLOGIA METRONIDAZOL COMP. SUSP. OVULO.(PG)</t>
  </si>
  <si>
    <t>IFA-00962</t>
  </si>
  <si>
    <t>POSOLOGIA METRONIDAZOL SUSPENSION ( IFAVET )</t>
  </si>
  <si>
    <t>IFA-00963</t>
  </si>
  <si>
    <t>POSOLOGIA MUCOLITIC JARABE.</t>
  </si>
  <si>
    <t>IFA-00964</t>
  </si>
  <si>
    <t>POSOLOGIA MULTIDERMIN CREMA DERMICA</t>
  </si>
  <si>
    <t>IFA-00965</t>
  </si>
  <si>
    <t>POSOLOGIA MULTIGYN CREMA VAGINAL. OVULO VAGINAL.</t>
  </si>
  <si>
    <t>IFA-00966</t>
  </si>
  <si>
    <t>POSOLOGIA MULTIVITAMINAS COMP. RECUBIERTO JARABE (PG)</t>
  </si>
  <si>
    <t>IFA-00968</t>
  </si>
  <si>
    <t>POSOLOGIA NACLODIL COMP. RECUBIERTO</t>
  </si>
  <si>
    <t>IFA-00969</t>
  </si>
  <si>
    <t>POSOLOGIA NIMODIPINO 30 MG COMP. (PG)</t>
  </si>
  <si>
    <t>IFA-00970</t>
  </si>
  <si>
    <t>POSOLOGIA NISTATINA SUSP. CREMA DERMICA OVULO VAGINAL (PG)</t>
  </si>
  <si>
    <t>IFA-00971</t>
  </si>
  <si>
    <t>POSOLOGIA OMEGA 3 CAPSULA BLANDA</t>
  </si>
  <si>
    <t>IFA-00973</t>
  </si>
  <si>
    <t>POSOLOGIA OXIFUR POLVO SOLUBLE USO ( IFAVET )</t>
  </si>
  <si>
    <t>IFA-00974</t>
  </si>
  <si>
    <t>POSOLOGIA PARACETAMOL COMPRIMIDO. GOTAS . JARABE . (PG)</t>
  </si>
  <si>
    <t>IFA-00975</t>
  </si>
  <si>
    <t>POSOLOGIA PENICILINA POLVO PARA INYECTABLE (PG)</t>
  </si>
  <si>
    <t>IFA-00976</t>
  </si>
  <si>
    <t>POSOLOGIA PENTA FORTE 6.000 POLVO PARA INYECTABLE ( IFAVET )</t>
  </si>
  <si>
    <t>IFA-00977</t>
  </si>
  <si>
    <t>POSOLOGIA PIRANTEL COMP. RECUBIERTO . SUSPENCION (PG)</t>
  </si>
  <si>
    <t>IFA-00978</t>
  </si>
  <si>
    <t>POSOLOGIA POLIGYN CREMA VAGINAL</t>
  </si>
  <si>
    <t>IFA-00979</t>
  </si>
  <si>
    <t>POSOLOGIA POLIGYN PLUS OVULO VAGINAL</t>
  </si>
  <si>
    <t>IFA-00980</t>
  </si>
  <si>
    <t>POSOLOGIA PREDNISONA COMPRIMIDO . (PG)</t>
  </si>
  <si>
    <t>IFA-00981</t>
  </si>
  <si>
    <t>POSOLOGIA PREDNISONA 5-20 MG COMPRIMIDO (IFAVET)</t>
  </si>
  <si>
    <t>IFA-00982</t>
  </si>
  <si>
    <t>IFA-00983</t>
  </si>
  <si>
    <t>POSOLOGIA PROCAINICA POLVO PARA INYECTABLE (PG)</t>
  </si>
  <si>
    <t>IFA-00986</t>
  </si>
  <si>
    <t>POSOLOGIA QUINOSIL COMP. RECUBIERTO</t>
  </si>
  <si>
    <t>IFA-00987</t>
  </si>
  <si>
    <t>POSOLOGIA RANITIDINA 10 MG INYECTABLE (IFAVET)</t>
  </si>
  <si>
    <t>IFA-00988</t>
  </si>
  <si>
    <t>POSOLOGIA RANITIDINA 50 MG SOL. INYECTABLE (PG)</t>
  </si>
  <si>
    <t>IFA-00989</t>
  </si>
  <si>
    <t>POSOLOGIA REDUTEM GOTAS</t>
  </si>
  <si>
    <t>IFA-00990</t>
  </si>
  <si>
    <t>POSOLOGIA RELEVOX CAPSULA LIBER. RETARDADA</t>
  </si>
  <si>
    <t>IFA-00991</t>
  </si>
  <si>
    <t>POSOLOGIA REMASOL LOCION</t>
  </si>
  <si>
    <t>IFA-00993</t>
  </si>
  <si>
    <t>POSOLOGIA REZITRO COMP. RECUBIERTO SOL. INYECTABLE</t>
  </si>
  <si>
    <t>IFA-00994</t>
  </si>
  <si>
    <t>POSOLOGIA RISPERIDONA 3 MG COMP. RECUBIERTO (PG)</t>
  </si>
  <si>
    <t>IFA-00995</t>
  </si>
  <si>
    <t>POSOLOGIA ROSUVAST CAPS. BLANDAS</t>
  </si>
  <si>
    <t>IFA-00996</t>
  </si>
  <si>
    <t>POSOLOGIA SALBUTAMOL 4 MG COMP. (PG)</t>
  </si>
  <si>
    <t>IFA-00997</t>
  </si>
  <si>
    <t>POSOLOGIA SARNOL CREMA DERMICA. LOCION .</t>
  </si>
  <si>
    <t>IFA-00998</t>
  </si>
  <si>
    <t>POSOLOGIA SULFATO FERROSO 200 MG COMP. RECUBIERTO (PG)</t>
  </si>
  <si>
    <t>IFA-00999</t>
  </si>
  <si>
    <t>POSOLOGIA SULFATO FERROSO COMPUESTO M.E. COMP. RECUBIERTO (</t>
  </si>
  <si>
    <t>IFA-01002</t>
  </si>
  <si>
    <t>POSOLOGIA SULTRIN FORTE SUSPENSION ( IFAVET )</t>
  </si>
  <si>
    <t>IFA-01003</t>
  </si>
  <si>
    <t>POSOLOGIA TANIDAX COMP. RECUBIERTO</t>
  </si>
  <si>
    <t>IFA-01004</t>
  </si>
  <si>
    <t>POSOLOGIA TERAPIROL 1 G SOL. INYECATBLE. (PG)</t>
  </si>
  <si>
    <t>IFA-01005</t>
  </si>
  <si>
    <t>POSOLOGIA TERMO-DIPROFEN SUSPENSION</t>
  </si>
  <si>
    <t>IFA-01006</t>
  </si>
  <si>
    <t>POSOLOGIA TERRACOLIN COMP. RECUBIERTO. SUSPENSION</t>
  </si>
  <si>
    <t>IFA-01007</t>
  </si>
  <si>
    <t>POSOLOGIA TETRACICLINA POLVO SOLUBLE ( IFAVET )</t>
  </si>
  <si>
    <t>IFA-01008</t>
  </si>
  <si>
    <t>POSOLOGIA TETRASOL POLVO SOLUBLE ( IFAVET)</t>
  </si>
  <si>
    <t>IFA-01009</t>
  </si>
  <si>
    <t>POSOLOGIA TEURAL CAPSULAS.</t>
  </si>
  <si>
    <t>IFA-01010</t>
  </si>
  <si>
    <t>POSOLOGIA TINIDAZOL 1 G COMP. RECUBIERTO (PG)</t>
  </si>
  <si>
    <t>IFA-01011</t>
  </si>
  <si>
    <t>POSOLOGIA TRAMACETAMOL COMP. RECUBIERTO</t>
  </si>
  <si>
    <t>IFA-01012</t>
  </si>
  <si>
    <t>POSOLOGIA TRIBENZOL COMP.RECUBIERTO POLVO PARA SUSPENSION</t>
  </si>
  <si>
    <t>IFA-01013</t>
  </si>
  <si>
    <t>POSOLOGIA TRICOBIC 1 GR COMP. RECUBIERTO</t>
  </si>
  <si>
    <t>IFA-01014</t>
  </si>
  <si>
    <t>POSOLOGIA TRIFA - PLUS COMPRIMIDOS ( IFAVET )</t>
  </si>
  <si>
    <t>IFA-01016</t>
  </si>
  <si>
    <t>POSOLOGIA TUSSINOL JARABE.</t>
  </si>
  <si>
    <t>IFA-01017</t>
  </si>
  <si>
    <t>POSOLOGIA VANCOMICINA 500 MG POLVO PARA INYECTABLE ( PG )</t>
  </si>
  <si>
    <t>IFA-01018</t>
  </si>
  <si>
    <t>POSOLOGIA VETACEF 250 MG SUSP. POLVO VETERINARIO (IFAVET)</t>
  </si>
  <si>
    <t>IFA-01019</t>
  </si>
  <si>
    <t>POSOLOGIA VETODOLIC-K GOTAS ( IFAVET )</t>
  </si>
  <si>
    <t>IFA-01020</t>
  </si>
  <si>
    <t>POSOLOGIA VIGORVIT AVIAR POTENCIADO POLVO SOLUBLE ( IFAVET</t>
  </si>
  <si>
    <t>IFA-01021</t>
  </si>
  <si>
    <t>POSOLOGIA VITA - CAN JARABE GOTAS ( IFAVET )</t>
  </si>
  <si>
    <t>IFA-01022</t>
  </si>
  <si>
    <t>POSOLOGIA VITAVE AVIAR POLVO SOLUBLE ( IFAVET )</t>
  </si>
  <si>
    <t>IFA-01023</t>
  </si>
  <si>
    <t>POSOLOGIA ZINC 20 MG JARABE (PG)</t>
  </si>
  <si>
    <t>IFA-01024</t>
  </si>
  <si>
    <t>POSOLOGIA ZINC COMPRIMIDO (PG)</t>
  </si>
  <si>
    <t>IFA-01025</t>
  </si>
  <si>
    <t>POSOLOGIA ZITROMIN COMP. RECUBIERTO POLVO PARA SUSPENSION</t>
  </si>
  <si>
    <t>IFA-01027</t>
  </si>
  <si>
    <t>CAJA ACICLOVIR 400 MG X 100 COMP. RECUBIERTOS (60X78X83) 2 COLORE</t>
  </si>
  <si>
    <t>IFA-01028</t>
  </si>
  <si>
    <t>CAJA ACICLOVIR 400 MG X 20 COMP. (PG)</t>
  </si>
  <si>
    <t>IFA-01029</t>
  </si>
  <si>
    <t>CAJA ACICLOVIR 5% CREMA DERMICA X 5 GR (PG)</t>
  </si>
  <si>
    <t>IFA-01030</t>
  </si>
  <si>
    <t>CAJA ACIDO NALIDIXICO 250 MG SUSP. X 120 ML PG (119X53X53 MM 2 CO</t>
  </si>
  <si>
    <t>IFA-01031</t>
  </si>
  <si>
    <t>CAJA ACIDO NALIDIXICO 500 MG X 100 COMP. (PG)</t>
  </si>
  <si>
    <t>IFA-01032</t>
  </si>
  <si>
    <t>CAJA AFUNGIL X 12 CAP.</t>
  </si>
  <si>
    <t>IFA-01033</t>
  </si>
  <si>
    <t>CAJA AGUA ANESTESICA X 25 AMPOLLAS</t>
  </si>
  <si>
    <t>IFA-01034</t>
  </si>
  <si>
    <t>CAJA AGUA INYECTABLE 5 ML X 25 AMP. (3 COLORES 79 X 96 X 96 MM)</t>
  </si>
  <si>
    <t>IFA-01035</t>
  </si>
  <si>
    <t>CAJA ALBENDAZOL 200 MG X 10 COMP. ( 2 COLORES DE 90X61X25 MM) PG</t>
  </si>
  <si>
    <t>IFA-01038</t>
  </si>
  <si>
    <t>CAJA ALBENDAZOL 400 MG X 10 ML (77 X 33 X 33 2 COLORES)</t>
  </si>
  <si>
    <t>IFA-01040</t>
  </si>
  <si>
    <t>CAJA ALENDRONATO 70 MG X 4 COMP. ( 2 COLORES DE 90X40X13.5 MM) PG</t>
  </si>
  <si>
    <t>IFA-01041</t>
  </si>
  <si>
    <t>CAJA ALOPURINOL 300 MG X 100 COMP. RECUBIERTOS (60X78X83) 2 COLOR</t>
  </si>
  <si>
    <t>IFA-01042</t>
  </si>
  <si>
    <t>CAJA ALOPURINOL 300 MG X 20 COMP. ( 2 COLORES DE 90X61X18 MM) PG</t>
  </si>
  <si>
    <t>IFA-01044</t>
  </si>
  <si>
    <t>CAJA ALPRAZOLAN 0.50 MG X 20 COMP. (2 COLORES DE 90 X 40 X 13.50</t>
  </si>
  <si>
    <t>IFA-01045</t>
  </si>
  <si>
    <t>CAJA ALPRAZOLAN 0.50 MG X 500 COMP. ( 2 COLORES DE 83X120X69 MM)</t>
  </si>
  <si>
    <t>IFA-01046</t>
  </si>
  <si>
    <t>IFA-01047</t>
  </si>
  <si>
    <t>CAJA AMBROXOL 15 MG JARABE X 100 ML (IFAVET) (119X70X54) (2 COLOR</t>
  </si>
  <si>
    <t>IFA-01048</t>
  </si>
  <si>
    <t>CAJA AMBROXOL 30 MG JARABE X 100 ML (IFAVET) (119X70X54) (2 COLOR</t>
  </si>
  <si>
    <t>IFA-01050</t>
  </si>
  <si>
    <t>CAJA AMBROXOL FORTE 30 MG JARABE X 100 ML (PG) (119X53X53)</t>
  </si>
  <si>
    <t>IFA-01052</t>
  </si>
  <si>
    <t>CAJA AMIKACINA 500MG X 25 AMP. (PG)</t>
  </si>
  <si>
    <t>IFA-01053</t>
  </si>
  <si>
    <t>CAJA AMIODARONA 200 MG X 100 COMP. ( 2 COLORES DE 61X90X61 MM) PG</t>
  </si>
  <si>
    <t>IFA-01054</t>
  </si>
  <si>
    <t>CAJA AMLODIPINA 10 MG X 100 COMPRIMIDOS (83X53X38) 2 COLORES (PG)</t>
  </si>
  <si>
    <t>IFA-01055</t>
  </si>
  <si>
    <t>CAJA AMLODIPINA BESILATO 10 MG X 30 COMP. ( 2 COLORES DE 90X40X19</t>
  </si>
  <si>
    <t>IFA-01057</t>
  </si>
  <si>
    <t>CAJA AMOXICILINA 1 GR X 100 COMP. ( 2 COLORES DE 63 X 91 X 90 MM)</t>
  </si>
  <si>
    <t>IFA-01059</t>
  </si>
  <si>
    <t>CAJA AMOXICILINA 1 GR X 500 COMP. (PG)</t>
  </si>
  <si>
    <t>IFA-01060</t>
  </si>
  <si>
    <t>CAJA AMOXICILINA 125 MG SUSP. POLVO X 60 ML IFAVET (111X62X48) (2</t>
  </si>
  <si>
    <t>IFA-01062</t>
  </si>
  <si>
    <t>CAJA AMOXICILINA 250 MG SUSP. POLVO X 60 ML IFAVET (111X62X48) (2</t>
  </si>
  <si>
    <t>IFA-01064</t>
  </si>
  <si>
    <t>CAJA AMOXICILINA 250 MG. X 60 ML. SUSP. (PG) (99X47X47)</t>
  </si>
  <si>
    <t>IFA-01065</t>
  </si>
  <si>
    <t>CAJA AMOXICILINA 250MG SUSP.X100 ML (PG)</t>
  </si>
  <si>
    <t>IFA-01066</t>
  </si>
  <si>
    <t>CAJA AMOXICILINA 500 MG X 100 ML SUSP. (PG)</t>
  </si>
  <si>
    <t>IFA-01067</t>
  </si>
  <si>
    <t>CAJA AMOXICILINA 500 MG X 500 CAPS. ( 2 COLORES DE 215X120X90 MM)</t>
  </si>
  <si>
    <t>IFA-01070</t>
  </si>
  <si>
    <t>CAJA AMOXICILINA ACIDO CLAVULANICO 250/62.5 MG SUSP. 60 ML PG (99</t>
  </si>
  <si>
    <t>IFA-01072</t>
  </si>
  <si>
    <t>IFA-01075</t>
  </si>
  <si>
    <t>CAJA ANALTIN 200MG X 10 COMP</t>
  </si>
  <si>
    <t>IFA-01076</t>
  </si>
  <si>
    <t>CAJA ANTIGRIPAL GOTAS X 20 ML (PG )(86X35X35 )</t>
  </si>
  <si>
    <t>IFA-01078</t>
  </si>
  <si>
    <t>CAJA ANTIGRIPAL X 500 COMP. RECUBIERTO ( 215X120X90) 2 COLORES (</t>
  </si>
  <si>
    <t>IFA-01080</t>
  </si>
  <si>
    <t>CAJA ARTROFLEXIN 200 MG X 30 COMP. RECUBIERTOS</t>
  </si>
  <si>
    <t>IFA-01082</t>
  </si>
  <si>
    <t>CAJA ATENOLOL 100 MG X 100 COMPRIMIDOS (PG) (66X95X38 MM) (2 COLO</t>
  </si>
  <si>
    <t>IFA-01084</t>
  </si>
  <si>
    <t>CAJA ATORVASTATINA 10 MG X 30 COMP. (PG)</t>
  </si>
  <si>
    <t>IFA-01085</t>
  </si>
  <si>
    <t>CAJA ATORVASTATINA 10 MG X 500 COMP. (2 COLORES DE 83X120X69 MM)</t>
  </si>
  <si>
    <t>IFA-01086</t>
  </si>
  <si>
    <t>CAJA ATORVASTATINA 10 MG. X 100 COMP.RECUBIERTO(83X53X38) 2COLORE</t>
  </si>
  <si>
    <t>IFA-01087</t>
  </si>
  <si>
    <t>CAJA AZITROMICINA 200 MG SUSP. X 30 ML PG (89X42X42 MM 2 COLORES)</t>
  </si>
  <si>
    <t>IFA-01092</t>
  </si>
  <si>
    <t>CAJA BACITRACINA NEOMICINA X 10 GR (PG)</t>
  </si>
  <si>
    <t>IFA-01094</t>
  </si>
  <si>
    <t>CAJA BENZALIL LOCION X 100 ML.</t>
  </si>
  <si>
    <t>IFA-01095</t>
  </si>
  <si>
    <t>CAJA BETAMETASONA 0.1% CREMA DERMICA (2COLORES 138 X 36 X 26 MM )</t>
  </si>
  <si>
    <t>IFA-01098</t>
  </si>
  <si>
    <t>CAJA BROMHEXINA 4 MG JARABE X 100 ML (IFAVET) (119X70X54) (2 COLO</t>
  </si>
  <si>
    <t>IFA-01101</t>
  </si>
  <si>
    <t>CAJA MM BRONCOFLU X 30 ML</t>
  </si>
  <si>
    <t>IFA-01103</t>
  </si>
  <si>
    <t>CAJA MM BROXILIN DUO FUERTE X 15 ML</t>
  </si>
  <si>
    <t>IFA-01104</t>
  </si>
  <si>
    <t>CAJA BROXILIN DUO FUERTE X 70 ML</t>
  </si>
  <si>
    <t>IFA-01105</t>
  </si>
  <si>
    <t>CAJA BROXILIN DUO SUSP. X 70 ML</t>
  </si>
  <si>
    <t>IFA-01120</t>
  </si>
  <si>
    <t>CAJA CARBAMAZEPINA 200 MG X 100 COMP. (215X120X90 MM) PG</t>
  </si>
  <si>
    <t>IFA-01121</t>
  </si>
  <si>
    <t>CAJA CEFABIOTIC 100 MG X 100 ML SUSP. (6 COLORES DE 119 X 105 X 5</t>
  </si>
  <si>
    <t>IFA-01122</t>
  </si>
  <si>
    <t>CAJA MM CEFABIOTIC 100 MG. X 15 ML</t>
  </si>
  <si>
    <t>IFA-01123</t>
  </si>
  <si>
    <t>CAJA CEFABIOTIC 100 MG. X 50 ML. SUSP.</t>
  </si>
  <si>
    <t>IFA-01125</t>
  </si>
  <si>
    <t>CAJA MM CEFABIOTIC 200MG LP SUSP. POLVO X 20 ML (6 COLORES DE 119 X</t>
  </si>
  <si>
    <t>IFA-01126</t>
  </si>
  <si>
    <t>CAJA CEFABIOTIC 400 MG X 10 CAP.</t>
  </si>
  <si>
    <t>IFA-01127</t>
  </si>
  <si>
    <t>CAJA CEFALEXINA 250 SUSP. POLVO X 60 ML (2 COLORES DE 99X47X47 MM</t>
  </si>
  <si>
    <t>IFA-01128</t>
  </si>
  <si>
    <t>CAJA CEFALEXINA 500 MG X 100 COMP (61 X 91 X 85 MM)</t>
  </si>
  <si>
    <t>IFA-01131</t>
  </si>
  <si>
    <t>CAJA CEFIXIMA 400 MG X 100 CAPS. PG (61X91X85 MM 2 COLORES)</t>
  </si>
  <si>
    <t>IFA-01132</t>
  </si>
  <si>
    <t>CAJA CEFIXIMA 400 MG X 500 CAPS. (PG)</t>
  </si>
  <si>
    <t>IFA-01133</t>
  </si>
  <si>
    <t>CAJA CEFOTAXIMA 1000 X 25 VIALES ( 2 COLORES DE 112 X 112 X 54 MM</t>
  </si>
  <si>
    <t>IFA-01134</t>
  </si>
  <si>
    <t>CAJA CEFOTAXIMA 1G X 1 VIAL INYECTABLE (IFAVET) (80X45X27) (2 COL</t>
  </si>
  <si>
    <t>IFA-01136</t>
  </si>
  <si>
    <t>CAJA CEFTRIAX 1 GR X25 VIALES (NP)</t>
  </si>
  <si>
    <t>IFA-01138</t>
  </si>
  <si>
    <t>CAJA MM CEFTRIAX 1000 X 1 VIAL INTRAVENOSO 80X45X27(3COLORES)</t>
  </si>
  <si>
    <t>IFA-01139</t>
  </si>
  <si>
    <t>CAJA CEFTRIAXONA 1000 X 25 VIALES ( 2 COLORES DE 112X112X54 MM) P</t>
  </si>
  <si>
    <t>IFA-01140</t>
  </si>
  <si>
    <t>CAJA MM CESTODEN 400 MG X 10 ML</t>
  </si>
  <si>
    <t>IFA-01141</t>
  </si>
  <si>
    <t>CAJA CESTODEN 400 MG. X 3 COMP. (MASTICABLE)</t>
  </si>
  <si>
    <t>IFA-01143</t>
  </si>
  <si>
    <t>CAJA CETIRIZINA 5 MG JBE (2 COLORES 119 X 53 X 53 MM) PG</t>
  </si>
  <si>
    <t>IFA-01146</t>
  </si>
  <si>
    <t>CAJA CILASTAX DE 1 VIAL AMPOLLA (3 COLORES 97 X 57 X 37)</t>
  </si>
  <si>
    <t>IFA-01147</t>
  </si>
  <si>
    <t>CAJA CIPROFLOXACINA 500 MG X 10 COMP VET.</t>
  </si>
  <si>
    <t>IFA-01148</t>
  </si>
  <si>
    <t>CAJA CIPROFLOXACINA 500 MG X 100 COMP. (2 COLORES DE 60 X 78 X 83</t>
  </si>
  <si>
    <t>IFA-01149</t>
  </si>
  <si>
    <t>CAJA CIPROFLOXACINA 500 MG X 500 COMP (PG)</t>
  </si>
  <si>
    <t>IFA-01150</t>
  </si>
  <si>
    <t>CAJA CLARIMEX 250 MG SUSP. X 80 ML</t>
  </si>
  <si>
    <t>IFA-01151</t>
  </si>
  <si>
    <t>CAJA MM CLARIMEX 250 MG X 15 ML</t>
  </si>
  <si>
    <t>IFA-01152</t>
  </si>
  <si>
    <t>CAJA CLARIMEX 500 MG X 14 COMP.</t>
  </si>
  <si>
    <t>IFA-01155</t>
  </si>
  <si>
    <t>CAJA CLORFENAMINA 2 MG JBE X 60 ML (PG)</t>
  </si>
  <si>
    <t>IFA-01156</t>
  </si>
  <si>
    <t>CAJA CLORFENAMINA 4 MG X 100 COMPRIMIDOS (PG) 83X43X38 (2 COLORES</t>
  </si>
  <si>
    <t>IFA-01157</t>
  </si>
  <si>
    <t>CAJA CLORFENAMINA 4 MG X 500 COMP. (2 COLORES DE 83X120X69 MM) PG</t>
  </si>
  <si>
    <t>IFA-01158</t>
  </si>
  <si>
    <t>CAJA CLORURO DE POTASIO 20% X 10 AMPOLLAS (2 COLORES 110 X 122 X</t>
  </si>
  <si>
    <t>IFA-01159</t>
  </si>
  <si>
    <t>CAJA CLOTRIM 2% TALCO X 50 G (119X53X53) 2 COLORES</t>
  </si>
  <si>
    <t>IFA-01160</t>
  </si>
  <si>
    <t>CAJA CLOTRIM 500 MG X 1 OVULO VAGINAL 105X42X20 MM (4 COLORES)</t>
  </si>
  <si>
    <t>IFA-01161</t>
  </si>
  <si>
    <t>CAJA MM CLOTRIM BG CREMA X 5 GR</t>
  </si>
  <si>
    <t>IFA-01163</t>
  </si>
  <si>
    <t>CAJA CLOTRIM CREMA DERMICA X 2O GR.</t>
  </si>
  <si>
    <t>IFA-01164</t>
  </si>
  <si>
    <t>CAJA MM CLOTRIM CREMA VAG. X 10 GR</t>
  </si>
  <si>
    <t>IFA-01165</t>
  </si>
  <si>
    <t>CAJA CLOTRIM CREMA VAGINAL X 30 GR.</t>
  </si>
  <si>
    <t>IFA-01166</t>
  </si>
  <si>
    <t>CAJA MM CLOTRIM CREMA X 5 GR</t>
  </si>
  <si>
    <t>IFA-01167</t>
  </si>
  <si>
    <t>CAJA CLOTRIM PLUS X 7 OVULOS (4 COLORES 105X70X20 MM)</t>
  </si>
  <si>
    <t>IFA-01168</t>
  </si>
  <si>
    <t>CAJA CLOTRIMAZOL 1% CREMA DERMICA X 15 GR ( 2 COLORES DE 138 X 36</t>
  </si>
  <si>
    <t>IFA-01169</t>
  </si>
  <si>
    <t>CAJA CLOTRIMAZOL 100 MG X 10 OVULOS</t>
  </si>
  <si>
    <t>IFA-01171</t>
  </si>
  <si>
    <t>CAJA CLOXIN 1 GR X 25 VIALES</t>
  </si>
  <si>
    <t>IFA-01172</t>
  </si>
  <si>
    <t>CAJA CLOXIN 500 MG X 25 VIALES</t>
  </si>
  <si>
    <t>IFA-01173</t>
  </si>
  <si>
    <t>CAJA CODEINA 10MG JBE. X 100 ML ( 2 COLORES DE 119X53X53 MM) PG</t>
  </si>
  <si>
    <t>IFA-01175</t>
  </si>
  <si>
    <t>CAJA COMPLEJO B JARABE 100 ML (PG)( 119X53X53)(2COLORE</t>
  </si>
  <si>
    <t>IFA-01176</t>
  </si>
  <si>
    <t>CAJA COMPLEJO B POTENCIADO JARABE X 100 ML (IFAVET) (119X70X54) (</t>
  </si>
  <si>
    <t>IFA-01178</t>
  </si>
  <si>
    <t>CAJA COMPLEJO B X 100 COMP. (PG)</t>
  </si>
  <si>
    <t>IFA-01179</t>
  </si>
  <si>
    <t>CAJA COMPLEJO B X 500 COMP. (PG)</t>
  </si>
  <si>
    <t>IFA-01180</t>
  </si>
  <si>
    <t>CAJA COTRIMOXAZOL 200/40 MG SUSP. LIQUIDA X 60 ML ( 2 COLORES DE</t>
  </si>
  <si>
    <t>IFA-01181</t>
  </si>
  <si>
    <t>CAJA COTRIMOXAZOL 200/40 MG SUSP. X 100 ML (PG)</t>
  </si>
  <si>
    <t>IFA-01183</t>
  </si>
  <si>
    <t>CAJA COTRIMOXAZOL 400/80 MG SUSP. LIQUIDA X 60 ML ( 2 COLORES DE</t>
  </si>
  <si>
    <t>IFA-01184</t>
  </si>
  <si>
    <t>CAJA COTRIMOXAZOL 400/80 MG X 100 COMPRIMIDOS (PG) 60X78X83 MM (2</t>
  </si>
  <si>
    <t>IFA-01185</t>
  </si>
  <si>
    <t>CAJA COTRIMOXAZOL 400/80 MG X 500 COMP. ( 2 COLORES 80X213X112 MM</t>
  </si>
  <si>
    <t>IFA-01186</t>
  </si>
  <si>
    <t>CAJA COTRIMOXAZOL 800/16 MG X 100 COMP. (PG)</t>
  </si>
  <si>
    <t>IFA-01187</t>
  </si>
  <si>
    <t>CAJA COTRIMOXAZOL 800/160 MG X 500 COMP.( 2 COLORES DE 80X213X112</t>
  </si>
  <si>
    <t>IFA-01188</t>
  </si>
  <si>
    <t>CAJA DERMO VET LOCION (119X53X53 MM) (2 COLORES)</t>
  </si>
  <si>
    <t>IFA-01189</t>
  </si>
  <si>
    <t>CAJA DEXAMETASONA 0.5 MG X 100 COMPRIMIDOS 83X43X38 MM (2 COLORES</t>
  </si>
  <si>
    <t>IFA-01190</t>
  </si>
  <si>
    <t>CAJA DEXAMETASONA 0.5 MG X 500 COMPRIMIDOS (83X120X69) 2 COLORES</t>
  </si>
  <si>
    <t>IFA-01191</t>
  </si>
  <si>
    <t>CAJA DEXAMETASONA 4 MG X 25 AMP. (PG)</t>
  </si>
  <si>
    <t>IFA-01192</t>
  </si>
  <si>
    <t>CAJA DEXAMETASONA 8 MG X 25 AMP. ( 2 COLORES DE 98X81X</t>
  </si>
  <si>
    <t>IFA-01193</t>
  </si>
  <si>
    <t>CAJA DEXTROMETORFANO 10 MG X 100 ML ( PG )</t>
  </si>
  <si>
    <t>IFA-01194</t>
  </si>
  <si>
    <t>CAJA DICLOFENACO 1% GEL X 30 GR. (PG)</t>
  </si>
  <si>
    <t>IFA-01195</t>
  </si>
  <si>
    <t>CAJA DICLOFENACO 100 MG X 100 COMP. (PG) (66X95X39)</t>
  </si>
  <si>
    <t>IFA-01196</t>
  </si>
  <si>
    <t>CAJA DICLOFENACO 50 MG X 500 COMP.RECUBIERTOS (PG) DIS</t>
  </si>
  <si>
    <t>IFA-01197</t>
  </si>
  <si>
    <t>CAJA DICLOFENACO 75 MG X 100 COMP. (PG) (83X43X38)</t>
  </si>
  <si>
    <t>IFA-01198</t>
  </si>
  <si>
    <t>CAJA DICLOFENACO 75 MG X 25 AMP. (PG)</t>
  </si>
  <si>
    <t>IFA-01200</t>
  </si>
  <si>
    <t>CAJA DICLOXACILINA 250 MG SUSP. POLVO X 100 ML ( 2 COLORES DE 119</t>
  </si>
  <si>
    <t>IFA-01201</t>
  </si>
  <si>
    <t>CAJA DICLOXACILINA 250 MG X 60 ML SUSP. (PG)</t>
  </si>
  <si>
    <t>IFA-01202</t>
  </si>
  <si>
    <t>CAJA DICLOXACILINA 500 MG X 100 CAPS. (PG)</t>
  </si>
  <si>
    <t>IFA-01203</t>
  </si>
  <si>
    <t>CAJA DIMENHIDRINATO 50 MG X 10 COMP. (2 COLORES DE 103 X 45 X 15</t>
  </si>
  <si>
    <t>IFA-01207</t>
  </si>
  <si>
    <t>CAJA DIPROFEN FLU FUERTE SUSP. X 100 ML</t>
  </si>
  <si>
    <t>IFA-01208</t>
  </si>
  <si>
    <t>CAJA DIPROFEN FLU FUERTE X 10 COMP.</t>
  </si>
  <si>
    <t>IFA-01209</t>
  </si>
  <si>
    <t>CAJA MM DIPROFEN FLU FUERTE X 30 ML</t>
  </si>
  <si>
    <t>IFA-01212</t>
  </si>
  <si>
    <t>CAJA MM DIPROFEN FUERTE X 30 ML</t>
  </si>
  <si>
    <t>IFA-01213</t>
  </si>
  <si>
    <t>CAJA DIPROFEN SUSP 100 MG X 100 ML</t>
  </si>
  <si>
    <t>IFA-01216</t>
  </si>
  <si>
    <t>CAJA MM DOLOFIXIN 100 MG SOL. INYECTABLE 1 AMPOLLA</t>
  </si>
  <si>
    <t>IFA-01219</t>
  </si>
  <si>
    <t>CAJA DOLOGRIP GOTAS 15ML.</t>
  </si>
  <si>
    <t>IFA-01220</t>
  </si>
  <si>
    <t>CAJA MM DOLOGRIP GOTAS X 10 ML</t>
  </si>
  <si>
    <t>IFA-01221</t>
  </si>
  <si>
    <t>CAJA MM DOLOGRIP INF. X 30 ML</t>
  </si>
  <si>
    <t>IFA-01222</t>
  </si>
  <si>
    <t>CAJA DOLOGRIP INFANTIL X 100 ML</t>
  </si>
  <si>
    <t>IFA-01227</t>
  </si>
  <si>
    <t>CAJA DOLOMIGRAL PLUS X 100 COMP.</t>
  </si>
  <si>
    <t>IFA-01228</t>
  </si>
  <si>
    <t>CAJA DOMPERIDONA GOTAS 10 MG X 20 ML (PG) (86X35X35)</t>
  </si>
  <si>
    <t>IFA-01230</t>
  </si>
  <si>
    <t>CAJA DOMPERIDONA-VET 10 MG X 20 ML (IFAVET) (86X35X35) (2 COLORES</t>
  </si>
  <si>
    <t>IFA-01232</t>
  </si>
  <si>
    <t>CAJA DONTOFLAMON X 10 COMP.</t>
  </si>
  <si>
    <t>IFA-01233</t>
  </si>
  <si>
    <t>CAJA MM DONTOFLAMON X 30 ML</t>
  </si>
  <si>
    <t>IFA-01234</t>
  </si>
  <si>
    <t>CAJA DOXICICLINA 100 MG X 100 COMP. (2 COLORES DE 83 X 43 X 38 MM</t>
  </si>
  <si>
    <t>IFA-01235</t>
  </si>
  <si>
    <t>CAJA DOXI-VET PLUS CAJA X 50 COMP. PALATABLES (91X59X35) 2 COLORE</t>
  </si>
  <si>
    <t>IFA-01236</t>
  </si>
  <si>
    <t>CAJA DOXI-VET X 100 COMP.RECUBIERTO VET. ( 83X43X38) 2 COLORES</t>
  </si>
  <si>
    <t>IFA-01239</t>
  </si>
  <si>
    <t>DOYPACK OXIFUR SOLUBLE X 1 KG.</t>
  </si>
  <si>
    <t>IFA-01240</t>
  </si>
  <si>
    <t>DOYPACK TETRACICLINA POTENCIADA SOLUBLE X 1 KG.</t>
  </si>
  <si>
    <t>IFA-01241</t>
  </si>
  <si>
    <t>DOYPACK TETRACICLINA SOLUBLE X 1 KG.</t>
  </si>
  <si>
    <t>IFA-01242</t>
  </si>
  <si>
    <t>DOYPACK TETRASOL SOLUBLE X 1 KG</t>
  </si>
  <si>
    <t>IFA-01243</t>
  </si>
  <si>
    <t>DOYPACK VITAVE POTENCIADO SOLUBLE X 1 KG.</t>
  </si>
  <si>
    <t>IFA-01244</t>
  </si>
  <si>
    <t>DOYPACK VITAVE SOLUBLE X 1 KG.</t>
  </si>
  <si>
    <t>IFA-01245</t>
  </si>
  <si>
    <t>CAJA DUFORAX PLUS X 10 OVULOS VAGINAL ( 4 COLORES DE 80X45X27)</t>
  </si>
  <si>
    <t>IFA-01246</t>
  </si>
  <si>
    <t>CAJA ENALAPRIL MALEATO 10 MG X 100 COMP. (PG)</t>
  </si>
  <si>
    <t>IFA-01247</t>
  </si>
  <si>
    <t>CAJA ENALAPRIL MALEATO 10 MG. X 500 COMP. ( 2 COLORES DE 83X120X6</t>
  </si>
  <si>
    <t>IFA-01248</t>
  </si>
  <si>
    <t>CAJA ERITROMICINA 250 MG SUSP. POLVO X 100 ML ( 2 COLORES DE 119</t>
  </si>
  <si>
    <t>IFA-01249</t>
  </si>
  <si>
    <t>CAJA ERITROMICINA 250 MG X 60 ML SUSP. (PG)</t>
  </si>
  <si>
    <t>IFA-01250</t>
  </si>
  <si>
    <t>CAJA ERITROMICINA 500 MG X 100 COMP. ( 2 COLORES DE 60X78X83 MM)</t>
  </si>
  <si>
    <t>IFA-01251</t>
  </si>
  <si>
    <t>CAJA ERITROMICINA 500 MG X 500 COMP. (PG)</t>
  </si>
  <si>
    <t>IFA-01258</t>
  </si>
  <si>
    <t>CAJA MM EXAMILL CREMA VAGINAL POMO X 10 G (138X36X26) 4 COLORES</t>
  </si>
  <si>
    <t>IFA-01259</t>
  </si>
  <si>
    <t>CAJA EXAMILL CREMA VAGINAL POMO X 50 G (160X85X65) 4 COLORES</t>
  </si>
  <si>
    <t>IFA-01260</t>
  </si>
  <si>
    <t>CAJA MM EXAMILL DERM CREMA DERMICA POMO X 10 G (100X28X19) 3 COLORES</t>
  </si>
  <si>
    <t>IFA-01261</t>
  </si>
  <si>
    <t>CAJA EXAMILL DERM CREMA DERMICA POMO X 50 G (147X40X37) 3 COLORES</t>
  </si>
  <si>
    <t>IFA-01262</t>
  </si>
  <si>
    <t>CAJA MM FENORAL 100 MG X 1 AMP.(3 COLORES DE 82 X 62 X 15 MM)</t>
  </si>
  <si>
    <t>IFA-01265</t>
  </si>
  <si>
    <t>CAJA FERRICOM X 30 CAPSULAS BLANDAS</t>
  </si>
  <si>
    <t>IFA-01266</t>
  </si>
  <si>
    <t>CAJA FERROCAN GOTAS X 30 ML VET. ( 86X35X35) 2 COLORES</t>
  </si>
  <si>
    <t>IFA-01267</t>
  </si>
  <si>
    <t>CAJA FERROCAN JARABE X 100 ML VET. ( 119X70X54) 2 COLORES</t>
  </si>
  <si>
    <t>IFA-01268</t>
  </si>
  <si>
    <t>CAJA FINASTERIDA 5 MG X 100 COMP. (2 COLORES DE 83 X 43 X 38 MM)</t>
  </si>
  <si>
    <t>IFA-01269</t>
  </si>
  <si>
    <t>CAJA FLAMACOX 15 MG. X 30 CAPS.</t>
  </si>
  <si>
    <t>IFA-01270</t>
  </si>
  <si>
    <t>CAJA FLAMACOX RELAX X 10 CAP. BLANDAS(83X42X20)</t>
  </si>
  <si>
    <t>IFA-01272</t>
  </si>
  <si>
    <t>CAJA MM FLAMACOXINE 15 MG X 2 CAPSULAS BLANDAS (83X42X20) 4 COL</t>
  </si>
  <si>
    <t>IFA-01273</t>
  </si>
  <si>
    <t>SOBRE MM FLAMACOXINE 15 MG X 2 CAPSULAS BLANDAS (95X60X13) 4 C</t>
  </si>
  <si>
    <t>IFA-01275</t>
  </si>
  <si>
    <t>CAJA FLAMADIN PLUS X 10 CAP. BLANDAS (4 COLORES DE 90</t>
  </si>
  <si>
    <t>IFA-01276</t>
  </si>
  <si>
    <t>CAJA FLAMADIN RELAX X 10 COMP</t>
  </si>
  <si>
    <t>IFA-01277</t>
  </si>
  <si>
    <t>CAJA MM FLAMADIN B12 FORTE X 1 AMPOLLA (100X28X19) ( 3 COLORES)</t>
  </si>
  <si>
    <t>IFA-01278</t>
  </si>
  <si>
    <t>CAJA FLAMADIN B12 FORTE X 1 AMPOLLA (100X28X19) (3 COLORES)</t>
  </si>
  <si>
    <t>IFA-01279</t>
  </si>
  <si>
    <t>CAJA MM FLAMADIN B12 X 1 AMP.</t>
  </si>
  <si>
    <t>IFA-01280</t>
  </si>
  <si>
    <t>CAJA FLAMADIN B12 X 3 AMP.</t>
  </si>
  <si>
    <t>IFA-01281</t>
  </si>
  <si>
    <t>CAJA MM FLAMADIN GEL X 10 GR</t>
  </si>
  <si>
    <t>IFA-01282</t>
  </si>
  <si>
    <t>CAJA FLAMADIN GEL X 30 GR</t>
  </si>
  <si>
    <t>IFA-01285</t>
  </si>
  <si>
    <t>CAJA FLAMADIN PLUS DISPENSER X 200 CAP. BLANDAS (250X90X68) 6 COL</t>
  </si>
  <si>
    <t>IFA-01286</t>
  </si>
  <si>
    <t>CAJA FLECOXIB 200 MG. X 20 CAP.</t>
  </si>
  <si>
    <t>IFA-01287</t>
  </si>
  <si>
    <t>CAJA FLUCOMICOL 150 MG X 2 CAPS (4 COLORES 85 X 61 X 18)</t>
  </si>
  <si>
    <t>IFA-01288</t>
  </si>
  <si>
    <t>CAJA FLUCOMICOL 200MG X 2 CAP</t>
  </si>
  <si>
    <t>IFA-01290</t>
  </si>
  <si>
    <t>CAJA FLUCONAZOL 150 MG X 2 CAPS. (2 COLORES DE 90X60X18 MM) PG</t>
  </si>
  <si>
    <t>IFA-01291</t>
  </si>
  <si>
    <t>IFA-01292</t>
  </si>
  <si>
    <t>CAJA FLUOXETINA 20 MG X 100 COMPRIMIDOS (83X53X38) 2</t>
  </si>
  <si>
    <t>IFA-01293</t>
  </si>
  <si>
    <t>CAJA FLUOXETINA 20 MG X 20 COMPRIMIDOS (PG) 90X40X13.5 (2 COLORES</t>
  </si>
  <si>
    <t>IFA-01295</t>
  </si>
  <si>
    <t>CAJA FLUZET 20 MG X 30 CAPS. BLANDAS (4 COLORES 83 X 4</t>
  </si>
  <si>
    <t>IFA-01297</t>
  </si>
  <si>
    <t>CAJA FRIXADOL UNGUENTO X 50 GR ( 2 COLORES DE 147X40X37 MM ) PG</t>
  </si>
  <si>
    <t>IFA-01298</t>
  </si>
  <si>
    <t>CAJA FUROSEMIDA 40 MG X 100 COMPRIMIDOS (IFAVET) (65X83X38) (2 CO</t>
  </si>
  <si>
    <t>IFA-01299</t>
  </si>
  <si>
    <t>CAJA FUROSEMIDA 40 MG X 100 COMPRIMIDOS (PG) 65X83X38(2 COLORES)</t>
  </si>
  <si>
    <t>IFA-01300</t>
  </si>
  <si>
    <t>CAJA FUROSEMIDA 40 MG X 500 COMP. RANURADOS (83X120X69) 2 COLORES</t>
  </si>
  <si>
    <t>IFA-01302</t>
  </si>
  <si>
    <t>CAJA GEMFIBROZILO 600 MG X 30 COMP. (PG)</t>
  </si>
  <si>
    <t>IFA-01303</t>
  </si>
  <si>
    <t>CAJA GEMFIBROZILO 600 MG X 500 COMP. (2 COLORES DE 83X43X38 MM) P</t>
  </si>
  <si>
    <t>IFA-01304</t>
  </si>
  <si>
    <t>CAJA GENTAMICINA 80 MG X 25 AMP. (PG)</t>
  </si>
  <si>
    <t>IFA-01305</t>
  </si>
  <si>
    <t>CAJA GLIBENCLAMIDA 5 MG X 100 COMP. (PG)</t>
  </si>
  <si>
    <t>IFA-01306</t>
  </si>
  <si>
    <t>CAJA GLIBENCLAMIDA 5 MG X 500 COMP. (2 COLORES DE 83X1</t>
  </si>
  <si>
    <t>IFA-01308</t>
  </si>
  <si>
    <t>CAJA GRISEOFULVINA 500 MG X 100 COMP.( 2 COLORES DE 60X78X83 MM)</t>
  </si>
  <si>
    <t>IFA-01309</t>
  </si>
  <si>
    <t>CAJA GRISEOFULVINA 500 MG X 100 COMPRIMIDOS (IFAVET) (60X78X83) (</t>
  </si>
  <si>
    <t>IFA-01310</t>
  </si>
  <si>
    <t>CAJA GRISEOFULVINA 500 MG X 500 COMPRIMIDOS (213X112X80) 2 COLORE</t>
  </si>
  <si>
    <t>IFA-01311</t>
  </si>
  <si>
    <t>CAJA GRISEOVINA 20 MG X 30 CAP. BLANDAS (4 COLORES DE 83 X 42 X 3</t>
  </si>
  <si>
    <t>IFA-01314</t>
  </si>
  <si>
    <t>CAJA HIDROCLOROTIAZIDA 50 MG X 500 COMP.( 2 COLORES DE 83X120X69</t>
  </si>
  <si>
    <t>IFA-01315</t>
  </si>
  <si>
    <t>CAJA HIDROCLOROTIAZIDA AMILORIDA 500 COMP.( 2 COLORES</t>
  </si>
  <si>
    <t>IFA-01316</t>
  </si>
  <si>
    <t>CAJA HIDROCLOROTIAZIDA AMILORIDA 50/5 MG X 30 COMP.( 2 COLORES DE</t>
  </si>
  <si>
    <t>IFA-01317</t>
  </si>
  <si>
    <t>CAJA HIDROCORTISONA 1% CREMA DERMICA X 15 GR (PG)</t>
  </si>
  <si>
    <t>IFA-01318</t>
  </si>
  <si>
    <t>CAJA HIPECOR 6 MG X 30 COMP. (3 COLORES DE 103 X 45 X 19 MM)</t>
  </si>
  <si>
    <t>IFA-01323</t>
  </si>
  <si>
    <t>CAJA HONGO-VET LOCION X 100 ML VETERINARIO 119X53X53 MM (2 COLORE</t>
  </si>
  <si>
    <t>IFA-01324</t>
  </si>
  <si>
    <t>CAJA IBUPROFENO 100 MG X 100 ML SUSP. (PG)</t>
  </si>
  <si>
    <t>IFA-01325</t>
  </si>
  <si>
    <t>CAJA IBUPROFENO 200 MG X 100 ML (PG)(119X53X53)</t>
  </si>
  <si>
    <t>IFA-01326</t>
  </si>
  <si>
    <t>CAJA IBUPROFENO 400 MG X 100 COMP. (PG)</t>
  </si>
  <si>
    <t>IFA-01328</t>
  </si>
  <si>
    <t>CAJA IBUPROFENO 600 MG X 100 COMPRIMIDO (PG)(119X53X53)</t>
  </si>
  <si>
    <t>IFA-01329</t>
  </si>
  <si>
    <t>CAJA IFABENA 5% CREMA X 20 GR.</t>
  </si>
  <si>
    <t>IFA-01330</t>
  </si>
  <si>
    <t>CAJA IFABENA X 30 ML</t>
  </si>
  <si>
    <t>IFA-01334</t>
  </si>
  <si>
    <t>CAJA MM IFAMET 250 MG X 30 ML</t>
  </si>
  <si>
    <t>IFA-01335</t>
  </si>
  <si>
    <t>CAJA IFAMET 250 MG. X 100 ML.</t>
  </si>
  <si>
    <t>IFA-01336</t>
  </si>
  <si>
    <t>CAJA IFAMET N X 10 OVULOS</t>
  </si>
  <si>
    <t>IFA-01337</t>
  </si>
  <si>
    <t>CAJA IFAMETASONA 2.5 X 50 ML</t>
  </si>
  <si>
    <t>IFA-01338</t>
  </si>
  <si>
    <t>CAJA IFAMICIN VETERINARIO X 50 ML ( 2 COLORES DE 80 X 43 X 43 MM)</t>
  </si>
  <si>
    <t>IFA-01339</t>
  </si>
  <si>
    <t>CAJA IFAMINA 6 MG CAJA X 100 COMPRIMIDOS RECUBIERTOS</t>
  </si>
  <si>
    <t>IFA-01340</t>
  </si>
  <si>
    <t>CAJA IFAMINA 6 MG X 10 COMP.RECUBIERTOS</t>
  </si>
  <si>
    <t>IFA-01341</t>
  </si>
  <si>
    <t>CAJA IFASAN LOCION X 30 ML.</t>
  </si>
  <si>
    <t>IFA-01345</t>
  </si>
  <si>
    <t>CAJA IFATRIM 200/40 MG. X 60 ML. SUSP.</t>
  </si>
  <si>
    <t>IFA-01346</t>
  </si>
  <si>
    <t>CAJA IFATRIM FUERTE X 60 ML</t>
  </si>
  <si>
    <t>IFA-01347</t>
  </si>
  <si>
    <t>CAJA MM IFOTAXIMA 1 GR X 1 VIAL</t>
  </si>
  <si>
    <t>IFA-01348</t>
  </si>
  <si>
    <t>CAJA IFOTAXIMA 1 GR. X 25 VIALES</t>
  </si>
  <si>
    <t>IFA-01349</t>
  </si>
  <si>
    <t>CAJA INCRETIN COMPUESTO FORTE X 30 COMP. ( 3 COLORES 90X61X25 MM)</t>
  </si>
  <si>
    <t>IFA-01350</t>
  </si>
  <si>
    <t>CAJA INCRETIN COMPUESTO X 30 COMP. (3 COLORES DE 90X61X25 MM)</t>
  </si>
  <si>
    <t>IFA-01351</t>
  </si>
  <si>
    <t>CAJA INCRETIN DE 100 MG X 30 COMP.</t>
  </si>
  <si>
    <t>IFA-01352</t>
  </si>
  <si>
    <t>CAJA INDOMETACINA 25 MG X 100 COMP. ( 2 COLORES DE 83X43X38 MM) P</t>
  </si>
  <si>
    <t>IFA-01353</t>
  </si>
  <si>
    <t>CAJA INDOMETACINA 25 MG X 500 COMP. ( 2 COLORES DE 83X120X69 MM)</t>
  </si>
  <si>
    <t>IFA-01354</t>
  </si>
  <si>
    <t>CAJA KALENDA CREMA VAG. X 50 GR.</t>
  </si>
  <si>
    <t>IFA-01355</t>
  </si>
  <si>
    <t>CAJA MM KALENDA CREMA X 10 GR</t>
  </si>
  <si>
    <t>IFA-01356</t>
  </si>
  <si>
    <t>CAJA KALENDA X 10 OVULOS.</t>
  </si>
  <si>
    <t>IFA-01357</t>
  </si>
  <si>
    <t>CAJA KETOCONAZOL 2 % X 15 G CREMA DERMICA (PG)(138X36X26)</t>
  </si>
  <si>
    <t>IFA-01359</t>
  </si>
  <si>
    <t>CAJA KETOCONAZOL 2% CREMA DERMICA X 50 G (IFAVET) (147X40X37) (2</t>
  </si>
  <si>
    <t>IFA-01360</t>
  </si>
  <si>
    <t>CAJA KETOCONAZOL 200 MG X 100 COMPRIMIDOS (IFAVET) (66X95X39) (2C</t>
  </si>
  <si>
    <t>IFA-01361</t>
  </si>
  <si>
    <t>CAJA KETOCONAZOL 200 MG X 100 COMPRIMIDOS (PG) (66X95X39)</t>
  </si>
  <si>
    <t>IFA-01362</t>
  </si>
  <si>
    <t>CAJA KETOROLACO 20 MG X 30 COMP.RECUBIERTO(90X40X19)2COLORES (PG)</t>
  </si>
  <si>
    <t>IFA-01363</t>
  </si>
  <si>
    <t>CAJA KETOROLACO 30 MG X 3 AMPOLLAS (PG)</t>
  </si>
  <si>
    <t>IFA-01364</t>
  </si>
  <si>
    <t>CAJA KETOROLACO 60 MG X 3 AMP. ( 2 COLORES DE 90 X 61 X 18 MM) PG</t>
  </si>
  <si>
    <t>IFA-01365</t>
  </si>
  <si>
    <t>CAJA LANSOPRAZOL 30 MG X 28 CAPS. (PG)</t>
  </si>
  <si>
    <t>IFA-01366</t>
  </si>
  <si>
    <t>SOBRE MM LAXYL X 2 CAP. BLANDAS (95X60X13) 3 COLORES</t>
  </si>
  <si>
    <t>IFA-01367</t>
  </si>
  <si>
    <t>CAJA LAXYL X 100 CAPSULAS BLANDAS (85X83X43) 4 COLORES</t>
  </si>
  <si>
    <t>IFA-01368</t>
  </si>
  <si>
    <t>CAJA LEVAMISOL X 10 COMP-SOBRES</t>
  </si>
  <si>
    <t>IFA-01369</t>
  </si>
  <si>
    <t>CAJA LEVOCAN GOTAS VET. X 15 ML.</t>
  </si>
  <si>
    <t>IFA-01370</t>
  </si>
  <si>
    <t>CAJA LEVODOPA CARBIDOPA X 30 COMP. (PG)</t>
  </si>
  <si>
    <t>IFA-01371</t>
  </si>
  <si>
    <t>CAJA LEVOFLOXACINA 500 MG X 100 COMP. (60 X 78 X 83 MM) PG</t>
  </si>
  <si>
    <t>IFA-01372</t>
  </si>
  <si>
    <t>SOBRE MM LEVOKAST X 2 COMP. MASTICABLE (9X57X95) 2 COLORES</t>
  </si>
  <si>
    <t>IFA-01374</t>
  </si>
  <si>
    <t>CAJA LIDERMAN FORTE X 4 CAPSULAS BLANDAS (83X42X20) 4 COLORES</t>
  </si>
  <si>
    <t>IFA-01376</t>
  </si>
  <si>
    <t>CAJA LIDOCAINA 2% X 50 ML INYECTABLE (IFAVET) (80X43X43) (2 COLOR</t>
  </si>
  <si>
    <t>IFA-01377</t>
  </si>
  <si>
    <t>CAJA LIDOCAINA 4% GEL 20 G (PG) (138X36X26)</t>
  </si>
  <si>
    <t>IFA-01378</t>
  </si>
  <si>
    <t>CAJA LOPERAMIDA 2 MG X 100 COMP. ( 2 COLORES DE 83 X 43 X 38 MM)</t>
  </si>
  <si>
    <t>IFA-01379</t>
  </si>
  <si>
    <t>CAJA LOPERAMIDA 2 MG X 500 COMP. (PG)</t>
  </si>
  <si>
    <t>IFA-01380</t>
  </si>
  <si>
    <t>CAJA LOSARTAN 50 MG X 30 COMP. (PG)</t>
  </si>
  <si>
    <t>IFA-01381</t>
  </si>
  <si>
    <t>CAJA LOSARTAN 50 MG X 500 COMP. (2 COLORES DE 83X120X69 MM) PG</t>
  </si>
  <si>
    <t>IFA-01384</t>
  </si>
  <si>
    <t>CAJA MEBENDAZOL 100 MG X 100 COMP. ( 2 COLORES DE 83 X 43 X 38 MM</t>
  </si>
  <si>
    <t>IFA-01385</t>
  </si>
  <si>
    <t>CAJA MEBENDAZOL 100 MG X 30 ML SUSPENSION (PG)</t>
  </si>
  <si>
    <t>IFA-01386</t>
  </si>
  <si>
    <t>CAJA MEBENDAZOL 500 MG X 100 COMP. (2 COLORES DE 61X91X76 MM) PG</t>
  </si>
  <si>
    <t>IFA-01387</t>
  </si>
  <si>
    <t>CAJA MELOXICAM 15 MG X 100 COMP.(PG)</t>
  </si>
  <si>
    <t>IFA-01388</t>
  </si>
  <si>
    <t>CAJA MELOXICAN 15 MG X 500 COMPRIMIDOS (PG)</t>
  </si>
  <si>
    <t>IFA-01390</t>
  </si>
  <si>
    <t>CAJA METAMIZOL 1 G X 25 AMPOLLAS (98X81X80) 2 COLORES (PG)</t>
  </si>
  <si>
    <t>IFA-01391</t>
  </si>
  <si>
    <t>CAJA METAMIZOL 1 GR X 10 AMPOLLAS ( 2 COLORES DE 72 X 60 X 25 MM)</t>
  </si>
  <si>
    <t>IFA-01394</t>
  </si>
  <si>
    <t>CAJA METOCLOPRAMIDA 10 MG X 100 COMP. ( 2 COLORES DE 83 X 43 X 38</t>
  </si>
  <si>
    <t>IFA-01395</t>
  </si>
  <si>
    <t>CAJA METOCLOPRAMIDA 10 MG X 25 AMP. (PG)</t>
  </si>
  <si>
    <t>IFA-01396</t>
  </si>
  <si>
    <t>CAJA METOCLOPRAMIDA 10 MG X 500 COMP. ( 2 COLORES DE 83 X 120 X 6</t>
  </si>
  <si>
    <t>IFA-01397</t>
  </si>
  <si>
    <t>CAJA METOCLOPRAMIDA 5 MG GOTAS X 20 ML ( 2 COLORES DE 86 X 35 X 3</t>
  </si>
  <si>
    <t>IFA-01398</t>
  </si>
  <si>
    <t>CAJA METOCLOPRAMIDA 5 MG X 50 ML INYECTABLE (IFAVET) (80X43X43) (</t>
  </si>
  <si>
    <t>IFA-01399</t>
  </si>
  <si>
    <t>CAJA METOCLOPRAMIDA GOTAS IFAVET X 20 ML (86X35X35 MM) (2 COLORES</t>
  </si>
  <si>
    <t>IFA-01401</t>
  </si>
  <si>
    <t>CAJA METRONIDAZOL 125 MG SUSP. LIQUIDA X 100 ML (IFAVET) (119X70X</t>
  </si>
  <si>
    <t>IFA-01402</t>
  </si>
  <si>
    <t>CAJA METRONIDAZOL 250 MG SUSP. LIQUIDA X 100 ML (IFAVET) (119X70X</t>
  </si>
  <si>
    <t>IFA-01404</t>
  </si>
  <si>
    <t>CAJA METRONIDAZOL 250 MG X 100 ML SUSP. (PG)</t>
  </si>
  <si>
    <t>IFA-01405</t>
  </si>
  <si>
    <t>CAJA METRONIDAZOL 500 MG X 10 OVULOS (PG)</t>
  </si>
  <si>
    <t>IFA-01406</t>
  </si>
  <si>
    <t>CAJA METRONIDAZOL 500 MG X 100 COMP. (PG)</t>
  </si>
  <si>
    <t>IFA-01407</t>
  </si>
  <si>
    <t>CAJA METRONIDAZOL 500 MG X 500 COMP.(2 COLORES DE 80X213X12 MM) P</t>
  </si>
  <si>
    <t>IFA-01409</t>
  </si>
  <si>
    <t>CAJA MUCOLITIC 36.5 JBE X 120 ML (6 COLORES DE 119 X 53 X 53 MM)</t>
  </si>
  <si>
    <t>IFA-01410</t>
  </si>
  <si>
    <t>CAJA MM MUCOLITIC 36.5 MG JBE X 30 ML (6 COLORES DE 100X 50 X 50 MM)</t>
  </si>
  <si>
    <t>IFA-01413</t>
  </si>
  <si>
    <t>CAJA MULTIGYN C. VAGINAL 50 GR.</t>
  </si>
  <si>
    <t>IFA-01417</t>
  </si>
  <si>
    <t>CAJA MULTIVITAMINAS X 100 COMP. (PG)</t>
  </si>
  <si>
    <t>IFA-01418</t>
  </si>
  <si>
    <t>CAJA MULTIVITAMINAS X 500 COMP. (PG)</t>
  </si>
  <si>
    <t>IFA-01422</t>
  </si>
  <si>
    <t>CAJA NIMODIPINO 30 MG X 500 COMP(2 COLORES DE 83X120X69 MM) PG</t>
  </si>
  <si>
    <t>IFA-01423</t>
  </si>
  <si>
    <t>CAJA NISTATINA 100000 UI CREMA DERMICA X 15 GR (2 COLORES DE 138</t>
  </si>
  <si>
    <t>IFA-01424</t>
  </si>
  <si>
    <t>CAJA NISTATINA 100000 UI X 10 OVULOS</t>
  </si>
  <si>
    <t>IFA-01427</t>
  </si>
  <si>
    <t>CAJA NISTATINA 500000 UI X 60 ML SUSP. (PG)</t>
  </si>
  <si>
    <t>IFA-01428</t>
  </si>
  <si>
    <t>CAJA OMEGA 3 1000 MG X 10 CAPSULAS BLANDAS (110X65X19) 4 COLORES</t>
  </si>
  <si>
    <t>IFA-01429</t>
  </si>
  <si>
    <t>CAJA OMEGA 3 1000 MG X 30 CAPS. BLANDAS (110X65X40) 4 COLORES</t>
  </si>
  <si>
    <t>IFA-01431</t>
  </si>
  <si>
    <t>CAJA PARACETAMOL 120 MG JBE X 100 ML (PG)</t>
  </si>
  <si>
    <t>IFA-01432</t>
  </si>
  <si>
    <t>CAJA PARACETAMOL 1 G X 100 COMP. RECUBIERTO ( 83X43X38 ) 2 COLORE</t>
  </si>
  <si>
    <t>IFA-01435</t>
  </si>
  <si>
    <t>CAJA PARACETAMOL 120 MG JBE X 60 ML(PG)</t>
  </si>
  <si>
    <t>IFA-01436</t>
  </si>
  <si>
    <t>CAJA PARACETAMOL 500 MG X 500 COMP. (PG)</t>
  </si>
  <si>
    <t>IFA-01438</t>
  </si>
  <si>
    <t>CAJA PENICILINA 2400 IU X 20 VIALES (2 COLORES 122X99X</t>
  </si>
  <si>
    <t>IFA-01439</t>
  </si>
  <si>
    <t>CAJA PENTA FORTE 6000 X 1 VIAL VETERINARIO 87X76X43 MM</t>
  </si>
  <si>
    <t>IFA-01440</t>
  </si>
  <si>
    <t>CAJA PIRANTEL 250 MG SUSP. X 15 ML ( 2 COLORES DE 89X42X42 MM) PG</t>
  </si>
  <si>
    <t>IFA-01441</t>
  </si>
  <si>
    <t>CAJA PIRANTEL 250 MG X 6 COMP. PG 2 COLORES DE 90 X 61</t>
  </si>
  <si>
    <t>IFA-01442</t>
  </si>
  <si>
    <t>CAJA MM POLIGYN CREMA VAG. X 10 GR</t>
  </si>
  <si>
    <t>IFA-01443</t>
  </si>
  <si>
    <t>CAJA POLY GYN PLUS X 10 OVULOS VAGINALES (4 COLORES 105 X 72 X 30</t>
  </si>
  <si>
    <t>IFA-01444</t>
  </si>
  <si>
    <t>CAJA POLY-GYN CREMA VAG. X 50 GR.</t>
  </si>
  <si>
    <t>IFA-01445</t>
  </si>
  <si>
    <t>PORTA AMPOLLAS 5 ML X 5 UD ( 265X103MM)</t>
  </si>
  <si>
    <t>IFA-01446</t>
  </si>
  <si>
    <t>PORTA AMPOLLAS 10 ML X 10 UD ( 120X50X10MM)</t>
  </si>
  <si>
    <t>IFA-01447</t>
  </si>
  <si>
    <t>PORTA AMPOLLAS 5 ML X 1 UD ( 92X26X16,5MM)</t>
  </si>
  <si>
    <t>IFA-01448</t>
  </si>
  <si>
    <t>CAJA PREDNISONA 20 GR X 100 COMP. ( 2 COLORES 83 X 43 X 38 MM) PG</t>
  </si>
  <si>
    <t>IFA-01449</t>
  </si>
  <si>
    <t>CAJA PREDNISONA 20 GR X 500 COMP. ( 2 COLORES 83 X 120 X 69 MM) P</t>
  </si>
  <si>
    <t>IFA-01450</t>
  </si>
  <si>
    <t>CAJA PREDNISONA 20 MG X 100 COMPRIMIDOS (IFAVET) (83X43X38) ( 2 C</t>
  </si>
  <si>
    <t>IFA-01451</t>
  </si>
  <si>
    <t>CAJA PREDNISONA 5 GR X 100 COMP. ( 2 COLORES 83 X 43 X 38 MM) PG</t>
  </si>
  <si>
    <t>IFA-01453</t>
  </si>
  <si>
    <t>CAJA PREDNISONA 5 MG X 500 COMP. ( 2 COLORES DE 83X43X38XMM) PG</t>
  </si>
  <si>
    <t>IFA-01455</t>
  </si>
  <si>
    <t>CAJA PROCAINICA 400000 UI X 25 VIALES ( 2 COLORES DE 112 X 112 X</t>
  </si>
  <si>
    <t>IFA-01456</t>
  </si>
  <si>
    <t>CAJA PROCAINICA 800000 UI X 25 VIALES (2 COLORES DE 112 X X 112 X</t>
  </si>
  <si>
    <t>IFA-01457</t>
  </si>
  <si>
    <t>CAJA QUINOSIL 500 MG. X 10 COMP.</t>
  </si>
  <si>
    <t>IFA-01458</t>
  </si>
  <si>
    <t>CAJA QUINOSIL 750 MG. X 5 COMP.</t>
  </si>
  <si>
    <t>IFA-01459</t>
  </si>
  <si>
    <t>CAJA RANITIDINA 10 MG X 50 ML INYECTABLE (IFAVET) (80X43X43) ( 2</t>
  </si>
  <si>
    <t>IFA-01461</t>
  </si>
  <si>
    <t>CAJA MM REDUTEM GOTAS X 10 ML 77X33X33 MM (6 COLORES)</t>
  </si>
  <si>
    <t>IFA-01463</t>
  </si>
  <si>
    <t>IFA-01464</t>
  </si>
  <si>
    <t>CAJA RELEVOX 20 MG X 30 CAPSULAS (78X56X75) 3 COLORES</t>
  </si>
  <si>
    <t>IFA-01466</t>
  </si>
  <si>
    <t>CAJA RELEVOX 40 MG X 30 CAPSULAS (78X56X75) 3 COLORES</t>
  </si>
  <si>
    <t>IFA-01467</t>
  </si>
  <si>
    <t>CAJA REMASOL LOCION X 30 ML.</t>
  </si>
  <si>
    <t>IFA-01468</t>
  </si>
  <si>
    <t>SOBRE MM RETINOX 500 MG X 2 COMP. RECUBIERTOS (95X57X10) 2 COLO</t>
  </si>
  <si>
    <t>IFA-01469</t>
  </si>
  <si>
    <t>CAJA RETINOX 500 MG X 30 COMP. RECUBIERTOS (90X61X25) 3 COLORES</t>
  </si>
  <si>
    <t>IFA-01471</t>
  </si>
  <si>
    <t>CAJA REZITRO 30 MG X 3 AMP (3 COLORES DE 82 X 62 X 15 MM.)</t>
  </si>
  <si>
    <t>IFA-01474</t>
  </si>
  <si>
    <t>CAJA REZITRO 60 MG X 3 AMP (3 COLORES DE 82 X 62 X 15 MM.)</t>
  </si>
  <si>
    <t>IFA-01475</t>
  </si>
  <si>
    <t>CAJA MM REZITRO 60 MG. X 1 AMP.(3 COLORES DE 82 X 62 X 15 MM)</t>
  </si>
  <si>
    <t>IFA-01476</t>
  </si>
  <si>
    <t>CAJA REZITRO DE 20 MG X 10 COMP (3 COLORES DE 103 X 45 X 15 MM)</t>
  </si>
  <si>
    <t>IFA-01477</t>
  </si>
  <si>
    <t>CAJA RISPERIDONA 3 MG X 100 COMP. RECUBIERTOS (83X53X38) 2 COLORE</t>
  </si>
  <si>
    <t>IFA-01479</t>
  </si>
  <si>
    <t>CAJA RISPERIDONA 3 MG X 500 COMP. RECUBIERTOS (83X120X69) 2 COLOR</t>
  </si>
  <si>
    <t>IFA-01480</t>
  </si>
  <si>
    <t>CAJA MM ROSUVAST 10 MG X 2 CAP. BLANDAS (4 COLORES 83 X 42 X 20 MM)</t>
  </si>
  <si>
    <t>IFA-01481</t>
  </si>
  <si>
    <t>CAJA ROSUVAST 10 MG X 30 CAPSULAS BLANDAS (4 COLORES 83 X 42 X 37</t>
  </si>
  <si>
    <t>IFA-01482</t>
  </si>
  <si>
    <t>CAJA MM ROSUVAST 20 MG X 2 CAP. BLANDAS (4 COLORES 83 X 42 X 20 MM)</t>
  </si>
  <si>
    <t>IFA-01483</t>
  </si>
  <si>
    <t>CAJA ROSUVAST 20 MG X 30 CAPSULAS BLANDAS (4 COLORES 83 X 42 X 37</t>
  </si>
  <si>
    <t>IFA-01486</t>
  </si>
  <si>
    <t>CAJA SARNOL CREMA X 30 GR.</t>
  </si>
  <si>
    <t>IFA-01487</t>
  </si>
  <si>
    <t>SOBRE MM FLUZET 100 MG X 1 CAP. BLANDA ( 2 COLORE</t>
  </si>
  <si>
    <t>IFA-01489</t>
  </si>
  <si>
    <t>SOBRE MM MULTIGYN X 2 OVULOS. (2 COLORES 17X65X11</t>
  </si>
  <si>
    <t>IFA-01490</t>
  </si>
  <si>
    <t>SOBRE MM AFUNGIL X 2 CAPS.</t>
  </si>
  <si>
    <t>IFA-01491</t>
  </si>
  <si>
    <t>IFA-01492</t>
  </si>
  <si>
    <t>IFA-01494</t>
  </si>
  <si>
    <t>SOBRE MM ARTROFLEXIN X 2 COMP. RECUBIERTOS (95X57X10) 2 COLO</t>
  </si>
  <si>
    <t>IFA-01498</t>
  </si>
  <si>
    <t>SOBRE MM CEFABIOTIC 400 MG X 2 CAPSULAS (2 COLORES 100X85X10</t>
  </si>
  <si>
    <t>IFA-01499</t>
  </si>
  <si>
    <t>IFA-01500</t>
  </si>
  <si>
    <t>SOBRE MM CIFLOX 500 MG X 2 COMP. (2 COLORES 100X</t>
  </si>
  <si>
    <t>IFA-01501</t>
  </si>
  <si>
    <t>IFA-01504</t>
  </si>
  <si>
    <t>SOBRE MM DIPROFEN FLU FUERTE X 2 COMPRIMIDOS 100X85X10 (2 CO</t>
  </si>
  <si>
    <t>IFA-01505</t>
  </si>
  <si>
    <t>SOBRE MM DOLOGRIP DIA X 2 CAPS. BLANDAS ( 2 COLORES 90 X 149</t>
  </si>
  <si>
    <t>IFA-01506</t>
  </si>
  <si>
    <t>SOBRE MM DOLOGRIP NOCHE X 2 CAPS. BLANDAS ( 2 COLORES 90 X 1</t>
  </si>
  <si>
    <t>IFA-01508</t>
  </si>
  <si>
    <t>SOBRE MM DONTOFLAMON X 2 COMPRIMIDOS (100X85X10) (2 COLORES)</t>
  </si>
  <si>
    <t>IFA-01509</t>
  </si>
  <si>
    <t>IFA-01510</t>
  </si>
  <si>
    <t>IFA-01511</t>
  </si>
  <si>
    <t>SOBRE MM FERRICOM X 2 CAP. BLANDAS</t>
  </si>
  <si>
    <t>IFA-01512</t>
  </si>
  <si>
    <t>SOBRE MM FLAMACOX RELAX X 2 CAPSULAS BLANDAS (95X</t>
  </si>
  <si>
    <t>IFA-01513</t>
  </si>
  <si>
    <t>SOBRE MM FLAMACOX X 2 CAP. BLANDAS (2 COLORES 90X149 MM)</t>
  </si>
  <si>
    <t>IFA-01514</t>
  </si>
  <si>
    <t>SOBRE MM FLAMADIN PLUS X 2 CAPSULAS ( 2 COLORES DE 90 X 149</t>
  </si>
  <si>
    <t>IFA-01517</t>
  </si>
  <si>
    <t>SOBRE MM FLECOXIB 200 MG X 2 CAPSULAS (100X85X10) (2 COLORES</t>
  </si>
  <si>
    <t>IFA-01519</t>
  </si>
  <si>
    <t>SOBRE MM FLUCOMICOL 200 MG X 1 CAPSULA 100X85X10 MM (3 COLOR</t>
  </si>
  <si>
    <t>IFA-01522</t>
  </si>
  <si>
    <t>SOBRE MM GRISEOVINA 20 MG X 2 CAPSULAS BLANDAS ( 95X60X13) 3</t>
  </si>
  <si>
    <t>IFA-01523</t>
  </si>
  <si>
    <t>IFA-01526</t>
  </si>
  <si>
    <t>SOBRE MM IFAMET N X 2 OVULOS (3 COLORES 100X85X20)</t>
  </si>
  <si>
    <t>IFA-01527</t>
  </si>
  <si>
    <t>SOBRE MM INCRETIN 100 MG X 2 COMP. (2 COLORES 95</t>
  </si>
  <si>
    <t>IFA-01528</t>
  </si>
  <si>
    <t>SOBRE MM INCRETIN COMPUESTO X 2 COMP.</t>
  </si>
  <si>
    <t>IFA-01529</t>
  </si>
  <si>
    <t>SOBRE MM INCRETIN COMPUESTO FORTE X 2 COMP. (2 COLORES DE 90</t>
  </si>
  <si>
    <t>IFA-01530</t>
  </si>
  <si>
    <t>SOBRE MM KALENDA X 2 OVULOS (17X65X100) (2 COLORES)</t>
  </si>
  <si>
    <t>IFA-01531</t>
  </si>
  <si>
    <t>SOBRE MM LIDERMAN 20 MG FORTE X 1 CAPSULA BLANDA (95X58X10)</t>
  </si>
  <si>
    <t>IFA-01534</t>
  </si>
  <si>
    <t>SOBRE MM POLIGYN PLUS X 2 OVULOS VAGINALES. (2 COLORES DE 1</t>
  </si>
  <si>
    <t>IFA-01537</t>
  </si>
  <si>
    <t>IFA-01538</t>
  </si>
  <si>
    <t>IFA-01539</t>
  </si>
  <si>
    <t>IFA-01544</t>
  </si>
  <si>
    <t>SOBRE MM TRAMACETAMOL X 2 COMPRIMIDOS (100X85X10) (2 COLORES</t>
  </si>
  <si>
    <t>IFA-01545</t>
  </si>
  <si>
    <t>SOBRE MM TRIBENZOL 500 MG X 2 COMP.</t>
  </si>
  <si>
    <t>IFA-01546</t>
  </si>
  <si>
    <t>SOBRE MM TRICOBIC 1 G X 1 COMP. (2 COLORES 100X85</t>
  </si>
  <si>
    <t>IFA-01548</t>
  </si>
  <si>
    <t>SOBRE DE TRIFACANIL X 6 COMPRIMIDOS VET. ( 90X60X8MM) 2 COLO</t>
  </si>
  <si>
    <t>IFA-01549</t>
  </si>
  <si>
    <t>IFA-01550</t>
  </si>
  <si>
    <t>IFA-01552</t>
  </si>
  <si>
    <t>IFA-01553</t>
  </si>
  <si>
    <t>SOBRE MM FLAMADIN B1 B6 B12 X 2 COMPRIMIDOS (95X59X8) (2 COLORE</t>
  </si>
  <si>
    <t>IFA-01554</t>
  </si>
  <si>
    <t>CAJA SULFATO FERROSO 200 MG X 100 COMP ( 2 COLORES DE 110 X 57 X</t>
  </si>
  <si>
    <t>IFA-01555</t>
  </si>
  <si>
    <t>CAJA SULFATO FERROSO 200 MG X 500 COMP. ( 2 COLORES DE 135X110X85</t>
  </si>
  <si>
    <t>IFA-01557</t>
  </si>
  <si>
    <t>CAJA SULFATO FERROSO M.E. X 500 COMP. (PG)</t>
  </si>
  <si>
    <t>IFA-01558</t>
  </si>
  <si>
    <t>CAJA SULTRIN FORTE X 100 ML (VET )</t>
  </si>
  <si>
    <t>IFA-01560</t>
  </si>
  <si>
    <t>IFA-01561</t>
  </si>
  <si>
    <t>CAJA TANIDAX 10 MG X 10 COMP. RECUBIERTOS (95X40X19) 3 COLORES</t>
  </si>
  <si>
    <t>IFA-01562</t>
  </si>
  <si>
    <t>IFA-01563</t>
  </si>
  <si>
    <t>CAJA TANIDAX 15 MG X 21 COMP. RECUBIERTOS (95X40X19) 3 COLORES</t>
  </si>
  <si>
    <t>IFA-01564</t>
  </si>
  <si>
    <t>IFA-01568</t>
  </si>
  <si>
    <t>CAJA MM TERMO-DIPROFEN X 30 ML</t>
  </si>
  <si>
    <t>IFA-01570</t>
  </si>
  <si>
    <t>IFA-01571</t>
  </si>
  <si>
    <t>CAJA TERRACOLIN 200 MG. X 60 ML. SUSP.</t>
  </si>
  <si>
    <t>IFA-01574</t>
  </si>
  <si>
    <t>CAJA TINIDAZOL 1 G X 2 COMP. (PG) ( 90X61X18)</t>
  </si>
  <si>
    <t>IFA-01575</t>
  </si>
  <si>
    <t>CAJA TRAMACETAMOL X 30 COMP.</t>
  </si>
  <si>
    <t>IFA-01577</t>
  </si>
  <si>
    <t>CAJA MM TRIBENZOL 100 MG X 30 ML</t>
  </si>
  <si>
    <t>IFA-01581</t>
  </si>
  <si>
    <t>CAJA TUSSINOL X 100 ML</t>
  </si>
  <si>
    <t>IFA-01582</t>
  </si>
  <si>
    <t>CAJA MM TUSSINOL X 30 ML</t>
  </si>
  <si>
    <t>IFA-01583</t>
  </si>
  <si>
    <t>CAJA VANCOMICINA 500 MG X 1 VIAL (PG)</t>
  </si>
  <si>
    <t>IFA-01584</t>
  </si>
  <si>
    <t>CAJA VETACEF SUSP. VET X 100 ML.</t>
  </si>
  <si>
    <t>IFA-01585</t>
  </si>
  <si>
    <t>CAJA VETODOLIC-K GOTAS VETRINARIO X 30 ML ( 86X35X35MM) 2 COLORES</t>
  </si>
  <si>
    <t>IFA-01586</t>
  </si>
  <si>
    <t>CAJA VITA-CAN X 100 ML. JBE.</t>
  </si>
  <si>
    <t>IFA-01587</t>
  </si>
  <si>
    <t>CAJA VITA-CAN GOTAS X 30 ML</t>
  </si>
  <si>
    <t>IFA-01588</t>
  </si>
  <si>
    <t>CAJA ZINC 20 MG X 100 COMPRIMIDOS (83X43X38) 2 COLORES (PG)</t>
  </si>
  <si>
    <t>IFA-01589</t>
  </si>
  <si>
    <t>CAJA ZINC 20 MG X 100 ML (PG)</t>
  </si>
  <si>
    <t>IFA-01590</t>
  </si>
  <si>
    <t>CAJA ZINC 20 MG X 500 COMPRIMIDOS (83X120X69) 2 COLORES (PG)</t>
  </si>
  <si>
    <t>IFA-01591</t>
  </si>
  <si>
    <t>CAJA ZINC 50 MG X 100 COMPRIMIDOS (83X53X38)2 COLORES (PG)</t>
  </si>
  <si>
    <t>IFA-01592</t>
  </si>
  <si>
    <t>CAJA ZINC 50 MG X 500 COMPRIMIDOS (83X120X69) 2 COLORES (PG)</t>
  </si>
  <si>
    <t>IFA-01594</t>
  </si>
  <si>
    <t>IFA-01595</t>
  </si>
  <si>
    <t>CAJA ZITROMIN 200 MG X 30 ML SUSP</t>
  </si>
  <si>
    <t>IFA-01596</t>
  </si>
  <si>
    <t>CAJA ZITROMIN 500 MG X 3 COMP</t>
  </si>
  <si>
    <t>IFA-01597</t>
  </si>
  <si>
    <t>CAJA MM ZITROMIN LP 500 MG SUSP. X 10 ML (119X76X50 MM 6 COLORES)</t>
  </si>
  <si>
    <t>IFA-01598</t>
  </si>
  <si>
    <t>CAJA ZITROMIN LP 500 MG SUSP. X 30 ML (119X85X54MM 6 COLORES)</t>
  </si>
  <si>
    <t>IFA-01957</t>
  </si>
  <si>
    <t>ARCHIVADOR TAMAÑO CARTA</t>
  </si>
  <si>
    <t>PAQ</t>
  </si>
  <si>
    <t>IFA-01961</t>
  </si>
  <si>
    <t>CERTIFICADO DE CAPACITACION INTERNA</t>
  </si>
  <si>
    <t>IFA-01984</t>
  </si>
  <si>
    <t>FORM. AUTORIZACION DE SALIDA DE VEHICULOS</t>
  </si>
  <si>
    <t>IFA-01985</t>
  </si>
  <si>
    <t>FORM. COMUNICACION INTERNA DE 100 HOJAS</t>
  </si>
  <si>
    <t>IFA-01986</t>
  </si>
  <si>
    <t>FORM. CONTROL DE ENTREGA DE MATERIAL SALA DE PEGADO DE CAJA</t>
  </si>
  <si>
    <t>IFA-01988</t>
  </si>
  <si>
    <t>FORM. DE INGRESO A DEPOSITOS DE PROD. TERMINADOS C/ COPIA DE</t>
  </si>
  <si>
    <t>IFA-01989</t>
  </si>
  <si>
    <t>FORM.CONTROL DE INGRESO Y EGRESO A SALA DE ACABADO</t>
  </si>
  <si>
    <t>IFA-01991</t>
  </si>
  <si>
    <t>FORM.CONTROL DE PESO Y MEDIDAS (PRODUCCION XR)</t>
  </si>
  <si>
    <t>IFA-01992</t>
  </si>
  <si>
    <t>FORM.CONTROL DE PROCESO (PROD. TERMINADO SALA DE PRE-ACABADO</t>
  </si>
  <si>
    <t>IFA-01993</t>
  </si>
  <si>
    <t>FORM.CONTROL DE USO EQUIPOS DE CONTROL DE CALIDAD</t>
  </si>
  <si>
    <t>IFA-01994</t>
  </si>
  <si>
    <t>FORM.CONTROL DE USO EQUIPOS DE PRODUCCION</t>
  </si>
  <si>
    <t>IFA-01997</t>
  </si>
  <si>
    <t>FORM.DEVOLUCION DE PROD. S. DE ACABADO A PRODUCCI</t>
  </si>
  <si>
    <t>IFA-01998</t>
  </si>
  <si>
    <t>FORM.EGRESO DE MATERIAL DEPOSITOS I.F.A.</t>
  </si>
  <si>
    <t>IFA-01999</t>
  </si>
  <si>
    <t>FORM.INGRESO Y EGRESO DE PRODUCTOS A SALA DE ACABADO</t>
  </si>
  <si>
    <t>IFA-02000</t>
  </si>
  <si>
    <t>FORM.RECEPCION DE MATERIAS PRIMAS</t>
  </si>
  <si>
    <t>IFA-02001</t>
  </si>
  <si>
    <t>FORM.RECEPCION DE PRODUCTOS PRE ACABADO DEPARTAMENTO DE ACAB</t>
  </si>
  <si>
    <t>IFA-02002</t>
  </si>
  <si>
    <t>FORM.RECORD DE LIMPIEZA DEPARTAMENTO DE PRODUCCION</t>
  </si>
  <si>
    <t>IFA-02003</t>
  </si>
  <si>
    <t>FORM.REGISTRO DE CONTROL DE TEMPERATURA Y HUMEDAD</t>
  </si>
  <si>
    <t>IFA-02004</t>
  </si>
  <si>
    <t>FORM.REGISTRO DE DESPEJE DE LINEA DEPARTAMENTO DE ACABADO</t>
  </si>
  <si>
    <t>IFA-02006</t>
  </si>
  <si>
    <t>FORM.REQUERIMIENTO MATERIAL ZONA ESTERIL</t>
  </si>
  <si>
    <t>IFA-02008</t>
  </si>
  <si>
    <t>FORM.SOLICITUD DE COMPRA</t>
  </si>
  <si>
    <t>IFA-02009</t>
  </si>
  <si>
    <t>FORM.SOLICITUD DE DINERO CAJA CHICA</t>
  </si>
  <si>
    <t>IFA-02010</t>
  </si>
  <si>
    <t>FORM.SOLICITUD DE MATERIAL DE ENVASE PRIMARIO</t>
  </si>
  <si>
    <t>IFA-02011</t>
  </si>
  <si>
    <t>FORMULARIO DE REQUERIMIENTO</t>
  </si>
  <si>
    <t>IFA-02012</t>
  </si>
  <si>
    <t>FRAGIL COBIJA</t>
  </si>
  <si>
    <t>IFA-02013</t>
  </si>
  <si>
    <t>FRAGIL COCHABAMBA</t>
  </si>
  <si>
    <t>IFA-02014</t>
  </si>
  <si>
    <t>FRAGIL DE MEDICAMENTOS IFA C.N.S.</t>
  </si>
  <si>
    <t>IFA-02015</t>
  </si>
  <si>
    <t>FRAGIL IFA</t>
  </si>
  <si>
    <t>FRAGIL IFA GENERICO</t>
  </si>
  <si>
    <t>IFA-02017</t>
  </si>
  <si>
    <t>FRAGIL LA PAZ</t>
  </si>
  <si>
    <t>IFA-02018</t>
  </si>
  <si>
    <t>FRAGIL LA PAZ (EL ALTO)</t>
  </si>
  <si>
    <t>IFA-02019</t>
  </si>
  <si>
    <t>FRAGIL ORURO</t>
  </si>
  <si>
    <t>IFA-02020</t>
  </si>
  <si>
    <t>FRAGIL PANDO</t>
  </si>
  <si>
    <t>IFA-02021</t>
  </si>
  <si>
    <t>FRAGIL POTOSI</t>
  </si>
  <si>
    <t>IFA-02022</t>
  </si>
  <si>
    <t>FRAGIL QUILLACOLLO</t>
  </si>
  <si>
    <t>IFA-02023</t>
  </si>
  <si>
    <t>FRAGIL RIBERALTA</t>
  </si>
  <si>
    <t>IFA-02024</t>
  </si>
  <si>
    <t>FRAGIL SUCRE</t>
  </si>
  <si>
    <t>IFA-02025</t>
  </si>
  <si>
    <t>FRAGIL TARIJA</t>
  </si>
  <si>
    <t>IFA-02026</t>
  </si>
  <si>
    <t>FRAGIL TRINIDAD</t>
  </si>
  <si>
    <t>IFA-02027</t>
  </si>
  <si>
    <t>FRAGIL VILLA TUNARI</t>
  </si>
  <si>
    <t>IFA-02028</t>
  </si>
  <si>
    <t>HOJA MEMBRETADA IFA S.A.</t>
  </si>
  <si>
    <t>IFA-02029</t>
  </si>
  <si>
    <t>INGRESOS DE ENVASES PRIMARIOS A ALMACEN # 6</t>
  </si>
  <si>
    <t>IFA-02034</t>
  </si>
  <si>
    <t>MATERIAL SECUNDARIO (IFA GENERICO)</t>
  </si>
  <si>
    <t>IFA-02035</t>
  </si>
  <si>
    <t>MATERIAL SECUNDARIO (IFA)</t>
  </si>
  <si>
    <t>IFA-02036</t>
  </si>
  <si>
    <t>ORDEN DE SALIDA C/ COPIA DE 50 HOJAS</t>
  </si>
  <si>
    <t>IFA-02038</t>
  </si>
  <si>
    <t>REGISTRO DE ENTREGA DE FRASCO A ALMACEN DE INSUMO #6</t>
  </si>
  <si>
    <t>IFA-02040</t>
  </si>
  <si>
    <t>SALA DE ACONDICIONADO PRODUCTOS TERMINADOS</t>
  </si>
  <si>
    <t>IFA-02041</t>
  </si>
  <si>
    <t>SALIDA DE DESECHO</t>
  </si>
  <si>
    <t>IFA-02042</t>
  </si>
  <si>
    <t>SOLICITUD DE MATERIAL DE EMPAQUE C/ COPIA DE 50 HOJAS</t>
  </si>
  <si>
    <t>IFA-02043</t>
  </si>
  <si>
    <t>SOLICITUD DE MATERIAS PRIMAS PARA INYECTABLES C/ COPIA DE 50</t>
  </si>
  <si>
    <t>IFA-03575</t>
  </si>
  <si>
    <t>CAJA MM OMEGA 3 1000 MG X 10 CAPSULAS BLANDAS (110X65X19) 4 COLORES</t>
  </si>
  <si>
    <t>IFA-03576</t>
  </si>
  <si>
    <t>CAJA MOLNUPIRAVIR 200 MG X 40 CAPSULAS (91X61X36) 2 COLORES</t>
  </si>
  <si>
    <t>IFA-03580</t>
  </si>
  <si>
    <t>CAJA TALCO PARA PITAI X 70 G (119X53X53) 2 COLORES</t>
  </si>
  <si>
    <t>IFA-03581</t>
  </si>
  <si>
    <t>IFA-03587</t>
  </si>
  <si>
    <t>POSOLOGIA SOLUCINE CAP. DURAS</t>
  </si>
  <si>
    <t>IFA-03590</t>
  </si>
  <si>
    <t>CAJA MM FRIXADOL X 5 G UNGUENTO (10X28X19)</t>
  </si>
  <si>
    <t>IFA-03834</t>
  </si>
  <si>
    <t>CAJA CEFTRIAXONA 1000 POLVO INY. + AGUA INYECTABLE X 5 ML VETERINARIO</t>
  </si>
  <si>
    <t>IFA-03842</t>
  </si>
  <si>
    <t>SOBRE MM LIDERMAN X 1 CAP. BLANDAS MM</t>
  </si>
  <si>
    <t>IFA-03843</t>
  </si>
  <si>
    <t>CAJA LIDERMAN X 20 CAP. BLANDAS</t>
  </si>
  <si>
    <t>IFA-04295</t>
  </si>
  <si>
    <t>BOLSA DOYPACK BLANCA (18X26CM) SIN IMPRESION</t>
  </si>
  <si>
    <t>IFA-04296</t>
  </si>
  <si>
    <t>CAJA TENACAR OMEGA 3,6 &amp; 9 PERRO FRASCO X 120 ML (119X53X53) 4 COLORES (IFAVET)</t>
  </si>
  <si>
    <t>IFA-04298</t>
  </si>
  <si>
    <t>CAJA DIPROFEN 600 MG X 10 CAPS. BLANDAS (19X65X110) 4 COLORES</t>
  </si>
  <si>
    <t>IFA-04299</t>
  </si>
  <si>
    <t>CAJA DIMENHIDRINATO 50 MG X 500 COMPRIMIDOS (135X110X85) 2 COLORES (PG)</t>
  </si>
  <si>
    <t>IFA-04300</t>
  </si>
  <si>
    <t>CAJA FLAMADIN 15 MG GOTAS X 20 ML (86X35X35MM) 6 COLORES</t>
  </si>
  <si>
    <t>IFA-04301</t>
  </si>
  <si>
    <t>CAJA SARNOL 20% LOCION X 100 ML (119X53X53) 2 COLORES</t>
  </si>
  <si>
    <t>IFA-04302</t>
  </si>
  <si>
    <t>CAJA LEVODOPA CARBIDOPA 250/25 MG X 500 COMP.(2 COLORES MM DE 83X120X69 MM) PG</t>
  </si>
  <si>
    <t>IFA-04305</t>
  </si>
  <si>
    <t>CAJA HISTADRYN NF JARABE X 100 ML (119X57X57) 6 COLORES</t>
  </si>
  <si>
    <t>IFA-04306</t>
  </si>
  <si>
    <t>CAJA HISTADRYN NF X 10 CAPS. BLANDAS (83X42X20) 4 COLORES</t>
  </si>
  <si>
    <t>IFA-04309</t>
  </si>
  <si>
    <t>CAJA REZITRO RAPID 30 MG X 10 COMP. SUBLINGUALES (103X45X15) 3 COLORES</t>
  </si>
  <si>
    <t>IFA-04310</t>
  </si>
  <si>
    <t>CAJA LEVOFLOXACINA 500 MG X 500 COMP. RECUBIERTOS (213X112X80) 2 COLORES (PG)</t>
  </si>
  <si>
    <t>IFA-04311</t>
  </si>
  <si>
    <t>IFA-04312</t>
  </si>
  <si>
    <t>CAJA SANNITA X 30 CAPS. BLANDAS (95X70X48) 4 COLORES</t>
  </si>
  <si>
    <t>IFA-04315</t>
  </si>
  <si>
    <t>CAJA E.P.T. NF CAJA X 1 VIAL (65X34X34) 6 COLORES</t>
  </si>
  <si>
    <t>IFA-04316</t>
  </si>
  <si>
    <t>CAJA VITACAN COMPUESTO X 100 COMP. RECUBIERTOS (83X53X37) 2 COLORES (IFAVET)</t>
  </si>
  <si>
    <t>IFA-04317</t>
  </si>
  <si>
    <t>CAJA ALENDRONATO 70 MG X 100 COMPRIMIDOS (83X120X69) (PG)</t>
  </si>
  <si>
    <t>IFA-04319</t>
  </si>
  <si>
    <t>CAJA CIFLOX F X 10 CAPSULAS (121X100X20) 3 COLORES</t>
  </si>
  <si>
    <t>IFA-04320</t>
  </si>
  <si>
    <t>POSOLOGIA DOLOGRIP COMP. RECUBIERTO Y GOTAS</t>
  </si>
  <si>
    <t>IFA-04321</t>
  </si>
  <si>
    <t>IFA-04322</t>
  </si>
  <si>
    <t>POSOLOGIA FLAMADIN SUSPENSION</t>
  </si>
  <si>
    <t>IFA-04324</t>
  </si>
  <si>
    <t>POSOLOGIA TALCO P/ EL PITAI POLVO</t>
  </si>
  <si>
    <t>IFA-04325</t>
  </si>
  <si>
    <t>POSOLOGIA CEFTRIAXONA 1 G POLVO P/ INTECTABLE (IFAVET)</t>
  </si>
  <si>
    <t>IFA-04327</t>
  </si>
  <si>
    <t>POSOLOGIA E.P.T. NF SOL. INYECTABLE</t>
  </si>
  <si>
    <t>IFA-04328</t>
  </si>
  <si>
    <t>POSOLOGIA REZITRO RAPID 30 COMP. SUBLINGUAL</t>
  </si>
  <si>
    <t>IFA-04329</t>
  </si>
  <si>
    <t>POSOLOGIA HIPECORT 30 MG COMP. BIRRANURADO</t>
  </si>
  <si>
    <t>IFA-04330</t>
  </si>
  <si>
    <t>POSOLOGIA VITACAN COMPUESTO COMP. RECUBIERTO (IFAVET)</t>
  </si>
  <si>
    <t>IFA-04331</t>
  </si>
  <si>
    <t>POSOLOGIA AMOXICILINA 250 MG + ACIDO CLAVULANICO 62,5 MG POLVO P/ SUSP. (IFAVET)</t>
  </si>
  <si>
    <t>IFA-04333</t>
  </si>
  <si>
    <t>CAJA MM FLAMADIN SUSP. X 30 ML (100X50X50) 6 COLORES</t>
  </si>
  <si>
    <t>IFA-04334</t>
  </si>
  <si>
    <t>CAJA MM HISTADRYN NF JARABE X 30 ML (100X50X50) 6 COLORES</t>
  </si>
  <si>
    <t>IFA-04335</t>
  </si>
  <si>
    <t>CAJA MM REZITRO RAPID 30 MG SOBRE X 2 COMP. SUBLINGUALES (9X57X95) 2 COLORES</t>
  </si>
  <si>
    <t>IFA-04336</t>
  </si>
  <si>
    <t>CAJA MM CIFLOX F SOBRE X 2 CAPSULAS (110X165X11) 2 COLORES</t>
  </si>
  <si>
    <t>IFA-04337</t>
  </si>
  <si>
    <t>CAJA MM HIPECORT 30 MG SOBRE X 2 COMP. BIRRANURADOS (95X55X9) 3 COLORES</t>
  </si>
  <si>
    <t>IFA-04338</t>
  </si>
  <si>
    <t>CAJA MM HISTADRYN NF SOBRE X 2 CAPS. BLANDAS (95X60X13) 2 COLORES</t>
  </si>
  <si>
    <t>IFA-04528</t>
  </si>
  <si>
    <t>CAJA TENACAR OMEGA 3, 6 &amp; 9 GATO FRASCO X 120 ML (120X62X62) 4 COLORES (IFAVET)</t>
  </si>
  <si>
    <t>IFA-04529</t>
  </si>
  <si>
    <t>CAJA DICLOXACILINA 500 MG X 500 CAPSULAS (215X120X90) 2 COLORES (PG)</t>
  </si>
  <si>
    <t>IFA-04530</t>
  </si>
  <si>
    <t>CAJA FINASTERIDA 5 MG X 500 COMP. RECUBIERTOS (83X120X69) 2 COLORES (PG)</t>
  </si>
  <si>
    <t>IFA-04559</t>
  </si>
  <si>
    <t>POSOLOGIA TENACAR OMEGA 3, 6 &amp; 9 GATO (IFAVET)</t>
  </si>
  <si>
    <t>CAJA AMOXICILINA 250 MG + AC. CLAVUL. 62,5 MG POLVO P/ SUSP. X 100 ML (119X70X54) IFAVET</t>
  </si>
  <si>
    <t>IFA-00795</t>
  </si>
  <si>
    <t>POSOLOGIA AMOXICILINA COMP. SUSP.INYECT.CAPS. (PG)</t>
  </si>
  <si>
    <t>IFA-00832</t>
  </si>
  <si>
    <t>POSOLOGIA CIPROFLOXACINA 500 MG COMP. RECUBIERTO (PG)</t>
  </si>
  <si>
    <t>IFA-00852</t>
  </si>
  <si>
    <t>POSOLOGIA COTRIMOXAZOL COMP. SUSP. (PG)</t>
  </si>
  <si>
    <t>IFA-00875</t>
  </si>
  <si>
    <t>POSOLOGIA ERITROMICINA COMP. RECUBIERTO POLVO PARA SUSP. (PG)</t>
  </si>
  <si>
    <t>IFA-00881</t>
  </si>
  <si>
    <t>POSOLOGIA FERRICOM CAPSULAS BLANDAS</t>
  </si>
  <si>
    <t>IFA-00935</t>
  </si>
  <si>
    <t>POSOLOGIA INSTRUCTIVOS VETERINARIOS (IFAVET)</t>
  </si>
  <si>
    <t>IFA-01036</t>
  </si>
  <si>
    <t>CAJA ALBENDAZOL 200 MG X 100 COMP. MASTICABLE (213X112X80) (PG)</t>
  </si>
  <si>
    <t>IFA-01039</t>
  </si>
  <si>
    <t>CAJA ALENDRONATO 70 MG X 200 COMPRIMIDOS (135X110X85) 2 COLORES (</t>
  </si>
  <si>
    <t>IFA-01088</t>
  </si>
  <si>
    <t>CAJA AZITROMICINA 500 MG X 100 COMP.RECUBIERTO ( 2 COLORES DE 60X</t>
  </si>
  <si>
    <t>IFA-01130</t>
  </si>
  <si>
    <t>CAJA CEFAZOLINA 1000 X 25 VIALES (2 COLORES DE 112 X 112 X 54 MM)</t>
  </si>
  <si>
    <t>IFA-01174</t>
  </si>
  <si>
    <t>CAJA COMPLEJO B COMPUESTO X 100 COMPRIMIDOS (IFAVET) (83X43X38) (</t>
  </si>
  <si>
    <t>IFA-01182</t>
  </si>
  <si>
    <t>CAJA COTRIMOXAZOL 400/80 MG SUSP. LIQUIDA X 100 ML ( 2 COLORES 11</t>
  </si>
  <si>
    <t>IFA-01231</t>
  </si>
  <si>
    <t>CAJA DONTOFLAMON 125 MG. X 100 ML.</t>
  </si>
  <si>
    <t>IFA-01284</t>
  </si>
  <si>
    <t>IFA-01313</t>
  </si>
  <si>
    <t>CAJA HIDROCLOROTIAZIDA 50 MG X 100 COMP. ( 2 COLORES DE 83X43X38</t>
  </si>
  <si>
    <t>IFA-01375</t>
  </si>
  <si>
    <t>CAJA LIDOCAINA 2% X 1 VIAL (PG)</t>
  </si>
  <si>
    <t>IFA-01392</t>
  </si>
  <si>
    <t>CAJA METFORMINA 850 MG X 30 COMP. ( 2 COLORESS DE 90 X 61 X 25 MM</t>
  </si>
  <si>
    <t>IFA-01393</t>
  </si>
  <si>
    <t>CAJA METFORMINA 850 MG X 500 COMP. RECUBIERTOS (215X120X90) 2 COL</t>
  </si>
  <si>
    <t>IFA-01502</t>
  </si>
  <si>
    <t>SOBRE MM CLOTRIM PLUS X 1 OVULO VAGINAL ( 115X65) 3 COLORES</t>
  </si>
  <si>
    <t>IFA-01567</t>
  </si>
  <si>
    <t>CAJA TERMO-DIPROFEN SUSP. X 100 ML</t>
  </si>
  <si>
    <t>IFA-01580</t>
  </si>
  <si>
    <t>IFA-02039</t>
  </si>
  <si>
    <t>SALA DE ACABADO A ALMACEN DE DEVOLUCIONES</t>
  </si>
  <si>
    <t>IFA-03579</t>
  </si>
  <si>
    <t>CAJA SOLUCINE X 30 CAP. DURAS</t>
  </si>
  <si>
    <t>IFA-03585</t>
  </si>
  <si>
    <t>POSOLOGIA MOLNUPIRAVIR 200 MG CAPSULA (PG)</t>
  </si>
  <si>
    <t>IFA-04313</t>
  </si>
  <si>
    <t>CAJA HIPECORT 30 MG CAJA X 10 COMP. BIRRANURADOS (103X45X15) 3 COLORES</t>
  </si>
  <si>
    <t>IFA-04340</t>
  </si>
  <si>
    <t>CAJA MM DIPROFEN 400 MG SOBRE X 2 CAPS. BLANDAS (13X60X95) 5 COLORES</t>
  </si>
  <si>
    <t>IFA-04585</t>
  </si>
  <si>
    <t>POSOLOGIA BALMICIN GOTAS</t>
  </si>
  <si>
    <t>IFA-04586</t>
  </si>
  <si>
    <t>CAJA BALMICIN 10 MG GOTAS X 20 ML (86X35X35) 6 COLORES</t>
  </si>
  <si>
    <t>IFA-04601</t>
  </si>
  <si>
    <t>ESTUCHES DE CARTULINAS DOLOGRIP DIA 255 X 337 X 0</t>
  </si>
  <si>
    <t>IFA-04602</t>
  </si>
  <si>
    <t>ESTUCHES DE CARTULINAS DOLOGRIP NOCHE 255 X 337 X 0</t>
  </si>
  <si>
    <t>IFA-04604</t>
  </si>
  <si>
    <t>ESTUCHES DE CARTULINAS TAMIFEN 317 X 387 X 0</t>
  </si>
  <si>
    <t>IFA-04641</t>
  </si>
  <si>
    <t>CAJA MM BALMICIN 10 MG GOTAS X 10 ML (77X33X33) 6 COLORES</t>
  </si>
  <si>
    <t>IFA-04642</t>
  </si>
  <si>
    <t>CAJA MM DUFORAX PLUS CREMA VAGINAL POMO X 10 G (138X36X26) 7 COLORES</t>
  </si>
  <si>
    <t>IFA-04643</t>
  </si>
  <si>
    <t>ESTUCHES DE CARTULINA FLAMADIN 100 ML 590 X 590 X 119 (EXPO)</t>
  </si>
  <si>
    <t>IFA-00913</t>
  </si>
  <si>
    <t>POSOLOGIA HIDROCORTISONA 1% CREMA DERMICA (PG)</t>
  </si>
  <si>
    <t>IFA-04314</t>
  </si>
  <si>
    <t>CAJA DIPROFEN 400 MG X 10 CAPS. BLANDAS (18X67X93) 3 COLORES</t>
  </si>
  <si>
    <t>IFA-01478</t>
  </si>
  <si>
    <t>CAJA RISPERIDONA 3 MG X 20 COMP. ( 2 COLORES DE 90X40X13.5 MM) PG</t>
  </si>
  <si>
    <t>IFA-05136</t>
  </si>
  <si>
    <t>CAJA TRIBENZOL 500 MG X 500 COMP. RECUBIERTOS (213x112x80) 3 COLORES</t>
  </si>
  <si>
    <t>IFA-01327</t>
  </si>
  <si>
    <t>CAJA IBUPROFENO 400 MG X 500 COMP.( 2 COLORES DE 80 X213X112 MM)</t>
  </si>
  <si>
    <t>IFA-05189</t>
  </si>
  <si>
    <t>POSOLOGIA IFOZILINA COMP. RECUBIERTOS</t>
  </si>
  <si>
    <t>IFA-05187</t>
  </si>
  <si>
    <t>CAJA IFOZILINA 10 MG X 2 COMP. RECUBIERTOS ( 64X44X16) 2 COLORES</t>
  </si>
  <si>
    <t>IFA-05188</t>
  </si>
  <si>
    <t>CAJA IFOZILINA 10 MG X 30 COMP. RECUBIERTOS ( 105X45X25) 3 COLORES</t>
  </si>
  <si>
    <t>IFA-05186</t>
  </si>
  <si>
    <t>CAJA IFOZILINA 25 MG X 30 COMP. RECUBIERTOS ( 105X45X25) 3 COLORES</t>
  </si>
  <si>
    <t>IFA-05183</t>
  </si>
  <si>
    <t>CAJA ARTROFLEXIN 200 MG X 500 COMP. RECUBIERTOS ( 213X112X80) 3 COLORES</t>
  </si>
  <si>
    <t>IFA-01162</t>
  </si>
  <si>
    <t>CAJA CLOTRIM CREMA B.G. X 15 GR.</t>
  </si>
  <si>
    <t>IFA-01569</t>
  </si>
  <si>
    <t>CAJA TERRACOLIN 200 MG X 100 COMPRIMIDOS (DISPENSER) (90X61X61) (</t>
  </si>
  <si>
    <t>IFA-01068</t>
  </si>
  <si>
    <t>CAJA AMOXICILINA 500 MG X 60 ML (PG)</t>
  </si>
  <si>
    <t>IFA-04323</t>
  </si>
  <si>
    <t>POSOLOGIA TENACAR OMEGA 3,6 &amp; 9 PERRO SOL. ORAL (IFAVET)</t>
  </si>
  <si>
    <t>IFA-01263</t>
  </si>
  <si>
    <t>CAJA FENORAL 100 MG X 3 AMP. (3 COLORES DE 82 X 65 X 15 MM)</t>
  </si>
  <si>
    <t>IFA-05194</t>
  </si>
  <si>
    <t>CAJA FUNGO-VET CREMA POMO X 50 G ( 147X40X37) 2 COLORES VETERINARIO</t>
  </si>
  <si>
    <t>IFA-05195</t>
  </si>
  <si>
    <t>POSOLOGIA FUNGO-VET CREMA DERMICA VETERINARIA</t>
  </si>
  <si>
    <t>IFA-01437</t>
  </si>
  <si>
    <t>CAJA PENICILINA 1200 IU X 50 VIALES (PG)</t>
  </si>
  <si>
    <t>IFA-04339</t>
  </si>
  <si>
    <t>CAJA MM DIPROFEN 600 MG SOBRE X 2 CAPS. BLANDAS (100X85X15) 4 COLORES</t>
  </si>
  <si>
    <t>IFA-01211</t>
  </si>
  <si>
    <t>CAJA DIPROFEN FUERTE X 100 ML.</t>
  </si>
  <si>
    <t>IFA-01077</t>
  </si>
  <si>
    <t>CAJA ANTIGRIPAL X 100 COMP. (2 COLORES DE 60 X 78 X 83 ) PG</t>
  </si>
  <si>
    <t>IFA-05319</t>
  </si>
  <si>
    <t>CAJA RELAGEN X 2 CAPSULAS BLANDAS MM (83X42X20) 4 COLORES</t>
  </si>
  <si>
    <t>IFA-01069</t>
  </si>
  <si>
    <t>CAJA AMOXICILINA ACIDO CLAVULANICO 250/62.5 MG SUSP. 100 ML PG (1</t>
  </si>
  <si>
    <t>IFA-01415</t>
  </si>
  <si>
    <t>CAJA MULTIGYN X 10 OVULOS</t>
  </si>
  <si>
    <t>IFA-05268</t>
  </si>
  <si>
    <t>ESTUCHES DE CARTULINA FLAMACOXINE 148 X 167 X 0 (EXPO)</t>
  </si>
  <si>
    <t>IFA-05295</t>
  </si>
  <si>
    <t>ESTUCHES DE CARTULINA DOLOFIXIN 3 AMPOLLAS 144 X 165 X 0 (EXPO)</t>
  </si>
  <si>
    <t>IFA-01433</t>
  </si>
  <si>
    <t>CAJA PARACETAMOL 1 G X 500 COMP. ( 2 COLORES DE 83 X 120 X 69 MM)</t>
  </si>
  <si>
    <t>IFA-04304</t>
  </si>
  <si>
    <t>CAJA FLUOXETINA 20 MG X 500 COMPRIMIDOS (83X120X69) 2 COLORES (PG)</t>
  </si>
  <si>
    <t>IFA-05337</t>
  </si>
  <si>
    <t>IFA-01264</t>
  </si>
  <si>
    <t>CAJA FENORAL 200 MG X 10 CAPS. (90X61X18 MM 3 COLORES)</t>
  </si>
  <si>
    <t>CAJA MM ZITROMIN 200 MG X 15 ML</t>
  </si>
  <si>
    <t>CAJA CETIRIZINA 10 MG X 100 COMP. RECUBIERTOS ( 110X57X43) 4 COLORES</t>
  </si>
  <si>
    <t>IFA-01090</t>
  </si>
  <si>
    <t>CAJA AZITROMICINA 500 MG X 3 COMP. ( 2 COLORES DE 90 X 61 X 18 MM</t>
  </si>
  <si>
    <t>POSOLOGIA COMPLEJO B COMP.RECUBIERTO - JARABE (PG)</t>
  </si>
  <si>
    <t>IFA-01576</t>
  </si>
  <si>
    <t>CAJA TRIBENZOL X 6 COMP</t>
  </si>
  <si>
    <t>CAJA MM TERRACOLIN 200 MG X 30 ML</t>
  </si>
  <si>
    <t>IFA-01472</t>
  </si>
  <si>
    <t>CAJA MM REZITRO 30 MG. X 1 AMP.(90 X40 X 19)</t>
  </si>
  <si>
    <t>IFA-01319</t>
  </si>
  <si>
    <t>CAJA MM HIPECORT 6 MG X 2 COMP. (3 COLORES DE 90 X 40 X 13.5 MM)</t>
  </si>
  <si>
    <t>IFA-03569</t>
  </si>
  <si>
    <t>PORTA AMPOLLAS 2 ML X 5 UD ( 218X95MM)</t>
  </si>
  <si>
    <t>IFA-03574</t>
  </si>
  <si>
    <t>PORTA AMPOLLAS 2 ML X 1 UD ( 198X37MM)</t>
  </si>
  <si>
    <t>IFA-05643</t>
  </si>
  <si>
    <t>POSOLOGIA RELAGEN 5-HTP</t>
  </si>
  <si>
    <t>IFA-05564</t>
  </si>
  <si>
    <t>CAJA AGUA INYECTABLE 10 ML X 25 AMP.</t>
  </si>
  <si>
    <t>CAJA MM ANALTIN 200 MG X 2 COMP.</t>
  </si>
  <si>
    <t>IFA-04307</t>
  </si>
  <si>
    <t>CAJA IFABELL X 30 CAPS. BLANDAS (95X70X48) 4 COLORES</t>
  </si>
  <si>
    <t>IFA-05672</t>
  </si>
  <si>
    <t>POSOLOGIA DORMICLON COMP.</t>
  </si>
  <si>
    <t>IFA-01488</t>
  </si>
  <si>
    <t>SOBRE MM FLUZET 20 MG X 2 CAP. BLANDAS ( 2 COLORE</t>
  </si>
  <si>
    <t>IFA-03572</t>
  </si>
  <si>
    <t>SEPARADOR DE AMPOLLAS 10 ML X 10 UD ( 120X50MM)</t>
  </si>
  <si>
    <t>IFA-05727</t>
  </si>
  <si>
    <t>SOBRE MM DORMICLON X 2 COMP.</t>
  </si>
  <si>
    <t>IFA-01825</t>
  </si>
  <si>
    <t>FOLDER TAMAÑO CARTA</t>
  </si>
  <si>
    <t>IFA-03578</t>
  </si>
  <si>
    <t>CAJA TRIFA-PLUS X 4 COMP. VETERINARIO</t>
  </si>
  <si>
    <t>IFA-00959</t>
  </si>
  <si>
    <t>POSOLOGIA METOCLOPRAMIDA GOTAS ( IFAVET )</t>
  </si>
  <si>
    <t>IFA-05755</t>
  </si>
  <si>
    <t>CAJA GRISEOVINA 10 MG X 30 CAP. BLANDAS</t>
  </si>
  <si>
    <t>IFA-01987</t>
  </si>
  <si>
    <t>FORM. CONTROL DE MARCAJE DE CAJAS Y ETIQUETAS (S. SELLADO DE</t>
  </si>
  <si>
    <t>IFA-00797</t>
  </si>
  <si>
    <t>POSOLOGIA AMOXICILINA SUSPARACAP</t>
  </si>
  <si>
    <t>CAJA FLUCONAZOL 200 MG X 1 CAPSULA (126X36X11) 3 COLORES</t>
  </si>
  <si>
    <t>IFA-05765</t>
  </si>
  <si>
    <t>POSOLOGIA FERROCAN COMPUESTO COMPRIMIDOS (IFAVET)</t>
  </si>
  <si>
    <t>IFA-05764</t>
  </si>
  <si>
    <t>CAJA FERROCAN COMPUESTO X 100 COMPRIMIDOS (IFAVET)</t>
  </si>
  <si>
    <t>IFA-05725</t>
  </si>
  <si>
    <t>SOBRE MM GRISEOVINA 10 MG X 2 CAPSULAS BLANDAS</t>
  </si>
  <si>
    <t>IFA-01389</t>
  </si>
  <si>
    <t>CAJA MELOXICAN 7,5 MG X 100 COMPRIMIDOS (IFAVET) (83X43X38) (2 CO</t>
  </si>
  <si>
    <t>IFA-05788</t>
  </si>
  <si>
    <t>CAJA MM IFOZILINA 25 MG X 2 COMP. RECUBIERTOS</t>
  </si>
  <si>
    <t>POSOLOGIA PREDNISOX 20 MG COMP./SUSP.</t>
  </si>
  <si>
    <t>IFA-05799</t>
  </si>
  <si>
    <t>CAJA MM PREDNISOX 20 MG SUSPENSION MM</t>
  </si>
  <si>
    <t>IFA-05815</t>
  </si>
  <si>
    <t>CAJA PREDNISOX 20 MG SUSPENSION</t>
  </si>
  <si>
    <t>IFA-05862</t>
  </si>
  <si>
    <t>FORM. CONTROL DE USO DE EQUIPOS DE CONTROL EN PROCESO</t>
  </si>
  <si>
    <t>IFA-05864</t>
  </si>
  <si>
    <t>FORM. ENTREGA DE PRODUCTO SEMITERMINADO A PREACABADO</t>
  </si>
  <si>
    <t>IFA-05865</t>
  </si>
  <si>
    <t>FORM. CONTROL DE PRODUCTO DEFECTUOSO</t>
  </si>
  <si>
    <t>IFA-05866</t>
  </si>
  <si>
    <t>FORM. CONTROL DE PRODUCTO DESECHADO</t>
  </si>
  <si>
    <t>IFA-05867</t>
  </si>
  <si>
    <t>FORM. REGISTRO DE PRODUCTO NO CONFORME</t>
  </si>
  <si>
    <t>IFA-05868</t>
  </si>
  <si>
    <t>VALE POR CONSUMO DE COMBUSTIBLE</t>
  </si>
  <si>
    <t>IFA-01108</t>
  </si>
  <si>
    <t>CAJA MAESTRA CARTON FERRASOL FN GOTAS X 75 UN (65 X 79.5)</t>
  </si>
  <si>
    <t>IFA-05872</t>
  </si>
  <si>
    <t>CAJA FERRASOL FN GOTAS X 30 ML X 20</t>
  </si>
  <si>
    <t>IFA-03571</t>
  </si>
  <si>
    <t>PORTA AMPOLLAS 5 ML X 3 UD ( 271X60MM)</t>
  </si>
  <si>
    <t>IFA-05787</t>
  </si>
  <si>
    <t>CAJA SANNITA X 2 CAPS. BLANDAS</t>
  </si>
  <si>
    <t>IFA-04508</t>
  </si>
  <si>
    <t>FOLDERS IFA OFICIO</t>
  </si>
  <si>
    <t>CAJA AMPICILINA 1000 MG X 50 VIALES</t>
  </si>
  <si>
    <t>IFA-05800</t>
  </si>
  <si>
    <t>CAJA MM IFATRIM FUERTE X 30 ML MM</t>
  </si>
  <si>
    <t>IFA-05979</t>
  </si>
  <si>
    <t>CAJA DUFORAX PLUS CREMA VAGINAL POMO X 50 G</t>
  </si>
  <si>
    <t>POSOLOGIA DUFORAX PLUS OVULO VAGINAL CREMA VAGINAL</t>
  </si>
  <si>
    <t>CAJA MM FLAMADIN 15 MG X 10 ML GOTAS</t>
  </si>
  <si>
    <t>CAJA MM REZITRO 20 MG X 2 COMP. (2 COLORES 95X59)</t>
  </si>
  <si>
    <t>IFA-05180</t>
  </si>
  <si>
    <t>CAJA METRONIDAZOL 500 MG X 50 OVULO (213X112X80) 2 COLORES (PG)</t>
  </si>
  <si>
    <t>CAJA MM SOLUCINE X 2 CAP. DURAS</t>
  </si>
  <si>
    <t>CAJA MM ZITROMIN 500 G X 1 COMPRIMIDO 100X85X10 MM (2 COLOR</t>
  </si>
  <si>
    <t>POSOLOGIA AMPICILINA POLVO PARA INYECTABLE</t>
  </si>
  <si>
    <t>IFA-05913</t>
  </si>
  <si>
    <t>CAJA MM DONTOFLAMON NF X 2 COMP.</t>
  </si>
  <si>
    <t>IFA-06104</t>
  </si>
  <si>
    <t>POSOLOGIA DONTOFLAMON NF COMPRIMIDO</t>
  </si>
  <si>
    <t>IFA-05912</t>
  </si>
  <si>
    <t>CAJA DONTOFLAMON NF X 10 COMP.</t>
  </si>
  <si>
    <t>IFA-06268</t>
  </si>
  <si>
    <t>FORM. CONTROL DE LA DIFERENCIAL DE PRESION (PRODUCCION)</t>
  </si>
  <si>
    <t>IFA-06269</t>
  </si>
  <si>
    <t>FORM. FRACCIONAMIENTO DE MATERIAS PRIMAS (PRODUCCION)</t>
  </si>
  <si>
    <t>CAJA TRIOBACTER (ESOMEPRAZOL 20 MG.; AMOXICILINA 500 MG; CLARITRO</t>
  </si>
  <si>
    <t>IFA-05917</t>
  </si>
  <si>
    <t>CAJA MM FLAMADIN PLUS FORTE X 2 COMP.</t>
  </si>
  <si>
    <t>IFA-05916</t>
  </si>
  <si>
    <t>CAJA FLAMADIN PLUS FORTE X 10 COMP.</t>
  </si>
  <si>
    <t>IFA-06102</t>
  </si>
  <si>
    <t>CAJA DONTOFLAMON NF X 100 COMP. RECUBIERTO (3 COLORES DE 60X78X83 MM)</t>
  </si>
  <si>
    <t>SOBRE DE TRIOBACTER ESOMEPRAZOL 20 MG CLAROTROMICINA 500 MG</t>
  </si>
  <si>
    <t>SOBRE MM TRIOBACTER ESOMEPRAZOL 20 MG CLARITROMICINA 500 MG</t>
  </si>
  <si>
    <t>CAJA ALYSIA NF X 10 OVULOS</t>
  </si>
  <si>
    <t>IFA-06374</t>
  </si>
  <si>
    <t>FORM. LIMPIEZA DE EQUIPO</t>
  </si>
  <si>
    <t>IFA-06368</t>
  </si>
  <si>
    <t>CAJA HISTADRYN NF FORTE JARABE X 100 ML</t>
  </si>
  <si>
    <t>IFA-06369</t>
  </si>
  <si>
    <t>CAJA MM HISTADRYN NF FORTE JARABE X 30 ML</t>
  </si>
  <si>
    <t>IFA-06380</t>
  </si>
  <si>
    <t>CAJA AFUNGIL FD X 6 COMP. RECUBIERTO</t>
  </si>
  <si>
    <t>POSOLOGIA AFUNGIL CAPSULA / AFUNGIL FD</t>
  </si>
  <si>
    <t>IFA-06381</t>
  </si>
  <si>
    <t>CAJA MM AFUNGIL FD X 3 COMP. RECUBIERTO MM</t>
  </si>
  <si>
    <t>IFA-05903</t>
  </si>
  <si>
    <t>ESTUCHE MUCOL 200 X 20 SOBRES</t>
  </si>
  <si>
    <t>IFA-05902</t>
  </si>
  <si>
    <t>ESTUCHE MUCOL 600 X 20 SOBRES</t>
  </si>
  <si>
    <t>IFA-05907</t>
  </si>
  <si>
    <t>POSOLOGIA MUCOL POLVO GRANULADO</t>
  </si>
  <si>
    <t>IFA-05910</t>
  </si>
  <si>
    <t>POSOLOGIA REPAHIL</t>
  </si>
  <si>
    <t>CAJA MM RELEVOX 20 MG X 2 CAPSULAS (95X57X9,5) 2 COLORES</t>
  </si>
  <si>
    <t>IFA-06423</t>
  </si>
  <si>
    <t>CAJA HISTADRYN NF GOTAS X 20 ML</t>
  </si>
  <si>
    <t>POSOLOGIA HISTADRYN NF / NF FORTE CAPS. BLANDA JARABE GOTAS</t>
  </si>
  <si>
    <t>IFA-06424</t>
  </si>
  <si>
    <t>CAJA MM HISTADRYN NF GOTAS X 10 ML</t>
  </si>
  <si>
    <t>CAJA MM DE ALYSIA NF X 2 OVULOS (3 COLORES 100X85X20)</t>
  </si>
  <si>
    <t>IFA-01110</t>
  </si>
  <si>
    <t>CAJA BLANCA # 6</t>
  </si>
  <si>
    <t>IFA-01109</t>
  </si>
  <si>
    <t>CAJA CAJAS BLANCAS # 3</t>
  </si>
  <si>
    <t>IFA-06473</t>
  </si>
  <si>
    <t>CAJA TUSSINOL INFANTIL JARABE X 100 ML</t>
  </si>
  <si>
    <t>IFA-06474</t>
  </si>
  <si>
    <t>CAJA MM TUSSINOL INFANTIL JARABE X 30 ML</t>
  </si>
  <si>
    <t>IFA-02037</t>
  </si>
  <si>
    <t>ORDENES DE INSUMO DE 100 HOJAS</t>
  </si>
  <si>
    <t>IFA-06535</t>
  </si>
  <si>
    <t>CAJA CLOTRIM EXPORT X 1 OVULO VAGINAL</t>
  </si>
  <si>
    <t>IFA-06536</t>
  </si>
  <si>
    <t>SOBRE MM CLOTRIM EXPORT X 1 OVULO VAGINAL</t>
  </si>
  <si>
    <t>IFA-06537</t>
  </si>
  <si>
    <t>POSOLOGIA CLOTRIM EXPORT OVULO VAGINAL</t>
  </si>
  <si>
    <t>IFA-06525</t>
  </si>
  <si>
    <t>CAJA GINBI X 30 CAP. BLANDAS</t>
  </si>
  <si>
    <t>IFA-06528</t>
  </si>
  <si>
    <t>CAJA MM TAMIFEN X 30 ML JARABE MM</t>
  </si>
  <si>
    <t>IFA-06527</t>
  </si>
  <si>
    <t>CAJA TAMIFEN X 100 ML JARABE</t>
  </si>
  <si>
    <t>IFA-06529</t>
  </si>
  <si>
    <t>POSOLOGIA TAMIFEN JARABE</t>
  </si>
  <si>
    <t>IFA-06589</t>
  </si>
  <si>
    <t>INSTRUCTIVO COLOCAR GOTERO EN FRASCO LOCION</t>
  </si>
  <si>
    <t>IFA-06565</t>
  </si>
  <si>
    <t>CAJA MM FLAMADIN X 2 COMP MM EXPORT</t>
  </si>
  <si>
    <t>IFA-06564</t>
  </si>
  <si>
    <t>CAJA FLAMADIN X 10 COMP EXPORT</t>
  </si>
  <si>
    <t>IFA-06566</t>
  </si>
  <si>
    <t>POSOLOGIA FLAMADIN EXPORT COMPRIMIDO</t>
  </si>
  <si>
    <t>IFA-06567</t>
  </si>
  <si>
    <t>CAJA IFADRYN X 100 ML JARABE EXPORT</t>
  </si>
  <si>
    <t>IFA-06588</t>
  </si>
  <si>
    <t>POSOLOGIA IFADRYN JARABE</t>
  </si>
  <si>
    <t>IFA-06568</t>
  </si>
  <si>
    <t>CAJA MM IFADRYN X 30 ML JARABE MM EXPORT</t>
  </si>
  <si>
    <t>IFA-06587</t>
  </si>
  <si>
    <t>CAJA REDUTEM X 60 ML JARABE</t>
  </si>
  <si>
    <t>IFA-06592</t>
  </si>
  <si>
    <t>CAJA ACIDO NALIDIXICO 500 MG X 500 COMP. (PG)</t>
  </si>
  <si>
    <t>IFA-06594</t>
  </si>
  <si>
    <t>CAJA MOLNUPIRAVIR 200 MG X 120 CAPSULAS</t>
  </si>
  <si>
    <t>IFA-06593</t>
  </si>
  <si>
    <t>CAJA MOLNUPIRAVIR 200 MG X 80 CAPSULAS</t>
  </si>
  <si>
    <t>Número de artículo</t>
  </si>
  <si>
    <t>Descripción del artículo</t>
  </si>
  <si>
    <t>En stock</t>
  </si>
  <si>
    <t>ETIQUETA</t>
  </si>
  <si>
    <t>CAJA MM CESTODEN 400 MG X 1 COMPRIMIDO MEDIDA 10X85X100 (2</t>
  </si>
  <si>
    <t>CAJA MM CLARIMEX 500 MG X 2 COMPRIMIDOS 100X85X10 MM (2 COL</t>
  </si>
  <si>
    <t>CAJA MM DUFORAX PLUS X 2 OVULOS (100X85X20) (3 COLORES)</t>
  </si>
  <si>
    <t>CAJA MM FENORAL 200 MG X 2 CAPS. (90X149 MM 2 COLORES)</t>
  </si>
  <si>
    <t>CAJA DE GRISEOVINA 40 MG X 1 CAPS.</t>
  </si>
  <si>
    <t>CAJA MM QUINOSIL 500 MG X 2 COMPRIMIDOS (100X85X10) (2 COLO</t>
  </si>
  <si>
    <t>CAJA MM QUINOSIL 750 MG X 1 COMPRIMIDOS ( 100X85X10) 3 COLO</t>
  </si>
  <si>
    <t>CAJA MM TANIDAX 10 MG X 2 COMP. RECUBIERTOS (9X57X95) 2 COLORE</t>
  </si>
  <si>
    <t>CAJA MM TANIDAX 15 MG X 2 COMP. RECUBIERTOS (9X57X95) 2 COLORE</t>
  </si>
  <si>
    <t>CAJA MM TANIDAX 20 MG X 2 COMP. RECUBIERTOS (9X57X95) 2 COLORE</t>
  </si>
  <si>
    <t>IFA-06557</t>
  </si>
  <si>
    <t>CAJA MM REDUTEM X 30 ML JARABE MM</t>
  </si>
  <si>
    <t>INSTRUCTIVOS</t>
  </si>
  <si>
    <t xml:space="preserve">AMBOS LOTES </t>
  </si>
  <si>
    <t>PARA AMBOS LOTES DE DOLOGRIP</t>
  </si>
  <si>
    <t>POSOLOGIAS</t>
  </si>
  <si>
    <t>TALCO PARA EL PITAÍ</t>
  </si>
  <si>
    <t>FRASCO X 70 G</t>
  </si>
  <si>
    <t>NN-31995/2021</t>
  </si>
  <si>
    <t>CUBRE CAJAS LOTE 70,71,,72,73</t>
  </si>
  <si>
    <t>PARA 4 LOTES 62,63,64,65</t>
  </si>
  <si>
    <t>DIMENHIDRINATO 50 mg</t>
  </si>
  <si>
    <t>NN-50408/2024</t>
  </si>
  <si>
    <t>CUBRE CAJAS</t>
  </si>
  <si>
    <t>ENTREGADO</t>
  </si>
  <si>
    <t>12691</t>
  </si>
  <si>
    <t>FULL COLOR</t>
  </si>
  <si>
    <t>BARNIZAR</t>
  </si>
  <si>
    <t>Entregado</t>
  </si>
  <si>
    <t>CLOTRIMAZOL 100 mg</t>
  </si>
  <si>
    <t>NN-44533/2022</t>
  </si>
  <si>
    <t>CEFTRIAX® 1000</t>
  </si>
  <si>
    <t>CAJA X 1 VIAL + INYECTABLE X 5 ML</t>
  </si>
  <si>
    <t>NN-19859/2024</t>
  </si>
  <si>
    <t>CAJA X 25 VIALES</t>
  </si>
  <si>
    <t xml:space="preserve">DOS LOTES 10 Y 11 </t>
  </si>
  <si>
    <t>CUBRE CAJAS SOLO DE UN LOTE 09</t>
  </si>
  <si>
    <t>CEFTRIAXONA 1000</t>
  </si>
  <si>
    <t>NN-49230/2023</t>
  </si>
  <si>
    <t>CUBRE CAJAS DE LOS 3 LOTES</t>
  </si>
  <si>
    <t>PENICILINA 1200</t>
  </si>
  <si>
    <t>CAJA X 50 VIALES</t>
  </si>
  <si>
    <t>NN-37522/2024</t>
  </si>
  <si>
    <t>5 LOTES 01 AL 05</t>
  </si>
  <si>
    <t>DORMICLON®</t>
  </si>
  <si>
    <t>CAJA X 20 COMPRIMIDOS</t>
  </si>
  <si>
    <t>NN-88121/2023</t>
  </si>
  <si>
    <t>FUROSEMIDA 40 mg</t>
  </si>
  <si>
    <t>Comprimidos</t>
  </si>
  <si>
    <t>Bolivia SENASAG Reg. PUV - N˚ 008543/18</t>
  </si>
  <si>
    <t>NN-40885/2021</t>
  </si>
  <si>
    <t>DICLOFENACO 75 mg</t>
  </si>
  <si>
    <t>NN-31212/2021</t>
  </si>
  <si>
    <t>CAJAS CUBRE</t>
  </si>
  <si>
    <t xml:space="preserve">SULTRIN® FORTE </t>
  </si>
  <si>
    <t xml:space="preserve">SUSPENSIÓN </t>
  </si>
  <si>
    <t>Bolivia SENASAG Reg. PUV - N˚  011084/22</t>
  </si>
  <si>
    <t>AMOXICILINA 250 mg + ACIDO CLAVULANICO 62,5 mg</t>
  </si>
  <si>
    <t>Bolivia SENASAG Reg. PUV - N˚ 010638/22</t>
  </si>
  <si>
    <t>CEFALEXINA 500 mg</t>
  </si>
  <si>
    <t xml:space="preserve">Comprimido Recubierto </t>
  </si>
  <si>
    <t>Bolivia SENASAG Reg. PUV - N˚ 008540/18</t>
  </si>
  <si>
    <t xml:space="preserve">RETINOX® </t>
  </si>
  <si>
    <t>NN-74472/2020</t>
  </si>
  <si>
    <t>INCRETIN® COMPUESTO</t>
  </si>
  <si>
    <t>NN-62680/2022</t>
  </si>
  <si>
    <t>SULFATO FERROSO  200 mg</t>
  </si>
  <si>
    <t>NN-30176/2025</t>
  </si>
  <si>
    <t>DEXAMETASONA 0,5 mg</t>
  </si>
  <si>
    <t>NN-40980/2020</t>
  </si>
  <si>
    <t>ZINC 50 mg</t>
  </si>
  <si>
    <t>NN-74937/2020</t>
  </si>
  <si>
    <t>ZINC 20 mg</t>
  </si>
  <si>
    <t>NN-74927/2025</t>
  </si>
  <si>
    <t>MELOXICAM  15 mg</t>
  </si>
  <si>
    <t>NN-31949/2021</t>
  </si>
  <si>
    <t>FLUOXETINA 20 mg</t>
  </si>
  <si>
    <t>NN-35663/2023</t>
  </si>
  <si>
    <t xml:space="preserve">TRIOBACTER® </t>
  </si>
  <si>
    <t>CAJA X 40 COMP REC 20 CAPSULAS</t>
  </si>
  <si>
    <t>NN-44534/2022</t>
  </si>
  <si>
    <t>0</t>
  </si>
  <si>
    <t>BALMICIN®</t>
  </si>
  <si>
    <t>GOTERO X 20 ML</t>
  </si>
  <si>
    <t>NN-86581/2023</t>
  </si>
  <si>
    <t xml:space="preserve">DIPROFEN® FUERTE </t>
  </si>
  <si>
    <t>NN-28488/2025</t>
  </si>
  <si>
    <t xml:space="preserve">IFATRIM ® </t>
  </si>
  <si>
    <t>NN-17720/2024</t>
  </si>
  <si>
    <t xml:space="preserve">MUCOLITIC® </t>
  </si>
  <si>
    <t>FRASCO X 120 ML</t>
  </si>
  <si>
    <t>NN-51109/2024</t>
  </si>
  <si>
    <t>TUBO X 50 G + 10 APLICADORES</t>
  </si>
  <si>
    <t>DUFORAX® PLUS</t>
  </si>
  <si>
    <t>NN-85702/2023</t>
  </si>
  <si>
    <t>TUBO X 10 G</t>
  </si>
  <si>
    <t>FRASCO PET X 30 ML</t>
  </si>
  <si>
    <t>NN-41974/2021</t>
  </si>
  <si>
    <t>METRONIDAZOL 250 mg</t>
  </si>
  <si>
    <t>NN-36613/2024</t>
  </si>
  <si>
    <t>POLIGYN</t>
  </si>
  <si>
    <t>CAJA X 1 TUBO + 10 APLICADORES</t>
  </si>
  <si>
    <t>NN-33842/2023</t>
  </si>
  <si>
    <t>KALENDA®</t>
  </si>
  <si>
    <t>TUBO X 50 GR + 10 APLI</t>
  </si>
  <si>
    <t>NN-42577/2021</t>
  </si>
  <si>
    <t>DICLOFENACO 75 MG X 25 AMP. SOLUCION INY.</t>
  </si>
  <si>
    <t>SOLUCIÓN INYECTABLE</t>
  </si>
  <si>
    <t>B26106</t>
  </si>
  <si>
    <t>NN-36623</t>
  </si>
  <si>
    <t>12692</t>
  </si>
  <si>
    <t>B26104</t>
  </si>
  <si>
    <t>B26105</t>
  </si>
  <si>
    <t>B26102</t>
  </si>
  <si>
    <t>B26108</t>
  </si>
  <si>
    <t>B26103</t>
  </si>
  <si>
    <t>B26107</t>
  </si>
  <si>
    <t>12693</t>
  </si>
  <si>
    <t>B26109</t>
  </si>
  <si>
    <t>A26113</t>
  </si>
  <si>
    <t>12669</t>
  </si>
  <si>
    <t>12668</t>
  </si>
  <si>
    <t>PENTAFORTE 6.000 X 30 ML POLVO INY. VETERINARIO + DILUYENTE</t>
  </si>
  <si>
    <t>03226</t>
  </si>
  <si>
    <t>011182/23</t>
  </si>
  <si>
    <t>GLUCONATO DE CALCIO 10% X 10 AMP. SOLUCION INY.</t>
  </si>
  <si>
    <t>B26211</t>
  </si>
  <si>
    <t>NN-43771</t>
  </si>
  <si>
    <t>01226</t>
  </si>
  <si>
    <t>A26214</t>
  </si>
  <si>
    <t>CEFAZOLINA 1000 X 1 POLVO INY.</t>
  </si>
  <si>
    <t>A26217</t>
  </si>
  <si>
    <t>NN-48121</t>
  </si>
  <si>
    <t>22601</t>
  </si>
  <si>
    <t>22607</t>
  </si>
  <si>
    <t>22602</t>
  </si>
  <si>
    <t>11226</t>
  </si>
  <si>
    <t>22609</t>
  </si>
  <si>
    <t>22608</t>
  </si>
  <si>
    <t>14226</t>
  </si>
  <si>
    <t>22611</t>
  </si>
  <si>
    <t>B26210</t>
  </si>
  <si>
    <t>A26220</t>
  </si>
  <si>
    <t>13226</t>
  </si>
  <si>
    <t>POLVO GRANULADO</t>
  </si>
  <si>
    <t>22604</t>
  </si>
  <si>
    <t>22610</t>
  </si>
  <si>
    <t>22612</t>
  </si>
  <si>
    <t>NN-20636</t>
  </si>
  <si>
    <t>22615</t>
  </si>
  <si>
    <t>22613</t>
  </si>
  <si>
    <t>NN-24734</t>
  </si>
  <si>
    <t>22614</t>
  </si>
  <si>
    <t>NN-31093</t>
  </si>
  <si>
    <t>22616-1</t>
  </si>
  <si>
    <t>22616-2</t>
  </si>
  <si>
    <t>22616-3</t>
  </si>
  <si>
    <t>09226</t>
  </si>
  <si>
    <t>B26213</t>
  </si>
  <si>
    <t>B26212</t>
  </si>
  <si>
    <t>07226</t>
  </si>
  <si>
    <t>05226</t>
  </si>
  <si>
    <t>A26218</t>
  </si>
  <si>
    <t>A26219</t>
  </si>
  <si>
    <t>A26222</t>
  </si>
  <si>
    <t>A26221</t>
  </si>
  <si>
    <t>A26216</t>
  </si>
  <si>
    <t>B26215</t>
  </si>
  <si>
    <t>B26214</t>
  </si>
  <si>
    <t>A26215</t>
  </si>
  <si>
    <t>22605</t>
  </si>
  <si>
    <t>22620</t>
  </si>
  <si>
    <t>22621</t>
  </si>
  <si>
    <t>22622</t>
  </si>
  <si>
    <t>22618</t>
  </si>
  <si>
    <t>22619</t>
  </si>
  <si>
    <t>22617</t>
  </si>
  <si>
    <t>B26216</t>
  </si>
  <si>
    <t>ENTREGAR</t>
  </si>
  <si>
    <t>CÁPSULA</t>
  </si>
  <si>
    <t>12695</t>
  </si>
  <si>
    <t>12696</t>
  </si>
  <si>
    <t>12694</t>
  </si>
  <si>
    <t>12698</t>
  </si>
  <si>
    <t>22644</t>
  </si>
  <si>
    <t>22641</t>
  </si>
  <si>
    <t>22643</t>
  </si>
  <si>
    <t>CIFLOX F X 2 CAP. DURAS MM</t>
  </si>
  <si>
    <t>22638</t>
  </si>
  <si>
    <t>NN-81252</t>
  </si>
  <si>
    <t>22645</t>
  </si>
  <si>
    <t>22647</t>
  </si>
  <si>
    <t>22646</t>
  </si>
  <si>
    <t>22640</t>
  </si>
  <si>
    <t>CEFIXIMA 400 MG X 100 CAP. DURAS</t>
  </si>
  <si>
    <t>22636</t>
  </si>
  <si>
    <t>NN-60860</t>
  </si>
  <si>
    <t>22637</t>
  </si>
  <si>
    <t>22635</t>
  </si>
  <si>
    <t>CIFLOX F X 10 CAP. DURAS</t>
  </si>
  <si>
    <t>22639</t>
  </si>
  <si>
    <t>22642</t>
  </si>
  <si>
    <t>NARANJA</t>
  </si>
  <si>
    <t>22663</t>
  </si>
  <si>
    <t>22661</t>
  </si>
  <si>
    <t>22655</t>
  </si>
  <si>
    <t>22681</t>
  </si>
  <si>
    <t>22660</t>
  </si>
  <si>
    <t>22676</t>
  </si>
  <si>
    <t>22657</t>
  </si>
  <si>
    <t>22652</t>
  </si>
  <si>
    <t>22650</t>
  </si>
  <si>
    <t>22666</t>
  </si>
  <si>
    <t>NN-64210</t>
  </si>
  <si>
    <t>22653</t>
  </si>
  <si>
    <t>22658</t>
  </si>
  <si>
    <t>22677</t>
  </si>
  <si>
    <t>22659</t>
  </si>
  <si>
    <t>22682</t>
  </si>
  <si>
    <t>22668</t>
  </si>
  <si>
    <t>22649</t>
  </si>
  <si>
    <t>22667</t>
  </si>
  <si>
    <t>22648</t>
  </si>
  <si>
    <t>22673</t>
  </si>
  <si>
    <t>NN-41885</t>
  </si>
  <si>
    <t>GEL</t>
  </si>
  <si>
    <t>22669</t>
  </si>
  <si>
    <t>B26220</t>
  </si>
  <si>
    <t>B26222</t>
  </si>
  <si>
    <t>22670</t>
  </si>
  <si>
    <t>LIQUICAPS MM</t>
  </si>
  <si>
    <t>22680</t>
  </si>
  <si>
    <t>7563-MEE-1022</t>
  </si>
  <si>
    <t>LIQUICAPS</t>
  </si>
  <si>
    <t>22679</t>
  </si>
  <si>
    <t>22683</t>
  </si>
  <si>
    <t>B26221</t>
  </si>
  <si>
    <t>22671</t>
  </si>
  <si>
    <t>22664</t>
  </si>
  <si>
    <t>22672</t>
  </si>
  <si>
    <t>22674</t>
  </si>
  <si>
    <t>22656</t>
  </si>
  <si>
    <t>22654</t>
  </si>
  <si>
    <t>22665</t>
  </si>
  <si>
    <t>22662</t>
  </si>
  <si>
    <t>15226</t>
  </si>
  <si>
    <t>22651</t>
  </si>
  <si>
    <t>GLUCONATO DE CALCIO 10%</t>
  </si>
  <si>
    <t>CAJA X 10 AMPOLLAS</t>
  </si>
  <si>
    <t>NN-43771/2021</t>
  </si>
  <si>
    <t>CUBRE PARA EL PRIMER LOTE 11 Y POSOLOGIAS CUBRE PARA LOS DOS PRIMEROS 11Y12</t>
  </si>
  <si>
    <t>INCRETIN® COMPUESTO FORTE</t>
  </si>
  <si>
    <t>NN-61949/2022</t>
  </si>
  <si>
    <t>AMLODIPINA 10 mg</t>
  </si>
  <si>
    <t>NN-40827/2025</t>
  </si>
  <si>
    <t xml:space="preserve">INCRETIN® </t>
  </si>
  <si>
    <t>NN-63508/2023</t>
  </si>
  <si>
    <t>NIMODIPINO  30 mg</t>
  </si>
  <si>
    <t>NN-26871/2023</t>
  </si>
  <si>
    <t>SOBRE X 4 COMP REC. 2 CAPSULAS</t>
  </si>
  <si>
    <t>ALYSIA ® NF</t>
  </si>
  <si>
    <t>CAJA X 2 OVULOS</t>
  </si>
  <si>
    <t>NN-60302/2021</t>
  </si>
  <si>
    <t>SOBRE X 2 OVULOS</t>
  </si>
  <si>
    <t>NN-45117/2022</t>
  </si>
  <si>
    <t>CLOTRIM® PLUS</t>
  </si>
  <si>
    <t>CAJA X 7 OVULOS</t>
  </si>
  <si>
    <t>NN-60699/2022</t>
  </si>
  <si>
    <t>CAJA X 2 OVULO</t>
  </si>
  <si>
    <t>NN-44591/2022</t>
  </si>
  <si>
    <t>PARACETAMOL  120 mg</t>
  </si>
  <si>
    <t>NN-20636/2021</t>
  </si>
  <si>
    <t>BRONCOFLU®</t>
  </si>
  <si>
    <t>NN-31093/2025</t>
  </si>
  <si>
    <t>BETAMETASONA  0,1 %</t>
  </si>
  <si>
    <t>TUBO X 15 G</t>
  </si>
  <si>
    <t>NN-49486/2023</t>
  </si>
  <si>
    <t xml:space="preserve">CILASTAX® </t>
  </si>
  <si>
    <t>CAJA X 1 VIAL + INYECTABLE X 10 ML</t>
  </si>
  <si>
    <t>NN-56187/2025</t>
  </si>
  <si>
    <t>VANCOMICINA 500 mg</t>
  </si>
  <si>
    <t>CAJA X 1 VIAL</t>
  </si>
  <si>
    <t>NN-46831/2022</t>
  </si>
  <si>
    <t>PENTA FORTE® 6000</t>
  </si>
  <si>
    <t>Polvo Inyectable</t>
  </si>
  <si>
    <t>CAJA X 1 VIAL + DILUYENTE</t>
  </si>
  <si>
    <t>Bolivia SENASAG Reg. PUV - Nº  011182/23</t>
  </si>
  <si>
    <t xml:space="preserve">CUBRE CAJAS </t>
  </si>
  <si>
    <t>ETIQUETAS</t>
  </si>
  <si>
    <t>CAJA X 2 COMPRIMIDOS</t>
  </si>
  <si>
    <t>NN-39401/2026</t>
  </si>
  <si>
    <t>AMIKACINA 500 mg</t>
  </si>
  <si>
    <t>CAJA X 25 AMPOLLAS</t>
  </si>
  <si>
    <t>NN-36500/2024</t>
  </si>
  <si>
    <t>NN-36623/2024</t>
  </si>
  <si>
    <t>CUBRE CAJAS, FALTA POSOLOGIAS, 4 LOTES 04 AL 07</t>
  </si>
  <si>
    <t>AMOXICILINA 250 mg + ÁCIDO CLAVULÁNICO 62,5 mg</t>
  </si>
  <si>
    <t>NN-47689/2023</t>
  </si>
  <si>
    <t>SUPLEMENTO DIETARIO A BASE DE ACEITE DE PRÍMULA Y VITAMINA E (SANNITA®)</t>
  </si>
  <si>
    <t>CAJA X 30 CAP BLANDAS</t>
  </si>
  <si>
    <t>08-01-03-24-0001</t>
  </si>
  <si>
    <t>IFALIFE</t>
  </si>
  <si>
    <t>Código de almacén</t>
  </si>
  <si>
    <t>En Pedido</t>
  </si>
  <si>
    <t>En Solicitud</t>
  </si>
  <si>
    <t>190-14</t>
  </si>
  <si>
    <t>POSOLOGIA DIPROFEN CAPSULAS BLANDAS Y SUSPENSION</t>
  </si>
  <si>
    <t>TROQ 77</t>
  </si>
  <si>
    <t>77X33X33</t>
  </si>
  <si>
    <t>86X35X35</t>
  </si>
  <si>
    <t>TROQUELAR</t>
  </si>
  <si>
    <t>A26223</t>
  </si>
  <si>
    <t>CESTODEN® 400 mg</t>
  </si>
  <si>
    <t>BLISTER X 3 COMP</t>
  </si>
  <si>
    <t>NN-43579/2022</t>
  </si>
  <si>
    <t xml:space="preserve"> - OTROS -</t>
  </si>
  <si>
    <t>TARJETITAS ( EN LA ORDEN PIDEN 5500)</t>
  </si>
  <si>
    <t>PREDNISONA 20 mg</t>
  </si>
  <si>
    <t>NN-41416/2021</t>
  </si>
  <si>
    <t>GENTAMICINA 80 mg</t>
  </si>
  <si>
    <t>NN-36492/2024</t>
  </si>
  <si>
    <t>DEXAMETASONA 4 mg</t>
  </si>
  <si>
    <t>NN-36501/2024</t>
  </si>
  <si>
    <t>CAJAS YA CONTEMPLADAS PARA OTRO LOTE</t>
  </si>
  <si>
    <t>IBUPROFENO  600 mg</t>
  </si>
  <si>
    <t>NN-21330/2021</t>
  </si>
  <si>
    <t>PIRANTEL  250 mg</t>
  </si>
  <si>
    <t>CAJA X 6 COMP</t>
  </si>
  <si>
    <t>NN-28084/2024</t>
  </si>
  <si>
    <t xml:space="preserve">DICLOXACILINA 250 mg </t>
  </si>
  <si>
    <t>NN-41885/2021</t>
  </si>
  <si>
    <t>VITAVE  AVIAR</t>
  </si>
  <si>
    <t>Polvo Soluble</t>
  </si>
  <si>
    <t>FRASCO X 100 G</t>
  </si>
  <si>
    <t xml:space="preserve">Bolivia SENASAG Reg. PUV - Nº 002913/08
</t>
  </si>
  <si>
    <t>SOLO CUBRE PARA EL LOTE 16226</t>
  </si>
  <si>
    <t>DICLOFENACO 50 mg</t>
  </si>
  <si>
    <t>DISPENSER X 500 COMP</t>
  </si>
  <si>
    <t>NN-26221/2023</t>
  </si>
  <si>
    <t>COTRIMOXAZOL 400/80 mg</t>
  </si>
  <si>
    <t>NN-31561/2020</t>
  </si>
  <si>
    <t>AMIODARONA  200 mg</t>
  </si>
  <si>
    <t>NN-23383/2022</t>
  </si>
  <si>
    <t>HONGO-VET ®</t>
  </si>
  <si>
    <t xml:space="preserve">Locion </t>
  </si>
  <si>
    <t>Bolivia SENASAG Reg. PUV - Nº 011180/23</t>
  </si>
  <si>
    <t>CEFALEXINA 250 mg</t>
  </si>
  <si>
    <t>NN-29156/2024</t>
  </si>
  <si>
    <t>COMPLEJO B</t>
  </si>
  <si>
    <t>NN-36574/2024</t>
  </si>
  <si>
    <t>TANIDAX® 20 mg</t>
  </si>
  <si>
    <t>CAJA X 21 COMPRIMIDOS</t>
  </si>
  <si>
    <t>NN-74928/2025</t>
  </si>
  <si>
    <t>CARBAMAZEPINA  200 mg</t>
  </si>
  <si>
    <t>NN-26218/2025</t>
  </si>
  <si>
    <t>TANIDAX® 15 mg</t>
  </si>
  <si>
    <t>NN-75463/2025</t>
  </si>
  <si>
    <t>CAJA X 3 COMPRIMIDOS</t>
  </si>
  <si>
    <t xml:space="preserve">DOLOGRIP® </t>
  </si>
  <si>
    <t>GOTERO X 15 ML</t>
  </si>
  <si>
    <t>NN-42018/2021</t>
  </si>
  <si>
    <t>CAJA X 10  OVULOS</t>
  </si>
  <si>
    <t>NN-44398/2021</t>
  </si>
  <si>
    <t>ZITROMIN® 500 mg</t>
  </si>
  <si>
    <t>NN-60745/2022</t>
  </si>
  <si>
    <t>FLAMADIN®</t>
  </si>
  <si>
    <t>LOPERAMIDA  2 mg</t>
  </si>
  <si>
    <t>NN-30019/2024</t>
  </si>
  <si>
    <t>CIFLOX® 500 mg</t>
  </si>
  <si>
    <t>NN-19158/2025</t>
  </si>
  <si>
    <t xml:space="preserve">REDUTEM ® </t>
  </si>
  <si>
    <t>NN-64210/2023</t>
  </si>
  <si>
    <t>LOSARTAN 50 mg</t>
  </si>
  <si>
    <t>NN-43279/2021</t>
  </si>
  <si>
    <t>AMBROXOL  15 mg</t>
  </si>
  <si>
    <t>NN-30278/2025</t>
  </si>
  <si>
    <t>DICLOFENACO 1%</t>
  </si>
  <si>
    <t>TUBO X 30 G</t>
  </si>
  <si>
    <t>NN-44207/2022</t>
  </si>
  <si>
    <t>TRIBENZOL 100 mg</t>
  </si>
  <si>
    <t>NN-35776/2025</t>
  </si>
  <si>
    <t>IBUPROFENO  200 mg</t>
  </si>
  <si>
    <t>NN-44624/2022</t>
  </si>
  <si>
    <t>ENALAPRIL MALEATO 10 mg</t>
  </si>
  <si>
    <t>NN-26219/2023</t>
  </si>
  <si>
    <t xml:space="preserve">FLAMACOX® </t>
  </si>
  <si>
    <t>CAJA X 30 CAPSULAS BLANDAS</t>
  </si>
  <si>
    <t>NN-45641/2022</t>
  </si>
  <si>
    <t>CIFLOX® F</t>
  </si>
  <si>
    <t>NN-81252/2022</t>
  </si>
  <si>
    <t>FLAMADIN® B12</t>
  </si>
  <si>
    <t>CAJA X 3 AMPOLLAS</t>
  </si>
  <si>
    <t>NN-46856/2023</t>
  </si>
  <si>
    <t>SARNOL®</t>
  </si>
  <si>
    <t>Shampoo</t>
  </si>
  <si>
    <t>FRASCO X 250 ML</t>
  </si>
  <si>
    <t>Bolivia SENASAG Reg. PUV - Nº  011183/23</t>
  </si>
  <si>
    <t>A-NIMAL</t>
  </si>
  <si>
    <t>Bolivia SENASAG Reg. PUV - Nº 011170/23</t>
  </si>
  <si>
    <t>CEFIXIMA 400 mg</t>
  </si>
  <si>
    <t>CAJA X100 CAPSULAS</t>
  </si>
  <si>
    <t>NN-60860/2021</t>
  </si>
  <si>
    <t>CEFAZOLINA 1000</t>
  </si>
  <si>
    <t>NN-48121/2023</t>
  </si>
  <si>
    <t xml:space="preserve">IFAMICIN </t>
  </si>
  <si>
    <t>SOLUCION INYECTABLE</t>
  </si>
  <si>
    <t>Bolivia SENASAG Reg. PUV - N˚ 011119/22</t>
  </si>
  <si>
    <t>TAMIFEN®</t>
  </si>
  <si>
    <t>DISPENSER X 50 SOBRES</t>
  </si>
  <si>
    <t>BROXILIN® DUO FUERTE</t>
  </si>
  <si>
    <t>FRASCO X 70 ML</t>
  </si>
  <si>
    <t>NN-40951/2020</t>
  </si>
  <si>
    <t>TUSSINOL®</t>
  </si>
  <si>
    <t>NN-24734/2023</t>
  </si>
  <si>
    <t>CAJA X 100 CAPSULAS</t>
  </si>
  <si>
    <t>SOBRE X 2 CAPSULAS BLANDAS</t>
  </si>
  <si>
    <t>HISTADRYN® NF</t>
  </si>
  <si>
    <t>NN-84952/2023</t>
  </si>
  <si>
    <t>CAJA X 2 CAPSULAS</t>
  </si>
  <si>
    <t>FORM. PRODUCTO PARA SALA DE ACABADO</t>
  </si>
  <si>
    <t>MUESTRA PARA CONTROL</t>
  </si>
  <si>
    <t>DICLOXACILINA 500 mg</t>
  </si>
  <si>
    <t>NN-41710/2021</t>
  </si>
  <si>
    <t>ORDEN ANULADA</t>
  </si>
  <si>
    <t>N</t>
  </si>
  <si>
    <t>PEGAR</t>
  </si>
  <si>
    <t>22688</t>
  </si>
  <si>
    <t>22685</t>
  </si>
  <si>
    <t>18226</t>
  </si>
  <si>
    <t>22684</t>
  </si>
  <si>
    <t>COMPRIMIDO BIRRANURADO</t>
  </si>
  <si>
    <t>22687</t>
  </si>
  <si>
    <t>22686</t>
  </si>
  <si>
    <t>22689</t>
  </si>
  <si>
    <t>22690</t>
  </si>
  <si>
    <t>22695</t>
  </si>
  <si>
    <t>TERRACOLIN 200 MG X 100 COMP. RECUBIERTO</t>
  </si>
  <si>
    <t>22693</t>
  </si>
  <si>
    <t>NN-23381</t>
  </si>
  <si>
    <t>22691</t>
  </si>
  <si>
    <t>22692</t>
  </si>
  <si>
    <t>22694</t>
  </si>
  <si>
    <t>DOLOGRIP® NOCHE</t>
  </si>
  <si>
    <t>DISPENSER X 50 CAPS</t>
  </si>
  <si>
    <t>NN-55577/2020</t>
  </si>
  <si>
    <t xml:space="preserve">ANTIGRIPAL  </t>
  </si>
  <si>
    <t>NN-58722/2021</t>
  </si>
  <si>
    <t>NN-26080/2023</t>
  </si>
  <si>
    <t>TERRACOLIN® 200 mg</t>
  </si>
  <si>
    <t>DISPENSER X 100 COMP</t>
  </si>
  <si>
    <t>NN-23381/2022</t>
  </si>
  <si>
    <t>HIPECORT® 30 mg</t>
  </si>
  <si>
    <t>NN-85067/2023</t>
  </si>
  <si>
    <t>REMASOL®</t>
  </si>
  <si>
    <t>CEFALEXINA  500 mg</t>
  </si>
  <si>
    <t>NN-24364/2022</t>
  </si>
  <si>
    <t xml:space="preserve">INDOMETACINA  25 mg </t>
  </si>
  <si>
    <t>NN-21331/2021</t>
  </si>
  <si>
    <t>CLORFENAMINA 2 mg</t>
  </si>
  <si>
    <t>NN-23361/2022</t>
  </si>
  <si>
    <t>CAJA X 1 VIAL + INY X 10 ML</t>
  </si>
  <si>
    <t>ETIQUETA IDENTIFICACION DE ENVASE PRIMARIO</t>
  </si>
  <si>
    <t>NN-71983/2026</t>
  </si>
  <si>
    <t>SOBRANTE RS ANTIGUO</t>
  </si>
  <si>
    <t>22698</t>
  </si>
  <si>
    <t>22696</t>
  </si>
  <si>
    <t>POST</t>
  </si>
  <si>
    <t>SOBRE</t>
  </si>
  <si>
    <t>TUSSINOL X 30 ML JARABE MM</t>
  </si>
  <si>
    <t>32605</t>
  </si>
  <si>
    <t>05326</t>
  </si>
  <si>
    <t>04326</t>
  </si>
  <si>
    <t>IVERMECTINA X 1 VIAL SOLUCION INY. VETERINARIO</t>
  </si>
  <si>
    <t>02326</t>
  </si>
  <si>
    <t>011941/24</t>
  </si>
  <si>
    <t>32604</t>
  </si>
  <si>
    <t>32602</t>
  </si>
  <si>
    <t>03326</t>
  </si>
  <si>
    <t>32601</t>
  </si>
  <si>
    <t>DOMPERIDONA 10 MG X 20 ML GOTAS</t>
  </si>
  <si>
    <t>32606</t>
  </si>
  <si>
    <t>NN-30706</t>
  </si>
  <si>
    <t>32603</t>
  </si>
  <si>
    <t>01326</t>
  </si>
  <si>
    <t>MARZO</t>
  </si>
  <si>
    <t>AFUNGIL X 12 CAP. DURAS</t>
  </si>
  <si>
    <t>32610</t>
  </si>
  <si>
    <t>NN-46596</t>
  </si>
  <si>
    <t>32617</t>
  </si>
  <si>
    <t>TRICOBIC 1 G X 2 COMP. RECUBIERTO</t>
  </si>
  <si>
    <t>32619</t>
  </si>
  <si>
    <t>NN-20466</t>
  </si>
  <si>
    <t>LIDERMAN X 20 CAP. BLANDAS</t>
  </si>
  <si>
    <t>32612</t>
  </si>
  <si>
    <t>NN-81023</t>
  </si>
  <si>
    <t>LIDERMAN X 1 CAP. BLANDAS MM</t>
  </si>
  <si>
    <t>32613</t>
  </si>
  <si>
    <t>32620</t>
  </si>
  <si>
    <t>32618</t>
  </si>
  <si>
    <t>B26324</t>
  </si>
  <si>
    <t>32615</t>
  </si>
  <si>
    <t>32611</t>
  </si>
  <si>
    <t>B26327</t>
  </si>
  <si>
    <t>B26326</t>
  </si>
  <si>
    <t>32608</t>
  </si>
  <si>
    <t>B26325</t>
  </si>
  <si>
    <t>32607</t>
  </si>
  <si>
    <t>32621</t>
  </si>
  <si>
    <t>AFUNGIL X 2 CAP. DURAS MM</t>
  </si>
  <si>
    <t>32609</t>
  </si>
  <si>
    <t>32614</t>
  </si>
  <si>
    <t>32616</t>
  </si>
  <si>
    <t>ANULAR</t>
  </si>
  <si>
    <t>32634</t>
  </si>
  <si>
    <t>FLAMADIN PLUS X 200 CAP. BLANDAS</t>
  </si>
  <si>
    <t>32640</t>
  </si>
  <si>
    <t>NN-50864</t>
  </si>
  <si>
    <t>32639</t>
  </si>
  <si>
    <t>DOLOGRIP INFANTIL X 30 ML JARABE MM</t>
  </si>
  <si>
    <t>32643</t>
  </si>
  <si>
    <t>32629</t>
  </si>
  <si>
    <t>32625</t>
  </si>
  <si>
    <t>32657</t>
  </si>
  <si>
    <t>32662</t>
  </si>
  <si>
    <t>PARACETAMOL 100 MG X 15 ML GOTAS</t>
  </si>
  <si>
    <t>32637</t>
  </si>
  <si>
    <t>NN-20637</t>
  </si>
  <si>
    <t>32622</t>
  </si>
  <si>
    <t>MULTIGYN X 10 G CREMA VAGINAL MM</t>
  </si>
  <si>
    <t>32635</t>
  </si>
  <si>
    <t>NN-31520</t>
  </si>
  <si>
    <t>32636</t>
  </si>
  <si>
    <t>32648</t>
  </si>
  <si>
    <t>32647</t>
  </si>
  <si>
    <t>32649</t>
  </si>
  <si>
    <t>32624</t>
  </si>
  <si>
    <t>32650</t>
  </si>
  <si>
    <t>32632</t>
  </si>
  <si>
    <t>32633</t>
  </si>
  <si>
    <t>32656</t>
  </si>
  <si>
    <t>32651</t>
  </si>
  <si>
    <t>32666</t>
  </si>
  <si>
    <t>32665</t>
  </si>
  <si>
    <t>32663</t>
  </si>
  <si>
    <t>32664</t>
  </si>
  <si>
    <t>32667</t>
  </si>
  <si>
    <t>32628</t>
  </si>
  <si>
    <t>32641</t>
  </si>
  <si>
    <t>32638</t>
  </si>
  <si>
    <t>32659</t>
  </si>
  <si>
    <t>32652</t>
  </si>
  <si>
    <t>32658</t>
  </si>
  <si>
    <t>32653</t>
  </si>
  <si>
    <t>32654</t>
  </si>
  <si>
    <t>32661</t>
  </si>
  <si>
    <t>32642</t>
  </si>
  <si>
    <t>32660</t>
  </si>
  <si>
    <t>32646</t>
  </si>
  <si>
    <t>32645</t>
  </si>
  <si>
    <t>32644</t>
  </si>
  <si>
    <t>32673</t>
  </si>
  <si>
    <t>32670</t>
  </si>
  <si>
    <t>32655</t>
  </si>
  <si>
    <t>32672</t>
  </si>
  <si>
    <t>32627</t>
  </si>
  <si>
    <t>32668</t>
  </si>
  <si>
    <t>32669</t>
  </si>
  <si>
    <t>32623</t>
  </si>
  <si>
    <t>32630</t>
  </si>
  <si>
    <t>32671</t>
  </si>
  <si>
    <t>32631</t>
  </si>
  <si>
    <t>IFA-00635</t>
  </si>
  <si>
    <t>ETIQUETA AGUA ANESTESICA 1 % (47X33), FONDO TRANSPARENTE</t>
  </si>
  <si>
    <t>IFA-00637</t>
  </si>
  <si>
    <t>ETIQUETA AGUA INYECTABLE 5 ML (47X33), FONDO TRANSPARENTE</t>
  </si>
  <si>
    <t>IFA-00638</t>
  </si>
  <si>
    <t>ETIQUETA AGUA INYECTABLE 10 ML (57X35), FONDO TRANSPARENTE</t>
  </si>
  <si>
    <t>IFA-00639</t>
  </si>
  <si>
    <t>ETIQUETA ALCOHOL EN GEL 250 ML NEUTRO (PG)</t>
  </si>
  <si>
    <t>IFA-00640</t>
  </si>
  <si>
    <t>ETIQUETA AMIKACINA 500 MG (35X30), FONDO BLANCO</t>
  </si>
  <si>
    <t>IFA-00641</t>
  </si>
  <si>
    <t>ETIQUETA AMOXICILINA 1 GR VIALES (PG) ( 80 X 24 MM)</t>
  </si>
  <si>
    <t>IFA-00643</t>
  </si>
  <si>
    <t>ETIQUETA ANIMAL SHAMPOO X 250 ML LAVANDA VET</t>
  </si>
  <si>
    <t>IFA-00644</t>
  </si>
  <si>
    <t>ETIQUETA BRONCOFLU JBE. X 100 ML (LP) 119 X 40 MM. (6 COLO</t>
  </si>
  <si>
    <t>IFA-00645</t>
  </si>
  <si>
    <t>ETIQUETA BRONCOFLU JARABE 81 X 36 MM.</t>
  </si>
  <si>
    <t>IFA-00647</t>
  </si>
  <si>
    <t>ETIQUETA BROXILIN DUO DILUYENTE 81 X 36 MM.(4 COLORES)</t>
  </si>
  <si>
    <t>IFA-00648</t>
  </si>
  <si>
    <t>ETIQUETA BROXILIN DUO FUERTE DILUYENTE 81 X 36 MM.</t>
  </si>
  <si>
    <t>IFA-00649</t>
  </si>
  <si>
    <t>ETIQUETA BROXILIN DUO FUERTE SUSPENSION 81 X 36 MM.</t>
  </si>
  <si>
    <t>IFA-00650</t>
  </si>
  <si>
    <t>ETIQUETA BROXILIN DUO LP FUERTE DILUYENTE 81 X 36 MM.(4 CO</t>
  </si>
  <si>
    <t>IFA-00651</t>
  </si>
  <si>
    <t>ETIQUETA BROXILIN DUO LP FUERTE SUSP POLVO 119 X 40 MM.(6</t>
  </si>
  <si>
    <t>IFA-00652</t>
  </si>
  <si>
    <t>ETIQUETA BROXILIN DUO POLVO PARA SUSP. 119 X 40 MM. (6 COLORES)</t>
  </si>
  <si>
    <t>IFA-00654</t>
  </si>
  <si>
    <t>ETIQUETA CEFABIOTIC 100 MG DILUYENTE 81 X 36 MM (4 COLORES)</t>
  </si>
  <si>
    <t>IFA-00655</t>
  </si>
  <si>
    <t>ETIQUETA CEFABIOTIC 100 MG FCO X 100 ML SUSP. POLVO (6 COLORES 119 X</t>
  </si>
  <si>
    <t>IFA-00656</t>
  </si>
  <si>
    <t>ETIQUETA CEFABIOTIC 100 MG X 11 ML DIL. 81 X 36 MM.</t>
  </si>
  <si>
    <t>IFA-00657</t>
  </si>
  <si>
    <t>ETIQUETA CEFABIOTIC 100 MG X 15 ML SUSP. 81 X 36 MM.</t>
  </si>
  <si>
    <t>IFA-00658</t>
  </si>
  <si>
    <t>ETIQUETA CEFABIOTIC 100 MG X 50 ML DIL. 81 X 36 MM.(4 COLORES)</t>
  </si>
  <si>
    <t>IFA-00659</t>
  </si>
  <si>
    <t>ETIQUETA CEFABIOTIC 100 MG X 50 ML SUSP. 119 X 40 MM.(6 COLORES)</t>
  </si>
  <si>
    <t>IFA-00660</t>
  </si>
  <si>
    <t>ETIQUETA CEFABIOTIC 200 MG LP DILUYENTE X 20 ML (4 COLORES</t>
  </si>
  <si>
    <t>IFA-00661</t>
  </si>
  <si>
    <t>ETIQUETA CEFABIOTIC 200 MG LP DILUYENTE X 50 ML (4 COLORES</t>
  </si>
  <si>
    <t>IFA-00662</t>
  </si>
  <si>
    <t>ETIQUETA CEFABIOTIC 200 MG LP SUSP. POLVO X 20 ML (6 COLOR</t>
  </si>
  <si>
    <t>IFA-00663</t>
  </si>
  <si>
    <t>ETIQUETA CEFABIOTIC 200 MG LP SUSP. POLVO X 50 ML (6 COLOR</t>
  </si>
  <si>
    <t>IFA-00664</t>
  </si>
  <si>
    <t>ETIQUETA CEFAZOLINA 1 GR VIALES (PG) (80 X 24 MM )</t>
  </si>
  <si>
    <t>IFA-00665</t>
  </si>
  <si>
    <t>ETIQUETA CEFOTAXIMA 1 GR VIALES (PG) (80 X 24)</t>
  </si>
  <si>
    <t>IFA-00666</t>
  </si>
  <si>
    <t>ETIQUETA CEFTRIAX 1 GR VIALES ( 80 X 24 MM)</t>
  </si>
  <si>
    <t>IFA-00667</t>
  </si>
  <si>
    <t>ETIQUETA CEFTRIAX 1 GR VIALES I.V. INTRAVENOSO ( 80 X 24 ) MM</t>
  </si>
  <si>
    <t>IFA-00668</t>
  </si>
  <si>
    <t>ETIQUETA CEFTRIAXONA 1 GR VIALES (PG) ( 80 X 24 MM)</t>
  </si>
  <si>
    <t>IFA-00669</t>
  </si>
  <si>
    <t>ETIQUETA CESTODEN 400MG SUSPENSION 75 X 25 MM (6 COLORES)</t>
  </si>
  <si>
    <t>IFA-00670</t>
  </si>
  <si>
    <t>ETIQUETA CESTODEN LP 400 MG X 10 ML 75 X 25 MM.(6 COLORES)</t>
  </si>
  <si>
    <t>IFA-00671</t>
  </si>
  <si>
    <t>ETIQUETA CILASTAX (88X35), 5 COLORES FONDO TRANSPARENTE</t>
  </si>
  <si>
    <t>IFA-00672</t>
  </si>
  <si>
    <t>ETIQUETA CLARIMEX 250MG DILUYENTE 81 X 36 MM.(6 COLORES)</t>
  </si>
  <si>
    <t>IFA-00673</t>
  </si>
  <si>
    <t>ETIQUETA CLARIMEX 250MG SUSPENSION 81 X 36 MM.(6 COLORES)</t>
  </si>
  <si>
    <t>IFA-00676</t>
  </si>
  <si>
    <t>ETIQUETA CLORURO DE POTASIO 20 % (57X35), FONDO TRANSPARENTE</t>
  </si>
  <si>
    <t>IFA-00677</t>
  </si>
  <si>
    <t>ETIQUETA CLOXIN 1000 (80X24), 5 COLORES FONDO TRANSPARENTE</t>
  </si>
  <si>
    <t>IFA-00678</t>
  </si>
  <si>
    <t>ETIQUETA CLOXIN 500 (80X24), 5 COLORES FONDO TRANSPARENTE</t>
  </si>
  <si>
    <t>IFA-00679</t>
  </si>
  <si>
    <t>ETIQUETA DEXAMETASONA 4 MG (35X30), FONDO BLANCO</t>
  </si>
  <si>
    <t>IFA-00680</t>
  </si>
  <si>
    <t>ETIQUETA DEXAMETASONA 8 MG (35X30), FONDO BLANCO</t>
  </si>
  <si>
    <t>IFA-00681</t>
  </si>
  <si>
    <t>ETIQUETA DICLOFENACO 75 MG (47X33), FONDO BLANCO</t>
  </si>
  <si>
    <t>IFA-00686</t>
  </si>
  <si>
    <t>ETIQUETA DIPROFEN 100MG SUSPNSION 81 X 36 MM.(6 COLORES)</t>
  </si>
  <si>
    <t>IFA-00687</t>
  </si>
  <si>
    <t>ETIQUETA DIPROFEN FLU FUERTE SUSPENSION 81 X 36 MM. (6 COLORES)</t>
  </si>
  <si>
    <t>IFA-00688</t>
  </si>
  <si>
    <t>ETIQUETA DIPROFEN FLU LP FUERTE X 100 ML. 119 X 40 MM.(6 COLORES)</t>
  </si>
  <si>
    <t>IFA-00690</t>
  </si>
  <si>
    <t>ETIQUETA DIPROFEN FUERTE SUSP ( LP ) 119 X 40 MM.(6 COLORES)</t>
  </si>
  <si>
    <t>IFA-00691</t>
  </si>
  <si>
    <t>ETIQUETA DIPROFEN FUERTE SUSPENSION 81 X 36 MM.(6 COLORES)</t>
  </si>
  <si>
    <t>IFA-00692</t>
  </si>
  <si>
    <t>ETIQUETA DIPROFEN LP FLU SUSP. X 100 ML 119 X 40 MM.(6 COLORES)</t>
  </si>
  <si>
    <t>IFA-00693</t>
  </si>
  <si>
    <t>ETIQUETA DIPROFEN LP SUSP. X 100 ML 119 X 40 MM.(6 COLORES)</t>
  </si>
  <si>
    <t>IFA-00694</t>
  </si>
  <si>
    <t>ETIQUETA DOLOGRIP GOTAS 75 X 25 MM.(6 COLORES)</t>
  </si>
  <si>
    <t>IFA-00695</t>
  </si>
  <si>
    <t>ETIQUETA DOLOGRIP INFANTIL JARABE 81 X 36 MM.(6 COLORES)</t>
  </si>
  <si>
    <t>IFA-00696</t>
  </si>
  <si>
    <t>ETIQUETA DOLOGRIP INFANTIL JBE ( L P ) 119 X 40 MM.(6 COLORES)</t>
  </si>
  <si>
    <t>IFA-00698</t>
  </si>
  <si>
    <t>ETIQUETA DONTOFLAMON SUSP (LP) 119 X 40 MM.(6 COLORES)</t>
  </si>
  <si>
    <t>IFA-00699</t>
  </si>
  <si>
    <t>ETIQUETA DONTOFLAMON SUSPENSION 81 X 36 MM.(6 COLORES)</t>
  </si>
  <si>
    <t>IFA-00702</t>
  </si>
  <si>
    <t>ETIQUETA MM FENORAL (35X30), FONDO TRANSPARENTE</t>
  </si>
  <si>
    <t>IFA-00703</t>
  </si>
  <si>
    <t>ETIQUETA FENORAL (35X30), FONDO TRANSPARENTE</t>
  </si>
  <si>
    <t>IFA-00706</t>
  </si>
  <si>
    <t>ETIQUETA MM FLAMADIN B12 (47X33), FONDO TRANSPARENTE</t>
  </si>
  <si>
    <t>IFA-00707</t>
  </si>
  <si>
    <t>ETIQUETA FLAMADIN B12 (47X33), FONDO TRANSPARENTE</t>
  </si>
  <si>
    <t>IFA-00708</t>
  </si>
  <si>
    <t>ETIQUETA MM FLAMADIN B12 FORTE (47X33), FONDO TRANSPARENTE</t>
  </si>
  <si>
    <t>IFA-00709</t>
  </si>
  <si>
    <t>ETIQUETA FLAMADIN B12 FORTE (47X33), FONDO TRANSPARENTE</t>
  </si>
  <si>
    <t>IFA-00711</t>
  </si>
  <si>
    <t>ETIQUETA GENTAMICINA 80 MG (35X30), FONDO BLANCO</t>
  </si>
  <si>
    <t>IFA-00712</t>
  </si>
  <si>
    <t>ETIQUETA GLUCONATO DE CALCIO 10 % (57X35), FONDO BLANCO</t>
  </si>
  <si>
    <t>IFA-00715</t>
  </si>
  <si>
    <t>ETIQUETA IFAMET 125 MG SUSP ( L P )119 X 40 MM.(6 COLORES)</t>
  </si>
  <si>
    <t>IFA-00716</t>
  </si>
  <si>
    <t>ETIQUETA IFAMET 250 MG SUSP ( L P) 119 X 40 MM.(6 COLORES)</t>
  </si>
  <si>
    <t>IFA-00717</t>
  </si>
  <si>
    <t>ETIQUETA IFAMET 250MG SUSPENSION 81 X 36 MM.(6 COLORES)</t>
  </si>
  <si>
    <t>IFA-00721</t>
  </si>
  <si>
    <t>ETIQUETA IFATRIM FUERTE SUSP (LP) 119 X 40 MM.(6 COLORES)</t>
  </si>
  <si>
    <t>IFA-00723</t>
  </si>
  <si>
    <t>ETIQUETA IFATRIM LP 200/40MG SUSPENSION X 60 ML. 119 X 40 MM.(6 COLOR</t>
  </si>
  <si>
    <t>IFA-00724</t>
  </si>
  <si>
    <t>ETIQUETA IFOTAXIMA 1000 ( 80X24 ) MM 5 COLORES, FONDO TRANSPARENTE</t>
  </si>
  <si>
    <t>IFA-00725</t>
  </si>
  <si>
    <t>ETIQUETA IFOTAXIMA 1000 (80X24), 5 COLORES FONDO TRANSPARENTE</t>
  </si>
  <si>
    <t>IFA-00726</t>
  </si>
  <si>
    <t>ETIQUETA KETOROLACO 30 MG (35X30), FONDO BLANCO</t>
  </si>
  <si>
    <t>IFA-00728</t>
  </si>
  <si>
    <t>ETIQUETA LIDOCAINA 2 % (88X35), FONDO BLANCO</t>
  </si>
  <si>
    <t>IFA-00729</t>
  </si>
  <si>
    <t>ETIQUETA METAMIZOL 1 G (35X30), FONDO BLANCO</t>
  </si>
  <si>
    <t>IFA-00730</t>
  </si>
  <si>
    <t>ETIQUETA METOCLOPRAMIDA 10 MG (35X30), FONDO BLANCO</t>
  </si>
  <si>
    <t>IFA-00731</t>
  </si>
  <si>
    <t>ETIQUETA MUCOLITIC 35 MG JBE DE 120 ML (119 X 40 MM 6 COLORES)</t>
  </si>
  <si>
    <t>IFA-00732</t>
  </si>
  <si>
    <t>ETIQUETA MUCOLITIC 36.5 MG JBE DE 30 ML (81 X 36 MM 6 COLORES)</t>
  </si>
  <si>
    <t>IFA-00733</t>
  </si>
  <si>
    <t>ETIQUETA OMEGA 1000 MG X 90 CAPSULAS ESPAÑOL</t>
  </si>
  <si>
    <t>IFA-00735</t>
  </si>
  <si>
    <t>ETIQUETA PENICILINA 1.200 (PG) VIALES ( 80 X 24 MM)</t>
  </si>
  <si>
    <t>IFA-00736</t>
  </si>
  <si>
    <t>ETIQUETA PENICILINA 2.400 (PG) VIALES ( 80 X 24 MM)</t>
  </si>
  <si>
    <t>IFA-00737</t>
  </si>
  <si>
    <t>ETIQUETA PROCAINICA 400 (PG) VIALES (80 X 24 MM )</t>
  </si>
  <si>
    <t>IFA-00738</t>
  </si>
  <si>
    <t>ETIQUETA PROCAINICA 800 (PG) VIALES (80 X 24 MM )</t>
  </si>
  <si>
    <t>IFA-00739</t>
  </si>
  <si>
    <t>ETIQUETA RANITIDINA 50 MG (47X33), 4 COLORES, FONDO BLANCO</t>
  </si>
  <si>
    <t>IFA-00741</t>
  </si>
  <si>
    <t>ETIQUETA REDUTEM 500 MG GOTAS (LP) X 20 ML 75X35 MM (6 COLORES)</t>
  </si>
  <si>
    <t>IFA-00742</t>
  </si>
  <si>
    <t>ETIQUETA REZITRO 30 (35X30), FONDO TRANSPARENTE</t>
  </si>
  <si>
    <t>IFA-00743</t>
  </si>
  <si>
    <t>ETIQUETA MM REZITRO 30 (35X30), FONDO TRANSPARENTE</t>
  </si>
  <si>
    <t>IFA-00744</t>
  </si>
  <si>
    <t>ETIQUETA REZITRO 60 (35X30), FONDO TRANSPARENTE</t>
  </si>
  <si>
    <t>IFA-00745</t>
  </si>
  <si>
    <t>ETIQUETA MM REZITRO 60 (35X30), FONDO TRANSPARENTE</t>
  </si>
  <si>
    <t>IFA-00746</t>
  </si>
  <si>
    <t>ETIQUETA SHAMPOO SARNOL AROMA LIMON X 250 ML VET</t>
  </si>
  <si>
    <t>IFA-00747</t>
  </si>
  <si>
    <t>ETIQUETA SPIRULINA 500 MG X 120 CAPSULAS (200 MM X 66 MM) 4 COLORES</t>
  </si>
  <si>
    <t>IFA-00748</t>
  </si>
  <si>
    <t>ETIQUETA TERAPIROL (47X33), 4 COLORES, FONDO BLANCO</t>
  </si>
  <si>
    <t>IFA-00749</t>
  </si>
  <si>
    <t>ETIQUETA TERMO DIPROFEN SUSPENSION 81 X 36 MM.(6 COLORES)</t>
  </si>
  <si>
    <t>IFA-00750</t>
  </si>
  <si>
    <t>ETIQUETA TERMO-DIPROFEN LP SUSP. X 100ML 119 X 40 MM.(6 CO</t>
  </si>
  <si>
    <t>IFA-00751</t>
  </si>
  <si>
    <t>ETIQUETA TERRACOLIN LP SUSP. X 30 ML. 81 X 36 MM.(6 COLORES)</t>
  </si>
  <si>
    <t>IFA-00752</t>
  </si>
  <si>
    <t>ETIQUETA TERRACOLIN LP SUSP. X 60 ML 119 X 40 MM.(6 COLORES)</t>
  </si>
  <si>
    <t>IFA-00753</t>
  </si>
  <si>
    <t>ETIQUETA TRIBENZOL 100 MG L.P. SUSP. X 60 ML 119 X 40 MM.(6 COLORES)</t>
  </si>
  <si>
    <t>IFA-00754</t>
  </si>
  <si>
    <t>ETIQUETA TRIBENZOL 100MG DILUYENTE 81 X 36 MM.(6 COLORES)</t>
  </si>
  <si>
    <t>IFA-00755</t>
  </si>
  <si>
    <t>ETIQUETA TRIBENZOL 100MG SUSPENSION 81 X 36 MM.(6 COLORES)</t>
  </si>
  <si>
    <t>IFA-00756</t>
  </si>
  <si>
    <t>ETIQUETA TRIBENZOL 100 MG DILUYENTE 60 ML 81 X 36 MM.(4 COLORES)(COMERCIO)</t>
  </si>
  <si>
    <t>IFA-00757</t>
  </si>
  <si>
    <t>ETIQUETA VANCOMICINA 500 MG VIALES (PG) (80 X 24 MM)</t>
  </si>
  <si>
    <t>IFA-00758</t>
  </si>
  <si>
    <t>ETIQUETA ZITROMIN 200MG DILUYENTE 81 X 36 MM.(6 COLORES)</t>
  </si>
  <si>
    <t>IFA-00759</t>
  </si>
  <si>
    <t>ETIQUETA ZITROMIN 200MG SUSPENSION 81 X 36 MM.(6 COLORES)</t>
  </si>
  <si>
    <t>IFA-00760</t>
  </si>
  <si>
    <t>ETIQUETA ZITROMIN 500 MG LP DILUYENTE (81 X 36 MM 4 COLORES)</t>
  </si>
  <si>
    <t>IFA-00761</t>
  </si>
  <si>
    <t>ETIQUETA ZITROMIN 500 MG MM LP DILUYENTE (81 X 36 MM 4 COLORES)</t>
  </si>
  <si>
    <t>IFA-00762</t>
  </si>
  <si>
    <t>ETIQUETA ZITROMIN 500 MG LP SUSP. POLVO (119 X 40 MM 6 COLORES)</t>
  </si>
  <si>
    <t>IFA-00763</t>
  </si>
  <si>
    <t>ETIQUETA ZITROMIN 500 MG LP SUSP. POLVO (81 X 36 MM 6 COLORES)</t>
  </si>
  <si>
    <t>IFA-00764</t>
  </si>
  <si>
    <t>ETIQUETA ZITROMIN LP 200 MG DILUYENTE 81 X 36 MM.(4 COLORES)</t>
  </si>
  <si>
    <t>IFA-00765</t>
  </si>
  <si>
    <t>ETIQUETA ZITROMIN LP 200 MG SUSP. POLVO 81 X 36 MM.(6 COLORES)</t>
  </si>
  <si>
    <t>IFA-00788</t>
  </si>
  <si>
    <t>POSOLOGIA ALYSIA OVULO VAGINAL</t>
  </si>
  <si>
    <t>IFA-00842</t>
  </si>
  <si>
    <t>POSOLOGIA CLOTRIM PLUS OVULO VAGINAL</t>
  </si>
  <si>
    <t>IFA-00901</t>
  </si>
  <si>
    <t>POSOLOGIA FUROSEMIDA 40 MG COMP. RANURADO (PG)</t>
  </si>
  <si>
    <t>IFA-00992</t>
  </si>
  <si>
    <t>POSOLOGIA RETINOX COMP. RECUBIERTO</t>
  </si>
  <si>
    <t>IFA-01124</t>
  </si>
  <si>
    <t>CAJA CEFABIOTIC 200 MG LP SUSP. POLVO X 50 ML (6 COLORES DE 119 X</t>
  </si>
  <si>
    <t>IFA-01129</t>
  </si>
  <si>
    <t>CAJA CEFALEXINA 500 MG X 100 COMPRIMIDOS (IFAVET) (61X91X85) (2 C</t>
  </si>
  <si>
    <t>IFA-01142</t>
  </si>
  <si>
    <t>CAJA CESTODEN LP 400 MG SUSP. X 10 ML</t>
  </si>
  <si>
    <t>IFA-01274</t>
  </si>
  <si>
    <t>CAJA FLAMADIN B1 B6 B12 X 10 COMP.</t>
  </si>
  <si>
    <t>IFA-01373</t>
  </si>
  <si>
    <t>CAJA LEVOKAST X 10 COMP. MASTICABLES (103X45X15) 3 COLORES</t>
  </si>
  <si>
    <t>IFA-01414</t>
  </si>
  <si>
    <t>CAJA MM MULTIGYN CREMA VAG. X 10 GR</t>
  </si>
  <si>
    <t>IFA-01421</t>
  </si>
  <si>
    <t>CAJA NIMODIPINO 30 MG X 100 COMP. (PG)</t>
  </si>
  <si>
    <t>IFA-01516</t>
  </si>
  <si>
    <t>CAJA MM FLAMADIN RELAX X 2 COMP. (2 COLORES 95</t>
  </si>
  <si>
    <t>IFA-01559</t>
  </si>
  <si>
    <t>CAJA TAMIFEN 1 G X 50 SOBRES</t>
  </si>
  <si>
    <t>IFA-01963</t>
  </si>
  <si>
    <t>ETIQUETA DE IDENTIFICACION DE ENVASE PRIMARIO</t>
  </si>
  <si>
    <t>IFA-01964</t>
  </si>
  <si>
    <t>ETIQUETA DE IDENTIFICACION DE PRODUCTO INTERMEDIO</t>
  </si>
  <si>
    <t>IFA-01965</t>
  </si>
  <si>
    <t>ETIQUETA DE IDENTIFICACION IFA</t>
  </si>
  <si>
    <t>IFA-01966</t>
  </si>
  <si>
    <t>ETIQUETA DE IDENTIFICACION PRODUCTO EN PROCESO MATERIA PRIMA</t>
  </si>
  <si>
    <t>IFA-01967</t>
  </si>
  <si>
    <t>ETIQUETA DEVOLUCIONES DE ENVASES</t>
  </si>
  <si>
    <t>IFA-01969</t>
  </si>
  <si>
    <t>ETIQUETA LIMPIEZA Y ESTADO DE EQUIPO</t>
  </si>
  <si>
    <t>IFA-01972</t>
  </si>
  <si>
    <t>ETIQUETA EQUIPO PARA LIMPIAR</t>
  </si>
  <si>
    <t>IFA-01973</t>
  </si>
  <si>
    <t>ETIQUETA FABRICA DE PLASTICO</t>
  </si>
  <si>
    <t>IFA-01975</t>
  </si>
  <si>
    <t>ETIQUETA LIMPIEZA DE AREA</t>
  </si>
  <si>
    <t>IFA-01978</t>
  </si>
  <si>
    <t>ETIQUETA PRECAUCION</t>
  </si>
  <si>
    <t>IFA-01979</t>
  </si>
  <si>
    <t>ETIQUETA PRODUCTO EN CUARENTENA</t>
  </si>
  <si>
    <t>IFA-01980</t>
  </si>
  <si>
    <t>ETIQUETA PRODUCTO EN PROCESO</t>
  </si>
  <si>
    <t>IFA-03582</t>
  </si>
  <si>
    <t>ETIQUETA IFAMETASONA IFAVET (88X35), FONDO BLANCO</t>
  </si>
  <si>
    <t>IFA-03584</t>
  </si>
  <si>
    <t>ETIQUETA IFAMICIN IFAVET (88X35), FONDO BLANCO</t>
  </si>
  <si>
    <t>IFA-03832</t>
  </si>
  <si>
    <t>ETIQUETA PENTAFORTE 6.000 X 30 ML POLVO INY. VETERINARIO</t>
  </si>
  <si>
    <t>IFA-03833</t>
  </si>
  <si>
    <t>ETIQUETA CEFTRIAXONA 1000 POLVO INY. VETERINARIO</t>
  </si>
  <si>
    <t>IFA-03835</t>
  </si>
  <si>
    <t>ETIQUETA METOCLOPRAMIDA IFAVET (88X35), FONDO BLANCO</t>
  </si>
  <si>
    <t>IFA-03836</t>
  </si>
  <si>
    <t>ETIQUETA RANITIDINA 10 MG IFAVET (88X35), FONDO BLANCO</t>
  </si>
  <si>
    <t>IFA-03837</t>
  </si>
  <si>
    <t>ETIQUETA LIDOCAINA 2 % IFAVET (88X35), FONDO BLANCO</t>
  </si>
  <si>
    <t>IFA-03838</t>
  </si>
  <si>
    <t>ETIQUETA DOLOFIXIN (35X30), FONDO TRANSPARENTE</t>
  </si>
  <si>
    <t>IFA-03840</t>
  </si>
  <si>
    <t>ETIQUETA AGUA INYECTABLE VETERINARIO (47X33), FONDO TRANSPARENTE</t>
  </si>
  <si>
    <t>IFA-04332</t>
  </si>
  <si>
    <t>POSOLOGIA CIFLOX F CAPSULA</t>
  </si>
  <si>
    <t>IFA-04341</t>
  </si>
  <si>
    <t>ETIQUETA FLAMADIN SUSPENSION X 100 ML (119X40MM) 6 COLORES (EXPORTACION)</t>
  </si>
  <si>
    <t>IFA-04342</t>
  </si>
  <si>
    <t>ETIQUETA TENACAR OMEGA 3,6,9 PERRO (119X140MM) 4 COLORES (IFAVET)</t>
  </si>
  <si>
    <t>IFA-04343</t>
  </si>
  <si>
    <t>ETIQUETA FLAMADIN 15 MG GOTAS X 20 ML (75X35MM) 6 COLORES</t>
  </si>
  <si>
    <t>IFA-04344</t>
  </si>
  <si>
    <t>ETIQUETA HISTADRYN NF JARABE X 100 ML (119X40MM) 6 COLORES</t>
  </si>
  <si>
    <t>IFA-04345</t>
  </si>
  <si>
    <t>ETIQUETA E.P.T. NF (88X35), FONDO BLANCO</t>
  </si>
  <si>
    <t>IFA-04346</t>
  </si>
  <si>
    <t>ETIQUETA CEFOTAXIMA 1 G VIALES (80X24) 2 COLORES FONDO BLANCO (IFAVET)</t>
  </si>
  <si>
    <t>IFA-04347</t>
  </si>
  <si>
    <t>ETIQUETA TENACAR OMEGA 3,6,9 GATO (119X40MM) 4 COLORES (IFAVET)</t>
  </si>
  <si>
    <t>IFA-04348</t>
  </si>
  <si>
    <t>ETIQUETA MM FLAMADIN SUSPENSION X 30 ML (81X36MM) 6 COLORES (EXPORTACION)</t>
  </si>
  <si>
    <t>IFA-04349</t>
  </si>
  <si>
    <t>ETIQUETA MM REDUTEM GOTAS 10 ML MM. 75X25MM (6 COLORES)</t>
  </si>
  <si>
    <t>IFA-04350</t>
  </si>
  <si>
    <t>ETIQUETA MM HISTADRYN NF JARABE X 30 ML (81X36MM) 6 COLORES</t>
  </si>
  <si>
    <t>IFA-04351</t>
  </si>
  <si>
    <t>ETIQUETA MM FLAMADIN 15 MG GOTAS X 10 ML (75MMX25MM) 6 COLORES</t>
  </si>
  <si>
    <t>IFA-04352</t>
  </si>
  <si>
    <t>ETIQUETA MM DOLOFIXIN (35X30), FONDO TRANSPARENTE</t>
  </si>
  <si>
    <t>IFA-04353</t>
  </si>
  <si>
    <t>ETIQUETA DE IDENTIFICACION DE PRODUCTO EN PROCESO</t>
  </si>
  <si>
    <t>IFA-04557</t>
  </si>
  <si>
    <t>ETIQUETA BALMICIN GOTAS X 10 ML (75X25MM) 6 COLORES</t>
  </si>
  <si>
    <t>IFA-04558</t>
  </si>
  <si>
    <t>ETIQUETA BALMICIN GOTAS X 20 ML (75X35MM) 6 COLORES</t>
  </si>
  <si>
    <t>IFA-05670</t>
  </si>
  <si>
    <t>CAJA DORMICLON X 20 COMP.</t>
  </si>
  <si>
    <t>IFA-05797</t>
  </si>
  <si>
    <t>ETIQUETA MM PREDNISOX 20 MG MM (81X36 MM) 6 COLORES</t>
  </si>
  <si>
    <t>IFA-05798</t>
  </si>
  <si>
    <t>ETIQUETA MM IFATRIM FUERTE 30 ML MM (81X36 MM) 6 COLORES</t>
  </si>
  <si>
    <t>IFA-05801</t>
  </si>
  <si>
    <t>ETIQUETA PREDNISOX 20 MG X 60 ML (119X40 MM) 6 COLORES</t>
  </si>
  <si>
    <t>IFA-05860</t>
  </si>
  <si>
    <t>IFA-06002</t>
  </si>
  <si>
    <t>ETIQUETA PENTA FORTE 6000 DILUYENTE IFAVET (88X35), FONDO BLANCO</t>
  </si>
  <si>
    <t>IFA-06366</t>
  </si>
  <si>
    <t>ETIQUETA HISTADRYN NF FORTE JARABE X 100 ML</t>
  </si>
  <si>
    <t>IFA-06367</t>
  </si>
  <si>
    <t>ETIQUETA MM HISTADRYN NF FORTE JARABE X 30 ML</t>
  </si>
  <si>
    <t>IFA-06383</t>
  </si>
  <si>
    <t>ETIQUETA TUSSINOL INFANTIL X 100 ML JARABE</t>
  </si>
  <si>
    <t>IFA-06384</t>
  </si>
  <si>
    <t>ETIQUETA MM TUSSINOL INFANTIL X 30 ML JARABE MM</t>
  </si>
  <si>
    <t>IFA-06386</t>
  </si>
  <si>
    <t>ETIQUETA IVERMECTINA 3,15 % X 100 ML SOLUCION INY. VETERINARIO</t>
  </si>
  <si>
    <t>IFA-06388</t>
  </si>
  <si>
    <t>ETIQUETA LIMPIEZA Y USO DE SALA-EQUIPO</t>
  </si>
  <si>
    <t>IFA-06425</t>
  </si>
  <si>
    <t>ETIQUETA HISTADRYN NF GOTAS X 20 ML</t>
  </si>
  <si>
    <t>IFA-06426</t>
  </si>
  <si>
    <t>ETIQUETA MM HISTADRYN NF GOTAS X 10 ML</t>
  </si>
  <si>
    <t>IFA-06498</t>
  </si>
  <si>
    <t>ETIQUETA MM REDUTEM JARABE 30 ML MM.</t>
  </si>
  <si>
    <t>IFA-06499</t>
  </si>
  <si>
    <t>ETIQUETA REDUTEM JARABE X 60 ML</t>
  </si>
  <si>
    <t>IFA-06500</t>
  </si>
  <si>
    <t>ETIQUETA MM TAMIFEN JARABE 30 ML MM.</t>
  </si>
  <si>
    <t>IFA-06501</t>
  </si>
  <si>
    <t>ETIQUETA TAMIFEN JARABE X 100 ML</t>
  </si>
  <si>
    <t>IFA-06571</t>
  </si>
  <si>
    <t>ETIQUETA IFADRYN JARABE X 100 ML</t>
  </si>
  <si>
    <t>IFA-06572</t>
  </si>
  <si>
    <t>ETIQUETA MM IFADRYN JARABE X 30 ML MM</t>
  </si>
  <si>
    <t>22623</t>
  </si>
  <si>
    <t>06326</t>
  </si>
  <si>
    <t>OBSERVADO</t>
  </si>
  <si>
    <t>NN-57105</t>
  </si>
  <si>
    <t>FERRICOM X 2 CAP. BLANDAS MM</t>
  </si>
  <si>
    <t>IBUPROFENO 100 MG X 100 ML SUSP.</t>
  </si>
  <si>
    <t>NN-30424</t>
  </si>
  <si>
    <t>DONTOFLAMON NF X 10 COMP. RECUBIERTO</t>
  </si>
  <si>
    <t>NN-91964</t>
  </si>
  <si>
    <t>CETIRIZINA 5 MG X 100 ML JARABE</t>
  </si>
  <si>
    <t>NN-57785</t>
  </si>
  <si>
    <t>B26335</t>
  </si>
  <si>
    <t>07326</t>
  </si>
  <si>
    <t>METAMIZOL 1G X 25 AMP. SOLUCION INY.</t>
  </si>
  <si>
    <t>B26333</t>
  </si>
  <si>
    <t>NN-43970</t>
  </si>
  <si>
    <t>B26332</t>
  </si>
  <si>
    <t>LIDOCAINA 2% X 1 VIAL SOLUCION INY.</t>
  </si>
  <si>
    <t>B26337</t>
  </si>
  <si>
    <t>NN-41500</t>
  </si>
  <si>
    <t>B26334</t>
  </si>
  <si>
    <t>B26331</t>
  </si>
  <si>
    <t>B26328</t>
  </si>
  <si>
    <t>B26336</t>
  </si>
  <si>
    <t>B26330</t>
  </si>
  <si>
    <t>B26329</t>
  </si>
  <si>
    <t>B26342</t>
  </si>
  <si>
    <t>B26341</t>
  </si>
  <si>
    <t>B26345</t>
  </si>
  <si>
    <t>B26343</t>
  </si>
  <si>
    <t>B26340</t>
  </si>
  <si>
    <t>B26344</t>
  </si>
  <si>
    <t>B26338</t>
  </si>
  <si>
    <t>B26339</t>
  </si>
  <si>
    <t>ANULADO</t>
  </si>
  <si>
    <t>METRONIDAZOL 500 MG X 100 COMP.</t>
  </si>
  <si>
    <t>NN-20635</t>
  </si>
  <si>
    <t>CLORFENAMINA 4 MG X 100 COMP.</t>
  </si>
  <si>
    <t>NN-23364</t>
  </si>
  <si>
    <t>32696</t>
  </si>
  <si>
    <t>32697</t>
  </si>
  <si>
    <t>PARACETAMOL 1G X 100 COMP. RECUBIERTO</t>
  </si>
  <si>
    <t>32698</t>
  </si>
  <si>
    <t>NN-33753</t>
  </si>
  <si>
    <t>IFA-00847</t>
  </si>
  <si>
    <t>POSOLOGIA COMPLEJO B JARABE (PG)</t>
  </si>
  <si>
    <t>IFA-01565</t>
  </si>
  <si>
    <t>CAJA TANIDAX 20 MG X 21 COMP. RECUBIERTOS (95X40X19) 3 COLORES</t>
  </si>
  <si>
    <t>IFA-01578</t>
  </si>
  <si>
    <t>CAJA TRIBENZOL 100 MG X 60 ML</t>
  </si>
  <si>
    <t>IFA-01976</t>
  </si>
  <si>
    <t>ETIQUETA MUESTRA PARA CONTROL DE CALIDAD</t>
  </si>
  <si>
    <t>IFA-05911</t>
  </si>
  <si>
    <t>ESTUCHE REPAHIL X 10 SOBRES</t>
  </si>
  <si>
    <t>PENICILINA 2400 X 1 POLVO INY.</t>
  </si>
  <si>
    <t>A26325</t>
  </si>
  <si>
    <t>NN-37518</t>
  </si>
  <si>
    <t>A26324</t>
  </si>
  <si>
    <t>PEGAR (MANO)</t>
  </si>
  <si>
    <t>GTO-2</t>
  </si>
  <si>
    <t>GTO-3</t>
  </si>
  <si>
    <t>SPEED-1</t>
  </si>
  <si>
    <t>SPEED-2</t>
  </si>
  <si>
    <t>SPEED-0.5</t>
  </si>
  <si>
    <t>42660</t>
  </si>
  <si>
    <t>CIPROFLOXACINA X 10 COMP. RECUBIERTO VETERINARIO</t>
  </si>
  <si>
    <t>04426</t>
  </si>
  <si>
    <t>005899/14</t>
  </si>
  <si>
    <t>CIPROFLOXACINA 500 MG X 100 COMP. RECUBIERTO</t>
  </si>
  <si>
    <t>42631</t>
  </si>
  <si>
    <t>NN-23382</t>
  </si>
  <si>
    <t>42604</t>
  </si>
  <si>
    <t>LEVOCAN X 15 ML GOTAS VETERINARIO</t>
  </si>
  <si>
    <t>15426</t>
  </si>
  <si>
    <t>011186/23</t>
  </si>
  <si>
    <t>METOCLOPRAMIDA 10 MG X 25 AMP. SOLUCION INY.</t>
  </si>
  <si>
    <t>B26457</t>
  </si>
  <si>
    <t>NN-36592</t>
  </si>
  <si>
    <t>METOCLOPRAMIDA X 20 ML GOTAS VETERINARIO</t>
  </si>
  <si>
    <t>16426</t>
  </si>
  <si>
    <t>008552/18</t>
  </si>
  <si>
    <t>PREDNISONA 20 MG X 100 COMP. VETERINARIO</t>
  </si>
  <si>
    <t>01426</t>
  </si>
  <si>
    <t>008555/18</t>
  </si>
  <si>
    <t>42664</t>
  </si>
  <si>
    <t>CLOTRIM BG X 15 G CREMA DERMICA</t>
  </si>
  <si>
    <t>42642</t>
  </si>
  <si>
    <t>NN-31401</t>
  </si>
  <si>
    <t>DUFORAX PLUS X 10 G CREMA VAGINAL MM</t>
  </si>
  <si>
    <t>42687</t>
  </si>
  <si>
    <t>NN-85702</t>
  </si>
  <si>
    <t>REDUTEM X 10 ML GOTAS MM</t>
  </si>
  <si>
    <t>42691</t>
  </si>
  <si>
    <t>BRONCOFLU X 30 ML JARABE MM</t>
  </si>
  <si>
    <t>42663</t>
  </si>
  <si>
    <t>RELEVOX 20 MG X 2 CAP. DURAS MM</t>
  </si>
  <si>
    <t>42602</t>
  </si>
  <si>
    <t>NN-74358</t>
  </si>
  <si>
    <t>TRIBENZOL 500 MG X 6 COMP. RECUBIERTO</t>
  </si>
  <si>
    <t>42619</t>
  </si>
  <si>
    <t>NN-34777</t>
  </si>
  <si>
    <t>REZITRO 60 X 1 AMP. SOLUCION INY. MM</t>
  </si>
  <si>
    <t>B26463</t>
  </si>
  <si>
    <t>NN-46593</t>
  </si>
  <si>
    <t>AMLODIPINA 10 MG X 30 COMP.</t>
  </si>
  <si>
    <t>42607</t>
  </si>
  <si>
    <t>NN-40827</t>
  </si>
  <si>
    <t>AMOXICILINA 500 MG X 500 CAP. DURAS</t>
  </si>
  <si>
    <t>42665</t>
  </si>
  <si>
    <t>NN-23049</t>
  </si>
  <si>
    <t>CLARIMEX 250 MG X 80 ML GRANULOS PARA SUSP. + DILUYENTE</t>
  </si>
  <si>
    <t>GRANULOS PARA SUSPENSIÓN</t>
  </si>
  <si>
    <t>42683</t>
  </si>
  <si>
    <t>NN-39486</t>
  </si>
  <si>
    <t>CLOTRIM 1% X 30 G CREMA VAGINAL</t>
  </si>
  <si>
    <t>42644</t>
  </si>
  <si>
    <t>NN-17676</t>
  </si>
  <si>
    <t>E.P.T. NF X 1 VIAL SOLUCION INY.</t>
  </si>
  <si>
    <t>B26461</t>
  </si>
  <si>
    <t>NN-84753</t>
  </si>
  <si>
    <t>42608</t>
  </si>
  <si>
    <t>MEBENDAZOL 100 MG X 30 ML SUSP.</t>
  </si>
  <si>
    <t>42669</t>
  </si>
  <si>
    <t>NN-26222</t>
  </si>
  <si>
    <t>42622</t>
  </si>
  <si>
    <t>MELOXICAM 15 MG X 100 COMP.</t>
  </si>
  <si>
    <t>42605</t>
  </si>
  <si>
    <t>NN-31949</t>
  </si>
  <si>
    <t>METRONIDAZOL 250 MG X 100 ML SUSP. VETERINARIO</t>
  </si>
  <si>
    <t>11426</t>
  </si>
  <si>
    <t>008566/18</t>
  </si>
  <si>
    <t>QUINOSIL 750 MG X 5 COMP. RECUBIERTO</t>
  </si>
  <si>
    <t>42633</t>
  </si>
  <si>
    <t>NN-42240</t>
  </si>
  <si>
    <t>RELEVOX 20 MG X 30 CAP. DURAS</t>
  </si>
  <si>
    <t>42601</t>
  </si>
  <si>
    <t>REZITRO 30 X 3 AMP. SOLUCION INY.</t>
  </si>
  <si>
    <t>B26462</t>
  </si>
  <si>
    <t>NN-46929</t>
  </si>
  <si>
    <t>FLAMADIN PLUS FORTE X 10 COMP. RECUBIERTO</t>
  </si>
  <si>
    <t>42616</t>
  </si>
  <si>
    <t>NN-92312</t>
  </si>
  <si>
    <t>TERRACOLIN 200 MG X 60 ML SUSP.</t>
  </si>
  <si>
    <t>42670</t>
  </si>
  <si>
    <t>NN-30930</t>
  </si>
  <si>
    <t>PARACETAMOL 120 MG X 100 ML JARABE</t>
  </si>
  <si>
    <t>42659</t>
  </si>
  <si>
    <t>NISTATINA 500.000 UI X 60 ML SUSP.</t>
  </si>
  <si>
    <t>42668</t>
  </si>
  <si>
    <t>NN-31746</t>
  </si>
  <si>
    <t>42690</t>
  </si>
  <si>
    <t>KETOCONAZOL 2% X 15 G CREMA DERMICA</t>
  </si>
  <si>
    <t>42643</t>
  </si>
  <si>
    <t>NN-21642</t>
  </si>
  <si>
    <t>42685</t>
  </si>
  <si>
    <t>DIPROFEN FLU FUERTE X 2 COMP. RECUBIERTO MM</t>
  </si>
  <si>
    <t>42626</t>
  </si>
  <si>
    <t>NN-41982</t>
  </si>
  <si>
    <t>AMOXICILINA 250 MG X 100 ML POLVO PARA SUSP.</t>
  </si>
  <si>
    <t>42673</t>
  </si>
  <si>
    <t>NN-21647</t>
  </si>
  <si>
    <t>42606</t>
  </si>
  <si>
    <t>DICLOXACILINA 250 MG X 100 ML POLVO PARA SUSP.</t>
  </si>
  <si>
    <t>42675</t>
  </si>
  <si>
    <t>REZITRO RAPID 30 X 10 COMP. SUBLINGUAL</t>
  </si>
  <si>
    <t>COMPRIMIDO SUBLINGUAL</t>
  </si>
  <si>
    <t>42636</t>
  </si>
  <si>
    <t>NN-79213</t>
  </si>
  <si>
    <t>HIDROCORTISONA 1% X 15 G CREMA DERMICA</t>
  </si>
  <si>
    <t>42638</t>
  </si>
  <si>
    <t>NN-36235</t>
  </si>
  <si>
    <t>KETOCONAZOL 200 MG X 100 COMP. RECUBIERTO VETERINARIO</t>
  </si>
  <si>
    <t>02426</t>
  </si>
  <si>
    <t>008556/18</t>
  </si>
  <si>
    <t>LIDOCAINA 2% X 1 VIAL SOLUCION INY. VETERINARIO</t>
  </si>
  <si>
    <t>05426</t>
  </si>
  <si>
    <t>008572/18</t>
  </si>
  <si>
    <t>KETOCONAZOL 200 MG X 100 COMP. RECUBIERTO</t>
  </si>
  <si>
    <t>42624</t>
  </si>
  <si>
    <t>NN-21329</t>
  </si>
  <si>
    <t>QUINOSIL 500 MG X 10 COMP. RECUBIERTO</t>
  </si>
  <si>
    <t>42634</t>
  </si>
  <si>
    <t>NN-30768</t>
  </si>
  <si>
    <t>TINIDAZOL 1G X 2 COMP. RECUBIERTO</t>
  </si>
  <si>
    <t>42630</t>
  </si>
  <si>
    <t>NN-21646</t>
  </si>
  <si>
    <t>DERMO VET X 100 ML LOCION VETERINARIO</t>
  </si>
  <si>
    <t>14426</t>
  </si>
  <si>
    <t>011187/23</t>
  </si>
  <si>
    <t>REZITRO RAPID 30 X 2 COMP. SUBLINGUAL MM</t>
  </si>
  <si>
    <t>42635</t>
  </si>
  <si>
    <t>AMOXICILINA 1 G X 100 COMP. RECUBIERTO</t>
  </si>
  <si>
    <t>42625</t>
  </si>
  <si>
    <t>NN-33854</t>
  </si>
  <si>
    <t>LEVODOPA-CARBIDOPA 250/25 MG X 30 COMP. RECUBIERTO</t>
  </si>
  <si>
    <t>42623</t>
  </si>
  <si>
    <t>NN-27097</t>
  </si>
  <si>
    <t>KETOROLACO 30 MG X 3 AMP. SOLUCION INY.</t>
  </si>
  <si>
    <t>B26446</t>
  </si>
  <si>
    <t>NN-37107</t>
  </si>
  <si>
    <t>IFABENA 500 MG X 30 ML SUSP.</t>
  </si>
  <si>
    <t>42672</t>
  </si>
  <si>
    <t>NN-18508</t>
  </si>
  <si>
    <t>42615</t>
  </si>
  <si>
    <t>42661</t>
  </si>
  <si>
    <t>42603</t>
  </si>
  <si>
    <t>07426</t>
  </si>
  <si>
    <t>NISTATINA 100.000 UI X 15 G CREMA DERMICA</t>
  </si>
  <si>
    <t>42637</t>
  </si>
  <si>
    <t>NN-31422</t>
  </si>
  <si>
    <t>DICLOFENACO 100 MG X 100 COMP. RECUBIERTO</t>
  </si>
  <si>
    <t>42627</t>
  </si>
  <si>
    <t>NN-31739</t>
  </si>
  <si>
    <t>CESTODEN 400 MG X 10 ML SUSP. X 3 FRASCOS BEBIBLES</t>
  </si>
  <si>
    <t>42667</t>
  </si>
  <si>
    <t>NN-19173</t>
  </si>
  <si>
    <t>CEFABIOTIC X 50 ML POLVO PARA SUSP. + DILUYENTE</t>
  </si>
  <si>
    <t>42610</t>
  </si>
  <si>
    <t>NN-48843</t>
  </si>
  <si>
    <t>AMOXICILINA 125 MG X 60 ML POLVO PARA SUSP. VETERINARIO</t>
  </si>
  <si>
    <t>13426</t>
  </si>
  <si>
    <t>008545/18</t>
  </si>
  <si>
    <t>POLIGYN X 10 G CREMA VAGINAL MM</t>
  </si>
  <si>
    <t>42689</t>
  </si>
  <si>
    <t>NN-33842</t>
  </si>
  <si>
    <t>DUFORAX PLUS X 50 G CREMA VAGINAL</t>
  </si>
  <si>
    <t>42688</t>
  </si>
  <si>
    <t>42617</t>
  </si>
  <si>
    <t>COMPLEJO B POTENCIADO X 100 ML JARABE VETERINARIO</t>
  </si>
  <si>
    <t>06426</t>
  </si>
  <si>
    <t>008551/18</t>
  </si>
  <si>
    <t>B26456</t>
  </si>
  <si>
    <t>DONTOFLAMON X 100 ML SUSP.</t>
  </si>
  <si>
    <t>42666</t>
  </si>
  <si>
    <t>NN-31518</t>
  </si>
  <si>
    <t>AMOXICILINA 250 MG X 60 ML POLVO PARA SUSP.</t>
  </si>
  <si>
    <t>42677</t>
  </si>
  <si>
    <t>B26455</t>
  </si>
  <si>
    <t>42621</t>
  </si>
  <si>
    <t>B26454</t>
  </si>
  <si>
    <t>CETIRIZINA 10 MG X 100 COMP. RECUBIERTO</t>
  </si>
  <si>
    <t>42629</t>
  </si>
  <si>
    <t>NN-86343</t>
  </si>
  <si>
    <t>MUCOL 600 MG X 20 SOBRES POLVO GRANULADO</t>
  </si>
  <si>
    <t>42612</t>
  </si>
  <si>
    <t>NN-91916</t>
  </si>
  <si>
    <t>B26453</t>
  </si>
  <si>
    <t>B26452</t>
  </si>
  <si>
    <t>B26449</t>
  </si>
  <si>
    <t>COMPLEJO B X 100 ML JARABE</t>
  </si>
  <si>
    <t>42662</t>
  </si>
  <si>
    <t>NN-26080</t>
  </si>
  <si>
    <t>DEXTROMETORFANO 10 MG X 100 ML JARABE</t>
  </si>
  <si>
    <t>42647</t>
  </si>
  <si>
    <t>NN-38324</t>
  </si>
  <si>
    <t>PARACETAMOL 1G X 500 COMP. RECUBIERTO</t>
  </si>
  <si>
    <t>42618</t>
  </si>
  <si>
    <t>FERROCAN COMPUESTO X 100 COMP. RECUBIERTO VETERINARIO</t>
  </si>
  <si>
    <t>03426</t>
  </si>
  <si>
    <t>008571/18</t>
  </si>
  <si>
    <t>PREDNISONA 20 MG X 100 COMP.</t>
  </si>
  <si>
    <t>42609</t>
  </si>
  <si>
    <t>NN-41416</t>
  </si>
  <si>
    <t>SARNOL 20% X 100 ML LOCION</t>
  </si>
  <si>
    <t>42678</t>
  </si>
  <si>
    <t>NN-20570</t>
  </si>
  <si>
    <t>42613</t>
  </si>
  <si>
    <t>TRIBENZOL 500 MG X 2 COMP. RECUBIERTO MM</t>
  </si>
  <si>
    <t>42620</t>
  </si>
  <si>
    <t>B26458</t>
  </si>
  <si>
    <t>B26450</t>
  </si>
  <si>
    <t>42628</t>
  </si>
  <si>
    <t>42682</t>
  </si>
  <si>
    <t>42681</t>
  </si>
  <si>
    <t>42680</t>
  </si>
  <si>
    <t>42679</t>
  </si>
  <si>
    <t>42674</t>
  </si>
  <si>
    <t>42676</t>
  </si>
  <si>
    <t>09426</t>
  </si>
  <si>
    <t>42658</t>
  </si>
  <si>
    <t>42657</t>
  </si>
  <si>
    <t>B26459</t>
  </si>
  <si>
    <t>42655</t>
  </si>
  <si>
    <t>42654</t>
  </si>
  <si>
    <t>42656</t>
  </si>
  <si>
    <t>42653</t>
  </si>
  <si>
    <t>B26460</t>
  </si>
  <si>
    <t>REZITRO 60 X 3 AMP. SOLUCION INY.</t>
  </si>
  <si>
    <t>B26464</t>
  </si>
  <si>
    <t>ALBENDAZOL 400 MG X 10 ML SUSP.</t>
  </si>
  <si>
    <t>42671</t>
  </si>
  <si>
    <t>NN-24321</t>
  </si>
  <si>
    <t>42649</t>
  </si>
  <si>
    <t>42650</t>
  </si>
  <si>
    <t>42648</t>
  </si>
  <si>
    <t>42651</t>
  </si>
  <si>
    <t>42652</t>
  </si>
  <si>
    <t>B26451</t>
  </si>
  <si>
    <t>ABRIL</t>
  </si>
  <si>
    <t>IMPRESO</t>
  </si>
  <si>
    <t>B26448</t>
  </si>
  <si>
    <t>B26447</t>
  </si>
  <si>
    <t>42646</t>
  </si>
  <si>
    <t>42645</t>
  </si>
  <si>
    <t>42641</t>
  </si>
  <si>
    <t>42640</t>
  </si>
  <si>
    <t>42639</t>
  </si>
  <si>
    <t>42614</t>
  </si>
  <si>
    <t>42632</t>
  </si>
  <si>
    <t>GTO-4</t>
  </si>
  <si>
    <t>PEGAR A MANO</t>
  </si>
  <si>
    <t>INSTITUCION</t>
  </si>
  <si>
    <t>FECHA</t>
  </si>
  <si>
    <t>MOZP-1</t>
  </si>
  <si>
    <t>MOZP-2</t>
  </si>
  <si>
    <t>MOZP-4</t>
  </si>
  <si>
    <t>CEFTRIAXONA 1000 X 1 POLVO INY.</t>
  </si>
  <si>
    <t>A26430</t>
  </si>
  <si>
    <t>NN-49230</t>
  </si>
  <si>
    <t>CEFOTAXIMA 1000 X 1 POLVO INY.</t>
  </si>
  <si>
    <t>A26431</t>
  </si>
  <si>
    <t>NN-37516</t>
  </si>
  <si>
    <t>METFORMINA 850 MG X 500 COMP. RECUBIERTO</t>
  </si>
  <si>
    <t>42699</t>
  </si>
  <si>
    <t>NN-41225</t>
  </si>
  <si>
    <t>DICLOFENACO 50 MG X 500 COMP. RECUBIERTO</t>
  </si>
  <si>
    <t>426105</t>
  </si>
  <si>
    <t>NN-26221</t>
  </si>
  <si>
    <t>A26429</t>
  </si>
  <si>
    <t>ANTIGRIPAL X 100 COMP. RECUBIERTO</t>
  </si>
  <si>
    <t>42696</t>
  </si>
  <si>
    <t>NN-58722</t>
  </si>
  <si>
    <t>A26426</t>
  </si>
  <si>
    <t>COTRIMOXAZOL 800/160 MG X 100 COMP.</t>
  </si>
  <si>
    <t>42694</t>
  </si>
  <si>
    <t>NN-21649</t>
  </si>
  <si>
    <t>FLUCONAZOL 150 MG X 2 CAP. DURAS</t>
  </si>
  <si>
    <t>42692</t>
  </si>
  <si>
    <t>NN-50824</t>
  </si>
  <si>
    <t>REPAHIL X 10 SOBRES POLVO GRANULADO</t>
  </si>
  <si>
    <t>426107</t>
  </si>
  <si>
    <t>NN-92267</t>
  </si>
  <si>
    <t>DONTOFLAMON NF X 2 COMP. RECUBIERTO MM</t>
  </si>
  <si>
    <t>426106</t>
  </si>
  <si>
    <t>CEFOTAXIMA 1 G X 1 POLVO INY. VETERINARIO</t>
  </si>
  <si>
    <t>18426</t>
  </si>
  <si>
    <t>008541/18</t>
  </si>
  <si>
    <t>42698</t>
  </si>
  <si>
    <t>A26428</t>
  </si>
  <si>
    <t>CEFABIOTIC 400 MG X 2 CAP. DURAS MM</t>
  </si>
  <si>
    <t>42693</t>
  </si>
  <si>
    <t>NN-47373</t>
  </si>
  <si>
    <t>42695</t>
  </si>
  <si>
    <t>42697</t>
  </si>
  <si>
    <t>426100</t>
  </si>
  <si>
    <t>A26427</t>
  </si>
  <si>
    <t>426101</t>
  </si>
  <si>
    <t>426104</t>
  </si>
  <si>
    <t>426102</t>
  </si>
  <si>
    <t>426103</t>
  </si>
  <si>
    <t>COD PLANTA</t>
  </si>
  <si>
    <t>CODIGO IFA</t>
  </si>
  <si>
    <t>101-004-055</t>
  </si>
  <si>
    <t>102-004-051</t>
  </si>
  <si>
    <t>102-005-006</t>
  </si>
  <si>
    <t>103-011-001</t>
  </si>
  <si>
    <t>102-005-011</t>
  </si>
  <si>
    <t>IFA-01307</t>
  </si>
  <si>
    <t>Z102-011-008</t>
  </si>
  <si>
    <t>102-011-007</t>
  </si>
  <si>
    <t>101-011-011</t>
  </si>
  <si>
    <t>101-014-010</t>
  </si>
  <si>
    <t>101-002-002</t>
  </si>
  <si>
    <t>101-005-006</t>
  </si>
  <si>
    <t>102-007-005</t>
  </si>
  <si>
    <t>101-007-002</t>
  </si>
  <si>
    <t>IFA-01100</t>
  </si>
  <si>
    <t>101-004-038</t>
  </si>
  <si>
    <t>101-004-040</t>
  </si>
  <si>
    <t>101-003-027</t>
  </si>
  <si>
    <t>102-003-004</t>
  </si>
  <si>
    <t>101-003-028</t>
  </si>
  <si>
    <t>101-004-003</t>
  </si>
  <si>
    <t>IFA-01144</t>
  </si>
  <si>
    <t>102-004-070</t>
  </si>
  <si>
    <t>101-014-014</t>
  </si>
  <si>
    <t>102-004-049</t>
  </si>
  <si>
    <t>102-004-010</t>
  </si>
  <si>
    <t>102-004-008</t>
  </si>
  <si>
    <t>102-004-027</t>
  </si>
  <si>
    <t>101-007-007</t>
  </si>
  <si>
    <t>101-004-077</t>
  </si>
  <si>
    <t>101-004-006</t>
  </si>
  <si>
    <t>101-007-006</t>
  </si>
  <si>
    <t>103-006-001</t>
  </si>
  <si>
    <t>103-014-001</t>
  </si>
  <si>
    <t>103-005-006</t>
  </si>
  <si>
    <t>102-007-006</t>
  </si>
  <si>
    <t>103-005-003</t>
  </si>
  <si>
    <t>102-006-002</t>
  </si>
  <si>
    <t>101-003-013</t>
  </si>
  <si>
    <t>102-004-058</t>
  </si>
  <si>
    <t>101-004-004</t>
  </si>
  <si>
    <t>IFA-01579</t>
  </si>
  <si>
    <t>101-001-032</t>
  </si>
  <si>
    <t>101-001-031</t>
  </si>
  <si>
    <t>102-004-038</t>
  </si>
  <si>
    <t>101-001-026</t>
  </si>
  <si>
    <t>101-003-002</t>
  </si>
  <si>
    <t>101-005-010</t>
  </si>
  <si>
    <t>101-003-006</t>
  </si>
  <si>
    <t>102-002-001</t>
  </si>
  <si>
    <t>101-001-013</t>
  </si>
  <si>
    <t>101-001-028</t>
  </si>
  <si>
    <t>101-001-019</t>
  </si>
  <si>
    <t>101-007-005</t>
  </si>
  <si>
    <t>102-004-075</t>
  </si>
  <si>
    <t>104-001-003</t>
  </si>
  <si>
    <t>102-016-004</t>
  </si>
  <si>
    <t>102-006-001</t>
  </si>
  <si>
    <t>IFA-01434</t>
  </si>
  <si>
    <t>102-004-079</t>
  </si>
  <si>
    <t>101-015-009</t>
  </si>
  <si>
    <t>102-009-009</t>
  </si>
  <si>
    <t>102-009-011</t>
  </si>
  <si>
    <t>101-004-091</t>
  </si>
  <si>
    <t>102-004-067</t>
  </si>
  <si>
    <t>102-009-002</t>
  </si>
  <si>
    <t>102-004-073</t>
  </si>
  <si>
    <t>102-004-062</t>
  </si>
  <si>
    <t>102-004-060</t>
  </si>
  <si>
    <t>102-004-050</t>
  </si>
  <si>
    <t>102-004-077</t>
  </si>
  <si>
    <t>101-004-084</t>
  </si>
  <si>
    <t>102-004-003</t>
  </si>
  <si>
    <t>104-001-009</t>
  </si>
  <si>
    <t>101-004-086</t>
  </si>
  <si>
    <t>IFA-06101</t>
  </si>
  <si>
    <t>102-007-012</t>
  </si>
  <si>
    <t>102-004-061</t>
  </si>
  <si>
    <t>102-004-014</t>
  </si>
  <si>
    <t>102-005-004</t>
  </si>
  <si>
    <t>102-005-013</t>
  </si>
  <si>
    <t>102-005-010</t>
  </si>
  <si>
    <t>102-004-041</t>
  </si>
  <si>
    <t>102-004-040</t>
  </si>
  <si>
    <t>Z102-011-001</t>
  </si>
  <si>
    <t>102-007-011</t>
  </si>
  <si>
    <t>103-004-006</t>
  </si>
  <si>
    <t>102-004-012</t>
  </si>
  <si>
    <t>102-004-044</t>
  </si>
  <si>
    <t>103-006-002</t>
  </si>
  <si>
    <t>102-005-005</t>
  </si>
  <si>
    <t>103-006-006</t>
  </si>
  <si>
    <t>103-004-015</t>
  </si>
  <si>
    <t>101-007-013</t>
  </si>
  <si>
    <t>101-016-008</t>
  </si>
  <si>
    <t>101-015-012</t>
  </si>
  <si>
    <t>101-006-004</t>
  </si>
  <si>
    <t>101-007-004</t>
  </si>
  <si>
    <t>101-003-010</t>
  </si>
  <si>
    <t>IFA-01465</t>
  </si>
  <si>
    <t>101-004-015</t>
  </si>
  <si>
    <t>101-005-003</t>
  </si>
  <si>
    <t>102-004-047</t>
  </si>
  <si>
    <t>102-003-006</t>
  </si>
  <si>
    <t>101-014-011</t>
  </si>
  <si>
    <t>101-015-002</t>
  </si>
  <si>
    <t>101-005-015</t>
  </si>
  <si>
    <t>102-004-048</t>
  </si>
  <si>
    <t>102-009-003</t>
  </si>
  <si>
    <t>102-004-066</t>
  </si>
  <si>
    <t>102-004-034</t>
  </si>
  <si>
    <t>103-009-003</t>
  </si>
  <si>
    <t>101-004-047</t>
  </si>
  <si>
    <t>101-003-019</t>
  </si>
  <si>
    <t>101-005-008</t>
  </si>
  <si>
    <t>101-004-088</t>
  </si>
  <si>
    <t>101-009-015</t>
  </si>
  <si>
    <t>102-007-001</t>
  </si>
  <si>
    <t>102-009-006</t>
  </si>
  <si>
    <t>101-006-010</t>
  </si>
  <si>
    <t>IFA-01283</t>
  </si>
  <si>
    <t>102-016-001</t>
  </si>
  <si>
    <t>101-004-028</t>
  </si>
  <si>
    <t>102-014-005</t>
  </si>
  <si>
    <t>102-004-018</t>
  </si>
  <si>
    <t>102-014-011</t>
  </si>
  <si>
    <t>101-004-075</t>
  </si>
  <si>
    <t>102-016-006</t>
  </si>
  <si>
    <t>103-004-016</t>
  </si>
  <si>
    <t>103-005-005</t>
  </si>
  <si>
    <t>102-004-005</t>
  </si>
  <si>
    <t>101-004-010</t>
  </si>
  <si>
    <t>102-004-009</t>
  </si>
  <si>
    <t>103-008-001</t>
  </si>
  <si>
    <t>101-004-076</t>
  </si>
  <si>
    <t>102-004-085</t>
  </si>
  <si>
    <t>102-004-026</t>
  </si>
  <si>
    <t>102-005-008</t>
  </si>
  <si>
    <t>101-009-001</t>
  </si>
  <si>
    <t>101-004-044</t>
  </si>
  <si>
    <t>101-007-009</t>
  </si>
  <si>
    <t>102-004-001</t>
  </si>
  <si>
    <t>102-016-005</t>
  </si>
  <si>
    <t>102-004-035</t>
  </si>
  <si>
    <t>101-009-014</t>
  </si>
  <si>
    <t>101-014-012</t>
  </si>
  <si>
    <t>103-014-003</t>
  </si>
  <si>
    <t>101-015-004</t>
  </si>
  <si>
    <t>101-015-011</t>
  </si>
  <si>
    <t>101-004-051</t>
  </si>
  <si>
    <t>103-007-004</t>
  </si>
  <si>
    <t>101-009-002</t>
  </si>
  <si>
    <t>102-014-004</t>
  </si>
  <si>
    <t>102-004-029</t>
  </si>
  <si>
    <t>102-004-097</t>
  </si>
  <si>
    <t>101-013-003</t>
  </si>
  <si>
    <t>102-007-009</t>
  </si>
  <si>
    <t>102-007-003</t>
  </si>
  <si>
    <t>102-004-039</t>
  </si>
  <si>
    <t>103-004-017</t>
  </si>
  <si>
    <t>102-004-055</t>
  </si>
  <si>
    <t>101-008-001</t>
  </si>
  <si>
    <t>101-013-001</t>
  </si>
  <si>
    <t>101-004-026</t>
  </si>
  <si>
    <t>102-004-015</t>
  </si>
  <si>
    <t>101-005-004</t>
  </si>
  <si>
    <t>102-009-012</t>
  </si>
  <si>
    <t>Z102-011-009</t>
  </si>
  <si>
    <t>Z102-011-003</t>
  </si>
  <si>
    <t>102-004-076</t>
  </si>
  <si>
    <t>102-004-023</t>
  </si>
  <si>
    <t>102-004-065</t>
  </si>
  <si>
    <t>102-004-011</t>
  </si>
  <si>
    <t>102-003-003</t>
  </si>
  <si>
    <t>101-013-007</t>
  </si>
  <si>
    <t>101-004-087</t>
  </si>
  <si>
    <t>103-011-015</t>
  </si>
  <si>
    <t>106-009-001</t>
  </si>
  <si>
    <t>101-003-007</t>
  </si>
  <si>
    <t>LINEA COMERCIAL</t>
  </si>
  <si>
    <t>CMYK</t>
  </si>
  <si>
    <t>LINEA CC</t>
  </si>
  <si>
    <t xml:space="preserve">DERMO-VET </t>
  </si>
  <si>
    <t>Bolivia SENASAG Reg. PUV - Nº 011187/23</t>
  </si>
  <si>
    <t xml:space="preserve">METRONIDAZOL 250 mg </t>
  </si>
  <si>
    <t>Bolivia SENASAG Reg. PUV - N˚  008566/18</t>
  </si>
  <si>
    <t>KETOCONAZOL  200 mg</t>
  </si>
  <si>
    <t>NN-21329/2021</t>
  </si>
  <si>
    <t xml:space="preserve">METOCLOPRAMIDA GOTAS IFAVET </t>
  </si>
  <si>
    <t>FRASCO X 20 ML</t>
  </si>
  <si>
    <t>Bolivia SENASAG Reg. PUV - N˚ 008552/18</t>
  </si>
  <si>
    <t>LEVOCAN®</t>
  </si>
  <si>
    <t>Bolivia SENASAG Reg. PUV - Nº 011186/23</t>
  </si>
  <si>
    <t xml:space="preserve">COMPLEJO B POTENCIADO </t>
  </si>
  <si>
    <t xml:space="preserve">Jarabe </t>
  </si>
  <si>
    <t>Bolivia SENASAG Reg. PUV - N˚ 008551/18</t>
  </si>
  <si>
    <t xml:space="preserve">CIPROFLOXACINA </t>
  </si>
  <si>
    <t>Bolivia SENASAG Reg. PUV - Nº 005899/14</t>
  </si>
  <si>
    <t>FERROCAN COMPUESTO</t>
  </si>
  <si>
    <t>Bolivia SENASAG Reg PUV - N˚ 008571/18</t>
  </si>
  <si>
    <t>AMOXICILINA 125 mg</t>
  </si>
  <si>
    <t>FRASCO PARA 60 ML</t>
  </si>
  <si>
    <t>Bolivia SENASAG Reg. PUV - N˚ 008545/18</t>
  </si>
  <si>
    <t>ATENOLOL  100 mg</t>
  </si>
  <si>
    <t>NN-28191/2024</t>
  </si>
  <si>
    <t>CUBRE CAJAS CON 8 DE MAS</t>
  </si>
  <si>
    <t>MULTIVITAMINAS</t>
  </si>
  <si>
    <t>NN-30865/2020</t>
  </si>
  <si>
    <t xml:space="preserve">CUBRE PSL </t>
  </si>
  <si>
    <t>PARACETAMOL  1g</t>
  </si>
  <si>
    <t>NN-33753/2023</t>
  </si>
  <si>
    <t>NN-84633/2023</t>
  </si>
  <si>
    <t>AMOXICILINA  1 g</t>
  </si>
  <si>
    <t>NN-33854/2022</t>
  </si>
  <si>
    <t xml:space="preserve">ERITROMICINA  500 mg </t>
  </si>
  <si>
    <t>NN-21027/2021</t>
  </si>
  <si>
    <t xml:space="preserve">CIPROFLOXACINA  500 mg </t>
  </si>
  <si>
    <t>NN-23382/2021</t>
  </si>
  <si>
    <t>DOS LOTES 31 Y 32</t>
  </si>
  <si>
    <t>QUINOSIL 750 mg</t>
  </si>
  <si>
    <t>CAJA X 5 COMPRIMIDOS</t>
  </si>
  <si>
    <t>NN-42240/2022</t>
  </si>
  <si>
    <t>IFABENA® 500 mg</t>
  </si>
  <si>
    <t>NN-18508/2024</t>
  </si>
  <si>
    <t xml:space="preserve">CAJAS CON RS 2020 </t>
  </si>
  <si>
    <t>TUSSINOL® INFANTIL</t>
  </si>
  <si>
    <t>NN-93593/2025</t>
  </si>
  <si>
    <t>AMOXICILINA 250 mg</t>
  </si>
  <si>
    <t>FRASCO P/ 100 ML</t>
  </si>
  <si>
    <t>NN-21647/2021</t>
  </si>
  <si>
    <t>CUBRE CAJAS Y ORDEN DE PSL PARA DOS LOTES 03 Y 04</t>
  </si>
  <si>
    <t>REZITRO® 20 mg</t>
  </si>
  <si>
    <t>NN-46930/2024</t>
  </si>
  <si>
    <t>MEBENDAZOL  500 mg</t>
  </si>
  <si>
    <t>NN-57945/2021</t>
  </si>
  <si>
    <t>CLARIMEX 250 mg</t>
  </si>
  <si>
    <t>FRASCO X 80 ML</t>
  </si>
  <si>
    <t>NN-39486/2025</t>
  </si>
  <si>
    <t>CUBRE CAJAS AMBOS LOTES 83 Y 85</t>
  </si>
  <si>
    <t>FLAMADIN® PLUS FORTE</t>
  </si>
  <si>
    <t>NN-92312/2024</t>
  </si>
  <si>
    <t>DOS LOTES 13 Y 14</t>
  </si>
  <si>
    <t>LEVODOPA-CARBIDOPA 250/25 mg</t>
  </si>
  <si>
    <t>NN-27097/2023</t>
  </si>
  <si>
    <t>KETOCONAZOL  2%</t>
  </si>
  <si>
    <t>NN-21642/2021</t>
  </si>
  <si>
    <t>NN-30930/2025</t>
  </si>
  <si>
    <t>CAJA X 3 FRASCOS</t>
  </si>
  <si>
    <t>NN-19173/2025</t>
  </si>
  <si>
    <t>DONTOFLAMON®</t>
  </si>
  <si>
    <t>NN-31518/2021</t>
  </si>
  <si>
    <t>FRASCO P/60ML</t>
  </si>
  <si>
    <t>FRASCO X 100ML</t>
  </si>
  <si>
    <t>3 LOTES 74,75 Y 76</t>
  </si>
  <si>
    <t>LIDOCAINA 2 % IFAVET</t>
  </si>
  <si>
    <t>1 VIAL</t>
  </si>
  <si>
    <t>Bolivia SENASAG Reg. PUV - N˚ 008572/18</t>
  </si>
  <si>
    <t>REZITRO® 60</t>
  </si>
  <si>
    <t>3 AMPOLLAS</t>
  </si>
  <si>
    <t>NN-46593/2022</t>
  </si>
  <si>
    <t>REZITRO® 30</t>
  </si>
  <si>
    <t>NN-46929/2022</t>
  </si>
  <si>
    <t>25 AMPOLLAS</t>
  </si>
  <si>
    <t>NN-36592/2024</t>
  </si>
  <si>
    <t>PSL PARA LOS LOTES 57,58,59,60</t>
  </si>
  <si>
    <t>CUBRE CAJAS PARA PRIMER LOTE</t>
  </si>
  <si>
    <t>CUBRE CAJAS PARA LOS DOS PRIMEROS LOTES 50 Y 51</t>
  </si>
  <si>
    <t>PSL PARA TODOS LOS LOTES DEL 50 AL 56</t>
  </si>
  <si>
    <t>CLOTRIM® BG</t>
  </si>
  <si>
    <t>POMO X 15 G</t>
  </si>
  <si>
    <t>NN-31401/2021</t>
  </si>
  <si>
    <t>TUBO X 30 G + 3 APLICADORES</t>
  </si>
  <si>
    <t>CAJA X 1 POMO X 10 G</t>
  </si>
  <si>
    <t>FLAMADIN® 15 mg</t>
  </si>
  <si>
    <t>NN-36984/2024</t>
  </si>
  <si>
    <t>1 AMPOLLA</t>
  </si>
  <si>
    <t>KETOROLACO 30 mg</t>
  </si>
  <si>
    <t>NN-37107/2024</t>
  </si>
  <si>
    <t>PSL PARA  LOS LOTES 46,47,48,49</t>
  </si>
  <si>
    <t>PSL PARA LOS LOTES 79,80,81,82.</t>
  </si>
  <si>
    <t>CAJAS Y PSL CUBRE PARA PRIMER LOTE 78</t>
  </si>
  <si>
    <t>HIDROCORTISONA  1%</t>
  </si>
  <si>
    <t>NN-36235/2024</t>
  </si>
  <si>
    <t>LOTES 38,39,40,41.</t>
  </si>
  <si>
    <t>FRASO X 30 ML</t>
  </si>
  <si>
    <t>NISTATINA  500.000 U.I.</t>
  </si>
  <si>
    <t>NN-31746/2021</t>
  </si>
  <si>
    <t>ALBENDAZOL  400 mg</t>
  </si>
  <si>
    <t>FRASCO X 10 ML</t>
  </si>
  <si>
    <t>NN-24321/2023</t>
  </si>
  <si>
    <t>GOTERO X 10 ML</t>
  </si>
  <si>
    <t>RELEVOX® 20 mg</t>
  </si>
  <si>
    <t>NN-74358/2025</t>
  </si>
  <si>
    <t>CEFABIOTIC® 100 mg</t>
  </si>
  <si>
    <t>FRASCO X 50 ML</t>
  </si>
  <si>
    <t>NN-48843/2023</t>
  </si>
  <si>
    <t>TRIBENZOL 500 mg</t>
  </si>
  <si>
    <t>CAJA X 6 COMPRIMIDOS</t>
  </si>
  <si>
    <t>NN-34777/2025</t>
  </si>
  <si>
    <t>TINIDAZOL  1g</t>
  </si>
  <si>
    <t>NN-21646/2021</t>
  </si>
  <si>
    <t>NISTATINA 100.000 U.I.</t>
  </si>
  <si>
    <t>NN-31422/2021</t>
  </si>
  <si>
    <t>REZITRO® RAPID 30</t>
  </si>
  <si>
    <t xml:space="preserve">COMPRIMIDO SUBLINGUAL     </t>
  </si>
  <si>
    <t>NN-79213/2021</t>
  </si>
  <si>
    <t>NN-47760/2023</t>
  </si>
  <si>
    <t>DEXTROMETORFANO 10 mg</t>
  </si>
  <si>
    <t>NN-38324/2024</t>
  </si>
  <si>
    <t>RMA DE LOS 12 LOTES</t>
  </si>
  <si>
    <t>AFUNGIL® FD</t>
  </si>
  <si>
    <t>NN-92624/2024</t>
  </si>
  <si>
    <t>METAMIZOL 1g</t>
  </si>
  <si>
    <t>NN-43970/2022</t>
  </si>
  <si>
    <t xml:space="preserve">FENORAL® </t>
  </si>
  <si>
    <t>NN-48709/2023</t>
  </si>
  <si>
    <t>LIDOCAÍNA 2%</t>
  </si>
  <si>
    <t>NN-41500/2021</t>
  </si>
  <si>
    <t>NN-95154/2025</t>
  </si>
  <si>
    <t>PENICILINA 2400</t>
  </si>
  <si>
    <t>CAJA X 20 VIALES</t>
  </si>
  <si>
    <t>NN-37518/2024</t>
  </si>
  <si>
    <t>CUBRE CAJAS SOLO PARA UN LOTE</t>
  </si>
  <si>
    <t>CUBRE PSL</t>
  </si>
  <si>
    <t>CLORFENAMINA 4 mg</t>
  </si>
  <si>
    <t>NN-23364/2021</t>
  </si>
  <si>
    <t>PARA TODOS LOS LOTES DESDE EL 36 AL 45</t>
  </si>
  <si>
    <t>FERRICOM®</t>
  </si>
  <si>
    <t>NN-57105/2021</t>
  </si>
  <si>
    <t>FUNGO-VET®</t>
  </si>
  <si>
    <t xml:space="preserve">Crema Dermica </t>
  </si>
  <si>
    <t>TUBO X 50 G</t>
  </si>
  <si>
    <t>Bolivia SENASAG Reg. PUV - Nº 011081/22</t>
  </si>
  <si>
    <t>DONTOFLAMON® NF</t>
  </si>
  <si>
    <t>NN-91964/2024</t>
  </si>
  <si>
    <t>ALENDRONATO 70 mg</t>
  </si>
  <si>
    <t>CAJA X 4 COMPRIMIDOS</t>
  </si>
  <si>
    <t>NN-41020/2026</t>
  </si>
  <si>
    <t>SALE TODO NUEVO</t>
  </si>
  <si>
    <t xml:space="preserve">HIDROCLOROTIAZIDA + AMILORIDA </t>
  </si>
  <si>
    <t>NN-42885/2021</t>
  </si>
  <si>
    <t>OMEGA 3</t>
  </si>
  <si>
    <t>NN-75405/2020</t>
  </si>
  <si>
    <t>DEXAMETASONA 8 mg</t>
  </si>
  <si>
    <t>NN-36516/2024</t>
  </si>
  <si>
    <t>ORDEM DE SERVICO</t>
  </si>
  <si>
    <t>CAJA X 2 CAP. BLANDAS</t>
  </si>
  <si>
    <t xml:space="preserve">CLOTRIM® 1%  </t>
  </si>
  <si>
    <t>POMO X 20 G</t>
  </si>
  <si>
    <t>NN-17679/2024</t>
  </si>
  <si>
    <t>ACICLOVIR  5%</t>
  </si>
  <si>
    <t>TUBO X 5 G</t>
  </si>
  <si>
    <t>NN-24323/2023</t>
  </si>
  <si>
    <t>CUBRE LOS DOS PRIMEROS LOTES  28Y29 falta para el 30 al 34</t>
  </si>
  <si>
    <t xml:space="preserve">FRIXADOL® </t>
  </si>
  <si>
    <t>CAJA X 1 TUBO X 5 G</t>
  </si>
  <si>
    <t>NN-35847/2020</t>
  </si>
  <si>
    <t>DOS LOTES 57 Y 58</t>
  </si>
  <si>
    <t>CAJA X 1 TUBO X 50 G</t>
  </si>
  <si>
    <t>TODAS LAS PSL DEL LOTE 46,53,54,55,56.</t>
  </si>
  <si>
    <t>DOS LOTES DE PSL  45 Y 44</t>
  </si>
  <si>
    <t>FRAGIL GENERICO</t>
  </si>
  <si>
    <t>NN-44652/2022</t>
  </si>
  <si>
    <t>DOS LOTES 52 Y 51</t>
  </si>
  <si>
    <t>DOLOFIXIN® SOLUCIÓN INYECTABLE</t>
  </si>
  <si>
    <t>CAJA X 1 AMPOLLA</t>
  </si>
  <si>
    <t>5857-MEE-0121</t>
  </si>
  <si>
    <t xml:space="preserve">CAJA X 1 VIAL </t>
  </si>
  <si>
    <t>CAJAS CUBRE(PSL PARA AMBOS LOTES)</t>
  </si>
  <si>
    <t>LOTES, 29,30,31.</t>
  </si>
  <si>
    <t>RISPERIDONA 3 mg</t>
  </si>
  <si>
    <t>NN-46855/2022</t>
  </si>
  <si>
    <t xml:space="preserve">LIDERMAN® </t>
  </si>
  <si>
    <t>CAJA X 20 CAPSULAS</t>
  </si>
  <si>
    <t>NN-81023/2022</t>
  </si>
  <si>
    <t>TRICOBIC  1 g</t>
  </si>
  <si>
    <t>NN-20466/2026</t>
  </si>
  <si>
    <t>METRONIDAZOL  500 mg</t>
  </si>
  <si>
    <t>NN-20635/2021</t>
  </si>
  <si>
    <t>DIPROFEN® FLU</t>
  </si>
  <si>
    <t>NN-41821/2021</t>
  </si>
  <si>
    <t>FLUCOMICOL® 150 mg</t>
  </si>
  <si>
    <t>NN-28339/2023</t>
  </si>
  <si>
    <t xml:space="preserve">FLAMACOXINE® </t>
  </si>
  <si>
    <t>5874-MEE-0121</t>
  </si>
  <si>
    <t>CAJA X 10 CAPS BLANDAS</t>
  </si>
  <si>
    <t>SOLICITUD DE ALUMINIO</t>
  </si>
  <si>
    <t>FORMULARIO</t>
  </si>
  <si>
    <t>FORMULARIOS</t>
  </si>
  <si>
    <t>POSO DE LOS 3 LOTES</t>
  </si>
  <si>
    <t>CUBRE 2 LOTES FALTA PARA 1</t>
  </si>
  <si>
    <t>IFABENA® 5%</t>
  </si>
  <si>
    <t>TUBO X 20 G</t>
  </si>
  <si>
    <t>NN-28669/2024</t>
  </si>
  <si>
    <t>FLAMADIN® PLUS</t>
  </si>
  <si>
    <t>NN-50864/2024</t>
  </si>
  <si>
    <t>DISPENSER X 200 CAPS</t>
  </si>
  <si>
    <t>PARA LOS 3 LOTES</t>
  </si>
  <si>
    <t>CUBRE PARA EL PRIMER LOTE 40 FALTA PARA EL 41 Y 42</t>
  </si>
  <si>
    <t>LOTE 45 Y 46</t>
  </si>
  <si>
    <t>STOCK YA CONTEMPLADO PARA PRODUCTO ANTERIOR(LOTE 45 Y 46)</t>
  </si>
  <si>
    <t xml:space="preserve">METRONIDAZOL 125 mg </t>
  </si>
  <si>
    <t>Bolivia SENASAG Reg. PUV - N˚  008567/18</t>
  </si>
  <si>
    <t>METFORMINA 850 mg</t>
  </si>
  <si>
    <t>NN-41225/2026</t>
  </si>
  <si>
    <t>CUBRE PARA 2 LOTES 62 Y 69</t>
  </si>
  <si>
    <t>CUBRE PARA EL LOTE 71 CUBRE PSL PARA AMBOS</t>
  </si>
  <si>
    <t>LOTES 25,26,27,28</t>
  </si>
  <si>
    <t xml:space="preserve">METOCLOPRAMIDA INYECTABLE IFAVET </t>
  </si>
  <si>
    <t>Bolivia SENASAG Reg. PUV - N˚ 008553/18</t>
  </si>
  <si>
    <t>NN-20637/2026</t>
  </si>
  <si>
    <t xml:space="preserve">AFUNGIL® </t>
  </si>
  <si>
    <t xml:space="preserve">SOBRE X 2 CAPSULAS </t>
  </si>
  <si>
    <t>NN-46596/2022</t>
  </si>
  <si>
    <t>CAJA X 12 CAPS</t>
  </si>
  <si>
    <t>SOBRE X 1 CAPSULA</t>
  </si>
  <si>
    <t>GEMFIBROZILO 600 mg</t>
  </si>
  <si>
    <t>NN-42948/2021</t>
  </si>
  <si>
    <t>CLOTRIMAZOL  1%</t>
  </si>
  <si>
    <t>NN-36541/2024</t>
  </si>
  <si>
    <t>COTRIMOXAZOL 200/40 mg</t>
  </si>
  <si>
    <t>NN-21644/2021</t>
  </si>
  <si>
    <t xml:space="preserve">IFAMETASONA® </t>
  </si>
  <si>
    <t>caja x 1 vial</t>
  </si>
  <si>
    <t>Bolivia SENASAG Reg. PUV - Nº 011247/23</t>
  </si>
  <si>
    <t>DIPROFEN® 100 mg</t>
  </si>
  <si>
    <t>NN-17683/2024</t>
  </si>
  <si>
    <t>TERMO-DIPROFEN®</t>
  </si>
  <si>
    <t>NN-41926/2021</t>
  </si>
  <si>
    <t xml:space="preserve">VETACEF ®250 </t>
  </si>
  <si>
    <t xml:space="preserve">Polvo para Suspensión  </t>
  </si>
  <si>
    <t>FRASCO PARA 100 ML</t>
  </si>
  <si>
    <t>Bolivia SENASAG Reg. PUV - Nº  011169/23</t>
  </si>
  <si>
    <t>FERROCAN GOTAS</t>
  </si>
  <si>
    <t>Bolivia SENASAG Reg. PUV - Nº 002208/08</t>
  </si>
  <si>
    <t xml:space="preserve">REPAHIL® </t>
  </si>
  <si>
    <t>DISPENSER X 10 SOBRES</t>
  </si>
  <si>
    <t>NN-92267/2024</t>
  </si>
  <si>
    <t>AMBOS LOTES 21 Y 20</t>
  </si>
  <si>
    <t>ACICLOVIR 400 mg</t>
  </si>
  <si>
    <t>NN-40805/2025</t>
  </si>
  <si>
    <t>DISEÑO ANTIGUO</t>
  </si>
  <si>
    <t>AMBROXOL FORTE 30 mg</t>
  </si>
  <si>
    <t>NN-24363/2023</t>
  </si>
  <si>
    <t>DOMPERIDONA  10 mg</t>
  </si>
  <si>
    <t>NN-30706/2025</t>
  </si>
  <si>
    <t>NN-24319/2026</t>
  </si>
  <si>
    <t>CEFABIOTIC® 200 mg</t>
  </si>
  <si>
    <t>NN-61168/2022</t>
  </si>
  <si>
    <t>ETIQUETA SALA DE ACABADO</t>
  </si>
  <si>
    <t>SUPLEMENTO DIETARIO A BASE DEL AMINOACIDO DEL EXTRACTO DE GRIFFONIA SIMPLICIFOLIA (RELAGEN® 5- HTP)</t>
  </si>
  <si>
    <t>CAJA X 60 CAPSULAS</t>
  </si>
  <si>
    <t>SE CAMBIO LA CANTIDAD A 16129</t>
  </si>
  <si>
    <t>IFA-04297</t>
  </si>
  <si>
    <t>IFA-06385</t>
  </si>
  <si>
    <t>MUCOL® 600 mg</t>
  </si>
  <si>
    <t>DISPENSER X 20 SOBRES</t>
  </si>
  <si>
    <t>NN-91916/2024</t>
  </si>
  <si>
    <t>QUINOSIL  500 mg</t>
  </si>
  <si>
    <t>NN-30768/2025</t>
  </si>
  <si>
    <t>CEFOTAXIMA 1 g</t>
  </si>
  <si>
    <t>Bolivia SENASAG Reg. PUV - N˚ 008541/18</t>
  </si>
  <si>
    <t>RMA DE LOS LOTES 26 AL 30</t>
  </si>
  <si>
    <t>RMA DE 6 LOTES DEL 99 AL 04</t>
  </si>
  <si>
    <t>CEFABIOTIC® 400 mg</t>
  </si>
  <si>
    <t>SOBRE X 2 CAPSULAS</t>
  </si>
  <si>
    <t>NN-47373/2022</t>
  </si>
  <si>
    <t>FLUCONAZOL  150 mg</t>
  </si>
  <si>
    <t>NN-50824/2023</t>
  </si>
  <si>
    <t>CAJAS POR TJ</t>
  </si>
  <si>
    <t>CANTIDAD TIRAJE</t>
  </si>
  <si>
    <t>PREDICCION</t>
  </si>
  <si>
    <t>N TJ</t>
  </si>
  <si>
    <t>GAOTIAN</t>
  </si>
  <si>
    <t>CÓDIGO</t>
  </si>
  <si>
    <t>CÓDIGO DE PLANTA</t>
  </si>
  <si>
    <t>PRODUCTOS</t>
  </si>
  <si>
    <t>INSUMO</t>
  </si>
  <si>
    <t>PRESENTACIÓN</t>
  </si>
  <si>
    <t>TIPO</t>
  </si>
  <si>
    <t>LÍNEA</t>
  </si>
  <si>
    <t>COD PRESENT</t>
  </si>
  <si>
    <t>COD PLACA</t>
  </si>
  <si>
    <t>CIAN</t>
  </si>
  <si>
    <t>MAGENTA</t>
  </si>
  <si>
    <t>AMARILLO</t>
  </si>
  <si>
    <t>NEGRO</t>
  </si>
  <si>
    <t>PANTONE 163 C NARANJA CLARO</t>
  </si>
  <si>
    <t>PANTONE 165 C NARANJA</t>
  </si>
  <si>
    <t>PANTONE AZUL 3005 C</t>
  </si>
  <si>
    <t>PANTONE AZUL 534 C</t>
  </si>
  <si>
    <t>PANTONE AZUL REFLEX 280 C</t>
  </si>
  <si>
    <t>PANTONE ROJO CLARO 178 C</t>
  </si>
  <si>
    <t>PANTONE ROJO IFA 186 C</t>
  </si>
  <si>
    <t>PANTONE ROSADO 213 C</t>
  </si>
  <si>
    <t>PANTONE ROSADO CLARO 211 C</t>
  </si>
  <si>
    <t>PANTONE VERDE 355 C</t>
  </si>
  <si>
    <t>CANTIDAD DE COLORES</t>
  </si>
  <si>
    <t>CODIGO</t>
  </si>
  <si>
    <t>MO/ZP</t>
  </si>
  <si>
    <t>SPEEDMASTER</t>
  </si>
  <si>
    <t>MEDIDA DE CAJA EN TROQUEL (mm)</t>
  </si>
  <si>
    <t>N TROQUEL</t>
  </si>
  <si>
    <t>MEDIDA DE ARMADO</t>
  </si>
  <si>
    <t>ARMADO MED A</t>
  </si>
  <si>
    <t>ARMADO MED B</t>
  </si>
  <si>
    <t>CORTE MED A</t>
  </si>
  <si>
    <t>CORTE MED B</t>
  </si>
  <si>
    <t>MEDIDA DE CORTE</t>
  </si>
  <si>
    <t>ARMADO A OFICIAL I</t>
  </si>
  <si>
    <t>ARMADO B OFICIAL I</t>
  </si>
  <si>
    <t>CAJAS POR TIRAJE</t>
  </si>
  <si>
    <t>TIRAJES POR PLIEGO</t>
  </si>
  <si>
    <t>CAJAS POR PLIEGO</t>
  </si>
  <si>
    <t>OBSERVACIONES</t>
  </si>
  <si>
    <t>MAQUINA PREFERENCIAL</t>
  </si>
  <si>
    <t>TRIBENZOL</t>
  </si>
  <si>
    <t>C</t>
  </si>
  <si>
    <t>C2</t>
  </si>
  <si>
    <t>D</t>
  </si>
  <si>
    <t>J</t>
  </si>
  <si>
    <t>K</t>
  </si>
  <si>
    <t>DJK</t>
  </si>
  <si>
    <t>NO</t>
  </si>
  <si>
    <t>SEGUNDA OPCIÓN</t>
  </si>
  <si>
    <t>PREFERENCIA</t>
  </si>
  <si>
    <t>213X112X80</t>
  </si>
  <si>
    <t>41X42.5</t>
  </si>
  <si>
    <t>44X45.5</t>
  </si>
  <si>
    <t>OK</t>
  </si>
  <si>
    <t>2024 ENERO</t>
  </si>
  <si>
    <t>DUFORAX PLUS</t>
  </si>
  <si>
    <t>D4</t>
  </si>
  <si>
    <t>A</t>
  </si>
  <si>
    <t>B</t>
  </si>
  <si>
    <t>L</t>
  </si>
  <si>
    <t>M</t>
  </si>
  <si>
    <t>ABCDKLM</t>
  </si>
  <si>
    <t>160X85X65</t>
  </si>
  <si>
    <t>33.3X32.7</t>
  </si>
  <si>
    <t>36.3X35.7</t>
  </si>
  <si>
    <t>2025 OCTUBRE</t>
  </si>
  <si>
    <t>101-004-058</t>
  </si>
  <si>
    <t>ARTROFLEXIN</t>
  </si>
  <si>
    <t>2025 JUNIO</t>
  </si>
  <si>
    <t>101-004-081</t>
  </si>
  <si>
    <t>IFOZILINA</t>
  </si>
  <si>
    <t>105X45X25</t>
  </si>
  <si>
    <t>35X32.4</t>
  </si>
  <si>
    <t>38X35.4</t>
  </si>
  <si>
    <t>2024 MARZO</t>
  </si>
  <si>
    <t>101-004-080</t>
  </si>
  <si>
    <t>103-016-002</t>
  </si>
  <si>
    <t>FUNGO-VET</t>
  </si>
  <si>
    <t>CREMA</t>
  </si>
  <si>
    <t>D8</t>
  </si>
  <si>
    <t>H</t>
  </si>
  <si>
    <t>HK</t>
  </si>
  <si>
    <t>147X40X37</t>
  </si>
  <si>
    <t>46.5X17.6</t>
  </si>
  <si>
    <t>51.5X19.6</t>
  </si>
  <si>
    <t>2026 FEBRERO (PROX)</t>
  </si>
  <si>
    <t>101-005-016</t>
  </si>
  <si>
    <t>AGUA INYECTABLE</t>
  </si>
  <si>
    <t>AMPOLLAS</t>
  </si>
  <si>
    <t>A2</t>
  </si>
  <si>
    <t>123X123X95</t>
  </si>
  <si>
    <t>51.8X39</t>
  </si>
  <si>
    <t>54.8X42</t>
  </si>
  <si>
    <t>2024 AGOSTO</t>
  </si>
  <si>
    <t>DORMICLON</t>
  </si>
  <si>
    <t>103X45X15</t>
  </si>
  <si>
    <t>31.5X28.4</t>
  </si>
  <si>
    <t>34.5X31.4</t>
  </si>
  <si>
    <t>2024 SEPTIEMBRE</t>
  </si>
  <si>
    <t>101-001-039</t>
  </si>
  <si>
    <t>GRISEOVINA</t>
  </si>
  <si>
    <t>B5</t>
  </si>
  <si>
    <t>E</t>
  </si>
  <si>
    <t>F</t>
  </si>
  <si>
    <t>DEFK</t>
  </si>
  <si>
    <t>83X43X26</t>
  </si>
  <si>
    <t>45X16</t>
  </si>
  <si>
    <t>48X19</t>
  </si>
  <si>
    <t>2024 NOVIEMBRE</t>
  </si>
  <si>
    <t>SANNITA</t>
  </si>
  <si>
    <t>B7</t>
  </si>
  <si>
    <t>ABCD</t>
  </si>
  <si>
    <t>105X42X20</t>
  </si>
  <si>
    <t>33X29</t>
  </si>
  <si>
    <t>36X32</t>
  </si>
  <si>
    <t>101-004-083</t>
  </si>
  <si>
    <t>MUESTRA MÉDICA</t>
  </si>
  <si>
    <t>L2</t>
  </si>
  <si>
    <t>JK</t>
  </si>
  <si>
    <t>64X44X16</t>
  </si>
  <si>
    <t>34X29</t>
  </si>
  <si>
    <t>37X32</t>
  </si>
  <si>
    <t>2024 OCTUBRE</t>
  </si>
  <si>
    <t>101-009-024</t>
  </si>
  <si>
    <t>PREDNISOX</t>
  </si>
  <si>
    <t>N3</t>
  </si>
  <si>
    <t>G</t>
  </si>
  <si>
    <t>ABCDGK</t>
  </si>
  <si>
    <t>100X50X50</t>
  </si>
  <si>
    <t>43.5X22.2</t>
  </si>
  <si>
    <t>46.5X25.2</t>
  </si>
  <si>
    <t>101-009-023</t>
  </si>
  <si>
    <t>E3</t>
  </si>
  <si>
    <t>119X57X57</t>
  </si>
  <si>
    <t>25.1X47.5</t>
  </si>
  <si>
    <t>28.1X50.5</t>
  </si>
  <si>
    <t>CAJA MM DORMICLON X 2 COMP.</t>
  </si>
  <si>
    <t>102-009-004</t>
  </si>
  <si>
    <t>ACIDO NALIDIXICO</t>
  </si>
  <si>
    <t>E1</t>
  </si>
  <si>
    <t>I</t>
  </si>
  <si>
    <t>IN</t>
  </si>
  <si>
    <t>119X53X53</t>
  </si>
  <si>
    <t>24X45.5</t>
  </si>
  <si>
    <t>27X48.5</t>
  </si>
  <si>
    <t>2023 SEPTIEMBRE</t>
  </si>
  <si>
    <t>AMBROXOL FORTE</t>
  </si>
  <si>
    <t>2025 ABRIL</t>
  </si>
  <si>
    <t>IFA-01051</t>
  </si>
  <si>
    <t>102-007-002</t>
  </si>
  <si>
    <t>CAJA AMBROXOL JARABE 15 MG X 100ML (PG) (119X53X53)</t>
  </si>
  <si>
    <t>AMBROXOL</t>
  </si>
  <si>
    <t>AMOXICILINA</t>
  </si>
  <si>
    <t>102-014-008</t>
  </si>
  <si>
    <t>102-014-013</t>
  </si>
  <si>
    <t>AMOXICILINA + ÁCIDO CLAVULÁNICO</t>
  </si>
  <si>
    <t>102-014-012</t>
  </si>
  <si>
    <t>IFA-01099</t>
  </si>
  <si>
    <t>102-007-007</t>
  </si>
  <si>
    <t>CAJA BROMHEXINA 4 MG JARABE X 100 ML (PG)</t>
  </si>
  <si>
    <t>BROMHEXINA</t>
  </si>
  <si>
    <t>2022 OCTUBRE</t>
  </si>
  <si>
    <t>CAJA CETIRIZINA 5 MG JBE X 100 ML (2 COLORES 119 X 53 X 53 MM) PG</t>
  </si>
  <si>
    <t>CETIRIZINA</t>
  </si>
  <si>
    <t>102-007-004</t>
  </si>
  <si>
    <t>CODEINA</t>
  </si>
  <si>
    <t>2024 FEBRERO</t>
  </si>
  <si>
    <t>COTRIMOXAZOL</t>
  </si>
  <si>
    <t>2025 FEBRERO</t>
  </si>
  <si>
    <t>102-009-013</t>
  </si>
  <si>
    <t>2025 MAYO</t>
  </si>
  <si>
    <t>DEXTROMETORFANO</t>
  </si>
  <si>
    <t>DICLOXACILINA</t>
  </si>
  <si>
    <t>POLVO SUSP.</t>
  </si>
  <si>
    <t>102-014-010</t>
  </si>
  <si>
    <t>ERITROMICINA</t>
  </si>
  <si>
    <t>IBUPROFENO</t>
  </si>
  <si>
    <t>102-009-010</t>
  </si>
  <si>
    <t>IFA-01400</t>
  </si>
  <si>
    <t>102-009-008</t>
  </si>
  <si>
    <t>CAJA METRONIDAZOL 125 MG SUSP. LIQUIDA X 100 ML ( 2 COLORES 119X5</t>
  </si>
  <si>
    <t>METRONIDAZOL</t>
  </si>
  <si>
    <t>2022 JULIO</t>
  </si>
  <si>
    <t>102-009-007</t>
  </si>
  <si>
    <t>IFA-01426</t>
  </si>
  <si>
    <t>CAJA NISTATINA 500000 UI X 100 ML SUSP. (PG)</t>
  </si>
  <si>
    <t>NISTATINA</t>
  </si>
  <si>
    <t>2022 ENERO</t>
  </si>
  <si>
    <t>PARACETAMOL</t>
  </si>
  <si>
    <t>ZINC</t>
  </si>
  <si>
    <t>BENZALIL</t>
  </si>
  <si>
    <t>LOCIÓN</t>
  </si>
  <si>
    <t>E2</t>
  </si>
  <si>
    <t>DK</t>
  </si>
  <si>
    <t>2023 ABRIL</t>
  </si>
  <si>
    <t>CLOTRIM</t>
  </si>
  <si>
    <t>TALCO</t>
  </si>
  <si>
    <t>2021 JUNIO</t>
  </si>
  <si>
    <t>SARNOL</t>
  </si>
  <si>
    <t>VERIFICAR N TROQUEL</t>
  </si>
  <si>
    <t>101-012-003</t>
  </si>
  <si>
    <t>TALCO PARA PITAÍ</t>
  </si>
  <si>
    <t>101-007-001</t>
  </si>
  <si>
    <t>TUSSINOL</t>
  </si>
  <si>
    <t>2023 AGOSTO</t>
  </si>
  <si>
    <t>101-007-008</t>
  </si>
  <si>
    <t>MUCOLITIC</t>
  </si>
  <si>
    <t>DERMO VET</t>
  </si>
  <si>
    <t>E8</t>
  </si>
  <si>
    <t>2024 DICIEMBRE</t>
  </si>
  <si>
    <t>103-008-002</t>
  </si>
  <si>
    <t>HONGO-VET</t>
  </si>
  <si>
    <t>2025 MARZO</t>
  </si>
  <si>
    <t>IFA-01333</t>
  </si>
  <si>
    <t>CAJA IFAMET 125 MG. X 100 ML.</t>
  </si>
  <si>
    <t>IFAMET</t>
  </si>
  <si>
    <t>DISCONTINUADO</t>
  </si>
  <si>
    <t>2019 AGOSTO</t>
  </si>
  <si>
    <t>CAJA BRONCOFLU X 100 ML. JBE.</t>
  </si>
  <si>
    <t>BRONCOFLU</t>
  </si>
  <si>
    <t>IFA-01206</t>
  </si>
  <si>
    <t>101-009-018</t>
  </si>
  <si>
    <t>CAJA DIPROFEN FLU 100 MG X 100 ML</t>
  </si>
  <si>
    <t>DIPROFEN FLU</t>
  </si>
  <si>
    <t>101-009-017</t>
  </si>
  <si>
    <t>DIPROFEN FLU FUERTE</t>
  </si>
  <si>
    <t>101-009-005</t>
  </si>
  <si>
    <t>DIPROFEN FUERTE</t>
  </si>
  <si>
    <t>101-007-003</t>
  </si>
  <si>
    <t>DOLOGRIP</t>
  </si>
  <si>
    <t>DONTOFLAMON</t>
  </si>
  <si>
    <t>HISTADRYN NF</t>
  </si>
  <si>
    <t>2023 MARZO</t>
  </si>
  <si>
    <t>101-009-004</t>
  </si>
  <si>
    <t>101-009-019</t>
  </si>
  <si>
    <t>TERMO DIPROFEN</t>
  </si>
  <si>
    <t>2024 JULIO</t>
  </si>
  <si>
    <t>101-009-006</t>
  </si>
  <si>
    <t>IFATRIM</t>
  </si>
  <si>
    <t>TENACAR</t>
  </si>
  <si>
    <t>SOLUCIÓN ORAL</t>
  </si>
  <si>
    <t>H6</t>
  </si>
  <si>
    <t>120X62X62</t>
  </si>
  <si>
    <t>27.1X50</t>
  </si>
  <si>
    <t>32.1X55</t>
  </si>
  <si>
    <t>2023 JULIO</t>
  </si>
  <si>
    <t>103-006-008</t>
  </si>
  <si>
    <t>2025 ENERO</t>
  </si>
  <si>
    <t>TINIDAZOL</t>
  </si>
  <si>
    <t>C1</t>
  </si>
  <si>
    <t>90X40X13,5</t>
  </si>
  <si>
    <t>27.5X25.3</t>
  </si>
  <si>
    <t>30.5X28.3</t>
  </si>
  <si>
    <t>CAJA TRICOBIC 1 GR. X 2 COMP.</t>
  </si>
  <si>
    <t>TRICOBIC</t>
  </si>
  <si>
    <t>2026 ABRIL</t>
  </si>
  <si>
    <t>101-001-030</t>
  </si>
  <si>
    <t>LIDERMAN</t>
  </si>
  <si>
    <t>83X42X20</t>
  </si>
  <si>
    <t>41.5X28.8</t>
  </si>
  <si>
    <t>44.5X31.8</t>
  </si>
  <si>
    <t>2020 OCTUBRE</t>
  </si>
  <si>
    <t>101-004-049</t>
  </si>
  <si>
    <t>DOLOMIGRAL</t>
  </si>
  <si>
    <t>ABCDJK</t>
  </si>
  <si>
    <t>90X80X61</t>
  </si>
  <si>
    <t>29.3X32.8</t>
  </si>
  <si>
    <t>32.3X35.8</t>
  </si>
  <si>
    <t>2022 ABRIL</t>
  </si>
  <si>
    <t>106-005-002</t>
  </si>
  <si>
    <t>DOLOFIXIN</t>
  </si>
  <si>
    <t>J2</t>
  </si>
  <si>
    <t>19X40X90</t>
  </si>
  <si>
    <t>29.6X27.6</t>
  </si>
  <si>
    <t>32.6X30.6</t>
  </si>
  <si>
    <t>AMLODIPINA</t>
  </si>
  <si>
    <t>90X40X19</t>
  </si>
  <si>
    <t>ATORVASTATINA</t>
  </si>
  <si>
    <t>102-004-059</t>
  </si>
  <si>
    <t>LOSARTAN</t>
  </si>
  <si>
    <t>RISPERIDONA</t>
  </si>
  <si>
    <t>101-004-057</t>
  </si>
  <si>
    <t>INCRETIN</t>
  </si>
  <si>
    <t>2023 FEBRERO</t>
  </si>
  <si>
    <t>101-005-009</t>
  </si>
  <si>
    <t>FENORAL</t>
  </si>
  <si>
    <t>101-005-007</t>
  </si>
  <si>
    <t>REZITRO</t>
  </si>
  <si>
    <t>IFA-01454</t>
  </si>
  <si>
    <t>101-004-053</t>
  </si>
  <si>
    <t>CAJA PREDNISOX 20 MG COMP. ( 3 COLORES DE 90 X 40 X 13.5 MM)</t>
  </si>
  <si>
    <t>DJKN</t>
  </si>
  <si>
    <t>101-004-063</t>
  </si>
  <si>
    <t>TANIDAX</t>
  </si>
  <si>
    <t>101-004-064</t>
  </si>
  <si>
    <t>101-004-065</t>
  </si>
  <si>
    <t>DIMENHIDRINATO</t>
  </si>
  <si>
    <t>101-021-002</t>
  </si>
  <si>
    <t>SOBRE MM TRIOBACTER LANSOPRAZOL 30 MG CLARITROMICINA 500 MG GTO</t>
  </si>
  <si>
    <t>LANSOPRASOL</t>
  </si>
  <si>
    <t>261X100</t>
  </si>
  <si>
    <t>31X27.2</t>
  </si>
  <si>
    <t>34X30.2</t>
  </si>
  <si>
    <t>102-006-003</t>
  </si>
  <si>
    <t>ANTIGRIPAL</t>
  </si>
  <si>
    <t>86x35X35</t>
  </si>
  <si>
    <t>50X32.6</t>
  </si>
  <si>
    <t>53X35.6</t>
  </si>
  <si>
    <t>EXAMIL</t>
  </si>
  <si>
    <t>DKLM</t>
  </si>
  <si>
    <t>101-015-006</t>
  </si>
  <si>
    <t>KALENDA</t>
  </si>
  <si>
    <t>101-015-003</t>
  </si>
  <si>
    <t>MULTIGYN</t>
  </si>
  <si>
    <t>2024 ABRIL</t>
  </si>
  <si>
    <t>101-015-005</t>
  </si>
  <si>
    <t>2023 NOVIEMBRE CORREGIR NOMBRE DE CODIGO</t>
  </si>
  <si>
    <t>IFA-01223</t>
  </si>
  <si>
    <t>101-001-025</t>
  </si>
  <si>
    <t>CAJA DOLOGRIP NOCHE X 50 CAPSULAS BLANDAS (3 COLORES 120 X 95 X 6</t>
  </si>
  <si>
    <t>B2</t>
  </si>
  <si>
    <t>120X95X66</t>
  </si>
  <si>
    <t>34.2X34.6</t>
  </si>
  <si>
    <t>37.2X37.6</t>
  </si>
  <si>
    <t>IFA-01218</t>
  </si>
  <si>
    <t>101-001-020</t>
  </si>
  <si>
    <t>CAJA DOLOGRIP DIA X 50 CAPSULAS BLANDAS (4 COLORES 120 X 95 X 66</t>
  </si>
  <si>
    <t>85X77X75</t>
  </si>
  <si>
    <t>34.5X46.5</t>
  </si>
  <si>
    <t>37.5X49.5</t>
  </si>
  <si>
    <t>2023 MAYO</t>
  </si>
  <si>
    <t>102-004-020</t>
  </si>
  <si>
    <t>60X78X83</t>
  </si>
  <si>
    <t>44X34.5</t>
  </si>
  <si>
    <t>47X37.5</t>
  </si>
  <si>
    <t>IFA-01153</t>
  </si>
  <si>
    <t>CAJA CLARITROMICINA 500 MG X 100 COMP ( 2 COLORES DE 60 X 78 X 83</t>
  </si>
  <si>
    <t>CLARITROMICINA</t>
  </si>
  <si>
    <t>34.9X61.3</t>
  </si>
  <si>
    <t>37.9X64.3</t>
  </si>
  <si>
    <t>2020 ABRIL</t>
  </si>
  <si>
    <t>IFA-01081</t>
  </si>
  <si>
    <t>CAJA ARTROFLEXIN 200MG X 100 COMP. RECUBIERTOS</t>
  </si>
  <si>
    <t>FLUCONAZOL</t>
  </si>
  <si>
    <t>B1</t>
  </si>
  <si>
    <t>102-003-001</t>
  </si>
  <si>
    <t>CAJA FLUCONAZOL 200 MG X 2 CAPS.(PG) ( 90X60X18 )</t>
  </si>
  <si>
    <t>FLUCOMICOL</t>
  </si>
  <si>
    <t>B4</t>
  </si>
  <si>
    <t>2024 MAYO</t>
  </si>
  <si>
    <t>101-003-003</t>
  </si>
  <si>
    <t>CAJA FLUCOMICOL 200 MG X 2 CAP</t>
  </si>
  <si>
    <t>103-004-001</t>
  </si>
  <si>
    <t>DOXI-VET</t>
  </si>
  <si>
    <t>C8</t>
  </si>
  <si>
    <t>91X59X35</t>
  </si>
  <si>
    <t>35.6X21.1</t>
  </si>
  <si>
    <t>38.6X24.1</t>
  </si>
  <si>
    <t>2021 OCTUBRE</t>
  </si>
  <si>
    <t>CIFLOX</t>
  </si>
  <si>
    <t>121X100X20</t>
  </si>
  <si>
    <t>36.5X26.2</t>
  </si>
  <si>
    <t>39.5X29.2</t>
  </si>
  <si>
    <t>2022 AGOSTO</t>
  </si>
  <si>
    <t>IFABENA</t>
  </si>
  <si>
    <t>89X42X42</t>
  </si>
  <si>
    <t>36.9X19</t>
  </si>
  <si>
    <t>39.9X22</t>
  </si>
  <si>
    <t>N2</t>
  </si>
  <si>
    <t>DICLOFENACO</t>
  </si>
  <si>
    <t>215X79,5X33</t>
  </si>
  <si>
    <t>37.3X25.1</t>
  </si>
  <si>
    <t>40.3X28.1</t>
  </si>
  <si>
    <t>2023 NOVIEMBRE</t>
  </si>
  <si>
    <t>CIALSTAX</t>
  </si>
  <si>
    <t>VIAL</t>
  </si>
  <si>
    <t>I2</t>
  </si>
  <si>
    <t>97X57X37</t>
  </si>
  <si>
    <t>37.5X26.6</t>
  </si>
  <si>
    <t>40.5X29.6</t>
  </si>
  <si>
    <t>CLORFENAMINA</t>
  </si>
  <si>
    <t>85X53X38</t>
  </si>
  <si>
    <t>37.8X41.1</t>
  </si>
  <si>
    <t>40.8X44.1</t>
  </si>
  <si>
    <t>2022 JUNIO</t>
  </si>
  <si>
    <t>102-004-056</t>
  </si>
  <si>
    <t>DEXAMETASONA</t>
  </si>
  <si>
    <t>83X53X38</t>
  </si>
  <si>
    <t>37.8X41.2</t>
  </si>
  <si>
    <t>40.8X44.2</t>
  </si>
  <si>
    <t>102-004-021</t>
  </si>
  <si>
    <t>ENALAPRIL MALEATO</t>
  </si>
  <si>
    <t>2023 DICIEMBRE</t>
  </si>
  <si>
    <t>102-004-082</t>
  </si>
  <si>
    <t>CAJA FINASTERIDA 5 MG X 100 COMP</t>
  </si>
  <si>
    <t>FINASTERIDA</t>
  </si>
  <si>
    <t>102-004-024</t>
  </si>
  <si>
    <t>HIDROCLOROTIAZIDA</t>
  </si>
  <si>
    <t>102-004-016</t>
  </si>
  <si>
    <t>INDOMETACINA</t>
  </si>
  <si>
    <t>102-004-006</t>
  </si>
  <si>
    <t>MEBENDAZOL</t>
  </si>
  <si>
    <t>MELOXICAN</t>
  </si>
  <si>
    <t>2023 JUNIO</t>
  </si>
  <si>
    <t>102-004-054</t>
  </si>
  <si>
    <t>PREDNISONA</t>
  </si>
  <si>
    <t>2022 SEPTIEMBRE</t>
  </si>
  <si>
    <t>102-004-069</t>
  </si>
  <si>
    <t>2021 FEBRERO</t>
  </si>
  <si>
    <t>102-004-071</t>
  </si>
  <si>
    <t>2024 JULIO CORREGIR MEDIDA DE TROQUEL Y MOSTRAR PIE DE INFORMACION</t>
  </si>
  <si>
    <t>2021 MARZO</t>
  </si>
  <si>
    <t>102-004-045</t>
  </si>
  <si>
    <t>RMA 2024 JULIO</t>
  </si>
  <si>
    <t>102-004-037</t>
  </si>
  <si>
    <t>METOCLOPRAMIDA</t>
  </si>
  <si>
    <t>2023 ENERO</t>
  </si>
  <si>
    <t>101-003-018</t>
  </si>
  <si>
    <t>CAJA FENORAL 200 MG X 10 CAPS.</t>
  </si>
  <si>
    <t>38.1X20.5</t>
  </si>
  <si>
    <t>41.1X23.5</t>
  </si>
  <si>
    <t>VITACAN</t>
  </si>
  <si>
    <t>IFA-01061</t>
  </si>
  <si>
    <t>CAJA AMOXICILINA 125 MG SUSP. POLVOX 60 ML ( 99X47X47) 2 COLORES</t>
  </si>
  <si>
    <t>99X47X47</t>
  </si>
  <si>
    <t>38.8X41.8</t>
  </si>
  <si>
    <t>41.8X44.8</t>
  </si>
  <si>
    <t>2020 FEBRERO</t>
  </si>
  <si>
    <t>102-014-003</t>
  </si>
  <si>
    <t>102-014-006</t>
  </si>
  <si>
    <t>CEFALEXINA</t>
  </si>
  <si>
    <t>99x47x47</t>
  </si>
  <si>
    <t>102-007-008</t>
  </si>
  <si>
    <t>102-009-001</t>
  </si>
  <si>
    <t>102-014-007</t>
  </si>
  <si>
    <t>102-014-002</t>
  </si>
  <si>
    <t>IFA-01049</t>
  </si>
  <si>
    <t>CAJA MM AMBROXOL 30 MG JARABE X 30 ML (IFAVET) (99X47X47) (2 COLORES</t>
  </si>
  <si>
    <t>AMBROXOL IFAVET</t>
  </si>
  <si>
    <t>N8</t>
  </si>
  <si>
    <t>2018 OCTUBRE</t>
  </si>
  <si>
    <t>IFA-01063</t>
  </si>
  <si>
    <t>CAJA MM AMOXICILINA 250 MG SUSPENSION POLVO X 30 ML (IFAVET) (99X47X</t>
  </si>
  <si>
    <t>2019 OCTUBRE</t>
  </si>
  <si>
    <t>IFA-01177</t>
  </si>
  <si>
    <t>CAJA MM COMPLEJO B POTENCIADO JARABE X 30 ML (IFAVET) (99X47X47) (2</t>
  </si>
  <si>
    <t>COMPLEJO B POTENCIADO</t>
  </si>
  <si>
    <t>102-005-012</t>
  </si>
  <si>
    <t>METAMIZOL</t>
  </si>
  <si>
    <t>A1</t>
  </si>
  <si>
    <t>96X80X32</t>
  </si>
  <si>
    <t>39.3X27.8</t>
  </si>
  <si>
    <t>42.3X30.8</t>
  </si>
  <si>
    <t>102-004-002</t>
  </si>
  <si>
    <t>AMIODARONA</t>
  </si>
  <si>
    <t>61X90X61</t>
  </si>
  <si>
    <t>39.5X32.4</t>
  </si>
  <si>
    <t>42.5X35.4</t>
  </si>
  <si>
    <t>CARBAMAZEPINA</t>
  </si>
  <si>
    <t>42X42X89</t>
  </si>
  <si>
    <t>39X37.6</t>
  </si>
  <si>
    <t>42X40.6</t>
  </si>
  <si>
    <t>PENICILINA</t>
  </si>
  <si>
    <t>I1</t>
  </si>
  <si>
    <t>122X99X54</t>
  </si>
  <si>
    <t>40.2X24.4</t>
  </si>
  <si>
    <t>43.2X27.4</t>
  </si>
  <si>
    <t>ACICLOVIR</t>
  </si>
  <si>
    <t>90X61X18</t>
  </si>
  <si>
    <t>53.9X35.8</t>
  </si>
  <si>
    <t>56.9X38.8</t>
  </si>
  <si>
    <t>101-002-013</t>
  </si>
  <si>
    <t>ÓVULOS</t>
  </si>
  <si>
    <t>E4</t>
  </si>
  <si>
    <t>105X70X20</t>
  </si>
  <si>
    <t>40.7X32.8</t>
  </si>
  <si>
    <t>43.7X35.8</t>
  </si>
  <si>
    <t>2024 JUNIO</t>
  </si>
  <si>
    <t>IFA-01210</t>
  </si>
  <si>
    <t>CAJA MM DIPROFEN FLU X 30 ML</t>
  </si>
  <si>
    <t>40.8X22.3</t>
  </si>
  <si>
    <t>43.8X25.3</t>
  </si>
  <si>
    <t>2021 MAYO</t>
  </si>
  <si>
    <t>VANCOMICINA</t>
  </si>
  <si>
    <t>60X30X30</t>
  </si>
  <si>
    <t>40X28.2</t>
  </si>
  <si>
    <t>43X31.2</t>
  </si>
  <si>
    <t>102-016-003</t>
  </si>
  <si>
    <t>BETAMETASONA</t>
  </si>
  <si>
    <t>D1</t>
  </si>
  <si>
    <t>138X36X26</t>
  </si>
  <si>
    <t>40X29</t>
  </si>
  <si>
    <t>43X32</t>
  </si>
  <si>
    <t>102-016-002</t>
  </si>
  <si>
    <t>102-017-002</t>
  </si>
  <si>
    <t>HIDROCORTISONA</t>
  </si>
  <si>
    <t>KETOCONAZOL</t>
  </si>
  <si>
    <t>102-017-001</t>
  </si>
  <si>
    <t>LIDOCAINA</t>
  </si>
  <si>
    <t>101-015-001</t>
  </si>
  <si>
    <t>M4</t>
  </si>
  <si>
    <t>2025 DICIEMBRE</t>
  </si>
  <si>
    <t>CLOTRIM BG</t>
  </si>
  <si>
    <t>D2</t>
  </si>
  <si>
    <t>101-016-004</t>
  </si>
  <si>
    <t>CAJA CLOTRIM CREMA DERMICA X 20 GR.</t>
  </si>
  <si>
    <t>2025 FEBRERO - AÑADIR 1% A CODIGO</t>
  </si>
  <si>
    <t>101-017-001</t>
  </si>
  <si>
    <t>FLAMADIN</t>
  </si>
  <si>
    <t>101-016-005</t>
  </si>
  <si>
    <t>101-017-002</t>
  </si>
  <si>
    <t>M2</t>
  </si>
  <si>
    <t>IFA-01411</t>
  </si>
  <si>
    <t>101-016-007</t>
  </si>
  <si>
    <t>CAJA MULTIDERMIN CREMA D. X 20 GR.</t>
  </si>
  <si>
    <t>MULTIDERMIN</t>
  </si>
  <si>
    <t>2021 ABRIL</t>
  </si>
  <si>
    <t>101-016-006</t>
  </si>
  <si>
    <t>ALBENDAZOL</t>
  </si>
  <si>
    <t>41.1X42.7</t>
  </si>
  <si>
    <t>44.1X45.7</t>
  </si>
  <si>
    <t>IFA-01043</t>
  </si>
  <si>
    <t>CAJA ALOPURINOL 300 MG X500 COMP. (PG)</t>
  </si>
  <si>
    <t>ALOPURINOL</t>
  </si>
  <si>
    <t>102-004-013</t>
  </si>
  <si>
    <t>Y102-004-011</t>
  </si>
  <si>
    <t>IFA-01289</t>
  </si>
  <si>
    <t>CAJA FLUCONAZOL 150 MG X 100 CAPS.(PG)</t>
  </si>
  <si>
    <t>2022 MARZO</t>
  </si>
  <si>
    <t>Y102-004-058</t>
  </si>
  <si>
    <t>GEMFIBROZILO</t>
  </si>
  <si>
    <t>41.1X42.2</t>
  </si>
  <si>
    <t>44.1X45.2</t>
  </si>
  <si>
    <t>GRISEOFULVINA</t>
  </si>
  <si>
    <t>102-004-074</t>
  </si>
  <si>
    <t>LEVOFLOXACINA</t>
  </si>
  <si>
    <t>2022 FEBRERO</t>
  </si>
  <si>
    <t>IFA-01408</t>
  </si>
  <si>
    <t>CAJA METRONIDAZOL 500 MG X 50 OVULOS (PG)</t>
  </si>
  <si>
    <t>102-004-004</t>
  </si>
  <si>
    <t>B6</t>
  </si>
  <si>
    <t>41.6X29</t>
  </si>
  <si>
    <t>44.6X32</t>
  </si>
  <si>
    <t>101-001-027</t>
  </si>
  <si>
    <t>FLAMACOX</t>
  </si>
  <si>
    <t>48.5X18.5</t>
  </si>
  <si>
    <t>51.5X21.5</t>
  </si>
  <si>
    <t>101-001-035</t>
  </si>
  <si>
    <t>20X42X83</t>
  </si>
  <si>
    <t>IFA-01271</t>
  </si>
  <si>
    <t>106-001-001</t>
  </si>
  <si>
    <t>CAJA FLAMACOXINE 15 MG CAJA X 10 CAPSULAS BLANDAS (83X42X20) 4 CO</t>
  </si>
  <si>
    <t>K5</t>
  </si>
  <si>
    <t>2021 NOVIEMBRE</t>
  </si>
  <si>
    <t>111X62X48</t>
  </si>
  <si>
    <t>43.5X24.2</t>
  </si>
  <si>
    <t>46.5X27.2</t>
  </si>
  <si>
    <t>103-014-002</t>
  </si>
  <si>
    <t>102-004-032</t>
  </si>
  <si>
    <t>IFA-01037</t>
  </si>
  <si>
    <t>CAJA ALBENDAZOL 400 MG X 1 COMP. MASTICABLE</t>
  </si>
  <si>
    <t>52.7X35.8</t>
  </si>
  <si>
    <t>55.7X38.8</t>
  </si>
  <si>
    <t>2020 MARZO</t>
  </si>
  <si>
    <t>102-004-057</t>
  </si>
  <si>
    <t>AZITROMICINA</t>
  </si>
  <si>
    <t>KETOROLACO</t>
  </si>
  <si>
    <t>102-005-007</t>
  </si>
  <si>
    <t>PIRANTEL</t>
  </si>
  <si>
    <t>AFUNGIL</t>
  </si>
  <si>
    <t>41X18</t>
  </si>
  <si>
    <t>44X21</t>
  </si>
  <si>
    <t>101-003-014</t>
  </si>
  <si>
    <t>CEFABIOTIC</t>
  </si>
  <si>
    <t>101-004-061</t>
  </si>
  <si>
    <t>CESTODEN</t>
  </si>
  <si>
    <t>CAJA CIFLOX 500 MG X 10 COMP</t>
  </si>
  <si>
    <t>101-004-045</t>
  </si>
  <si>
    <t>CLARIMEX</t>
  </si>
  <si>
    <t>101-004-046</t>
  </si>
  <si>
    <t>IFA-01217</t>
  </si>
  <si>
    <t>106-005-001</t>
  </si>
  <si>
    <t>CAJA DOLOFIXIN 100 MG SOL. INYECTABLE CAJA X 3 AMPOLLAS (90X61X18</t>
  </si>
  <si>
    <t>101-004-007</t>
  </si>
  <si>
    <t>110X65X40</t>
  </si>
  <si>
    <t>41X23.3</t>
  </si>
  <si>
    <t>44X26.3</t>
  </si>
  <si>
    <t>104-001-005</t>
  </si>
  <si>
    <t>IFABELL</t>
  </si>
  <si>
    <t>95X70X48</t>
  </si>
  <si>
    <t>41X25.9</t>
  </si>
  <si>
    <t>44X28.9</t>
  </si>
  <si>
    <t>104-001-006</t>
  </si>
  <si>
    <t>FERRICOM</t>
  </si>
  <si>
    <t>ABCDEFK</t>
  </si>
  <si>
    <t>101-002-005</t>
  </si>
  <si>
    <t>CAJA MM ALYSIA X 2 OVULOS (3 COLORES 100X85X20)</t>
  </si>
  <si>
    <t>ALYSIA</t>
  </si>
  <si>
    <t>N4</t>
  </si>
  <si>
    <t>19X65X110</t>
  </si>
  <si>
    <t>49.5X19</t>
  </si>
  <si>
    <t>54.5X24</t>
  </si>
  <si>
    <t>2026 FEBRERO</t>
  </si>
  <si>
    <t>101-002-007</t>
  </si>
  <si>
    <t>101-002-001</t>
  </si>
  <si>
    <t>KLM</t>
  </si>
  <si>
    <t>100X85X20</t>
  </si>
  <si>
    <t>41X27.9</t>
  </si>
  <si>
    <t>44X30.9</t>
  </si>
  <si>
    <t>42.6X30.3</t>
  </si>
  <si>
    <t>45.6X33.3</t>
  </si>
  <si>
    <t>CAJA PARACETAMOL 100 MG GOTAS X 15 ML (PG)</t>
  </si>
  <si>
    <t>60X80X29</t>
  </si>
  <si>
    <t>49.3X24.3</t>
  </si>
  <si>
    <t>52.3X27.3</t>
  </si>
  <si>
    <t>2025 JULIO</t>
  </si>
  <si>
    <t>101-006-006</t>
  </si>
  <si>
    <t>101-006-014</t>
  </si>
  <si>
    <t>BALMICIN</t>
  </si>
  <si>
    <t>101-009-010</t>
  </si>
  <si>
    <t>101-006-003</t>
  </si>
  <si>
    <t>101-006-002</t>
  </si>
  <si>
    <t>CAJA MM FLAMADIN GOTAS X 15 ML</t>
  </si>
  <si>
    <t>REDUTEM</t>
  </si>
  <si>
    <t>LEVOCAN</t>
  </si>
  <si>
    <t>IFA-01460</t>
  </si>
  <si>
    <t>102-005-014</t>
  </si>
  <si>
    <t>CAJA RANITIDINA 50 MG X 10 AMP. (PG)</t>
  </si>
  <si>
    <t>RANITIDINA</t>
  </si>
  <si>
    <t>91X105X40</t>
  </si>
  <si>
    <t>42.6X31.6</t>
  </si>
  <si>
    <t>45.6X34.6</t>
  </si>
  <si>
    <t>IFA-01566</t>
  </si>
  <si>
    <t>CAJA TERAPIROL 1 GR. X 10 AMPOLLAS (PG)</t>
  </si>
  <si>
    <t>TERAPIROL</t>
  </si>
  <si>
    <t>2020 AGOSTO</t>
  </si>
  <si>
    <t>102-003-005</t>
  </si>
  <si>
    <t>78X56X75</t>
  </si>
  <si>
    <t>42X33</t>
  </si>
  <si>
    <t>45X36</t>
  </si>
  <si>
    <t>RELEVOX</t>
  </si>
  <si>
    <t>101-003-020</t>
  </si>
  <si>
    <t>101-003-025</t>
  </si>
  <si>
    <t>SOLUCINE</t>
  </si>
  <si>
    <t>101-001-033</t>
  </si>
  <si>
    <t>DIPROFEN</t>
  </si>
  <si>
    <t>BCD</t>
  </si>
  <si>
    <t>93X67X18</t>
  </si>
  <si>
    <t>43.2X19</t>
  </si>
  <si>
    <t>48.2X24</t>
  </si>
  <si>
    <t>102-011-008</t>
  </si>
  <si>
    <t>CEFAZOLINA</t>
  </si>
  <si>
    <t>112X112X54</t>
  </si>
  <si>
    <t>43.3X23.4</t>
  </si>
  <si>
    <t>46.3X26.4</t>
  </si>
  <si>
    <t>CEFOTAXIMA</t>
  </si>
  <si>
    <t>43.3X23.5</t>
  </si>
  <si>
    <t>46.3X26.5</t>
  </si>
  <si>
    <t>CEFTRIAXONA</t>
  </si>
  <si>
    <t>43.3X23.1</t>
  </si>
  <si>
    <t>46.3X26.1</t>
  </si>
  <si>
    <t>PROCAINICA</t>
  </si>
  <si>
    <t>101-011-007</t>
  </si>
  <si>
    <t>CEFTRIAX</t>
  </si>
  <si>
    <t>101-011-008</t>
  </si>
  <si>
    <t>CLOXIN</t>
  </si>
  <si>
    <t>101-011-009</t>
  </si>
  <si>
    <t>101-011-004</t>
  </si>
  <si>
    <t>IFOTAXIMA</t>
  </si>
  <si>
    <t>96X105X100</t>
  </si>
  <si>
    <t>43.3X34.7</t>
  </si>
  <si>
    <t>46.3X37.7</t>
  </si>
  <si>
    <t>IFA-04308</t>
  </si>
  <si>
    <t>CAJA RANITIDINA 50 MG X 25 AMPOLLAS (96X105X100) 2 COLORES (PG)</t>
  </si>
  <si>
    <t>101-005-001</t>
  </si>
  <si>
    <t>AGUA ANESTESICA</t>
  </si>
  <si>
    <t>101-005-002</t>
  </si>
  <si>
    <t>122X123X95</t>
  </si>
  <si>
    <t>101-009-012</t>
  </si>
  <si>
    <t>101-009-009</t>
  </si>
  <si>
    <t>101-009-007</t>
  </si>
  <si>
    <t>106-009-002</t>
  </si>
  <si>
    <t>101-007-012</t>
  </si>
  <si>
    <t>101-009-008</t>
  </si>
  <si>
    <t>101-009-013</t>
  </si>
  <si>
    <t>102-004-022</t>
  </si>
  <si>
    <t>SULFATO FERROSO</t>
  </si>
  <si>
    <t>110X68X43</t>
  </si>
  <si>
    <t>43X23.4</t>
  </si>
  <si>
    <t>46X26.4</t>
  </si>
  <si>
    <t>101-002-003</t>
  </si>
  <si>
    <t>17X65X115</t>
  </si>
  <si>
    <t>44.3X24</t>
  </si>
  <si>
    <t>47.3X27</t>
  </si>
  <si>
    <t>101-002-004</t>
  </si>
  <si>
    <t>101-002-006</t>
  </si>
  <si>
    <t>115X65X17</t>
  </si>
  <si>
    <t>100X28X19</t>
  </si>
  <si>
    <t>44.5X23</t>
  </si>
  <si>
    <t>49.5X28</t>
  </si>
  <si>
    <t>102-019-001</t>
  </si>
  <si>
    <t>BACITRACINA</t>
  </si>
  <si>
    <t>MAYO</t>
  </si>
  <si>
    <t>101-019-002</t>
  </si>
  <si>
    <t>FRIXADOL</t>
  </si>
  <si>
    <t>M6</t>
  </si>
  <si>
    <t>101-005-014</t>
  </si>
  <si>
    <t>FLAMADIN B12</t>
  </si>
  <si>
    <t>DEK</t>
  </si>
  <si>
    <t>101-016-009</t>
  </si>
  <si>
    <t>101-016-010</t>
  </si>
  <si>
    <t>IFA-01254</t>
  </si>
  <si>
    <t>101-005-011</t>
  </si>
  <si>
    <t>CAJA MM ESPASMO NACLODIL X 1 AMP</t>
  </si>
  <si>
    <t>ESPASMO NACLODIL</t>
  </si>
  <si>
    <t>101-016-003</t>
  </si>
  <si>
    <t>101-005-013</t>
  </si>
  <si>
    <t>101-005-005</t>
  </si>
  <si>
    <t>IFA-01412</t>
  </si>
  <si>
    <t>101-016-001</t>
  </si>
  <si>
    <t>CAJA MM MULTIDERMIN CREMA X 5 GR</t>
  </si>
  <si>
    <t>IFA-01058</t>
  </si>
  <si>
    <t>102-011-005</t>
  </si>
  <si>
    <t>CAJA AMOXICILINA 1 GR X 50 VIALES ( 2 COLORES DE 220 X 111 X 45 M</t>
  </si>
  <si>
    <t>220X111X45</t>
  </si>
  <si>
    <t>44.5X32.5</t>
  </si>
  <si>
    <t>47.5X35.5</t>
  </si>
  <si>
    <t>2019 MAYO</t>
  </si>
  <si>
    <t>102-011-010</t>
  </si>
  <si>
    <t>CAJA AMPICILINA 1 GR X 50 VIALES (PG)</t>
  </si>
  <si>
    <t>AMPICILINA</t>
  </si>
  <si>
    <t>Z102-011-002</t>
  </si>
  <si>
    <t>IFA-01342</t>
  </si>
  <si>
    <t>CAJA IFASODICA 1000 X 50 VIALES ( NP )</t>
  </si>
  <si>
    <t>IFASODICA</t>
  </si>
  <si>
    <t>2022 MAYO</t>
  </si>
  <si>
    <t>IFA-01214</t>
  </si>
  <si>
    <t>CAJA MM DIPROFEN X 30 ML</t>
  </si>
  <si>
    <t>115X52X52</t>
  </si>
  <si>
    <t>44.7X23.4</t>
  </si>
  <si>
    <t>47.7X26.4</t>
  </si>
  <si>
    <t>2020 ENERO</t>
  </si>
  <si>
    <t>IFA-01344</t>
  </si>
  <si>
    <t>CAJA MM IFATRIM 200/40 MG X 30 ML</t>
  </si>
  <si>
    <t>83X120X69</t>
  </si>
  <si>
    <t>44.9X40.1</t>
  </si>
  <si>
    <t>47.9X43.1</t>
  </si>
  <si>
    <t>44.7X40.4</t>
  </si>
  <si>
    <t>47.7X43.4</t>
  </si>
  <si>
    <t>2021 ENERO</t>
  </si>
  <si>
    <t>ALENDRONATO</t>
  </si>
  <si>
    <t>ALPRAZOLAN</t>
  </si>
  <si>
    <t>IFA-01056</t>
  </si>
  <si>
    <t>CAJA AMLODIPINA BESILATO 10 MG X 500 COMP. ( 2 COLORES DE 83X120X</t>
  </si>
  <si>
    <t>82X120X69</t>
  </si>
  <si>
    <t>Y102-004-001</t>
  </si>
  <si>
    <t>FLUOXETINA</t>
  </si>
  <si>
    <t>FUROSEMIDA</t>
  </si>
  <si>
    <t>GLIBENCLAMIDA</t>
  </si>
  <si>
    <t>LOPERAMIDA</t>
  </si>
  <si>
    <t>102-004-042</t>
  </si>
  <si>
    <t>102-004-078</t>
  </si>
  <si>
    <t>NIMODIPINO</t>
  </si>
  <si>
    <t>IFA-01485</t>
  </si>
  <si>
    <t>CAJA SALBUTAMOL 4 MG X 500 COMPRIMIDOS (83X120X69) 2 COLORES (PG)</t>
  </si>
  <si>
    <t>SALBUTAMOL</t>
  </si>
  <si>
    <t>2021 SEPTIEMBRE</t>
  </si>
  <si>
    <t>102-004-036</t>
  </si>
  <si>
    <t>CIPROFLOXACINA</t>
  </si>
  <si>
    <t>102-004-019</t>
  </si>
  <si>
    <t>102-004-053</t>
  </si>
  <si>
    <t>102-004-007</t>
  </si>
  <si>
    <t>102-004-064</t>
  </si>
  <si>
    <t>CAJA TRIOBACTER (LANSOPRAZOL 30 MG.; AMOXICILINA 500 MG; CLARITRO</t>
  </si>
  <si>
    <t>TRIOBACTER</t>
  </si>
  <si>
    <t>95X105X110</t>
  </si>
  <si>
    <t>45.2X35.5</t>
  </si>
  <si>
    <t>48.2X38.5</t>
  </si>
  <si>
    <t>IFA-01026</t>
  </si>
  <si>
    <t>CAJA ACICLOVIR 200 MG X 20 COMPRIMIDOS (PG) (95X40X21 MM) (2 COLO</t>
  </si>
  <si>
    <t>95X40X21</t>
  </si>
  <si>
    <t>45.3X28.7</t>
  </si>
  <si>
    <t>48.3X31.7</t>
  </si>
  <si>
    <t>HIDROCLOROTIAZIDA AMILORIDA</t>
  </si>
  <si>
    <t>LEVODOPA CARBIDOPA</t>
  </si>
  <si>
    <t>101-004-005</t>
  </si>
  <si>
    <t>ANALTIN</t>
  </si>
  <si>
    <t>IFA-01079</t>
  </si>
  <si>
    <t>101-004-054</t>
  </si>
  <si>
    <t>CAJA APARKIN 250-25 MG X 30 COMP ( 3 COLORES 90 X 40 X 19 MM)</t>
  </si>
  <si>
    <t>APARKIN</t>
  </si>
  <si>
    <t>IFA-01097</t>
  </si>
  <si>
    <t>101-004-002</t>
  </si>
  <si>
    <t>CAJA BROMARIN X 20 COMP</t>
  </si>
  <si>
    <t>BROMARIN</t>
  </si>
  <si>
    <t>101-004-009</t>
  </si>
  <si>
    <t>FLAMADIN B1 B6 B12</t>
  </si>
  <si>
    <t>95x40x21</t>
  </si>
  <si>
    <t>IFA-01137</t>
  </si>
  <si>
    <t>CAJA MM CEFTRIAX 1000 X 1 VIAL INTRAMUSCULAR (4 COLORES DE 80 X 45 X</t>
  </si>
  <si>
    <t>R</t>
  </si>
  <si>
    <t>R2</t>
  </si>
  <si>
    <t>80X45X27</t>
  </si>
  <si>
    <t>45X21.5</t>
  </si>
  <si>
    <t>48X24.5</t>
  </si>
  <si>
    <t>2017 JUNIO</t>
  </si>
  <si>
    <t>101-011-010</t>
  </si>
  <si>
    <t>101-011-001</t>
  </si>
  <si>
    <t>K2</t>
  </si>
  <si>
    <t>110X65X11</t>
  </si>
  <si>
    <t>I8</t>
  </si>
  <si>
    <t>103-011-016</t>
  </si>
  <si>
    <t>INYECTABLE</t>
  </si>
  <si>
    <t>F8</t>
  </si>
  <si>
    <t>61X91X76</t>
  </si>
  <si>
    <t>45X35.6</t>
  </si>
  <si>
    <t>48X38.6</t>
  </si>
  <si>
    <t>102-004-017</t>
  </si>
  <si>
    <t>61x91x85</t>
  </si>
  <si>
    <t>45X37.3</t>
  </si>
  <si>
    <t>48X40.3</t>
  </si>
  <si>
    <t>CEFIXIMA</t>
  </si>
  <si>
    <t>61X91X85</t>
  </si>
  <si>
    <t>102-004-081</t>
  </si>
  <si>
    <t>215X120X90</t>
  </si>
  <si>
    <t>45X45</t>
  </si>
  <si>
    <t>48X48</t>
  </si>
  <si>
    <t>IFA-01073</t>
  </si>
  <si>
    <t>CAJA AMPICILINA 1 GR X 500 COMP. (PG)</t>
  </si>
  <si>
    <t>IFA-01074</t>
  </si>
  <si>
    <t>CAJA AMPICILINA 500 MG X 500 CAPS. ( 2 COLORES DE 215 X 120 X 90</t>
  </si>
  <si>
    <t>IFA-01089</t>
  </si>
  <si>
    <t>CAJA AZITROMICINA 500 MG X 150 COMP.( 2 COLORES DE 215X120X90 MM)</t>
  </si>
  <si>
    <t>IFA-01091</t>
  </si>
  <si>
    <t>CAJA AZITROMICINA 500 MG X 500 COMP.RECUBIERTO ( 2 COLORES DE 215</t>
  </si>
  <si>
    <t>IFA-04318</t>
  </si>
  <si>
    <t>CAJA CARBAMAZEPINA 200 MG X 500 COMP. ( 20COLORES DE 215X120X90 MM) PG</t>
  </si>
  <si>
    <t>102-004-072</t>
  </si>
  <si>
    <t>IFA-01154</t>
  </si>
  <si>
    <t>CAJA CLORANFENICOL 500 MG X 500 CAPSULAS (PG) 215X120X90 (3 COLOR</t>
  </si>
  <si>
    <t>CLORANFENICOL</t>
  </si>
  <si>
    <t>102-004-080</t>
  </si>
  <si>
    <t>25X120X90</t>
  </si>
  <si>
    <t>METFORMINA</t>
  </si>
  <si>
    <t>101-002-015</t>
  </si>
  <si>
    <t>IFA-01083</t>
  </si>
  <si>
    <t>CAJA ATENOLOL 100 MG X 500 COMPRIMIDOS (135X110X85) 2 COLORES (PG</t>
  </si>
  <si>
    <t>ATENOLOL</t>
  </si>
  <si>
    <t>135X110X85</t>
  </si>
  <si>
    <t>46.3X31.7</t>
  </si>
  <si>
    <t>49.3X34.7</t>
  </si>
  <si>
    <t>46.3X31.9</t>
  </si>
  <si>
    <t>49.3X34.9</t>
  </si>
  <si>
    <t>46.3X32.1</t>
  </si>
  <si>
    <t>49.3X35.1</t>
  </si>
  <si>
    <t>101-019-001</t>
  </si>
  <si>
    <t>D6</t>
  </si>
  <si>
    <t>101-016-002</t>
  </si>
  <si>
    <t>65X34X34</t>
  </si>
  <si>
    <t>46X31.8</t>
  </si>
  <si>
    <t>49X34.8</t>
  </si>
  <si>
    <t>E.P.T</t>
  </si>
  <si>
    <t>TAMIFEN</t>
  </si>
  <si>
    <t>G6</t>
  </si>
  <si>
    <t>250X83X68</t>
  </si>
  <si>
    <t>46X32.6</t>
  </si>
  <si>
    <t>51X37.6</t>
  </si>
  <si>
    <t>65X83X38</t>
  </si>
  <si>
    <t>47.8X33</t>
  </si>
  <si>
    <t>50.8X36</t>
  </si>
  <si>
    <t>47.8X33.2</t>
  </si>
  <si>
    <t>50.8X36.2</t>
  </si>
  <si>
    <t>IFA-01255</t>
  </si>
  <si>
    <t>101-005-012</t>
  </si>
  <si>
    <t>CAJA ESPASMO NACLODIL X 2 AMP. (3 COLORES DE 90 X 60 X 23 MM)</t>
  </si>
  <si>
    <t>97X60X23</t>
  </si>
  <si>
    <t>47X18.8</t>
  </si>
  <si>
    <t>50X21.8</t>
  </si>
  <si>
    <t>102-004-083</t>
  </si>
  <si>
    <t>90X61X25</t>
  </si>
  <si>
    <t>47X19.3</t>
  </si>
  <si>
    <t>50X22.3</t>
  </si>
  <si>
    <t>102-004-052</t>
  </si>
  <si>
    <t>101-004-059</t>
  </si>
  <si>
    <t>IFA-01096</t>
  </si>
  <si>
    <t>101-004-052</t>
  </si>
  <si>
    <t>CAJA BROMARIN A300 X 30 COMP (3 COLORES 90 X 61 X 25MM)</t>
  </si>
  <si>
    <t>101-004-056</t>
  </si>
  <si>
    <t>INCRETIN COMPUESTO</t>
  </si>
  <si>
    <t>2022 NOVIEMBRE</t>
  </si>
  <si>
    <t>101-004-060</t>
  </si>
  <si>
    <t>RETINOX</t>
  </si>
  <si>
    <t>101-004-048</t>
  </si>
  <si>
    <t>TRAMACETAMOL</t>
  </si>
  <si>
    <t>101-004-050</t>
  </si>
  <si>
    <t>HIPECORT</t>
  </si>
  <si>
    <t>103X45X19</t>
  </si>
  <si>
    <t>47X30.1</t>
  </si>
  <si>
    <t>50X33.1</t>
  </si>
  <si>
    <t>101-004-078</t>
  </si>
  <si>
    <t>95X55X9</t>
  </si>
  <si>
    <t>48.5X18.2</t>
  </si>
  <si>
    <t>51.5X21.2</t>
  </si>
  <si>
    <t>101-004-092</t>
  </si>
  <si>
    <t>CAJA AFUNGIL FD X 3 COMP. RECUBIERTOS</t>
  </si>
  <si>
    <t>AFUNGIL FD</t>
  </si>
  <si>
    <t>L4</t>
  </si>
  <si>
    <t>CAJA AFUNGIL FD X 6 COMP. RECUBIERTOS</t>
  </si>
  <si>
    <t>C4</t>
  </si>
  <si>
    <t>K4</t>
  </si>
  <si>
    <t>10X55X95</t>
  </si>
  <si>
    <t>48.5X18.4</t>
  </si>
  <si>
    <t>51.5X21.4</t>
  </si>
  <si>
    <t>IFA-01507</t>
  </si>
  <si>
    <t>101-004-031</t>
  </si>
  <si>
    <t>SOBRE MM DOLOMIGRAL PLUS X 2 COMPRIMIDOS (100X85X10) (3 COLO</t>
  </si>
  <si>
    <t>SOBRE MM CEFABIOTIC 400 MG X 2 CAPSULAS (2 COLORES 100X85X10 GTO</t>
  </si>
  <si>
    <t>101-004-021</t>
  </si>
  <si>
    <t>SOBRE MM DONTOFLAMON X 2 COMPRIMIDOS (100X85X10) (2 COLORES) SPEED</t>
  </si>
  <si>
    <t>48.5X35.8</t>
  </si>
  <si>
    <t>51.5X38.8</t>
  </si>
  <si>
    <t>SOBRE MM DONTOFLAMON X 2 COMPRIMIDOS (100X85X10) (2 COLORES) GTO</t>
  </si>
  <si>
    <t>101-004-039</t>
  </si>
  <si>
    <t>95X55X10</t>
  </si>
  <si>
    <t>INCRETIN COMPUESTO FORTE</t>
  </si>
  <si>
    <t>SOBRE MM RETINOX 500 MG X 2 COMP. RECUBIERTOS (95X57X10) 2 COLO GTO</t>
  </si>
  <si>
    <t>95X57X10</t>
  </si>
  <si>
    <t>48.5X19</t>
  </si>
  <si>
    <t>51.5X22</t>
  </si>
  <si>
    <t>SOBRE MM RETINOX 500 MG X 2 COMP. RECUBIERTOS (95X57X10) 2 COLO MOZP</t>
  </si>
  <si>
    <t>48.9X38</t>
  </si>
  <si>
    <t>51.9X41</t>
  </si>
  <si>
    <t>101-004-042</t>
  </si>
  <si>
    <t>SOBRE MM ARTROFLEXIN X 2 COMP. RECUBIERTOS (95X57X10) 2 COLO GTO</t>
  </si>
  <si>
    <t>101-004-017</t>
  </si>
  <si>
    <t>CAJA MM CIFLOX 500 MG X 2 COMP. (2 COLORES 100X GTO</t>
  </si>
  <si>
    <t>2025 NOVIEMBRE</t>
  </si>
  <si>
    <t>101-004-027</t>
  </si>
  <si>
    <t>CAJA MM CLARIMEX 500 MG X 2 COMPRIMIDOS 100X85X10 MM (2 COL MOZP</t>
  </si>
  <si>
    <t>SOBRE MM DIPROFEN FLU FUERTE X 2 COMPRIMIDOS 100X85X10 (2 CO GTO 52</t>
  </si>
  <si>
    <t>SOBRE MM DIPROFEN FLU FUERTE X 2 COMPRIMIDOS 100X85X10 (2 CO MOZP</t>
  </si>
  <si>
    <t>101-003-011</t>
  </si>
  <si>
    <t>CAJA MM RELEVOX 20 MG X 2 CAPSULAS (95X57X9,5) 2 COLORES GTO</t>
  </si>
  <si>
    <t>101-003-009</t>
  </si>
  <si>
    <t>SOBRE MM FENORAL 200 MG X 2 CAPS. (90X149 MM 2 COLORES) GTO</t>
  </si>
  <si>
    <t>95X57X9,5</t>
  </si>
  <si>
    <t>101-003-026</t>
  </si>
  <si>
    <t>SOBRE MM SOLUCINE X 2 CAP. DURAS</t>
  </si>
  <si>
    <t>155X61X37</t>
  </si>
  <si>
    <t>48.5X21.7</t>
  </si>
  <si>
    <t>51.5X24.7</t>
  </si>
  <si>
    <t>SOBRE MM INCRETIN 100 MG X 2 COMP. (2 COLORES 95 GTO</t>
  </si>
  <si>
    <t>SOBRE MM INCRETIN 100 MG X 2 COMP. (2 COLORES 95 MO</t>
  </si>
  <si>
    <t>48.5X35.4</t>
  </si>
  <si>
    <t>51.5X38.4</t>
  </si>
  <si>
    <t>101-004-030</t>
  </si>
  <si>
    <t>101-004-043</t>
  </si>
  <si>
    <t>LEVOKAST</t>
  </si>
  <si>
    <t>95X57X9</t>
  </si>
  <si>
    <t>48.5X36.7</t>
  </si>
  <si>
    <t>51.5X39.7</t>
  </si>
  <si>
    <t>IFA-01493</t>
  </si>
  <si>
    <t>101-004-036</t>
  </si>
  <si>
    <t>SOBRE MM APARKIN 250-25 MG X 2 COMPRIMIDOS 95X59X8 (3 COLORE MOZP</t>
  </si>
  <si>
    <t>9X57X95</t>
  </si>
  <si>
    <t>101-004-019</t>
  </si>
  <si>
    <t>CAJA MM FLAMADIN RELAX X 2 COMP. (2 COLORES 95 MOZP</t>
  </si>
  <si>
    <t>101-004-073</t>
  </si>
  <si>
    <t>CAJA MM TANIDAX 20 MG X 2 COMP. RECUBIERTOS (9X57X95) 2 COLORE MO</t>
  </si>
  <si>
    <t>101-004-072</t>
  </si>
  <si>
    <t>CAJA MM RELEVOX 40 MG X 2 CAPSULAS (95X57X9,5) 2 COLORES GTO</t>
  </si>
  <si>
    <t>101-003-005</t>
  </si>
  <si>
    <t>FLECOXIB 200 MG X 2 CAPSULAS</t>
  </si>
  <si>
    <t>FLECOXIB</t>
  </si>
  <si>
    <t>101-004-025</t>
  </si>
  <si>
    <t>SOBRE MM QUINOSIL 500 MG X 2 COMPRIMIDOS (100X85X10) (2 COLO</t>
  </si>
  <si>
    <t>QUINOSIL</t>
  </si>
  <si>
    <t>80X43X43</t>
  </si>
  <si>
    <t>48.5X38.2</t>
  </si>
  <si>
    <t>51.5X41.2</t>
  </si>
  <si>
    <t>103-005-004</t>
  </si>
  <si>
    <t>48.5X37.9</t>
  </si>
  <si>
    <t>51.5X40.9</t>
  </si>
  <si>
    <t>103-005-002</t>
  </si>
  <si>
    <t>CAJA IFAMETASONA 2.5 X 50 ML (IFAVET)</t>
  </si>
  <si>
    <t>36.5X19.5</t>
  </si>
  <si>
    <t>39.5X22.5</t>
  </si>
  <si>
    <t>103-005-001</t>
  </si>
  <si>
    <t>IFAMICIN</t>
  </si>
  <si>
    <t>SOBRE MM LEVOKAST X 2 COMP. MASTICABLE (9X57X95) 2 COLORES GTO 52</t>
  </si>
  <si>
    <t>48.9X18.5</t>
  </si>
  <si>
    <t>51.9X21.5</t>
  </si>
  <si>
    <t>CAJA MM REZITRO RAPID 30 MG SOBRE X 2 COMP. SUBLINGUALES (9X57X95) 2 COLORES GTO</t>
  </si>
  <si>
    <t>101-004-016</t>
  </si>
  <si>
    <t>ANALTIN 200 MG X 2 COMP. (2 COLORES 95X5 GTO</t>
  </si>
  <si>
    <t>SOBRE MM APARKIN 250-25 MG X 2 COMPRIMIDOS 95X59X8 (3 COLORE GTO</t>
  </si>
  <si>
    <t>IFA-01532</t>
  </si>
  <si>
    <t>101-004-022</t>
  </si>
  <si>
    <t>SOBRE MM NACLODIL 250 MG X 2 COMPRIMIDOS (195X59X8) ( 2 COLO</t>
  </si>
  <si>
    <t>NACLODIL</t>
  </si>
  <si>
    <t>IFA-01535</t>
  </si>
  <si>
    <t>101-004-037</t>
  </si>
  <si>
    <t>SOBRE MM PREDNISOX 20 MG X 2 COMPRIMIDOS</t>
  </si>
  <si>
    <t>101-004-018</t>
  </si>
  <si>
    <t>101-004-074</t>
  </si>
  <si>
    <t>2023 OCTUBRE</t>
  </si>
  <si>
    <t>SOBRE MM LIDERMAN X 1 CAP. BLANDAS MM GTO</t>
  </si>
  <si>
    <t>K6</t>
  </si>
  <si>
    <t>95X58X10</t>
  </si>
  <si>
    <t>48.9X19</t>
  </si>
  <si>
    <t>51.9X22</t>
  </si>
  <si>
    <t>101-001-001</t>
  </si>
  <si>
    <t>SOBRE MM LIDERMAN 20 MG FORTE X 1 CAPSULA BLANDA (95X58X10) GTO</t>
  </si>
  <si>
    <t>EFK</t>
  </si>
  <si>
    <t>IFA-01496</t>
  </si>
  <si>
    <t>101-004-020</t>
  </si>
  <si>
    <t>SOBRE MM BROMARIN X 2 COMPRIMIDOS 95X59X8 MM (2 COLORES)</t>
  </si>
  <si>
    <t>48.9X37</t>
  </si>
  <si>
    <t>51.9X40</t>
  </si>
  <si>
    <t>2021 DICIEMBRE</t>
  </si>
  <si>
    <t>IFA-01524</t>
  </si>
  <si>
    <t>101-004-033</t>
  </si>
  <si>
    <t>SOBRE MM HIPECOR 6 MG X 2 COMPRIMIDOS (95X59X8) (2 COLORES)</t>
  </si>
  <si>
    <t>101-004-034</t>
  </si>
  <si>
    <t>REZITRO 20 MG X 2 COMP. (2 COLORES 95X59</t>
  </si>
  <si>
    <t>SOBRE MM LIDERMAN X 1 CAP. BLANDAS MM SPEED</t>
  </si>
  <si>
    <t>IFA-01495</t>
  </si>
  <si>
    <t>101-004-035</t>
  </si>
  <si>
    <t>SOBRE MM BROMARIN A300 X 2 COMPRIMIDOS 100X85X10 (2 COLORES)</t>
  </si>
  <si>
    <t>101-004-029</t>
  </si>
  <si>
    <t>SOBRE MM QUINOSIL 750 MG X 1 COMPRIMIDOS ( 100X85X10) 3 COLO</t>
  </si>
  <si>
    <t>IFA-01503</t>
  </si>
  <si>
    <t>SOBRE MM DINACEF 500 MG X 2 CAPSULAS (100X85X10) (2 COLORES)</t>
  </si>
  <si>
    <t>DINACEF</t>
  </si>
  <si>
    <t>2019 DICIEMBRE</t>
  </si>
  <si>
    <t>IFA-01543</t>
  </si>
  <si>
    <t>101-003-008</t>
  </si>
  <si>
    <t>SOBRE MM TEURAL 75 MG X 2 CAPSULAS 100X85X10 MM (2 COLORES) GTO</t>
  </si>
  <si>
    <t>TEURAL</t>
  </si>
  <si>
    <t>SOBRE MM TEURAL 75 MG X 2 CAPSULAS 100X85X10 MM (2 COLORES) MOZP</t>
  </si>
  <si>
    <t>101-004-023</t>
  </si>
  <si>
    <t>SOBRE MM TRICOBIC 1 G X 1 COMP. (2 COLORES 100X85 GTO</t>
  </si>
  <si>
    <t>IFA-01542</t>
  </si>
  <si>
    <t>SOBRE MM TEURAL 150 MG X 2 CAPSULAS 100X85X10 (2COLORES)</t>
  </si>
  <si>
    <t>2019 ABRIL</t>
  </si>
  <si>
    <t>SOBRE MM TRICOBIC 1 G X 1 COMP. (2 COLORES 100X85 MO</t>
  </si>
  <si>
    <t>48.5X37.1</t>
  </si>
  <si>
    <t>51.5X40.1</t>
  </si>
  <si>
    <t>101-004-024</t>
  </si>
  <si>
    <t>SOBRE MM ZITROMIN 500 G X 1 COMPRIMIDO 100X85X10 MM (2 COLOR</t>
  </si>
  <si>
    <t>ZITROMIN</t>
  </si>
  <si>
    <t>SOBRE MM LIDERMAN 20 MG FORTE X 1 CAPSULA BLANDA (95X58X10) MOZP</t>
  </si>
  <si>
    <t>101-001-021</t>
  </si>
  <si>
    <t>104X48X36</t>
  </si>
  <si>
    <t>38.4X19</t>
  </si>
  <si>
    <t>41.4X22</t>
  </si>
  <si>
    <t>101-001-017</t>
  </si>
  <si>
    <t>ROSUVAST</t>
  </si>
  <si>
    <t>83X42X37</t>
  </si>
  <si>
    <t>48X18</t>
  </si>
  <si>
    <t>51X21</t>
  </si>
  <si>
    <t>101-001-018</t>
  </si>
  <si>
    <t>101-009-016</t>
  </si>
  <si>
    <t>101-009-020</t>
  </si>
  <si>
    <t>101-009-011</t>
  </si>
  <si>
    <t>CAJA MM TERRACOLIN 200 MG X 60 ML</t>
  </si>
  <si>
    <t>TERRACOLIN</t>
  </si>
  <si>
    <t>119X70X54</t>
  </si>
  <si>
    <t>48X27</t>
  </si>
  <si>
    <t>51X30</t>
  </si>
  <si>
    <t>103-007-005</t>
  </si>
  <si>
    <t>103-007-006</t>
  </si>
  <si>
    <t>103-014-004</t>
  </si>
  <si>
    <t>103-007-003</t>
  </si>
  <si>
    <t>103-007-001</t>
  </si>
  <si>
    <t>FERROCAN</t>
  </si>
  <si>
    <t>103-009-002</t>
  </si>
  <si>
    <t>103-009-001</t>
  </si>
  <si>
    <t>SULTRIN</t>
  </si>
  <si>
    <t>VETACEF</t>
  </si>
  <si>
    <t>103-007-002</t>
  </si>
  <si>
    <t>63X91X90</t>
  </si>
  <si>
    <t>48X38.5</t>
  </si>
  <si>
    <t>51X41.5</t>
  </si>
  <si>
    <t>102-003-002</t>
  </si>
  <si>
    <t>90X61X61</t>
  </si>
  <si>
    <t>49.1X32.4</t>
  </si>
  <si>
    <t>52.1X35.4</t>
  </si>
  <si>
    <t>101-001-034</t>
  </si>
  <si>
    <t>104-001-001</t>
  </si>
  <si>
    <t>K7</t>
  </si>
  <si>
    <t>110X65X19</t>
  </si>
  <si>
    <t>101-014-003</t>
  </si>
  <si>
    <t>BROXILIN DUO FUERTE</t>
  </si>
  <si>
    <t xml:space="preserve"> </t>
  </si>
  <si>
    <t>ACD GK</t>
  </si>
  <si>
    <t>119X76X50</t>
  </si>
  <si>
    <t>49.5X27.5</t>
  </si>
  <si>
    <t>52.5X30.5</t>
  </si>
  <si>
    <t>IFA-01106</t>
  </si>
  <si>
    <t>CAJA MM BROXILIN DUO X 15 ML</t>
  </si>
  <si>
    <t>BROXILIN DUO</t>
  </si>
  <si>
    <t>101-014-006</t>
  </si>
  <si>
    <t>101-014-004</t>
  </si>
  <si>
    <t>101-014-002</t>
  </si>
  <si>
    <t>101-014-005</t>
  </si>
  <si>
    <t>101-001-036</t>
  </si>
  <si>
    <t>CAJA MM DIPROFEN 400 MG X 2 CAPS. BLANDAS (13X60X95) 5 COLORES</t>
  </si>
  <si>
    <t>95X60X13</t>
  </si>
  <si>
    <t>49X31</t>
  </si>
  <si>
    <t>52X34</t>
  </si>
  <si>
    <t>101-001-014</t>
  </si>
  <si>
    <t>106-001-002</t>
  </si>
  <si>
    <t>101-001-015</t>
  </si>
  <si>
    <t>LAXYL</t>
  </si>
  <si>
    <t>101-001-011</t>
  </si>
  <si>
    <t>101-001-010</t>
  </si>
  <si>
    <t>101-001-006</t>
  </si>
  <si>
    <t>FLUZET</t>
  </si>
  <si>
    <t>LADO A/B</t>
  </si>
  <si>
    <t>101-001-008</t>
  </si>
  <si>
    <t>101-001-005</t>
  </si>
  <si>
    <t>101-001-007</t>
  </si>
  <si>
    <t>101-001-009</t>
  </si>
  <si>
    <t>SOBRE DE GRISEOVINA 40 MG X 1 CAPS.</t>
  </si>
  <si>
    <t>IFA-01540</t>
  </si>
  <si>
    <t>SOBRE DE ROSUVAST 10 MG X 2 CAPS.</t>
  </si>
  <si>
    <t>IFA-01541</t>
  </si>
  <si>
    <t>SOBRE DE ROSUVAST 20 MG X 2 CAPS.</t>
  </si>
  <si>
    <t>ABCEFK</t>
  </si>
  <si>
    <t>13X60X95</t>
  </si>
  <si>
    <t>FLAMADIN PLUS FORTE</t>
  </si>
  <si>
    <t>101-004-089</t>
  </si>
  <si>
    <t>101-001-012</t>
  </si>
  <si>
    <t>BCDEFK</t>
  </si>
  <si>
    <t>290X90X68</t>
  </si>
  <si>
    <t>50.1X33.8</t>
  </si>
  <si>
    <t>53.1X36.8</t>
  </si>
  <si>
    <t>101-014-013</t>
  </si>
  <si>
    <t>119X105X54</t>
  </si>
  <si>
    <t>50.2X34</t>
  </si>
  <si>
    <t>53.2X37</t>
  </si>
  <si>
    <t>IFA-01093</t>
  </si>
  <si>
    <t>CAJA MM BENZALIL LOCION 30 ML</t>
  </si>
  <si>
    <t>50.3X37.7</t>
  </si>
  <si>
    <t>53.3X40.7</t>
  </si>
  <si>
    <t>2020 SEPTIEMBRE</t>
  </si>
  <si>
    <t>66X95X39</t>
  </si>
  <si>
    <t>50.4X37.6</t>
  </si>
  <si>
    <t>53.4X40.6</t>
  </si>
  <si>
    <t>102-003-007</t>
  </si>
  <si>
    <t>MOLNUPIRAVIR</t>
  </si>
  <si>
    <t>91X61X36</t>
  </si>
  <si>
    <t>50.8X21.7</t>
  </si>
  <si>
    <t>53.8X24.7</t>
  </si>
  <si>
    <t>102-002-002</t>
  </si>
  <si>
    <t>90X70X38</t>
  </si>
  <si>
    <t>50.3X24.6</t>
  </si>
  <si>
    <t>53.3X27.6</t>
  </si>
  <si>
    <t>101-002-012</t>
  </si>
  <si>
    <t>CAJA ALYSIA X 10 OVULOS</t>
  </si>
  <si>
    <t>50X23.8</t>
  </si>
  <si>
    <t>53X26.8</t>
  </si>
  <si>
    <t>101-002-014</t>
  </si>
  <si>
    <t>CAJA DUFORAX PLUS X 10 OVULOS VAGINAL</t>
  </si>
  <si>
    <t>101-002-008</t>
  </si>
  <si>
    <t>101-001-023</t>
  </si>
  <si>
    <t>IFA-01312</t>
  </si>
  <si>
    <t>101-001-024</t>
  </si>
  <si>
    <t>CAJA GRISEOVINA 40 MG X 30 CAP. BLANDAS (4 COLORES DE 83 X 42 X 3</t>
  </si>
  <si>
    <t>101-001-037</t>
  </si>
  <si>
    <t>CAJA MM DIPROFEN 600 MG X 2 CAPS. BLANDAS (100X85X15) 4 COLORES</t>
  </si>
  <si>
    <t>101-001-003</t>
  </si>
  <si>
    <t>98X85X15</t>
  </si>
  <si>
    <t>50X27.2</t>
  </si>
  <si>
    <t>53X30.2</t>
  </si>
  <si>
    <t>101-001-002</t>
  </si>
  <si>
    <t>119X85X54</t>
  </si>
  <si>
    <t>50X30</t>
  </si>
  <si>
    <t>53X33</t>
  </si>
  <si>
    <t>101-014-009</t>
  </si>
  <si>
    <t>101-014-015</t>
  </si>
  <si>
    <t>101-014-008</t>
  </si>
  <si>
    <t>DOMPERIDONA</t>
  </si>
  <si>
    <t>102-006-004</t>
  </si>
  <si>
    <t>101-008-002</t>
  </si>
  <si>
    <t>IFASAN</t>
  </si>
  <si>
    <t>101-008-003</t>
  </si>
  <si>
    <t>REMASOL</t>
  </si>
  <si>
    <t>101-006-013</t>
  </si>
  <si>
    <t>IFA-01462</t>
  </si>
  <si>
    <t>101-006-007</t>
  </si>
  <si>
    <t>CAJA REDUTEM GOTAS X 20 ML 86X35X35 MM (6 COLORES)</t>
  </si>
  <si>
    <t>103-006-004</t>
  </si>
  <si>
    <t>VETODOLIC</t>
  </si>
  <si>
    <t>103-006-003</t>
  </si>
  <si>
    <t>105X42X30</t>
  </si>
  <si>
    <t>50X32.7</t>
  </si>
  <si>
    <t>53X35.7</t>
  </si>
  <si>
    <t>102-002-003</t>
  </si>
  <si>
    <t>2022 DICIEMBRE</t>
  </si>
  <si>
    <t>101-002-010</t>
  </si>
  <si>
    <t>101-002-009</t>
  </si>
  <si>
    <t>101-002-011</t>
  </si>
  <si>
    <t>2024 JULIO CORREGIR NOMBRE DE CODIGO</t>
  </si>
  <si>
    <t>160X111X87</t>
  </si>
  <si>
    <t>51.9X33.4</t>
  </si>
  <si>
    <t>54.9X36.4</t>
  </si>
  <si>
    <t>102-004-063</t>
  </si>
  <si>
    <t>2O25 MAYO</t>
  </si>
  <si>
    <t>102-014-009</t>
  </si>
  <si>
    <t>52.5X37.6</t>
  </si>
  <si>
    <t>55.5X40.6</t>
  </si>
  <si>
    <t>102-009-005</t>
  </si>
  <si>
    <t>101-021-001</t>
  </si>
  <si>
    <t>SOBRE DE TRIOBACTER LANSOPRAZOL 30 MG CLAROTROMICINA 500 MG SPEED</t>
  </si>
  <si>
    <t>53.3X31.3</t>
  </si>
  <si>
    <t>56.3X34.3</t>
  </si>
  <si>
    <t>101-003-012</t>
  </si>
  <si>
    <t>IFA-01473</t>
  </si>
  <si>
    <t>CAJA MM REZITRO 30 MG. X 3 AMP.(3 COLORES DE 82 X 62 X 15 MM)</t>
  </si>
  <si>
    <t>IFA-01572</t>
  </si>
  <si>
    <t>101-003-017</t>
  </si>
  <si>
    <t>CAJA TEURAL 150 MG. X 14 CAPS.(3 COLORES DE 85.3 X 61.4 X 17.95 M</t>
  </si>
  <si>
    <t>40.5X18.5</t>
  </si>
  <si>
    <t>43.5X21.5</t>
  </si>
  <si>
    <t>102-005-015</t>
  </si>
  <si>
    <t>CLORURO DE POTASIO</t>
  </si>
  <si>
    <t>110X122X52</t>
  </si>
  <si>
    <t>53X37</t>
  </si>
  <si>
    <t>56X40</t>
  </si>
  <si>
    <t>CAJA GLUCONATO DE CALCIO 10% X 10AMPOLLAS (2 COLORES D</t>
  </si>
  <si>
    <t>GLUCONATO DE CALCIO</t>
  </si>
  <si>
    <t>102-005-002</t>
  </si>
  <si>
    <t>AMIKACINA</t>
  </si>
  <si>
    <t>98X81X80</t>
  </si>
  <si>
    <t>54.5X37.8</t>
  </si>
  <si>
    <t>57.5X40.8</t>
  </si>
  <si>
    <t>102-005-003</t>
  </si>
  <si>
    <t>102-005-001</t>
  </si>
  <si>
    <t>GENTAMICINA</t>
  </si>
  <si>
    <t>IFA-04303</t>
  </si>
  <si>
    <t>CAJA KETOROLACO 30 MG X 25 AMPOLLAS (98X81X80) 2 COLORES (PG)</t>
  </si>
  <si>
    <t>102-004-033</t>
  </si>
  <si>
    <t>DOXICICLINA</t>
  </si>
  <si>
    <t>102-004-031</t>
  </si>
  <si>
    <t>CAJA LOPERAMIDA 2 MG X 100 COMP</t>
  </si>
  <si>
    <t>102-004-068</t>
  </si>
  <si>
    <t>83X43X38</t>
  </si>
  <si>
    <t>54.7X38.1</t>
  </si>
  <si>
    <t>57.7X41.1</t>
  </si>
  <si>
    <t>103-004-007</t>
  </si>
  <si>
    <t>COMPLEJO B COMPUESTO</t>
  </si>
  <si>
    <t>103-004-002</t>
  </si>
  <si>
    <t>101-004-032</t>
  </si>
  <si>
    <t>SOBRE MM CESTODEN 400 MG X 1 COMPRIMIDO MEDIDA 10X85X100 (2</t>
  </si>
  <si>
    <t>102-004-046</t>
  </si>
  <si>
    <t>54X27</t>
  </si>
  <si>
    <t>57X30</t>
  </si>
  <si>
    <t>IFA-01135</t>
  </si>
  <si>
    <t>CAJA CEFRADINA 500 MG X 100 CAPS. ( 2 COLORES 61 X 91 X 85 MM ) P</t>
  </si>
  <si>
    <t>CEFRADINA</t>
  </si>
  <si>
    <t>59.9X37.7</t>
  </si>
  <si>
    <t>62.9X40.7</t>
  </si>
  <si>
    <t>2017 FEBRERO</t>
  </si>
  <si>
    <t>103-004-012</t>
  </si>
  <si>
    <t>IFA-01071</t>
  </si>
  <si>
    <t>CAJA AMPICILINA 1 G X 100 COMP. (PG) (63X91X90)</t>
  </si>
  <si>
    <t>63.2X38.6</t>
  </si>
  <si>
    <t>66.2X41.6</t>
  </si>
  <si>
    <t>2019 JULIO</t>
  </si>
  <si>
    <t>102-004-028</t>
  </si>
  <si>
    <t>IFA-01170</t>
  </si>
  <si>
    <t>CAJA CLOTRIMAZOL 100 MG X 50 OVULOS ( 2 COLORES DE 83X120X69 MM)</t>
  </si>
  <si>
    <t>DESCONTINUADO</t>
  </si>
  <si>
    <t>45X35.5</t>
  </si>
  <si>
    <t>2025 AGOSTO</t>
  </si>
  <si>
    <t>IFA-01416</t>
  </si>
  <si>
    <t>102-007-010</t>
  </si>
  <si>
    <t>CAJA MULTIVITAMINAS JBE X 100 ML (PG)</t>
  </si>
  <si>
    <t>101-004-013</t>
  </si>
  <si>
    <t>IFAMINA</t>
  </si>
  <si>
    <t>101-004-062</t>
  </si>
  <si>
    <t>101-004-014</t>
  </si>
  <si>
    <t>110X57X46</t>
  </si>
  <si>
    <t>IFA-01145</t>
  </si>
  <si>
    <t>CAJA CIFLOX 500 MG X 500 COMP. ( 2 COLORES DE 213X112X80 MM)</t>
  </si>
  <si>
    <t>101-006-001</t>
  </si>
  <si>
    <t>CAJA MAESTRA</t>
  </si>
  <si>
    <t>GK</t>
  </si>
  <si>
    <t>IFA-01199</t>
  </si>
  <si>
    <t>CAJA DICLOFENACO 75 MG X 500 COMP. (PG)</t>
  </si>
  <si>
    <t>102-004-025</t>
  </si>
  <si>
    <t>2024 JULIO CORREGIR VERIFICAR MEDIDA DE TROQUEL</t>
  </si>
  <si>
    <t>IFA-01425</t>
  </si>
  <si>
    <t>CAJA NISTATINA 100000 UI X 50 OVULOS ( 2 COLORES DE 83X120X76 MM)</t>
  </si>
  <si>
    <t>2017 MAYO</t>
  </si>
  <si>
    <t>IFA-01484</t>
  </si>
  <si>
    <t>102-004-030</t>
  </si>
  <si>
    <t>CAJA SALBUTAMOL 4 MG X 100 COMP. (2 COLORES DE 83X43X38 MM) PG</t>
  </si>
  <si>
    <t>IFA-01257</t>
  </si>
  <si>
    <t>101-015-008</t>
  </si>
  <si>
    <t>CAJA EXAMIL 1% CREMA VAGINAL DE 50 MG (4 COLORES DE 15</t>
  </si>
  <si>
    <t>IFA-01256</t>
  </si>
  <si>
    <t>CAJA MM EXAMIL 1 % CREMA VAGINAL DE 10 MG (4 COLORES DE 133 X 34 X 2</t>
  </si>
  <si>
    <t>101-015-007</t>
  </si>
  <si>
    <t>DLM</t>
  </si>
  <si>
    <t>IFA-01518</t>
  </si>
  <si>
    <t>CAJA MM FLUCOMICOL 150 MG X 1 CAPSULA (100X85X10</t>
  </si>
  <si>
    <t>101-003-004</t>
  </si>
  <si>
    <t>CAJA MM FLUCOMICOL 200 MG X 1 CAPSULA (100X85X10</t>
  </si>
  <si>
    <t>IFA-01205</t>
  </si>
  <si>
    <t>CAJA DINACEF 500MG X 100 CAP</t>
  </si>
  <si>
    <t>IFA-01102</t>
  </si>
  <si>
    <t>CAJA MM BROXILIN 1 GR. X 2 COMP. (3 COLORES DE 90 *61 * 18 MM)</t>
  </si>
  <si>
    <t>BROXILIN</t>
  </si>
  <si>
    <t>2016 AGOSTO</t>
  </si>
  <si>
    <t>IFA-01224</t>
  </si>
  <si>
    <t>CAJA DOLOGRIP X 100 COMP.</t>
  </si>
  <si>
    <t>2016 SEPTIEMBRE</t>
  </si>
  <si>
    <t>IFA-01226</t>
  </si>
  <si>
    <t>CAJA DOLOGRIP X 500 COMP. (3 COLORES DE 213X112X80 MM)</t>
  </si>
  <si>
    <t>IFA-01296</t>
  </si>
  <si>
    <t>CAJA FLUZODIL 10 MG. X 30 COMP.</t>
  </si>
  <si>
    <t>FLUZODIL</t>
  </si>
  <si>
    <t>IFA-01301</t>
  </si>
  <si>
    <t>CAJA GASTROZIN HP X 28 CAPS</t>
  </si>
  <si>
    <t>GASTROZIN</t>
  </si>
  <si>
    <t>IFA-01320</t>
  </si>
  <si>
    <t>CAJA HISTADRYN 10 MG. X 10 CAPS.</t>
  </si>
  <si>
    <t>HISTADRYN</t>
  </si>
  <si>
    <t>2017 JULIO</t>
  </si>
  <si>
    <t>IFA-01382</t>
  </si>
  <si>
    <t>101-004-001</t>
  </si>
  <si>
    <t>CAJA MEBEN 500 MG X 1 COMP.</t>
  </si>
  <si>
    <t>MEBEN</t>
  </si>
  <si>
    <t>IFA-01383</t>
  </si>
  <si>
    <t>CAJA MEBEN 500 MG X 250 COMP. (3 COLORES 195 X 120 X 90 MM)</t>
  </si>
  <si>
    <t>2015 ABRIL</t>
  </si>
  <si>
    <t>IFA-01225</t>
  </si>
  <si>
    <t>CAJA MM DOLOGRIP X 2 COMP.</t>
  </si>
  <si>
    <t>2016 JUNIO</t>
  </si>
  <si>
    <t>IFA-01420</t>
  </si>
  <si>
    <t>101-004-011</t>
  </si>
  <si>
    <t>CAJA NACLODIL 250 MG X 100 COMP</t>
  </si>
  <si>
    <t>2019 MARZO</t>
  </si>
  <si>
    <t>IFA-01497</t>
  </si>
  <si>
    <t>SOBRE MM CARDIOCOR 50 MG X 2 COMPRIMIDOS 95X59X8 MM (2 COLO</t>
  </si>
  <si>
    <t>CARDIOCORD</t>
  </si>
  <si>
    <t>2018 MAYO</t>
  </si>
  <si>
    <t>IFA-01520</t>
  </si>
  <si>
    <t>SOBRE MM FLUZODIL X 2 COMPRIMIDOS 95X59X8 MM (2 COLORES)</t>
  </si>
  <si>
    <t>IFA-01551</t>
  </si>
  <si>
    <t>SOBRE MM ZITROMIN 1G X 1 COMPRIMIDO 100X85X10 MM (2 COLORES)</t>
  </si>
  <si>
    <t>IFA-01470</t>
  </si>
  <si>
    <t>CAJA REZITRO 30 MG X 25 AMPOLLA</t>
  </si>
  <si>
    <t>2018 ABRIL</t>
  </si>
  <si>
    <t>IFA-01573</t>
  </si>
  <si>
    <t>101-003-016</t>
  </si>
  <si>
    <t>CAJA TEURAL 75 MG. X 14 CAPS. (3 COLORES DE 85.3 X 61.4 X 17.95 M</t>
  </si>
  <si>
    <t>IFA-01593</t>
  </si>
  <si>
    <t>CAJA ZITROMIN 1 GR X 1 COMP</t>
  </si>
  <si>
    <t>2019 ENERO</t>
  </si>
  <si>
    <t>101-004-008</t>
  </si>
  <si>
    <t>IFA-01294</t>
  </si>
  <si>
    <t>CAJA FLUZET 100 MG X 30 CAPS (4 COLORES DE 83 X 42 X 37 MM)</t>
  </si>
  <si>
    <t>101-001-022</t>
  </si>
  <si>
    <t>101-001-029</t>
  </si>
  <si>
    <t>IFA-01430</t>
  </si>
  <si>
    <t>CAJA OSTEOMAX 150 MG X 1 CAPSULA BLANDA (4 COLORES 90</t>
  </si>
  <si>
    <t>OSTEOMAX</t>
  </si>
  <si>
    <t>IFA-01515</t>
  </si>
  <si>
    <t>SOBRE MM FLAMADIN PLUS X 2 CAPSULAS BLANDAS (13X60X95 MM) (3</t>
  </si>
  <si>
    <t>POSIBLE REPETIDO 1</t>
  </si>
  <si>
    <t>IFA-01252</t>
  </si>
  <si>
    <t>101-018-002</t>
  </si>
  <si>
    <t>CAJA ESCALDEX POMADA LP X 30 GR.</t>
  </si>
  <si>
    <t>ESCALDEX</t>
  </si>
  <si>
    <t>POMADA</t>
  </si>
  <si>
    <t>2016 JULIO</t>
  </si>
  <si>
    <t>CAJA FLAMADIN GOTAS 15 MG X 30 ML</t>
  </si>
  <si>
    <t>IFA-01343</t>
  </si>
  <si>
    <t>CAJA IFATRIM 200/40 MG X 100 ML (6 COLORES 119 X 70 X 54 MM)</t>
  </si>
  <si>
    <t>IFA-01253</t>
  </si>
  <si>
    <t>101-018-001</t>
  </si>
  <si>
    <t>CAJA MM ESCALDEX POMADA X 5 GR</t>
  </si>
  <si>
    <t>101-014-001</t>
  </si>
  <si>
    <t>101-014-007</t>
  </si>
  <si>
    <t>103-006-005</t>
  </si>
  <si>
    <t>103-004-008</t>
  </si>
  <si>
    <t>103-004-009</t>
  </si>
  <si>
    <t>ok</t>
  </si>
  <si>
    <t>103-016-001</t>
  </si>
  <si>
    <t>2024 OCTIUBRE</t>
  </si>
  <si>
    <t>50.4X37.4</t>
  </si>
  <si>
    <t>53.4X40.4</t>
  </si>
  <si>
    <t>103-004-003</t>
  </si>
  <si>
    <t>LEVAMISOL</t>
  </si>
  <si>
    <t>90X59X8</t>
  </si>
  <si>
    <t>35X19.7</t>
  </si>
  <si>
    <t>38X22.7</t>
  </si>
  <si>
    <t>103-004-013</t>
  </si>
  <si>
    <t>IFA-01229</t>
  </si>
  <si>
    <t>CAJA MM DOMPERIDONA-VET 10 MG X 10 ML (IFAVET) (86X35X35) (2 COLORES</t>
  </si>
  <si>
    <t>IFA-01358</t>
  </si>
  <si>
    <t>CAJA MM KETOCONAZOL 2% CREMA DERMICA X 5 G (IFAVET) (100X28X19) (2 C</t>
  </si>
  <si>
    <t>M8</t>
  </si>
  <si>
    <t>IFA-01403</t>
  </si>
  <si>
    <t>CAJA MM METRONIDAZOL 250 MG SUSP. LIQUIDA X 30 ML (IFAVET) (99X47X47</t>
  </si>
  <si>
    <t>IFA-01419</t>
  </si>
  <si>
    <t>103-004-010</t>
  </si>
  <si>
    <t>CAJA MULTIVITAMINAS-VET X 100 COMPRIMIDOS (IFAVET) (83X43X38) (2</t>
  </si>
  <si>
    <t>IFA-01547</t>
  </si>
  <si>
    <t>SOBRE DE TRIFA PLUS X 4 COMP. ( 2 COLORES DE 90 X 60 MM)</t>
  </si>
  <si>
    <t>TRIFAPLUS</t>
  </si>
  <si>
    <t>103-004-005</t>
  </si>
  <si>
    <t>TRIFACANIL</t>
  </si>
  <si>
    <t>2024 JULIO CONSULTAR APROVECHAMIENTO</t>
  </si>
  <si>
    <t>PENTA FORTE</t>
  </si>
  <si>
    <t>80X76X43</t>
  </si>
  <si>
    <t>26X38</t>
  </si>
  <si>
    <t>29X41</t>
  </si>
  <si>
    <t>2025 noviembre</t>
  </si>
  <si>
    <t>IFA-01452</t>
  </si>
  <si>
    <t>103-004-014</t>
  </si>
  <si>
    <t>CAJA PREDNISONA 5 MG X 100 COMPRIMIDOS (IFAVET) (83X43X38) (2 COL</t>
  </si>
  <si>
    <t>IFA-01556</t>
  </si>
  <si>
    <t>103-004-011</t>
  </si>
  <si>
    <t>CAJA SULFATO FERROSO COMPUESTO X 100 COMPRIMIDOS (IFAVET) (110X57</t>
  </si>
  <si>
    <t>SULFATO FERROSO COMPUESTO</t>
  </si>
  <si>
    <t>103-004-004</t>
  </si>
  <si>
    <t>CAJA DONTOFLAMON NF X 10 COMP. RECUBIERTO (3 COLORES DE 90X61X18 MM)</t>
  </si>
  <si>
    <t>101-004-090</t>
  </si>
  <si>
    <t>IFA-06103</t>
  </si>
  <si>
    <t>CAJA MM DONTOFLAMON NF X 2 COMP. RECUBIERTO (2 COLORES DE 64X44X16 MM)</t>
  </si>
  <si>
    <t>100X68X43</t>
  </si>
  <si>
    <t>43X24.4</t>
  </si>
  <si>
    <t>46X27.4</t>
  </si>
  <si>
    <t>CAJA CETIRIZINA 10 MG COMP X 100</t>
  </si>
  <si>
    <t>110X57X43</t>
  </si>
  <si>
    <t>42.4X22.2</t>
  </si>
  <si>
    <t>45.4X25.2</t>
  </si>
  <si>
    <t>IFA-01215</t>
  </si>
  <si>
    <t>CAJA DOLOESPASMO GOTAS X 15 GR</t>
  </si>
  <si>
    <t>DOLOESPASMO</t>
  </si>
  <si>
    <t>2015 SEPTIEMBRE</t>
  </si>
  <si>
    <t>IFA-01321</t>
  </si>
  <si>
    <t>CAJA HISTADRYN 5 MG X 100 ML</t>
  </si>
  <si>
    <t>IFA-01332</t>
  </si>
  <si>
    <t>CAJA IFACILINA 600 X 50 VIALES ( NP )</t>
  </si>
  <si>
    <t>IFACILINA</t>
  </si>
  <si>
    <t>-------------------------------</t>
  </si>
  <si>
    <t>IFA-01204</t>
  </si>
  <si>
    <t>CAJA MM DINACEF 250 MG X 30 ML</t>
  </si>
  <si>
    <t>IFA-01322</t>
  </si>
  <si>
    <t>CAJA MM HISTADRYN 5 MG X 30 ML.</t>
  </si>
  <si>
    <t>/</t>
  </si>
  <si>
    <t>IFA-01331</t>
  </si>
  <si>
    <t>CAJA MM IFACILINA 2400 X 1 VIAL</t>
  </si>
  <si>
    <t>IFA-01521</t>
  </si>
  <si>
    <t>SOBRE MM GASTROZIN HP X 2 CAPSULAS MEDIDA 100X85X10 (2 COLOR</t>
  </si>
  <si>
    <t>IFA-01533</t>
  </si>
  <si>
    <t>SOBRE MM OSTEOMAX 150 MG X 1 CAPS</t>
  </si>
  <si>
    <t>IFA-01536</t>
  </si>
  <si>
    <t>SOBRE MM PROSTAFERID 5 MG X 2 COMPRIMIDOS (195X59X8) (2 COLO</t>
  </si>
  <si>
    <t>PROSTAFERID</t>
  </si>
  <si>
    <t>IFA-05318</t>
  </si>
  <si>
    <t>104-001-007</t>
  </si>
  <si>
    <t>CAJA RELAGEN X 60 CAPSULAS BLANDAS (84X74X43) 4 COLORES</t>
  </si>
  <si>
    <t>RELAGEN</t>
  </si>
  <si>
    <t>84X74X43</t>
  </si>
  <si>
    <t>36.3X25.6</t>
  </si>
  <si>
    <t>39.3X28.6</t>
  </si>
  <si>
    <t>101-007-015</t>
  </si>
  <si>
    <t>HISTADRYN NF FORTE</t>
  </si>
  <si>
    <t>101-007-016</t>
  </si>
  <si>
    <t>106-004-004</t>
  </si>
  <si>
    <t>106-004-003</t>
  </si>
  <si>
    <t>106-007-002</t>
  </si>
  <si>
    <t>IFADRYN</t>
  </si>
  <si>
    <t>106-007-001</t>
  </si>
  <si>
    <t>199X59X59</t>
  </si>
  <si>
    <t>25.9X48.6</t>
  </si>
  <si>
    <t>28.9X51.6</t>
  </si>
  <si>
    <t>106-002-002</t>
  </si>
  <si>
    <t>N6</t>
  </si>
  <si>
    <t>CAJA FLAMADIN SUSP. X 100 ML (57X57X119) 6 COLORES</t>
  </si>
  <si>
    <t>101-001-040</t>
  </si>
  <si>
    <t>95x60x13</t>
  </si>
  <si>
    <t>104-001-008</t>
  </si>
  <si>
    <t>101-007-017</t>
  </si>
  <si>
    <t>IFA-05221</t>
  </si>
  <si>
    <t>CAJA FLUCOMICOL 200MG X CAPSULA 1 (126X36X11) 3 COLORES</t>
  </si>
  <si>
    <t>101-007-018</t>
  </si>
  <si>
    <t>101-004-082</t>
  </si>
  <si>
    <t>DONTOFLAMON NF</t>
  </si>
  <si>
    <t>106-002-001</t>
  </si>
  <si>
    <t>E6</t>
  </si>
  <si>
    <t>104-001-010</t>
  </si>
  <si>
    <t>GINBI</t>
  </si>
  <si>
    <t>IFA-01525</t>
  </si>
  <si>
    <t>101-001-038</t>
  </si>
  <si>
    <t>SOBRE MM HISTADRYN NF 10 MG X 2 CAPSULAS ( 92X60X13)</t>
  </si>
  <si>
    <t xml:space="preserve">HISTADRYN NF  </t>
  </si>
  <si>
    <t>101-006-017</t>
  </si>
  <si>
    <t>101-009-025</t>
  </si>
  <si>
    <t>IFATRIM FUERTE</t>
  </si>
  <si>
    <t>N/a</t>
  </si>
  <si>
    <t>TUSSINOL INFANTIL</t>
  </si>
  <si>
    <t>101-006-016</t>
  </si>
  <si>
    <t>REPAHIL</t>
  </si>
  <si>
    <t>85X68X63</t>
  </si>
  <si>
    <t>41.7X28.7</t>
  </si>
  <si>
    <t>46.7X33.7</t>
  </si>
  <si>
    <t>FLUOEXETINA</t>
  </si>
  <si>
    <t>METRONIZADOL</t>
  </si>
  <si>
    <t>213X122X80</t>
  </si>
  <si>
    <t>IFA-05137</t>
  </si>
  <si>
    <t>CAJA IFAZOLINA 25 MG X 2 COMP. (64X44X16) 2 COLORES</t>
  </si>
  <si>
    <t>IFOZOLINA</t>
  </si>
  <si>
    <t>IFA-05184</t>
  </si>
  <si>
    <t>CAJA ACICLOVIR 400 MG X 500 COMP. RECUBIERTOS ( 213X112X90) 2 COLORES (PG)</t>
  </si>
  <si>
    <t>IFA-05185</t>
  </si>
  <si>
    <t>CAJA ERITROMICINA 250 MG POLVO P/ SUSP. X 100 ML ( 214X116X75) 2 COLORES (PG)</t>
  </si>
  <si>
    <t>IFA-05220</t>
  </si>
  <si>
    <t>CAJA ZITROMIN 500 MG X 1 COMP ( 125X36X12) 4 COLORES</t>
  </si>
  <si>
    <t>IFA-05671</t>
  </si>
  <si>
    <t>101-004-085</t>
  </si>
  <si>
    <t>SOBRE MM BROMARIN X 2 COMP.</t>
  </si>
  <si>
    <t>SI</t>
  </si>
  <si>
    <t>FERRASOL FN</t>
  </si>
  <si>
    <t>160X126X86</t>
  </si>
  <si>
    <t>54.2X34</t>
  </si>
  <si>
    <t>57.2X37</t>
  </si>
  <si>
    <t>MUCOL</t>
  </si>
  <si>
    <t>85X83X68</t>
  </si>
  <si>
    <t>29.4X32.6</t>
  </si>
  <si>
    <t>34.4X37.6</t>
  </si>
  <si>
    <t>101-013-005</t>
  </si>
  <si>
    <t>CAJA IVERMECTINA 3,15 % VETERINARIO X 100 ML</t>
  </si>
  <si>
    <t>IVERMECTINA</t>
  </si>
  <si>
    <t>101-007-020</t>
  </si>
  <si>
    <t>RETUDEM</t>
  </si>
  <si>
    <t>IFA-06558</t>
  </si>
  <si>
    <t>101-007-019</t>
  </si>
  <si>
    <t>91X91X61</t>
  </si>
  <si>
    <t>45X32.6</t>
  </si>
  <si>
    <t>48X35.6</t>
  </si>
  <si>
    <t>46X32</t>
  </si>
  <si>
    <t>51X37</t>
  </si>
  <si>
    <t>2026 ENERO</t>
  </si>
  <si>
    <t>FLAMACOXINE</t>
  </si>
  <si>
    <t>104X48X20</t>
  </si>
  <si>
    <t>48.5X15.8</t>
  </si>
  <si>
    <t>51.5X18.8</t>
  </si>
  <si>
    <t>2026 MARZO</t>
  </si>
  <si>
    <t>ANULADA</t>
  </si>
  <si>
    <t>IFA-01000</t>
  </si>
  <si>
    <t>IFA-06475</t>
  </si>
  <si>
    <t>IFA-00861</t>
  </si>
  <si>
    <t>IFA-5318</t>
  </si>
  <si>
    <t>IFA-0000</t>
  </si>
  <si>
    <t>IFA-00916</t>
  </si>
  <si>
    <t>IFA-0643</t>
  </si>
  <si>
    <t>IFA-05779</t>
  </si>
  <si>
    <t>IFA-03588</t>
  </si>
  <si>
    <t>20/4/2026</t>
  </si>
  <si>
    <t>21/4/2026</t>
  </si>
  <si>
    <t>22/4/2026</t>
  </si>
  <si>
    <t>23/4/2026</t>
  </si>
  <si>
    <t>24/4/2026</t>
  </si>
  <si>
    <t>27/4/2026</t>
  </si>
  <si>
    <t>28/4/2026</t>
  </si>
  <si>
    <t>29/4/2026</t>
  </si>
  <si>
    <t>30/4/2026</t>
  </si>
  <si>
    <t>TIRAJE</t>
  </si>
  <si>
    <t>4/5/2026</t>
  </si>
  <si>
    <t>5/5/2026</t>
  </si>
  <si>
    <t>6/5/2026</t>
  </si>
  <si>
    <t>7/5/2026</t>
  </si>
  <si>
    <t>8/5/2026</t>
  </si>
  <si>
    <t>11/5/2026</t>
  </si>
  <si>
    <t>IMPRESIÓN</t>
  </si>
  <si>
    <t>DIAS</t>
  </si>
  <si>
    <t>CRONOGRAMA IMPRESIÓN OFFSET</t>
  </si>
  <si>
    <t>BARNIZADO</t>
  </si>
  <si>
    <t>TROQUELADO</t>
  </si>
  <si>
    <t>11/5/2027</t>
  </si>
  <si>
    <t>CANT</t>
  </si>
  <si>
    <t>AMOXICILINA 500 MG X 60 ML POLVO PARA SUSP.</t>
  </si>
  <si>
    <t>52606</t>
  </si>
  <si>
    <t>NN-28386</t>
  </si>
  <si>
    <t>52603</t>
  </si>
  <si>
    <t>52602</t>
  </si>
  <si>
    <t>52605</t>
  </si>
  <si>
    <t>52601</t>
  </si>
  <si>
    <t>52604</t>
  </si>
  <si>
    <t>DIPROFEN 600 MG X 10 CAP. BLANDAS</t>
  </si>
  <si>
    <t>52616</t>
  </si>
  <si>
    <t>NN-82494</t>
  </si>
  <si>
    <t>DEXAMETASONA 4 MG X 25 AMP. SOLUCION INY.</t>
  </si>
  <si>
    <t>B26566</t>
  </si>
  <si>
    <t>NN-36501</t>
  </si>
  <si>
    <t>AMIKACINA 500 MG X 25 AMP. SOLUCION INY.</t>
  </si>
  <si>
    <t>B26570</t>
  </si>
  <si>
    <t>NN-36500</t>
  </si>
  <si>
    <t>GINBI X 30 CAP. BLANDAS</t>
  </si>
  <si>
    <t>52623</t>
  </si>
  <si>
    <t>08-01-03-24-0001-7</t>
  </si>
  <si>
    <t>FLAMADIN 1% X 30 G GEL</t>
  </si>
  <si>
    <t>52629</t>
  </si>
  <si>
    <t>NN-34476</t>
  </si>
  <si>
    <t>FLAMACOX RELAX X 10 CAP. BLANDAS</t>
  </si>
  <si>
    <t>52621</t>
  </si>
  <si>
    <t>NN-69176</t>
  </si>
  <si>
    <t>DICLOFENACO 1% X 30 G GEL</t>
  </si>
  <si>
    <t>52625</t>
  </si>
  <si>
    <t>NN-44207</t>
  </si>
  <si>
    <t>HISTADRYN NF X 10 CAP. BLANDAS</t>
  </si>
  <si>
    <t>52619</t>
  </si>
  <si>
    <t>NN-84952</t>
  </si>
  <si>
    <t>GRISEOVINA 20 MG X 30 CAP. BLANDAS</t>
  </si>
  <si>
    <t>52612</t>
  </si>
  <si>
    <t>NN-50197</t>
  </si>
  <si>
    <t>SARNOL 5% X 30 G CREMA DERMICA</t>
  </si>
  <si>
    <t>52632</t>
  </si>
  <si>
    <t>NN-31094</t>
  </si>
  <si>
    <t>LIDOCAINA 4% X 20 G GEL</t>
  </si>
  <si>
    <t>52628</t>
  </si>
  <si>
    <t>NN-36311</t>
  </si>
  <si>
    <t>KALENDA X 10 OVULOS</t>
  </si>
  <si>
    <t>52622</t>
  </si>
  <si>
    <t>NN-45117</t>
  </si>
  <si>
    <t>ROSUVAST 20 MG X 30 CAP. BLANDAS</t>
  </si>
  <si>
    <t>52614</t>
  </si>
  <si>
    <t>NN-55237</t>
  </si>
  <si>
    <t>ALYSIA NF X 10 OVULOS</t>
  </si>
  <si>
    <t>52610</t>
  </si>
  <si>
    <t>NN-60302</t>
  </si>
  <si>
    <t>52633</t>
  </si>
  <si>
    <t>GRISEOVINA 20 MG X 2 CAP. BLANDAS MM</t>
  </si>
  <si>
    <t>52613</t>
  </si>
  <si>
    <t>GENTAMICINA 80 MG X 25 AMP. SOLUCION INY.</t>
  </si>
  <si>
    <t>B26565</t>
  </si>
  <si>
    <t>NN-36492</t>
  </si>
  <si>
    <t>FLAMACOX RELAX X 2 CAP. BLANDAS MM</t>
  </si>
  <si>
    <t>52620</t>
  </si>
  <si>
    <t>METAMIZOL 1G X 10 AMP. SOLUCION INY.</t>
  </si>
  <si>
    <t>B26572</t>
  </si>
  <si>
    <t>DIPROFEN 400 MG X 10 CAP. BLANDAS</t>
  </si>
  <si>
    <t>52617</t>
  </si>
  <si>
    <t>NN-81991</t>
  </si>
  <si>
    <t>CLOTRIM 1% X 20 G CREMA DERMICA</t>
  </si>
  <si>
    <t>52631</t>
  </si>
  <si>
    <t>NN-17679</t>
  </si>
  <si>
    <t>52624</t>
  </si>
  <si>
    <t>52627</t>
  </si>
  <si>
    <t>52626</t>
  </si>
  <si>
    <t>B26569</t>
  </si>
  <si>
    <t>B26568</t>
  </si>
  <si>
    <t>B26567</t>
  </si>
  <si>
    <t>IFABENA 5% X 20 G CREMA DERMICA</t>
  </si>
  <si>
    <t>52634</t>
  </si>
  <si>
    <t>NN-28669</t>
  </si>
  <si>
    <t>52630</t>
  </si>
  <si>
    <t>SANNITA X 30 CAP. BLANDAS</t>
  </si>
  <si>
    <t>52618</t>
  </si>
  <si>
    <t>08-01-03-24-0001-4</t>
  </si>
  <si>
    <t>ROSUVAST 10 MG X 30 CAP. BLANDAS</t>
  </si>
  <si>
    <t>52615</t>
  </si>
  <si>
    <t>NN-55343</t>
  </si>
  <si>
    <t>AGUA ANESTESICA 1% X 5 ML X 25 AMP. SOLUCION INY.</t>
  </si>
  <si>
    <t>B26571</t>
  </si>
  <si>
    <t>NN-33744</t>
  </si>
  <si>
    <t>POLIGYN PLUS X 10 OVULOS</t>
  </si>
  <si>
    <t>52609</t>
  </si>
  <si>
    <t>NN-55003</t>
  </si>
  <si>
    <t>52635</t>
  </si>
  <si>
    <t>GRISEOVINA 40 MG X 30 CAP. BLANDAS</t>
  </si>
  <si>
    <t>52611</t>
  </si>
  <si>
    <t>NN-52793</t>
  </si>
  <si>
    <t>IFA-00642</t>
  </si>
  <si>
    <t>ETIQUETA AMPICILINA 1000 MG VIALES (80 X 24 MM)</t>
  </si>
  <si>
    <t>IFA-00674</t>
  </si>
  <si>
    <t>ETIQUETA CLARIMEX LP 250 MG DILUYENTE 81 X 36 MM.(4 COLORES)</t>
  </si>
  <si>
    <t>IFA-00675</t>
  </si>
  <si>
    <t>ETIQUETA CLARIMEX LP 250 MG SUSP X 80 ML 119 X 40 MM.(6 COLORES)</t>
  </si>
  <si>
    <t>POSOLOGIA HONGO - VET LOCION ( IFAVET )</t>
  </si>
  <si>
    <t>CAJA MM RELEVOX 40 MG X 2 CAPSULAS (95X57X9,5) 2 COLORES</t>
  </si>
  <si>
    <t>IFA-02016</t>
  </si>
  <si>
    <t>POSOLOGIA TUSSINOL INFANTIL JARABE</t>
  </si>
  <si>
    <t>KORD 1</t>
  </si>
  <si>
    <t>KORD 3</t>
  </si>
  <si>
    <t>SM 74</t>
  </si>
  <si>
    <t>William Villegas</t>
  </si>
  <si>
    <t>TROQ 57</t>
  </si>
  <si>
    <t>TROQ 72</t>
  </si>
  <si>
    <t>TROQ MERCEDES</t>
  </si>
  <si>
    <t>Jesus Chappi</t>
  </si>
  <si>
    <t>Franklin Aray</t>
  </si>
  <si>
    <t>Fabian Lanza</t>
  </si>
  <si>
    <t>Juan Estevez</t>
  </si>
  <si>
    <t>Hugo Velasco</t>
  </si>
  <si>
    <t>Daniel Viana</t>
  </si>
  <si>
    <t>Evert Rojas Gutierrez</t>
  </si>
  <si>
    <t>PEGADO</t>
  </si>
  <si>
    <t>PEGADORA</t>
  </si>
  <si>
    <t>Cristian Nuñez</t>
  </si>
  <si>
    <t>GUILLOTINA</t>
  </si>
  <si>
    <t>candidato 1</t>
  </si>
  <si>
    <t>Jhonny Oliva</t>
  </si>
  <si>
    <t>QZYK</t>
  </si>
  <si>
    <t>COMO 115</t>
  </si>
  <si>
    <t>candidato 3</t>
  </si>
  <si>
    <t>Daniel Arteaga</t>
  </si>
  <si>
    <t>CODIFICADO</t>
  </si>
  <si>
    <t>MARCAJE</t>
  </si>
  <si>
    <t>Marco Murguia</t>
  </si>
  <si>
    <t>Candidatos</t>
  </si>
  <si>
    <t>Flabio Angel</t>
  </si>
  <si>
    <t>Ediberto Choque</t>
  </si>
  <si>
    <t>Luis técnico</t>
  </si>
  <si>
    <t>posib maquina</t>
  </si>
  <si>
    <t>Didier Toledo</t>
  </si>
  <si>
    <t>Christian Camacho</t>
  </si>
  <si>
    <t>PIRANTEL 250 MG X 15 ML SUSP.</t>
  </si>
  <si>
    <t>52639</t>
  </si>
  <si>
    <t>NN-28387</t>
  </si>
  <si>
    <t>AMOXICILINA 1 G X 500 COMP. RECUBIERTO</t>
  </si>
  <si>
    <t>52643</t>
  </si>
  <si>
    <t>LEVOFLOXACINA 500 MG X 100 COMP. RECUBIERTO</t>
  </si>
  <si>
    <t>52637</t>
  </si>
  <si>
    <t>NN-58192</t>
  </si>
  <si>
    <t>52642</t>
  </si>
  <si>
    <t>ZINC 20 MG X 100 COMP.</t>
  </si>
  <si>
    <t>52638</t>
  </si>
  <si>
    <t>NN-74927</t>
  </si>
  <si>
    <t>52641</t>
  </si>
  <si>
    <t>52640</t>
  </si>
  <si>
    <t>SULFATO FERROSO 200 MG X 100 COMP. RECUBIERTO</t>
  </si>
  <si>
    <t>52636</t>
  </si>
  <si>
    <t>NN-30176</t>
  </si>
  <si>
    <t>ETAPA</t>
  </si>
  <si>
    <t>HORA LABORAL</t>
  </si>
  <si>
    <t>HORA EXTRA</t>
  </si>
  <si>
    <t>OPERARIO</t>
  </si>
  <si>
    <t>OP.</t>
  </si>
  <si>
    <t>CORTE-MAT</t>
  </si>
  <si>
    <t>Operador guillotina</t>
  </si>
  <si>
    <t>fijo</t>
  </si>
  <si>
    <t>Operador impresión</t>
  </si>
  <si>
    <t>Operador barnizado</t>
  </si>
  <si>
    <t>Operador troquelado</t>
  </si>
  <si>
    <t>Horas extras x semana</t>
  </si>
  <si>
    <t>SOLICITUD</t>
  </si>
  <si>
    <t>REALIZAR</t>
  </si>
  <si>
    <t>MAQUINAS</t>
  </si>
  <si>
    <t>NORMAL</t>
  </si>
  <si>
    <t>TIEMPO</t>
  </si>
  <si>
    <t>EXTRA</t>
  </si>
  <si>
    <t>Waldo Arancibia</t>
  </si>
  <si>
    <t>Daniel Saucedo</t>
  </si>
  <si>
    <t>DOBLADO</t>
  </si>
  <si>
    <t>hugo</t>
  </si>
  <si>
    <t>jesus</t>
  </si>
  <si>
    <t>waldo</t>
  </si>
  <si>
    <t>juan</t>
  </si>
  <si>
    <t>GTO-1</t>
  </si>
  <si>
    <t>POLIGYN X 50 G CREMA VAGINAL</t>
  </si>
  <si>
    <t>52668</t>
  </si>
  <si>
    <t>RETINOX X 30 COMP. RECUBIERTO</t>
  </si>
  <si>
    <t>52661</t>
  </si>
  <si>
    <t>TRIBENZOL 100 MG X 60 ML POLVO PARA SUSP. + DILUYENTE</t>
  </si>
  <si>
    <t>52698</t>
  </si>
  <si>
    <t>NN-35776</t>
  </si>
  <si>
    <t>VETODOLIC-K X 30 ML GOTAS VETERINARIO</t>
  </si>
  <si>
    <t>01526</t>
  </si>
  <si>
    <t>011098/22</t>
  </si>
  <si>
    <t>COMPLEJO B X 100 COMP. RECUBIERTO</t>
  </si>
  <si>
    <t>52655</t>
  </si>
  <si>
    <t>NN-36574</t>
  </si>
  <si>
    <t>DEXAMETASONA 0,5 MG X 100 COMP.</t>
  </si>
  <si>
    <t>52658</t>
  </si>
  <si>
    <t>NN-40980</t>
  </si>
  <si>
    <t>DIPROFEN FLU FUERTE X 100 ML SUSP.</t>
  </si>
  <si>
    <t>52684</t>
  </si>
  <si>
    <t>NN-41974</t>
  </si>
  <si>
    <t>EXAMILL X 50 G CREMA VAGINAL</t>
  </si>
  <si>
    <t>52673</t>
  </si>
  <si>
    <t>IBUPROFENO 200 MG X 100 ML SUSP.</t>
  </si>
  <si>
    <t>52688</t>
  </si>
  <si>
    <t>NN-44624</t>
  </si>
  <si>
    <t>INCRETIN X 30 COMP. RECUBIERTO</t>
  </si>
  <si>
    <t>52662</t>
  </si>
  <si>
    <t>NN-63508</t>
  </si>
  <si>
    <t>KALENDA X 50 G CREMA VAGINAL</t>
  </si>
  <si>
    <t>52670</t>
  </si>
  <si>
    <t>NN-42577</t>
  </si>
  <si>
    <t>REDUTEM X 20 ML GOTAS</t>
  </si>
  <si>
    <t>52646</t>
  </si>
  <si>
    <t>KALENDA X 10 G CREMA VAGINAL MM</t>
  </si>
  <si>
    <t>52671</t>
  </si>
  <si>
    <t>101-015-010</t>
  </si>
  <si>
    <t>ZITROMIN 500 MG X 10 ML POLVO PARA SUSP. MM</t>
  </si>
  <si>
    <t>526100</t>
  </si>
  <si>
    <t>NN-60745</t>
  </si>
  <si>
    <t>PREDNISOX 20 MG X 30 ML SUSP. MM</t>
  </si>
  <si>
    <t>52691</t>
  </si>
  <si>
    <t>NN-91371</t>
  </si>
  <si>
    <t>ZITROMIN 500 MG X 1 COMP. RECUBIERTO MM</t>
  </si>
  <si>
    <t>52648</t>
  </si>
  <si>
    <t>NN-25318</t>
  </si>
  <si>
    <t>MUCOLITIC X 120 ML JARABE</t>
  </si>
  <si>
    <t>52679</t>
  </si>
  <si>
    <t>TERMO-DIPROFEN X 100 ML SUSP.</t>
  </si>
  <si>
    <t>52685</t>
  </si>
  <si>
    <t>NN-41926</t>
  </si>
  <si>
    <t>ZITROMIN 500 MG X 3 COMP. RECUBIERTO</t>
  </si>
  <si>
    <t>52649</t>
  </si>
  <si>
    <t>BROXILIN DUO 500/125 X 70 ML POLVO PARA SUSP. + DILUYENTE</t>
  </si>
  <si>
    <t>52694</t>
  </si>
  <si>
    <t>NN-39260</t>
  </si>
  <si>
    <t>ESOPRAZOL 20 MG PARA TRIOBACTER</t>
  </si>
  <si>
    <t>52660-1</t>
  </si>
  <si>
    <t>101-021-002-ES</t>
  </si>
  <si>
    <t>NN-44534</t>
  </si>
  <si>
    <t>AMOXICILINA 1 G PARA TRIOBACTER</t>
  </si>
  <si>
    <t>52660-3</t>
  </si>
  <si>
    <t>101-021-002-AM</t>
  </si>
  <si>
    <t>GRISEOFULVINA 500 MG X 100 COMP.</t>
  </si>
  <si>
    <t>52657</t>
  </si>
  <si>
    <t>NN-41415</t>
  </si>
  <si>
    <t>CEFABIOTIC X 100 ML POLVO PARA SUSP. + DILUYENTE</t>
  </si>
  <si>
    <t>52696</t>
  </si>
  <si>
    <t>ALOPURINOL 300 MG X 100 COMP. RECUBIERTO</t>
  </si>
  <si>
    <t>52650</t>
  </si>
  <si>
    <t>NN-28298</t>
  </si>
  <si>
    <t>BALMICIN X 20 ML GOTAS</t>
  </si>
  <si>
    <t>52674</t>
  </si>
  <si>
    <t>NN-86581</t>
  </si>
  <si>
    <t>CLARITROMICINA 500 MG PARA TRIOBACTER</t>
  </si>
  <si>
    <t>52660-2</t>
  </si>
  <si>
    <t>101-021-002-CL</t>
  </si>
  <si>
    <t>FENORAL 200 MG X 10 CAP. DURAS</t>
  </si>
  <si>
    <t>52667</t>
  </si>
  <si>
    <t>NN-60744</t>
  </si>
  <si>
    <t>HIDROCLOROTIAZIDA 50 MG X 100 COMP.</t>
  </si>
  <si>
    <t>52644</t>
  </si>
  <si>
    <t>NN-26227</t>
  </si>
  <si>
    <t>SULTRIN FORTE 400/80 MG X 100 ML SUSP. VETERINARIO</t>
  </si>
  <si>
    <t>04526</t>
  </si>
  <si>
    <t>011084/22</t>
  </si>
  <si>
    <t>EXAMILL DERM X 10 G CREMA DERMICA MM</t>
  </si>
  <si>
    <t>52672</t>
  </si>
  <si>
    <t>NSOC78375-21BO</t>
  </si>
  <si>
    <t>ALBENDAZOL 200 MG X 10 COMP. MASTICABLE</t>
  </si>
  <si>
    <t>52659</t>
  </si>
  <si>
    <t>NN-44143</t>
  </si>
  <si>
    <t>COTRIMOXAZOL 200/40 MG X 60 ML SUSP.</t>
  </si>
  <si>
    <t>52690</t>
  </si>
  <si>
    <t>NN-21644</t>
  </si>
  <si>
    <t>GRISEOFULVINA 500 MG X 100 COMP. VETERINARIO</t>
  </si>
  <si>
    <t>03526</t>
  </si>
  <si>
    <t>008544/18</t>
  </si>
  <si>
    <t>FINASTERIDA 5 MG X 100 COMP. RECUBIERTO</t>
  </si>
  <si>
    <t>52647</t>
  </si>
  <si>
    <t>NN-57748</t>
  </si>
  <si>
    <t>52669</t>
  </si>
  <si>
    <t>AMLODIPINA 10 MG X 100 COMP.</t>
  </si>
  <si>
    <t>52656</t>
  </si>
  <si>
    <t>CIPROFLOXACINA 500 MG X 500 COMP. RECUBIERTO</t>
  </si>
  <si>
    <t>52664</t>
  </si>
  <si>
    <t>COMPLEJO B COMPUESTO X 100 COMP. RECUBIERTO VETERINARIO</t>
  </si>
  <si>
    <t>02526</t>
  </si>
  <si>
    <t>008550/18</t>
  </si>
  <si>
    <t>METRONIDAZOL 250 MG X 100 ML SUSP.</t>
  </si>
  <si>
    <t>52687</t>
  </si>
  <si>
    <t>NN-36613</t>
  </si>
  <si>
    <t>DOXICICLINA 100 MG X 100 COMP. RECUBIERTO</t>
  </si>
  <si>
    <t>52663</t>
  </si>
  <si>
    <t>NN-28297</t>
  </si>
  <si>
    <t>52689</t>
  </si>
  <si>
    <t>IBUPROFENO 400 MG X 100 COMP.</t>
  </si>
  <si>
    <t>52666</t>
  </si>
  <si>
    <t>NN-21328</t>
  </si>
  <si>
    <t>INDOMETACINA 25 MG X 100 COMP. RECUBIERTO</t>
  </si>
  <si>
    <t>52651</t>
  </si>
  <si>
    <t>NN-21331</t>
  </si>
  <si>
    <t>ENALAPRIL MALEATO 10 MG X 100 COMP.</t>
  </si>
  <si>
    <t>52645</t>
  </si>
  <si>
    <t>NN-26219</t>
  </si>
  <si>
    <t>TAMIFEN X 100 ML JARABE</t>
  </si>
  <si>
    <t>52681</t>
  </si>
  <si>
    <t>NN-95154</t>
  </si>
  <si>
    <t>TENACAR OMEGA 3,6 &amp; 9 GATO X 120 ML SOLUCION ORAL VETERINARIO</t>
  </si>
  <si>
    <t>SOLUCION ORAL</t>
  </si>
  <si>
    <t>05526</t>
  </si>
  <si>
    <t>103-006-009</t>
  </si>
  <si>
    <t>010985/22</t>
  </si>
  <si>
    <t>PARACETAMOL 120 MG X 60 ML JARABE</t>
  </si>
  <si>
    <t>52676</t>
  </si>
  <si>
    <t>SULFATO FERROSO COMPUESTO M.E. X 1 COMP. RECUBIERTO</t>
  </si>
  <si>
    <t>52654</t>
  </si>
  <si>
    <t>NN-28299</t>
  </si>
  <si>
    <t>MUCOL 200 MG X 20 SOBRES POLVO GRANULADO</t>
  </si>
  <si>
    <t>52692</t>
  </si>
  <si>
    <t>NN-92643</t>
  </si>
  <si>
    <t>METOCLOPRAMIDA 5 MG X 20 ML GOTAS</t>
  </si>
  <si>
    <t>52675</t>
  </si>
  <si>
    <t>NN-31512</t>
  </si>
  <si>
    <t>AMBROXOL FORTE 30 MG X 100 ML JARABE</t>
  </si>
  <si>
    <t>52680</t>
  </si>
  <si>
    <t>NN-24363</t>
  </si>
  <si>
    <t>AMBROXOL 15 MG X 100 ML JARABE</t>
  </si>
  <si>
    <t>52678</t>
  </si>
  <si>
    <t>NN-30278</t>
  </si>
  <si>
    <t>REDUTEM X 60 ML JARABE</t>
  </si>
  <si>
    <t>52682</t>
  </si>
  <si>
    <t>NN-95495</t>
  </si>
  <si>
    <t>CODEINA 10 MG X 100 ML JARABE</t>
  </si>
  <si>
    <t>52677</t>
  </si>
  <si>
    <t>NN-20646</t>
  </si>
  <si>
    <t>52665</t>
  </si>
  <si>
    <t>CEFALEXINA 250 MG X 60 ML POLVO PARA SUSP.</t>
  </si>
  <si>
    <t>52693</t>
  </si>
  <si>
    <t>NN-29156</t>
  </si>
  <si>
    <t>PROCAINICA 800 X 1 POLVO INY.</t>
  </si>
  <si>
    <t>A26532</t>
  </si>
  <si>
    <t>Z102-011-006</t>
  </si>
  <si>
    <t>NN-41938</t>
  </si>
  <si>
    <t>52652</t>
  </si>
  <si>
    <t>52686</t>
  </si>
  <si>
    <t>52653</t>
  </si>
  <si>
    <t>AMOXICILINA 500 mg</t>
  </si>
  <si>
    <t>NN-28386/2024</t>
  </si>
  <si>
    <t>REGISTRO DIARIO DE PREPARACION DE SANITIZANTES Y DETERGENTES</t>
  </si>
  <si>
    <t>DEL LOTE 01 AL 06</t>
  </si>
  <si>
    <t>Z102-011-004</t>
  </si>
  <si>
    <t>MAYO-II</t>
  </si>
  <si>
    <t>STOCK SAP</t>
  </si>
  <si>
    <t>stock sap</t>
  </si>
  <si>
    <t>cubre</t>
  </si>
  <si>
    <t>LIDOCAÍNA 4%</t>
  </si>
  <si>
    <t>NN-36311/2023</t>
  </si>
  <si>
    <t xml:space="preserve">TUBO X 30 G </t>
  </si>
  <si>
    <t>DE LOS LOTES 24 25 26 27</t>
  </si>
  <si>
    <t>CAJA X 10 CAPSULAS BLANDAS</t>
  </si>
  <si>
    <t>GRISEOVINA® 20 mg</t>
  </si>
  <si>
    <t>SOBRE X CAPSULAS</t>
  </si>
  <si>
    <t>NN-50197/2024</t>
  </si>
  <si>
    <t>DIPROFEN® 600 mg</t>
  </si>
  <si>
    <t>CAJA X 10 CAP BLANDAS</t>
  </si>
  <si>
    <t>NN-82494/2022</t>
  </si>
  <si>
    <t>DIPROFEN® 400 mg</t>
  </si>
  <si>
    <t>NN-81991/2022</t>
  </si>
  <si>
    <t>DE DOS LOTES 16 Y 17</t>
  </si>
  <si>
    <t>POLIGYN® PLUS</t>
  </si>
  <si>
    <t>NN-55003/2020</t>
  </si>
  <si>
    <t>SPEED-3</t>
  </si>
  <si>
    <t>SPEED-4</t>
  </si>
  <si>
    <t>GTO-5</t>
  </si>
  <si>
    <t>miercoles 6/5/2026</t>
  </si>
  <si>
    <t>jueves 7/5/2026</t>
  </si>
  <si>
    <t>viernes 8/5/2026</t>
  </si>
  <si>
    <t>imprimir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</si>
</sst>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_-;_-@_-"/>
    <numFmt numFmtId="166" formatCode="_-* #,##0.000_-;\-* #,##0.0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C93E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3">
    <xf numFmtId="0" fontId="0" fillId="0" borderId="0" xfId="0"/>
    <xf numFmtId="0" fontId="3" fillId="0" borderId="0" xfId="0" applyFont="1"/>
    <xf numFmtId="14" fontId="3" fillId="0" borderId="0" xfId="0" applyNumberFormat="1" applyFont="1"/>
    <xf numFmtId="43" fontId="3" fillId="0" borderId="0" xfId="1" applyFont="1"/>
    <xf numFmtId="43" fontId="3" fillId="0" borderId="0" xfId="1" applyFont="1" applyBorder="1" applyAlignment="1">
      <alignment vertical="center"/>
    </xf>
    <xf numFmtId="14" fontId="3" fillId="0" borderId="0" xfId="1" applyNumberFormat="1" applyFont="1"/>
    <xf numFmtId="0" fontId="3" fillId="0" borderId="0" xfId="0" applyFont="1" applyAlignment="1">
      <alignment vertical="center"/>
    </xf>
    <xf numFmtId="43" fontId="3" fillId="3" borderId="0" xfId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20" fontId="3" fillId="0" borderId="16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6" fillId="0" borderId="0" xfId="1" applyNumberFormat="1" applyFont="1" applyAlignment="1">
      <alignment vertical="center"/>
    </xf>
    <xf numFmtId="43" fontId="6" fillId="0" borderId="0" xfId="1" applyFont="1" applyAlignment="1">
      <alignment vertical="center"/>
    </xf>
    <xf numFmtId="0" fontId="3" fillId="0" borderId="15" xfId="0" applyFont="1" applyBorder="1" applyAlignment="1">
      <alignment horizontal="center" vertical="center"/>
    </xf>
    <xf numFmtId="20" fontId="3" fillId="0" borderId="9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20" fontId="3" fillId="0" borderId="22" xfId="0" applyNumberFormat="1" applyFont="1" applyBorder="1" applyAlignment="1">
      <alignment horizontal="center" vertical="center"/>
    </xf>
    <xf numFmtId="20" fontId="3" fillId="0" borderId="23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20" fontId="3" fillId="0" borderId="25" xfId="0" applyNumberFormat="1" applyFont="1" applyBorder="1" applyAlignment="1">
      <alignment horizontal="center" vertical="center"/>
    </xf>
    <xf numFmtId="20" fontId="3" fillId="0" borderId="27" xfId="0" applyNumberFormat="1" applyFont="1" applyBorder="1" applyAlignment="1">
      <alignment horizontal="center" vertical="center"/>
    </xf>
    <xf numFmtId="20" fontId="3" fillId="0" borderId="28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20" fontId="3" fillId="0" borderId="30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20" fontId="0" fillId="0" borderId="0" xfId="0" applyNumberForma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164" fontId="3" fillId="0" borderId="3" xfId="1" applyNumberFormat="1" applyFont="1" applyBorder="1" applyAlignment="1">
      <alignment vertical="center"/>
    </xf>
    <xf numFmtId="164" fontId="3" fillId="0" borderId="4" xfId="1" applyNumberFormat="1" applyFont="1" applyBorder="1" applyAlignment="1">
      <alignment vertical="center"/>
    </xf>
    <xf numFmtId="164" fontId="5" fillId="0" borderId="20" xfId="0" applyNumberFormat="1" applyFont="1" applyBorder="1" applyAlignment="1">
      <alignment vertical="center"/>
    </xf>
    <xf numFmtId="164" fontId="5" fillId="0" borderId="21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0" borderId="42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20" fontId="0" fillId="0" borderId="18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20" fontId="0" fillId="0" borderId="49" xfId="0" applyNumberFormat="1" applyBorder="1" applyAlignment="1">
      <alignment horizontal="center" vertical="center"/>
    </xf>
    <xf numFmtId="20" fontId="0" fillId="0" borderId="46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3" fontId="0" fillId="0" borderId="0" xfId="1" applyFont="1"/>
    <xf numFmtId="0" fontId="3" fillId="0" borderId="0" xfId="1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4" fontId="5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17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1" fillId="0" borderId="4" xfId="0" applyFont="1" applyBorder="1" applyAlignment="1">
      <alignment vertical="center"/>
    </xf>
    <xf numFmtId="0" fontId="0" fillId="4" borderId="5" xfId="0" applyFill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164" fontId="6" fillId="0" borderId="6" xfId="1" applyNumberFormat="1" applyFont="1" applyBorder="1" applyAlignment="1">
      <alignment vertical="center"/>
    </xf>
    <xf numFmtId="164" fontId="6" fillId="0" borderId="7" xfId="1" applyNumberFormat="1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164" fontId="11" fillId="0" borderId="0" xfId="1" applyNumberFormat="1" applyFont="1" applyAlignment="1">
      <alignment vertical="center"/>
    </xf>
    <xf numFmtId="0" fontId="7" fillId="7" borderId="0" xfId="0" applyFont="1" applyFill="1" applyAlignment="1">
      <alignment horizontal="center" vertical="center"/>
    </xf>
    <xf numFmtId="0" fontId="3" fillId="0" borderId="0" xfId="1" applyNumberFormat="1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43" fontId="3" fillId="3" borderId="0" xfId="1" applyFont="1" applyFill="1" applyAlignment="1">
      <alignment vertical="center"/>
    </xf>
    <xf numFmtId="43" fontId="3" fillId="0" borderId="0" xfId="1" applyFont="1" applyAlignment="1">
      <alignment vertical="center"/>
    </xf>
    <xf numFmtId="0" fontId="3" fillId="0" borderId="0" xfId="1" applyNumberFormat="1" applyFont="1" applyFill="1" applyBorder="1" applyAlignment="1">
      <alignment vertical="center"/>
    </xf>
    <xf numFmtId="164" fontId="3" fillId="8" borderId="0" xfId="1" applyNumberFormat="1" applyFont="1" applyFill="1" applyBorder="1" applyAlignment="1">
      <alignment vertical="center"/>
    </xf>
    <xf numFmtId="164" fontId="3" fillId="8" borderId="0" xfId="1" applyNumberFormat="1" applyFont="1" applyFill="1" applyAlignment="1">
      <alignment vertical="center"/>
    </xf>
    <xf numFmtId="14" fontId="3" fillId="8" borderId="0" xfId="0" applyNumberFormat="1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1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1" applyNumberFormat="1" applyFont="1"/>
    <xf numFmtId="4" fontId="0" fillId="0" borderId="0" xfId="0" applyNumberFormat="1"/>
    <xf numFmtId="14" fontId="3" fillId="8" borderId="0" xfId="1" applyNumberFormat="1" applyFont="1" applyFill="1" applyAlignment="1">
      <alignment horizontal="left" vertical="center"/>
    </xf>
    <xf numFmtId="14" fontId="3" fillId="8" borderId="0" xfId="1" applyNumberFormat="1" applyFont="1" applyFill="1" applyBorder="1" applyAlignment="1">
      <alignment horizontal="left" vertical="center"/>
    </xf>
    <xf numFmtId="20" fontId="0" fillId="0" borderId="0" xfId="0" applyNumberFormat="1"/>
    <xf numFmtId="0" fontId="3" fillId="0" borderId="0" xfId="0" applyFont="1" applyFill="1" applyAlignment="1">
      <alignment vertical="center"/>
    </xf>
    <xf numFmtId="43" fontId="3" fillId="3" borderId="0" xfId="1" applyNumberFormat="1" applyFont="1" applyFill="1" applyAlignment="1">
      <alignment vertical="center"/>
    </xf>
    <xf numFmtId="43" fontId="3" fillId="0" borderId="0" xfId="1" applyNumberFormat="1" applyFont="1" applyAlignment="1">
      <alignment vertical="center"/>
    </xf>
    <xf numFmtId="0" fontId="3" fillId="0" borderId="0" xfId="0" applyNumberFormat="1" applyFont="1"/>
    <xf numFmtId="0" fontId="3" fillId="0" borderId="0" xfId="1" applyNumberFormat="1" applyFont="1" applyFill="1" applyBorder="1" applyAlignment="1">
      <alignment horizontal="left" vertical="center"/>
    </xf>
    <xf numFmtId="0" fontId="12" fillId="12" borderId="0" xfId="0" applyFont="1" applyFill="1" applyAlignment="1">
      <alignment horizontal="center" vertical="center"/>
    </xf>
    <xf numFmtId="14" fontId="0" fillId="0" borderId="42" xfId="0" applyNumberFormat="1" applyBorder="1" applyAlignment="1">
      <alignment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horizontal="right" vertical="center" wrapText="1"/>
    </xf>
    <xf numFmtId="164" fontId="1" fillId="0" borderId="52" xfId="1" applyNumberFormat="1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4" fontId="3" fillId="10" borderId="0" xfId="1" applyNumberFormat="1" applyFont="1" applyFill="1" applyBorder="1" applyAlignment="1">
      <alignment horizontal="left" vertical="center"/>
    </xf>
    <xf numFmtId="14" fontId="3" fillId="10" borderId="0" xfId="1" applyNumberFormat="1" applyFont="1" applyFill="1" applyAlignment="1">
      <alignment horizontal="left" vertical="center"/>
    </xf>
    <xf numFmtId="0" fontId="0" fillId="0" borderId="0" xfId="0" applyNumberFormat="1"/>
    <xf numFmtId="0" fontId="3" fillId="10" borderId="0" xfId="1" applyNumberFormat="1" applyFont="1" applyFill="1" applyAlignment="1">
      <alignment horizontal="center" vertical="center"/>
    </xf>
    <xf numFmtId="0" fontId="3" fillId="10" borderId="0" xfId="1" applyNumberFormat="1" applyFont="1" applyFill="1" applyBorder="1" applyAlignment="1">
      <alignment horizontal="center" vertical="center"/>
    </xf>
    <xf numFmtId="164" fontId="3" fillId="10" borderId="0" xfId="1" applyNumberFormat="1" applyFont="1" applyFill="1" applyBorder="1" applyAlignment="1">
      <alignment horizontal="left" vertical="center"/>
    </xf>
    <xf numFmtId="164" fontId="3" fillId="10" borderId="0" xfId="1" applyNumberFormat="1" applyFont="1" applyFill="1" applyAlignment="1">
      <alignment horizontal="left" vertical="center"/>
    </xf>
    <xf numFmtId="164" fontId="3" fillId="10" borderId="0" xfId="1" applyNumberFormat="1" applyFont="1" applyFill="1" applyAlignment="1">
      <alignment horizontal="center" vertical="center"/>
    </xf>
    <xf numFmtId="164" fontId="3" fillId="10" borderId="0" xfId="1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>
      <alignment vertical="center" wrapText="1"/>
    </xf>
    <xf numFmtId="14" fontId="3" fillId="8" borderId="0" xfId="0" applyNumberFormat="1" applyFont="1" applyFill="1" applyBorder="1" applyAlignment="1">
      <alignment vertical="center"/>
    </xf>
    <xf numFmtId="14" fontId="3" fillId="9" borderId="0" xfId="0" applyNumberFormat="1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11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43" fontId="3" fillId="3" borderId="0" xfId="1" applyNumberFormat="1" applyFont="1" applyFill="1" applyBorder="1" applyAlignment="1">
      <alignment vertical="center"/>
    </xf>
    <xf numFmtId="0" fontId="3" fillId="0" borderId="0" xfId="0" applyFont="1" applyBorder="1"/>
    <xf numFmtId="0" fontId="7" fillId="0" borderId="0" xfId="0" applyFont="1" applyBorder="1" applyAlignment="1">
      <alignment vertical="center"/>
    </xf>
    <xf numFmtId="0" fontId="3" fillId="0" borderId="0" xfId="1" applyNumberFormat="1" applyFont="1" applyBorder="1" applyAlignment="1">
      <alignment vertical="center"/>
    </xf>
    <xf numFmtId="43" fontId="3" fillId="0" borderId="0" xfId="1" applyNumberFormat="1" applyFont="1" applyBorder="1" applyAlignment="1">
      <alignment vertical="center"/>
    </xf>
    <xf numFmtId="0" fontId="3" fillId="0" borderId="0" xfId="1" applyNumberFormat="1" applyFont="1" applyBorder="1" applyAlignment="1">
      <alignment horizontal="left" vertical="center"/>
    </xf>
    <xf numFmtId="164" fontId="3" fillId="0" borderId="0" xfId="1" applyNumberFormat="1" applyFont="1" applyBorder="1"/>
    <xf numFmtId="0" fontId="3" fillId="0" borderId="0" xfId="0" applyFont="1" applyFill="1" applyBorder="1" applyAlignment="1">
      <alignment vertical="center"/>
    </xf>
    <xf numFmtId="164" fontId="3" fillId="8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vertical="center"/>
    </xf>
    <xf numFmtId="43" fontId="3" fillId="0" borderId="0" xfId="1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11" borderId="0" xfId="0" applyNumberFormat="1" applyFont="1" applyFill="1" applyBorder="1" applyAlignment="1">
      <alignment vertical="center"/>
    </xf>
    <xf numFmtId="164" fontId="0" fillId="0" borderId="52" xfId="1" applyNumberFormat="1" applyFont="1" applyBorder="1" applyAlignment="1">
      <alignment horizontal="center" vertical="center"/>
    </xf>
    <xf numFmtId="14" fontId="0" fillId="3" borderId="0" xfId="0" applyNumberFormat="1" applyFont="1" applyFill="1" applyAlignment="1">
      <alignment horizontal="right" vertical="center" wrapText="1"/>
    </xf>
    <xf numFmtId="14" fontId="0" fillId="3" borderId="0" xfId="0" applyNumberFormat="1" applyFont="1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14" fontId="1" fillId="0" borderId="52" xfId="1" applyNumberFormat="1" applyFont="1" applyFill="1" applyBorder="1" applyAlignment="1">
      <alignment vertical="center" wrapText="1"/>
    </xf>
    <xf numFmtId="166" fontId="0" fillId="3" borderId="0" xfId="1" applyNumberFormat="1" applyFont="1" applyFill="1" applyAlignment="1">
      <alignment horizontal="center" vertical="center"/>
    </xf>
    <xf numFmtId="166" fontId="0" fillId="3" borderId="0" xfId="1" applyNumberFormat="1" applyFont="1" applyFill="1" applyAlignment="1">
      <alignment vertical="center" wrapText="1"/>
    </xf>
    <xf numFmtId="14" fontId="0" fillId="0" borderId="0" xfId="0" applyNumberFormat="1" applyFont="1" applyFill="1" applyAlignment="1">
      <alignment horizontal="center" vertical="center" wrapText="1"/>
    </xf>
    <xf numFmtId="14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/>
    </xf>
    <xf numFmtId="14" fontId="0" fillId="0" borderId="53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164" fontId="1" fillId="10" borderId="52" xfId="1" applyNumberFormat="1" applyFont="1" applyFill="1" applyBorder="1" applyAlignment="1">
      <alignment vertical="center" wrapText="1"/>
    </xf>
    <xf numFmtId="164" fontId="0" fillId="10" borderId="52" xfId="1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left" vertical="center" wrapText="1"/>
    </xf>
    <xf numFmtId="14" fontId="0" fillId="0" borderId="54" xfId="0" applyNumberFormat="1" applyFill="1" applyBorder="1" applyAlignment="1">
      <alignment horizontal="center" vertical="center"/>
    </xf>
    <xf numFmtId="164" fontId="0" fillId="10" borderId="55" xfId="1" applyNumberFormat="1" applyFont="1" applyFill="1" applyBorder="1" applyAlignment="1">
      <alignment horizontal="center" vertical="center"/>
    </xf>
    <xf numFmtId="164" fontId="0" fillId="10" borderId="52" xfId="1" applyNumberFormat="1" applyFont="1" applyFill="1" applyBorder="1" applyAlignment="1">
      <alignment vertical="center" wrapText="1"/>
    </xf>
    <xf numFmtId="164" fontId="0" fillId="0" borderId="52" xfId="1" applyNumberFormat="1" applyFont="1" applyFill="1" applyBorder="1" applyAlignment="1">
      <alignment vertical="center" wrapText="1"/>
    </xf>
    <xf numFmtId="0" fontId="0" fillId="3" borderId="0" xfId="0" applyFill="1" applyBorder="1" applyAlignment="1">
      <alignment horizontal="left" vertical="center"/>
    </xf>
    <xf numFmtId="164" fontId="0" fillId="3" borderId="0" xfId="0" applyNumberFormat="1" applyFill="1" applyBorder="1" applyAlignment="1">
      <alignment horizontal="right" vertical="center" wrapText="1"/>
    </xf>
    <xf numFmtId="0" fontId="0" fillId="3" borderId="0" xfId="0" applyFill="1" applyBorder="1" applyAlignment="1">
      <alignment horizontal="left" vertical="center" wrapText="1"/>
    </xf>
    <xf numFmtId="166" fontId="0" fillId="3" borderId="0" xfId="1" applyNumberFormat="1" applyFont="1" applyFill="1" applyBorder="1" applyAlignment="1">
      <alignment vertical="center" wrapText="1"/>
    </xf>
    <xf numFmtId="14" fontId="0" fillId="3" borderId="0" xfId="0" applyNumberFormat="1" applyFont="1" applyFill="1" applyBorder="1" applyAlignment="1">
      <alignment horizontal="right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Border="1" applyAlignment="1">
      <alignment horizontal="left" vertical="center" wrapText="1"/>
    </xf>
    <xf numFmtId="164" fontId="0" fillId="0" borderId="56" xfId="1" applyNumberFormat="1" applyFont="1" applyFill="1" applyBorder="1" applyAlignment="1">
      <alignment vertical="center" wrapText="1"/>
    </xf>
    <xf numFmtId="164" fontId="0" fillId="0" borderId="0" xfId="1" applyNumberFormat="1" applyFont="1" applyFill="1" applyAlignment="1">
      <alignment horizontal="left" vertical="center"/>
    </xf>
    <xf numFmtId="164" fontId="0" fillId="0" borderId="0" xfId="1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vertical="center"/>
    </xf>
    <xf numFmtId="0" fontId="14" fillId="0" borderId="0" xfId="0" applyFont="1"/>
    <xf numFmtId="0" fontId="5" fillId="0" borderId="0" xfId="0" applyFont="1"/>
    <xf numFmtId="0" fontId="3" fillId="0" borderId="0" xfId="0" applyFont="1" applyFill="1"/>
    <xf numFmtId="0" fontId="15" fillId="0" borderId="0" xfId="0" applyFont="1"/>
    <xf numFmtId="0" fontId="0" fillId="0" borderId="0" xfId="0" applyBorder="1"/>
    <xf numFmtId="0" fontId="0" fillId="0" borderId="0" xfId="0" applyFill="1" applyBorder="1"/>
    <xf numFmtId="0" fontId="16" fillId="0" borderId="0" xfId="0" applyFont="1"/>
    <xf numFmtId="0" fontId="16" fillId="0" borderId="0" xfId="0" applyFont="1" applyAlignment="1">
      <alignment vertical="center" wrapText="1"/>
    </xf>
    <xf numFmtId="0" fontId="18" fillId="0" borderId="2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21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20" fontId="7" fillId="0" borderId="17" xfId="0" applyNumberFormat="1" applyFont="1" applyBorder="1" applyAlignment="1">
      <alignment horizontal="center" vertical="center"/>
    </xf>
    <xf numFmtId="20" fontId="7" fillId="0" borderId="18" xfId="0" applyNumberFormat="1" applyFont="1" applyBorder="1" applyAlignment="1">
      <alignment horizontal="center" vertical="center"/>
    </xf>
    <xf numFmtId="20" fontId="7" fillId="0" borderId="19" xfId="0" applyNumberFormat="1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20" fontId="7" fillId="0" borderId="4" xfId="0" applyNumberFormat="1" applyFont="1" applyBorder="1" applyAlignment="1">
      <alignment horizontal="center" vertical="center"/>
    </xf>
    <xf numFmtId="20" fontId="7" fillId="0" borderId="5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0" fontId="9" fillId="0" borderId="17" xfId="0" applyNumberFormat="1" applyFont="1" applyBorder="1" applyAlignment="1">
      <alignment horizontal="center" vertical="center"/>
    </xf>
    <xf numFmtId="20" fontId="9" fillId="0" borderId="18" xfId="0" applyNumberFormat="1" applyFont="1" applyBorder="1" applyAlignment="1">
      <alignment horizontal="center" vertical="center"/>
    </xf>
    <xf numFmtId="20" fontId="9" fillId="0" borderId="0" xfId="0" applyNumberFormat="1" applyFont="1" applyAlignment="1">
      <alignment horizontal="center" vertical="center"/>
    </xf>
    <xf numFmtId="20" fontId="9" fillId="0" borderId="2" xfId="0" applyNumberFormat="1" applyFont="1" applyBorder="1" applyAlignment="1">
      <alignment horizontal="center" vertical="center"/>
    </xf>
    <xf numFmtId="20" fontId="9" fillId="0" borderId="3" xfId="0" applyNumberFormat="1" applyFont="1" applyBorder="1" applyAlignment="1">
      <alignment horizontal="center" vertical="center"/>
    </xf>
    <xf numFmtId="20" fontId="9" fillId="0" borderId="4" xfId="0" applyNumberFormat="1" applyFont="1" applyBorder="1" applyAlignment="1">
      <alignment horizontal="center" vertical="center"/>
    </xf>
    <xf numFmtId="20" fontId="9" fillId="0" borderId="5" xfId="0" applyNumberFormat="1" applyFont="1" applyBorder="1" applyAlignment="1">
      <alignment horizontal="center" vertical="center"/>
    </xf>
    <xf numFmtId="20" fontId="9" fillId="0" borderId="19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7" fillId="0" borderId="3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154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19" formatCode="d/m/yyyy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alignment horizontal="general" vertical="center" textRotation="0" wrapText="1" indent="0" justifyLastLine="0" shrinkToFit="0" readingOrder="0"/>
    </dxf>
    <dxf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outline="0">
        <left style="dotted">
          <color indexed="64"/>
        </left>
        <right style="dotted">
          <color indexed="64"/>
        </right>
      </border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outline="0">
        <left style="dotted">
          <color indexed="64"/>
        </left>
        <right style="dotted">
          <color indexed="64"/>
        </right>
      </border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outline="0">
        <left style="dotted">
          <color indexed="64"/>
        </left>
        <right style="dotted">
          <color indexed="64"/>
        </right>
      </border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outline="0">
        <left style="dotted">
          <color indexed="64"/>
        </left>
        <right style="dotted">
          <color indexed="64"/>
        </right>
      </border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outline="0">
        <left style="dotted">
          <color indexed="64"/>
        </left>
        <right style="dotted">
          <color indexed="64"/>
        </right>
      </border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outline="0">
        <left style="dotted">
          <color indexed="64"/>
        </left>
        <right style="dotted">
          <color indexed="64"/>
        </right>
      </border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outline="0">
        <left style="dotted">
          <color indexed="64"/>
        </left>
        <right style="dotted">
          <color indexed="64"/>
        </right>
      </border>
    </dxf>
    <dxf>
      <numFmt numFmtId="164" formatCode="_-* #,##0_-;\-* #,##0_-;_-* &quot;-&quot;??_-;_-@_-"/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outline="0">
        <left style="dotted">
          <color indexed="64"/>
        </left>
        <right style="dotted">
          <color indexed="64"/>
        </right>
      </border>
    </dxf>
    <dxf>
      <numFmt numFmtId="164" formatCode="_-* #,##0_-;\-* #,##0_-;_-* &quot;-&quot;??_-;_-@_-"/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outline="0">
        <left style="dotted">
          <color indexed="64"/>
        </left>
        <right style="dotted">
          <color indexed="64"/>
        </right>
      </border>
    </dxf>
    <dxf>
      <numFmt numFmtId="164" formatCode="_-* #,##0_-;\-* #,##0_-;_-* &quot;-&quot;??_-;_-@_-"/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outline="0">
        <left style="dotted">
          <color indexed="64"/>
        </left>
        <right style="dotted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64" formatCode="_-* #,##0_-;\-* #,##0_-;_-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/>
      </border>
    </dxf>
    <dxf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</dxf>
    <dxf>
      <numFmt numFmtId="166" formatCode="_-* #,##0.000_-;\-* #,##0.000_-;_-* &quot;-&quot;??_-;_-@_-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  <alignment horizontal="right" vertical="center" textRotation="0" wrapText="1" indent="0" justifyLastLine="0" shrinkToFit="0" readingOrder="0"/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d/m/yyyy"/>
      <alignment horizontal="general" vertical="center" textRotation="0" wrapText="1" indent="0" justifyLastLine="0" shrinkToFit="0" readingOrder="0"/>
    </dxf>
    <dxf>
      <border>
        <bottom style="thin">
          <color rgb="FF000000"/>
        </bottom>
      </border>
    </dxf>
    <dxf>
      <numFmt numFmtId="19" formatCode="d/m/yyyy"/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-* #,##0.00_-;\-* #,##0.0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4" formatCode="_-* #,##0_-;\-* #,##0_-;_-* &quot;-&quot;??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/m/yyyy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9C93E1"/>
      <color rgb="FFEFF0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B5C79F2C-85D0-4610-97BF-582BE6F244D1}" autoFormatId="16" applyNumberFormats="0" applyBorderFormats="0" applyFontFormats="0" applyPatternFormats="0" applyAlignmentFormats="0" applyWidthHeightFormats="0">
  <queryTableRefresh nextId="37" unboundColumnsRight="2">
    <queryTableFields count="21">
      <queryTableField id="1" name="FECHA EMISIÓN" tableColumnId="1"/>
      <queryTableField id="2" name="CÓD. SOLICITUD" tableColumnId="2"/>
      <queryTableField id="3" name="PRODUCTO" tableColumnId="3"/>
      <queryTableField id="4" name="FORMA FARMACEUTICA" tableColumnId="4"/>
      <queryTableField id="5" name="INSTITUCIÓN" tableColumnId="5"/>
      <queryTableField id="6" name="LOTE" tableColumnId="6"/>
      <queryTableField id="7" name="FECHA VTO." tableColumnId="7"/>
      <queryTableField id="18" name="CANTIDAD PEDIDA" tableColumnId="13"/>
      <queryTableField id="26" name="COD PLANTA" tableColumnId="16"/>
      <queryTableField id="27" name="CODIGO IFA" tableColumnId="18"/>
      <queryTableField id="30" name="LINEA COMERCIAL" tableColumnId="19"/>
      <queryTableField id="32" name="CAJAS POR TJ" tableColumnId="17"/>
      <queryTableField id="34" name="N TROQUEL" tableColumnId="20"/>
      <queryTableField id="19" name="R.S." tableColumnId="14"/>
      <queryTableField id="12" name="CANTIDAD ENVASE SECUNDARIO" tableColumnId="12"/>
      <queryTableField id="9" name="STOCK" tableColumnId="9"/>
      <queryTableField id="15" name="FECHA PRODUCCIÓN" tableColumnId="8"/>
      <queryTableField id="22" name="FECHA ENVASE PRIMARIO" tableColumnId="15"/>
      <queryTableField id="16" name="FECHA CAJA" tableColumnId="11"/>
      <queryTableField id="10" dataBound="0" tableColumnId="10"/>
      <queryTableField id="36" dataBound="0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7AFDFB51-4B55-4EF6-8741-77E93D47DCC6}" autoFormatId="16" applyNumberFormats="0" applyBorderFormats="0" applyFontFormats="0" applyPatternFormats="0" applyAlignmentFormats="0" applyWidthHeightFormats="0">
  <queryTableRefresh nextId="22">
    <queryTableFields count="19">
      <queryTableField id="20" name="N" tableColumnId="19"/>
      <queryTableField id="1" name="FECHA DE INGRESO" tableColumnId="1"/>
      <queryTableField id="2" name="LOTE" tableColumnId="2"/>
      <queryTableField id="3" name="PRODUCTO" tableColumnId="3"/>
      <queryTableField id="4" name="FORMA FARMACEUTICA" tableColumnId="4"/>
      <queryTableField id="5" name="PRESENTACIÓN COMERCIAL" tableColumnId="5"/>
      <queryTableField id="6" name="CODIGO MATERIAL" tableColumnId="6"/>
      <queryTableField id="7" name="REGISTRO SANITARIO" tableColumnId="7"/>
      <queryTableField id="8" name="VENCIMIENTO DE REGISTRO" tableColumnId="8"/>
      <queryTableField id="9" name="DIAS RESTANTES DEL REGISTRO" tableColumnId="9"/>
      <queryTableField id="10" name="MATERIAL REQUERIDO" tableColumnId="10"/>
      <queryTableField id="11" name="INSTITUCIÓN" tableColumnId="11"/>
      <queryTableField id="12" name="FECHA VTO." tableColumnId="12"/>
      <queryTableField id="13" name="CANT. SOLIC. CAJAS Y POSOLOGIA" tableColumnId="13"/>
      <queryTableField id="14" name="CANTIDAD EN STOCK" tableColumnId="14"/>
      <queryTableField id="15" name="CANTIDAD REQUERIDA PARA CUBRIR" tableColumnId="15"/>
      <queryTableField id="16" name="ACCIÓN" tableColumnId="16"/>
      <queryTableField id="17" name="TOMAR EN CUENTA" tableColumnId="17"/>
      <queryTableField id="18" name="LINEA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3B1F89A-5E02-4414-85EA-15D59BF79BA7}" autoFormatId="16" applyNumberFormats="0" applyBorderFormats="0" applyFontFormats="0" applyPatternFormats="0" applyAlignmentFormats="0" applyWidthHeightFormats="0">
  <queryTableRefresh nextId="48">
    <queryTableFields count="47">
      <queryTableField id="1" name="CÓDIGO" tableColumnId="1"/>
      <queryTableField id="2" name="CÓDIGO DE PLANTA" tableColumnId="2"/>
      <queryTableField id="3" name="MATERIAL" tableColumnId="3"/>
      <queryTableField id="4" name="PRODUCTOS" tableColumnId="4"/>
      <queryTableField id="5" name="INSUMO" tableColumnId="5"/>
      <queryTableField id="6" name="PRESENTACIÓN" tableColumnId="6"/>
      <queryTableField id="7" name="TIPO" tableColumnId="7"/>
      <queryTableField id="8" name="LÍNEA" tableColumnId="8"/>
      <queryTableField id="9" name="COD PRESENT" tableColumnId="9"/>
      <queryTableField id="10" name="COD PLACA" tableColumnId="10"/>
      <queryTableField id="11" name="CIAN" tableColumnId="11"/>
      <queryTableField id="12" name="MAGENTA" tableColumnId="12"/>
      <queryTableField id="13" name="AMARILLO" tableColumnId="13"/>
      <queryTableField id="14" name="NEGRO" tableColumnId="14"/>
      <queryTableField id="15" name="PANTONE 163 C NARANJA CLARO" tableColumnId="15"/>
      <queryTableField id="16" name="PANTONE 165 C NARANJA" tableColumnId="16"/>
      <queryTableField id="17" name="PANTONE AZUL 3005 C" tableColumnId="17"/>
      <queryTableField id="18" name="PANTONE AZUL 534 C" tableColumnId="18"/>
      <queryTableField id="19" name="PANTONE AZUL REFLEX 280 C" tableColumnId="19"/>
      <queryTableField id="20" name="PANTONE ROJO CLARO 178 C" tableColumnId="20"/>
      <queryTableField id="21" name="PANTONE ROJO IFA 186 C" tableColumnId="21"/>
      <queryTableField id="22" name="PANTONE ROSADO 213 C" tableColumnId="22"/>
      <queryTableField id="23" name="PANTONE ROSADO CLARO 211 C" tableColumnId="23"/>
      <queryTableField id="24" name="PANTONE VERDE 355 C" tableColumnId="24"/>
      <queryTableField id="25" name="CANTIDAD DE COLORES" tableColumnId="25"/>
      <queryTableField id="26" name="CODIGO" tableColumnId="26"/>
      <queryTableField id="27" name="MO/ZP" tableColumnId="27"/>
      <queryTableField id="28" name="SPEEDMASTER" tableColumnId="28"/>
      <queryTableField id="29" name="GTO 52" tableColumnId="29"/>
      <queryTableField id="30" name="MEDIDA DE CAJA EN TROQUEL (mm)" tableColumnId="30"/>
      <queryTableField id="31" name="N TROQUEL" tableColumnId="31"/>
      <queryTableField id="32" name="MEDIDA DE ARMADO" tableColumnId="32"/>
      <queryTableField id="33" name="ARMADO MED A" tableColumnId="33"/>
      <queryTableField id="34" name="ARMADO MED B" tableColumnId="34"/>
      <queryTableField id="35" name="CORTE MED A" tableColumnId="35"/>
      <queryTableField id="36" name="CORTE MED B" tableColumnId="36"/>
      <queryTableField id="37" name="MEDIDA DE CORTE" tableColumnId="37"/>
      <queryTableField id="38" name="ARMADO A OFICIAL I" tableColumnId="38"/>
      <queryTableField id="39" name="ARMADO B OFICIAL I" tableColumnId="39"/>
      <queryTableField id="40" name="CAJAS POR TIRAJE" tableColumnId="40"/>
      <queryTableField id="41" name="TIRAJES POR PLIEGO" tableColumnId="41"/>
      <queryTableField id="42" name="CAJAS POR PLIEGO" tableColumnId="42"/>
      <queryTableField id="43" name="ESTADO" tableColumnId="43"/>
      <queryTableField id="44" name="OBSERVACIONES" tableColumnId="44"/>
      <queryTableField id="45" name="MAQUINA PREFERENCIAL" tableColumnId="45"/>
      <queryTableField id="46" name="BARNIZADO" tableColumnId="46"/>
      <queryTableField id="47" name="PEGADO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BCBEFD-57E7-4046-BCF5-A8601836C532}" name="Tabla_imprenta" displayName="Tabla_imprenta" ref="A1:U284" tableType="queryTable" totalsRowShown="0" headerRowDxfId="153" dataDxfId="152">
  <autoFilter ref="A1:U284" xr:uid="{E3BCBEFD-57E7-4046-BCF5-A8601836C532}"/>
  <tableColumns count="21">
    <tableColumn id="1" xr3:uid="{BFACD0BC-BFB8-4708-A1A9-E69B6CEF4858}" uniqueName="1" name="FECHA EMISIÓN" queryTableFieldId="1" dataDxfId="20"/>
    <tableColumn id="2" xr3:uid="{19E51110-66F8-4DE9-906D-9128A10108DE}" uniqueName="2" name="CÓD. SOLICITUD" queryTableFieldId="2" dataDxfId="19"/>
    <tableColumn id="3" xr3:uid="{A4A3E4B3-F2D0-4F9B-A42C-D956F806B757}" uniqueName="3" name="PRODUCTO" queryTableFieldId="3" dataDxfId="18"/>
    <tableColumn id="4" xr3:uid="{0510C3A4-61E0-421C-A1B8-A87DF951B941}" uniqueName="4" name="FORMA FARMACEUTICA" queryTableFieldId="4" dataDxfId="17"/>
    <tableColumn id="5" xr3:uid="{A636AD93-DCB3-4C77-8966-BD62E83AA29B}" uniqueName="5" name="INSTITUCIÓN" queryTableFieldId="5" dataDxfId="16"/>
    <tableColumn id="6" xr3:uid="{119EDCB3-3C12-4CD9-BE8B-2CED87D399DA}" uniqueName="6" name="LOTE" queryTableFieldId="6" dataDxfId="15"/>
    <tableColumn id="7" xr3:uid="{0C5C0261-71AC-4BE2-8AEE-010AB169FAB2}" uniqueName="7" name="FECHA VTO." queryTableFieldId="7" dataDxfId="14"/>
    <tableColumn id="13" xr3:uid="{0DA76345-29FF-4606-9BFE-CFCEE0515CC2}" uniqueName="13" name="CANTIDAD PEDIDA" queryTableFieldId="18" dataDxfId="13" dataCellStyle="Millares"/>
    <tableColumn id="16" xr3:uid="{74E794FC-CACB-425B-B4A9-76DD4A86AEB5}" uniqueName="16" name="COD PLANTA" queryTableFieldId="26" dataDxfId="12" dataCellStyle="Millares"/>
    <tableColumn id="18" xr3:uid="{D77EEE84-3182-4F11-AB0B-D2D436189A68}" uniqueName="18" name="CODIGO IFA" queryTableFieldId="27" dataDxfId="11" dataCellStyle="Millares"/>
    <tableColumn id="19" xr3:uid="{EDDACDCD-7C6C-43DF-921C-BDB920EB66BB}" uniqueName="19" name="LINEA COMERCIAL" queryTableFieldId="30" dataDxfId="10" dataCellStyle="Millares"/>
    <tableColumn id="17" xr3:uid="{71C38E4A-201F-46A0-B594-412A9C979177}" uniqueName="17" name="CAJAS POR TJ" queryTableFieldId="32" dataDxfId="9" dataCellStyle="Millares"/>
    <tableColumn id="20" xr3:uid="{77C50FED-248B-4358-AA8F-70E92807167D}" uniqueName="20" name="N TROQUEL" queryTableFieldId="34" dataDxfId="8" dataCellStyle="Millares"/>
    <tableColumn id="14" xr3:uid="{123FBF40-BDC3-460A-AD6B-75B02B1439C5}" uniqueName="14" name="R.S." queryTableFieldId="19" dataDxfId="7" dataCellStyle="Millares"/>
    <tableColumn id="12" xr3:uid="{40683425-CF36-4924-B136-5CCA11D3F7BD}" uniqueName="12" name="CANTIDAD ENVASE SECUNDARIO" queryTableFieldId="12" dataDxfId="6"/>
    <tableColumn id="9" xr3:uid="{A441B56B-4E3B-4CF3-8299-5D3DB9E8C011}" uniqueName="9" name="STOCK" queryTableFieldId="9" dataDxfId="5" dataCellStyle="Millares"/>
    <tableColumn id="8" xr3:uid="{1EA8EC05-9456-4771-B34D-F13AFDCCF741}" uniqueName="8" name="FECHA PRODUCCIÓN" queryTableFieldId="15" dataDxfId="4" dataCellStyle="Millares"/>
    <tableColumn id="15" xr3:uid="{8F859774-C3C0-466D-9724-2CC2B5A53941}" uniqueName="15" name="FECHA ENVASE PRIMARIO" queryTableFieldId="22" dataDxfId="3" dataCellStyle="Millares"/>
    <tableColumn id="11" xr3:uid="{2BDEC876-012C-4684-912C-5ADACCDBFEF8}" uniqueName="11" name="FECHA CAJA" queryTableFieldId="16" dataDxfId="2" dataCellStyle="Millares"/>
    <tableColumn id="10" xr3:uid="{A71F0485-693F-4F77-845D-7E5C421CEEC9}" uniqueName="10" name="En control" queryTableFieldId="10" dataDxfId="1">
      <calculatedColumnFormula>COUNTIF(Tabla_control[LOTE],Tabla_imprenta[[#This Row],[LOTE]])</calculatedColumnFormula>
    </tableColumn>
    <tableColumn id="21" xr3:uid="{3A842E9F-8DF9-43EC-A941-17CD0558BA42}" uniqueName="21" name="stock sap" queryTableFieldId="36" dataDxfId="0">
      <calculatedColumnFormula>INDEX(Tabla_stock[En stock],MATCH(Tabla_imprenta[[#This Row],[CODIGO IFA]],Tabla_stock[Número de artículo],0))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0FB0B3-FA5A-4E61-9823-CEA8BF318081}" name="Tabla_control" displayName="Tabla_control" ref="A1:AB602" totalsRowShown="0" headerRowDxfId="151" dataDxfId="150" tableBorderDxfId="149">
  <autoFilter ref="A1:AB602" xr:uid="{F00FB0B3-FA5A-4E61-9823-CEA8BF318081}">
    <filterColumn colId="26">
      <filters>
        <filter val="IMPRIMIR"/>
      </filters>
    </filterColumn>
    <filterColumn colId="27">
      <filters>
        <filter val="ABRIL"/>
        <filter val="MARZO"/>
        <filter val="MAYO"/>
        <filter val="MAYO-II"/>
      </filters>
    </filterColumn>
  </autoFilter>
  <sortState xmlns:xlrd2="http://schemas.microsoft.com/office/spreadsheetml/2017/richdata2" ref="A362:AB602">
    <sortCondition ref="K2:K602" customList="ENTREGADO"/>
    <sortCondition ref="J2:J602"/>
  </sortState>
  <tableColumns count="28">
    <tableColumn id="1" xr3:uid="{AD4DCE55-B79E-4B0C-84CA-17527BDA3A56}" name="FECHA EMISIÓN" dataDxfId="148">
      <calculatedColumnFormula>IF(COUNTIF(Tabla_imprenta[LOTE],Tabla_control[[#This Row],[LOTE]])=1,INDEX(Tabla_imprenta[FECHA EMISIÓN],MATCH(Tabla_control[[#This Row],[LOTE]],Tabla_imprenta[LOTE],0)),"REALIZADO")</calculatedColumnFormula>
    </tableColumn>
    <tableColumn id="2" xr3:uid="{60D04189-4148-4E63-B932-DE77683D4AA8}" name="CÓD. SOLICITUD" dataDxfId="147">
      <calculatedColumnFormula>IF(COUNTIF(Tabla_imprenta[LOTE],Tabla_control[[#This Row],[LOTE]])=1,INDEX(Tabla_imprenta[CÓD. SOLICITUD],MATCH(Tabla_control[[#This Row],[LOTE]],Tabla_imprenta[LOTE],0)),"REALIZADO")</calculatedColumnFormula>
    </tableColumn>
    <tableColumn id="3" xr3:uid="{66572E46-AAFC-4E39-9DAE-C3AE7681C5FF}" name="PRODUCTO" dataDxfId="146">
      <calculatedColumnFormula>IF(COUNTIF(Tabla_imprenta[LOTE],Tabla_control[[#This Row],[LOTE]])=1,INDEX(Tabla_imprenta[PRODUCTO],MATCH(Tabla_control[[#This Row],[LOTE]],Tabla_imprenta[LOTE],0)),"REALIZADO")</calculatedColumnFormula>
    </tableColumn>
    <tableColumn id="4" xr3:uid="{2AB1E44A-AF3E-4D39-A317-927442F70115}" name="FORMA FARMACEUTICA" dataDxfId="145">
      <calculatedColumnFormula>IF(COUNTIF(Tabla_imprenta[LOTE],Tabla_control[[#This Row],[LOTE]])=1,INDEX(Tabla_imprenta[FORMA FARMACEUTICA],MATCH(Tabla_control[[#This Row],[LOTE]],Tabla_imprenta[LOTE],0)),"REALIZADO")</calculatedColumnFormula>
    </tableColumn>
    <tableColumn id="5" xr3:uid="{BED69350-AC0F-4313-878E-4CF86C50FDE5}" name="INSTITUCIÓN" dataDxfId="144">
      <calculatedColumnFormula>IF(COUNTIF(Tabla_imprenta[LOTE],Tabla_control[[#This Row],[LOTE]])=1,INDEX(Tabla_imprenta[INSTITUCIÓN],MATCH(Tabla_control[[#This Row],[LOTE]],Tabla_imprenta[LOTE],0)),"REALIZADO")</calculatedColumnFormula>
    </tableColumn>
    <tableColumn id="6" xr3:uid="{9CD7FC20-2FFB-4F31-8553-61E125060EC6}" name="LOTE" dataDxfId="143"/>
    <tableColumn id="8" xr3:uid="{75445FF8-2562-4208-9AF4-5549D8738116}" name="CANTIDAD IMPRIMIR" dataDxfId="142" dataCellStyle="Millares">
      <calculatedColumnFormula>IF(COUNTIF(Tabla_imprenta[LOTE],Tabla_control[[#This Row],[LOTE]])=1,INDEX(Tabla_imprenta[CANTIDAD ENVASE SECUNDARIO],MATCH(Tabla_control[[#This Row],[LOTE]],Tabla_imprenta[LOTE],0)),"ENTREGADO")</calculatedColumnFormula>
    </tableColumn>
    <tableColumn id="14" xr3:uid="{D05F5A0A-548F-420F-839B-767894729720}" name="STOCK SAP" dataDxfId="141" dataCellStyle="Millares">
      <calculatedColumnFormula>IF(COUNTIF(Tabla_imprenta[LOTE],Tabla_control[[#This Row],[LOTE]])=1,INDEX(Tabla_imprenta[stock sap],MATCH(Tabla_control[[#This Row],[LOTE]],Tabla_imprenta[LOTE],0)),"ENTREGADO")</calculatedColumnFormula>
    </tableColumn>
    <tableColumn id="18" xr3:uid="{28739D51-1A1F-469D-BBCE-446058EE736D}" name="cubre" dataDxfId="140" dataCellStyle="Millares">
      <calculatedColumnFormula>IF(Tabla_control[[#This Row],[STOCK SAP]]&gt;Tabla_control[[#This Row],[CANTIDAD IMPRIMIR]],"cubre","no cubre")</calculatedColumnFormula>
    </tableColumn>
    <tableColumn id="10" xr3:uid="{EC198C00-4925-4E00-B0C1-A1F14FCA8AC6}" name="STOCK" dataDxfId="139" dataCellStyle="Millares">
      <calculatedColumnFormula>IF(COUNTIF(Tabla_imprenta[LOTE],Tabla_control[[#This Row],[LOTE]])=1,INDEX(Tabla_imprenta[STOCK],MATCH(Tabla_control[[#This Row],[LOTE]],Tabla_imprenta[LOTE],0)),"ENTREGADO")</calculatedColumnFormula>
    </tableColumn>
    <tableColumn id="12" xr3:uid="{6F4C3C55-C717-496C-952D-C443C37A24F1}" name="FECHA PRODUCCIÓN" dataDxfId="138" dataCellStyle="Millares">
      <calculatedColumnFormula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calculatedColumnFormula>
    </tableColumn>
    <tableColumn id="9" xr3:uid="{3BDAAE3A-ED84-4621-8597-3B5FBCD02159}" name="FECHA CAJA" dataDxfId="137" dataCellStyle="Millares">
      <calculatedColumnFormula>INDEX(Tabla_imprenta[FECHA CAJA],MATCH(Tabla_control[[#This Row],[LOTE]],Tabla_imprenta[LOTE],0))</calculatedColumnFormula>
    </tableColumn>
    <tableColumn id="24" xr3:uid="{6529F323-3EC4-4DD3-9CA6-5BA9ADD6D738}" name="LINEA CC" dataDxfId="136" dataCellStyle="Millares">
      <calculatedColumnFormula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calculatedColumnFormula>
    </tableColumn>
    <tableColumn id="25" xr3:uid="{B41A758F-1596-4300-906C-187F6EB994AD}" name="N TJ" dataDxfId="135" dataCellStyle="Millares">
      <calculatedColumnFormula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calculatedColumnFormula>
    </tableColumn>
    <tableColumn id="7" xr3:uid="{0632DFAC-6FE4-45BD-8C56-4E8B92F1EA28}" name="N TROQUEL" dataDxfId="134" dataCellStyle="Millares">
      <calculatedColumnFormula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calculatedColumnFormula>
    </tableColumn>
    <tableColumn id="26" xr3:uid="{6E97E113-F34E-40AC-969B-EDC1E2FF019A}" name="CANTIDAD TIRAJE" dataDxfId="133" dataCellStyle="Millares">
      <calculatedColumnFormula>ROUNDUP(Tabla_control[[#This Row],[CANTIDAD IMPRIMIR]]/Tabla_control[[#This Row],[N TJ]],0)</calculatedColumnFormula>
    </tableColumn>
    <tableColumn id="30" xr3:uid="{63CEA02E-EB67-4FE7-89ED-5946450EFB95}" name="PREDICCION" dataDxfId="132" dataCellStyle="Millares">
      <calculatedColumnFormula>IF(Tabla_control[[#This Row],[CANTIDAD TIRAJE]]&gt;10000,Tabla_control[[#This Row],[CANTIDAD TIRAJE]],Tabla_control[[#This Row],[CANTIDAD TIRAJE]]*2)</calculatedColumnFormula>
    </tableColumn>
    <tableColumn id="16" xr3:uid="{3F39C025-8723-4BD0-B86A-18945E7BF7F7}" name="LINEA" dataDxfId="131" dataCellStyle="Millares"/>
    <tableColumn id="13" xr3:uid="{CEC58E2E-623E-4CA2-B63C-76E4F74F01ED}" name="MÁQUINA" dataDxfId="130" dataCellStyle="Millares"/>
    <tableColumn id="21" xr3:uid="{7073D1E2-05B5-4A75-A2AF-C5456D7E703C}" name="LUNES" dataDxfId="129" dataCellStyle="Millares"/>
    <tableColumn id="20" xr3:uid="{E5B4D5DA-5896-4D69-B5BD-129B48757829}" name="MARTES" dataDxfId="128" dataCellStyle="Millares"/>
    <tableColumn id="19" xr3:uid="{052D9DDA-06B6-4E71-8EA9-3BFCF18C4817}" name="MIERCOLES" dataDxfId="127" dataCellStyle="Millares"/>
    <tableColumn id="17" xr3:uid="{30F52D59-3DFB-4310-A353-7BE67FCA061A}" name="CICLO" dataDxfId="126" dataCellStyle="Millares"/>
    <tableColumn id="27" xr3:uid="{6A785EF6-FD74-458C-82D5-A36312C36C15}" name="miercoles 6/5/2026" dataDxfId="44" dataCellStyle="Millares"/>
    <tableColumn id="23" xr3:uid="{A1CA412C-1232-4D29-BB42-31B808C5EA3C}" name="jueves 7/5/2026" dataDxfId="45" dataCellStyle="Millares"/>
    <tableColumn id="22" xr3:uid="{43EBBDB4-ED98-4699-959E-54347006EF7A}" name="viernes 8/5/2026" dataDxfId="46" dataCellStyle="Millares"/>
    <tableColumn id="15" xr3:uid="{740F9B3E-1F89-4E82-B84F-254D84B8576F}" name="CAJA" dataDxfId="125" dataCellStyle="Millares"/>
    <tableColumn id="11" xr3:uid="{231C818A-4EEE-42E1-B28C-8FB5C8090FEA}" name="ESTADO" dataDxfId="1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60D49CB-9286-40D0-96F9-6A529809004C}" name="Tabla_stock" displayName="Tabla_stock" ref="A1:H1032" totalsRowShown="0">
  <autoFilter ref="A1:H1032" xr:uid="{960D49CB-9286-40D0-96F9-6A529809004C}">
    <filterColumn colId="2">
      <filters>
        <filter val="CAJA MM POLIGYN CREMA VAG. X 10 GR"/>
        <filter val="POSOLOGIA POLIGYN CREMA VAGINAL"/>
        <filter val="POSOLOGIA POLIGYN PLUS OVULO VAGINAL"/>
        <filter val="SOBRE MM POLIGYN PLUS X 2 OVULOS VAGINALES. (2 COLORES DE 1"/>
      </filters>
    </filterColumn>
  </autoFilter>
  <tableColumns count="8">
    <tableColumn id="1" xr3:uid="{14E7D616-383D-4387-9AF0-6C0A8BA429E2}" name="Código de almacén"/>
    <tableColumn id="2" xr3:uid="{3E83C240-BC2B-49E8-90A0-858EEEBE81F1}" name="Número de artículo"/>
    <tableColumn id="3" xr3:uid="{F698F3B8-6D59-4D4A-B7EB-E0C5CDA286D4}" name="Descripción del artículo"/>
    <tableColumn id="4" xr3:uid="{4CC19A84-3511-4918-A442-AFB6E1945598}" name="En stock"/>
    <tableColumn id="5" xr3:uid="{F0A88524-17F8-4B21-8F42-BD95D10D428F}" name="En Pedido"/>
    <tableColumn id="6" xr3:uid="{D396E16C-0E1E-4F2B-B4F6-0ACCB5C2C75A}" name="En Solicitud"/>
    <tableColumn id="7" xr3:uid="{854734D7-7FF6-4296-ADA7-0E6D6D9A55A6}" name="UM"/>
    <tableColumn id="8" xr3:uid="{A8C3DB2A-A59B-4DCB-9F31-4B6FABBD035D}" name="Columna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A3141C-EA81-4D40-87E8-E742796E5113}" name="tabla_cronograma_extra" displayName="tabla_cronograma_extra" ref="A2:Z68" totalsRowShown="0" headerRowDxfId="123" dataDxfId="121" headerRowBorderDxfId="122" tableBorderDxfId="120">
  <autoFilter ref="A2:Z68" xr:uid="{2CD675B4-B4D5-4A1E-B0BA-EAF09536B6F1}">
    <filterColumn colId="7">
      <filters>
        <filter val="IMPRESIÓN"/>
      </filters>
    </filterColumn>
  </autoFilter>
  <tableColumns count="26">
    <tableColumn id="1" xr3:uid="{A2CCA898-2D5C-4263-92F8-9A79869F7EA9}" name="PRODUCTO" dataDxfId="119">
      <calculatedColumnFormula>_xlfn.IFNA(INDEX(Tabla_control[PRODUCTO],MATCH(tabla_cronograma_extra[[#This Row],[LOTE]],Tabla_control[LOTE],0)),"-")</calculatedColumnFormula>
    </tableColumn>
    <tableColumn id="11" xr3:uid="{F66CB599-EA34-46BB-A293-CC950B03819C}" name="CANT" dataDxfId="118" dataCellStyle="Millares">
      <calculatedColumnFormula>_xlfn.IFNA(INDEX(Tabla_control[CANTIDAD IMPRIMIR],MATCH(tabla_cronograma_extra[[#This Row],[LOTE]],Tabla_control[LOTE],0)),"-")</calculatedColumnFormula>
    </tableColumn>
    <tableColumn id="10" xr3:uid="{80D994A9-C697-4F26-81B8-A180372B44AF}" name="TIRAJE" dataDxfId="117">
      <calculatedColumnFormula>_xlfn.IFNA(INDEX(Tabla_control[PREDICCION],MATCH(tabla_cronograma_extra[[#This Row],[LOTE]],Tabla_control[LOTE],0)),"-")</calculatedColumnFormula>
    </tableColumn>
    <tableColumn id="3" xr3:uid="{3C31B63B-FE92-41AA-832A-317927A08F73}" name="LOTE" dataDxfId="116"/>
    <tableColumn id="8" xr3:uid="{EEBFA6F2-2032-4A4A-87CE-EE2706F7CD66}" name="INSTITUCION" dataDxfId="115">
      <calculatedColumnFormula>_xlfn.IFNA(INDEX(Tabla_control[INSTITUCIÓN],MATCH(tabla_cronograma_extra[[#This Row],[LOTE]],Tabla_control[LOTE],0)),"-")</calculatedColumnFormula>
    </tableColumn>
    <tableColumn id="25" xr3:uid="{E3BE82D8-74C5-49A9-90BC-794BBAC45E88}" name="STOCK" dataDxfId="114" dataCellStyle="Millares">
      <calculatedColumnFormula>_xlfn.IFNA(INDEX(Tabla_control[STOCK],MATCH(tabla_cronograma_extra[[#This Row],[LOTE]],Tabla_control[LOTE],0)),"-")</calculatedColumnFormula>
    </tableColumn>
    <tableColumn id="9" xr3:uid="{B81C7A63-769E-43FE-9BB0-7CA1F0031219}" name="FECHA PRODUCCIÓN" dataDxfId="113">
      <calculatedColumnFormula>_xlfn.IFNA(INDEX(Tabla_control[FECHA PRODUCCIÓN],MATCH(tabla_cronograma_extra[[#This Row],[LOTE]],Tabla_control[LOTE],0)),"-")</calculatedColumnFormula>
    </tableColumn>
    <tableColumn id="24" xr3:uid="{1E8E8318-465C-42A4-BF57-B87F0A699F9F}" name="CICLO" dataDxfId="112"/>
    <tableColumn id="26" xr3:uid="{C138F5CB-6465-42D0-82DD-5C5A8DC978C1}" name="DIAS" dataDxfId="111">
      <calculatedColumnFormula>(tabla_cronograma_extra[[#This Row],[FECHA PRODUCCIÓN]]-tabla_cronograma_extra[[#This Row],[FECHA]])</calculatedColumnFormula>
    </tableColumn>
    <tableColumn id="7" xr3:uid="{B19B1AFD-4FCD-4DEE-B6F4-222F35DFF90F}" name="FECHA" dataDxfId="110"/>
    <tableColumn id="5" xr3:uid="{D7313B6A-8E4B-4C1E-855B-398DF55F4F8E}" name="20/4/2026" dataDxfId="109" dataCellStyle="Millares"/>
    <tableColumn id="20" xr3:uid="{223E8251-DBEB-415C-85CF-491544FD3EE3}" name="21/4/2026" dataDxfId="108" dataCellStyle="Millares"/>
    <tableColumn id="21" xr3:uid="{FA15B188-3BBB-4C1A-818B-5EB9FE137B3E}" name="22/4/2026" dataDxfId="107" dataCellStyle="Millares"/>
    <tableColumn id="33" xr3:uid="{F616EB24-499F-431B-A9DF-714C4862913F}" name="23/4/2026" dataDxfId="106" dataCellStyle="Millares"/>
    <tableColumn id="34" xr3:uid="{FFE30D50-12AC-4DBF-B644-83B513DB0E5F}" name="24/4/2026" dataDxfId="105" dataCellStyle="Millares"/>
    <tableColumn id="38" xr3:uid="{D3831AF6-C5F0-403D-A878-732209FEB218}" name="27/4/2026" dataDxfId="104" dataCellStyle="Millares"/>
    <tableColumn id="39" xr3:uid="{00BA901D-F376-4F77-BFBD-D19DA7A16508}" name="28/4/2026" dataDxfId="103" dataCellStyle="Millares"/>
    <tableColumn id="40" xr3:uid="{E9154315-03AB-4C2F-B6D6-542300BF6F54}" name="29/4/2026" dataDxfId="102" dataCellStyle="Millares"/>
    <tableColumn id="6" xr3:uid="{45A31CDA-9EB6-4D35-A281-F1D6AB4419D6}" name="30/4/2026" dataDxfId="101" dataCellStyle="Millares"/>
    <tableColumn id="12" xr3:uid="{EA338EE5-B218-485D-8CC2-2A2A8CA8F7C7}" name="4/5/2026" dataDxfId="100" dataCellStyle="Millares"/>
    <tableColumn id="13" xr3:uid="{809E3FE2-DA48-44C1-B19B-E933B858AEB0}" name="5/5/2026" dataDxfId="99" dataCellStyle="Millares"/>
    <tableColumn id="14" xr3:uid="{327E8089-6EE7-4593-B8D6-B81BD4096FAE}" name="6/5/2026" dataDxfId="98" dataCellStyle="Millares"/>
    <tableColumn id="27" xr3:uid="{61E65F75-EB03-45FA-AB56-06565DB1500C}" name="7/5/2026" dataDxfId="97" dataCellStyle="Millares"/>
    <tableColumn id="28" xr3:uid="{89ACC11A-414B-46DB-B01D-4AB049618198}" name="8/5/2026" dataDxfId="96" dataCellStyle="Millares"/>
    <tableColumn id="29" xr3:uid="{47D16B16-C896-40EA-B92F-F6E34B72F1AE}" name="11/5/2026" dataDxfId="95" dataCellStyle="Millares"/>
    <tableColumn id="4" xr3:uid="{4896E70F-43F4-4242-ACFA-350C5C72A296}" name="11/5/2027" dataDxfId="94" dataCellStyle="Millares"/>
  </tableColumns>
  <tableStyleInfo name="TableStyleMedium16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984F49-BCAA-47BF-A38F-F03B1FD29C96}" name="Tabla_rma" displayName="Tabla_rma" ref="A1:S706" tableType="queryTable" totalsRowShown="0" headerRowDxfId="93">
  <autoFilter ref="A1:S706" xr:uid="{E2984F49-BCAA-47BF-A38F-F03B1FD29C96}"/>
  <tableColumns count="19">
    <tableColumn id="19" xr3:uid="{E86D36AF-02C3-4DB7-A8A2-B47BD903A6D4}" uniqueName="19" name="N" queryTableFieldId="20"/>
    <tableColumn id="1" xr3:uid="{12DEE01B-B859-4E99-99C4-62E3487BE88E}" uniqueName="1" name="FECHA DE INGRESO" queryTableFieldId="1" dataDxfId="92"/>
    <tableColumn id="2" xr3:uid="{4535E66D-B0E3-4C3F-92C9-90E055FE42B2}" uniqueName="2" name="LOTE" queryTableFieldId="2"/>
    <tableColumn id="3" xr3:uid="{C166F554-BD3A-43CB-A07F-3CD382C8BF11}" uniqueName="3" name="PRODUCTO" queryTableFieldId="3" dataDxfId="91"/>
    <tableColumn id="4" xr3:uid="{8848AFC2-2E05-431C-B138-09D834D21244}" uniqueName="4" name="FORMA FARMACEUTICA" queryTableFieldId="4" dataDxfId="90"/>
    <tableColumn id="5" xr3:uid="{61E3CA08-5529-4D15-92D8-362BCEB89D4F}" uniqueName="5" name="PRESENTACIÓN COMERCIAL" queryTableFieldId="5" dataDxfId="89"/>
    <tableColumn id="6" xr3:uid="{5349BC82-DB3A-45BC-A6BE-FFCD2569E131}" uniqueName="6" name="CODIGO MATERIAL" queryTableFieldId="6" dataDxfId="88"/>
    <tableColumn id="7" xr3:uid="{141F3241-A0FC-4CC7-8781-BCBD6BDDE52B}" uniqueName="7" name="REGISTRO SANITARIO" queryTableFieldId="7" dataDxfId="87"/>
    <tableColumn id="8" xr3:uid="{5F4A7762-F1A2-4AC9-8B24-B1E697BACA36}" uniqueName="8" name="VENCIMIENTO DE REGISTRO" queryTableFieldId="8" dataDxfId="86"/>
    <tableColumn id="9" xr3:uid="{694B013C-B5D8-41C0-ABFA-826ACBE9F2A5}" uniqueName="9" name="DIAS RESTANTES DEL REGISTRO" queryTableFieldId="9"/>
    <tableColumn id="10" xr3:uid="{E13CF172-5139-43A2-8585-5950925953E0}" uniqueName="10" name="MATERIAL REQUERIDO" queryTableFieldId="10" dataDxfId="85"/>
    <tableColumn id="11" xr3:uid="{47C7DD45-2260-4C38-999C-0A43CA2C108F}" uniqueName="11" name="INSTITUCIÓN" queryTableFieldId="11" dataDxfId="84"/>
    <tableColumn id="12" xr3:uid="{2D32ED0B-CBCB-49D5-A9D2-45764DF6EF6C}" uniqueName="12" name="FECHA VTO." queryTableFieldId="12" dataDxfId="83"/>
    <tableColumn id="13" xr3:uid="{D5AC21CB-B477-484E-A83F-EB51EA9FBF52}" uniqueName="13" name="CANT. SOLIC. CAJAS Y POSOLOGIA" queryTableFieldId="13" dataDxfId="82" dataCellStyle="Millares"/>
    <tableColumn id="14" xr3:uid="{12F31936-9502-460C-B3CB-74ABB7B947AA}" uniqueName="14" name="CANTIDAD EN STOCK" queryTableFieldId="14"/>
    <tableColumn id="15" xr3:uid="{F55AAF81-1791-4CCC-8578-1BF442D0325A}" uniqueName="15" name="CANTIDAD REQUERIDA PARA CUBRIR" queryTableFieldId="15"/>
    <tableColumn id="16" xr3:uid="{9705D5A4-B79F-4BAB-A331-EC14BAA0D02A}" uniqueName="16" name="ACCIÓN" queryTableFieldId="16" dataDxfId="81"/>
    <tableColumn id="17" xr3:uid="{10EB1EAC-8CFF-4489-B3C1-85D2185B6270}" uniqueName="17" name="TOMAR EN CUENTA" queryTableFieldId="17" dataDxfId="80"/>
    <tableColumn id="18" xr3:uid="{6ED52584-DFC7-4E2E-B7B2-1ADEC3882E04}" uniqueName="18" name="LINEA" queryTableFieldId="18"/>
  </tableColumns>
  <tableStyleInfo name="TableStyleMedium2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FA2270-0FF4-448A-8A2F-71536A4AB8BC}" name="Tabla_Imprenta_1" displayName="Tabla_Imprenta_1" ref="A1:AU677" tableType="queryTable" totalsRowShown="0">
  <autoFilter ref="A1:AU677" xr:uid="{90FA2270-0FF4-448A-8A2F-71536A4AB8BC}">
    <filterColumn colId="3">
      <filters>
        <filter val="CAJA CESTODEN 400 MG. X 3 COMP. (MASTICABLE)"/>
        <filter val="CAJA CESTODEN LP 400 MG SUSP. X 10 ML"/>
        <filter val="CAJA MM CESTODEN 400 MG X 10 ML"/>
        <filter val="SOBRE MM CESTODEN 400 MG X 1 COMPRIMIDO MEDIDA 10X85X100 (2"/>
      </filters>
    </filterColumn>
  </autoFilter>
  <tableColumns count="47">
    <tableColumn id="1" xr3:uid="{5D2711FD-9C7D-4B67-BABB-7700088B971E}" uniqueName="1" name="CÓDIGO" queryTableFieldId="1" dataDxfId="79"/>
    <tableColumn id="2" xr3:uid="{0EF2C086-9755-4F8C-99BC-8997B6F71AEF}" uniqueName="2" name="CÓDIGO DE PLANTA" queryTableFieldId="2" dataDxfId="78"/>
    <tableColumn id="3" xr3:uid="{2A36B69F-4086-4A10-AFBA-4A09B8CFF4A6}" uniqueName="3" name="MATERIAL" queryTableFieldId="3" dataDxfId="77"/>
    <tableColumn id="4" xr3:uid="{4A1CEA58-6BDD-4144-8733-461EB41E8341}" uniqueName="4" name="PRODUCTOS" queryTableFieldId="4" dataDxfId="76"/>
    <tableColumn id="5" xr3:uid="{8049C60F-2280-4526-935D-16F2A493545D}" uniqueName="5" name="INSUMO" queryTableFieldId="5" dataDxfId="75"/>
    <tableColumn id="6" xr3:uid="{7CCAD3DE-53FA-43A8-964F-4A135B2CCDA5}" uniqueName="6" name="PRESENTACIÓN" queryTableFieldId="6" dataDxfId="74"/>
    <tableColumn id="7" xr3:uid="{6B18C629-FEC8-4296-B1B3-EAA0E691FF33}" uniqueName="7" name="TIPO" queryTableFieldId="7" dataDxfId="73"/>
    <tableColumn id="8" xr3:uid="{923D35AD-72C3-4557-8262-B0AC6796E8F8}" uniqueName="8" name="LÍNEA" queryTableFieldId="8" dataDxfId="72"/>
    <tableColumn id="9" xr3:uid="{F28CDF0C-44AD-4455-ACAB-E6B0B07A8B23}" uniqueName="9" name="COD PRESENT" queryTableFieldId="9" dataDxfId="71"/>
    <tableColumn id="10" xr3:uid="{35516C17-C8F2-4E75-96B8-E7D0BF36B8F1}" uniqueName="10" name="COD PLACA" queryTableFieldId="10" dataDxfId="70"/>
    <tableColumn id="11" xr3:uid="{D81D0950-5F76-4220-AC7C-CBA1D390DE53}" uniqueName="11" name="CIAN" queryTableFieldId="11" dataDxfId="69"/>
    <tableColumn id="12" xr3:uid="{F6276586-39D1-434F-9513-60C2ED51C0E5}" uniqueName="12" name="MAGENTA" queryTableFieldId="12" dataDxfId="68"/>
    <tableColumn id="13" xr3:uid="{BFF92EFB-50A1-411E-8E12-9EE5FD789735}" uniqueName="13" name="AMARILLO" queryTableFieldId="13" dataDxfId="67"/>
    <tableColumn id="14" xr3:uid="{FF7DEA82-4DBB-41B5-B893-E5A8B6A5E943}" uniqueName="14" name="NEGRO" queryTableFieldId="14" dataDxfId="66"/>
    <tableColumn id="15" xr3:uid="{060A5871-C393-4F0A-AC5C-6E5A393CA43A}" uniqueName="15" name="PANTONE 163 C NARANJA CLARO" queryTableFieldId="15" dataDxfId="65"/>
    <tableColumn id="16" xr3:uid="{9BA54AE4-B1DA-4D9A-82F1-907610E17C37}" uniqueName="16" name="PANTONE 165 C NARANJA" queryTableFieldId="16" dataDxfId="64"/>
    <tableColumn id="17" xr3:uid="{A0FF64ED-ABBA-42C9-ADC4-9254E81FDF75}" uniqueName="17" name="PANTONE AZUL 3005 C" queryTableFieldId="17" dataDxfId="63"/>
    <tableColumn id="18" xr3:uid="{EEA7473F-9296-4609-BEC9-1BAA4E4051B5}" uniqueName="18" name="PANTONE AZUL 534 C" queryTableFieldId="18" dataDxfId="62"/>
    <tableColumn id="19" xr3:uid="{E20C237F-A285-4EBC-A237-B18E3638CA2E}" uniqueName="19" name="PANTONE AZUL REFLEX 280 C" queryTableFieldId="19" dataDxfId="61"/>
    <tableColumn id="20" xr3:uid="{321986CA-6D9B-468F-AB16-7EF72128C601}" uniqueName="20" name="PANTONE ROJO CLARO 178 C" queryTableFieldId="20" dataDxfId="60"/>
    <tableColumn id="21" xr3:uid="{89BA44FF-CEC8-4954-917C-CF9B3D7C1929}" uniqueName="21" name="PANTONE ROJO IFA 186 C" queryTableFieldId="21" dataDxfId="59"/>
    <tableColumn id="22" xr3:uid="{5418088D-7532-4D64-9D17-A76F5099805D}" uniqueName="22" name="PANTONE ROSADO 213 C" queryTableFieldId="22" dataDxfId="58"/>
    <tableColumn id="23" xr3:uid="{00AED177-70C0-47E2-853F-3FE4497802FC}" uniqueName="23" name="PANTONE ROSADO CLARO 211 C" queryTableFieldId="23" dataDxfId="57"/>
    <tableColumn id="24" xr3:uid="{9A150841-AA27-484A-A4F2-32C9AF661217}" uniqueName="24" name="PANTONE VERDE 355 C" queryTableFieldId="24" dataDxfId="56"/>
    <tableColumn id="25" xr3:uid="{C61EC18D-196B-478D-9AA1-E602B662B3DF}" uniqueName="25" name="CANTIDAD DE COLORES" queryTableFieldId="25"/>
    <tableColumn id="26" xr3:uid="{E058621E-FA6A-47F2-99A6-81CFA3F8077F}" uniqueName="26" name="CODIGO" queryTableFieldId="26" dataDxfId="55"/>
    <tableColumn id="27" xr3:uid="{AD557F34-4CC1-47FD-87F2-63BCA78CA875}" uniqueName="27" name="MO/ZP" queryTableFieldId="27" dataDxfId="54"/>
    <tableColumn id="28" xr3:uid="{C2649850-6214-4480-A991-5CB3363CE470}" uniqueName="28" name="SPEEDMASTER" queryTableFieldId="28" dataDxfId="53"/>
    <tableColumn id="29" xr3:uid="{A8F7B910-C90C-476F-A4DA-BE47085339DE}" uniqueName="29" name="GTO 52" queryTableFieldId="29" dataDxfId="52"/>
    <tableColumn id="30" xr3:uid="{4CD0B531-4D11-4AA3-AFFE-F74401DBFC19}" uniqueName="30" name="MEDIDA DE CAJA EN TROQUEL (mm)" queryTableFieldId="30" dataDxfId="51"/>
    <tableColumn id="31" xr3:uid="{E59AEEED-5FF1-4F6F-A074-2E51A82298F0}" uniqueName="31" name="N TROQUEL" queryTableFieldId="31"/>
    <tableColumn id="32" xr3:uid="{84B8F57C-22B3-4055-9A48-34ABB11BE915}" uniqueName="32" name="MEDIDA DE ARMADO" queryTableFieldId="32" dataDxfId="50"/>
    <tableColumn id="33" xr3:uid="{81B807CA-33E6-43E7-AE17-74494BC7EA02}" uniqueName="33" name="ARMADO MED A" queryTableFieldId="33"/>
    <tableColumn id="34" xr3:uid="{20F130A2-E042-41F3-853B-5F983F806E4F}" uniqueName="34" name="ARMADO MED B" queryTableFieldId="34"/>
    <tableColumn id="35" xr3:uid="{81C99237-6D77-4B0D-A04B-5DE20F2BA009}" uniqueName="35" name="CORTE MED A" queryTableFieldId="35"/>
    <tableColumn id="36" xr3:uid="{8D2FB91F-E880-47A9-B7E1-3866A1CE35E3}" uniqueName="36" name="CORTE MED B" queryTableFieldId="36"/>
    <tableColumn id="37" xr3:uid="{07030650-254C-4D3C-8D56-F09D48D95FDD}" uniqueName="37" name="MEDIDA DE CORTE" queryTableFieldId="37" dataDxfId="49"/>
    <tableColumn id="38" xr3:uid="{1AD32481-706A-47CB-95FD-4D4881AC51A5}" uniqueName="38" name="ARMADO A OFICIAL I" queryTableFieldId="38"/>
    <tableColumn id="39" xr3:uid="{20BFD82A-A279-4DEA-A150-EA05007E5AA6}" uniqueName="39" name="ARMADO B OFICIAL I" queryTableFieldId="39"/>
    <tableColumn id="40" xr3:uid="{313C8CBF-BF44-4E13-AC5B-249909748471}" uniqueName="40" name="CAJAS POR TIRAJE" queryTableFieldId="40"/>
    <tableColumn id="41" xr3:uid="{E8A23B1D-D14C-498A-A66F-F4FC4E22F9A7}" uniqueName="41" name="TIRAJES POR PLIEGO" queryTableFieldId="41"/>
    <tableColumn id="42" xr3:uid="{4D6ADF82-B7B7-4DB5-911A-34AEB66A60C3}" uniqueName="42" name="CAJAS POR PLIEGO" queryTableFieldId="42"/>
    <tableColumn id="43" xr3:uid="{B98123A3-9EC1-4E02-A2B9-F05905DC5A88}" uniqueName="43" name="ESTADO" queryTableFieldId="43" dataDxfId="48"/>
    <tableColumn id="44" xr3:uid="{E69F32D3-C320-4671-AEE6-770950944779}" uniqueName="44" name="OBSERVACIONES" queryTableFieldId="44"/>
    <tableColumn id="45" xr3:uid="{82314EE7-D8D1-4FFF-91DF-B891ADAA7A03}" uniqueName="45" name="MAQUINA PREFERENCIAL" queryTableFieldId="45" dataDxfId="47"/>
    <tableColumn id="46" xr3:uid="{ADF83555-3429-4C99-B06B-3BFF1CCA5E73}" uniqueName="46" name="BARNIZADO" queryTableFieldId="46"/>
    <tableColumn id="47" xr3:uid="{ACA23A55-97A1-46B0-8095-3A8E9C90748B}" uniqueName="47" name="PEGADO" queryTableFieldId="4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4DB3-49DC-4082-BF6A-5F587EF2A10C}">
  <sheetPr codeName="Hoja1"/>
  <dimension ref="A1:U284"/>
  <sheetViews>
    <sheetView workbookViewId="0">
      <selection activeCell="C17" sqref="C17"/>
    </sheetView>
  </sheetViews>
  <sheetFormatPr baseColWidth="10" defaultRowHeight="15" x14ac:dyDescent="0.25"/>
  <cols>
    <col min="1" max="1" width="15.42578125" bestFit="1" customWidth="1"/>
    <col min="2" max="2" width="15.5703125" bestFit="1" customWidth="1"/>
    <col min="3" max="3" width="57" bestFit="1" customWidth="1"/>
    <col min="4" max="4" width="81.140625" bestFit="1" customWidth="1"/>
    <col min="5" max="5" width="13.140625" bestFit="1" customWidth="1"/>
    <col min="6" max="6" width="7.5703125" bestFit="1" customWidth="1"/>
    <col min="7" max="7" width="12.42578125" bestFit="1" customWidth="1"/>
    <col min="8" max="8" width="19.7109375" customWidth="1"/>
    <col min="9" max="9" width="16.7109375" bestFit="1" customWidth="1"/>
    <col min="10" max="10" width="13.85546875" bestFit="1" customWidth="1"/>
    <col min="11" max="11" width="19.42578125" bestFit="1" customWidth="1"/>
    <col min="12" max="12" width="15" bestFit="1" customWidth="1"/>
    <col min="13" max="13" width="13.42578125" bestFit="1" customWidth="1"/>
    <col min="14" max="14" width="19.140625" bestFit="1" customWidth="1"/>
    <col min="15" max="15" width="29" bestFit="1" customWidth="1"/>
    <col min="16" max="16" width="8.28515625" bestFit="1" customWidth="1"/>
    <col min="17" max="17" width="19.42578125" bestFit="1" customWidth="1"/>
    <col min="18" max="18" width="26.28515625" bestFit="1" customWidth="1"/>
    <col min="19" max="19" width="12.5703125" customWidth="1"/>
    <col min="20" max="20" width="11.140625" customWidth="1"/>
    <col min="21" max="21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86</v>
      </c>
      <c r="I1" t="s">
        <v>3284</v>
      </c>
      <c r="J1" t="s">
        <v>3285</v>
      </c>
      <c r="K1" t="s">
        <v>3465</v>
      </c>
      <c r="L1" t="s">
        <v>3755</v>
      </c>
      <c r="M1" t="s">
        <v>3788</v>
      </c>
      <c r="N1" t="s">
        <v>87</v>
      </c>
      <c r="O1" s="1" t="s">
        <v>19</v>
      </c>
      <c r="P1" s="1" t="s">
        <v>7</v>
      </c>
      <c r="Q1" s="1" t="s">
        <v>26</v>
      </c>
      <c r="R1" t="s">
        <v>101</v>
      </c>
      <c r="S1" s="1" t="s">
        <v>27</v>
      </c>
      <c r="T1" s="1" t="s">
        <v>18</v>
      </c>
      <c r="U1" s="1" t="s">
        <v>5702</v>
      </c>
    </row>
    <row r="2" spans="1:21" x14ac:dyDescent="0.25">
      <c r="A2" s="2">
        <v>46055</v>
      </c>
      <c r="B2" s="1"/>
      <c r="C2" s="154" t="s">
        <v>2129</v>
      </c>
      <c r="D2" s="154" t="s">
        <v>2111</v>
      </c>
      <c r="E2" s="154" t="s">
        <v>8</v>
      </c>
      <c r="F2" s="154" t="s">
        <v>2162</v>
      </c>
      <c r="G2" s="2">
        <v>47515</v>
      </c>
      <c r="H2" s="112">
        <v>18000</v>
      </c>
      <c r="I2" s="112" t="s">
        <v>3290</v>
      </c>
      <c r="J2" s="112" t="s">
        <v>3291</v>
      </c>
      <c r="K2" s="112" t="s">
        <v>241</v>
      </c>
      <c r="L2" s="112">
        <v>2</v>
      </c>
      <c r="M2" s="112">
        <v>10</v>
      </c>
      <c r="N2" s="112" t="s">
        <v>2131</v>
      </c>
      <c r="O2" s="1">
        <v>1800</v>
      </c>
      <c r="P2" s="3">
        <v>0.88060832673790668</v>
      </c>
      <c r="Q2" s="5">
        <v>46164</v>
      </c>
      <c r="R2" s="112" t="s">
        <v>25</v>
      </c>
      <c r="S2" s="5" t="s">
        <v>2028</v>
      </c>
      <c r="T2" s="1">
        <f>COUNTIF(Tabla_control[LOTE],Tabla_imprenta[[#This Row],[LOTE]])</f>
        <v>1</v>
      </c>
      <c r="U2" s="1">
        <f>INDEX(Tabla_stock[En stock],MATCH(Tabla_imprenta[[#This Row],[CODIGO IFA]],Tabla_stock[Número de artículo],0))</f>
        <v>1720</v>
      </c>
    </row>
    <row r="3" spans="1:21" x14ac:dyDescent="0.25">
      <c r="A3" s="2">
        <v>46055</v>
      </c>
      <c r="B3" s="1"/>
      <c r="C3" s="154" t="s">
        <v>2129</v>
      </c>
      <c r="D3" s="154" t="s">
        <v>2111</v>
      </c>
      <c r="E3" s="154" t="s">
        <v>8</v>
      </c>
      <c r="F3" s="154" t="s">
        <v>2163</v>
      </c>
      <c r="G3" s="2">
        <v>47515</v>
      </c>
      <c r="H3" s="112">
        <v>18000</v>
      </c>
      <c r="I3" s="112" t="s">
        <v>3290</v>
      </c>
      <c r="J3" s="112" t="s">
        <v>3291</v>
      </c>
      <c r="K3" s="112" t="s">
        <v>241</v>
      </c>
      <c r="L3" s="112">
        <v>2</v>
      </c>
      <c r="M3" s="112">
        <v>10</v>
      </c>
      <c r="N3" s="112" t="s">
        <v>2131</v>
      </c>
      <c r="O3" s="1">
        <v>1800</v>
      </c>
      <c r="P3" s="3">
        <v>0.88060832673790668</v>
      </c>
      <c r="Q3" s="5" t="s">
        <v>2028</v>
      </c>
      <c r="R3" s="112" t="s">
        <v>25</v>
      </c>
      <c r="S3" s="5" t="s">
        <v>2028</v>
      </c>
      <c r="T3" s="1">
        <f>COUNTIF(Tabla_control[LOTE],Tabla_imprenta[[#This Row],[LOTE]])</f>
        <v>1</v>
      </c>
      <c r="U3" s="1">
        <f>INDEX(Tabla_stock[En stock],MATCH(Tabla_imprenta[[#This Row],[CODIGO IFA]],Tabla_stock[Número de artículo],0))</f>
        <v>1720</v>
      </c>
    </row>
    <row r="4" spans="1:21" x14ac:dyDescent="0.25">
      <c r="A4" s="2">
        <v>46055</v>
      </c>
      <c r="B4" s="1"/>
      <c r="C4" s="154" t="s">
        <v>2134</v>
      </c>
      <c r="D4" s="154" t="s">
        <v>212</v>
      </c>
      <c r="E4" s="154" t="s">
        <v>8</v>
      </c>
      <c r="F4" s="154" t="s">
        <v>2167</v>
      </c>
      <c r="G4" s="2">
        <v>47515</v>
      </c>
      <c r="H4" s="112">
        <v>36000</v>
      </c>
      <c r="I4" s="112" t="s">
        <v>3292</v>
      </c>
      <c r="J4" s="112"/>
      <c r="K4" s="112"/>
      <c r="L4" s="112"/>
      <c r="M4" s="112"/>
      <c r="N4" s="112" t="s">
        <v>2136</v>
      </c>
      <c r="O4" s="1">
        <v>1440</v>
      </c>
      <c r="P4" s="3">
        <v>4.01414564733148</v>
      </c>
      <c r="Q4" s="5" t="s">
        <v>2028</v>
      </c>
      <c r="R4" s="112" t="s">
        <v>25</v>
      </c>
      <c r="S4" s="5" t="s">
        <v>2028</v>
      </c>
      <c r="T4" s="1">
        <f>COUNTIF(Tabla_control[LOTE],Tabla_imprenta[[#This Row],[LOTE]])</f>
        <v>1</v>
      </c>
      <c r="U4" s="1" t="e">
        <f>INDEX(Tabla_stock[En stock],MATCH(Tabla_imprenta[[#This Row],[CODIGO IFA]],Tabla_stock[Número de artículo],0))</f>
        <v>#N/A</v>
      </c>
    </row>
    <row r="5" spans="1:21" x14ac:dyDescent="0.25">
      <c r="A5" s="2">
        <v>46055</v>
      </c>
      <c r="B5" s="1"/>
      <c r="C5" s="154" t="s">
        <v>2129</v>
      </c>
      <c r="D5" s="154" t="s">
        <v>2111</v>
      </c>
      <c r="E5" s="154" t="s">
        <v>8</v>
      </c>
      <c r="F5" s="154" t="s">
        <v>2171</v>
      </c>
      <c r="G5" s="2">
        <v>47515</v>
      </c>
      <c r="H5" s="112">
        <v>18000</v>
      </c>
      <c r="I5" s="112" t="s">
        <v>3290</v>
      </c>
      <c r="J5" s="112" t="s">
        <v>3291</v>
      </c>
      <c r="K5" s="112" t="s">
        <v>241</v>
      </c>
      <c r="L5" s="112">
        <v>2</v>
      </c>
      <c r="M5" s="112">
        <v>10</v>
      </c>
      <c r="N5" s="112" t="s">
        <v>2131</v>
      </c>
      <c r="O5" s="1">
        <v>1800</v>
      </c>
      <c r="P5" s="3">
        <v>0.88060832673790668</v>
      </c>
      <c r="Q5" s="5">
        <v>46167</v>
      </c>
      <c r="R5" s="112" t="s">
        <v>25</v>
      </c>
      <c r="S5" s="5" t="s">
        <v>2028</v>
      </c>
      <c r="T5" s="1">
        <f>COUNTIF(Tabla_control[LOTE],Tabla_imprenta[[#This Row],[LOTE]])</f>
        <v>1</v>
      </c>
      <c r="U5" s="1">
        <f>INDEX(Tabla_stock[En stock],MATCH(Tabla_imprenta[[#This Row],[CODIGO IFA]],Tabla_stock[Número de artículo],0))</f>
        <v>1720</v>
      </c>
    </row>
    <row r="6" spans="1:21" x14ac:dyDescent="0.25">
      <c r="A6" s="2">
        <v>46055</v>
      </c>
      <c r="B6" s="1"/>
      <c r="C6" s="154" t="s">
        <v>2129</v>
      </c>
      <c r="D6" s="154" t="s">
        <v>2111</v>
      </c>
      <c r="E6" s="154" t="s">
        <v>8</v>
      </c>
      <c r="F6" s="154" t="s">
        <v>2172</v>
      </c>
      <c r="G6" s="2">
        <v>47515</v>
      </c>
      <c r="H6" s="112">
        <v>18000</v>
      </c>
      <c r="I6" s="112" t="s">
        <v>3290</v>
      </c>
      <c r="J6" s="112" t="s">
        <v>3291</v>
      </c>
      <c r="K6" s="112" t="s">
        <v>241</v>
      </c>
      <c r="L6" s="112">
        <v>2</v>
      </c>
      <c r="M6" s="112">
        <v>10</v>
      </c>
      <c r="N6" s="112" t="s">
        <v>2131</v>
      </c>
      <c r="O6" s="1">
        <v>1800</v>
      </c>
      <c r="P6" s="3">
        <v>0.88060832673790668</v>
      </c>
      <c r="Q6" s="5">
        <v>46167</v>
      </c>
      <c r="R6" s="112" t="s">
        <v>25</v>
      </c>
      <c r="S6" s="5" t="s">
        <v>2028</v>
      </c>
      <c r="T6" s="1">
        <f>COUNTIF(Tabla_control[LOTE],Tabla_imprenta[[#This Row],[LOTE]])</f>
        <v>1</v>
      </c>
      <c r="U6" s="1">
        <f>INDEX(Tabla_stock[En stock],MATCH(Tabla_imprenta[[#This Row],[CODIGO IFA]],Tabla_stock[Número de artículo],0))</f>
        <v>1720</v>
      </c>
    </row>
    <row r="7" spans="1:21" x14ac:dyDescent="0.25">
      <c r="A7" s="2">
        <v>46055</v>
      </c>
      <c r="B7" s="1"/>
      <c r="C7" s="154" t="s">
        <v>2129</v>
      </c>
      <c r="D7" s="154" t="s">
        <v>2111</v>
      </c>
      <c r="E7" s="154" t="s">
        <v>8</v>
      </c>
      <c r="F7" s="154" t="s">
        <v>2181</v>
      </c>
      <c r="G7" s="2">
        <v>47515</v>
      </c>
      <c r="H7" s="112">
        <v>18000</v>
      </c>
      <c r="I7" s="112" t="s">
        <v>3290</v>
      </c>
      <c r="J7" s="112" t="s">
        <v>3291</v>
      </c>
      <c r="K7" s="112" t="s">
        <v>241</v>
      </c>
      <c r="L7" s="112">
        <v>2</v>
      </c>
      <c r="M7" s="112">
        <v>10</v>
      </c>
      <c r="N7" s="112" t="s">
        <v>2131</v>
      </c>
      <c r="O7" s="1">
        <v>1800</v>
      </c>
      <c r="P7" s="3">
        <v>0.88060832673790668</v>
      </c>
      <c r="Q7" s="5">
        <v>46175</v>
      </c>
      <c r="R7" s="112" t="s">
        <v>25</v>
      </c>
      <c r="S7" s="5" t="s">
        <v>2028</v>
      </c>
      <c r="T7" s="1">
        <f>COUNTIF(Tabla_control[LOTE],Tabla_imprenta[[#This Row],[LOTE]])</f>
        <v>1</v>
      </c>
      <c r="U7" s="1">
        <f>INDEX(Tabla_stock[En stock],MATCH(Tabla_imprenta[[#This Row],[CODIGO IFA]],Tabla_stock[Número de artículo],0))</f>
        <v>1720</v>
      </c>
    </row>
    <row r="8" spans="1:21" x14ac:dyDescent="0.25">
      <c r="A8" s="2">
        <v>46055</v>
      </c>
      <c r="B8" s="1"/>
      <c r="C8" s="154" t="s">
        <v>2191</v>
      </c>
      <c r="D8" s="154" t="s">
        <v>2183</v>
      </c>
      <c r="E8" s="154" t="s">
        <v>102</v>
      </c>
      <c r="F8" s="154" t="s">
        <v>2192</v>
      </c>
      <c r="G8" s="2">
        <v>46784</v>
      </c>
      <c r="H8" s="112">
        <v>35000</v>
      </c>
      <c r="I8" s="112" t="s">
        <v>3303</v>
      </c>
      <c r="J8" s="112" t="s">
        <v>1674</v>
      </c>
      <c r="K8" s="112" t="s">
        <v>263</v>
      </c>
      <c r="L8" s="112">
        <v>4</v>
      </c>
      <c r="M8" s="112">
        <v>114</v>
      </c>
      <c r="N8" s="112" t="s">
        <v>2193</v>
      </c>
      <c r="O8" s="1">
        <v>17500</v>
      </c>
      <c r="P8" s="3">
        <v>0.29720986511211556</v>
      </c>
      <c r="Q8" s="5" t="s">
        <v>28</v>
      </c>
      <c r="R8" s="112" t="s">
        <v>25</v>
      </c>
      <c r="S8" s="5" t="s">
        <v>2028</v>
      </c>
      <c r="T8" s="1">
        <f>COUNTIF(Tabla_control[LOTE],Tabla_imprenta[[#This Row],[LOTE]])</f>
        <v>1</v>
      </c>
      <c r="U8" s="1">
        <f>INDEX(Tabla_stock[En stock],MATCH(Tabla_imprenta[[#This Row],[CODIGO IFA]],Tabla_stock[Número de artículo],0))</f>
        <v>6026</v>
      </c>
    </row>
    <row r="9" spans="1:21" x14ac:dyDescent="0.25">
      <c r="A9" s="2">
        <v>46055</v>
      </c>
      <c r="B9" s="1"/>
      <c r="C9" s="154" t="s">
        <v>2198</v>
      </c>
      <c r="D9" s="154" t="s">
        <v>2183</v>
      </c>
      <c r="E9" s="154" t="s">
        <v>8</v>
      </c>
      <c r="F9" s="154" t="s">
        <v>2201</v>
      </c>
      <c r="G9" s="2">
        <v>46784</v>
      </c>
      <c r="H9" s="112">
        <v>420000</v>
      </c>
      <c r="I9" s="112" t="s">
        <v>3304</v>
      </c>
      <c r="J9" s="112" t="s">
        <v>851</v>
      </c>
      <c r="K9" s="112" t="s">
        <v>241</v>
      </c>
      <c r="L9" s="112">
        <v>2</v>
      </c>
      <c r="M9" s="112">
        <v>40</v>
      </c>
      <c r="N9" s="112" t="s">
        <v>2200</v>
      </c>
      <c r="O9" s="1">
        <v>4200</v>
      </c>
      <c r="P9" s="3">
        <v>2.619159629904102</v>
      </c>
      <c r="Q9" s="5">
        <v>46149</v>
      </c>
      <c r="R9" s="112" t="s">
        <v>25</v>
      </c>
      <c r="S9" s="5" t="s">
        <v>2028</v>
      </c>
      <c r="T9" s="1">
        <f>COUNTIF(Tabla_control[LOTE],Tabla_imprenta[[#This Row],[LOTE]])</f>
        <v>1</v>
      </c>
      <c r="U9" s="1">
        <f>INDEX(Tabla_stock[En stock],MATCH(Tabla_imprenta[[#This Row],[CODIGO IFA]],Tabla_stock[Número de artículo],0))</f>
        <v>985</v>
      </c>
    </row>
    <row r="10" spans="1:21" x14ac:dyDescent="0.25">
      <c r="A10" s="2">
        <v>46055</v>
      </c>
      <c r="B10" s="1"/>
      <c r="C10" s="154" t="s">
        <v>2203</v>
      </c>
      <c r="D10" s="154" t="s">
        <v>2183</v>
      </c>
      <c r="E10" s="154" t="s">
        <v>8</v>
      </c>
      <c r="F10" s="154" t="s">
        <v>2204</v>
      </c>
      <c r="G10" s="2">
        <v>46784</v>
      </c>
      <c r="H10" s="112">
        <v>23000</v>
      </c>
      <c r="I10" s="112" t="s">
        <v>3305</v>
      </c>
      <c r="J10" s="112" t="s">
        <v>1647</v>
      </c>
      <c r="K10" s="112" t="s">
        <v>263</v>
      </c>
      <c r="L10" s="112">
        <v>2</v>
      </c>
      <c r="M10" s="112">
        <v>113</v>
      </c>
      <c r="N10" s="112" t="s">
        <v>2193</v>
      </c>
      <c r="O10" s="1">
        <v>2300</v>
      </c>
      <c r="P10" s="3">
        <v>1.5886214442013131</v>
      </c>
      <c r="Q10" s="5" t="s">
        <v>28</v>
      </c>
      <c r="R10" s="112" t="s">
        <v>25</v>
      </c>
      <c r="S10" s="5" t="s">
        <v>2028</v>
      </c>
      <c r="T10" s="1">
        <f>COUNTIF(Tabla_control[LOTE],Tabla_imprenta[[#This Row],[LOTE]])</f>
        <v>1</v>
      </c>
      <c r="U10" s="1">
        <f>INDEX(Tabla_stock[En stock],MATCH(Tabla_imprenta[[#This Row],[CODIGO IFA]],Tabla_stock[Número de artículo],0))</f>
        <v>1155</v>
      </c>
    </row>
    <row r="11" spans="1:21" x14ac:dyDescent="0.25">
      <c r="A11" s="2">
        <v>46064</v>
      </c>
      <c r="B11" s="1"/>
      <c r="C11" s="154" t="s">
        <v>2440</v>
      </c>
      <c r="D11" s="154" t="s">
        <v>12</v>
      </c>
      <c r="E11" s="154" t="s">
        <v>8</v>
      </c>
      <c r="F11" s="154" t="s">
        <v>2441</v>
      </c>
      <c r="G11" s="2">
        <v>46784</v>
      </c>
      <c r="H11" s="112">
        <v>400000</v>
      </c>
      <c r="I11" s="112" t="s">
        <v>3316</v>
      </c>
      <c r="J11" s="112" t="s">
        <v>1777</v>
      </c>
      <c r="K11" s="112" t="s">
        <v>263</v>
      </c>
      <c r="L11" s="112">
        <v>2</v>
      </c>
      <c r="M11" s="112">
        <v>88</v>
      </c>
      <c r="N11" s="112" t="s">
        <v>2442</v>
      </c>
      <c r="O11" s="1">
        <v>4000</v>
      </c>
      <c r="P11" s="3">
        <v>1.2556930107950517</v>
      </c>
      <c r="Q11" s="5" t="s">
        <v>2032</v>
      </c>
      <c r="R11" s="112" t="s">
        <v>25</v>
      </c>
      <c r="S11" s="5" t="s">
        <v>2028</v>
      </c>
      <c r="T11" s="1">
        <f>COUNTIF(Tabla_control[LOTE],Tabla_imprenta[[#This Row],[LOTE]])</f>
        <v>1</v>
      </c>
      <c r="U11" s="1">
        <f>INDEX(Tabla_stock[En stock],MATCH(Tabla_imprenta[[#This Row],[CODIGO IFA]],Tabla_stock[Número de artículo],0))</f>
        <v>11857</v>
      </c>
    </row>
    <row r="12" spans="1:21" x14ac:dyDescent="0.25">
      <c r="A12" s="2">
        <v>46064</v>
      </c>
      <c r="B12" s="1"/>
      <c r="C12" s="154" t="s">
        <v>2440</v>
      </c>
      <c r="D12" s="154" t="s">
        <v>12</v>
      </c>
      <c r="E12" s="154" t="s">
        <v>8</v>
      </c>
      <c r="F12" s="154" t="s">
        <v>2445</v>
      </c>
      <c r="G12" s="2">
        <v>46784</v>
      </c>
      <c r="H12" s="112">
        <v>400000</v>
      </c>
      <c r="I12" s="112" t="s">
        <v>3316</v>
      </c>
      <c r="J12" s="112" t="s">
        <v>1777</v>
      </c>
      <c r="K12" s="112" t="s">
        <v>263</v>
      </c>
      <c r="L12" s="112">
        <v>2</v>
      </c>
      <c r="M12" s="112">
        <v>88</v>
      </c>
      <c r="N12" s="112" t="s">
        <v>2442</v>
      </c>
      <c r="O12" s="1">
        <v>4000</v>
      </c>
      <c r="P12" s="3">
        <v>1.2556930107950517</v>
      </c>
      <c r="Q12" s="5" t="s">
        <v>2032</v>
      </c>
      <c r="R12" s="112" t="s">
        <v>25</v>
      </c>
      <c r="S12" s="5" t="s">
        <v>2028</v>
      </c>
      <c r="T12" s="1">
        <f>COUNTIF(Tabla_control[LOTE],Tabla_imprenta[[#This Row],[LOTE]])</f>
        <v>1</v>
      </c>
      <c r="U12" s="1">
        <f>INDEX(Tabla_stock[En stock],MATCH(Tabla_imprenta[[#This Row],[CODIGO IFA]],Tabla_stock[Número de artículo],0))</f>
        <v>11857</v>
      </c>
    </row>
    <row r="13" spans="1:21" x14ac:dyDescent="0.25">
      <c r="A13" s="2">
        <v>46083</v>
      </c>
      <c r="B13" s="1"/>
      <c r="C13" s="154" t="s">
        <v>2472</v>
      </c>
      <c r="D13" s="154" t="s">
        <v>181</v>
      </c>
      <c r="E13" s="154" t="s">
        <v>102</v>
      </c>
      <c r="F13" s="154" t="s">
        <v>2473</v>
      </c>
      <c r="G13" s="2">
        <v>46813</v>
      </c>
      <c r="H13" s="112">
        <v>15000</v>
      </c>
      <c r="I13" s="112" t="s">
        <v>3317</v>
      </c>
      <c r="J13" s="112" t="s">
        <v>1468</v>
      </c>
      <c r="K13" s="112" t="s">
        <v>263</v>
      </c>
      <c r="L13" s="112">
        <v>2</v>
      </c>
      <c r="M13" s="112">
        <v>32</v>
      </c>
      <c r="N13" s="112" t="s">
        <v>2155</v>
      </c>
      <c r="O13" s="1">
        <v>15000</v>
      </c>
      <c r="P13" s="3">
        <v>2.3265910273933672</v>
      </c>
      <c r="Q13" s="5" t="s">
        <v>2028</v>
      </c>
      <c r="R13" s="112" t="s">
        <v>2028</v>
      </c>
      <c r="S13" s="5" t="s">
        <v>2028</v>
      </c>
      <c r="T13" s="1">
        <f>COUNTIF(Tabla_control[LOTE],Tabla_imprenta[[#This Row],[LOTE]])</f>
        <v>1</v>
      </c>
      <c r="U13" s="1">
        <f>INDEX(Tabla_stock[En stock],MATCH(Tabla_imprenta[[#This Row],[CODIGO IFA]],Tabla_stock[Número de artículo],0))</f>
        <v>1545</v>
      </c>
    </row>
    <row r="14" spans="1:21" x14ac:dyDescent="0.25">
      <c r="A14" s="2">
        <v>46083</v>
      </c>
      <c r="B14" s="1"/>
      <c r="C14" s="154" t="s">
        <v>2476</v>
      </c>
      <c r="D14" s="154" t="s">
        <v>2111</v>
      </c>
      <c r="E14" s="154" t="s">
        <v>8</v>
      </c>
      <c r="F14" s="154" t="s">
        <v>2477</v>
      </c>
      <c r="G14" s="2">
        <v>47543</v>
      </c>
      <c r="H14" s="112">
        <v>1000</v>
      </c>
      <c r="I14" s="112" t="s">
        <v>3320</v>
      </c>
      <c r="J14" s="112" t="s">
        <v>3740</v>
      </c>
      <c r="K14" s="112" t="s">
        <v>176</v>
      </c>
      <c r="L14" s="112">
        <v>0</v>
      </c>
      <c r="M14" s="112">
        <v>0</v>
      </c>
      <c r="N14" s="112" t="s">
        <v>2478</v>
      </c>
      <c r="O14" s="1">
        <v>1000</v>
      </c>
      <c r="P14" s="3">
        <v>0</v>
      </c>
      <c r="Q14" s="5" t="s">
        <v>2926</v>
      </c>
      <c r="R14" s="112" t="s">
        <v>25</v>
      </c>
      <c r="S14" s="5" t="s">
        <v>2926</v>
      </c>
      <c r="T14" s="1">
        <f>COUNTIF(Tabla_control[LOTE],Tabla_imprenta[[#This Row],[LOTE]])</f>
        <v>1</v>
      </c>
      <c r="U14" s="1" t="e">
        <f>INDEX(Tabla_stock[En stock],MATCH(Tabla_imprenta[[#This Row],[CODIGO IFA]],Tabla_stock[Número de artículo],0))</f>
        <v>#N/A</v>
      </c>
    </row>
    <row r="15" spans="1:21" x14ac:dyDescent="0.25">
      <c r="A15" s="2">
        <v>46083</v>
      </c>
      <c r="B15" s="1"/>
      <c r="C15" s="154" t="s">
        <v>2483</v>
      </c>
      <c r="D15" s="154" t="s">
        <v>13</v>
      </c>
      <c r="E15" s="154" t="s">
        <v>8</v>
      </c>
      <c r="F15" s="154" t="s">
        <v>2484</v>
      </c>
      <c r="G15" s="2">
        <v>47178</v>
      </c>
      <c r="H15" s="112">
        <v>28570</v>
      </c>
      <c r="I15" s="112" t="s">
        <v>3323</v>
      </c>
      <c r="J15" s="112" t="s">
        <v>993</v>
      </c>
      <c r="K15" s="112" t="s">
        <v>241</v>
      </c>
      <c r="L15" s="112">
        <v>6</v>
      </c>
      <c r="M15" s="112">
        <v>25</v>
      </c>
      <c r="N15" s="112" t="s">
        <v>2485</v>
      </c>
      <c r="O15" s="1">
        <v>28570</v>
      </c>
      <c r="P15" s="3">
        <v>1.3265685186801133</v>
      </c>
      <c r="Q15" s="5" t="s">
        <v>2028</v>
      </c>
      <c r="R15" s="112" t="s">
        <v>2028</v>
      </c>
      <c r="S15" s="5" t="s">
        <v>2028</v>
      </c>
      <c r="T15" s="1">
        <f>COUNTIF(Tabla_control[LOTE],Tabla_imprenta[[#This Row],[LOTE]])</f>
        <v>1</v>
      </c>
      <c r="U15" s="1">
        <f>INDEX(Tabla_stock[En stock],MATCH(Tabla_imprenta[[#This Row],[CODIGO IFA]],Tabla_stock[Número de artículo],0))</f>
        <v>2880</v>
      </c>
    </row>
    <row r="16" spans="1:21" x14ac:dyDescent="0.25">
      <c r="A16" s="2">
        <v>46083</v>
      </c>
      <c r="B16" s="1"/>
      <c r="C16" s="154" t="s">
        <v>2489</v>
      </c>
      <c r="D16" s="154" t="s">
        <v>2183</v>
      </c>
      <c r="E16" s="154" t="s">
        <v>8</v>
      </c>
      <c r="F16" s="154" t="s">
        <v>2490</v>
      </c>
      <c r="G16" s="2">
        <v>46813</v>
      </c>
      <c r="H16" s="112">
        <v>150000</v>
      </c>
      <c r="I16" s="112" t="s">
        <v>3324</v>
      </c>
      <c r="J16" s="112" t="s">
        <v>747</v>
      </c>
      <c r="K16" s="112" t="s">
        <v>251</v>
      </c>
      <c r="L16" s="112">
        <v>3</v>
      </c>
      <c r="M16" s="112">
        <v>97</v>
      </c>
      <c r="N16" s="112" t="s">
        <v>2491</v>
      </c>
      <c r="O16" s="1">
        <v>12500</v>
      </c>
      <c r="P16" s="3">
        <v>1.3551660848598264</v>
      </c>
      <c r="Q16" s="5" t="s">
        <v>28</v>
      </c>
      <c r="R16" s="112" t="s">
        <v>25</v>
      </c>
      <c r="S16" s="5" t="s">
        <v>2028</v>
      </c>
      <c r="T16" s="1">
        <f>COUNTIF(Tabla_control[LOTE],Tabla_imprenta[[#This Row],[LOTE]])</f>
        <v>1</v>
      </c>
      <c r="U16" s="1">
        <f>INDEX(Tabla_stock[En stock],MATCH(Tabla_imprenta[[#This Row],[CODIGO IFA]],Tabla_stock[Número de artículo],0))</f>
        <v>1879</v>
      </c>
    </row>
    <row r="17" spans="1:21" x14ac:dyDescent="0.25">
      <c r="A17" s="2">
        <v>46083</v>
      </c>
      <c r="B17" s="1"/>
      <c r="C17" s="154" t="s">
        <v>2493</v>
      </c>
      <c r="D17" s="154" t="s">
        <v>12</v>
      </c>
      <c r="E17" s="154" t="s">
        <v>8</v>
      </c>
      <c r="F17" s="154" t="s">
        <v>2494</v>
      </c>
      <c r="G17" s="2">
        <v>47543</v>
      </c>
      <c r="H17" s="112">
        <v>17000</v>
      </c>
      <c r="I17" s="112" t="s">
        <v>3326</v>
      </c>
      <c r="J17" s="112" t="s">
        <v>3327</v>
      </c>
      <c r="K17" s="112" t="s">
        <v>263</v>
      </c>
      <c r="L17" s="112">
        <v>6</v>
      </c>
      <c r="M17" s="112">
        <v>1</v>
      </c>
      <c r="N17" s="112" t="s">
        <v>2495</v>
      </c>
      <c r="O17" s="1">
        <v>8500</v>
      </c>
      <c r="P17" s="3">
        <v>7.1419621601303093E-2</v>
      </c>
      <c r="Q17" s="5">
        <v>46154</v>
      </c>
      <c r="R17" s="112" t="s">
        <v>25</v>
      </c>
      <c r="S17" s="5" t="s">
        <v>2028</v>
      </c>
      <c r="T17" s="1">
        <f>COUNTIF(Tabla_control[LOTE],Tabla_imprenta[[#This Row],[LOTE]])</f>
        <v>1</v>
      </c>
      <c r="U17" s="1" t="e">
        <f>INDEX(Tabla_stock[En stock],MATCH(Tabla_imprenta[[#This Row],[CODIGO IFA]],Tabla_stock[Número de artículo],0))</f>
        <v>#N/A</v>
      </c>
    </row>
    <row r="18" spans="1:21" x14ac:dyDescent="0.25">
      <c r="A18" s="2">
        <v>46083</v>
      </c>
      <c r="B18" s="1"/>
      <c r="C18" s="154" t="s">
        <v>2496</v>
      </c>
      <c r="D18" s="154" t="s">
        <v>9</v>
      </c>
      <c r="E18" s="154" t="s">
        <v>8</v>
      </c>
      <c r="F18" s="154" t="s">
        <v>2497</v>
      </c>
      <c r="G18" s="2">
        <v>46813</v>
      </c>
      <c r="H18" s="112">
        <v>34000</v>
      </c>
      <c r="I18" s="112" t="s">
        <v>3328</v>
      </c>
      <c r="J18" s="112" t="s">
        <v>1614</v>
      </c>
      <c r="K18" s="112" t="s">
        <v>3466</v>
      </c>
      <c r="L18" s="112">
        <v>6</v>
      </c>
      <c r="M18" s="112">
        <v>53</v>
      </c>
      <c r="N18" s="112" t="s">
        <v>2498</v>
      </c>
      <c r="O18" s="1">
        <v>1700</v>
      </c>
      <c r="P18" s="3">
        <v>0.42165898617511521</v>
      </c>
      <c r="Q18" s="5" t="s">
        <v>28</v>
      </c>
      <c r="R18" s="112" t="s">
        <v>25</v>
      </c>
      <c r="S18" s="5" t="s">
        <v>2028</v>
      </c>
      <c r="T18" s="1">
        <f>COUNTIF(Tabla_control[LOTE],Tabla_imprenta[[#This Row],[LOTE]])</f>
        <v>1</v>
      </c>
      <c r="U18" s="1">
        <f>INDEX(Tabla_stock[En stock],MATCH(Tabla_imprenta[[#This Row],[CODIGO IFA]],Tabla_stock[Número de artículo],0))</f>
        <v>1535</v>
      </c>
    </row>
    <row r="19" spans="1:21" x14ac:dyDescent="0.25">
      <c r="A19" s="2">
        <v>46083</v>
      </c>
      <c r="B19" s="1"/>
      <c r="C19" s="154" t="s">
        <v>2499</v>
      </c>
      <c r="D19" s="154" t="s">
        <v>9</v>
      </c>
      <c r="E19" s="154" t="s">
        <v>102</v>
      </c>
      <c r="F19" s="154" t="s">
        <v>2500</v>
      </c>
      <c r="G19" s="2">
        <v>46813</v>
      </c>
      <c r="H19" s="112">
        <v>16000</v>
      </c>
      <c r="I19" s="112" t="s">
        <v>3329</v>
      </c>
      <c r="J19" s="112" t="s">
        <v>1612</v>
      </c>
      <c r="K19" s="112" t="s">
        <v>3466</v>
      </c>
      <c r="L19" s="112">
        <v>5</v>
      </c>
      <c r="M19" s="112">
        <v>93</v>
      </c>
      <c r="N19" s="112" t="s">
        <v>2498</v>
      </c>
      <c r="O19" s="1">
        <v>16000</v>
      </c>
      <c r="P19" s="3">
        <v>2.1410396917538699</v>
      </c>
      <c r="Q19" s="5" t="s">
        <v>28</v>
      </c>
      <c r="R19" s="112" t="s">
        <v>25</v>
      </c>
      <c r="S19" s="5" t="s">
        <v>2028</v>
      </c>
      <c r="T19" s="1">
        <f>COUNTIF(Tabla_control[LOTE],Tabla_imprenta[[#This Row],[LOTE]])</f>
        <v>1</v>
      </c>
      <c r="U19" s="1">
        <f>INDEX(Tabla_stock[En stock],MATCH(Tabla_imprenta[[#This Row],[CODIGO IFA]],Tabla_stock[Número de artículo],0))</f>
        <v>4760</v>
      </c>
    </row>
    <row r="20" spans="1:21" x14ac:dyDescent="0.25">
      <c r="A20" s="2">
        <v>46083</v>
      </c>
      <c r="B20" s="1"/>
      <c r="C20" s="154" t="s">
        <v>2512</v>
      </c>
      <c r="D20" s="154" t="s">
        <v>2183</v>
      </c>
      <c r="E20" s="154" t="s">
        <v>102</v>
      </c>
      <c r="F20" s="154" t="s">
        <v>2513</v>
      </c>
      <c r="G20" s="2">
        <v>46813</v>
      </c>
      <c r="H20" s="112">
        <v>28000</v>
      </c>
      <c r="I20" s="112" t="s">
        <v>3334</v>
      </c>
      <c r="J20" s="112" t="s">
        <v>1373</v>
      </c>
      <c r="K20" s="112" t="s">
        <v>251</v>
      </c>
      <c r="L20" s="112">
        <v>5</v>
      </c>
      <c r="M20" s="112">
        <v>117</v>
      </c>
      <c r="N20" s="112" t="s">
        <v>2491</v>
      </c>
      <c r="O20" s="1">
        <v>14000</v>
      </c>
      <c r="P20" s="3">
        <v>1.7757812500000001</v>
      </c>
      <c r="Q20" s="5" t="s">
        <v>28</v>
      </c>
      <c r="R20" s="112" t="s">
        <v>25</v>
      </c>
      <c r="S20" s="5" t="s">
        <v>2028</v>
      </c>
      <c r="T20" s="1">
        <f>COUNTIF(Tabla_control[LOTE],Tabla_imprenta[[#This Row],[LOTE]])</f>
        <v>1</v>
      </c>
      <c r="U20" s="1">
        <f>INDEX(Tabla_stock[En stock],MATCH(Tabla_imprenta[[#This Row],[CODIGO IFA]],Tabla_stock[Número de artículo],0))</f>
        <v>3838</v>
      </c>
    </row>
    <row r="21" spans="1:21" x14ac:dyDescent="0.25">
      <c r="A21" s="2">
        <v>46083</v>
      </c>
      <c r="B21" s="1"/>
      <c r="C21" s="154" t="s">
        <v>2928</v>
      </c>
      <c r="D21" s="154" t="s">
        <v>9</v>
      </c>
      <c r="E21" s="154" t="s">
        <v>102</v>
      </c>
      <c r="F21" s="154" t="s">
        <v>2515</v>
      </c>
      <c r="G21" s="2">
        <v>46813</v>
      </c>
      <c r="H21" s="112">
        <v>50000</v>
      </c>
      <c r="I21" s="112" t="s">
        <v>3336</v>
      </c>
      <c r="J21" s="112" t="s">
        <v>1395</v>
      </c>
      <c r="K21" s="112" t="s">
        <v>2206</v>
      </c>
      <c r="L21" s="112">
        <v>7</v>
      </c>
      <c r="M21" s="112">
        <v>104</v>
      </c>
      <c r="N21" s="112" t="s">
        <v>2927</v>
      </c>
      <c r="O21" s="1">
        <v>25000</v>
      </c>
      <c r="P21" s="3">
        <v>1.4726857142857144</v>
      </c>
      <c r="Q21" s="5" t="s">
        <v>2028</v>
      </c>
      <c r="R21" s="112" t="s">
        <v>25</v>
      </c>
      <c r="S21" s="5" t="s">
        <v>2028</v>
      </c>
      <c r="T21" s="1">
        <f>COUNTIF(Tabla_control[LOTE],Tabla_imprenta[[#This Row],[LOTE]])</f>
        <v>1</v>
      </c>
      <c r="U21" s="1">
        <f>INDEX(Tabla_stock[En stock],MATCH(Tabla_imprenta[[#This Row],[CODIGO IFA]],Tabla_stock[Número de artículo],0))</f>
        <v>7721</v>
      </c>
    </row>
    <row r="22" spans="1:21" x14ac:dyDescent="0.25">
      <c r="A22" s="2">
        <v>46083</v>
      </c>
      <c r="B22" s="1"/>
      <c r="C22" s="154" t="s">
        <v>2518</v>
      </c>
      <c r="D22" s="154" t="s">
        <v>9</v>
      </c>
      <c r="E22" s="154" t="s">
        <v>8</v>
      </c>
      <c r="F22" s="154" t="s">
        <v>2519</v>
      </c>
      <c r="G22" s="2">
        <v>46813</v>
      </c>
      <c r="H22" s="112">
        <v>90000</v>
      </c>
      <c r="I22" s="112" t="s">
        <v>3337</v>
      </c>
      <c r="J22" s="112" t="s">
        <v>1075</v>
      </c>
      <c r="K22" s="112" t="s">
        <v>2206</v>
      </c>
      <c r="L22" s="112">
        <v>1</v>
      </c>
      <c r="M22" s="112">
        <v>103</v>
      </c>
      <c r="N22" s="112" t="s">
        <v>2520</v>
      </c>
      <c r="O22" s="1">
        <v>450</v>
      </c>
      <c r="P22" s="3">
        <v>1.0514581983149709</v>
      </c>
      <c r="Q22" s="5" t="s">
        <v>2028</v>
      </c>
      <c r="R22" s="112" t="s">
        <v>25</v>
      </c>
      <c r="S22" s="5" t="s">
        <v>2028</v>
      </c>
      <c r="T22" s="1">
        <f>COUNTIF(Tabla_control[LOTE],Tabla_imprenta[[#This Row],[LOTE]])</f>
        <v>1</v>
      </c>
      <c r="U22" s="1">
        <f>INDEX(Tabla_stock[En stock],MATCH(Tabla_imprenta[[#This Row],[CODIGO IFA]],Tabla_stock[Número de artículo],0))</f>
        <v>2746</v>
      </c>
    </row>
    <row r="23" spans="1:21" x14ac:dyDescent="0.25">
      <c r="A23" s="2">
        <v>46083</v>
      </c>
      <c r="B23" s="1"/>
      <c r="C23" s="154" t="s">
        <v>2522</v>
      </c>
      <c r="D23" s="154" t="s">
        <v>181</v>
      </c>
      <c r="E23" s="154" t="s">
        <v>102</v>
      </c>
      <c r="F23" s="154" t="s">
        <v>2523</v>
      </c>
      <c r="G23" s="2">
        <v>46813</v>
      </c>
      <c r="H23" s="112">
        <v>19355</v>
      </c>
      <c r="I23" s="112" t="s">
        <v>3339</v>
      </c>
      <c r="J23" s="112" t="s">
        <v>987</v>
      </c>
      <c r="K23" s="112" t="s">
        <v>269</v>
      </c>
      <c r="L23" s="112">
        <v>2</v>
      </c>
      <c r="M23" s="112">
        <v>77</v>
      </c>
      <c r="N23" s="112" t="s">
        <v>183</v>
      </c>
      <c r="O23" s="1">
        <v>19355</v>
      </c>
      <c r="P23" s="3">
        <v>1.2418977134581213</v>
      </c>
      <c r="Q23" s="5" t="s">
        <v>2028</v>
      </c>
      <c r="R23" s="112" t="s">
        <v>25</v>
      </c>
      <c r="S23" s="5" t="s">
        <v>2028</v>
      </c>
      <c r="T23" s="1">
        <f>COUNTIF(Tabla_control[LOTE],Tabla_imprenta[[#This Row],[LOTE]])</f>
        <v>1</v>
      </c>
      <c r="U23" s="1">
        <f>INDEX(Tabla_stock[En stock],MATCH(Tabla_imprenta[[#This Row],[CODIGO IFA]],Tabla_stock[Número de artículo],0))</f>
        <v>265</v>
      </c>
    </row>
    <row r="24" spans="1:21" x14ac:dyDescent="0.25">
      <c r="A24" s="2">
        <v>46083</v>
      </c>
      <c r="B24" s="1"/>
      <c r="C24" s="154" t="s">
        <v>2532</v>
      </c>
      <c r="D24" s="154" t="s">
        <v>106</v>
      </c>
      <c r="E24" s="154" t="s">
        <v>102</v>
      </c>
      <c r="F24" s="154" t="s">
        <v>2533</v>
      </c>
      <c r="G24" s="2">
        <v>47543</v>
      </c>
      <c r="H24" s="112">
        <v>5000</v>
      </c>
      <c r="I24" s="112" t="s">
        <v>3346</v>
      </c>
      <c r="J24" s="112" t="s">
        <v>2803</v>
      </c>
      <c r="K24" s="112" t="s">
        <v>251</v>
      </c>
      <c r="L24" s="112">
        <v>4</v>
      </c>
      <c r="M24" s="112">
        <v>6</v>
      </c>
      <c r="N24" s="112" t="s">
        <v>2534</v>
      </c>
      <c r="O24" s="1">
        <v>5000</v>
      </c>
      <c r="P24" s="3">
        <v>2.0446625275385539</v>
      </c>
      <c r="Q24" s="5" t="s">
        <v>5318</v>
      </c>
      <c r="R24" s="112" t="s">
        <v>25</v>
      </c>
      <c r="S24" s="5" t="s">
        <v>2958</v>
      </c>
      <c r="T24" s="1">
        <f>COUNTIF(Tabla_control[LOTE],Tabla_imprenta[[#This Row],[LOTE]])</f>
        <v>1</v>
      </c>
      <c r="U24" s="1">
        <f>INDEX(Tabla_stock[En stock],MATCH(Tabla_imprenta[[#This Row],[CODIGO IFA]],Tabla_stock[Número de artículo],0))</f>
        <v>1927</v>
      </c>
    </row>
    <row r="25" spans="1:21" x14ac:dyDescent="0.25">
      <c r="A25" s="2">
        <v>46083</v>
      </c>
      <c r="B25" s="1"/>
      <c r="C25" s="154" t="s">
        <v>2929</v>
      </c>
      <c r="D25" s="154" t="s">
        <v>15</v>
      </c>
      <c r="E25" s="154" t="s">
        <v>8</v>
      </c>
      <c r="F25" s="154" t="s">
        <v>2543</v>
      </c>
      <c r="G25" s="2">
        <v>46813</v>
      </c>
      <c r="H25" s="112">
        <v>23529</v>
      </c>
      <c r="I25" s="112" t="s">
        <v>3351</v>
      </c>
      <c r="J25" s="112" t="s">
        <v>1130</v>
      </c>
      <c r="K25" s="112" t="s">
        <v>241</v>
      </c>
      <c r="L25" s="112">
        <v>2</v>
      </c>
      <c r="M25" s="112">
        <v>8</v>
      </c>
      <c r="N25" s="112" t="s">
        <v>2930</v>
      </c>
      <c r="O25" s="1">
        <v>23529</v>
      </c>
      <c r="P25" s="3">
        <v>2.585228210150476</v>
      </c>
      <c r="Q25" s="5">
        <v>46148</v>
      </c>
      <c r="R25" s="112" t="s">
        <v>2028</v>
      </c>
      <c r="S25" s="5" t="s">
        <v>2028</v>
      </c>
      <c r="T25" s="1">
        <f>COUNTIF(Tabla_control[LOTE],Tabla_imprenta[[#This Row],[LOTE]])</f>
        <v>1</v>
      </c>
      <c r="U25" s="1">
        <f>INDEX(Tabla_stock[En stock],MATCH(Tabla_imprenta[[#This Row],[CODIGO IFA]],Tabla_stock[Número de artículo],0))</f>
        <v>4496</v>
      </c>
    </row>
    <row r="26" spans="1:21" x14ac:dyDescent="0.25">
      <c r="A26" s="2">
        <v>46083</v>
      </c>
      <c r="B26" s="1"/>
      <c r="C26" s="154" t="s">
        <v>2518</v>
      </c>
      <c r="D26" s="154" t="s">
        <v>9</v>
      </c>
      <c r="E26" s="154" t="s">
        <v>8</v>
      </c>
      <c r="F26" s="154" t="s">
        <v>2551</v>
      </c>
      <c r="G26" s="2">
        <v>46813</v>
      </c>
      <c r="H26" s="112">
        <v>90000</v>
      </c>
      <c r="I26" s="112" t="s">
        <v>3337</v>
      </c>
      <c r="J26" s="112" t="s">
        <v>1075</v>
      </c>
      <c r="K26" s="112" t="s">
        <v>2206</v>
      </c>
      <c r="L26" s="112">
        <v>1</v>
      </c>
      <c r="M26" s="112">
        <v>103</v>
      </c>
      <c r="N26" s="112" t="s">
        <v>2520</v>
      </c>
      <c r="O26" s="1">
        <v>450</v>
      </c>
      <c r="P26" s="3">
        <v>1.0514581983149709</v>
      </c>
      <c r="Q26" s="5">
        <v>46146</v>
      </c>
      <c r="R26" s="112" t="s">
        <v>25</v>
      </c>
      <c r="S26" s="5" t="s">
        <v>2028</v>
      </c>
      <c r="T26" s="1">
        <f>COUNTIF(Tabla_control[LOTE],Tabla_imprenta[[#This Row],[LOTE]])</f>
        <v>1</v>
      </c>
      <c r="U26" s="1">
        <f>INDEX(Tabla_stock[En stock],MATCH(Tabla_imprenta[[#This Row],[CODIGO IFA]],Tabla_stock[Número de artículo],0))</f>
        <v>2746</v>
      </c>
    </row>
    <row r="27" spans="1:21" x14ac:dyDescent="0.25">
      <c r="A27" s="2">
        <v>46083</v>
      </c>
      <c r="B27" s="1"/>
      <c r="C27" s="154" t="s">
        <v>2528</v>
      </c>
      <c r="D27" s="154" t="s">
        <v>13</v>
      </c>
      <c r="E27" s="154" t="s">
        <v>8</v>
      </c>
      <c r="F27" s="154" t="s">
        <v>2552</v>
      </c>
      <c r="G27" s="2">
        <v>47543</v>
      </c>
      <c r="H27" s="112">
        <v>56250</v>
      </c>
      <c r="I27" s="112" t="s">
        <v>3343</v>
      </c>
      <c r="J27" s="112" t="s">
        <v>3344</v>
      </c>
      <c r="K27" s="112" t="s">
        <v>241</v>
      </c>
      <c r="L27" s="112">
        <v>6</v>
      </c>
      <c r="M27" s="112">
        <v>24</v>
      </c>
      <c r="N27" s="112" t="s">
        <v>2530</v>
      </c>
      <c r="O27" s="1">
        <v>56250</v>
      </c>
      <c r="P27" s="3">
        <v>2.238493563449286</v>
      </c>
      <c r="Q27" s="5">
        <v>46149</v>
      </c>
      <c r="R27" s="112" t="s">
        <v>2028</v>
      </c>
      <c r="S27" s="5" t="s">
        <v>2028</v>
      </c>
      <c r="T27" s="1">
        <f>COUNTIF(Tabla_control[LOTE],Tabla_imprenta[[#This Row],[LOTE]])</f>
        <v>1</v>
      </c>
      <c r="U27" s="1" t="e">
        <f>INDEX(Tabla_stock[En stock],MATCH(Tabla_imprenta[[#This Row],[CODIGO IFA]],Tabla_stock[Número de artículo],0))</f>
        <v>#N/A</v>
      </c>
    </row>
    <row r="28" spans="1:21" x14ac:dyDescent="0.25">
      <c r="A28" s="2">
        <v>46083</v>
      </c>
      <c r="B28" s="1"/>
      <c r="C28" s="154" t="s">
        <v>2518</v>
      </c>
      <c r="D28" s="154" t="s">
        <v>9</v>
      </c>
      <c r="E28" s="154" t="s">
        <v>8</v>
      </c>
      <c r="F28" s="154" t="s">
        <v>2559</v>
      </c>
      <c r="G28" s="2">
        <v>46813</v>
      </c>
      <c r="H28" s="112">
        <v>90000</v>
      </c>
      <c r="I28" s="112" t="s">
        <v>3337</v>
      </c>
      <c r="J28" s="112" t="s">
        <v>1075</v>
      </c>
      <c r="K28" s="112" t="s">
        <v>2206</v>
      </c>
      <c r="L28" s="112">
        <v>1</v>
      </c>
      <c r="M28" s="112">
        <v>103</v>
      </c>
      <c r="N28" s="112" t="s">
        <v>2520</v>
      </c>
      <c r="O28" s="1">
        <v>450</v>
      </c>
      <c r="P28" s="3">
        <v>1.0514581983149709</v>
      </c>
      <c r="Q28" s="5">
        <v>46146</v>
      </c>
      <c r="R28" s="112" t="s">
        <v>25</v>
      </c>
      <c r="S28" s="5" t="s">
        <v>2028</v>
      </c>
      <c r="T28" s="1">
        <f>COUNTIF(Tabla_control[LOTE],Tabla_imprenta[[#This Row],[LOTE]])</f>
        <v>1</v>
      </c>
      <c r="U28" s="1">
        <f>INDEX(Tabla_stock[En stock],MATCH(Tabla_imprenta[[#This Row],[CODIGO IFA]],Tabla_stock[Número de artículo],0))</f>
        <v>2746</v>
      </c>
    </row>
    <row r="29" spans="1:21" x14ac:dyDescent="0.25">
      <c r="A29" s="2">
        <v>46083</v>
      </c>
      <c r="B29" s="1"/>
      <c r="C29" s="154" t="s">
        <v>2959</v>
      </c>
      <c r="D29" s="154" t="s">
        <v>11</v>
      </c>
      <c r="E29" s="154" t="s">
        <v>8</v>
      </c>
      <c r="F29" s="154" t="s">
        <v>2564</v>
      </c>
      <c r="G29" s="2">
        <v>47543</v>
      </c>
      <c r="H29" s="112">
        <v>450000</v>
      </c>
      <c r="I29" s="112" t="s">
        <v>3358</v>
      </c>
      <c r="J29" s="112" t="s">
        <v>1260</v>
      </c>
      <c r="K29" s="112" t="s">
        <v>241</v>
      </c>
      <c r="L29" s="112">
        <v>2</v>
      </c>
      <c r="M29" s="112">
        <v>30</v>
      </c>
      <c r="N29" s="112" t="s">
        <v>2960</v>
      </c>
      <c r="O29" s="1">
        <v>4500</v>
      </c>
      <c r="P29" s="3">
        <v>1.4473638566094806</v>
      </c>
      <c r="Q29" s="5">
        <v>46156</v>
      </c>
      <c r="R29" s="112" t="s">
        <v>25</v>
      </c>
      <c r="S29" s="5" t="s">
        <v>2028</v>
      </c>
      <c r="T29" s="1">
        <f>COUNTIF(Tabla_control[LOTE],Tabla_imprenta[[#This Row],[LOTE]])</f>
        <v>1</v>
      </c>
      <c r="U29" s="1">
        <f>INDEX(Tabla_stock[En stock],MATCH(Tabla_imprenta[[#This Row],[CODIGO IFA]],Tabla_stock[Número de artículo],0))</f>
        <v>219</v>
      </c>
    </row>
    <row r="30" spans="1:21" x14ac:dyDescent="0.25">
      <c r="A30" s="2">
        <v>46083</v>
      </c>
      <c r="B30" s="1"/>
      <c r="C30" s="154" t="s">
        <v>2959</v>
      </c>
      <c r="D30" s="154" t="s">
        <v>11</v>
      </c>
      <c r="E30" s="154" t="s">
        <v>8</v>
      </c>
      <c r="F30" s="154" t="s">
        <v>2567</v>
      </c>
      <c r="G30" s="2">
        <v>47543</v>
      </c>
      <c r="H30" s="112">
        <v>300000</v>
      </c>
      <c r="I30" s="112" t="s">
        <v>3358</v>
      </c>
      <c r="J30" s="112" t="s">
        <v>1260</v>
      </c>
      <c r="K30" s="112" t="s">
        <v>241</v>
      </c>
      <c r="L30" s="112">
        <v>2</v>
      </c>
      <c r="M30" s="112">
        <v>30</v>
      </c>
      <c r="N30" s="112" t="s">
        <v>2960</v>
      </c>
      <c r="O30" s="1">
        <v>3000</v>
      </c>
      <c r="P30" s="3">
        <v>1.4473638566094806</v>
      </c>
      <c r="Q30" s="5">
        <v>46155</v>
      </c>
      <c r="R30" s="112" t="s">
        <v>25</v>
      </c>
      <c r="S30" s="5" t="s">
        <v>2028</v>
      </c>
      <c r="T30" s="1">
        <f>COUNTIF(Tabla_control[LOTE],Tabla_imprenta[[#This Row],[LOTE]])</f>
        <v>1</v>
      </c>
      <c r="U30" s="1">
        <f>INDEX(Tabla_stock[En stock],MATCH(Tabla_imprenta[[#This Row],[CODIGO IFA]],Tabla_stock[Número de artículo],0))</f>
        <v>219</v>
      </c>
    </row>
    <row r="31" spans="1:21" x14ac:dyDescent="0.25">
      <c r="A31" s="2">
        <v>46083</v>
      </c>
      <c r="B31" s="1"/>
      <c r="C31" s="154" t="s">
        <v>2931</v>
      </c>
      <c r="D31" s="154" t="s">
        <v>12</v>
      </c>
      <c r="E31" s="154" t="s">
        <v>8</v>
      </c>
      <c r="F31" s="154" t="s">
        <v>2569</v>
      </c>
      <c r="G31" s="2">
        <v>46813</v>
      </c>
      <c r="H31" s="112">
        <v>70000</v>
      </c>
      <c r="I31" s="112" t="s">
        <v>3360</v>
      </c>
      <c r="J31" s="112" t="s">
        <v>3361</v>
      </c>
      <c r="K31" s="112" t="s">
        <v>263</v>
      </c>
      <c r="L31" s="112">
        <v>3</v>
      </c>
      <c r="M31" s="112">
        <v>97</v>
      </c>
      <c r="N31" s="112" t="s">
        <v>2932</v>
      </c>
      <c r="O31" s="1">
        <v>7000</v>
      </c>
      <c r="P31" s="3">
        <v>0.27627270020839534</v>
      </c>
      <c r="Q31" s="5" t="s">
        <v>2032</v>
      </c>
      <c r="R31" s="112" t="s">
        <v>25</v>
      </c>
      <c r="S31" s="5" t="s">
        <v>2028</v>
      </c>
      <c r="T31" s="1">
        <f>COUNTIF(Tabla_control[LOTE],Tabla_imprenta[[#This Row],[LOTE]])</f>
        <v>1</v>
      </c>
      <c r="U31" s="1" t="e">
        <f>INDEX(Tabla_stock[En stock],MATCH(Tabla_imprenta[[#This Row],[CODIGO IFA]],Tabla_stock[Número de artículo],0))</f>
        <v>#N/A</v>
      </c>
    </row>
    <row r="32" spans="1:21" x14ac:dyDescent="0.25">
      <c r="A32" s="2">
        <v>46083</v>
      </c>
      <c r="B32" s="1"/>
      <c r="C32" s="154" t="s">
        <v>2933</v>
      </c>
      <c r="D32" s="154" t="s">
        <v>181</v>
      </c>
      <c r="E32" s="154" t="s">
        <v>8</v>
      </c>
      <c r="F32" s="154" t="s">
        <v>2570</v>
      </c>
      <c r="G32" s="2">
        <v>46813</v>
      </c>
      <c r="H32" s="112">
        <v>19802</v>
      </c>
      <c r="I32" s="112" t="s">
        <v>3362</v>
      </c>
      <c r="J32" s="112" t="s">
        <v>869</v>
      </c>
      <c r="K32" s="112" t="s">
        <v>241</v>
      </c>
      <c r="L32" s="112">
        <v>2</v>
      </c>
      <c r="M32" s="112">
        <v>8</v>
      </c>
      <c r="N32" s="112" t="s">
        <v>2934</v>
      </c>
      <c r="O32" s="1">
        <v>19802</v>
      </c>
      <c r="P32" s="3">
        <v>0.22619081965321255</v>
      </c>
      <c r="Q32" s="5" t="s">
        <v>2028</v>
      </c>
      <c r="R32" s="112" t="s">
        <v>2028</v>
      </c>
      <c r="S32" s="5" t="s">
        <v>2028</v>
      </c>
      <c r="T32" s="1">
        <f>COUNTIF(Tabla_control[LOTE],Tabla_imprenta[[#This Row],[LOTE]])</f>
        <v>1</v>
      </c>
      <c r="U32" s="1">
        <f>INDEX(Tabla_stock[En stock],MATCH(Tabla_imprenta[[#This Row],[CODIGO IFA]],Tabla_stock[Número de artículo],0))</f>
        <v>1623</v>
      </c>
    </row>
    <row r="33" spans="1:21" x14ac:dyDescent="0.25">
      <c r="A33" s="2">
        <v>46083</v>
      </c>
      <c r="B33" s="1"/>
      <c r="C33" s="154" t="s">
        <v>2961</v>
      </c>
      <c r="D33" s="154" t="s">
        <v>11</v>
      </c>
      <c r="E33" s="154" t="s">
        <v>8</v>
      </c>
      <c r="F33" s="154" t="s">
        <v>2573</v>
      </c>
      <c r="G33" s="2">
        <v>46813</v>
      </c>
      <c r="H33" s="112">
        <v>500000</v>
      </c>
      <c r="I33" s="112" t="s">
        <v>3364</v>
      </c>
      <c r="J33" s="112" t="s">
        <v>887</v>
      </c>
      <c r="K33" s="112" t="s">
        <v>241</v>
      </c>
      <c r="L33" s="112">
        <v>4</v>
      </c>
      <c r="M33" s="112">
        <v>92</v>
      </c>
      <c r="N33" s="112" t="s">
        <v>2962</v>
      </c>
      <c r="O33" s="1">
        <v>5000</v>
      </c>
      <c r="P33" s="3">
        <v>1.3403049383043248</v>
      </c>
      <c r="Q33" s="5" t="s">
        <v>2032</v>
      </c>
      <c r="R33" s="112" t="s">
        <v>25</v>
      </c>
      <c r="S33" s="5" t="s">
        <v>2028</v>
      </c>
      <c r="T33" s="1">
        <f>COUNTIF(Tabla_control[LOTE],Tabla_imprenta[[#This Row],[LOTE]])</f>
        <v>1</v>
      </c>
      <c r="U33" s="1">
        <f>INDEX(Tabla_stock[En stock],MATCH(Tabla_imprenta[[#This Row],[CODIGO IFA]],Tabla_stock[Número de artículo],0))</f>
        <v>115</v>
      </c>
    </row>
    <row r="34" spans="1:21" x14ac:dyDescent="0.25">
      <c r="A34" s="2">
        <v>46091</v>
      </c>
      <c r="B34" s="1"/>
      <c r="C34" s="154" t="s">
        <v>2937</v>
      </c>
      <c r="D34" s="154" t="s">
        <v>2111</v>
      </c>
      <c r="E34" s="154" t="s">
        <v>8</v>
      </c>
      <c r="F34" s="154" t="s">
        <v>2938</v>
      </c>
      <c r="G34" s="2">
        <v>47543</v>
      </c>
      <c r="H34" s="112">
        <v>90000</v>
      </c>
      <c r="I34" s="112" t="s">
        <v>3366</v>
      </c>
      <c r="J34" s="112" t="s">
        <v>1236</v>
      </c>
      <c r="K34" s="112" t="s">
        <v>241</v>
      </c>
      <c r="L34" s="112">
        <v>2</v>
      </c>
      <c r="M34" s="112">
        <v>21</v>
      </c>
      <c r="N34" s="112" t="s">
        <v>2939</v>
      </c>
      <c r="O34" s="1">
        <v>3600</v>
      </c>
      <c r="P34" s="3">
        <v>1.8397192964762128</v>
      </c>
      <c r="Q34" s="5" t="s">
        <v>2028</v>
      </c>
      <c r="R34" s="112" t="s">
        <v>25</v>
      </c>
      <c r="S34" s="5" t="s">
        <v>2028</v>
      </c>
      <c r="T34" s="1">
        <f>COUNTIF(Tabla_control[LOTE],Tabla_imprenta[[#This Row],[LOTE]])</f>
        <v>1</v>
      </c>
      <c r="U34" s="1">
        <f>INDEX(Tabla_stock[En stock],MATCH(Tabla_imprenta[[#This Row],[CODIGO IFA]],Tabla_stock[Número de artículo],0))</f>
        <v>9816</v>
      </c>
    </row>
    <row r="35" spans="1:21" x14ac:dyDescent="0.25">
      <c r="A35" s="2">
        <v>46091</v>
      </c>
      <c r="B35" s="1"/>
      <c r="C35" s="154" t="s">
        <v>2937</v>
      </c>
      <c r="D35" s="154" t="s">
        <v>2111</v>
      </c>
      <c r="E35" s="154" t="s">
        <v>8</v>
      </c>
      <c r="F35" s="154" t="s">
        <v>2940</v>
      </c>
      <c r="G35" s="2">
        <v>47543</v>
      </c>
      <c r="H35" s="112">
        <v>90000</v>
      </c>
      <c r="I35" s="112" t="s">
        <v>3366</v>
      </c>
      <c r="J35" s="112" t="s">
        <v>1236</v>
      </c>
      <c r="K35" s="112" t="s">
        <v>241</v>
      </c>
      <c r="L35" s="112">
        <v>2</v>
      </c>
      <c r="M35" s="112">
        <v>21</v>
      </c>
      <c r="N35" s="112" t="s">
        <v>2939</v>
      </c>
      <c r="O35" s="1">
        <v>3600</v>
      </c>
      <c r="P35" s="3">
        <v>1.8397192964762128</v>
      </c>
      <c r="Q35" s="5" t="s">
        <v>2028</v>
      </c>
      <c r="R35" s="112" t="s">
        <v>25</v>
      </c>
      <c r="S35" s="5" t="s">
        <v>2028</v>
      </c>
      <c r="T35" s="1">
        <f>COUNTIF(Tabla_control[LOTE],Tabla_imprenta[[#This Row],[LOTE]])</f>
        <v>1</v>
      </c>
      <c r="U35" s="1">
        <f>INDEX(Tabla_stock[En stock],MATCH(Tabla_imprenta[[#This Row],[CODIGO IFA]],Tabla_stock[Número de artículo],0))</f>
        <v>9816</v>
      </c>
    </row>
    <row r="36" spans="1:21" x14ac:dyDescent="0.25">
      <c r="A36" s="2">
        <v>46091</v>
      </c>
      <c r="B36" s="1"/>
      <c r="C36" s="154" t="s">
        <v>2941</v>
      </c>
      <c r="D36" s="154" t="s">
        <v>2111</v>
      </c>
      <c r="E36" s="154" t="s">
        <v>8</v>
      </c>
      <c r="F36" s="154" t="s">
        <v>2942</v>
      </c>
      <c r="G36" s="2">
        <v>47543</v>
      </c>
      <c r="H36" s="112">
        <v>9200</v>
      </c>
      <c r="I36" s="112" t="s">
        <v>3367</v>
      </c>
      <c r="J36" s="112" t="s">
        <v>1718</v>
      </c>
      <c r="K36" s="112" t="s">
        <v>241</v>
      </c>
      <c r="L36" s="112">
        <v>6</v>
      </c>
      <c r="M36" s="112">
        <v>22</v>
      </c>
      <c r="N36" s="112" t="s">
        <v>2943</v>
      </c>
      <c r="O36" s="1">
        <v>9200</v>
      </c>
      <c r="P36" s="3">
        <v>1.002996974139363</v>
      </c>
      <c r="Q36" s="5">
        <v>46150</v>
      </c>
      <c r="R36" s="112" t="s">
        <v>25</v>
      </c>
      <c r="S36" s="5" t="s">
        <v>2028</v>
      </c>
      <c r="T36" s="1">
        <f>COUNTIF(Tabla_control[LOTE],Tabla_imprenta[[#This Row],[LOTE]])</f>
        <v>1</v>
      </c>
      <c r="U36" s="1">
        <f>INDEX(Tabla_stock[En stock],MATCH(Tabla_imprenta[[#This Row],[CODIGO IFA]],Tabla_stock[Número de artículo],0))</f>
        <v>3260</v>
      </c>
    </row>
    <row r="37" spans="1:21" x14ac:dyDescent="0.25">
      <c r="A37" s="2">
        <v>46091</v>
      </c>
      <c r="B37" s="1"/>
      <c r="C37" s="154" t="s">
        <v>2937</v>
      </c>
      <c r="D37" s="154" t="s">
        <v>2111</v>
      </c>
      <c r="E37" s="154" t="s">
        <v>8</v>
      </c>
      <c r="F37" s="154" t="s">
        <v>2944</v>
      </c>
      <c r="G37" s="2">
        <v>47543</v>
      </c>
      <c r="H37" s="112">
        <v>90000</v>
      </c>
      <c r="I37" s="112" t="s">
        <v>3366</v>
      </c>
      <c r="J37" s="112" t="s">
        <v>1236</v>
      </c>
      <c r="K37" s="112" t="s">
        <v>241</v>
      </c>
      <c r="L37" s="112">
        <v>2</v>
      </c>
      <c r="M37" s="112">
        <v>21</v>
      </c>
      <c r="N37" s="112" t="s">
        <v>2939</v>
      </c>
      <c r="O37" s="1">
        <v>3600</v>
      </c>
      <c r="P37" s="3">
        <v>1.8397192964762128</v>
      </c>
      <c r="Q37" s="5" t="s">
        <v>2028</v>
      </c>
      <c r="R37" s="112" t="s">
        <v>25</v>
      </c>
      <c r="S37" s="5" t="s">
        <v>2028</v>
      </c>
      <c r="T37" s="1">
        <f>COUNTIF(Tabla_control[LOTE],Tabla_imprenta[[#This Row],[LOTE]])</f>
        <v>1</v>
      </c>
      <c r="U37" s="1">
        <f>INDEX(Tabla_stock[En stock],MATCH(Tabla_imprenta[[#This Row],[CODIGO IFA]],Tabla_stock[Número de artículo],0))</f>
        <v>9816</v>
      </c>
    </row>
    <row r="38" spans="1:21" x14ac:dyDescent="0.25">
      <c r="A38" s="2">
        <v>46091</v>
      </c>
      <c r="B38" s="1"/>
      <c r="C38" s="154" t="s">
        <v>2937</v>
      </c>
      <c r="D38" s="154" t="s">
        <v>2111</v>
      </c>
      <c r="E38" s="154" t="s">
        <v>8</v>
      </c>
      <c r="F38" s="154" t="s">
        <v>2945</v>
      </c>
      <c r="G38" s="2">
        <v>47543</v>
      </c>
      <c r="H38" s="112">
        <v>90000</v>
      </c>
      <c r="I38" s="112" t="s">
        <v>3366</v>
      </c>
      <c r="J38" s="112" t="s">
        <v>1236</v>
      </c>
      <c r="K38" s="112" t="s">
        <v>241</v>
      </c>
      <c r="L38" s="112">
        <v>2</v>
      </c>
      <c r="M38" s="112">
        <v>21</v>
      </c>
      <c r="N38" s="112" t="s">
        <v>2939</v>
      </c>
      <c r="O38" s="1">
        <v>3600</v>
      </c>
      <c r="P38" s="3">
        <v>1.8397192964762128</v>
      </c>
      <c r="Q38" s="5" t="s">
        <v>2028</v>
      </c>
      <c r="R38" s="112" t="s">
        <v>25</v>
      </c>
      <c r="S38" s="5" t="s">
        <v>2028</v>
      </c>
      <c r="T38" s="1">
        <f>COUNTIF(Tabla_control[LOTE],Tabla_imprenta[[#This Row],[LOTE]])</f>
        <v>1</v>
      </c>
      <c r="U38" s="1">
        <f>INDEX(Tabla_stock[En stock],MATCH(Tabla_imprenta[[#This Row],[CODIGO IFA]],Tabla_stock[Número de artículo],0))</f>
        <v>9816</v>
      </c>
    </row>
    <row r="39" spans="1:21" x14ac:dyDescent="0.25">
      <c r="A39" s="2">
        <v>46091</v>
      </c>
      <c r="B39" s="1"/>
      <c r="C39" s="154" t="s">
        <v>2941</v>
      </c>
      <c r="D39" s="154" t="s">
        <v>2111</v>
      </c>
      <c r="E39" s="154" t="s">
        <v>8</v>
      </c>
      <c r="F39" s="154" t="s">
        <v>2947</v>
      </c>
      <c r="G39" s="2">
        <v>47543</v>
      </c>
      <c r="H39" s="112">
        <v>9200</v>
      </c>
      <c r="I39" s="112" t="s">
        <v>3367</v>
      </c>
      <c r="J39" s="112" t="s">
        <v>1718</v>
      </c>
      <c r="K39" s="112" t="s">
        <v>241</v>
      </c>
      <c r="L39" s="112">
        <v>6</v>
      </c>
      <c r="M39" s="112">
        <v>22</v>
      </c>
      <c r="N39" s="112" t="s">
        <v>2943</v>
      </c>
      <c r="O39" s="1">
        <v>9200</v>
      </c>
      <c r="P39" s="3">
        <v>1.002996974139363</v>
      </c>
      <c r="Q39" s="5">
        <v>46150</v>
      </c>
      <c r="R39" s="112" t="s">
        <v>25</v>
      </c>
      <c r="S39" s="5" t="s">
        <v>2028</v>
      </c>
      <c r="T39" s="1">
        <f>COUNTIF(Tabla_control[LOTE],Tabla_imprenta[[#This Row],[LOTE]])</f>
        <v>1</v>
      </c>
      <c r="U39" s="1">
        <f>INDEX(Tabla_stock[En stock],MATCH(Tabla_imprenta[[#This Row],[CODIGO IFA]],Tabla_stock[Número de artículo],0))</f>
        <v>3260</v>
      </c>
    </row>
    <row r="40" spans="1:21" x14ac:dyDescent="0.25">
      <c r="A40" s="2">
        <v>46091</v>
      </c>
      <c r="B40" s="1"/>
      <c r="C40" s="154" t="s">
        <v>2941</v>
      </c>
      <c r="D40" s="154" t="s">
        <v>2111</v>
      </c>
      <c r="E40" s="154" t="s">
        <v>8</v>
      </c>
      <c r="F40" s="154" t="s">
        <v>2950</v>
      </c>
      <c r="G40" s="2">
        <v>47543</v>
      </c>
      <c r="H40" s="112">
        <v>9200</v>
      </c>
      <c r="I40" s="112" t="s">
        <v>3367</v>
      </c>
      <c r="J40" s="112" t="s">
        <v>1718</v>
      </c>
      <c r="K40" s="112" t="s">
        <v>241</v>
      </c>
      <c r="L40" s="112">
        <v>6</v>
      </c>
      <c r="M40" s="112">
        <v>22</v>
      </c>
      <c r="N40" s="112" t="s">
        <v>2943</v>
      </c>
      <c r="O40" s="1">
        <v>9200</v>
      </c>
      <c r="P40" s="3">
        <v>1.002996974139363</v>
      </c>
      <c r="Q40" s="5">
        <v>46168</v>
      </c>
      <c r="R40" s="112" t="s">
        <v>25</v>
      </c>
      <c r="S40" s="5" t="s">
        <v>2028</v>
      </c>
      <c r="T40" s="1">
        <f>COUNTIF(Tabla_control[LOTE],Tabla_imprenta[[#This Row],[LOTE]])</f>
        <v>1</v>
      </c>
      <c r="U40" s="1">
        <f>INDEX(Tabla_stock[En stock],MATCH(Tabla_imprenta[[#This Row],[CODIGO IFA]],Tabla_stock[Número de artículo],0))</f>
        <v>3260</v>
      </c>
    </row>
    <row r="41" spans="1:21" x14ac:dyDescent="0.25">
      <c r="A41" s="2">
        <v>46091</v>
      </c>
      <c r="B41" s="1"/>
      <c r="C41" s="154" t="s">
        <v>2941</v>
      </c>
      <c r="D41" s="154" t="s">
        <v>2111</v>
      </c>
      <c r="E41" s="154" t="s">
        <v>8</v>
      </c>
      <c r="F41" s="154" t="s">
        <v>2951</v>
      </c>
      <c r="G41" s="2">
        <v>47543</v>
      </c>
      <c r="H41" s="112">
        <v>9200</v>
      </c>
      <c r="I41" s="112" t="s">
        <v>3367</v>
      </c>
      <c r="J41" s="112" t="s">
        <v>1718</v>
      </c>
      <c r="K41" s="112" t="s">
        <v>241</v>
      </c>
      <c r="L41" s="112">
        <v>6</v>
      </c>
      <c r="M41" s="112">
        <v>22</v>
      </c>
      <c r="N41" s="112" t="s">
        <v>2943</v>
      </c>
      <c r="O41" s="1">
        <v>9200</v>
      </c>
      <c r="P41" s="3">
        <v>1.002996974139363</v>
      </c>
      <c r="Q41" s="5">
        <v>46154</v>
      </c>
      <c r="R41" s="112" t="s">
        <v>25</v>
      </c>
      <c r="S41" s="5" t="s">
        <v>2028</v>
      </c>
      <c r="T41" s="1">
        <f>COUNTIF(Tabla_control[LOTE],Tabla_imprenta[[#This Row],[LOTE]])</f>
        <v>1</v>
      </c>
      <c r="U41" s="1">
        <f>INDEX(Tabla_stock[En stock],MATCH(Tabla_imprenta[[#This Row],[CODIGO IFA]],Tabla_stock[Número de artículo],0))</f>
        <v>3260</v>
      </c>
    </row>
    <row r="42" spans="1:21" x14ac:dyDescent="0.25">
      <c r="A42" s="2">
        <v>46091</v>
      </c>
      <c r="B42" s="1"/>
      <c r="C42" s="154" t="s">
        <v>2941</v>
      </c>
      <c r="D42" s="154" t="s">
        <v>2111</v>
      </c>
      <c r="E42" s="154" t="s">
        <v>8</v>
      </c>
      <c r="F42" s="154" t="s">
        <v>2952</v>
      </c>
      <c r="G42" s="2">
        <v>47543</v>
      </c>
      <c r="H42" s="112">
        <v>9200</v>
      </c>
      <c r="I42" s="112" t="s">
        <v>3367</v>
      </c>
      <c r="J42" s="112" t="s">
        <v>1718</v>
      </c>
      <c r="K42" s="112" t="s">
        <v>241</v>
      </c>
      <c r="L42" s="112">
        <v>6</v>
      </c>
      <c r="M42" s="112">
        <v>22</v>
      </c>
      <c r="N42" s="112" t="s">
        <v>2943</v>
      </c>
      <c r="O42" s="1">
        <v>9200</v>
      </c>
      <c r="P42" s="3">
        <v>1.002996974139363</v>
      </c>
      <c r="Q42" s="5">
        <v>46175</v>
      </c>
      <c r="R42" s="112" t="s">
        <v>25</v>
      </c>
      <c r="S42" s="5" t="s">
        <v>2028</v>
      </c>
      <c r="T42" s="1">
        <f>COUNTIF(Tabla_control[LOTE],Tabla_imprenta[[#This Row],[LOTE]])</f>
        <v>1</v>
      </c>
      <c r="U42" s="1">
        <f>INDEX(Tabla_stock[En stock],MATCH(Tabla_imprenta[[#This Row],[CODIGO IFA]],Tabla_stock[Número de artículo],0))</f>
        <v>3260</v>
      </c>
    </row>
    <row r="43" spans="1:21" x14ac:dyDescent="0.25">
      <c r="A43" s="2">
        <v>46091</v>
      </c>
      <c r="B43" s="1"/>
      <c r="C43" s="154" t="s">
        <v>2941</v>
      </c>
      <c r="D43" s="154" t="s">
        <v>2111</v>
      </c>
      <c r="E43" s="154" t="s">
        <v>8</v>
      </c>
      <c r="F43" s="154" t="s">
        <v>2953</v>
      </c>
      <c r="G43" s="2">
        <v>47543</v>
      </c>
      <c r="H43" s="112">
        <v>9200</v>
      </c>
      <c r="I43" s="112" t="s">
        <v>3367</v>
      </c>
      <c r="J43" s="112" t="s">
        <v>1718</v>
      </c>
      <c r="K43" s="112" t="s">
        <v>241</v>
      </c>
      <c r="L43" s="112">
        <v>6</v>
      </c>
      <c r="M43" s="112">
        <v>22</v>
      </c>
      <c r="N43" s="112" t="s">
        <v>2943</v>
      </c>
      <c r="O43" s="1">
        <v>9200</v>
      </c>
      <c r="P43" s="3">
        <v>1.002996974139363</v>
      </c>
      <c r="Q43" s="5">
        <v>46168</v>
      </c>
      <c r="R43" s="112" t="s">
        <v>25</v>
      </c>
      <c r="S43" s="5" t="s">
        <v>2028</v>
      </c>
      <c r="T43" s="1">
        <f>COUNTIF(Tabla_control[LOTE],Tabla_imprenta[[#This Row],[LOTE]])</f>
        <v>1</v>
      </c>
      <c r="U43" s="1">
        <f>INDEX(Tabla_stock[En stock],MATCH(Tabla_imprenta[[#This Row],[CODIGO IFA]],Tabla_stock[Número de artículo],0))</f>
        <v>3260</v>
      </c>
    </row>
    <row r="44" spans="1:21" x14ac:dyDescent="0.25">
      <c r="A44" s="2">
        <v>46091</v>
      </c>
      <c r="B44" s="1"/>
      <c r="C44" s="154" t="s">
        <v>2941</v>
      </c>
      <c r="D44" s="154" t="s">
        <v>2111</v>
      </c>
      <c r="E44" s="154" t="s">
        <v>8</v>
      </c>
      <c r="F44" s="154" t="s">
        <v>2954</v>
      </c>
      <c r="G44" s="2">
        <v>47543</v>
      </c>
      <c r="H44" s="112">
        <v>9200</v>
      </c>
      <c r="I44" s="112" t="s">
        <v>3367</v>
      </c>
      <c r="J44" s="112" t="s">
        <v>1718</v>
      </c>
      <c r="K44" s="112" t="s">
        <v>241</v>
      </c>
      <c r="L44" s="112">
        <v>6</v>
      </c>
      <c r="M44" s="112">
        <v>22</v>
      </c>
      <c r="N44" s="112" t="s">
        <v>2943</v>
      </c>
      <c r="O44" s="1">
        <v>9200</v>
      </c>
      <c r="P44" s="3">
        <v>1.002996974139363</v>
      </c>
      <c r="Q44" s="5">
        <v>46154</v>
      </c>
      <c r="R44" s="112" t="s">
        <v>25</v>
      </c>
      <c r="S44" s="5" t="s">
        <v>2028</v>
      </c>
      <c r="T44" s="1">
        <f>COUNTIF(Tabla_control[LOTE],Tabla_imprenta[[#This Row],[LOTE]])</f>
        <v>1</v>
      </c>
      <c r="U44" s="1">
        <f>INDEX(Tabla_stock[En stock],MATCH(Tabla_imprenta[[#This Row],[CODIGO IFA]],Tabla_stock[Número de artículo],0))</f>
        <v>3260</v>
      </c>
    </row>
    <row r="45" spans="1:21" x14ac:dyDescent="0.25">
      <c r="A45" s="2">
        <v>46091</v>
      </c>
      <c r="B45" s="1"/>
      <c r="C45" s="154" t="s">
        <v>2941</v>
      </c>
      <c r="D45" s="154" t="s">
        <v>2111</v>
      </c>
      <c r="E45" s="154" t="s">
        <v>8</v>
      </c>
      <c r="F45" s="154" t="s">
        <v>2955</v>
      </c>
      <c r="G45" s="2">
        <v>47543</v>
      </c>
      <c r="H45" s="112">
        <v>9200</v>
      </c>
      <c r="I45" s="112" t="s">
        <v>3367</v>
      </c>
      <c r="J45" s="112" t="s">
        <v>1718</v>
      </c>
      <c r="K45" s="112" t="s">
        <v>241</v>
      </c>
      <c r="L45" s="112">
        <v>6</v>
      </c>
      <c r="M45" s="112">
        <v>22</v>
      </c>
      <c r="N45" s="112" t="s">
        <v>2943</v>
      </c>
      <c r="O45" s="1">
        <v>9200</v>
      </c>
      <c r="P45" s="3">
        <v>1.002996974139363</v>
      </c>
      <c r="Q45" s="5">
        <v>46168</v>
      </c>
      <c r="R45" s="112" t="s">
        <v>25</v>
      </c>
      <c r="S45" s="5" t="s">
        <v>2028</v>
      </c>
      <c r="T45" s="1">
        <f>COUNTIF(Tabla_control[LOTE],Tabla_imprenta[[#This Row],[LOTE]])</f>
        <v>1</v>
      </c>
      <c r="U45" s="1">
        <f>INDEX(Tabla_stock[En stock],MATCH(Tabla_imprenta[[#This Row],[CODIGO IFA]],Tabla_stock[Número de artículo],0))</f>
        <v>3260</v>
      </c>
    </row>
    <row r="46" spans="1:21" x14ac:dyDescent="0.25">
      <c r="A46" s="2">
        <v>46091</v>
      </c>
      <c r="B46" s="1"/>
      <c r="C46" s="154" t="s">
        <v>2941</v>
      </c>
      <c r="D46" s="154" t="s">
        <v>2111</v>
      </c>
      <c r="E46" s="154" t="s">
        <v>8</v>
      </c>
      <c r="F46" s="154" t="s">
        <v>2956</v>
      </c>
      <c r="G46" s="2">
        <v>47543</v>
      </c>
      <c r="H46" s="112">
        <v>9200</v>
      </c>
      <c r="I46" s="112" t="s">
        <v>3367</v>
      </c>
      <c r="J46" s="112" t="s">
        <v>1718</v>
      </c>
      <c r="K46" s="112" t="s">
        <v>241</v>
      </c>
      <c r="L46" s="112">
        <v>6</v>
      </c>
      <c r="M46" s="112">
        <v>22</v>
      </c>
      <c r="N46" s="112" t="s">
        <v>2943</v>
      </c>
      <c r="O46" s="1">
        <v>9200</v>
      </c>
      <c r="P46" s="3">
        <v>1.002996974139363</v>
      </c>
      <c r="Q46" s="5">
        <v>46150</v>
      </c>
      <c r="R46" s="112" t="s">
        <v>25</v>
      </c>
      <c r="S46" s="5" t="s">
        <v>2028</v>
      </c>
      <c r="T46" s="1">
        <f>COUNTIF(Tabla_control[LOTE],Tabla_imprenta[[#This Row],[LOTE]])</f>
        <v>1</v>
      </c>
      <c r="U46" s="1">
        <f>INDEX(Tabla_stock[En stock],MATCH(Tabla_imprenta[[#This Row],[CODIGO IFA]],Tabla_stock[Número de artículo],0))</f>
        <v>3260</v>
      </c>
    </row>
    <row r="47" spans="1:21" x14ac:dyDescent="0.25">
      <c r="A47" s="2">
        <v>46091</v>
      </c>
      <c r="B47" s="1"/>
      <c r="C47" s="154" t="s">
        <v>2941</v>
      </c>
      <c r="D47" s="154" t="s">
        <v>2111</v>
      </c>
      <c r="E47" s="154" t="s">
        <v>8</v>
      </c>
      <c r="F47" s="154" t="s">
        <v>2957</v>
      </c>
      <c r="G47" s="2">
        <v>47543</v>
      </c>
      <c r="H47" s="112">
        <v>9200</v>
      </c>
      <c r="I47" s="112" t="s">
        <v>3367</v>
      </c>
      <c r="J47" s="112" t="s">
        <v>1718</v>
      </c>
      <c r="K47" s="112" t="s">
        <v>241</v>
      </c>
      <c r="L47" s="112">
        <v>6</v>
      </c>
      <c r="M47" s="112">
        <v>22</v>
      </c>
      <c r="N47" s="112" t="s">
        <v>2943</v>
      </c>
      <c r="O47" s="1">
        <v>9200</v>
      </c>
      <c r="P47" s="3">
        <v>1.002996974139363</v>
      </c>
      <c r="Q47" s="5">
        <v>46154</v>
      </c>
      <c r="R47" s="112" t="s">
        <v>25</v>
      </c>
      <c r="S47" s="5" t="s">
        <v>2028</v>
      </c>
      <c r="T47" s="1">
        <f>COUNTIF(Tabla_control[LOTE],Tabla_imprenta[[#This Row],[LOTE]])</f>
        <v>1</v>
      </c>
      <c r="U47" s="1">
        <f>INDEX(Tabla_stock[En stock],MATCH(Tabla_imprenta[[#This Row],[CODIGO IFA]],Tabla_stock[Número de artículo],0))</f>
        <v>3260</v>
      </c>
    </row>
    <row r="48" spans="1:21" x14ac:dyDescent="0.25">
      <c r="A48" s="2">
        <v>46098</v>
      </c>
      <c r="B48" s="1"/>
      <c r="C48" s="154" t="s">
        <v>2965</v>
      </c>
      <c r="D48" s="154" t="s">
        <v>12</v>
      </c>
      <c r="E48" s="154" t="s">
        <v>8</v>
      </c>
      <c r="F48" s="154" t="s">
        <v>2966</v>
      </c>
      <c r="G48" s="2">
        <v>46813</v>
      </c>
      <c r="H48" s="112">
        <v>40000</v>
      </c>
      <c r="I48" s="112" t="s">
        <v>3369</v>
      </c>
      <c r="J48" s="112" t="s">
        <v>1288</v>
      </c>
      <c r="K48" s="112" t="s">
        <v>241</v>
      </c>
      <c r="L48" s="112">
        <v>2</v>
      </c>
      <c r="M48" s="112">
        <v>80</v>
      </c>
      <c r="N48" s="112" t="s">
        <v>2967</v>
      </c>
      <c r="O48" s="1">
        <v>400</v>
      </c>
      <c r="P48" s="3">
        <v>0.29422066549912435</v>
      </c>
      <c r="Q48" s="5" t="s">
        <v>2032</v>
      </c>
      <c r="R48" s="112" t="s">
        <v>25</v>
      </c>
      <c r="S48" s="5" t="s">
        <v>2028</v>
      </c>
      <c r="T48" s="1">
        <f>COUNTIF(Tabla_control[LOTE],Tabla_imprenta[[#This Row],[LOTE]])</f>
        <v>1</v>
      </c>
      <c r="U48" s="1">
        <f>INDEX(Tabla_stock[En stock],MATCH(Tabla_imprenta[[#This Row],[CODIGO IFA]],Tabla_stock[Número de artículo],0))</f>
        <v>211</v>
      </c>
    </row>
    <row r="49" spans="1:21" x14ac:dyDescent="0.25">
      <c r="A49" s="2">
        <v>46099</v>
      </c>
      <c r="B49" s="1"/>
      <c r="C49" s="154" t="s">
        <v>2978</v>
      </c>
      <c r="D49" s="154" t="s">
        <v>212</v>
      </c>
      <c r="E49" s="154" t="s">
        <v>8</v>
      </c>
      <c r="F49" s="154" t="s">
        <v>2979</v>
      </c>
      <c r="G49" s="2">
        <v>46813</v>
      </c>
      <c r="H49" s="112">
        <v>30000</v>
      </c>
      <c r="I49" s="112" t="s">
        <v>3370</v>
      </c>
      <c r="J49" s="112" t="s">
        <v>1294</v>
      </c>
      <c r="K49" s="112" t="s">
        <v>241</v>
      </c>
      <c r="L49" s="112">
        <v>1</v>
      </c>
      <c r="M49" s="112">
        <v>43</v>
      </c>
      <c r="N49" s="112" t="s">
        <v>2980</v>
      </c>
      <c r="O49" s="1">
        <v>1500</v>
      </c>
      <c r="P49" s="3">
        <v>0.89624987887205665</v>
      </c>
      <c r="Q49" s="5" t="s">
        <v>2028</v>
      </c>
      <c r="R49" s="112" t="s">
        <v>25</v>
      </c>
      <c r="S49" s="5" t="s">
        <v>2028</v>
      </c>
      <c r="T49" s="1">
        <f>COUNTIF(Tabla_control[LOTE],Tabla_imprenta[[#This Row],[LOTE]])</f>
        <v>1</v>
      </c>
      <c r="U49" s="1">
        <f>INDEX(Tabla_stock[En stock],MATCH(Tabla_imprenta[[#This Row],[CODIGO IFA]],Tabla_stock[Número de artículo],0))</f>
        <v>312</v>
      </c>
    </row>
    <row r="50" spans="1:21" x14ac:dyDescent="0.25">
      <c r="A50" s="2">
        <v>46099</v>
      </c>
      <c r="B50" s="1"/>
      <c r="C50" s="154" t="s">
        <v>2978</v>
      </c>
      <c r="D50" s="154" t="s">
        <v>212</v>
      </c>
      <c r="E50" s="154" t="s">
        <v>8</v>
      </c>
      <c r="F50" s="154" t="s">
        <v>2981</v>
      </c>
      <c r="G50" s="2">
        <v>46813</v>
      </c>
      <c r="H50" s="112">
        <v>30000</v>
      </c>
      <c r="I50" s="112" t="s">
        <v>3370</v>
      </c>
      <c r="J50" s="112" t="s">
        <v>1294</v>
      </c>
      <c r="K50" s="112" t="s">
        <v>241</v>
      </c>
      <c r="L50" s="112">
        <v>1</v>
      </c>
      <c r="M50" s="112">
        <v>43</v>
      </c>
      <c r="N50" s="112" t="s">
        <v>2980</v>
      </c>
      <c r="O50" s="1">
        <v>1500</v>
      </c>
      <c r="P50" s="3">
        <v>0.89624987887205665</v>
      </c>
      <c r="Q50" s="5" t="s">
        <v>2028</v>
      </c>
      <c r="R50" s="112" t="s">
        <v>25</v>
      </c>
      <c r="S50" s="5" t="s">
        <v>2028</v>
      </c>
      <c r="T50" s="1">
        <f>COUNTIF(Tabla_control[LOTE],Tabla_imprenta[[#This Row],[LOTE]])</f>
        <v>1</v>
      </c>
      <c r="U50" s="1">
        <f>INDEX(Tabla_stock[En stock],MATCH(Tabla_imprenta[[#This Row],[CODIGO IFA]],Tabla_stock[Número de artículo],0))</f>
        <v>312</v>
      </c>
    </row>
    <row r="51" spans="1:21" x14ac:dyDescent="0.25">
      <c r="A51" s="2">
        <v>46113</v>
      </c>
      <c r="B51" s="1"/>
      <c r="C51" s="154" t="s">
        <v>2989</v>
      </c>
      <c r="D51" s="154" t="s">
        <v>12</v>
      </c>
      <c r="E51" s="154" t="s">
        <v>8</v>
      </c>
      <c r="F51" s="154" t="s">
        <v>2990</v>
      </c>
      <c r="G51" s="2">
        <v>47574</v>
      </c>
      <c r="H51" s="112">
        <v>20000</v>
      </c>
      <c r="I51" s="112" t="s">
        <v>3372</v>
      </c>
      <c r="J51" s="112" t="s">
        <v>873</v>
      </c>
      <c r="K51" s="112" t="s">
        <v>176</v>
      </c>
      <c r="L51" s="112">
        <v>8</v>
      </c>
      <c r="M51" s="112">
        <v>97</v>
      </c>
      <c r="N51" s="112" t="s">
        <v>2991</v>
      </c>
      <c r="O51" s="1">
        <v>2000</v>
      </c>
      <c r="P51" s="3">
        <v>3.3975084937712348</v>
      </c>
      <c r="Q51" s="5">
        <v>46157</v>
      </c>
      <c r="R51" s="112" t="s">
        <v>25</v>
      </c>
      <c r="S51" s="5">
        <v>46157</v>
      </c>
      <c r="T51" s="1">
        <f>COUNTIF(Tabla_control[LOTE],Tabla_imprenta[[#This Row],[LOTE]])</f>
        <v>1</v>
      </c>
      <c r="U51" s="1">
        <f>INDEX(Tabla_stock[En stock],MATCH(Tabla_imprenta[[#This Row],[CODIGO IFA]],Tabla_stock[Número de artículo],0))</f>
        <v>1000</v>
      </c>
    </row>
    <row r="52" spans="1:21" x14ac:dyDescent="0.25">
      <c r="A52" s="2">
        <v>46113</v>
      </c>
      <c r="B52" s="1"/>
      <c r="C52" s="154" t="s">
        <v>2992</v>
      </c>
      <c r="D52" s="154" t="s">
        <v>12</v>
      </c>
      <c r="E52" s="154" t="s">
        <v>8</v>
      </c>
      <c r="F52" s="154" t="s">
        <v>2993</v>
      </c>
      <c r="G52" s="2">
        <v>47574</v>
      </c>
      <c r="H52" s="112">
        <v>125000</v>
      </c>
      <c r="I52" s="112" t="s">
        <v>3373</v>
      </c>
      <c r="J52" s="112" t="s">
        <v>875</v>
      </c>
      <c r="K52" s="112" t="s">
        <v>241</v>
      </c>
      <c r="L52" s="112">
        <v>2</v>
      </c>
      <c r="M52" s="112">
        <v>30</v>
      </c>
      <c r="N52" s="112" t="s">
        <v>2994</v>
      </c>
      <c r="O52" s="1">
        <v>1250</v>
      </c>
      <c r="P52" s="3">
        <v>2.0571428571428574</v>
      </c>
      <c r="Q52" s="5">
        <v>46157</v>
      </c>
      <c r="R52" s="112" t="s">
        <v>25</v>
      </c>
      <c r="S52" s="5" t="s">
        <v>2028</v>
      </c>
      <c r="T52" s="1">
        <f>COUNTIF(Tabla_control[LOTE],Tabla_imprenta[[#This Row],[LOTE]])</f>
        <v>1</v>
      </c>
      <c r="U52" s="1">
        <f>INDEX(Tabla_stock[En stock],MATCH(Tabla_imprenta[[#This Row],[CODIGO IFA]],Tabla_stock[Número de artículo],0))</f>
        <v>552</v>
      </c>
    </row>
    <row r="53" spans="1:21" x14ac:dyDescent="0.25">
      <c r="A53" s="2">
        <v>46113</v>
      </c>
      <c r="B53" s="1"/>
      <c r="C53" s="154" t="s">
        <v>2996</v>
      </c>
      <c r="D53" s="154" t="s">
        <v>13</v>
      </c>
      <c r="E53" s="154" t="s">
        <v>8</v>
      </c>
      <c r="F53" s="154" t="s">
        <v>2997</v>
      </c>
      <c r="G53" s="2">
        <v>46844</v>
      </c>
      <c r="H53" s="112">
        <v>7500</v>
      </c>
      <c r="I53" s="112" t="s">
        <v>3375</v>
      </c>
      <c r="J53" s="112" t="s">
        <v>1204</v>
      </c>
      <c r="K53" s="112" t="s">
        <v>176</v>
      </c>
      <c r="L53" s="112">
        <v>6</v>
      </c>
      <c r="M53" s="112">
        <v>24</v>
      </c>
      <c r="N53" s="112" t="s">
        <v>2998</v>
      </c>
      <c r="O53" s="1">
        <v>7500</v>
      </c>
      <c r="P53" s="3">
        <v>3.0595407964716568</v>
      </c>
      <c r="Q53" s="5" t="s">
        <v>2028</v>
      </c>
      <c r="R53" s="112" t="s">
        <v>2028</v>
      </c>
      <c r="S53" s="5" t="s">
        <v>2028</v>
      </c>
      <c r="T53" s="1">
        <f>COUNTIF(Tabla_control[LOTE],Tabla_imprenta[[#This Row],[LOTE]])</f>
        <v>1</v>
      </c>
      <c r="U53" s="1">
        <f>INDEX(Tabla_stock[En stock],MATCH(Tabla_imprenta[[#This Row],[CODIGO IFA]],Tabla_stock[Número de artículo],0))</f>
        <v>660</v>
      </c>
    </row>
    <row r="54" spans="1:21" x14ac:dyDescent="0.25">
      <c r="A54" s="2">
        <v>46113</v>
      </c>
      <c r="B54" s="1"/>
      <c r="C54" s="154" t="s">
        <v>2999</v>
      </c>
      <c r="D54" s="154" t="s">
        <v>2111</v>
      </c>
      <c r="E54" s="154" t="s">
        <v>8</v>
      </c>
      <c r="F54" s="154" t="s">
        <v>3000</v>
      </c>
      <c r="G54" s="2">
        <v>47574</v>
      </c>
      <c r="H54" s="112">
        <v>90000</v>
      </c>
      <c r="I54" s="112" t="s">
        <v>3376</v>
      </c>
      <c r="J54" s="112" t="s">
        <v>1242</v>
      </c>
      <c r="K54" s="112" t="s">
        <v>241</v>
      </c>
      <c r="L54" s="112">
        <v>2</v>
      </c>
      <c r="M54" s="112">
        <v>21</v>
      </c>
      <c r="N54" s="112" t="s">
        <v>3001</v>
      </c>
      <c r="O54" s="1">
        <v>3600</v>
      </c>
      <c r="P54" s="3">
        <v>1.3069071110131314</v>
      </c>
      <c r="Q54" s="5">
        <v>46170</v>
      </c>
      <c r="R54" s="112" t="s">
        <v>25</v>
      </c>
      <c r="S54" s="5">
        <v>46170</v>
      </c>
      <c r="T54" s="1">
        <f>COUNTIF(Tabla_control[LOTE],Tabla_imprenta[[#This Row],[LOTE]])</f>
        <v>1</v>
      </c>
      <c r="U54" s="1">
        <f>INDEX(Tabla_stock[En stock],MATCH(Tabla_imprenta[[#This Row],[CODIGO IFA]],Tabla_stock[Número de artículo],0))</f>
        <v>7029</v>
      </c>
    </row>
    <row r="55" spans="1:21" x14ac:dyDescent="0.25">
      <c r="A55" s="2">
        <v>46113</v>
      </c>
      <c r="B55" s="1"/>
      <c r="C55" s="154" t="s">
        <v>3002</v>
      </c>
      <c r="D55" s="154" t="s">
        <v>13</v>
      </c>
      <c r="E55" s="154" t="s">
        <v>8</v>
      </c>
      <c r="F55" s="154" t="s">
        <v>3003</v>
      </c>
      <c r="G55" s="2">
        <v>47574</v>
      </c>
      <c r="H55" s="112">
        <v>2000</v>
      </c>
      <c r="I55" s="112" t="s">
        <v>3377</v>
      </c>
      <c r="J55" s="112" t="s">
        <v>1250</v>
      </c>
      <c r="K55" s="112" t="s">
        <v>176</v>
      </c>
      <c r="L55" s="112">
        <v>6</v>
      </c>
      <c r="M55" s="112">
        <v>25</v>
      </c>
      <c r="N55" s="112" t="s">
        <v>3004</v>
      </c>
      <c r="O55" s="1">
        <v>2000</v>
      </c>
      <c r="P55" s="3">
        <v>2.9540229885057472</v>
      </c>
      <c r="Q55" s="5" t="s">
        <v>2028</v>
      </c>
      <c r="R55" s="112" t="s">
        <v>2028</v>
      </c>
      <c r="S55" s="5" t="s">
        <v>2028</v>
      </c>
      <c r="T55" s="1">
        <f>COUNTIF(Tabla_control[LOTE],Tabla_imprenta[[#This Row],[LOTE]])</f>
        <v>1</v>
      </c>
      <c r="U55" s="1">
        <f>INDEX(Tabla_stock[En stock],MATCH(Tabla_imprenta[[#This Row],[CODIGO IFA]],Tabla_stock[Número de artículo],0))</f>
        <v>769</v>
      </c>
    </row>
    <row r="56" spans="1:21" x14ac:dyDescent="0.25">
      <c r="A56" s="2">
        <v>46113</v>
      </c>
      <c r="B56" s="1"/>
      <c r="C56" s="154" t="s">
        <v>3005</v>
      </c>
      <c r="D56" s="154" t="s">
        <v>11</v>
      </c>
      <c r="E56" s="154" t="s">
        <v>8</v>
      </c>
      <c r="F56" s="154" t="s">
        <v>3006</v>
      </c>
      <c r="G56" s="2">
        <v>47574</v>
      </c>
      <c r="H56" s="112">
        <v>60000</v>
      </c>
      <c r="I56" s="112" t="s">
        <v>3378</v>
      </c>
      <c r="J56" s="112" t="s">
        <v>1318</v>
      </c>
      <c r="K56" s="112" t="s">
        <v>176</v>
      </c>
      <c r="L56" s="112">
        <v>4</v>
      </c>
      <c r="M56" s="112">
        <v>92</v>
      </c>
      <c r="N56" s="112" t="s">
        <v>3007</v>
      </c>
      <c r="O56" s="1">
        <v>600</v>
      </c>
      <c r="P56" s="3">
        <v>1.7856110950592314</v>
      </c>
      <c r="Q56" s="5" t="s">
        <v>2032</v>
      </c>
      <c r="R56" s="112" t="s">
        <v>25</v>
      </c>
      <c r="S56" s="5" t="s">
        <v>2028</v>
      </c>
      <c r="T56" s="1">
        <f>COUNTIF(Tabla_control[LOTE],Tabla_imprenta[[#This Row],[LOTE]])</f>
        <v>1</v>
      </c>
      <c r="U56" s="1">
        <f>INDEX(Tabla_stock[En stock],MATCH(Tabla_imprenta[[#This Row],[CODIGO IFA]],Tabla_stock[Número de artículo],0))</f>
        <v>818</v>
      </c>
    </row>
    <row r="57" spans="1:21" x14ac:dyDescent="0.25">
      <c r="A57" s="2">
        <v>46113</v>
      </c>
      <c r="B57" s="1"/>
      <c r="C57" s="154" t="s">
        <v>3009</v>
      </c>
      <c r="D57" s="154" t="s">
        <v>17</v>
      </c>
      <c r="E57" s="154" t="s">
        <v>8</v>
      </c>
      <c r="F57" s="154" t="s">
        <v>3010</v>
      </c>
      <c r="G57" s="2">
        <v>46844</v>
      </c>
      <c r="H57" s="112">
        <v>11000</v>
      </c>
      <c r="I57" s="112" t="s">
        <v>3380</v>
      </c>
      <c r="J57" s="112" t="s">
        <v>1775</v>
      </c>
      <c r="K57" s="112" t="s">
        <v>263</v>
      </c>
      <c r="L57" s="112">
        <v>4</v>
      </c>
      <c r="M57" s="112">
        <v>6</v>
      </c>
      <c r="N57" s="112" t="s">
        <v>3011</v>
      </c>
      <c r="O57" s="1">
        <v>11000</v>
      </c>
      <c r="P57" s="3">
        <v>0.2666371387443251</v>
      </c>
      <c r="Q57" s="5">
        <v>46149</v>
      </c>
      <c r="R57" s="112" t="s">
        <v>25</v>
      </c>
      <c r="S57" s="5">
        <v>46149</v>
      </c>
      <c r="T57" s="1">
        <f>COUNTIF(Tabla_control[LOTE],Tabla_imprenta[[#This Row],[LOTE]])</f>
        <v>1</v>
      </c>
      <c r="U57" s="1">
        <f>INDEX(Tabla_stock[En stock],MATCH(Tabla_imprenta[[#This Row],[CODIGO IFA]],Tabla_stock[Número de artículo],0))</f>
        <v>1013</v>
      </c>
    </row>
    <row r="58" spans="1:21" x14ac:dyDescent="0.25">
      <c r="A58" s="2">
        <v>46113</v>
      </c>
      <c r="B58" s="1"/>
      <c r="C58" s="154" t="s">
        <v>3012</v>
      </c>
      <c r="D58" s="154" t="s">
        <v>106</v>
      </c>
      <c r="E58" s="154" t="s">
        <v>102</v>
      </c>
      <c r="F58" s="154" t="s">
        <v>3013</v>
      </c>
      <c r="G58" s="2">
        <v>46844</v>
      </c>
      <c r="H58" s="112">
        <v>12000</v>
      </c>
      <c r="I58" s="112" t="s">
        <v>3381</v>
      </c>
      <c r="J58" s="112" t="s">
        <v>1751</v>
      </c>
      <c r="K58" s="112" t="s">
        <v>251</v>
      </c>
      <c r="L58" s="112">
        <v>4</v>
      </c>
      <c r="M58" s="112">
        <v>6</v>
      </c>
      <c r="N58" s="112" t="s">
        <v>3014</v>
      </c>
      <c r="O58" s="1">
        <v>12000</v>
      </c>
      <c r="P58" s="3">
        <v>1.8482496241524251</v>
      </c>
      <c r="Q58" s="5">
        <v>46168</v>
      </c>
      <c r="R58" s="112" t="s">
        <v>25</v>
      </c>
      <c r="S58" s="5" t="s">
        <v>2028</v>
      </c>
      <c r="T58" s="1">
        <f>COUNTIF(Tabla_control[LOTE],Tabla_imprenta[[#This Row],[LOTE]])</f>
        <v>1</v>
      </c>
      <c r="U58" s="1">
        <f>INDEX(Tabla_stock[En stock],MATCH(Tabla_imprenta[[#This Row],[CODIGO IFA]],Tabla_stock[Número de artículo],0))</f>
        <v>1287</v>
      </c>
    </row>
    <row r="59" spans="1:21" x14ac:dyDescent="0.25">
      <c r="A59" s="2">
        <v>46113</v>
      </c>
      <c r="B59" s="1"/>
      <c r="C59" s="154" t="s">
        <v>3015</v>
      </c>
      <c r="D59" s="154" t="s">
        <v>13</v>
      </c>
      <c r="E59" s="154" t="s">
        <v>102</v>
      </c>
      <c r="F59" s="154" t="s">
        <v>3016</v>
      </c>
      <c r="G59" s="2">
        <v>46844</v>
      </c>
      <c r="H59" s="112">
        <v>15000</v>
      </c>
      <c r="I59" s="112" t="s">
        <v>3382</v>
      </c>
      <c r="J59" s="112" t="s">
        <v>1334</v>
      </c>
      <c r="K59" s="112" t="s">
        <v>269</v>
      </c>
      <c r="L59" s="112">
        <v>6</v>
      </c>
      <c r="M59" s="112">
        <v>24</v>
      </c>
      <c r="N59" s="112" t="s">
        <v>2217</v>
      </c>
      <c r="O59" s="1">
        <v>15000</v>
      </c>
      <c r="P59" s="3">
        <v>3.0234225131420378</v>
      </c>
      <c r="Q59" s="5" t="s">
        <v>2028</v>
      </c>
      <c r="R59" s="112" t="s">
        <v>25</v>
      </c>
      <c r="S59" s="5" t="s">
        <v>2028</v>
      </c>
      <c r="T59" s="1">
        <f>COUNTIF(Tabla_control[LOTE],Tabla_imprenta[[#This Row],[LOTE]])</f>
        <v>1</v>
      </c>
      <c r="U59" s="1">
        <f>INDEX(Tabla_stock[En stock],MATCH(Tabla_imprenta[[#This Row],[CODIGO IFA]],Tabla_stock[Número de artículo],0))</f>
        <v>1731</v>
      </c>
    </row>
    <row r="60" spans="1:21" x14ac:dyDescent="0.25">
      <c r="A60" s="2">
        <v>46113</v>
      </c>
      <c r="B60" s="1"/>
      <c r="C60" s="154" t="s">
        <v>3017</v>
      </c>
      <c r="D60" s="154" t="s">
        <v>181</v>
      </c>
      <c r="E60" s="154" t="s">
        <v>102</v>
      </c>
      <c r="F60" s="154" t="s">
        <v>3018</v>
      </c>
      <c r="G60" s="2">
        <v>47209</v>
      </c>
      <c r="H60" s="112">
        <v>18000</v>
      </c>
      <c r="I60" s="112" t="s">
        <v>3383</v>
      </c>
      <c r="J60" s="112" t="s">
        <v>827</v>
      </c>
      <c r="K60" s="112" t="s">
        <v>269</v>
      </c>
      <c r="L60" s="112">
        <v>2</v>
      </c>
      <c r="M60" s="112">
        <v>77</v>
      </c>
      <c r="N60" s="112" t="s">
        <v>2157</v>
      </c>
      <c r="O60" s="1">
        <v>18000</v>
      </c>
      <c r="P60" s="3">
        <v>3.1388679269527064</v>
      </c>
      <c r="Q60" s="5" t="s">
        <v>2028</v>
      </c>
      <c r="R60" s="112" t="s">
        <v>25</v>
      </c>
      <c r="S60" s="5" t="s">
        <v>2028</v>
      </c>
      <c r="T60" s="1">
        <f>COUNTIF(Tabla_control[LOTE],Tabla_imprenta[[#This Row],[LOTE]])</f>
        <v>1</v>
      </c>
      <c r="U60" s="1">
        <f>INDEX(Tabla_stock[En stock],MATCH(Tabla_imprenta[[#This Row],[CODIGO IFA]],Tabla_stock[Número de artículo],0))</f>
        <v>812</v>
      </c>
    </row>
    <row r="61" spans="1:21" x14ac:dyDescent="0.25">
      <c r="A61" s="2">
        <v>46113</v>
      </c>
      <c r="B61" s="1"/>
      <c r="C61" s="154" t="s">
        <v>3019</v>
      </c>
      <c r="D61" s="154" t="s">
        <v>100</v>
      </c>
      <c r="E61" s="154" t="s">
        <v>102</v>
      </c>
      <c r="F61" s="154" t="s">
        <v>3020</v>
      </c>
      <c r="G61" s="2">
        <v>47574</v>
      </c>
      <c r="H61" s="112">
        <v>28000</v>
      </c>
      <c r="I61" s="112" t="s">
        <v>3384</v>
      </c>
      <c r="J61" s="112" t="s">
        <v>3385</v>
      </c>
      <c r="K61" s="112" t="s">
        <v>263</v>
      </c>
      <c r="L61" s="112">
        <v>6</v>
      </c>
      <c r="M61" s="112">
        <v>1</v>
      </c>
      <c r="N61" s="112" t="s">
        <v>3021</v>
      </c>
      <c r="O61" s="1">
        <v>14000</v>
      </c>
      <c r="P61" s="3">
        <v>4.3123325180952259</v>
      </c>
      <c r="Q61" s="5" t="s">
        <v>28</v>
      </c>
      <c r="R61" s="112" t="s">
        <v>25</v>
      </c>
      <c r="S61" s="5">
        <v>46157</v>
      </c>
      <c r="T61" s="1">
        <f>COUNTIF(Tabla_control[LOTE],Tabla_imprenta[[#This Row],[LOTE]])</f>
        <v>1</v>
      </c>
      <c r="U61" s="1">
        <f>INDEX(Tabla_stock[En stock],MATCH(Tabla_imprenta[[#This Row],[CODIGO IFA]],Tabla_stock[Número de artículo],0))</f>
        <v>1503</v>
      </c>
    </row>
    <row r="62" spans="1:21" x14ac:dyDescent="0.25">
      <c r="A62" s="2">
        <v>46113</v>
      </c>
      <c r="B62" s="1"/>
      <c r="C62" s="154" t="s">
        <v>3022</v>
      </c>
      <c r="D62" s="154" t="s">
        <v>12</v>
      </c>
      <c r="E62" s="154" t="s">
        <v>8</v>
      </c>
      <c r="F62" s="154" t="s">
        <v>3023</v>
      </c>
      <c r="G62" s="2">
        <v>46844</v>
      </c>
      <c r="H62" s="112">
        <v>125000</v>
      </c>
      <c r="I62" s="112" t="s">
        <v>3386</v>
      </c>
      <c r="J62" s="112" t="s">
        <v>1819</v>
      </c>
      <c r="K62" s="112" t="s">
        <v>263</v>
      </c>
      <c r="L62" s="112">
        <v>3</v>
      </c>
      <c r="M62" s="112">
        <v>97</v>
      </c>
      <c r="N62" s="112" t="s">
        <v>3024</v>
      </c>
      <c r="O62" s="1">
        <v>20833.333333333332</v>
      </c>
      <c r="P62" s="3">
        <v>1.0738973941482055</v>
      </c>
      <c r="Q62" s="5">
        <v>46154</v>
      </c>
      <c r="R62" s="112" t="s">
        <v>25</v>
      </c>
      <c r="S62" s="5">
        <v>46154</v>
      </c>
      <c r="T62" s="1">
        <f>COUNTIF(Tabla_control[LOTE],Tabla_imprenta[[#This Row],[LOTE]])</f>
        <v>1</v>
      </c>
      <c r="U62" s="1">
        <f>INDEX(Tabla_stock[En stock],MATCH(Tabla_imprenta[[#This Row],[CODIGO IFA]],Tabla_stock[Número de artículo],0))</f>
        <v>1613</v>
      </c>
    </row>
    <row r="63" spans="1:21" x14ac:dyDescent="0.25">
      <c r="A63" s="2">
        <v>46113</v>
      </c>
      <c r="B63" s="1"/>
      <c r="C63" s="154" t="s">
        <v>3025</v>
      </c>
      <c r="D63" s="154" t="s">
        <v>2111</v>
      </c>
      <c r="E63" s="154" t="s">
        <v>102</v>
      </c>
      <c r="F63" s="154" t="s">
        <v>3026</v>
      </c>
      <c r="G63" s="2">
        <v>47574</v>
      </c>
      <c r="H63" s="112">
        <v>36000</v>
      </c>
      <c r="I63" s="112" t="s">
        <v>3387</v>
      </c>
      <c r="J63" s="112" t="s">
        <v>1351</v>
      </c>
      <c r="K63" s="112" t="s">
        <v>263</v>
      </c>
      <c r="L63" s="112">
        <v>4</v>
      </c>
      <c r="M63" s="112">
        <v>31</v>
      </c>
      <c r="N63" s="112" t="s">
        <v>3027</v>
      </c>
      <c r="O63" s="1">
        <v>36000</v>
      </c>
      <c r="P63" s="3">
        <v>2.1739934949755884</v>
      </c>
      <c r="Q63" s="5">
        <v>46182</v>
      </c>
      <c r="R63" s="112" t="s">
        <v>25</v>
      </c>
      <c r="S63" s="5">
        <v>46182</v>
      </c>
      <c r="T63" s="1">
        <f>COUNTIF(Tabla_control[LOTE],Tabla_imprenta[[#This Row],[LOTE]])</f>
        <v>1</v>
      </c>
      <c r="U63" s="1">
        <f>INDEX(Tabla_stock[En stock],MATCH(Tabla_imprenta[[#This Row],[CODIGO IFA]],Tabla_stock[Número de artículo],0))</f>
        <v>5082</v>
      </c>
    </row>
    <row r="64" spans="1:21" x14ac:dyDescent="0.25">
      <c r="A64" s="2">
        <v>46113</v>
      </c>
      <c r="B64" s="1"/>
      <c r="C64" s="154" t="s">
        <v>3028</v>
      </c>
      <c r="D64" s="154" t="s">
        <v>11</v>
      </c>
      <c r="E64" s="154" t="s">
        <v>8</v>
      </c>
      <c r="F64" s="154" t="s">
        <v>3029</v>
      </c>
      <c r="G64" s="2">
        <v>47574</v>
      </c>
      <c r="H64" s="112">
        <v>300000</v>
      </c>
      <c r="I64" s="112" t="s">
        <v>3388</v>
      </c>
      <c r="J64" s="112" t="s">
        <v>780</v>
      </c>
      <c r="K64" s="112" t="s">
        <v>241</v>
      </c>
      <c r="L64" s="112">
        <v>4</v>
      </c>
      <c r="M64" s="112">
        <v>31</v>
      </c>
      <c r="N64" s="112" t="s">
        <v>3030</v>
      </c>
      <c r="O64" s="1">
        <v>10000</v>
      </c>
      <c r="P64" s="3">
        <v>3.4204524210132736</v>
      </c>
      <c r="Q64" s="5">
        <v>46149</v>
      </c>
      <c r="R64" s="112" t="s">
        <v>25</v>
      </c>
      <c r="S64" s="5" t="s">
        <v>2028</v>
      </c>
      <c r="T64" s="1">
        <f>COUNTIF(Tabla_control[LOTE],Tabla_imprenta[[#This Row],[LOTE]])</f>
        <v>1</v>
      </c>
      <c r="U64" s="1">
        <f>INDEX(Tabla_stock[En stock],MATCH(Tabla_imprenta[[#This Row],[CODIGO IFA]],Tabla_stock[Número de artículo],0))</f>
        <v>940</v>
      </c>
    </row>
    <row r="65" spans="1:21" x14ac:dyDescent="0.25">
      <c r="A65" s="2">
        <v>46113</v>
      </c>
      <c r="B65" s="1"/>
      <c r="C65" s="154" t="s">
        <v>3031</v>
      </c>
      <c r="D65" s="154" t="s">
        <v>2183</v>
      </c>
      <c r="E65" s="154" t="s">
        <v>8</v>
      </c>
      <c r="F65" s="154" t="s">
        <v>3032</v>
      </c>
      <c r="G65" s="2">
        <v>46844</v>
      </c>
      <c r="H65" s="112">
        <v>70900</v>
      </c>
      <c r="I65" s="112" t="s">
        <v>3389</v>
      </c>
      <c r="J65" s="112" t="s">
        <v>796</v>
      </c>
      <c r="K65" s="112" t="s">
        <v>241</v>
      </c>
      <c r="L65" s="112">
        <v>1</v>
      </c>
      <c r="M65" s="112">
        <v>79</v>
      </c>
      <c r="N65" s="112" t="s">
        <v>3033</v>
      </c>
      <c r="O65" s="1">
        <v>141.80000000000001</v>
      </c>
      <c r="P65" s="3">
        <v>0.40914117213416878</v>
      </c>
      <c r="Q65" s="5">
        <v>46153</v>
      </c>
      <c r="R65" s="112" t="s">
        <v>25</v>
      </c>
      <c r="S65" s="5" t="s">
        <v>2028</v>
      </c>
      <c r="T65" s="1">
        <f>COUNTIF(Tabla_control[LOTE],Tabla_imprenta[[#This Row],[LOTE]])</f>
        <v>1</v>
      </c>
      <c r="U65" s="1">
        <f>INDEX(Tabla_stock[En stock],MATCH(Tabla_imprenta[[#This Row],[CODIGO IFA]],Tabla_stock[Número de artículo],0))</f>
        <v>224</v>
      </c>
    </row>
    <row r="66" spans="1:21" x14ac:dyDescent="0.25">
      <c r="A66" s="2">
        <v>46113</v>
      </c>
      <c r="B66" s="1"/>
      <c r="C66" s="154" t="s">
        <v>3034</v>
      </c>
      <c r="D66" s="154" t="s">
        <v>3035</v>
      </c>
      <c r="E66" s="154" t="s">
        <v>8</v>
      </c>
      <c r="F66" s="154" t="s">
        <v>3036</v>
      </c>
      <c r="G66" s="2">
        <v>46844</v>
      </c>
      <c r="H66" s="112">
        <v>2800</v>
      </c>
      <c r="I66" s="112" t="s">
        <v>3390</v>
      </c>
      <c r="J66" s="112" t="s">
        <v>879</v>
      </c>
      <c r="K66" s="112" t="s">
        <v>269</v>
      </c>
      <c r="L66" s="112">
        <v>2</v>
      </c>
      <c r="M66" s="112">
        <v>71</v>
      </c>
      <c r="N66" s="112" t="s">
        <v>3037</v>
      </c>
      <c r="O66" s="1">
        <v>2800</v>
      </c>
      <c r="P66" s="3">
        <v>1.691164639628981</v>
      </c>
      <c r="Q66" s="5" t="s">
        <v>2028</v>
      </c>
      <c r="R66" s="112" t="s">
        <v>25</v>
      </c>
      <c r="S66" s="5" t="s">
        <v>2028</v>
      </c>
      <c r="T66" s="1">
        <f>COUNTIF(Tabla_control[LOTE],Tabla_imprenta[[#This Row],[LOTE]])</f>
        <v>1</v>
      </c>
      <c r="U66" s="1">
        <f>INDEX(Tabla_stock[En stock],MATCH(Tabla_imprenta[[#This Row],[CODIGO IFA]],Tabla_stock[Número de artículo],0))</f>
        <v>1550</v>
      </c>
    </row>
    <row r="67" spans="1:21" x14ac:dyDescent="0.25">
      <c r="A67" s="2">
        <v>46113</v>
      </c>
      <c r="B67" s="1"/>
      <c r="C67" s="154" t="s">
        <v>3041</v>
      </c>
      <c r="D67" s="154" t="s">
        <v>2111</v>
      </c>
      <c r="E67" s="154" t="s">
        <v>8</v>
      </c>
      <c r="F67" s="154" t="s">
        <v>3042</v>
      </c>
      <c r="G67" s="2">
        <v>46844</v>
      </c>
      <c r="H67" s="112">
        <v>150</v>
      </c>
      <c r="I67" s="112" t="s">
        <v>3392</v>
      </c>
      <c r="J67" s="112" t="s">
        <v>1641</v>
      </c>
      <c r="K67" s="112" t="s">
        <v>263</v>
      </c>
      <c r="L67" s="112">
        <v>6</v>
      </c>
      <c r="M67" s="112">
        <v>22</v>
      </c>
      <c r="N67" s="112" t="s">
        <v>3043</v>
      </c>
      <c r="O67" s="1">
        <v>150</v>
      </c>
      <c r="P67" s="3">
        <v>0</v>
      </c>
      <c r="Q67" s="5">
        <v>46150</v>
      </c>
      <c r="R67" s="112" t="s">
        <v>25</v>
      </c>
      <c r="S67" s="5" t="s">
        <v>2028</v>
      </c>
      <c r="T67" s="1">
        <f>COUNTIF(Tabla_control[LOTE],Tabla_imprenta[[#This Row],[LOTE]])</f>
        <v>1</v>
      </c>
      <c r="U67" s="1">
        <f>INDEX(Tabla_stock[En stock],MATCH(Tabla_imprenta[[#This Row],[CODIGO IFA]],Tabla_stock[Número de artículo],0))</f>
        <v>1031</v>
      </c>
    </row>
    <row r="68" spans="1:21" x14ac:dyDescent="0.25">
      <c r="A68" s="2">
        <v>46113</v>
      </c>
      <c r="B68" s="1"/>
      <c r="C68" s="154" t="s">
        <v>3045</v>
      </c>
      <c r="D68" s="154" t="s">
        <v>15</v>
      </c>
      <c r="E68" s="154" t="s">
        <v>8</v>
      </c>
      <c r="F68" s="154" t="s">
        <v>3046</v>
      </c>
      <c r="G68" s="2">
        <v>46844</v>
      </c>
      <c r="H68" s="112">
        <v>14063</v>
      </c>
      <c r="I68" s="112" t="s">
        <v>3394</v>
      </c>
      <c r="J68" s="112" t="s">
        <v>1228</v>
      </c>
      <c r="K68" s="112" t="s">
        <v>241</v>
      </c>
      <c r="L68" s="112">
        <v>4</v>
      </c>
      <c r="M68" s="112">
        <v>122</v>
      </c>
      <c r="N68" s="112" t="s">
        <v>3047</v>
      </c>
      <c r="O68" s="1">
        <v>14063</v>
      </c>
      <c r="P68" s="3">
        <v>1.5522363063525126</v>
      </c>
      <c r="Q68" s="5">
        <v>46156</v>
      </c>
      <c r="R68" s="112" t="s">
        <v>2028</v>
      </c>
      <c r="S68" s="5">
        <v>46156</v>
      </c>
      <c r="T68" s="1">
        <f>COUNTIF(Tabla_control[LOTE],Tabla_imprenta[[#This Row],[LOTE]])</f>
        <v>1</v>
      </c>
      <c r="U68" s="1">
        <f>INDEX(Tabla_stock[En stock],MATCH(Tabla_imprenta[[#This Row],[CODIGO IFA]],Tabla_stock[Número de artículo],0))</f>
        <v>10185</v>
      </c>
    </row>
    <row r="69" spans="1:21" x14ac:dyDescent="0.25">
      <c r="A69" s="2">
        <v>46113</v>
      </c>
      <c r="B69" s="1"/>
      <c r="C69" s="154" t="s">
        <v>3049</v>
      </c>
      <c r="D69" s="154" t="s">
        <v>11</v>
      </c>
      <c r="E69" s="154" t="s">
        <v>8</v>
      </c>
      <c r="F69" s="154" t="s">
        <v>3050</v>
      </c>
      <c r="G69" s="2">
        <v>46753</v>
      </c>
      <c r="H69" s="112">
        <v>500000</v>
      </c>
      <c r="I69" s="112" t="s">
        <v>3396</v>
      </c>
      <c r="J69" s="112" t="s">
        <v>1232</v>
      </c>
      <c r="K69" s="112" t="s">
        <v>241</v>
      </c>
      <c r="L69" s="112">
        <v>4</v>
      </c>
      <c r="M69" s="112">
        <v>92</v>
      </c>
      <c r="N69" s="112" t="s">
        <v>3051</v>
      </c>
      <c r="O69" s="1">
        <v>5000</v>
      </c>
      <c r="P69" s="3">
        <v>0.4064481656200653</v>
      </c>
      <c r="Q69" s="5">
        <v>46148</v>
      </c>
      <c r="R69" s="112" t="s">
        <v>25</v>
      </c>
      <c r="S69" s="5" t="s">
        <v>2028</v>
      </c>
      <c r="T69" s="1">
        <f>COUNTIF(Tabla_control[LOTE],Tabla_imprenta[[#This Row],[LOTE]])</f>
        <v>1</v>
      </c>
      <c r="U69" s="1">
        <f>INDEX(Tabla_stock[En stock],MATCH(Tabla_imprenta[[#This Row],[CODIGO IFA]],Tabla_stock[Número de artículo],0))</f>
        <v>507</v>
      </c>
    </row>
    <row r="70" spans="1:21" x14ac:dyDescent="0.25">
      <c r="A70" s="2">
        <v>46113</v>
      </c>
      <c r="B70" s="1"/>
      <c r="C70" s="154" t="s">
        <v>3052</v>
      </c>
      <c r="D70" s="154" t="s">
        <v>15</v>
      </c>
      <c r="E70" s="154" t="s">
        <v>8</v>
      </c>
      <c r="F70" s="154" t="s">
        <v>3053</v>
      </c>
      <c r="G70" s="2">
        <v>47574</v>
      </c>
      <c r="H70" s="112">
        <v>4902</v>
      </c>
      <c r="I70" s="112" t="s">
        <v>3397</v>
      </c>
      <c r="J70" s="112" t="s">
        <v>1254</v>
      </c>
      <c r="K70" s="112" t="s">
        <v>176</v>
      </c>
      <c r="L70" s="112">
        <v>2</v>
      </c>
      <c r="M70" s="112">
        <v>73</v>
      </c>
      <c r="N70" s="112" t="s">
        <v>3054</v>
      </c>
      <c r="O70" s="1">
        <v>4902</v>
      </c>
      <c r="P70" s="3">
        <v>3.1404255319148935</v>
      </c>
      <c r="Q70" s="5" t="s">
        <v>28</v>
      </c>
      <c r="R70" s="112">
        <v>46164</v>
      </c>
      <c r="S70" s="5">
        <v>46162</v>
      </c>
      <c r="T70" s="1">
        <f>COUNTIF(Tabla_control[LOTE],Tabla_imprenta[[#This Row],[LOTE]])</f>
        <v>1</v>
      </c>
      <c r="U70" s="1">
        <f>INDEX(Tabla_stock[En stock],MATCH(Tabla_imprenta[[#This Row],[CODIGO IFA]],Tabla_stock[Número de artículo],0))</f>
        <v>6000</v>
      </c>
    </row>
    <row r="71" spans="1:21" x14ac:dyDescent="0.25">
      <c r="A71" s="2">
        <v>46113</v>
      </c>
      <c r="B71" s="1"/>
      <c r="C71" s="154" t="s">
        <v>3055</v>
      </c>
      <c r="D71" s="154" t="s">
        <v>12</v>
      </c>
      <c r="E71" s="154" t="s">
        <v>8</v>
      </c>
      <c r="F71" s="154" t="s">
        <v>3056</v>
      </c>
      <c r="G71" s="2">
        <v>46844</v>
      </c>
      <c r="H71" s="112">
        <v>10000</v>
      </c>
      <c r="I71" s="112" t="s">
        <v>3398</v>
      </c>
      <c r="J71" s="112" t="s">
        <v>1330</v>
      </c>
      <c r="K71" s="112" t="s">
        <v>263</v>
      </c>
      <c r="L71" s="112">
        <v>3</v>
      </c>
      <c r="M71" s="112">
        <v>97</v>
      </c>
      <c r="N71" s="112" t="s">
        <v>3057</v>
      </c>
      <c r="O71" s="1">
        <v>2000</v>
      </c>
      <c r="P71" s="3">
        <v>2.9568389057750761</v>
      </c>
      <c r="Q71" s="5">
        <v>46153</v>
      </c>
      <c r="R71" s="112" t="s">
        <v>25</v>
      </c>
      <c r="S71" s="5" t="s">
        <v>2028</v>
      </c>
      <c r="T71" s="1">
        <f>COUNTIF(Tabla_control[LOTE],Tabla_imprenta[[#This Row],[LOTE]])</f>
        <v>1</v>
      </c>
      <c r="U71" s="1">
        <f>INDEX(Tabla_stock[En stock],MATCH(Tabla_imprenta[[#This Row],[CODIGO IFA]],Tabla_stock[Número de artículo],0))</f>
        <v>2715</v>
      </c>
    </row>
    <row r="72" spans="1:21" x14ac:dyDescent="0.25">
      <c r="A72" s="2">
        <v>46113</v>
      </c>
      <c r="B72" s="1"/>
      <c r="C72" s="154" t="s">
        <v>3058</v>
      </c>
      <c r="D72" s="154" t="s">
        <v>100</v>
      </c>
      <c r="E72" s="154" t="s">
        <v>8</v>
      </c>
      <c r="F72" s="154" t="s">
        <v>3059</v>
      </c>
      <c r="G72" s="2">
        <v>47574</v>
      </c>
      <c r="H72" s="112">
        <v>25000</v>
      </c>
      <c r="I72" s="112" t="s">
        <v>3399</v>
      </c>
      <c r="J72" s="112" t="s">
        <v>1337</v>
      </c>
      <c r="K72" s="112" t="s">
        <v>263</v>
      </c>
      <c r="L72" s="112">
        <v>2</v>
      </c>
      <c r="M72" s="112">
        <v>91</v>
      </c>
      <c r="N72" s="112" t="s">
        <v>3021</v>
      </c>
      <c r="O72" s="1">
        <v>833.33333333333348</v>
      </c>
      <c r="P72" s="3">
        <v>2.3319838056680164</v>
      </c>
      <c r="Q72" s="5" t="s">
        <v>28</v>
      </c>
      <c r="R72" s="112" t="s">
        <v>25</v>
      </c>
      <c r="S72" s="5" t="s">
        <v>2028</v>
      </c>
      <c r="T72" s="1">
        <f>COUNTIF(Tabla_control[LOTE],Tabla_imprenta[[#This Row],[LOTE]])</f>
        <v>1</v>
      </c>
      <c r="U72" s="1">
        <f>INDEX(Tabla_stock[En stock],MATCH(Tabla_imprenta[[#This Row],[CODIGO IFA]],Tabla_stock[Número de artículo],0))</f>
        <v>900</v>
      </c>
    </row>
    <row r="73" spans="1:21" x14ac:dyDescent="0.25">
      <c r="A73" s="2">
        <v>46113</v>
      </c>
      <c r="B73" s="1"/>
      <c r="C73" s="154" t="s">
        <v>3060</v>
      </c>
      <c r="D73" s="154" t="s">
        <v>2111</v>
      </c>
      <c r="E73" s="154" t="s">
        <v>8</v>
      </c>
      <c r="F73" s="154" t="s">
        <v>3061</v>
      </c>
      <c r="G73" s="2">
        <v>47574</v>
      </c>
      <c r="H73" s="112">
        <v>25000</v>
      </c>
      <c r="I73" s="112" t="s">
        <v>3400</v>
      </c>
      <c r="J73" s="112" t="s">
        <v>1347</v>
      </c>
      <c r="K73" s="112" t="s">
        <v>263</v>
      </c>
      <c r="L73" s="112">
        <v>3</v>
      </c>
      <c r="M73" s="112">
        <v>97</v>
      </c>
      <c r="N73" s="112" t="s">
        <v>3062</v>
      </c>
      <c r="O73" s="1">
        <v>8333.3333333333339</v>
      </c>
      <c r="P73" s="3">
        <v>1.3024374248551756</v>
      </c>
      <c r="Q73" s="5">
        <v>46182</v>
      </c>
      <c r="R73" s="112" t="s">
        <v>25</v>
      </c>
      <c r="S73" s="5" t="s">
        <v>2028</v>
      </c>
      <c r="T73" s="1">
        <f>COUNTIF(Tabla_control[LOTE],Tabla_imprenta[[#This Row],[LOTE]])</f>
        <v>1</v>
      </c>
      <c r="U73" s="1">
        <f>INDEX(Tabla_stock[En stock],MATCH(Tabla_imprenta[[#This Row],[CODIGO IFA]],Tabla_stock[Número de artículo],0))</f>
        <v>9159</v>
      </c>
    </row>
    <row r="74" spans="1:21" x14ac:dyDescent="0.25">
      <c r="A74" s="2">
        <v>46113</v>
      </c>
      <c r="B74" s="1"/>
      <c r="C74" s="154" t="s">
        <v>3063</v>
      </c>
      <c r="D74" s="154" t="s">
        <v>12</v>
      </c>
      <c r="E74" s="154" t="s">
        <v>8</v>
      </c>
      <c r="F74" s="154" t="s">
        <v>3064</v>
      </c>
      <c r="G74" s="2">
        <v>46844</v>
      </c>
      <c r="H74" s="112">
        <v>80000</v>
      </c>
      <c r="I74" s="112" t="s">
        <v>3401</v>
      </c>
      <c r="J74" s="112" t="s">
        <v>1921</v>
      </c>
      <c r="K74" s="112" t="s">
        <v>263</v>
      </c>
      <c r="L74" s="112">
        <v>3</v>
      </c>
      <c r="M74" s="112">
        <v>97</v>
      </c>
      <c r="N74" s="112" t="s">
        <v>3065</v>
      </c>
      <c r="O74" s="1">
        <v>8000</v>
      </c>
      <c r="P74" s="3">
        <v>2.5137909363871235E-2</v>
      </c>
      <c r="Q74" s="5" t="s">
        <v>2032</v>
      </c>
      <c r="R74" s="112" t="s">
        <v>25</v>
      </c>
      <c r="S74" s="5" t="s">
        <v>2028</v>
      </c>
      <c r="T74" s="1">
        <f>COUNTIF(Tabla_control[LOTE],Tabla_imprenta[[#This Row],[LOTE]])</f>
        <v>1</v>
      </c>
      <c r="U74" s="1">
        <f>INDEX(Tabla_stock[En stock],MATCH(Tabla_imprenta[[#This Row],[CODIGO IFA]],Tabla_stock[Número de artículo],0))</f>
        <v>1033</v>
      </c>
    </row>
    <row r="75" spans="1:21" x14ac:dyDescent="0.25">
      <c r="A75" s="2">
        <v>46113</v>
      </c>
      <c r="B75" s="1"/>
      <c r="C75" s="154" t="s">
        <v>3066</v>
      </c>
      <c r="D75" s="154" t="s">
        <v>15</v>
      </c>
      <c r="E75" s="154" t="s">
        <v>8</v>
      </c>
      <c r="F75" s="154" t="s">
        <v>3067</v>
      </c>
      <c r="G75" s="2">
        <v>46844</v>
      </c>
      <c r="H75" s="112">
        <v>7742</v>
      </c>
      <c r="I75" s="112" t="s">
        <v>3402</v>
      </c>
      <c r="J75" s="112" t="s">
        <v>1458</v>
      </c>
      <c r="K75" s="112" t="s">
        <v>269</v>
      </c>
      <c r="L75" s="112">
        <v>2</v>
      </c>
      <c r="M75" s="112">
        <v>73</v>
      </c>
      <c r="N75" s="112" t="s">
        <v>3068</v>
      </c>
      <c r="O75" s="1">
        <v>7742</v>
      </c>
      <c r="P75" s="3">
        <v>2.6845419459679056</v>
      </c>
      <c r="Q75" s="5">
        <v>46158</v>
      </c>
      <c r="R75" s="112" t="s">
        <v>25</v>
      </c>
      <c r="S75" s="5" t="s">
        <v>2028</v>
      </c>
      <c r="T75" s="1">
        <f>COUNTIF(Tabla_control[LOTE],Tabla_imprenta[[#This Row],[LOTE]])</f>
        <v>1</v>
      </c>
      <c r="U75" s="1">
        <f>INDEX(Tabla_stock[En stock],MATCH(Tabla_imprenta[[#This Row],[CODIGO IFA]],Tabla_stock[Número de artículo],0))</f>
        <v>8019</v>
      </c>
    </row>
    <row r="76" spans="1:21" x14ac:dyDescent="0.25">
      <c r="A76" s="2">
        <v>46113</v>
      </c>
      <c r="B76" s="1"/>
      <c r="C76" s="154" t="s">
        <v>3069</v>
      </c>
      <c r="D76" s="154" t="s">
        <v>181</v>
      </c>
      <c r="E76" s="154" t="s">
        <v>8</v>
      </c>
      <c r="F76" s="154" t="s">
        <v>3070</v>
      </c>
      <c r="G76" s="2">
        <v>46844</v>
      </c>
      <c r="H76" s="112">
        <v>9901</v>
      </c>
      <c r="I76" s="112" t="s">
        <v>3403</v>
      </c>
      <c r="J76" s="112" t="s">
        <v>1286</v>
      </c>
      <c r="K76" s="112" t="s">
        <v>241</v>
      </c>
      <c r="L76" s="112">
        <v>2</v>
      </c>
      <c r="M76" s="112">
        <v>8</v>
      </c>
      <c r="N76" s="112" t="s">
        <v>2152</v>
      </c>
      <c r="O76" s="1">
        <v>9901</v>
      </c>
      <c r="P76" s="3">
        <v>0</v>
      </c>
      <c r="Q76" s="5" t="s">
        <v>2028</v>
      </c>
      <c r="R76" s="112" t="s">
        <v>2028</v>
      </c>
      <c r="S76" s="5" t="s">
        <v>2028</v>
      </c>
      <c r="T76" s="1">
        <f>COUNTIF(Tabla_control[LOTE],Tabla_imprenta[[#This Row],[LOTE]])</f>
        <v>1</v>
      </c>
      <c r="U76" s="1">
        <f>INDEX(Tabla_stock[En stock],MATCH(Tabla_imprenta[[#This Row],[CODIGO IFA]],Tabla_stock[Número de artículo],0))</f>
        <v>1261</v>
      </c>
    </row>
    <row r="77" spans="1:21" x14ac:dyDescent="0.25">
      <c r="A77" s="2">
        <v>46113</v>
      </c>
      <c r="B77" s="1"/>
      <c r="C77" s="154" t="s">
        <v>3071</v>
      </c>
      <c r="D77" s="154" t="s">
        <v>15</v>
      </c>
      <c r="E77" s="154" t="s">
        <v>8</v>
      </c>
      <c r="F77" s="154" t="s">
        <v>3072</v>
      </c>
      <c r="G77" s="2">
        <v>46844</v>
      </c>
      <c r="H77" s="112">
        <v>19354</v>
      </c>
      <c r="I77" s="112" t="s">
        <v>3404</v>
      </c>
      <c r="J77" s="112" t="s">
        <v>1280</v>
      </c>
      <c r="K77" s="112" t="s">
        <v>241</v>
      </c>
      <c r="L77" s="112">
        <v>4</v>
      </c>
      <c r="M77" s="112">
        <v>3</v>
      </c>
      <c r="N77" s="112" t="s">
        <v>3073</v>
      </c>
      <c r="O77" s="1">
        <v>19354</v>
      </c>
      <c r="P77" s="3">
        <v>2.2477975190783464</v>
      </c>
      <c r="Q77" s="5">
        <v>46174</v>
      </c>
      <c r="R77" s="112">
        <v>46156</v>
      </c>
      <c r="S77" s="5">
        <v>46174</v>
      </c>
      <c r="T77" s="1">
        <f>COUNTIF(Tabla_control[LOTE],Tabla_imprenta[[#This Row],[LOTE]])</f>
        <v>1</v>
      </c>
      <c r="U77" s="1">
        <f>INDEX(Tabla_stock[En stock],MATCH(Tabla_imprenta[[#This Row],[CODIGO IFA]],Tabla_stock[Número de artículo],0))</f>
        <v>604</v>
      </c>
    </row>
    <row r="78" spans="1:21" x14ac:dyDescent="0.25">
      <c r="A78" s="2">
        <v>46113</v>
      </c>
      <c r="B78" s="1"/>
      <c r="C78" s="154" t="s">
        <v>3075</v>
      </c>
      <c r="D78" s="154" t="s">
        <v>17</v>
      </c>
      <c r="E78" s="154" t="s">
        <v>8</v>
      </c>
      <c r="F78" s="154" t="s">
        <v>3076</v>
      </c>
      <c r="G78" s="2">
        <v>46844</v>
      </c>
      <c r="H78" s="112">
        <v>5650</v>
      </c>
      <c r="I78" s="112" t="s">
        <v>3407</v>
      </c>
      <c r="J78" s="112" t="s">
        <v>1182</v>
      </c>
      <c r="K78" s="112" t="s">
        <v>241</v>
      </c>
      <c r="L78" s="112">
        <v>4</v>
      </c>
      <c r="M78" s="112">
        <v>6</v>
      </c>
      <c r="N78" s="112" t="s">
        <v>3077</v>
      </c>
      <c r="O78" s="1">
        <v>5650</v>
      </c>
      <c r="P78" s="3">
        <v>1.0831255909911459</v>
      </c>
      <c r="Q78" s="5" t="s">
        <v>2028</v>
      </c>
      <c r="R78" s="112" t="s">
        <v>25</v>
      </c>
      <c r="S78" s="5" t="s">
        <v>2028</v>
      </c>
      <c r="T78" s="1">
        <f>COUNTIF(Tabla_control[LOTE],Tabla_imprenta[[#This Row],[LOTE]])</f>
        <v>1</v>
      </c>
      <c r="U78" s="1">
        <f>INDEX(Tabla_stock[En stock],MATCH(Tabla_imprenta[[#This Row],[CODIGO IFA]],Tabla_stock[Número de artículo],0))</f>
        <v>987</v>
      </c>
    </row>
    <row r="79" spans="1:21" x14ac:dyDescent="0.25">
      <c r="A79" s="2">
        <v>46113</v>
      </c>
      <c r="B79" s="1"/>
      <c r="C79" s="154" t="s">
        <v>3034</v>
      </c>
      <c r="D79" s="154" t="s">
        <v>3035</v>
      </c>
      <c r="E79" s="154" t="s">
        <v>8</v>
      </c>
      <c r="F79" s="154" t="s">
        <v>3078</v>
      </c>
      <c r="G79" s="2">
        <v>46844</v>
      </c>
      <c r="H79" s="112">
        <v>4200</v>
      </c>
      <c r="I79" s="112" t="s">
        <v>3390</v>
      </c>
      <c r="J79" s="112" t="s">
        <v>879</v>
      </c>
      <c r="K79" s="112" t="s">
        <v>269</v>
      </c>
      <c r="L79" s="112">
        <v>2</v>
      </c>
      <c r="M79" s="112">
        <v>71</v>
      </c>
      <c r="N79" s="112" t="s">
        <v>3037</v>
      </c>
      <c r="O79" s="1">
        <v>4200</v>
      </c>
      <c r="P79" s="3">
        <v>1.691164639628981</v>
      </c>
      <c r="Q79" s="5">
        <v>46148</v>
      </c>
      <c r="R79" s="112" t="s">
        <v>25</v>
      </c>
      <c r="S79" s="5" t="s">
        <v>2028</v>
      </c>
      <c r="T79" s="1">
        <f>COUNTIF(Tabla_control[LOTE],Tabla_imprenta[[#This Row],[LOTE]])</f>
        <v>1</v>
      </c>
      <c r="U79" s="1">
        <f>INDEX(Tabla_stock[En stock],MATCH(Tabla_imprenta[[#This Row],[CODIGO IFA]],Tabla_stock[Número de artículo],0))</f>
        <v>1550</v>
      </c>
    </row>
    <row r="80" spans="1:21" x14ac:dyDescent="0.25">
      <c r="A80" s="2">
        <v>46113</v>
      </c>
      <c r="B80" s="1"/>
      <c r="C80" s="154" t="s">
        <v>3079</v>
      </c>
      <c r="D80" s="154" t="s">
        <v>12</v>
      </c>
      <c r="E80" s="154" t="s">
        <v>102</v>
      </c>
      <c r="F80" s="154" t="s">
        <v>3080</v>
      </c>
      <c r="G80" s="2">
        <v>47574</v>
      </c>
      <c r="H80" s="112">
        <v>35000</v>
      </c>
      <c r="I80" s="112" t="s">
        <v>3408</v>
      </c>
      <c r="J80" s="112" t="s">
        <v>1385</v>
      </c>
      <c r="K80" s="112" t="s">
        <v>263</v>
      </c>
      <c r="L80" s="112">
        <v>5</v>
      </c>
      <c r="M80" s="112">
        <v>28</v>
      </c>
      <c r="N80" s="112" t="s">
        <v>3081</v>
      </c>
      <c r="O80" s="1">
        <v>17500</v>
      </c>
      <c r="P80" s="3">
        <v>1.4215929672041407</v>
      </c>
      <c r="Q80" s="5">
        <v>46149</v>
      </c>
      <c r="R80" s="112" t="s">
        <v>25</v>
      </c>
      <c r="S80" s="5">
        <v>46150</v>
      </c>
      <c r="T80" s="1">
        <f>COUNTIF(Tabla_control[LOTE],Tabla_imprenta[[#This Row],[LOTE]])</f>
        <v>1</v>
      </c>
      <c r="U80" s="1">
        <f>INDEX(Tabla_stock[En stock],MATCH(Tabla_imprenta[[#This Row],[CODIGO IFA]],Tabla_stock[Número de artículo],0))</f>
        <v>2606</v>
      </c>
    </row>
    <row r="81" spans="1:21" x14ac:dyDescent="0.25">
      <c r="A81" s="2">
        <v>46113</v>
      </c>
      <c r="B81" s="1"/>
      <c r="C81" s="154" t="s">
        <v>3082</v>
      </c>
      <c r="D81" s="154" t="s">
        <v>201</v>
      </c>
      <c r="E81" s="154" t="s">
        <v>8</v>
      </c>
      <c r="F81" s="154" t="s">
        <v>3083</v>
      </c>
      <c r="G81" s="2">
        <v>46844</v>
      </c>
      <c r="H81" s="112">
        <v>6000</v>
      </c>
      <c r="I81" s="112" t="s">
        <v>3409</v>
      </c>
      <c r="J81" s="112" t="s">
        <v>792</v>
      </c>
      <c r="K81" s="112" t="s">
        <v>241</v>
      </c>
      <c r="L81" s="112">
        <v>2</v>
      </c>
      <c r="M81" s="112">
        <v>8</v>
      </c>
      <c r="N81" s="112" t="s">
        <v>3084</v>
      </c>
      <c r="O81" s="1">
        <v>6000</v>
      </c>
      <c r="P81" s="3">
        <v>0.3102099927588704</v>
      </c>
      <c r="Q81" s="5">
        <v>46150</v>
      </c>
      <c r="R81" s="112" t="s">
        <v>2028</v>
      </c>
      <c r="S81" s="5">
        <v>46150</v>
      </c>
      <c r="T81" s="1">
        <f>COUNTIF(Tabla_control[LOTE],Tabla_imprenta[[#This Row],[LOTE]])</f>
        <v>1</v>
      </c>
      <c r="U81" s="1">
        <f>INDEX(Tabla_stock[En stock],MATCH(Tabla_imprenta[[#This Row],[CODIGO IFA]],Tabla_stock[Número de artículo],0))</f>
        <v>1284</v>
      </c>
    </row>
    <row r="82" spans="1:21" x14ac:dyDescent="0.25">
      <c r="A82" s="2">
        <v>46113</v>
      </c>
      <c r="B82" s="1"/>
      <c r="C82" s="154" t="s">
        <v>3086</v>
      </c>
      <c r="D82" s="154" t="s">
        <v>201</v>
      </c>
      <c r="E82" s="154" t="s">
        <v>8</v>
      </c>
      <c r="F82" s="154" t="s">
        <v>3087</v>
      </c>
      <c r="G82" s="2">
        <v>46844</v>
      </c>
      <c r="H82" s="112">
        <v>5100</v>
      </c>
      <c r="I82" s="112" t="s">
        <v>3411</v>
      </c>
      <c r="J82" s="112" t="s">
        <v>963</v>
      </c>
      <c r="K82" s="112" t="s">
        <v>241</v>
      </c>
      <c r="L82" s="112">
        <v>2</v>
      </c>
      <c r="M82" s="112">
        <v>8</v>
      </c>
      <c r="N82" s="112" t="s">
        <v>2228</v>
      </c>
      <c r="O82" s="1">
        <v>5100</v>
      </c>
      <c r="P82" s="3">
        <v>0.70837531678422028</v>
      </c>
      <c r="Q82" s="5">
        <v>46168</v>
      </c>
      <c r="R82" s="112" t="s">
        <v>2028</v>
      </c>
      <c r="S82" s="5">
        <v>46168</v>
      </c>
      <c r="T82" s="1">
        <f>COUNTIF(Tabla_control[LOTE],Tabla_imprenta[[#This Row],[LOTE]])</f>
        <v>1</v>
      </c>
      <c r="U82" s="1">
        <f>INDEX(Tabla_stock[En stock],MATCH(Tabla_imprenta[[#This Row],[CODIGO IFA]],Tabla_stock[Número de artículo],0))</f>
        <v>209</v>
      </c>
    </row>
    <row r="83" spans="1:21" x14ac:dyDescent="0.25">
      <c r="A83" s="2">
        <v>46113</v>
      </c>
      <c r="B83" s="1"/>
      <c r="C83" s="154" t="s">
        <v>3088</v>
      </c>
      <c r="D83" s="154" t="s">
        <v>3089</v>
      </c>
      <c r="E83" s="154" t="s">
        <v>8</v>
      </c>
      <c r="F83" s="154" t="s">
        <v>3090</v>
      </c>
      <c r="G83" s="2">
        <v>46844</v>
      </c>
      <c r="H83" s="112">
        <v>130000</v>
      </c>
      <c r="I83" s="112" t="s">
        <v>3412</v>
      </c>
      <c r="J83" s="112" t="s">
        <v>1634</v>
      </c>
      <c r="K83" s="112" t="s">
        <v>263</v>
      </c>
      <c r="L83" s="112">
        <v>4</v>
      </c>
      <c r="M83" s="112">
        <v>42</v>
      </c>
      <c r="N83" s="112" t="s">
        <v>3091</v>
      </c>
      <c r="O83" s="1">
        <v>13000</v>
      </c>
      <c r="P83" s="3">
        <v>1.7495809155383624</v>
      </c>
      <c r="Q83" s="5">
        <v>46150</v>
      </c>
      <c r="R83" s="112" t="s">
        <v>25</v>
      </c>
      <c r="S83" s="5" t="s">
        <v>2028</v>
      </c>
      <c r="T83" s="1">
        <f>COUNTIF(Tabla_control[LOTE],Tabla_imprenta[[#This Row],[LOTE]])</f>
        <v>1</v>
      </c>
      <c r="U83" s="1">
        <f>INDEX(Tabla_stock[En stock],MATCH(Tabla_imprenta[[#This Row],[CODIGO IFA]],Tabla_stock[Número de artículo],0))</f>
        <v>1321</v>
      </c>
    </row>
    <row r="84" spans="1:21" x14ac:dyDescent="0.25">
      <c r="A84" s="2">
        <v>46113</v>
      </c>
      <c r="B84" s="1"/>
      <c r="C84" s="154" t="s">
        <v>3095</v>
      </c>
      <c r="D84" s="154" t="s">
        <v>12</v>
      </c>
      <c r="E84" s="154" t="s">
        <v>8</v>
      </c>
      <c r="F84" s="154" t="s">
        <v>3096</v>
      </c>
      <c r="G84" s="2">
        <v>47574</v>
      </c>
      <c r="H84" s="112">
        <v>40000</v>
      </c>
      <c r="I84" s="112" t="s">
        <v>3414</v>
      </c>
      <c r="J84" s="112" t="s">
        <v>1186</v>
      </c>
      <c r="K84" s="112" t="s">
        <v>176</v>
      </c>
      <c r="L84" s="112">
        <v>4</v>
      </c>
      <c r="M84" s="112">
        <v>34</v>
      </c>
      <c r="N84" s="112" t="s">
        <v>3097</v>
      </c>
      <c r="O84" s="1">
        <v>400</v>
      </c>
      <c r="P84" s="3">
        <v>2.2196236844902733</v>
      </c>
      <c r="Q84" s="5" t="s">
        <v>2032</v>
      </c>
      <c r="R84" s="112" t="s">
        <v>25</v>
      </c>
      <c r="S84" s="5" t="s">
        <v>2028</v>
      </c>
      <c r="T84" s="1">
        <f>COUNTIF(Tabla_control[LOTE],Tabla_imprenta[[#This Row],[LOTE]])</f>
        <v>1</v>
      </c>
      <c r="U84" s="1">
        <f>INDEX(Tabla_stock[En stock],MATCH(Tabla_imprenta[[#This Row],[CODIGO IFA]],Tabla_stock[Número de artículo],0))</f>
        <v>153</v>
      </c>
    </row>
    <row r="85" spans="1:21" x14ac:dyDescent="0.25">
      <c r="A85" s="2">
        <v>46113</v>
      </c>
      <c r="B85" s="1"/>
      <c r="C85" s="154" t="s">
        <v>3098</v>
      </c>
      <c r="D85" s="154" t="s">
        <v>2111</v>
      </c>
      <c r="E85" s="154" t="s">
        <v>8</v>
      </c>
      <c r="F85" s="154" t="s">
        <v>3099</v>
      </c>
      <c r="G85" s="2">
        <v>47574</v>
      </c>
      <c r="H85" s="112">
        <v>3600</v>
      </c>
      <c r="I85" s="112" t="s">
        <v>3415</v>
      </c>
      <c r="J85" s="112" t="s">
        <v>1214</v>
      </c>
      <c r="K85" s="112" t="s">
        <v>176</v>
      </c>
      <c r="L85" s="112">
        <v>6</v>
      </c>
      <c r="M85" s="112">
        <v>82</v>
      </c>
      <c r="N85" s="112" t="s">
        <v>3100</v>
      </c>
      <c r="O85" s="1">
        <v>3600</v>
      </c>
      <c r="P85" s="3">
        <v>0.71860998797945574</v>
      </c>
      <c r="Q85" s="5">
        <v>46164</v>
      </c>
      <c r="R85" s="112" t="s">
        <v>25</v>
      </c>
      <c r="S85" s="5" t="s">
        <v>2028</v>
      </c>
      <c r="T85" s="1">
        <f>COUNTIF(Tabla_control[LOTE],Tabla_imprenta[[#This Row],[LOTE]])</f>
        <v>1</v>
      </c>
      <c r="U85" s="1">
        <f>INDEX(Tabla_stock[En stock],MATCH(Tabla_imprenta[[#This Row],[CODIGO IFA]],Tabla_stock[Número de artículo],0))</f>
        <v>1086</v>
      </c>
    </row>
    <row r="86" spans="1:21" x14ac:dyDescent="0.25">
      <c r="A86" s="2">
        <v>46113</v>
      </c>
      <c r="B86" s="1"/>
      <c r="C86" s="154" t="s">
        <v>3101</v>
      </c>
      <c r="D86" s="154" t="s">
        <v>12</v>
      </c>
      <c r="E86" s="154" t="s">
        <v>8</v>
      </c>
      <c r="F86" s="154" t="s">
        <v>3102</v>
      </c>
      <c r="G86" s="2">
        <v>47209</v>
      </c>
      <c r="H86" s="112">
        <v>130000</v>
      </c>
      <c r="I86" s="112" t="s">
        <v>3416</v>
      </c>
      <c r="J86" s="112" t="s">
        <v>1188</v>
      </c>
      <c r="K86" s="112" t="s">
        <v>241</v>
      </c>
      <c r="L86" s="112">
        <v>4</v>
      </c>
      <c r="M86" s="112">
        <v>34</v>
      </c>
      <c r="N86" s="112" t="s">
        <v>3103</v>
      </c>
      <c r="O86" s="1">
        <v>1300</v>
      </c>
      <c r="P86" s="3">
        <v>1.255169058623206</v>
      </c>
      <c r="Q86" s="5" t="s">
        <v>2032</v>
      </c>
      <c r="R86" s="112" t="s">
        <v>25</v>
      </c>
      <c r="S86" s="5" t="s">
        <v>2028</v>
      </c>
      <c r="T86" s="1">
        <f>COUNTIF(Tabla_control[LOTE],Tabla_imprenta[[#This Row],[LOTE]])</f>
        <v>1</v>
      </c>
      <c r="U86" s="1">
        <f>INDEX(Tabla_stock[En stock],MATCH(Tabla_imprenta[[#This Row],[CODIGO IFA]],Tabla_stock[Número de artículo],0))</f>
        <v>1238</v>
      </c>
    </row>
    <row r="87" spans="1:21" x14ac:dyDescent="0.25">
      <c r="A87" s="2">
        <v>46113</v>
      </c>
      <c r="B87" s="1"/>
      <c r="C87" s="154" t="s">
        <v>3104</v>
      </c>
      <c r="D87" s="154" t="s">
        <v>12</v>
      </c>
      <c r="E87" s="154" t="s">
        <v>8</v>
      </c>
      <c r="F87" s="154" t="s">
        <v>3105</v>
      </c>
      <c r="G87" s="2">
        <v>46844</v>
      </c>
      <c r="H87" s="112">
        <v>7000</v>
      </c>
      <c r="I87" s="112" t="s">
        <v>3417</v>
      </c>
      <c r="J87" s="112" t="s">
        <v>1328</v>
      </c>
      <c r="K87" s="112" t="s">
        <v>263</v>
      </c>
      <c r="L87" s="112">
        <v>3</v>
      </c>
      <c r="M87" s="112">
        <v>97</v>
      </c>
      <c r="N87" s="112" t="s">
        <v>3106</v>
      </c>
      <c r="O87" s="1">
        <v>700</v>
      </c>
      <c r="P87" s="3">
        <v>3.3103448275862073</v>
      </c>
      <c r="Q87" s="5">
        <v>46153</v>
      </c>
      <c r="R87" s="112" t="s">
        <v>25</v>
      </c>
      <c r="S87" s="5" t="s">
        <v>2028</v>
      </c>
      <c r="T87" s="1">
        <f>COUNTIF(Tabla_control[LOTE],Tabla_imprenta[[#This Row],[LOTE]])</f>
        <v>1</v>
      </c>
      <c r="U87" s="1">
        <f>INDEX(Tabla_stock[En stock],MATCH(Tabla_imprenta[[#This Row],[CODIGO IFA]],Tabla_stock[Número de artículo],0))</f>
        <v>1550</v>
      </c>
    </row>
    <row r="88" spans="1:21" x14ac:dyDescent="0.25">
      <c r="A88" s="2">
        <v>46113</v>
      </c>
      <c r="B88" s="1"/>
      <c r="C88" s="154" t="s">
        <v>3107</v>
      </c>
      <c r="D88" s="154" t="s">
        <v>12</v>
      </c>
      <c r="E88" s="154" t="s">
        <v>8</v>
      </c>
      <c r="F88" s="154" t="s">
        <v>3108</v>
      </c>
      <c r="G88" s="2">
        <v>46844</v>
      </c>
      <c r="H88" s="112">
        <v>20000</v>
      </c>
      <c r="I88" s="112" t="s">
        <v>3418</v>
      </c>
      <c r="J88" s="112" t="s">
        <v>1460</v>
      </c>
      <c r="K88" s="112" t="s">
        <v>241</v>
      </c>
      <c r="L88" s="112">
        <v>4</v>
      </c>
      <c r="M88" s="112">
        <v>37</v>
      </c>
      <c r="N88" s="112" t="s">
        <v>3109</v>
      </c>
      <c r="O88" s="1">
        <v>10000</v>
      </c>
      <c r="P88" s="3">
        <v>2.1555806087936862</v>
      </c>
      <c r="Q88" s="5">
        <v>46155</v>
      </c>
      <c r="R88" s="112" t="s">
        <v>25</v>
      </c>
      <c r="S88" s="5">
        <v>46154</v>
      </c>
      <c r="T88" s="1">
        <f>COUNTIF(Tabla_control[LOTE],Tabla_imprenta[[#This Row],[LOTE]])</f>
        <v>1</v>
      </c>
      <c r="U88" s="1">
        <f>INDEX(Tabla_stock[En stock],MATCH(Tabla_imprenta[[#This Row],[CODIGO IFA]],Tabla_stock[Número de artículo],0))</f>
        <v>1144</v>
      </c>
    </row>
    <row r="89" spans="1:21" x14ac:dyDescent="0.25">
      <c r="A89" s="2">
        <v>46113</v>
      </c>
      <c r="B89" s="1"/>
      <c r="C89" s="154" t="s">
        <v>3110</v>
      </c>
      <c r="D89" s="154" t="s">
        <v>178</v>
      </c>
      <c r="E89" s="154" t="s">
        <v>8</v>
      </c>
      <c r="F89" s="154" t="s">
        <v>3111</v>
      </c>
      <c r="G89" s="2">
        <v>46844</v>
      </c>
      <c r="H89" s="112">
        <v>1800</v>
      </c>
      <c r="I89" s="112" t="s">
        <v>3419</v>
      </c>
      <c r="J89" s="112" t="s">
        <v>941</v>
      </c>
      <c r="K89" s="112" t="s">
        <v>176</v>
      </c>
      <c r="L89" s="112">
        <v>2</v>
      </c>
      <c r="M89" s="112">
        <v>8</v>
      </c>
      <c r="N89" s="112" t="s">
        <v>3112</v>
      </c>
      <c r="O89" s="1">
        <v>1800</v>
      </c>
      <c r="P89" s="3">
        <v>1.2250208507089242</v>
      </c>
      <c r="Q89" s="5" t="s">
        <v>28</v>
      </c>
      <c r="R89" s="112">
        <v>46167</v>
      </c>
      <c r="S89" s="5">
        <v>0</v>
      </c>
      <c r="T89" s="1">
        <f>COUNTIF(Tabla_control[LOTE],Tabla_imprenta[[#This Row],[LOTE]])</f>
        <v>1</v>
      </c>
      <c r="U89" s="1">
        <f>INDEX(Tabla_stock[En stock],MATCH(Tabla_imprenta[[#This Row],[CODIGO IFA]],Tabla_stock[Número de artículo],0))</f>
        <v>2563</v>
      </c>
    </row>
    <row r="90" spans="1:21" x14ac:dyDescent="0.25">
      <c r="A90" s="2">
        <v>46113</v>
      </c>
      <c r="B90" s="1"/>
      <c r="C90" s="154" t="s">
        <v>3113</v>
      </c>
      <c r="D90" s="154" t="s">
        <v>3089</v>
      </c>
      <c r="E90" s="154" t="s">
        <v>102</v>
      </c>
      <c r="F90" s="154" t="s">
        <v>3114</v>
      </c>
      <c r="G90" s="2">
        <v>46844</v>
      </c>
      <c r="H90" s="112">
        <v>100000</v>
      </c>
      <c r="I90" s="112" t="s">
        <v>3420</v>
      </c>
      <c r="J90" s="112" t="s">
        <v>1672</v>
      </c>
      <c r="K90" s="112" t="s">
        <v>263</v>
      </c>
      <c r="L90" s="112">
        <v>6</v>
      </c>
      <c r="M90" s="112">
        <v>1</v>
      </c>
      <c r="N90" s="112" t="s">
        <v>3091</v>
      </c>
      <c r="O90" s="1">
        <v>50000</v>
      </c>
      <c r="P90" s="3">
        <v>1.659744549945257</v>
      </c>
      <c r="Q90" s="5">
        <v>46150</v>
      </c>
      <c r="R90" s="112" t="s">
        <v>25</v>
      </c>
      <c r="S90" s="5">
        <v>46154</v>
      </c>
      <c r="T90" s="1">
        <f>COUNTIF(Tabla_control[LOTE],Tabla_imprenta[[#This Row],[LOTE]])</f>
        <v>1</v>
      </c>
      <c r="U90" s="1">
        <f>INDEX(Tabla_stock[En stock],MATCH(Tabla_imprenta[[#This Row],[CODIGO IFA]],Tabla_stock[Número de artículo],0))</f>
        <v>3839</v>
      </c>
    </row>
    <row r="91" spans="1:21" x14ac:dyDescent="0.25">
      <c r="A91" s="2">
        <v>46113</v>
      </c>
      <c r="B91" s="1"/>
      <c r="C91" s="154" t="s">
        <v>3115</v>
      </c>
      <c r="D91" s="154" t="s">
        <v>12</v>
      </c>
      <c r="E91" s="154" t="s">
        <v>8</v>
      </c>
      <c r="F91" s="154" t="s">
        <v>3116</v>
      </c>
      <c r="G91" s="2">
        <v>46844</v>
      </c>
      <c r="H91" s="112">
        <v>130000</v>
      </c>
      <c r="I91" s="112" t="s">
        <v>3421</v>
      </c>
      <c r="J91" s="112" t="s">
        <v>782</v>
      </c>
      <c r="K91" s="112" t="s">
        <v>241</v>
      </c>
      <c r="L91" s="112">
        <v>2</v>
      </c>
      <c r="M91" s="112">
        <v>38</v>
      </c>
      <c r="N91" s="112" t="s">
        <v>3117</v>
      </c>
      <c r="O91" s="1">
        <v>1300</v>
      </c>
      <c r="P91" s="3">
        <v>1.9305856832971799</v>
      </c>
      <c r="Q91" s="5">
        <v>46148</v>
      </c>
      <c r="R91" s="112" t="s">
        <v>25</v>
      </c>
      <c r="S91" s="5" t="s">
        <v>2028</v>
      </c>
      <c r="T91" s="1">
        <f>COUNTIF(Tabla_control[LOTE],Tabla_imprenta[[#This Row],[LOTE]])</f>
        <v>1</v>
      </c>
      <c r="U91" s="1">
        <f>INDEX(Tabla_stock[En stock],MATCH(Tabla_imprenta[[#This Row],[CODIGO IFA]],Tabla_stock[Número de artículo],0))</f>
        <v>1228</v>
      </c>
    </row>
    <row r="92" spans="1:21" x14ac:dyDescent="0.25">
      <c r="A92" s="2">
        <v>46113</v>
      </c>
      <c r="B92" s="1"/>
      <c r="C92" s="154" t="s">
        <v>3118</v>
      </c>
      <c r="D92" s="154" t="s">
        <v>12</v>
      </c>
      <c r="E92" s="154" t="s">
        <v>8</v>
      </c>
      <c r="F92" s="154" t="s">
        <v>3119</v>
      </c>
      <c r="G92" s="2">
        <v>46844</v>
      </c>
      <c r="H92" s="112">
        <v>250000</v>
      </c>
      <c r="I92" s="112" t="s">
        <v>3422</v>
      </c>
      <c r="J92" s="112" t="s">
        <v>1206</v>
      </c>
      <c r="K92" s="112" t="s">
        <v>241</v>
      </c>
      <c r="L92" s="112">
        <v>6</v>
      </c>
      <c r="M92" s="112">
        <v>27</v>
      </c>
      <c r="N92" s="112" t="s">
        <v>3120</v>
      </c>
      <c r="O92" s="1">
        <v>8333.3333333333339</v>
      </c>
      <c r="P92" s="3">
        <v>0.6320701638259143</v>
      </c>
      <c r="Q92" s="5">
        <v>46153</v>
      </c>
      <c r="R92" s="112" t="s">
        <v>25</v>
      </c>
      <c r="S92" s="5">
        <v>46153</v>
      </c>
      <c r="T92" s="1">
        <f>COUNTIF(Tabla_control[LOTE],Tabla_imprenta[[#This Row],[LOTE]])</f>
        <v>1</v>
      </c>
      <c r="U92" s="1">
        <f>INDEX(Tabla_stock[En stock],MATCH(Tabla_imprenta[[#This Row],[CODIGO IFA]],Tabla_stock[Número de artículo],0))</f>
        <v>848</v>
      </c>
    </row>
    <row r="93" spans="1:21" x14ac:dyDescent="0.25">
      <c r="A93" s="2">
        <v>46113</v>
      </c>
      <c r="B93" s="1"/>
      <c r="C93" s="154" t="s">
        <v>3121</v>
      </c>
      <c r="D93" s="154" t="s">
        <v>2111</v>
      </c>
      <c r="E93" s="154" t="s">
        <v>8</v>
      </c>
      <c r="F93" s="154" t="s">
        <v>3122</v>
      </c>
      <c r="G93" s="2">
        <v>47574</v>
      </c>
      <c r="H93" s="112">
        <v>140000</v>
      </c>
      <c r="I93" s="112" t="s">
        <v>3423</v>
      </c>
      <c r="J93" s="112" t="s">
        <v>1192</v>
      </c>
      <c r="K93" s="112" t="s">
        <v>241</v>
      </c>
      <c r="L93" s="112">
        <v>8</v>
      </c>
      <c r="M93" s="112">
        <v>97</v>
      </c>
      <c r="N93" s="112" t="s">
        <v>3123</v>
      </c>
      <c r="O93" s="1">
        <v>46666.666666666664</v>
      </c>
      <c r="P93" s="3">
        <v>0.16573485339769692</v>
      </c>
      <c r="Q93" s="5" t="s">
        <v>2028</v>
      </c>
      <c r="R93" s="112" t="s">
        <v>25</v>
      </c>
      <c r="S93" s="5" t="s">
        <v>2028</v>
      </c>
      <c r="T93" s="1">
        <f>COUNTIF(Tabla_control[LOTE],Tabla_imprenta[[#This Row],[LOTE]])</f>
        <v>1</v>
      </c>
      <c r="U93" s="1">
        <f>INDEX(Tabla_stock[En stock],MATCH(Tabla_imprenta[[#This Row],[CODIGO IFA]],Tabla_stock[Número de artículo],0))</f>
        <v>1115</v>
      </c>
    </row>
    <row r="94" spans="1:21" x14ac:dyDescent="0.25">
      <c r="A94" s="2">
        <v>46113</v>
      </c>
      <c r="B94" s="1"/>
      <c r="C94" s="154" t="s">
        <v>3124</v>
      </c>
      <c r="D94" s="154" t="s">
        <v>15</v>
      </c>
      <c r="E94" s="154" t="s">
        <v>8</v>
      </c>
      <c r="F94" s="154" t="s">
        <v>3125</v>
      </c>
      <c r="G94" s="2">
        <v>47209</v>
      </c>
      <c r="H94" s="112">
        <v>3750</v>
      </c>
      <c r="I94" s="112" t="s">
        <v>3424</v>
      </c>
      <c r="J94" s="112" t="s">
        <v>1140</v>
      </c>
      <c r="K94" s="112" t="s">
        <v>263</v>
      </c>
      <c r="L94" s="112">
        <v>2</v>
      </c>
      <c r="M94" s="112">
        <v>32</v>
      </c>
      <c r="N94" s="112" t="s">
        <v>3126</v>
      </c>
      <c r="O94" s="1">
        <v>3750</v>
      </c>
      <c r="P94" s="3">
        <v>1.5173477255204315</v>
      </c>
      <c r="Q94" s="5">
        <v>46154</v>
      </c>
      <c r="R94" s="112" t="s">
        <v>2028</v>
      </c>
      <c r="S94" s="5" t="s">
        <v>2028</v>
      </c>
      <c r="T94" s="1">
        <f>COUNTIF(Tabla_control[LOTE],Tabla_imprenta[[#This Row],[LOTE]])</f>
        <v>1</v>
      </c>
      <c r="U94" s="1">
        <f>INDEX(Tabla_stock[En stock],MATCH(Tabla_imprenta[[#This Row],[CODIGO IFA]],Tabla_stock[Número de artículo],0))</f>
        <v>2600</v>
      </c>
    </row>
    <row r="95" spans="1:21" x14ac:dyDescent="0.25">
      <c r="A95" s="2">
        <v>46113</v>
      </c>
      <c r="B95" s="1"/>
      <c r="C95" s="154" t="s">
        <v>2126</v>
      </c>
      <c r="D95" s="154" t="s">
        <v>212</v>
      </c>
      <c r="E95" s="154" t="s">
        <v>8</v>
      </c>
      <c r="F95" s="154" t="s">
        <v>3130</v>
      </c>
      <c r="G95" s="2">
        <v>46844</v>
      </c>
      <c r="H95" s="112">
        <v>4000</v>
      </c>
      <c r="I95" s="112" t="s">
        <v>3289</v>
      </c>
      <c r="J95" s="112" t="s">
        <v>1296</v>
      </c>
      <c r="K95" s="112" t="s">
        <v>176</v>
      </c>
      <c r="L95" s="112">
        <v>2</v>
      </c>
      <c r="M95" s="112">
        <v>85</v>
      </c>
      <c r="N95" s="112" t="s">
        <v>2128</v>
      </c>
      <c r="O95" s="1">
        <v>4000</v>
      </c>
      <c r="P95" s="3">
        <v>2.2384170264135097</v>
      </c>
      <c r="Q95" s="5" t="s">
        <v>2028</v>
      </c>
      <c r="R95" s="112" t="s">
        <v>25</v>
      </c>
      <c r="S95" s="5" t="s">
        <v>2028</v>
      </c>
      <c r="T95" s="1">
        <f>COUNTIF(Tabla_control[LOTE],Tabla_imprenta[[#This Row],[LOTE]])</f>
        <v>1</v>
      </c>
      <c r="U95" s="1">
        <f>INDEX(Tabla_stock[En stock],MATCH(Tabla_imprenta[[#This Row],[CODIGO IFA]],Tabla_stock[Número de artículo],0))</f>
        <v>9464</v>
      </c>
    </row>
    <row r="96" spans="1:21" x14ac:dyDescent="0.25">
      <c r="A96" s="2">
        <v>46113</v>
      </c>
      <c r="B96" s="1"/>
      <c r="C96" s="154" t="s">
        <v>3131</v>
      </c>
      <c r="D96" s="154" t="s">
        <v>17</v>
      </c>
      <c r="E96" s="154" t="s">
        <v>8</v>
      </c>
      <c r="F96" s="154" t="s">
        <v>3132</v>
      </c>
      <c r="G96" s="2">
        <v>46844</v>
      </c>
      <c r="H96" s="112">
        <v>17400</v>
      </c>
      <c r="I96" s="112" t="s">
        <v>3428</v>
      </c>
      <c r="J96" s="112" t="s">
        <v>1276</v>
      </c>
      <c r="K96" s="112" t="s">
        <v>241</v>
      </c>
      <c r="L96" s="112">
        <v>4</v>
      </c>
      <c r="M96" s="112">
        <v>6</v>
      </c>
      <c r="N96" s="112" t="s">
        <v>3133</v>
      </c>
      <c r="O96" s="1">
        <v>17400</v>
      </c>
      <c r="P96" s="3">
        <v>3.2389423076923078</v>
      </c>
      <c r="Q96" s="5" t="s">
        <v>2028</v>
      </c>
      <c r="R96" s="112" t="s">
        <v>25</v>
      </c>
      <c r="S96" s="5" t="s">
        <v>2028</v>
      </c>
      <c r="T96" s="1">
        <f>COUNTIF(Tabla_control[LOTE],Tabla_imprenta[[#This Row],[LOTE]])</f>
        <v>1</v>
      </c>
      <c r="U96" s="1">
        <f>INDEX(Tabla_stock[En stock],MATCH(Tabla_imprenta[[#This Row],[CODIGO IFA]],Tabla_stock[Número de artículo],0))</f>
        <v>1312</v>
      </c>
    </row>
    <row r="97" spans="1:21" x14ac:dyDescent="0.25">
      <c r="A97" s="2">
        <v>46113</v>
      </c>
      <c r="B97" s="1"/>
      <c r="C97" s="154" t="s">
        <v>3134</v>
      </c>
      <c r="D97" s="154" t="s">
        <v>12</v>
      </c>
      <c r="E97" s="154" t="s">
        <v>8</v>
      </c>
      <c r="F97" s="154" t="s">
        <v>3135</v>
      </c>
      <c r="G97" s="2">
        <v>46844</v>
      </c>
      <c r="H97" s="112">
        <v>30000</v>
      </c>
      <c r="I97" s="112" t="s">
        <v>3429</v>
      </c>
      <c r="J97" s="112" t="s">
        <v>955</v>
      </c>
      <c r="K97" s="112" t="s">
        <v>241</v>
      </c>
      <c r="L97" s="112">
        <v>4</v>
      </c>
      <c r="M97" s="112">
        <v>34</v>
      </c>
      <c r="N97" s="112" t="s">
        <v>3136</v>
      </c>
      <c r="O97" s="1">
        <v>300</v>
      </c>
      <c r="P97" s="3">
        <v>1.5794647733478973</v>
      </c>
      <c r="Q97" s="5">
        <v>46154</v>
      </c>
      <c r="R97" s="112" t="s">
        <v>25</v>
      </c>
      <c r="S97" s="5" t="s">
        <v>2028</v>
      </c>
      <c r="T97" s="1">
        <f>COUNTIF(Tabla_control[LOTE],Tabla_imprenta[[#This Row],[LOTE]])</f>
        <v>1</v>
      </c>
      <c r="U97" s="1">
        <f>INDEX(Tabla_stock[En stock],MATCH(Tabla_imprenta[[#This Row],[CODIGO IFA]],Tabla_stock[Número de artículo],0))</f>
        <v>300</v>
      </c>
    </row>
    <row r="98" spans="1:21" x14ac:dyDescent="0.25">
      <c r="A98" s="2">
        <v>46113</v>
      </c>
      <c r="B98" s="1"/>
      <c r="C98" s="154" t="s">
        <v>3137</v>
      </c>
      <c r="D98" s="154" t="s">
        <v>15</v>
      </c>
      <c r="E98" s="154" t="s">
        <v>8</v>
      </c>
      <c r="F98" s="154" t="s">
        <v>3138</v>
      </c>
      <c r="G98" s="2">
        <v>46844</v>
      </c>
      <c r="H98" s="112">
        <v>12500</v>
      </c>
      <c r="I98" s="112" t="s">
        <v>3430</v>
      </c>
      <c r="J98" s="112" t="s">
        <v>2797</v>
      </c>
      <c r="K98" s="112" t="s">
        <v>269</v>
      </c>
      <c r="L98" s="112">
        <v>4</v>
      </c>
      <c r="M98" s="112">
        <v>87</v>
      </c>
      <c r="N98" s="112" t="s">
        <v>3139</v>
      </c>
      <c r="O98" s="1">
        <v>4166.666666666667</v>
      </c>
      <c r="P98" s="3">
        <v>0.72677879429507419</v>
      </c>
      <c r="Q98" s="5">
        <v>46150</v>
      </c>
      <c r="R98" s="112" t="s">
        <v>25</v>
      </c>
      <c r="S98" s="5" t="s">
        <v>2028</v>
      </c>
      <c r="T98" s="1">
        <f>COUNTIF(Tabla_control[LOTE],Tabla_imprenta[[#This Row],[LOTE]])</f>
        <v>1</v>
      </c>
      <c r="U98" s="1">
        <f>INDEX(Tabla_stock[En stock],MATCH(Tabla_imprenta[[#This Row],[CODIGO IFA]],Tabla_stock[Número de artículo],0))</f>
        <v>3182</v>
      </c>
    </row>
    <row r="99" spans="1:21" x14ac:dyDescent="0.25">
      <c r="A99" s="2">
        <v>46113</v>
      </c>
      <c r="B99" s="1"/>
      <c r="C99" s="154" t="s">
        <v>3140</v>
      </c>
      <c r="D99" s="154" t="s">
        <v>201</v>
      </c>
      <c r="E99" s="154" t="s">
        <v>8</v>
      </c>
      <c r="F99" s="154" t="s">
        <v>3141</v>
      </c>
      <c r="G99" s="2">
        <v>46844</v>
      </c>
      <c r="H99" s="112">
        <v>10500</v>
      </c>
      <c r="I99" s="112" t="s">
        <v>3431</v>
      </c>
      <c r="J99" s="112" t="s">
        <v>841</v>
      </c>
      <c r="K99" s="112" t="s">
        <v>269</v>
      </c>
      <c r="L99" s="112">
        <v>2</v>
      </c>
      <c r="M99" s="112">
        <v>71</v>
      </c>
      <c r="N99" s="112" t="s">
        <v>3142</v>
      </c>
      <c r="O99" s="1">
        <v>10500</v>
      </c>
      <c r="P99" s="3">
        <v>2.9199067171311697</v>
      </c>
      <c r="Q99" s="5" t="s">
        <v>2028</v>
      </c>
      <c r="R99" s="112" t="s">
        <v>25</v>
      </c>
      <c r="S99" s="5" t="s">
        <v>2028</v>
      </c>
      <c r="T99" s="1">
        <f>COUNTIF(Tabla_control[LOTE],Tabla_imprenta[[#This Row],[LOTE]])</f>
        <v>1</v>
      </c>
      <c r="U99" s="1">
        <f>INDEX(Tabla_stock[En stock],MATCH(Tabla_imprenta[[#This Row],[CODIGO IFA]],Tabla_stock[Número de artículo],0))</f>
        <v>1050</v>
      </c>
    </row>
    <row r="100" spans="1:21" x14ac:dyDescent="0.25">
      <c r="A100" s="2">
        <v>46113</v>
      </c>
      <c r="B100" s="1"/>
      <c r="C100" s="154" t="s">
        <v>3143</v>
      </c>
      <c r="D100" s="154" t="s">
        <v>201</v>
      </c>
      <c r="E100" s="154" t="s">
        <v>8</v>
      </c>
      <c r="F100" s="154" t="s">
        <v>3144</v>
      </c>
      <c r="G100" s="2">
        <v>47574</v>
      </c>
      <c r="H100" s="112">
        <v>10000</v>
      </c>
      <c r="I100" s="112" t="s">
        <v>3432</v>
      </c>
      <c r="J100" s="112" t="s">
        <v>786</v>
      </c>
      <c r="K100" s="112" t="s">
        <v>176</v>
      </c>
      <c r="L100" s="112">
        <v>2</v>
      </c>
      <c r="M100" s="112">
        <v>84</v>
      </c>
      <c r="N100" s="112" t="s">
        <v>3145</v>
      </c>
      <c r="O100" s="1">
        <v>10000</v>
      </c>
      <c r="P100" s="3">
        <v>1.9029841581726636</v>
      </c>
      <c r="Q100" s="5">
        <v>46175</v>
      </c>
      <c r="R100" s="112">
        <v>46156</v>
      </c>
      <c r="S100" s="5">
        <v>46175</v>
      </c>
      <c r="T100" s="1">
        <f>COUNTIF(Tabla_control[LOTE],Tabla_imprenta[[#This Row],[LOTE]])</f>
        <v>1</v>
      </c>
      <c r="U100" s="1">
        <f>INDEX(Tabla_stock[En stock],MATCH(Tabla_imprenta[[#This Row],[CODIGO IFA]],Tabla_stock[Número de artículo],0))</f>
        <v>997</v>
      </c>
    </row>
    <row r="101" spans="1:21" x14ac:dyDescent="0.25">
      <c r="A101" s="2">
        <v>46113</v>
      </c>
      <c r="B101" s="1"/>
      <c r="C101" s="154" t="s">
        <v>3146</v>
      </c>
      <c r="D101" s="154" t="s">
        <v>106</v>
      </c>
      <c r="E101" s="154" t="s">
        <v>102</v>
      </c>
      <c r="F101" s="154" t="s">
        <v>3147</v>
      </c>
      <c r="G101" s="2">
        <v>46844</v>
      </c>
      <c r="H101" s="112">
        <v>21000</v>
      </c>
      <c r="I101" s="112" t="s">
        <v>3433</v>
      </c>
      <c r="J101" s="112" t="s">
        <v>1302</v>
      </c>
      <c r="K101" s="112" t="s">
        <v>251</v>
      </c>
      <c r="L101" s="112">
        <v>4</v>
      </c>
      <c r="M101" s="112">
        <v>6</v>
      </c>
      <c r="N101" s="112" t="s">
        <v>3148</v>
      </c>
      <c r="O101" s="1">
        <v>21000</v>
      </c>
      <c r="P101" s="3">
        <v>1.8812</v>
      </c>
      <c r="Q101" s="5">
        <v>46171</v>
      </c>
      <c r="R101" s="112" t="s">
        <v>25</v>
      </c>
      <c r="S101" s="5">
        <v>46170</v>
      </c>
      <c r="T101" s="1">
        <f>COUNTIF(Tabla_control[LOTE],Tabla_imprenta[[#This Row],[LOTE]])</f>
        <v>1</v>
      </c>
      <c r="U101" s="1">
        <f>INDEX(Tabla_stock[En stock],MATCH(Tabla_imprenta[[#This Row],[CODIGO IFA]],Tabla_stock[Número de artículo],0))</f>
        <v>606</v>
      </c>
    </row>
    <row r="102" spans="1:21" x14ac:dyDescent="0.25">
      <c r="A102" s="2">
        <v>46113</v>
      </c>
      <c r="B102" s="1"/>
      <c r="C102" s="154" t="s">
        <v>3149</v>
      </c>
      <c r="D102" s="154" t="s">
        <v>106</v>
      </c>
      <c r="E102" s="154" t="s">
        <v>8</v>
      </c>
      <c r="F102" s="154" t="s">
        <v>3150</v>
      </c>
      <c r="G102" s="2">
        <v>46844</v>
      </c>
      <c r="H102" s="112">
        <v>2000</v>
      </c>
      <c r="I102" s="112" t="s">
        <v>3434</v>
      </c>
      <c r="J102" s="112" t="s">
        <v>1898</v>
      </c>
      <c r="K102" s="112" t="s">
        <v>251</v>
      </c>
      <c r="L102" s="112">
        <v>1</v>
      </c>
      <c r="M102" s="112">
        <v>49</v>
      </c>
      <c r="N102" s="112" t="s">
        <v>3014</v>
      </c>
      <c r="O102" s="1">
        <v>2000</v>
      </c>
      <c r="P102" s="3">
        <v>1.2767641239832932</v>
      </c>
      <c r="Q102" s="5">
        <v>46150</v>
      </c>
      <c r="R102" s="112" t="s">
        <v>25</v>
      </c>
      <c r="S102" s="5" t="s">
        <v>2028</v>
      </c>
      <c r="T102" s="1">
        <f>COUNTIF(Tabla_control[LOTE],Tabla_imprenta[[#This Row],[LOTE]])</f>
        <v>1</v>
      </c>
      <c r="U102" s="1">
        <f>INDEX(Tabla_stock[En stock],MATCH(Tabla_imprenta[[#This Row],[CODIGO IFA]],Tabla_stock[Número de artículo],0))</f>
        <v>100</v>
      </c>
    </row>
    <row r="103" spans="1:21" x14ac:dyDescent="0.25">
      <c r="A103" s="2">
        <v>46113</v>
      </c>
      <c r="B103" s="1"/>
      <c r="C103" s="154" t="s">
        <v>3152</v>
      </c>
      <c r="D103" s="154" t="s">
        <v>181</v>
      </c>
      <c r="E103" s="154" t="s">
        <v>8</v>
      </c>
      <c r="F103" s="154" t="s">
        <v>3153</v>
      </c>
      <c r="G103" s="2">
        <v>47574</v>
      </c>
      <c r="H103" s="112">
        <v>9901</v>
      </c>
      <c r="I103" s="112" t="s">
        <v>3436</v>
      </c>
      <c r="J103" s="112" t="s">
        <v>921</v>
      </c>
      <c r="K103" s="112" t="s">
        <v>176</v>
      </c>
      <c r="L103" s="112">
        <v>2</v>
      </c>
      <c r="M103" s="112">
        <v>73</v>
      </c>
      <c r="N103" s="112" t="s">
        <v>3154</v>
      </c>
      <c r="O103" s="1">
        <v>9901</v>
      </c>
      <c r="P103" s="3">
        <v>1.4415693601120971</v>
      </c>
      <c r="Q103" s="5" t="s">
        <v>28</v>
      </c>
      <c r="R103" s="112">
        <v>46163</v>
      </c>
      <c r="S103" s="5">
        <v>0</v>
      </c>
      <c r="T103" s="1">
        <f>COUNTIF(Tabla_control[LOTE],Tabla_imprenta[[#This Row],[LOTE]])</f>
        <v>1</v>
      </c>
      <c r="U103" s="1">
        <f>INDEX(Tabla_stock[En stock],MATCH(Tabla_imprenta[[#This Row],[CODIGO IFA]],Tabla_stock[Número de artículo],0))</f>
        <v>615</v>
      </c>
    </row>
    <row r="104" spans="1:21" x14ac:dyDescent="0.25">
      <c r="A104" s="2">
        <v>46113</v>
      </c>
      <c r="B104" s="1"/>
      <c r="C104" s="154" t="s">
        <v>2110</v>
      </c>
      <c r="D104" s="154" t="s">
        <v>2111</v>
      </c>
      <c r="E104" s="154" t="s">
        <v>8</v>
      </c>
      <c r="F104" s="154" t="s">
        <v>3155</v>
      </c>
      <c r="G104" s="2">
        <v>47574</v>
      </c>
      <c r="H104" s="112">
        <v>58000</v>
      </c>
      <c r="I104" s="112" t="s">
        <v>3288</v>
      </c>
      <c r="J104" s="112" t="s">
        <v>961</v>
      </c>
      <c r="K104" s="112" t="s">
        <v>241</v>
      </c>
      <c r="L104" s="112">
        <v>1</v>
      </c>
      <c r="M104" s="112">
        <v>18</v>
      </c>
      <c r="N104" s="112" t="s">
        <v>2113</v>
      </c>
      <c r="O104" s="1">
        <v>2320</v>
      </c>
      <c r="P104" s="3">
        <v>1.3134302239785411</v>
      </c>
      <c r="Q104" s="5">
        <v>46163</v>
      </c>
      <c r="R104" s="112" t="s">
        <v>25</v>
      </c>
      <c r="S104" s="5">
        <v>46163</v>
      </c>
      <c r="T104" s="1">
        <f>COUNTIF(Tabla_control[LOTE],Tabla_imprenta[[#This Row],[LOTE]])</f>
        <v>1</v>
      </c>
      <c r="U104" s="1">
        <f>INDEX(Tabla_stock[En stock],MATCH(Tabla_imprenta[[#This Row],[CODIGO IFA]],Tabla_stock[Número de artículo],0))</f>
        <v>1480</v>
      </c>
    </row>
    <row r="105" spans="1:21" x14ac:dyDescent="0.25">
      <c r="A105" s="2">
        <v>46113</v>
      </c>
      <c r="B105" s="1"/>
      <c r="C105" s="154" t="s">
        <v>3156</v>
      </c>
      <c r="D105" s="154" t="s">
        <v>15</v>
      </c>
      <c r="E105" s="154" t="s">
        <v>8</v>
      </c>
      <c r="F105" s="154" t="s">
        <v>3157</v>
      </c>
      <c r="G105" s="2">
        <v>46844</v>
      </c>
      <c r="H105" s="112">
        <v>4800</v>
      </c>
      <c r="I105" s="112" t="s">
        <v>3437</v>
      </c>
      <c r="J105" s="112" t="s">
        <v>1713</v>
      </c>
      <c r="K105" s="112" t="s">
        <v>269</v>
      </c>
      <c r="L105" s="112">
        <v>2</v>
      </c>
      <c r="M105" s="112">
        <v>75</v>
      </c>
      <c r="N105" s="112" t="s">
        <v>3158</v>
      </c>
      <c r="O105" s="1">
        <v>4800</v>
      </c>
      <c r="P105" s="3">
        <v>0.38265234974201651</v>
      </c>
      <c r="Q105" s="5">
        <v>46149</v>
      </c>
      <c r="R105" s="112" t="s">
        <v>25</v>
      </c>
      <c r="S105" s="5" t="s">
        <v>2028</v>
      </c>
      <c r="T105" s="1">
        <f>COUNTIF(Tabla_control[LOTE],Tabla_imprenta[[#This Row],[LOTE]])</f>
        <v>1</v>
      </c>
      <c r="U105" s="1">
        <f>INDEX(Tabla_stock[En stock],MATCH(Tabla_imprenta[[#This Row],[CODIGO IFA]],Tabla_stock[Número de artículo],0))</f>
        <v>334</v>
      </c>
    </row>
    <row r="106" spans="1:21" x14ac:dyDescent="0.25">
      <c r="A106" s="2">
        <v>46113</v>
      </c>
      <c r="B106" s="1"/>
      <c r="C106" s="154" t="s">
        <v>3159</v>
      </c>
      <c r="D106" s="154" t="s">
        <v>201</v>
      </c>
      <c r="E106" s="154" t="s">
        <v>8</v>
      </c>
      <c r="F106" s="154" t="s">
        <v>3160</v>
      </c>
      <c r="G106" s="2">
        <v>46844</v>
      </c>
      <c r="H106" s="112">
        <v>8000</v>
      </c>
      <c r="I106" s="112" t="s">
        <v>3438</v>
      </c>
      <c r="J106" s="112" t="s">
        <v>790</v>
      </c>
      <c r="K106" s="112" t="s">
        <v>241</v>
      </c>
      <c r="L106" s="112">
        <v>4</v>
      </c>
      <c r="M106" s="112">
        <v>3</v>
      </c>
      <c r="N106" s="112" t="s">
        <v>3084</v>
      </c>
      <c r="O106" s="1">
        <v>8000</v>
      </c>
      <c r="P106" s="3">
        <v>1.0992461983880644</v>
      </c>
      <c r="Q106" s="5">
        <v>46181</v>
      </c>
      <c r="R106" s="112">
        <v>46155</v>
      </c>
      <c r="S106" s="5" t="s">
        <v>2028</v>
      </c>
      <c r="T106" s="1">
        <f>COUNTIF(Tabla_control[LOTE],Tabla_imprenta[[#This Row],[LOTE]])</f>
        <v>1</v>
      </c>
      <c r="U106" s="1">
        <f>INDEX(Tabla_stock[En stock],MATCH(Tabla_imprenta[[#This Row],[CODIGO IFA]],Tabla_stock[Número de artículo],0))</f>
        <v>2299</v>
      </c>
    </row>
    <row r="107" spans="1:21" x14ac:dyDescent="0.25">
      <c r="A107" s="2">
        <v>46113</v>
      </c>
      <c r="B107" s="1"/>
      <c r="C107" s="154" t="s">
        <v>2110</v>
      </c>
      <c r="D107" s="154" t="s">
        <v>2111</v>
      </c>
      <c r="E107" s="154" t="s">
        <v>8</v>
      </c>
      <c r="F107" s="154" t="s">
        <v>3161</v>
      </c>
      <c r="G107" s="2">
        <v>47574</v>
      </c>
      <c r="H107" s="112">
        <v>58000</v>
      </c>
      <c r="I107" s="112" t="s">
        <v>3288</v>
      </c>
      <c r="J107" s="112" t="s">
        <v>961</v>
      </c>
      <c r="K107" s="112" t="s">
        <v>241</v>
      </c>
      <c r="L107" s="112">
        <v>1</v>
      </c>
      <c r="M107" s="112">
        <v>18</v>
      </c>
      <c r="N107" s="112" t="s">
        <v>2113</v>
      </c>
      <c r="O107" s="1">
        <v>2320</v>
      </c>
      <c r="P107" s="3">
        <v>1.3134302239785411</v>
      </c>
      <c r="Q107" s="5">
        <v>46162</v>
      </c>
      <c r="R107" s="112" t="s">
        <v>25</v>
      </c>
      <c r="S107" s="5">
        <v>46162</v>
      </c>
      <c r="T107" s="1">
        <f>COUNTIF(Tabla_control[LOTE],Tabla_imprenta[[#This Row],[LOTE]])</f>
        <v>1</v>
      </c>
      <c r="U107" s="1">
        <f>INDEX(Tabla_stock[En stock],MATCH(Tabla_imprenta[[#This Row],[CODIGO IFA]],Tabla_stock[Número de artículo],0))</f>
        <v>1480</v>
      </c>
    </row>
    <row r="108" spans="1:21" x14ac:dyDescent="0.25">
      <c r="A108" s="2">
        <v>46113</v>
      </c>
      <c r="B108" s="1"/>
      <c r="C108" s="154" t="s">
        <v>2110</v>
      </c>
      <c r="D108" s="154" t="s">
        <v>2111</v>
      </c>
      <c r="E108" s="154" t="s">
        <v>8</v>
      </c>
      <c r="F108" s="154" t="s">
        <v>3163</v>
      </c>
      <c r="G108" s="2">
        <v>47574</v>
      </c>
      <c r="H108" s="112">
        <v>58000</v>
      </c>
      <c r="I108" s="112" t="s">
        <v>3288</v>
      </c>
      <c r="J108" s="112" t="s">
        <v>961</v>
      </c>
      <c r="K108" s="112" t="s">
        <v>241</v>
      </c>
      <c r="L108" s="112">
        <v>1</v>
      </c>
      <c r="M108" s="112">
        <v>18</v>
      </c>
      <c r="N108" s="112" t="s">
        <v>2113</v>
      </c>
      <c r="O108" s="1">
        <v>2320</v>
      </c>
      <c r="P108" s="3">
        <v>1.3134302239785411</v>
      </c>
      <c r="Q108" s="5">
        <v>46161</v>
      </c>
      <c r="R108" s="112" t="s">
        <v>25</v>
      </c>
      <c r="S108" s="5">
        <v>46161</v>
      </c>
      <c r="T108" s="1">
        <f>COUNTIF(Tabla_control[LOTE],Tabla_imprenta[[#This Row],[LOTE]])</f>
        <v>1</v>
      </c>
      <c r="U108" s="1">
        <f>INDEX(Tabla_stock[En stock],MATCH(Tabla_imprenta[[#This Row],[CODIGO IFA]],Tabla_stock[Número de artículo],0))</f>
        <v>1480</v>
      </c>
    </row>
    <row r="109" spans="1:21" x14ac:dyDescent="0.25">
      <c r="A109" s="2">
        <v>46113</v>
      </c>
      <c r="B109" s="1"/>
      <c r="C109" s="154" t="s">
        <v>3164</v>
      </c>
      <c r="D109" s="154" t="s">
        <v>12</v>
      </c>
      <c r="E109" s="154" t="s">
        <v>8</v>
      </c>
      <c r="F109" s="154" t="s">
        <v>3165</v>
      </c>
      <c r="G109" s="2">
        <v>46844</v>
      </c>
      <c r="H109" s="112">
        <v>50000</v>
      </c>
      <c r="I109" s="112" t="s">
        <v>3440</v>
      </c>
      <c r="J109" s="112" t="s">
        <v>1811</v>
      </c>
      <c r="K109" s="112" t="s">
        <v>241</v>
      </c>
      <c r="L109" s="112">
        <v>2</v>
      </c>
      <c r="M109" s="112">
        <v>78</v>
      </c>
      <c r="N109" s="112" t="s">
        <v>3166</v>
      </c>
      <c r="O109" s="1">
        <v>500</v>
      </c>
      <c r="P109" s="3">
        <v>1.2117320881365825</v>
      </c>
      <c r="Q109" s="5" t="s">
        <v>2032</v>
      </c>
      <c r="R109" s="112" t="s">
        <v>25</v>
      </c>
      <c r="S109" s="5" t="s">
        <v>2028</v>
      </c>
      <c r="T109" s="1">
        <f>COUNTIF(Tabla_control[LOTE],Tabla_imprenta[[#This Row],[LOTE]])</f>
        <v>1</v>
      </c>
      <c r="U109" s="1">
        <f>INDEX(Tabla_stock[En stock],MATCH(Tabla_imprenta[[#This Row],[CODIGO IFA]],Tabla_stock[Número de artículo],0))</f>
        <v>1100</v>
      </c>
    </row>
    <row r="110" spans="1:21" x14ac:dyDescent="0.25">
      <c r="A110" s="2">
        <v>46113</v>
      </c>
      <c r="B110" s="1"/>
      <c r="C110" s="154" t="s">
        <v>3167</v>
      </c>
      <c r="D110" s="154" t="s">
        <v>2148</v>
      </c>
      <c r="E110" s="154" t="s">
        <v>8</v>
      </c>
      <c r="F110" s="154" t="s">
        <v>3168</v>
      </c>
      <c r="G110" s="2">
        <v>46844</v>
      </c>
      <c r="H110" s="112">
        <v>34000</v>
      </c>
      <c r="I110" s="112" t="s">
        <v>3441</v>
      </c>
      <c r="J110" s="112" t="s">
        <v>1941</v>
      </c>
      <c r="K110" s="112" t="s">
        <v>2030</v>
      </c>
      <c r="L110" s="112">
        <v>1</v>
      </c>
      <c r="M110" s="112">
        <v>128</v>
      </c>
      <c r="N110" s="112" t="s">
        <v>3169</v>
      </c>
      <c r="O110" s="1">
        <v>1700</v>
      </c>
      <c r="P110" s="3">
        <v>6.783867631851086</v>
      </c>
      <c r="Q110" s="5" t="s">
        <v>2028</v>
      </c>
      <c r="R110" s="112" t="s">
        <v>25</v>
      </c>
      <c r="S110" s="5" t="s">
        <v>2028</v>
      </c>
      <c r="T110" s="1">
        <f>COUNTIF(Tabla_control[LOTE],Tabla_imprenta[[#This Row],[LOTE]])</f>
        <v>1</v>
      </c>
      <c r="U110" s="1">
        <f>INDEX(Tabla_stock[En stock],MATCH(Tabla_imprenta[[#This Row],[CODIGO IFA]],Tabla_stock[Número de artículo],0))</f>
        <v>1490</v>
      </c>
    </row>
    <row r="111" spans="1:21" x14ac:dyDescent="0.25">
      <c r="A111" s="2">
        <v>46113</v>
      </c>
      <c r="B111" s="1"/>
      <c r="C111" s="154" t="s">
        <v>2110</v>
      </c>
      <c r="D111" s="154" t="s">
        <v>2111</v>
      </c>
      <c r="E111" s="154" t="s">
        <v>8</v>
      </c>
      <c r="F111" s="154" t="s">
        <v>3170</v>
      </c>
      <c r="G111" s="2">
        <v>47574</v>
      </c>
      <c r="H111" s="112">
        <v>58000</v>
      </c>
      <c r="I111" s="112" t="s">
        <v>3288</v>
      </c>
      <c r="J111" s="112" t="s">
        <v>961</v>
      </c>
      <c r="K111" s="112" t="s">
        <v>241</v>
      </c>
      <c r="L111" s="112">
        <v>1</v>
      </c>
      <c r="M111" s="112">
        <v>18</v>
      </c>
      <c r="N111" s="112" t="s">
        <v>2113</v>
      </c>
      <c r="O111" s="1">
        <v>2320</v>
      </c>
      <c r="P111" s="3">
        <v>1.3134302239785411</v>
      </c>
      <c r="Q111" s="5">
        <v>46160</v>
      </c>
      <c r="R111" s="112" t="s">
        <v>25</v>
      </c>
      <c r="S111" s="5">
        <v>46160</v>
      </c>
      <c r="T111" s="1">
        <f>COUNTIF(Tabla_control[LOTE],Tabla_imprenta[[#This Row],[LOTE]])</f>
        <v>1</v>
      </c>
      <c r="U111" s="1">
        <f>INDEX(Tabla_stock[En stock],MATCH(Tabla_imprenta[[#This Row],[CODIGO IFA]],Tabla_stock[Número de artículo],0))</f>
        <v>1480</v>
      </c>
    </row>
    <row r="112" spans="1:21" x14ac:dyDescent="0.25">
      <c r="A112" s="2">
        <v>46113</v>
      </c>
      <c r="B112" s="1"/>
      <c r="C112" s="154" t="s">
        <v>2110</v>
      </c>
      <c r="D112" s="154" t="s">
        <v>2111</v>
      </c>
      <c r="E112" s="154" t="s">
        <v>8</v>
      </c>
      <c r="F112" s="154" t="s">
        <v>3171</v>
      </c>
      <c r="G112" s="2">
        <v>47574</v>
      </c>
      <c r="H112" s="112">
        <v>58000</v>
      </c>
      <c r="I112" s="112" t="s">
        <v>3288</v>
      </c>
      <c r="J112" s="112" t="s">
        <v>961</v>
      </c>
      <c r="K112" s="112" t="s">
        <v>241</v>
      </c>
      <c r="L112" s="112">
        <v>1</v>
      </c>
      <c r="M112" s="112">
        <v>18</v>
      </c>
      <c r="N112" s="112" t="s">
        <v>2113</v>
      </c>
      <c r="O112" s="1">
        <v>2320</v>
      </c>
      <c r="P112" s="3">
        <v>1.3134302239785411</v>
      </c>
      <c r="Q112" s="5">
        <v>46157</v>
      </c>
      <c r="R112" s="112" t="s">
        <v>25</v>
      </c>
      <c r="S112" s="5">
        <v>46157</v>
      </c>
      <c r="T112" s="1">
        <f>COUNTIF(Tabla_control[LOTE],Tabla_imprenta[[#This Row],[LOTE]])</f>
        <v>1</v>
      </c>
      <c r="U112" s="1">
        <f>INDEX(Tabla_stock[En stock],MATCH(Tabla_imprenta[[#This Row],[CODIGO IFA]],Tabla_stock[Número de artículo],0))</f>
        <v>1480</v>
      </c>
    </row>
    <row r="113" spans="1:21" x14ac:dyDescent="0.25">
      <c r="A113" s="2">
        <v>46113</v>
      </c>
      <c r="B113" s="1"/>
      <c r="C113" s="154" t="s">
        <v>3121</v>
      </c>
      <c r="D113" s="154" t="s">
        <v>2111</v>
      </c>
      <c r="E113" s="154" t="s">
        <v>8</v>
      </c>
      <c r="F113" s="154" t="s">
        <v>3172</v>
      </c>
      <c r="G113" s="2">
        <v>47574</v>
      </c>
      <c r="H113" s="112">
        <v>140000</v>
      </c>
      <c r="I113" s="112" t="s">
        <v>3423</v>
      </c>
      <c r="J113" s="112" t="s">
        <v>1192</v>
      </c>
      <c r="K113" s="112" t="s">
        <v>241</v>
      </c>
      <c r="L113" s="112">
        <v>8</v>
      </c>
      <c r="M113" s="112">
        <v>97</v>
      </c>
      <c r="N113" s="112" t="s">
        <v>3123</v>
      </c>
      <c r="O113" s="1">
        <v>46666.666666666664</v>
      </c>
      <c r="P113" s="3">
        <v>0.16573485339769692</v>
      </c>
      <c r="Q113" s="5">
        <v>46148</v>
      </c>
      <c r="R113" s="112" t="s">
        <v>25</v>
      </c>
      <c r="S113" s="5">
        <v>46150</v>
      </c>
      <c r="T113" s="1">
        <f>COUNTIF(Tabla_control[LOTE],Tabla_imprenta[[#This Row],[LOTE]])</f>
        <v>1</v>
      </c>
      <c r="U113" s="1">
        <f>INDEX(Tabla_stock[En stock],MATCH(Tabla_imprenta[[#This Row],[CODIGO IFA]],Tabla_stock[Número de artículo],0))</f>
        <v>1115</v>
      </c>
    </row>
    <row r="114" spans="1:21" x14ac:dyDescent="0.25">
      <c r="A114" s="2">
        <v>46113</v>
      </c>
      <c r="B114" s="1"/>
      <c r="C114" s="154" t="s">
        <v>3173</v>
      </c>
      <c r="D114" s="154" t="s">
        <v>181</v>
      </c>
      <c r="E114" s="154" t="s">
        <v>8</v>
      </c>
      <c r="F114" s="154" t="s">
        <v>3174</v>
      </c>
      <c r="G114" s="2">
        <v>46844</v>
      </c>
      <c r="H114" s="112">
        <v>9901</v>
      </c>
      <c r="I114" s="112" t="s">
        <v>3442</v>
      </c>
      <c r="J114" s="112" t="s">
        <v>919</v>
      </c>
      <c r="K114" s="112" t="s">
        <v>241</v>
      </c>
      <c r="L114" s="112">
        <v>2</v>
      </c>
      <c r="M114" s="112">
        <v>8</v>
      </c>
      <c r="N114" s="112" t="s">
        <v>3175</v>
      </c>
      <c r="O114" s="1">
        <v>9901</v>
      </c>
      <c r="P114" s="3">
        <v>0.6874176672061425</v>
      </c>
      <c r="Q114" s="5" t="s">
        <v>28</v>
      </c>
      <c r="R114" s="112">
        <v>46157</v>
      </c>
      <c r="S114" s="5">
        <v>46157</v>
      </c>
      <c r="T114" s="1">
        <f>COUNTIF(Tabla_control[LOTE],Tabla_imprenta[[#This Row],[LOTE]])</f>
        <v>1</v>
      </c>
      <c r="U114" s="1">
        <f>INDEX(Tabla_stock[En stock],MATCH(Tabla_imprenta[[#This Row],[CODIGO IFA]],Tabla_stock[Número de artículo],0))</f>
        <v>512</v>
      </c>
    </row>
    <row r="115" spans="1:21" x14ac:dyDescent="0.25">
      <c r="A115" s="2">
        <v>46113</v>
      </c>
      <c r="B115" s="1"/>
      <c r="C115" s="154" t="s">
        <v>3176</v>
      </c>
      <c r="D115" s="154" t="s">
        <v>181</v>
      </c>
      <c r="E115" s="154" t="s">
        <v>8</v>
      </c>
      <c r="F115" s="154" t="s">
        <v>3177</v>
      </c>
      <c r="G115" s="2">
        <v>47574</v>
      </c>
      <c r="H115" s="112">
        <v>29703</v>
      </c>
      <c r="I115" s="112" t="s">
        <v>3443</v>
      </c>
      <c r="J115" s="112" t="s">
        <v>951</v>
      </c>
      <c r="K115" s="112" t="s">
        <v>241</v>
      </c>
      <c r="L115" s="112">
        <v>2</v>
      </c>
      <c r="M115" s="112">
        <v>8</v>
      </c>
      <c r="N115" s="112" t="s">
        <v>3178</v>
      </c>
      <c r="O115" s="1">
        <v>29703</v>
      </c>
      <c r="P115" s="3">
        <v>0.77540560458321139</v>
      </c>
      <c r="Q115" s="5" t="s">
        <v>2028</v>
      </c>
      <c r="R115" s="112" t="s">
        <v>2028</v>
      </c>
      <c r="S115" s="5" t="s">
        <v>2028</v>
      </c>
      <c r="T115" s="1">
        <f>COUNTIF(Tabla_control[LOTE],Tabla_imprenta[[#This Row],[LOTE]])</f>
        <v>1</v>
      </c>
      <c r="U115" s="1">
        <f>INDEX(Tabla_stock[En stock],MATCH(Tabla_imprenta[[#This Row],[CODIGO IFA]],Tabla_stock[Número de artículo],0))</f>
        <v>2600</v>
      </c>
    </row>
    <row r="116" spans="1:21" x14ac:dyDescent="0.25">
      <c r="A116" s="2">
        <v>46113</v>
      </c>
      <c r="B116" s="1"/>
      <c r="C116" s="154" t="s">
        <v>3179</v>
      </c>
      <c r="D116" s="154" t="s">
        <v>12</v>
      </c>
      <c r="E116" s="154" t="s">
        <v>8</v>
      </c>
      <c r="F116" s="154" t="s">
        <v>3180</v>
      </c>
      <c r="G116" s="2">
        <v>46844</v>
      </c>
      <c r="H116" s="112">
        <v>195000</v>
      </c>
      <c r="I116" s="112" t="s">
        <v>3444</v>
      </c>
      <c r="J116" s="112" t="s">
        <v>1807</v>
      </c>
      <c r="K116" s="112" t="s">
        <v>241</v>
      </c>
      <c r="L116" s="112">
        <v>1</v>
      </c>
      <c r="M116" s="112">
        <v>26</v>
      </c>
      <c r="N116" s="112" t="s">
        <v>2967</v>
      </c>
      <c r="O116" s="1">
        <v>390</v>
      </c>
      <c r="P116" s="3">
        <v>0.20689655172413793</v>
      </c>
      <c r="Q116" s="5" t="s">
        <v>2032</v>
      </c>
      <c r="R116" s="112" t="s">
        <v>25</v>
      </c>
      <c r="S116" s="5" t="s">
        <v>2028</v>
      </c>
      <c r="T116" s="1">
        <f>COUNTIF(Tabla_control[LOTE],Tabla_imprenta[[#This Row],[LOTE]])</f>
        <v>1</v>
      </c>
      <c r="U116" s="1">
        <f>INDEX(Tabla_stock[En stock],MATCH(Tabla_imprenta[[#This Row],[CODIGO IFA]],Tabla_stock[Número de artículo],0))</f>
        <v>354</v>
      </c>
    </row>
    <row r="117" spans="1:21" x14ac:dyDescent="0.25">
      <c r="A117" s="2">
        <v>46113</v>
      </c>
      <c r="B117" s="1"/>
      <c r="C117" s="154" t="s">
        <v>3181</v>
      </c>
      <c r="D117" s="154" t="s">
        <v>12</v>
      </c>
      <c r="E117" s="154" t="s">
        <v>8</v>
      </c>
      <c r="F117" s="154" t="s">
        <v>3182</v>
      </c>
      <c r="G117" s="2">
        <v>47574</v>
      </c>
      <c r="H117" s="112">
        <v>50000</v>
      </c>
      <c r="I117" s="112" t="s">
        <v>3445</v>
      </c>
      <c r="J117" s="112" t="s">
        <v>1860</v>
      </c>
      <c r="K117" s="112" t="s">
        <v>176</v>
      </c>
      <c r="L117" s="112">
        <v>2</v>
      </c>
      <c r="M117" s="112">
        <v>102</v>
      </c>
      <c r="N117" s="112" t="s">
        <v>3183</v>
      </c>
      <c r="O117" s="1">
        <v>500</v>
      </c>
      <c r="P117" s="3">
        <v>2.1581027667984189</v>
      </c>
      <c r="Q117" s="5">
        <v>46169</v>
      </c>
      <c r="R117" s="112" t="s">
        <v>25</v>
      </c>
      <c r="S117" s="5">
        <v>46150</v>
      </c>
      <c r="T117" s="1">
        <f>COUNTIF(Tabla_control[LOTE],Tabla_imprenta[[#This Row],[LOTE]])</f>
        <v>1</v>
      </c>
      <c r="U117" s="1">
        <f>INDEX(Tabla_stock[En stock],MATCH(Tabla_imprenta[[#This Row],[CODIGO IFA]],Tabla_stock[Número de artículo],0))</f>
        <v>831</v>
      </c>
    </row>
    <row r="118" spans="1:21" x14ac:dyDescent="0.25">
      <c r="A118" s="2">
        <v>46113</v>
      </c>
      <c r="B118" s="1"/>
      <c r="C118" s="154" t="s">
        <v>3121</v>
      </c>
      <c r="D118" s="154" t="s">
        <v>2111</v>
      </c>
      <c r="E118" s="154" t="s">
        <v>8</v>
      </c>
      <c r="F118" s="154" t="s">
        <v>3224</v>
      </c>
      <c r="G118" s="2">
        <v>47574</v>
      </c>
      <c r="H118" s="112">
        <v>140000</v>
      </c>
      <c r="I118" s="112" t="s">
        <v>3423</v>
      </c>
      <c r="J118" s="112" t="s">
        <v>1192</v>
      </c>
      <c r="K118" s="112" t="s">
        <v>241</v>
      </c>
      <c r="L118" s="112">
        <v>8</v>
      </c>
      <c r="M118" s="112">
        <v>97</v>
      </c>
      <c r="N118" s="112" t="s">
        <v>3123</v>
      </c>
      <c r="O118" s="1">
        <v>46666.666666666664</v>
      </c>
      <c r="P118" s="3">
        <v>0.16573485339769692</v>
      </c>
      <c r="Q118" s="5">
        <v>46148</v>
      </c>
      <c r="R118" s="112" t="s">
        <v>25</v>
      </c>
      <c r="S118" s="5">
        <v>46149</v>
      </c>
      <c r="T118" s="1">
        <f>COUNTIF(Tabla_control[LOTE],Tabla_imprenta[[#This Row],[LOTE]])</f>
        <v>1</v>
      </c>
      <c r="U118" s="1">
        <f>INDEX(Tabla_stock[En stock],MATCH(Tabla_imprenta[[#This Row],[CODIGO IFA]],Tabla_stock[Número de artículo],0))</f>
        <v>1115</v>
      </c>
    </row>
    <row r="119" spans="1:21" x14ac:dyDescent="0.25">
      <c r="A119" s="2">
        <v>46120</v>
      </c>
      <c r="B119" s="1"/>
      <c r="C119" s="154" t="s">
        <v>3184</v>
      </c>
      <c r="D119" s="154" t="s">
        <v>141</v>
      </c>
      <c r="E119" s="154" t="s">
        <v>8</v>
      </c>
      <c r="F119" s="154" t="s">
        <v>3185</v>
      </c>
      <c r="G119" s="2">
        <v>47574</v>
      </c>
      <c r="H119" s="112">
        <v>190000</v>
      </c>
      <c r="I119" s="112" t="s">
        <v>3446</v>
      </c>
      <c r="J119" s="112" t="s">
        <v>1314</v>
      </c>
      <c r="K119" s="112" t="s">
        <v>241</v>
      </c>
      <c r="L119" s="112">
        <v>4</v>
      </c>
      <c r="M119" s="112">
        <v>92</v>
      </c>
      <c r="N119" s="112" t="s">
        <v>3186</v>
      </c>
      <c r="O119" s="1">
        <v>1900</v>
      </c>
      <c r="P119" s="3">
        <v>0.7280310254439718</v>
      </c>
      <c r="Q119" s="5" t="s">
        <v>2032</v>
      </c>
      <c r="R119" s="112" t="s">
        <v>25</v>
      </c>
      <c r="S119" s="5" t="s">
        <v>2028</v>
      </c>
      <c r="T119" s="1">
        <f>COUNTIF(Tabla_control[LOTE],Tabla_imprenta[[#This Row],[LOTE]])</f>
        <v>1</v>
      </c>
      <c r="U119" s="1">
        <f>INDEX(Tabla_stock[En stock],MATCH(Tabla_imprenta[[#This Row],[CODIGO IFA]],Tabla_stock[Número de artículo],0))</f>
        <v>543</v>
      </c>
    </row>
    <row r="120" spans="1:21" x14ac:dyDescent="0.25">
      <c r="A120" s="2">
        <v>46113</v>
      </c>
      <c r="B120" s="1"/>
      <c r="C120" s="154" t="s">
        <v>3121</v>
      </c>
      <c r="D120" s="154" t="s">
        <v>2111</v>
      </c>
      <c r="E120" s="154" t="s">
        <v>8</v>
      </c>
      <c r="F120" s="154" t="s">
        <v>3225</v>
      </c>
      <c r="G120" s="2">
        <v>47574</v>
      </c>
      <c r="H120" s="112">
        <v>140000</v>
      </c>
      <c r="I120" s="112" t="s">
        <v>3423</v>
      </c>
      <c r="J120" s="112" t="s">
        <v>1192</v>
      </c>
      <c r="K120" s="112" t="s">
        <v>241</v>
      </c>
      <c r="L120" s="112">
        <v>8</v>
      </c>
      <c r="M120" s="112">
        <v>97</v>
      </c>
      <c r="N120" s="112" t="s">
        <v>3123</v>
      </c>
      <c r="O120" s="1">
        <v>46666.666666666664</v>
      </c>
      <c r="P120" s="3">
        <v>0.16573485339769692</v>
      </c>
      <c r="Q120" s="5" t="s">
        <v>2028</v>
      </c>
      <c r="R120" s="112" t="s">
        <v>25</v>
      </c>
      <c r="S120" s="5">
        <v>46149</v>
      </c>
      <c r="T120" s="1">
        <f>COUNTIF(Tabla_control[LOTE],Tabla_imprenta[[#This Row],[LOTE]])</f>
        <v>1</v>
      </c>
      <c r="U120" s="1">
        <f>INDEX(Tabla_stock[En stock],MATCH(Tabla_imprenta[[#This Row],[CODIGO IFA]],Tabla_stock[Número de artículo],0))</f>
        <v>1115</v>
      </c>
    </row>
    <row r="121" spans="1:21" x14ac:dyDescent="0.25">
      <c r="A121" s="2">
        <v>46113</v>
      </c>
      <c r="B121" s="1"/>
      <c r="C121" s="154" t="s">
        <v>3038</v>
      </c>
      <c r="D121" s="154" t="s">
        <v>106</v>
      </c>
      <c r="E121" s="154" t="s">
        <v>8</v>
      </c>
      <c r="F121" s="154" t="s">
        <v>3226</v>
      </c>
      <c r="G121" s="2">
        <v>47209</v>
      </c>
      <c r="H121" s="112">
        <v>8700</v>
      </c>
      <c r="I121" s="112" t="s">
        <v>3391</v>
      </c>
      <c r="J121" s="112" t="s">
        <v>903</v>
      </c>
      <c r="K121" s="112" t="s">
        <v>251</v>
      </c>
      <c r="L121" s="112">
        <v>2</v>
      </c>
      <c r="M121" s="112">
        <v>70</v>
      </c>
      <c r="N121" s="112" t="s">
        <v>3040</v>
      </c>
      <c r="O121" s="1">
        <v>8700</v>
      </c>
      <c r="P121" s="3">
        <v>4.2492602759259919</v>
      </c>
      <c r="Q121" s="5" t="s">
        <v>2028</v>
      </c>
      <c r="R121" s="112" t="s">
        <v>25</v>
      </c>
      <c r="S121" s="5" t="s">
        <v>2028</v>
      </c>
      <c r="T121" s="1">
        <f>COUNTIF(Tabla_control[LOTE],Tabla_imprenta[[#This Row],[LOTE]])</f>
        <v>1</v>
      </c>
      <c r="U121" s="1">
        <f>INDEX(Tabla_stock[En stock],MATCH(Tabla_imprenta[[#This Row],[CODIGO IFA]],Tabla_stock[Número de artículo],0))</f>
        <v>7186</v>
      </c>
    </row>
    <row r="122" spans="1:21" x14ac:dyDescent="0.25">
      <c r="A122" s="2">
        <v>46113</v>
      </c>
      <c r="B122" s="1"/>
      <c r="C122" s="154" t="s">
        <v>3092</v>
      </c>
      <c r="D122" s="154" t="s">
        <v>17</v>
      </c>
      <c r="E122" s="154" t="s">
        <v>8</v>
      </c>
      <c r="F122" s="154" t="s">
        <v>3228</v>
      </c>
      <c r="G122" s="2">
        <v>46844</v>
      </c>
      <c r="H122" s="112">
        <v>17100</v>
      </c>
      <c r="I122" s="112" t="s">
        <v>3413</v>
      </c>
      <c r="J122" s="112" t="s">
        <v>1124</v>
      </c>
      <c r="K122" s="112" t="s">
        <v>241</v>
      </c>
      <c r="L122" s="112">
        <v>4</v>
      </c>
      <c r="M122" s="112">
        <v>6</v>
      </c>
      <c r="N122" s="112" t="s">
        <v>3094</v>
      </c>
      <c r="O122" s="1">
        <v>17100</v>
      </c>
      <c r="P122" s="3">
        <v>1.5089103092900005</v>
      </c>
      <c r="Q122" s="5" t="s">
        <v>2028</v>
      </c>
      <c r="R122" s="112" t="s">
        <v>25</v>
      </c>
      <c r="S122" s="5" t="s">
        <v>2028</v>
      </c>
      <c r="T122" s="1">
        <f>COUNTIF(Tabla_control[LOTE],Tabla_imprenta[[#This Row],[LOTE]])</f>
        <v>1</v>
      </c>
      <c r="U122" s="1">
        <f>INDEX(Tabla_stock[En stock],MATCH(Tabla_imprenta[[#This Row],[CODIGO IFA]],Tabla_stock[Número de artículo],0))</f>
        <v>2157</v>
      </c>
    </row>
    <row r="123" spans="1:21" x14ac:dyDescent="0.25">
      <c r="A123" s="2">
        <v>46113</v>
      </c>
      <c r="B123" s="1"/>
      <c r="C123" s="154" t="s">
        <v>3092</v>
      </c>
      <c r="D123" s="154" t="s">
        <v>17</v>
      </c>
      <c r="E123" s="154" t="s">
        <v>8</v>
      </c>
      <c r="F123" s="154" t="s">
        <v>3229</v>
      </c>
      <c r="G123" s="2">
        <v>46844</v>
      </c>
      <c r="H123" s="112">
        <v>17100</v>
      </c>
      <c r="I123" s="112" t="s">
        <v>3413</v>
      </c>
      <c r="J123" s="112" t="s">
        <v>1124</v>
      </c>
      <c r="K123" s="112" t="s">
        <v>241</v>
      </c>
      <c r="L123" s="112">
        <v>4</v>
      </c>
      <c r="M123" s="112">
        <v>6</v>
      </c>
      <c r="N123" s="112" t="s">
        <v>3094</v>
      </c>
      <c r="O123" s="1">
        <v>17100</v>
      </c>
      <c r="P123" s="3">
        <v>1.5089103092900005</v>
      </c>
      <c r="Q123" s="5" t="s">
        <v>2028</v>
      </c>
      <c r="R123" s="112" t="s">
        <v>25</v>
      </c>
      <c r="S123" s="5" t="s">
        <v>2028</v>
      </c>
      <c r="T123" s="1">
        <f>COUNTIF(Tabla_control[LOTE],Tabla_imprenta[[#This Row],[LOTE]])</f>
        <v>1</v>
      </c>
      <c r="U123" s="1">
        <f>INDEX(Tabla_stock[En stock],MATCH(Tabla_imprenta[[#This Row],[CODIGO IFA]],Tabla_stock[Número de artículo],0))</f>
        <v>2157</v>
      </c>
    </row>
    <row r="124" spans="1:21" x14ac:dyDescent="0.25">
      <c r="A124" s="2">
        <v>46113</v>
      </c>
      <c r="B124" s="1"/>
      <c r="C124" s="154" t="s">
        <v>3187</v>
      </c>
      <c r="D124" s="154" t="s">
        <v>178</v>
      </c>
      <c r="E124" s="154" t="s">
        <v>8</v>
      </c>
      <c r="F124" s="154" t="s">
        <v>3188</v>
      </c>
      <c r="G124" s="2">
        <v>46844</v>
      </c>
      <c r="H124" s="112">
        <v>4000</v>
      </c>
      <c r="I124" s="112" t="s">
        <v>3447</v>
      </c>
      <c r="J124" s="112" t="s">
        <v>1626</v>
      </c>
      <c r="K124" s="112" t="s">
        <v>263</v>
      </c>
      <c r="L124" s="112">
        <v>2</v>
      </c>
      <c r="M124" s="112">
        <v>8</v>
      </c>
      <c r="N124" s="112" t="s">
        <v>3189</v>
      </c>
      <c r="O124" s="1">
        <v>4000</v>
      </c>
      <c r="P124" s="3">
        <v>1.2158426769006947</v>
      </c>
      <c r="Q124" s="5">
        <v>46176</v>
      </c>
      <c r="R124" s="112" t="s">
        <v>2028</v>
      </c>
      <c r="S124" s="5" t="s">
        <v>2028</v>
      </c>
      <c r="T124" s="1">
        <f>COUNTIF(Tabla_control[LOTE],Tabla_imprenta[[#This Row],[LOTE]])</f>
        <v>1</v>
      </c>
      <c r="U124" s="1">
        <f>INDEX(Tabla_stock[En stock],MATCH(Tabla_imprenta[[#This Row],[CODIGO IFA]],Tabla_stock[Número de artículo],0))</f>
        <v>7000</v>
      </c>
    </row>
    <row r="125" spans="1:21" x14ac:dyDescent="0.25">
      <c r="A125" s="2">
        <v>46113</v>
      </c>
      <c r="B125" s="1"/>
      <c r="C125" s="154" t="s">
        <v>3092</v>
      </c>
      <c r="D125" s="154" t="s">
        <v>17</v>
      </c>
      <c r="E125" s="154" t="s">
        <v>8</v>
      </c>
      <c r="F125" s="154" t="s">
        <v>3230</v>
      </c>
      <c r="G125" s="2">
        <v>46844</v>
      </c>
      <c r="H125" s="112">
        <v>11400</v>
      </c>
      <c r="I125" s="112" t="s">
        <v>3413</v>
      </c>
      <c r="J125" s="112" t="s">
        <v>1124</v>
      </c>
      <c r="K125" s="112" t="s">
        <v>241</v>
      </c>
      <c r="L125" s="112">
        <v>4</v>
      </c>
      <c r="M125" s="112">
        <v>6</v>
      </c>
      <c r="N125" s="112" t="s">
        <v>3094</v>
      </c>
      <c r="O125" s="1">
        <v>11400</v>
      </c>
      <c r="P125" s="3">
        <v>1.5089103092900005</v>
      </c>
      <c r="Q125" s="5" t="s">
        <v>2028</v>
      </c>
      <c r="R125" s="112" t="s">
        <v>25</v>
      </c>
      <c r="S125" s="5" t="s">
        <v>2028</v>
      </c>
      <c r="T125" s="1">
        <f>COUNTIF(Tabla_control[LOTE],Tabla_imprenta[[#This Row],[LOTE]])</f>
        <v>1</v>
      </c>
      <c r="U125" s="1">
        <f>INDEX(Tabla_stock[En stock],MATCH(Tabla_imprenta[[#This Row],[CODIGO IFA]],Tabla_stock[Número de artículo],0))</f>
        <v>2157</v>
      </c>
    </row>
    <row r="126" spans="1:21" x14ac:dyDescent="0.25">
      <c r="A126" s="2">
        <v>46113</v>
      </c>
      <c r="B126" s="1"/>
      <c r="C126" s="154" t="s">
        <v>3191</v>
      </c>
      <c r="D126" s="154" t="s">
        <v>12</v>
      </c>
      <c r="E126" s="154" t="s">
        <v>10</v>
      </c>
      <c r="F126" s="154" t="s">
        <v>3192</v>
      </c>
      <c r="G126" s="2">
        <v>46844</v>
      </c>
      <c r="H126" s="112">
        <v>40000</v>
      </c>
      <c r="I126" s="112" t="s">
        <v>3449</v>
      </c>
      <c r="J126" s="112" t="s">
        <v>1429</v>
      </c>
      <c r="K126" s="112" t="s">
        <v>263</v>
      </c>
      <c r="L126" s="112">
        <v>5</v>
      </c>
      <c r="M126" s="112">
        <v>28</v>
      </c>
      <c r="N126" s="112" t="s">
        <v>3024</v>
      </c>
      <c r="O126" s="1">
        <v>20000</v>
      </c>
      <c r="P126" s="3">
        <v>5.6075100826623174</v>
      </c>
      <c r="Q126" s="5">
        <v>46154</v>
      </c>
      <c r="R126" s="112" t="s">
        <v>25</v>
      </c>
      <c r="S126" s="5">
        <v>46154</v>
      </c>
      <c r="T126" s="1">
        <f>COUNTIF(Tabla_control[LOTE],Tabla_imprenta[[#This Row],[LOTE]])</f>
        <v>1</v>
      </c>
      <c r="U126" s="1">
        <f>INDEX(Tabla_stock[En stock],MATCH(Tabla_imprenta[[#This Row],[CODIGO IFA]],Tabla_stock[Número de artículo],0))</f>
        <v>2072</v>
      </c>
    </row>
    <row r="127" spans="1:21" x14ac:dyDescent="0.25">
      <c r="A127" s="2">
        <v>46113</v>
      </c>
      <c r="B127" s="1"/>
      <c r="C127" s="154" t="s">
        <v>2999</v>
      </c>
      <c r="D127" s="154" t="s">
        <v>2111</v>
      </c>
      <c r="E127" s="154" t="s">
        <v>8</v>
      </c>
      <c r="F127" s="154" t="s">
        <v>3193</v>
      </c>
      <c r="G127" s="2">
        <v>47574</v>
      </c>
      <c r="H127" s="112">
        <v>90000</v>
      </c>
      <c r="I127" s="112" t="s">
        <v>3376</v>
      </c>
      <c r="J127" s="112" t="s">
        <v>1242</v>
      </c>
      <c r="K127" s="112" t="s">
        <v>241</v>
      </c>
      <c r="L127" s="112">
        <v>2</v>
      </c>
      <c r="M127" s="112">
        <v>21</v>
      </c>
      <c r="N127" s="112" t="s">
        <v>3001</v>
      </c>
      <c r="O127" s="1">
        <v>3600</v>
      </c>
      <c r="P127" s="3">
        <v>1.3069071110131314</v>
      </c>
      <c r="Q127" s="5">
        <v>46174</v>
      </c>
      <c r="R127" s="112" t="s">
        <v>25</v>
      </c>
      <c r="S127" s="5">
        <v>46174</v>
      </c>
      <c r="T127" s="1">
        <f>COUNTIF(Tabla_control[LOTE],Tabla_imprenta[[#This Row],[LOTE]])</f>
        <v>1</v>
      </c>
      <c r="U127" s="1">
        <f>INDEX(Tabla_stock[En stock],MATCH(Tabla_imprenta[[#This Row],[CODIGO IFA]],Tabla_stock[Número de artículo],0))</f>
        <v>7029</v>
      </c>
    </row>
    <row r="128" spans="1:21" x14ac:dyDescent="0.25">
      <c r="A128" s="2">
        <v>46113</v>
      </c>
      <c r="B128" s="1"/>
      <c r="C128" s="154" t="s">
        <v>2110</v>
      </c>
      <c r="D128" s="154" t="s">
        <v>2111</v>
      </c>
      <c r="E128" s="154" t="s">
        <v>8</v>
      </c>
      <c r="F128" s="154" t="s">
        <v>3194</v>
      </c>
      <c r="G128" s="2">
        <v>47574</v>
      </c>
      <c r="H128" s="112">
        <v>29000</v>
      </c>
      <c r="I128" s="112" t="s">
        <v>3288</v>
      </c>
      <c r="J128" s="112" t="s">
        <v>961</v>
      </c>
      <c r="K128" s="112" t="s">
        <v>241</v>
      </c>
      <c r="L128" s="112">
        <v>1</v>
      </c>
      <c r="M128" s="112">
        <v>18</v>
      </c>
      <c r="N128" s="112" t="s">
        <v>2113</v>
      </c>
      <c r="O128" s="1">
        <v>1160</v>
      </c>
      <c r="P128" s="3">
        <v>1.3134302239785411</v>
      </c>
      <c r="Q128" s="5">
        <v>46155</v>
      </c>
      <c r="R128" s="112" t="s">
        <v>25</v>
      </c>
      <c r="S128" s="5">
        <v>46155</v>
      </c>
      <c r="T128" s="1">
        <f>COUNTIF(Tabla_control[LOTE],Tabla_imprenta[[#This Row],[LOTE]])</f>
        <v>1</v>
      </c>
      <c r="U128" s="1">
        <f>INDEX(Tabla_stock[En stock],MATCH(Tabla_imprenta[[#This Row],[CODIGO IFA]],Tabla_stock[Número de artículo],0))</f>
        <v>1480</v>
      </c>
    </row>
    <row r="129" spans="1:21" x14ac:dyDescent="0.25">
      <c r="A129" s="2">
        <v>46113</v>
      </c>
      <c r="B129" s="1"/>
      <c r="C129" s="154" t="s">
        <v>3187</v>
      </c>
      <c r="D129" s="154" t="s">
        <v>178</v>
      </c>
      <c r="E129" s="154" t="s">
        <v>8</v>
      </c>
      <c r="F129" s="154" t="s">
        <v>3196</v>
      </c>
      <c r="G129" s="2">
        <v>46844</v>
      </c>
      <c r="H129" s="112">
        <v>6000</v>
      </c>
      <c r="I129" s="112" t="s">
        <v>3447</v>
      </c>
      <c r="J129" s="112" t="s">
        <v>1626</v>
      </c>
      <c r="K129" s="112" t="s">
        <v>263</v>
      </c>
      <c r="L129" s="112">
        <v>2</v>
      </c>
      <c r="M129" s="112">
        <v>8</v>
      </c>
      <c r="N129" s="112" t="s">
        <v>3189</v>
      </c>
      <c r="O129" s="1">
        <v>6000</v>
      </c>
      <c r="P129" s="3">
        <v>1.2158426769006947</v>
      </c>
      <c r="Q129" s="5">
        <v>46189</v>
      </c>
      <c r="R129" s="112" t="s">
        <v>2028</v>
      </c>
      <c r="S129" s="5">
        <v>46189</v>
      </c>
      <c r="T129" s="1">
        <f>COUNTIF(Tabla_control[LOTE],Tabla_imprenta[[#This Row],[LOTE]])</f>
        <v>1</v>
      </c>
      <c r="U129" s="1">
        <f>INDEX(Tabla_stock[En stock],MATCH(Tabla_imprenta[[#This Row],[CODIGO IFA]],Tabla_stock[Número de artículo],0))</f>
        <v>7000</v>
      </c>
    </row>
    <row r="130" spans="1:21" x14ac:dyDescent="0.25">
      <c r="A130" s="2">
        <v>46113</v>
      </c>
      <c r="B130" s="1"/>
      <c r="C130" s="154" t="s">
        <v>3187</v>
      </c>
      <c r="D130" s="154" t="s">
        <v>178</v>
      </c>
      <c r="E130" s="154" t="s">
        <v>8</v>
      </c>
      <c r="F130" s="154" t="s">
        <v>3197</v>
      </c>
      <c r="G130" s="2">
        <v>46844</v>
      </c>
      <c r="H130" s="112">
        <v>6000</v>
      </c>
      <c r="I130" s="112" t="s">
        <v>3447</v>
      </c>
      <c r="J130" s="112" t="s">
        <v>1626</v>
      </c>
      <c r="K130" s="112" t="s">
        <v>263</v>
      </c>
      <c r="L130" s="112">
        <v>2</v>
      </c>
      <c r="M130" s="112">
        <v>8</v>
      </c>
      <c r="N130" s="112" t="s">
        <v>3189</v>
      </c>
      <c r="O130" s="1">
        <v>6000</v>
      </c>
      <c r="P130" s="3">
        <v>1.2158426769006947</v>
      </c>
      <c r="Q130" s="5">
        <v>46184</v>
      </c>
      <c r="R130" s="112" t="s">
        <v>2028</v>
      </c>
      <c r="S130" s="5">
        <v>46184</v>
      </c>
      <c r="T130" s="1">
        <f>COUNTIF(Tabla_control[LOTE],Tabla_imprenta[[#This Row],[LOTE]])</f>
        <v>1</v>
      </c>
      <c r="U130" s="1">
        <f>INDEX(Tabla_stock[En stock],MATCH(Tabla_imprenta[[#This Row],[CODIGO IFA]],Tabla_stock[Número de artículo],0))</f>
        <v>7000</v>
      </c>
    </row>
    <row r="131" spans="1:21" x14ac:dyDescent="0.25">
      <c r="A131" s="2">
        <v>46113</v>
      </c>
      <c r="B131" s="1"/>
      <c r="C131" s="154" t="s">
        <v>3187</v>
      </c>
      <c r="D131" s="154" t="s">
        <v>178</v>
      </c>
      <c r="E131" s="154" t="s">
        <v>8</v>
      </c>
      <c r="F131" s="154" t="s">
        <v>3198</v>
      </c>
      <c r="G131" s="2">
        <v>46844</v>
      </c>
      <c r="H131" s="112">
        <v>6000</v>
      </c>
      <c r="I131" s="112" t="s">
        <v>3447</v>
      </c>
      <c r="J131" s="112" t="s">
        <v>1626</v>
      </c>
      <c r="K131" s="112" t="s">
        <v>263</v>
      </c>
      <c r="L131" s="112">
        <v>2</v>
      </c>
      <c r="M131" s="112">
        <v>8</v>
      </c>
      <c r="N131" s="112" t="s">
        <v>3189</v>
      </c>
      <c r="O131" s="1">
        <v>6000</v>
      </c>
      <c r="P131" s="3">
        <v>1.2158426769006947</v>
      </c>
      <c r="Q131" s="5">
        <v>46184</v>
      </c>
      <c r="R131" s="112" t="s">
        <v>2028</v>
      </c>
      <c r="S131" s="5">
        <v>46184</v>
      </c>
      <c r="T131" s="1">
        <f>COUNTIF(Tabla_control[LOTE],Tabla_imprenta[[#This Row],[LOTE]])</f>
        <v>1</v>
      </c>
      <c r="U131" s="1">
        <f>INDEX(Tabla_stock[En stock],MATCH(Tabla_imprenta[[#This Row],[CODIGO IFA]],Tabla_stock[Número de artículo],0))</f>
        <v>7000</v>
      </c>
    </row>
    <row r="132" spans="1:21" x14ac:dyDescent="0.25">
      <c r="A132" s="2">
        <v>46113</v>
      </c>
      <c r="B132" s="1"/>
      <c r="C132" s="154" t="s">
        <v>3187</v>
      </c>
      <c r="D132" s="154" t="s">
        <v>178</v>
      </c>
      <c r="E132" s="154" t="s">
        <v>8</v>
      </c>
      <c r="F132" s="154" t="s">
        <v>3199</v>
      </c>
      <c r="G132" s="2">
        <v>46844</v>
      </c>
      <c r="H132" s="112">
        <v>4000</v>
      </c>
      <c r="I132" s="112" t="s">
        <v>3447</v>
      </c>
      <c r="J132" s="112" t="s">
        <v>1626</v>
      </c>
      <c r="K132" s="112" t="s">
        <v>263</v>
      </c>
      <c r="L132" s="112">
        <v>2</v>
      </c>
      <c r="M132" s="112">
        <v>8</v>
      </c>
      <c r="N132" s="112" t="s">
        <v>3189</v>
      </c>
      <c r="O132" s="1">
        <v>4000</v>
      </c>
      <c r="P132" s="3">
        <v>1.2158426769006947</v>
      </c>
      <c r="Q132" s="5">
        <v>46181</v>
      </c>
      <c r="R132" s="112" t="s">
        <v>2028</v>
      </c>
      <c r="S132" s="5">
        <v>46181</v>
      </c>
      <c r="T132" s="1">
        <f>COUNTIF(Tabla_control[LOTE],Tabla_imprenta[[#This Row],[LOTE]])</f>
        <v>1</v>
      </c>
      <c r="U132" s="1">
        <f>INDEX(Tabla_stock[En stock],MATCH(Tabla_imprenta[[#This Row],[CODIGO IFA]],Tabla_stock[Número de artículo],0))</f>
        <v>7000</v>
      </c>
    </row>
    <row r="133" spans="1:21" x14ac:dyDescent="0.25">
      <c r="A133" s="2">
        <v>46113</v>
      </c>
      <c r="B133" s="1"/>
      <c r="C133" s="154" t="s">
        <v>3086</v>
      </c>
      <c r="D133" s="154" t="s">
        <v>201</v>
      </c>
      <c r="E133" s="154" t="s">
        <v>8</v>
      </c>
      <c r="F133" s="154" t="s">
        <v>3200</v>
      </c>
      <c r="G133" s="2">
        <v>46844</v>
      </c>
      <c r="H133" s="112">
        <v>1700</v>
      </c>
      <c r="I133" s="112" t="s">
        <v>3411</v>
      </c>
      <c r="J133" s="112" t="s">
        <v>963</v>
      </c>
      <c r="K133" s="112" t="s">
        <v>241</v>
      </c>
      <c r="L133" s="112">
        <v>2</v>
      </c>
      <c r="M133" s="112">
        <v>8</v>
      </c>
      <c r="N133" s="112" t="s">
        <v>2228</v>
      </c>
      <c r="O133" s="1">
        <v>1700</v>
      </c>
      <c r="P133" s="3">
        <v>0.70837531678422028</v>
      </c>
      <c r="Q133" s="5">
        <v>46167</v>
      </c>
      <c r="R133" s="112" t="s">
        <v>2028</v>
      </c>
      <c r="S133" s="5">
        <v>46167</v>
      </c>
      <c r="T133" s="1">
        <f>COUNTIF(Tabla_control[LOTE],Tabla_imprenta[[#This Row],[LOTE]])</f>
        <v>1</v>
      </c>
      <c r="U133" s="1">
        <f>INDEX(Tabla_stock[En stock],MATCH(Tabla_imprenta[[#This Row],[CODIGO IFA]],Tabla_stock[Número de artículo],0))</f>
        <v>209</v>
      </c>
    </row>
    <row r="134" spans="1:21" x14ac:dyDescent="0.25">
      <c r="A134" s="2">
        <v>46113</v>
      </c>
      <c r="B134" s="1"/>
      <c r="C134" s="154" t="s">
        <v>3086</v>
      </c>
      <c r="D134" s="154" t="s">
        <v>201</v>
      </c>
      <c r="E134" s="154" t="s">
        <v>8</v>
      </c>
      <c r="F134" s="154" t="s">
        <v>3201</v>
      </c>
      <c r="G134" s="2">
        <v>46844</v>
      </c>
      <c r="H134" s="112">
        <v>5100</v>
      </c>
      <c r="I134" s="112" t="s">
        <v>3411</v>
      </c>
      <c r="J134" s="112" t="s">
        <v>963</v>
      </c>
      <c r="K134" s="112" t="s">
        <v>241</v>
      </c>
      <c r="L134" s="112">
        <v>2</v>
      </c>
      <c r="M134" s="112">
        <v>8</v>
      </c>
      <c r="N134" s="112" t="s">
        <v>2228</v>
      </c>
      <c r="O134" s="1">
        <v>5100</v>
      </c>
      <c r="P134" s="3">
        <v>0.70837531678422028</v>
      </c>
      <c r="Q134" s="5">
        <v>46171</v>
      </c>
      <c r="R134" s="112" t="s">
        <v>2028</v>
      </c>
      <c r="S134" s="5">
        <v>46171</v>
      </c>
      <c r="T134" s="1">
        <f>COUNTIF(Tabla_control[LOTE],Tabla_imprenta[[#This Row],[LOTE]])</f>
        <v>1</v>
      </c>
      <c r="U134" s="1">
        <f>INDEX(Tabla_stock[En stock],MATCH(Tabla_imprenta[[#This Row],[CODIGO IFA]],Tabla_stock[Número de artículo],0))</f>
        <v>209</v>
      </c>
    </row>
    <row r="135" spans="1:21" x14ac:dyDescent="0.25">
      <c r="A135" s="2">
        <v>46113</v>
      </c>
      <c r="B135" s="1"/>
      <c r="C135" s="154" t="s">
        <v>2126</v>
      </c>
      <c r="D135" s="154" t="s">
        <v>212</v>
      </c>
      <c r="E135" s="154" t="s">
        <v>8</v>
      </c>
      <c r="F135" s="154" t="s">
        <v>3202</v>
      </c>
      <c r="G135" s="2">
        <v>46844</v>
      </c>
      <c r="H135" s="112">
        <v>4000</v>
      </c>
      <c r="I135" s="112" t="s">
        <v>3289</v>
      </c>
      <c r="J135" s="112" t="s">
        <v>1296</v>
      </c>
      <c r="K135" s="112" t="s">
        <v>176</v>
      </c>
      <c r="L135" s="112">
        <v>2</v>
      </c>
      <c r="M135" s="112">
        <v>85</v>
      </c>
      <c r="N135" s="112" t="s">
        <v>2128</v>
      </c>
      <c r="O135" s="1">
        <v>4000</v>
      </c>
      <c r="P135" s="3">
        <v>2.2384170264135097</v>
      </c>
      <c r="Q135" s="5" t="s">
        <v>2028</v>
      </c>
      <c r="R135" s="112" t="s">
        <v>25</v>
      </c>
      <c r="S135" s="5" t="s">
        <v>2028</v>
      </c>
      <c r="T135" s="1">
        <f>COUNTIF(Tabla_control[LOTE],Tabla_imprenta[[#This Row],[LOTE]])</f>
        <v>1</v>
      </c>
      <c r="U135" s="1">
        <f>INDEX(Tabla_stock[En stock],MATCH(Tabla_imprenta[[#This Row],[CODIGO IFA]],Tabla_stock[Número de artículo],0))</f>
        <v>9464</v>
      </c>
    </row>
    <row r="136" spans="1:21" x14ac:dyDescent="0.25">
      <c r="A136" s="2">
        <v>46113</v>
      </c>
      <c r="B136" s="1"/>
      <c r="C136" s="154" t="s">
        <v>3176</v>
      </c>
      <c r="D136" s="154" t="s">
        <v>181</v>
      </c>
      <c r="E136" s="154" t="s">
        <v>8</v>
      </c>
      <c r="F136" s="154" t="s">
        <v>3203</v>
      </c>
      <c r="G136" s="2">
        <v>47574</v>
      </c>
      <c r="H136" s="112">
        <v>29703</v>
      </c>
      <c r="I136" s="112" t="s">
        <v>3443</v>
      </c>
      <c r="J136" s="112" t="s">
        <v>951</v>
      </c>
      <c r="K136" s="112" t="s">
        <v>241</v>
      </c>
      <c r="L136" s="112">
        <v>2</v>
      </c>
      <c r="M136" s="112">
        <v>8</v>
      </c>
      <c r="N136" s="112" t="s">
        <v>3178</v>
      </c>
      <c r="O136" s="1">
        <v>29703</v>
      </c>
      <c r="P136" s="3">
        <v>0.77540560458321139</v>
      </c>
      <c r="Q136" s="5">
        <v>46170</v>
      </c>
      <c r="R136" s="112">
        <v>46167</v>
      </c>
      <c r="S136" s="5">
        <v>46170</v>
      </c>
      <c r="T136" s="1">
        <f>COUNTIF(Tabla_control[LOTE],Tabla_imprenta[[#This Row],[LOTE]])</f>
        <v>1</v>
      </c>
      <c r="U136" s="1">
        <f>INDEX(Tabla_stock[En stock],MATCH(Tabla_imprenta[[#This Row],[CODIGO IFA]],Tabla_stock[Número de artículo],0))</f>
        <v>2600</v>
      </c>
    </row>
    <row r="137" spans="1:21" x14ac:dyDescent="0.25">
      <c r="A137" s="2">
        <v>46113</v>
      </c>
      <c r="B137" s="1"/>
      <c r="C137" s="154" t="s">
        <v>3176</v>
      </c>
      <c r="D137" s="154" t="s">
        <v>181</v>
      </c>
      <c r="E137" s="154" t="s">
        <v>8</v>
      </c>
      <c r="F137" s="154" t="s">
        <v>3204</v>
      </c>
      <c r="G137" s="2">
        <v>47574</v>
      </c>
      <c r="H137" s="112">
        <v>29703</v>
      </c>
      <c r="I137" s="112" t="s">
        <v>3443</v>
      </c>
      <c r="J137" s="112" t="s">
        <v>951</v>
      </c>
      <c r="K137" s="112" t="s">
        <v>241</v>
      </c>
      <c r="L137" s="112">
        <v>2</v>
      </c>
      <c r="M137" s="112">
        <v>8</v>
      </c>
      <c r="N137" s="112" t="s">
        <v>3178</v>
      </c>
      <c r="O137" s="1">
        <v>29703</v>
      </c>
      <c r="P137" s="3">
        <v>0.77540560458321139</v>
      </c>
      <c r="Q137" s="5">
        <v>46169</v>
      </c>
      <c r="R137" s="112">
        <v>46164</v>
      </c>
      <c r="S137" s="5">
        <v>46169</v>
      </c>
      <c r="T137" s="1">
        <f>COUNTIF(Tabla_control[LOTE],Tabla_imprenta[[#This Row],[LOTE]])</f>
        <v>1</v>
      </c>
      <c r="U137" s="1">
        <f>INDEX(Tabla_stock[En stock],MATCH(Tabla_imprenta[[#This Row],[CODIGO IFA]],Tabla_stock[Número de artículo],0))</f>
        <v>2600</v>
      </c>
    </row>
    <row r="138" spans="1:21" x14ac:dyDescent="0.25">
      <c r="A138" s="2">
        <v>46113</v>
      </c>
      <c r="B138" s="1"/>
      <c r="C138" s="154" t="s">
        <v>2999</v>
      </c>
      <c r="D138" s="154" t="s">
        <v>2111</v>
      </c>
      <c r="E138" s="154" t="s">
        <v>8</v>
      </c>
      <c r="F138" s="154" t="s">
        <v>3205</v>
      </c>
      <c r="G138" s="2">
        <v>47574</v>
      </c>
      <c r="H138" s="112">
        <v>90000</v>
      </c>
      <c r="I138" s="112" t="s">
        <v>3376</v>
      </c>
      <c r="J138" s="112" t="s">
        <v>1242</v>
      </c>
      <c r="K138" s="112" t="s">
        <v>241</v>
      </c>
      <c r="L138" s="112">
        <v>2</v>
      </c>
      <c r="M138" s="112">
        <v>21</v>
      </c>
      <c r="N138" s="112" t="s">
        <v>3001</v>
      </c>
      <c r="O138" s="1">
        <v>3600</v>
      </c>
      <c r="P138" s="3">
        <v>1.3069071110131314</v>
      </c>
      <c r="Q138" s="5">
        <v>46177</v>
      </c>
      <c r="R138" s="112" t="s">
        <v>25</v>
      </c>
      <c r="S138" s="5">
        <v>46177</v>
      </c>
      <c r="T138" s="1">
        <f>COUNTIF(Tabla_control[LOTE],Tabla_imprenta[[#This Row],[LOTE]])</f>
        <v>1</v>
      </c>
      <c r="U138" s="1">
        <f>INDEX(Tabla_stock[En stock],MATCH(Tabla_imprenta[[#This Row],[CODIGO IFA]],Tabla_stock[Número de artículo],0))</f>
        <v>7029</v>
      </c>
    </row>
    <row r="139" spans="1:21" x14ac:dyDescent="0.25">
      <c r="A139" s="2">
        <v>46113</v>
      </c>
      <c r="B139" s="1"/>
      <c r="C139" s="154" t="s">
        <v>3176</v>
      </c>
      <c r="D139" s="154" t="s">
        <v>181</v>
      </c>
      <c r="E139" s="154" t="s">
        <v>8</v>
      </c>
      <c r="F139" s="154" t="s">
        <v>3206</v>
      </c>
      <c r="G139" s="2">
        <v>47574</v>
      </c>
      <c r="H139" s="112">
        <v>29703</v>
      </c>
      <c r="I139" s="112" t="s">
        <v>3443</v>
      </c>
      <c r="J139" s="112" t="s">
        <v>951</v>
      </c>
      <c r="K139" s="112" t="s">
        <v>241</v>
      </c>
      <c r="L139" s="112">
        <v>2</v>
      </c>
      <c r="M139" s="112">
        <v>8</v>
      </c>
      <c r="N139" s="112" t="s">
        <v>3178</v>
      </c>
      <c r="O139" s="1">
        <v>29703</v>
      </c>
      <c r="P139" s="3">
        <v>0.77540560458321139</v>
      </c>
      <c r="Q139" s="5">
        <v>46164</v>
      </c>
      <c r="R139" s="112">
        <v>46160</v>
      </c>
      <c r="S139" s="5">
        <v>46164</v>
      </c>
      <c r="T139" s="1">
        <f>COUNTIF(Tabla_control[LOTE],Tabla_imprenta[[#This Row],[LOTE]])</f>
        <v>1</v>
      </c>
      <c r="U139" s="1">
        <f>INDEX(Tabla_stock[En stock],MATCH(Tabla_imprenta[[#This Row],[CODIGO IFA]],Tabla_stock[Número de artículo],0))</f>
        <v>2600</v>
      </c>
    </row>
    <row r="140" spans="1:21" x14ac:dyDescent="0.25">
      <c r="A140" s="2">
        <v>46113</v>
      </c>
      <c r="B140" s="1"/>
      <c r="C140" s="154" t="s">
        <v>3176</v>
      </c>
      <c r="D140" s="154" t="s">
        <v>181</v>
      </c>
      <c r="E140" s="154" t="s">
        <v>8</v>
      </c>
      <c r="F140" s="154" t="s">
        <v>3207</v>
      </c>
      <c r="G140" s="2">
        <v>47574</v>
      </c>
      <c r="H140" s="112">
        <v>29703</v>
      </c>
      <c r="I140" s="112" t="s">
        <v>3443</v>
      </c>
      <c r="J140" s="112" t="s">
        <v>951</v>
      </c>
      <c r="K140" s="112" t="s">
        <v>241</v>
      </c>
      <c r="L140" s="112">
        <v>2</v>
      </c>
      <c r="M140" s="112">
        <v>8</v>
      </c>
      <c r="N140" s="112" t="s">
        <v>3178</v>
      </c>
      <c r="O140" s="1">
        <v>29703</v>
      </c>
      <c r="P140" s="3">
        <v>0.77540560458321139</v>
      </c>
      <c r="Q140" s="5">
        <v>46160</v>
      </c>
      <c r="R140" s="112" t="s">
        <v>2028</v>
      </c>
      <c r="S140" s="5">
        <v>46160</v>
      </c>
      <c r="T140" s="1">
        <f>COUNTIF(Tabla_control[LOTE],Tabla_imprenta[[#This Row],[LOTE]])</f>
        <v>1</v>
      </c>
      <c r="U140" s="1">
        <f>INDEX(Tabla_stock[En stock],MATCH(Tabla_imprenta[[#This Row],[CODIGO IFA]],Tabla_stock[Número de artículo],0))</f>
        <v>2600</v>
      </c>
    </row>
    <row r="141" spans="1:21" x14ac:dyDescent="0.25">
      <c r="A141" s="2">
        <v>46113</v>
      </c>
      <c r="B141" s="1"/>
      <c r="C141" s="154" t="s">
        <v>3176</v>
      </c>
      <c r="D141" s="154" t="s">
        <v>181</v>
      </c>
      <c r="E141" s="154" t="s">
        <v>8</v>
      </c>
      <c r="F141" s="154" t="s">
        <v>3208</v>
      </c>
      <c r="G141" s="2">
        <v>47574</v>
      </c>
      <c r="H141" s="112">
        <v>29703</v>
      </c>
      <c r="I141" s="112" t="s">
        <v>3443</v>
      </c>
      <c r="J141" s="112" t="s">
        <v>951</v>
      </c>
      <c r="K141" s="112" t="s">
        <v>241</v>
      </c>
      <c r="L141" s="112">
        <v>2</v>
      </c>
      <c r="M141" s="112">
        <v>8</v>
      </c>
      <c r="N141" s="112" t="s">
        <v>3178</v>
      </c>
      <c r="O141" s="1">
        <v>29703</v>
      </c>
      <c r="P141" s="3">
        <v>0.77540560458321139</v>
      </c>
      <c r="Q141" s="5">
        <v>46164</v>
      </c>
      <c r="R141" s="112">
        <v>46161</v>
      </c>
      <c r="S141" s="5">
        <v>46164</v>
      </c>
      <c r="T141" s="1">
        <f>COUNTIF(Tabla_control[LOTE],Tabla_imprenta[[#This Row],[LOTE]])</f>
        <v>1</v>
      </c>
      <c r="U141" s="1">
        <f>INDEX(Tabla_stock[En stock],MATCH(Tabla_imprenta[[#This Row],[CODIGO IFA]],Tabla_stock[Número de artículo],0))</f>
        <v>2600</v>
      </c>
    </row>
    <row r="142" spans="1:21" x14ac:dyDescent="0.25">
      <c r="A142" s="2">
        <v>46113</v>
      </c>
      <c r="B142" s="1"/>
      <c r="C142" s="154" t="s">
        <v>3176</v>
      </c>
      <c r="D142" s="154" t="s">
        <v>181</v>
      </c>
      <c r="E142" s="154" t="s">
        <v>8</v>
      </c>
      <c r="F142" s="154" t="s">
        <v>3209</v>
      </c>
      <c r="G142" s="2">
        <v>47574</v>
      </c>
      <c r="H142" s="112">
        <v>29703</v>
      </c>
      <c r="I142" s="112" t="s">
        <v>3443</v>
      </c>
      <c r="J142" s="112" t="s">
        <v>951</v>
      </c>
      <c r="K142" s="112" t="s">
        <v>241</v>
      </c>
      <c r="L142" s="112">
        <v>2</v>
      </c>
      <c r="M142" s="112">
        <v>8</v>
      </c>
      <c r="N142" s="112" t="s">
        <v>3178</v>
      </c>
      <c r="O142" s="1">
        <v>29703</v>
      </c>
      <c r="P142" s="3">
        <v>0.77540560458321139</v>
      </c>
      <c r="Q142" s="5">
        <v>46160</v>
      </c>
      <c r="R142" s="112" t="s">
        <v>2028</v>
      </c>
      <c r="S142" s="5">
        <v>46160</v>
      </c>
      <c r="T142" s="1">
        <f>COUNTIF(Tabla_control[LOTE],Tabla_imprenta[[#This Row],[LOTE]])</f>
        <v>1</v>
      </c>
      <c r="U142" s="1">
        <f>INDEX(Tabla_stock[En stock],MATCH(Tabla_imprenta[[#This Row],[CODIGO IFA]],Tabla_stock[Número de artículo],0))</f>
        <v>2600</v>
      </c>
    </row>
    <row r="143" spans="1:21" x14ac:dyDescent="0.25">
      <c r="A143" s="2">
        <v>46113</v>
      </c>
      <c r="B143" s="1"/>
      <c r="C143" s="154" t="s">
        <v>2999</v>
      </c>
      <c r="D143" s="154" t="s">
        <v>2111</v>
      </c>
      <c r="E143" s="154" t="s">
        <v>8</v>
      </c>
      <c r="F143" s="154" t="s">
        <v>3210</v>
      </c>
      <c r="G143" s="2">
        <v>47574</v>
      </c>
      <c r="H143" s="112">
        <v>90000</v>
      </c>
      <c r="I143" s="112" t="s">
        <v>3376</v>
      </c>
      <c r="J143" s="112" t="s">
        <v>1242</v>
      </c>
      <c r="K143" s="112" t="s">
        <v>241</v>
      </c>
      <c r="L143" s="112">
        <v>2</v>
      </c>
      <c r="M143" s="112">
        <v>21</v>
      </c>
      <c r="N143" s="112" t="s">
        <v>3001</v>
      </c>
      <c r="O143" s="1">
        <v>3600</v>
      </c>
      <c r="P143" s="3">
        <v>1.3069071110131314</v>
      </c>
      <c r="Q143" s="5">
        <v>46181</v>
      </c>
      <c r="R143" s="112" t="s">
        <v>25</v>
      </c>
      <c r="S143" s="5">
        <v>46181</v>
      </c>
      <c r="T143" s="1">
        <f>COUNTIF(Tabla_control[LOTE],Tabla_imprenta[[#This Row],[LOTE]])</f>
        <v>1</v>
      </c>
      <c r="U143" s="1">
        <f>INDEX(Tabla_stock[En stock],MATCH(Tabla_imprenta[[#This Row],[CODIGO IFA]],Tabla_stock[Número de artículo],0))</f>
        <v>7029</v>
      </c>
    </row>
    <row r="144" spans="1:21" x14ac:dyDescent="0.25">
      <c r="A144" s="2">
        <v>46113</v>
      </c>
      <c r="B144" s="1"/>
      <c r="C144" s="154" t="s">
        <v>3211</v>
      </c>
      <c r="D144" s="154" t="s">
        <v>2111</v>
      </c>
      <c r="E144" s="154" t="s">
        <v>8</v>
      </c>
      <c r="F144" s="154" t="s">
        <v>3212</v>
      </c>
      <c r="G144" s="2">
        <v>47574</v>
      </c>
      <c r="H144" s="112">
        <v>9000</v>
      </c>
      <c r="I144" s="112" t="s">
        <v>3451</v>
      </c>
      <c r="J144" s="112" t="s">
        <v>1349</v>
      </c>
      <c r="K144" s="112" t="s">
        <v>263</v>
      </c>
      <c r="L144" s="112">
        <v>3</v>
      </c>
      <c r="M144" s="112">
        <v>97</v>
      </c>
      <c r="N144" s="112" t="s">
        <v>3027</v>
      </c>
      <c r="O144" s="1">
        <v>3000</v>
      </c>
      <c r="P144" s="3">
        <v>6.7169104739613807</v>
      </c>
      <c r="Q144" s="5">
        <v>46182</v>
      </c>
      <c r="R144" s="112" t="s">
        <v>25</v>
      </c>
      <c r="S144" s="5">
        <v>46182</v>
      </c>
      <c r="T144" s="1">
        <f>COUNTIF(Tabla_control[LOTE],Tabla_imprenta[[#This Row],[LOTE]])</f>
        <v>1</v>
      </c>
      <c r="U144" s="1">
        <f>INDEX(Tabla_stock[En stock],MATCH(Tabla_imprenta[[#This Row],[CODIGO IFA]],Tabla_stock[Número de artículo],0))</f>
        <v>1220</v>
      </c>
    </row>
    <row r="145" spans="1:21" x14ac:dyDescent="0.25">
      <c r="A145" s="2">
        <v>46113</v>
      </c>
      <c r="B145" s="1"/>
      <c r="C145" s="154" t="s">
        <v>3213</v>
      </c>
      <c r="D145" s="154" t="s">
        <v>15</v>
      </c>
      <c r="E145" s="154" t="s">
        <v>8</v>
      </c>
      <c r="F145" s="154" t="s">
        <v>3214</v>
      </c>
      <c r="G145" s="2">
        <v>46844</v>
      </c>
      <c r="H145" s="112">
        <v>12500</v>
      </c>
      <c r="I145" s="112" t="s">
        <v>3452</v>
      </c>
      <c r="J145" s="112" t="s">
        <v>755</v>
      </c>
      <c r="K145" s="112" t="s">
        <v>241</v>
      </c>
      <c r="L145" s="112">
        <v>6</v>
      </c>
      <c r="M145" s="112">
        <v>24</v>
      </c>
      <c r="N145" s="112" t="s">
        <v>3215</v>
      </c>
      <c r="O145" s="1">
        <v>12500</v>
      </c>
      <c r="P145" s="3">
        <v>1.7375608410349379</v>
      </c>
      <c r="Q145" s="5">
        <v>46176</v>
      </c>
      <c r="R145" s="112">
        <v>46174</v>
      </c>
      <c r="S145" s="5">
        <v>46176</v>
      </c>
      <c r="T145" s="1">
        <f>COUNTIF(Tabla_control[LOTE],Tabla_imprenta[[#This Row],[LOTE]])</f>
        <v>1</v>
      </c>
      <c r="U145" s="1">
        <f>INDEX(Tabla_stock[En stock],MATCH(Tabla_imprenta[[#This Row],[CODIGO IFA]],Tabla_stock[Número de artículo],0))</f>
        <v>2677</v>
      </c>
    </row>
    <row r="146" spans="1:21" x14ac:dyDescent="0.25">
      <c r="A146" s="2">
        <v>46113</v>
      </c>
      <c r="B146" s="1"/>
      <c r="C146" s="154" t="s">
        <v>3176</v>
      </c>
      <c r="D146" s="154" t="s">
        <v>181</v>
      </c>
      <c r="E146" s="154" t="s">
        <v>8</v>
      </c>
      <c r="F146" s="154" t="s">
        <v>3216</v>
      </c>
      <c r="G146" s="2">
        <v>47574</v>
      </c>
      <c r="H146" s="112">
        <v>29703</v>
      </c>
      <c r="I146" s="112" t="s">
        <v>3443</v>
      </c>
      <c r="J146" s="112" t="s">
        <v>951</v>
      </c>
      <c r="K146" s="112" t="s">
        <v>241</v>
      </c>
      <c r="L146" s="112">
        <v>2</v>
      </c>
      <c r="M146" s="112">
        <v>8</v>
      </c>
      <c r="N146" s="112" t="s">
        <v>3178</v>
      </c>
      <c r="O146" s="1">
        <v>29703</v>
      </c>
      <c r="P146" s="3">
        <v>0.77540560458321139</v>
      </c>
      <c r="Q146" s="5">
        <v>46149</v>
      </c>
      <c r="R146" s="112" t="s">
        <v>2028</v>
      </c>
      <c r="S146" s="5">
        <v>46153</v>
      </c>
      <c r="T146" s="1">
        <f>COUNTIF(Tabla_control[LOTE],Tabla_imprenta[[#This Row],[LOTE]])</f>
        <v>1</v>
      </c>
      <c r="U146" s="1">
        <f>INDEX(Tabla_stock[En stock],MATCH(Tabla_imprenta[[#This Row],[CODIGO IFA]],Tabla_stock[Número de artículo],0))</f>
        <v>2600</v>
      </c>
    </row>
    <row r="147" spans="1:21" x14ac:dyDescent="0.25">
      <c r="A147" s="2">
        <v>46113</v>
      </c>
      <c r="B147" s="1"/>
      <c r="C147" s="154" t="s">
        <v>3176</v>
      </c>
      <c r="D147" s="154" t="s">
        <v>181</v>
      </c>
      <c r="E147" s="154" t="s">
        <v>8</v>
      </c>
      <c r="F147" s="154" t="s">
        <v>3217</v>
      </c>
      <c r="G147" s="2">
        <v>47574</v>
      </c>
      <c r="H147" s="112">
        <v>29703</v>
      </c>
      <c r="I147" s="112" t="s">
        <v>3443</v>
      </c>
      <c r="J147" s="112" t="s">
        <v>951</v>
      </c>
      <c r="K147" s="112" t="s">
        <v>241</v>
      </c>
      <c r="L147" s="112">
        <v>2</v>
      </c>
      <c r="M147" s="112">
        <v>8</v>
      </c>
      <c r="N147" s="112" t="s">
        <v>3178</v>
      </c>
      <c r="O147" s="1">
        <v>29703</v>
      </c>
      <c r="P147" s="3">
        <v>0.77540560458321139</v>
      </c>
      <c r="Q147" s="5">
        <v>46149</v>
      </c>
      <c r="R147" s="112" t="s">
        <v>2028</v>
      </c>
      <c r="S147" s="5">
        <v>46154</v>
      </c>
      <c r="T147" s="1">
        <f>COUNTIF(Tabla_control[LOTE],Tabla_imprenta[[#This Row],[LOTE]])</f>
        <v>1</v>
      </c>
      <c r="U147" s="1">
        <f>INDEX(Tabla_stock[En stock],MATCH(Tabla_imprenta[[#This Row],[CODIGO IFA]],Tabla_stock[Número de artículo],0))</f>
        <v>2600</v>
      </c>
    </row>
    <row r="148" spans="1:21" x14ac:dyDescent="0.25">
      <c r="A148" s="2">
        <v>46113</v>
      </c>
      <c r="B148" s="1"/>
      <c r="C148" s="154" t="s">
        <v>3176</v>
      </c>
      <c r="D148" s="154" t="s">
        <v>181</v>
      </c>
      <c r="E148" s="154" t="s">
        <v>8</v>
      </c>
      <c r="F148" s="154" t="s">
        <v>3218</v>
      </c>
      <c r="G148" s="2">
        <v>47574</v>
      </c>
      <c r="H148" s="112">
        <v>29703</v>
      </c>
      <c r="I148" s="112" t="s">
        <v>3443</v>
      </c>
      <c r="J148" s="112" t="s">
        <v>951</v>
      </c>
      <c r="K148" s="112" t="s">
        <v>241</v>
      </c>
      <c r="L148" s="112">
        <v>2</v>
      </c>
      <c r="M148" s="112">
        <v>8</v>
      </c>
      <c r="N148" s="112" t="s">
        <v>3178</v>
      </c>
      <c r="O148" s="1">
        <v>29703</v>
      </c>
      <c r="P148" s="3">
        <v>0.77540560458321139</v>
      </c>
      <c r="Q148" s="5" t="s">
        <v>2028</v>
      </c>
      <c r="R148" s="112" t="s">
        <v>2028</v>
      </c>
      <c r="S148" s="5" t="s">
        <v>2028</v>
      </c>
      <c r="T148" s="1">
        <f>COUNTIF(Tabla_control[LOTE],Tabla_imprenta[[#This Row],[LOTE]])</f>
        <v>1</v>
      </c>
      <c r="U148" s="1">
        <f>INDEX(Tabla_stock[En stock],MATCH(Tabla_imprenta[[#This Row],[CODIGO IFA]],Tabla_stock[Número de artículo],0))</f>
        <v>2600</v>
      </c>
    </row>
    <row r="149" spans="1:21" x14ac:dyDescent="0.25">
      <c r="A149" s="2">
        <v>46113</v>
      </c>
      <c r="B149" s="1"/>
      <c r="C149" s="154" t="s">
        <v>3176</v>
      </c>
      <c r="D149" s="154" t="s">
        <v>181</v>
      </c>
      <c r="E149" s="154" t="s">
        <v>8</v>
      </c>
      <c r="F149" s="154" t="s">
        <v>3219</v>
      </c>
      <c r="G149" s="2">
        <v>47574</v>
      </c>
      <c r="H149" s="112">
        <v>29703</v>
      </c>
      <c r="I149" s="112" t="s">
        <v>3443</v>
      </c>
      <c r="J149" s="112" t="s">
        <v>951</v>
      </c>
      <c r="K149" s="112" t="s">
        <v>241</v>
      </c>
      <c r="L149" s="112">
        <v>2</v>
      </c>
      <c r="M149" s="112">
        <v>8</v>
      </c>
      <c r="N149" s="112" t="s">
        <v>3178</v>
      </c>
      <c r="O149" s="1">
        <v>29703</v>
      </c>
      <c r="P149" s="3">
        <v>0.77540560458321139</v>
      </c>
      <c r="Q149" s="5">
        <v>46155</v>
      </c>
      <c r="R149" s="112" t="s">
        <v>2028</v>
      </c>
      <c r="S149" s="5">
        <v>46155</v>
      </c>
      <c r="T149" s="1">
        <f>COUNTIF(Tabla_control[LOTE],Tabla_imprenta[[#This Row],[LOTE]])</f>
        <v>1</v>
      </c>
      <c r="U149" s="1">
        <f>INDEX(Tabla_stock[En stock],MATCH(Tabla_imprenta[[#This Row],[CODIGO IFA]],Tabla_stock[Número de artículo],0))</f>
        <v>2600</v>
      </c>
    </row>
    <row r="150" spans="1:21" x14ac:dyDescent="0.25">
      <c r="A150" s="2">
        <v>46113</v>
      </c>
      <c r="B150" s="1"/>
      <c r="C150" s="154" t="s">
        <v>3176</v>
      </c>
      <c r="D150" s="154" t="s">
        <v>181</v>
      </c>
      <c r="E150" s="154" t="s">
        <v>8</v>
      </c>
      <c r="F150" s="154" t="s">
        <v>3220</v>
      </c>
      <c r="G150" s="2">
        <v>47574</v>
      </c>
      <c r="H150" s="112">
        <v>29703</v>
      </c>
      <c r="I150" s="112" t="s">
        <v>3443</v>
      </c>
      <c r="J150" s="112" t="s">
        <v>951</v>
      </c>
      <c r="K150" s="112" t="s">
        <v>241</v>
      </c>
      <c r="L150" s="112">
        <v>2</v>
      </c>
      <c r="M150" s="112">
        <v>8</v>
      </c>
      <c r="N150" s="112" t="s">
        <v>3178</v>
      </c>
      <c r="O150" s="1">
        <v>29703</v>
      </c>
      <c r="P150" s="3">
        <v>0.77540560458321139</v>
      </c>
      <c r="Q150" s="5">
        <v>46155</v>
      </c>
      <c r="R150" s="112" t="s">
        <v>2028</v>
      </c>
      <c r="S150" s="5">
        <v>46155</v>
      </c>
      <c r="T150" s="1">
        <f>COUNTIF(Tabla_control[LOTE],Tabla_imprenta[[#This Row],[LOTE]])</f>
        <v>1</v>
      </c>
      <c r="U150" s="1">
        <f>INDEX(Tabla_stock[En stock],MATCH(Tabla_imprenta[[#This Row],[CODIGO IFA]],Tabla_stock[Número de artículo],0))</f>
        <v>2600</v>
      </c>
    </row>
    <row r="151" spans="1:21" x14ac:dyDescent="0.25">
      <c r="A151" s="2">
        <v>46113</v>
      </c>
      <c r="B151" s="1"/>
      <c r="C151" s="154" t="s">
        <v>2110</v>
      </c>
      <c r="D151" s="154" t="s">
        <v>2111</v>
      </c>
      <c r="E151" s="154" t="s">
        <v>8</v>
      </c>
      <c r="F151" s="154" t="s">
        <v>3221</v>
      </c>
      <c r="G151" s="2">
        <v>47574</v>
      </c>
      <c r="H151" s="112">
        <v>58000</v>
      </c>
      <c r="I151" s="112" t="s">
        <v>3288</v>
      </c>
      <c r="J151" s="112" t="s">
        <v>961</v>
      </c>
      <c r="K151" s="112" t="s">
        <v>241</v>
      </c>
      <c r="L151" s="112">
        <v>1</v>
      </c>
      <c r="M151" s="112">
        <v>18</v>
      </c>
      <c r="N151" s="112" t="s">
        <v>2113</v>
      </c>
      <c r="O151" s="1">
        <v>2320</v>
      </c>
      <c r="P151" s="3">
        <v>1.3134302239785411</v>
      </c>
      <c r="Q151" s="5">
        <v>46156</v>
      </c>
      <c r="R151" s="112" t="s">
        <v>25</v>
      </c>
      <c r="S151" s="5">
        <v>46156</v>
      </c>
      <c r="T151" s="1">
        <f>COUNTIF(Tabla_control[LOTE],Tabla_imprenta[[#This Row],[LOTE]])</f>
        <v>1</v>
      </c>
      <c r="U151" s="1">
        <f>INDEX(Tabla_stock[En stock],MATCH(Tabla_imprenta[[#This Row],[CODIGO IFA]],Tabla_stock[Número de artículo],0))</f>
        <v>1480</v>
      </c>
    </row>
    <row r="152" spans="1:21" x14ac:dyDescent="0.25">
      <c r="A152" s="2">
        <v>46113</v>
      </c>
      <c r="B152" s="1"/>
      <c r="C152" s="154" t="s">
        <v>2992</v>
      </c>
      <c r="D152" s="154" t="s">
        <v>12</v>
      </c>
      <c r="E152" s="154" t="s">
        <v>8</v>
      </c>
      <c r="F152" s="154" t="s">
        <v>3232</v>
      </c>
      <c r="G152" s="2">
        <v>47574</v>
      </c>
      <c r="H152" s="112">
        <v>105000</v>
      </c>
      <c r="I152" s="112" t="s">
        <v>3373</v>
      </c>
      <c r="J152" s="112" t="s">
        <v>875</v>
      </c>
      <c r="K152" s="112" t="s">
        <v>241</v>
      </c>
      <c r="L152" s="112">
        <v>2</v>
      </c>
      <c r="M152" s="112">
        <v>30</v>
      </c>
      <c r="N152" s="112" t="s">
        <v>2994</v>
      </c>
      <c r="O152" s="1">
        <v>1050</v>
      </c>
      <c r="P152" s="3">
        <v>2.0571428571428574</v>
      </c>
      <c r="Q152" s="5">
        <v>46157</v>
      </c>
      <c r="R152" s="112" t="s">
        <v>25</v>
      </c>
      <c r="S152" s="5" t="s">
        <v>2028</v>
      </c>
      <c r="T152" s="1">
        <f>COUNTIF(Tabla_control[LOTE],Tabla_imprenta[[#This Row],[LOTE]])</f>
        <v>1</v>
      </c>
      <c r="U152" s="1">
        <f>INDEX(Tabla_stock[En stock],MATCH(Tabla_imprenta[[#This Row],[CODIGO IFA]],Tabla_stock[Número de artículo],0))</f>
        <v>552</v>
      </c>
    </row>
    <row r="153" spans="1:21" x14ac:dyDescent="0.25">
      <c r="A153" s="2">
        <v>46121</v>
      </c>
      <c r="B153" s="1"/>
      <c r="C153" s="154" t="s">
        <v>3240</v>
      </c>
      <c r="D153" s="154" t="s">
        <v>212</v>
      </c>
      <c r="E153" s="154" t="s">
        <v>8</v>
      </c>
      <c r="F153" s="154" t="s">
        <v>3241</v>
      </c>
      <c r="G153" s="2">
        <v>47574</v>
      </c>
      <c r="H153" s="112">
        <v>30000</v>
      </c>
      <c r="I153" s="112" t="s">
        <v>3453</v>
      </c>
      <c r="J153" s="112" t="s">
        <v>863</v>
      </c>
      <c r="K153" s="112" t="s">
        <v>241</v>
      </c>
      <c r="L153" s="112">
        <v>1</v>
      </c>
      <c r="M153" s="112">
        <v>9</v>
      </c>
      <c r="N153" s="112" t="s">
        <v>3242</v>
      </c>
      <c r="O153" s="1">
        <v>1200</v>
      </c>
      <c r="P153" s="3">
        <v>1.2473137131573817</v>
      </c>
      <c r="Q153" s="5">
        <v>46163</v>
      </c>
      <c r="R153" s="112" t="s">
        <v>25</v>
      </c>
      <c r="S153" s="5">
        <v>46162</v>
      </c>
      <c r="T153" s="1">
        <f>COUNTIF(Tabla_control[LOTE],Tabla_imprenta[[#This Row],[LOTE]])</f>
        <v>1</v>
      </c>
      <c r="U153" s="1">
        <f>INDEX(Tabla_stock[En stock],MATCH(Tabla_imprenta[[#This Row],[CODIGO IFA]],Tabla_stock[Número de artículo],0))</f>
        <v>564</v>
      </c>
    </row>
    <row r="154" spans="1:21" x14ac:dyDescent="0.25">
      <c r="A154" s="2">
        <v>46121</v>
      </c>
      <c r="B154" s="1"/>
      <c r="C154" s="154" t="s">
        <v>3243</v>
      </c>
      <c r="D154" s="154" t="s">
        <v>212</v>
      </c>
      <c r="E154" s="154" t="s">
        <v>8</v>
      </c>
      <c r="F154" s="154" t="s">
        <v>3244</v>
      </c>
      <c r="G154" s="2">
        <v>47574</v>
      </c>
      <c r="H154" s="112">
        <v>15500</v>
      </c>
      <c r="I154" s="112" t="s">
        <v>3454</v>
      </c>
      <c r="J154" s="112" t="s">
        <v>855</v>
      </c>
      <c r="K154" s="112" t="s">
        <v>241</v>
      </c>
      <c r="L154" s="112">
        <v>1</v>
      </c>
      <c r="M154" s="112">
        <v>9</v>
      </c>
      <c r="N154" s="112" t="s">
        <v>3245</v>
      </c>
      <c r="O154" s="1">
        <v>620</v>
      </c>
      <c r="P154" s="3">
        <v>2.4823640496962902</v>
      </c>
      <c r="Q154" s="5">
        <v>46154</v>
      </c>
      <c r="R154" s="112" t="s">
        <v>25</v>
      </c>
      <c r="S154" s="5">
        <v>46153</v>
      </c>
      <c r="T154" s="1">
        <f>COUNTIF(Tabla_control[LOTE],Tabla_imprenta[[#This Row],[LOTE]])</f>
        <v>1</v>
      </c>
      <c r="U154" s="1">
        <f>INDEX(Tabla_stock[En stock],MATCH(Tabla_imprenta[[#This Row],[CODIGO IFA]],Tabla_stock[Número de artículo],0))</f>
        <v>6281</v>
      </c>
    </row>
    <row r="155" spans="1:21" x14ac:dyDescent="0.25">
      <c r="A155" s="2">
        <v>46121</v>
      </c>
      <c r="B155" s="1"/>
      <c r="C155" s="154" t="s">
        <v>3246</v>
      </c>
      <c r="D155" s="154" t="s">
        <v>12</v>
      </c>
      <c r="E155" s="154" t="s">
        <v>8</v>
      </c>
      <c r="F155" s="154" t="s">
        <v>3247</v>
      </c>
      <c r="G155" s="2">
        <v>47574</v>
      </c>
      <c r="H155" s="112">
        <v>300000</v>
      </c>
      <c r="I155" s="112" t="s">
        <v>3455</v>
      </c>
      <c r="J155" s="112" t="s">
        <v>1722</v>
      </c>
      <c r="K155" s="112" t="s">
        <v>241</v>
      </c>
      <c r="L155" s="112">
        <v>1</v>
      </c>
      <c r="M155" s="112">
        <v>79</v>
      </c>
      <c r="N155" s="112" t="s">
        <v>3248</v>
      </c>
      <c r="O155" s="1">
        <v>600</v>
      </c>
      <c r="P155" s="3">
        <v>2.1887853211673778</v>
      </c>
      <c r="Q155" s="5">
        <v>46163</v>
      </c>
      <c r="R155" s="112" t="s">
        <v>25</v>
      </c>
      <c r="S155" s="5">
        <v>46164</v>
      </c>
      <c r="T155" s="1">
        <f>COUNTIF(Tabla_control[LOTE],Tabla_imprenta[[#This Row],[LOTE]])</f>
        <v>1</v>
      </c>
      <c r="U155" s="1">
        <f>INDEX(Tabla_stock[En stock],MATCH(Tabla_imprenta[[#This Row],[CODIGO IFA]],Tabla_stock[Número de artículo],0))</f>
        <v>929</v>
      </c>
    </row>
    <row r="156" spans="1:21" x14ac:dyDescent="0.25">
      <c r="A156" s="2">
        <v>46121</v>
      </c>
      <c r="B156" s="1"/>
      <c r="C156" s="154" t="s">
        <v>3249</v>
      </c>
      <c r="D156" s="154" t="s">
        <v>12</v>
      </c>
      <c r="E156" s="154" t="s">
        <v>8</v>
      </c>
      <c r="F156" s="154" t="s">
        <v>3250</v>
      </c>
      <c r="G156" s="2">
        <v>46844</v>
      </c>
      <c r="H156" s="112">
        <v>77000</v>
      </c>
      <c r="I156" s="112" t="s">
        <v>3456</v>
      </c>
      <c r="J156" s="112" t="s">
        <v>957</v>
      </c>
      <c r="K156" s="112" t="s">
        <v>241</v>
      </c>
      <c r="L156" s="112">
        <v>1</v>
      </c>
      <c r="M156" s="112">
        <v>35</v>
      </c>
      <c r="N156" s="112" t="s">
        <v>3251</v>
      </c>
      <c r="O156" s="1">
        <v>154</v>
      </c>
      <c r="P156" s="3">
        <v>2.4789864205369243</v>
      </c>
      <c r="Q156" s="5">
        <v>46160</v>
      </c>
      <c r="R156" s="112" t="s">
        <v>25</v>
      </c>
      <c r="S156" s="5">
        <v>46157</v>
      </c>
      <c r="T156" s="1">
        <f>COUNTIF(Tabla_control[LOTE],Tabla_imprenta[[#This Row],[LOTE]])</f>
        <v>1</v>
      </c>
      <c r="U156" s="1">
        <f>INDEX(Tabla_stock[En stock],MATCH(Tabla_imprenta[[#This Row],[CODIGO IFA]],Tabla_stock[Número de artículo],0))</f>
        <v>141</v>
      </c>
    </row>
    <row r="157" spans="1:21" x14ac:dyDescent="0.25">
      <c r="A157" s="2">
        <v>46121</v>
      </c>
      <c r="B157" s="1"/>
      <c r="C157" s="154" t="s">
        <v>3240</v>
      </c>
      <c r="D157" s="154" t="s">
        <v>212</v>
      </c>
      <c r="E157" s="154" t="s">
        <v>8</v>
      </c>
      <c r="F157" s="154" t="s">
        <v>3252</v>
      </c>
      <c r="G157" s="2">
        <v>47574</v>
      </c>
      <c r="H157" s="112">
        <v>35000</v>
      </c>
      <c r="I157" s="112" t="s">
        <v>3453</v>
      </c>
      <c r="J157" s="112" t="s">
        <v>863</v>
      </c>
      <c r="K157" s="112" t="s">
        <v>241</v>
      </c>
      <c r="L157" s="112">
        <v>1</v>
      </c>
      <c r="M157" s="112">
        <v>9</v>
      </c>
      <c r="N157" s="112" t="s">
        <v>3242</v>
      </c>
      <c r="O157" s="1">
        <v>1400</v>
      </c>
      <c r="P157" s="3">
        <v>1.2473137131573817</v>
      </c>
      <c r="Q157" s="5">
        <v>46161</v>
      </c>
      <c r="R157" s="112" t="s">
        <v>25</v>
      </c>
      <c r="S157" s="5">
        <v>46160</v>
      </c>
      <c r="T157" s="1">
        <f>COUNTIF(Tabla_control[LOTE],Tabla_imprenta[[#This Row],[LOTE]])</f>
        <v>1</v>
      </c>
      <c r="U157" s="1">
        <f>INDEX(Tabla_stock[En stock],MATCH(Tabla_imprenta[[#This Row],[CODIGO IFA]],Tabla_stock[Número de artículo],0))</f>
        <v>564</v>
      </c>
    </row>
    <row r="158" spans="1:21" x14ac:dyDescent="0.25">
      <c r="A158" s="2">
        <v>46121</v>
      </c>
      <c r="B158" s="1"/>
      <c r="C158" s="154" t="s">
        <v>3253</v>
      </c>
      <c r="D158" s="154" t="s">
        <v>12</v>
      </c>
      <c r="E158" s="154" t="s">
        <v>8</v>
      </c>
      <c r="F158" s="154" t="s">
        <v>3254</v>
      </c>
      <c r="G158" s="2">
        <v>46844</v>
      </c>
      <c r="H158" s="112">
        <v>200000</v>
      </c>
      <c r="I158" s="112" t="s">
        <v>3457</v>
      </c>
      <c r="J158" s="112" t="s">
        <v>1795</v>
      </c>
      <c r="K158" s="112" t="s">
        <v>241</v>
      </c>
      <c r="L158" s="112">
        <v>2</v>
      </c>
      <c r="M158" s="112">
        <v>30</v>
      </c>
      <c r="N158" s="112" t="s">
        <v>3255</v>
      </c>
      <c r="O158" s="1">
        <v>2000</v>
      </c>
      <c r="P158" s="3">
        <v>3.2898250521729525E-2</v>
      </c>
      <c r="Q158" s="5">
        <v>46149</v>
      </c>
      <c r="R158" s="112" t="s">
        <v>25</v>
      </c>
      <c r="S158" s="5" t="s">
        <v>2028</v>
      </c>
      <c r="T158" s="1">
        <f>COUNTIF(Tabla_control[LOTE],Tabla_imprenta[[#This Row],[LOTE]])</f>
        <v>1</v>
      </c>
      <c r="U158" s="1">
        <f>INDEX(Tabla_stock[En stock],MATCH(Tabla_imprenta[[#This Row],[CODIGO IFA]],Tabla_stock[Número de artículo],0))</f>
        <v>1800</v>
      </c>
    </row>
    <row r="159" spans="1:21" x14ac:dyDescent="0.25">
      <c r="A159" s="2">
        <v>46121</v>
      </c>
      <c r="B159" s="1"/>
      <c r="C159" s="154" t="s">
        <v>3240</v>
      </c>
      <c r="D159" s="154" t="s">
        <v>212</v>
      </c>
      <c r="E159" s="154" t="s">
        <v>8</v>
      </c>
      <c r="F159" s="154" t="s">
        <v>3256</v>
      </c>
      <c r="G159" s="2">
        <v>47574</v>
      </c>
      <c r="H159" s="112">
        <v>35000</v>
      </c>
      <c r="I159" s="112" t="s">
        <v>3453</v>
      </c>
      <c r="J159" s="112" t="s">
        <v>863</v>
      </c>
      <c r="K159" s="112" t="s">
        <v>241</v>
      </c>
      <c r="L159" s="112">
        <v>1</v>
      </c>
      <c r="M159" s="112">
        <v>9</v>
      </c>
      <c r="N159" s="112" t="s">
        <v>3242</v>
      </c>
      <c r="O159" s="1">
        <v>1400</v>
      </c>
      <c r="P159" s="3">
        <v>1.2473137131573817</v>
      </c>
      <c r="Q159" s="5">
        <v>46149</v>
      </c>
      <c r="R159" s="112" t="s">
        <v>25</v>
      </c>
      <c r="S159" s="5">
        <v>46147</v>
      </c>
      <c r="T159" s="1">
        <f>COUNTIF(Tabla_control[LOTE],Tabla_imprenta[[#This Row],[LOTE]])</f>
        <v>1</v>
      </c>
      <c r="U159" s="1">
        <f>INDEX(Tabla_stock[En stock],MATCH(Tabla_imprenta[[#This Row],[CODIGO IFA]],Tabla_stock[Número de artículo],0))</f>
        <v>564</v>
      </c>
    </row>
    <row r="160" spans="1:21" x14ac:dyDescent="0.25">
      <c r="A160" s="2">
        <v>46121</v>
      </c>
      <c r="B160" s="1"/>
      <c r="C160" s="154" t="s">
        <v>3257</v>
      </c>
      <c r="D160" s="154" t="s">
        <v>11</v>
      </c>
      <c r="E160" s="154" t="s">
        <v>8</v>
      </c>
      <c r="F160" s="154" t="s">
        <v>3258</v>
      </c>
      <c r="G160" s="2">
        <v>47574</v>
      </c>
      <c r="H160" s="112">
        <v>200000</v>
      </c>
      <c r="I160" s="112" t="s">
        <v>3458</v>
      </c>
      <c r="J160" s="112" t="s">
        <v>937</v>
      </c>
      <c r="K160" s="112" t="s">
        <v>241</v>
      </c>
      <c r="L160" s="112">
        <v>2</v>
      </c>
      <c r="M160" s="112">
        <v>30</v>
      </c>
      <c r="N160" s="112" t="s">
        <v>3259</v>
      </c>
      <c r="O160" s="1">
        <v>2000</v>
      </c>
      <c r="P160" s="3">
        <v>1.7750225463970353</v>
      </c>
      <c r="Q160" s="5">
        <v>46153</v>
      </c>
      <c r="R160" s="112" t="s">
        <v>25</v>
      </c>
      <c r="S160" s="5" t="s">
        <v>2028</v>
      </c>
      <c r="T160" s="1">
        <f>COUNTIF(Tabla_control[LOTE],Tabla_imprenta[[#This Row],[LOTE]])</f>
        <v>1</v>
      </c>
      <c r="U160" s="1">
        <f>INDEX(Tabla_stock[En stock],MATCH(Tabla_imprenta[[#This Row],[CODIGO IFA]],Tabla_stock[Número de artículo],0))</f>
        <v>1205</v>
      </c>
    </row>
    <row r="161" spans="1:21" x14ac:dyDescent="0.25">
      <c r="A161" s="2">
        <v>46121</v>
      </c>
      <c r="B161" s="1"/>
      <c r="C161" s="154" t="s">
        <v>3260</v>
      </c>
      <c r="D161" s="154" t="s">
        <v>2183</v>
      </c>
      <c r="E161" s="154" t="s">
        <v>8</v>
      </c>
      <c r="F161" s="154" t="s">
        <v>3261</v>
      </c>
      <c r="G161" s="2">
        <v>47574</v>
      </c>
      <c r="H161" s="112">
        <v>140000</v>
      </c>
      <c r="I161" s="112" t="s">
        <v>3459</v>
      </c>
      <c r="J161" s="112" t="s">
        <v>1083</v>
      </c>
      <c r="K161" s="112" t="s">
        <v>241</v>
      </c>
      <c r="L161" s="112">
        <v>6</v>
      </c>
      <c r="M161" s="112">
        <v>1</v>
      </c>
      <c r="N161" s="112" t="s">
        <v>3262</v>
      </c>
      <c r="O161" s="1">
        <v>70000</v>
      </c>
      <c r="P161" s="3">
        <v>2.1008563273073264</v>
      </c>
      <c r="Q161" s="5" t="s">
        <v>28</v>
      </c>
      <c r="R161" s="112" t="s">
        <v>25</v>
      </c>
      <c r="S161" s="5">
        <v>46155</v>
      </c>
      <c r="T161" s="1">
        <f>COUNTIF(Tabla_control[LOTE],Tabla_imprenta[[#This Row],[LOTE]])</f>
        <v>1</v>
      </c>
      <c r="U161" s="1">
        <f>INDEX(Tabla_stock[En stock],MATCH(Tabla_imprenta[[#This Row],[CODIGO IFA]],Tabla_stock[Número de artículo],0))</f>
        <v>2250</v>
      </c>
    </row>
    <row r="162" spans="1:21" x14ac:dyDescent="0.25">
      <c r="A162" s="2">
        <v>46121</v>
      </c>
      <c r="B162" s="1"/>
      <c r="C162" s="154" t="s">
        <v>3263</v>
      </c>
      <c r="D162" s="154" t="s">
        <v>2148</v>
      </c>
      <c r="E162" s="154" t="s">
        <v>8</v>
      </c>
      <c r="F162" s="154" t="s">
        <v>3264</v>
      </c>
      <c r="G162" s="2">
        <v>46844</v>
      </c>
      <c r="H162" s="112">
        <v>27000</v>
      </c>
      <c r="I162" s="112" t="s">
        <v>3460</v>
      </c>
      <c r="J162" s="112" t="s">
        <v>2976</v>
      </c>
      <c r="K162" s="112" t="s">
        <v>2030</v>
      </c>
      <c r="L162" s="112">
        <v>2</v>
      </c>
      <c r="M162" s="112">
        <v>125</v>
      </c>
      <c r="N162" s="112" t="s">
        <v>3265</v>
      </c>
      <c r="O162" s="1">
        <v>2700</v>
      </c>
      <c r="P162" s="3">
        <v>4.18342886920271</v>
      </c>
      <c r="Q162" s="5">
        <v>46156</v>
      </c>
      <c r="R162" s="112" t="s">
        <v>25</v>
      </c>
      <c r="S162" s="5">
        <v>0</v>
      </c>
      <c r="T162" s="1">
        <f>COUNTIF(Tabla_control[LOTE],Tabla_imprenta[[#This Row],[LOTE]])</f>
        <v>1</v>
      </c>
      <c r="U162" s="1">
        <f>INDEX(Tabla_stock[En stock],MATCH(Tabla_imprenta[[#This Row],[CODIGO IFA]],Tabla_stock[Número de artículo],0))</f>
        <v>4556</v>
      </c>
    </row>
    <row r="163" spans="1:21" x14ac:dyDescent="0.25">
      <c r="A163" s="2">
        <v>46121</v>
      </c>
      <c r="B163" s="1"/>
      <c r="C163" s="154" t="s">
        <v>3266</v>
      </c>
      <c r="D163" s="154" t="s">
        <v>12</v>
      </c>
      <c r="E163" s="154" t="s">
        <v>102</v>
      </c>
      <c r="F163" s="154" t="s">
        <v>3267</v>
      </c>
      <c r="G163" s="2">
        <v>46844</v>
      </c>
      <c r="H163" s="112">
        <v>75000</v>
      </c>
      <c r="I163" s="112" t="s">
        <v>3461</v>
      </c>
      <c r="J163" s="112" t="s">
        <v>1908</v>
      </c>
      <c r="K163" s="112" t="s">
        <v>263</v>
      </c>
      <c r="L163" s="112">
        <v>6</v>
      </c>
      <c r="M163" s="112">
        <v>1</v>
      </c>
      <c r="N163" s="112" t="s">
        <v>2932</v>
      </c>
      <c r="O163" s="1">
        <v>37500</v>
      </c>
      <c r="P163" s="3">
        <v>2.9523333333333333</v>
      </c>
      <c r="Q163" s="5">
        <v>46148</v>
      </c>
      <c r="R163" s="112" t="s">
        <v>25</v>
      </c>
      <c r="S163" s="5">
        <v>46153</v>
      </c>
      <c r="T163" s="1">
        <f>COUNTIF(Tabla_control[LOTE],Tabla_imprenta[[#This Row],[LOTE]])</f>
        <v>1</v>
      </c>
      <c r="U163" s="1">
        <f>INDEX(Tabla_stock[En stock],MATCH(Tabla_imprenta[[#This Row],[CODIGO IFA]],Tabla_stock[Número de artículo],0))</f>
        <v>1552</v>
      </c>
    </row>
    <row r="164" spans="1:21" x14ac:dyDescent="0.25">
      <c r="A164" s="2">
        <v>46121</v>
      </c>
      <c r="B164" s="1"/>
      <c r="C164" s="154" t="s">
        <v>3268</v>
      </c>
      <c r="D164" s="154" t="s">
        <v>212</v>
      </c>
      <c r="E164" s="154" t="s">
        <v>8</v>
      </c>
      <c r="F164" s="154" t="s">
        <v>3269</v>
      </c>
      <c r="G164" s="2">
        <v>47574</v>
      </c>
      <c r="H164" s="112">
        <v>5000</v>
      </c>
      <c r="I164" s="112" t="s">
        <v>3462</v>
      </c>
      <c r="J164" s="112" t="s">
        <v>857</v>
      </c>
      <c r="K164" s="112" t="s">
        <v>176</v>
      </c>
      <c r="L164" s="112">
        <v>3</v>
      </c>
      <c r="M164" s="112">
        <v>51</v>
      </c>
      <c r="N164" s="112" t="s">
        <v>3270</v>
      </c>
      <c r="O164" s="1">
        <v>5000</v>
      </c>
      <c r="P164" s="3">
        <v>1.9975861606544187</v>
      </c>
      <c r="Q164" s="5">
        <v>46155</v>
      </c>
      <c r="R164" s="112" t="s">
        <v>25</v>
      </c>
      <c r="S164" s="5">
        <v>46154</v>
      </c>
      <c r="T164" s="1">
        <f>COUNTIF(Tabla_control[LOTE],Tabla_imprenta[[#This Row],[LOTE]])</f>
        <v>1</v>
      </c>
      <c r="U164" s="1">
        <f>INDEX(Tabla_stock[En stock],MATCH(Tabla_imprenta[[#This Row],[CODIGO IFA]],Tabla_stock[Número de artículo],0))</f>
        <v>1767</v>
      </c>
    </row>
    <row r="165" spans="1:21" x14ac:dyDescent="0.25">
      <c r="A165" s="2">
        <v>46121</v>
      </c>
      <c r="B165" s="1"/>
      <c r="C165" s="154" t="s">
        <v>3240</v>
      </c>
      <c r="D165" s="154" t="s">
        <v>212</v>
      </c>
      <c r="E165" s="154" t="s">
        <v>8</v>
      </c>
      <c r="F165" s="154" t="s">
        <v>3272</v>
      </c>
      <c r="G165" s="2">
        <v>47574</v>
      </c>
      <c r="H165" s="112">
        <v>35000</v>
      </c>
      <c r="I165" s="112" t="s">
        <v>3453</v>
      </c>
      <c r="J165" s="112" t="s">
        <v>863</v>
      </c>
      <c r="K165" s="112" t="s">
        <v>241</v>
      </c>
      <c r="L165" s="112">
        <v>1</v>
      </c>
      <c r="M165" s="112">
        <v>9</v>
      </c>
      <c r="N165" s="112" t="s">
        <v>3242</v>
      </c>
      <c r="O165" s="1">
        <v>1400</v>
      </c>
      <c r="P165" s="3">
        <v>1.2473137131573817</v>
      </c>
      <c r="Q165" s="5">
        <v>46157</v>
      </c>
      <c r="R165" s="112" t="s">
        <v>25</v>
      </c>
      <c r="S165" s="5">
        <v>46156</v>
      </c>
      <c r="T165" s="1">
        <f>COUNTIF(Tabla_control[LOTE],Tabla_imprenta[[#This Row],[LOTE]])</f>
        <v>1</v>
      </c>
      <c r="U165" s="1">
        <f>INDEX(Tabla_stock[En stock],MATCH(Tabla_imprenta[[#This Row],[CODIGO IFA]],Tabla_stock[Número de artículo],0))</f>
        <v>564</v>
      </c>
    </row>
    <row r="166" spans="1:21" x14ac:dyDescent="0.25">
      <c r="A166" s="2">
        <v>46121</v>
      </c>
      <c r="B166" s="1"/>
      <c r="C166" s="154" t="s">
        <v>3273</v>
      </c>
      <c r="D166" s="154" t="s">
        <v>2183</v>
      </c>
      <c r="E166" s="154" t="s">
        <v>102</v>
      </c>
      <c r="F166" s="154" t="s">
        <v>3274</v>
      </c>
      <c r="G166" s="2">
        <v>47574</v>
      </c>
      <c r="H166" s="112">
        <v>110000</v>
      </c>
      <c r="I166" s="112" t="s">
        <v>3464</v>
      </c>
      <c r="J166" s="112" t="s">
        <v>1379</v>
      </c>
      <c r="K166" s="112" t="s">
        <v>263</v>
      </c>
      <c r="L166" s="112">
        <v>5</v>
      </c>
      <c r="M166" s="112">
        <v>117</v>
      </c>
      <c r="N166" s="112" t="s">
        <v>3275</v>
      </c>
      <c r="O166" s="1">
        <v>55000</v>
      </c>
      <c r="P166" s="3">
        <v>3.2327163402866592</v>
      </c>
      <c r="Q166" s="5" t="s">
        <v>28</v>
      </c>
      <c r="R166" s="112" t="s">
        <v>25</v>
      </c>
      <c r="S166" s="5">
        <v>0</v>
      </c>
      <c r="T166" s="1">
        <f>COUNTIF(Tabla_control[LOTE],Tabla_imprenta[[#This Row],[LOTE]])</f>
        <v>1</v>
      </c>
      <c r="U166" s="1">
        <f>INDEX(Tabla_stock[En stock],MATCH(Tabla_imprenta[[#This Row],[CODIGO IFA]],Tabla_stock[Número de artículo],0))</f>
        <v>3420</v>
      </c>
    </row>
    <row r="167" spans="1:21" x14ac:dyDescent="0.25">
      <c r="A167" s="2">
        <v>46121</v>
      </c>
      <c r="B167" s="1"/>
      <c r="C167" s="154" t="s">
        <v>3257</v>
      </c>
      <c r="D167" s="154" t="s">
        <v>11</v>
      </c>
      <c r="E167" s="154" t="s">
        <v>8</v>
      </c>
      <c r="F167" s="154" t="s">
        <v>3276</v>
      </c>
      <c r="G167" s="2">
        <v>47574</v>
      </c>
      <c r="H167" s="112">
        <v>300000</v>
      </c>
      <c r="I167" s="112" t="s">
        <v>3458</v>
      </c>
      <c r="J167" s="112" t="s">
        <v>937</v>
      </c>
      <c r="K167" s="112" t="s">
        <v>241</v>
      </c>
      <c r="L167" s="112">
        <v>2</v>
      </c>
      <c r="M167" s="112">
        <v>30</v>
      </c>
      <c r="N167" s="112" t="s">
        <v>3259</v>
      </c>
      <c r="O167" s="1">
        <v>3000</v>
      </c>
      <c r="P167" s="3">
        <v>1.7750225463970353</v>
      </c>
      <c r="Q167" s="5">
        <v>46154</v>
      </c>
      <c r="R167" s="112" t="s">
        <v>25</v>
      </c>
      <c r="S167" s="5" t="s">
        <v>2028</v>
      </c>
      <c r="T167" s="1">
        <f>COUNTIF(Tabla_control[LOTE],Tabla_imprenta[[#This Row],[LOTE]])</f>
        <v>1</v>
      </c>
      <c r="U167" s="1">
        <f>INDEX(Tabla_stock[En stock],MATCH(Tabla_imprenta[[#This Row],[CODIGO IFA]],Tabla_stock[Número de artículo],0))</f>
        <v>1205</v>
      </c>
    </row>
    <row r="168" spans="1:21" x14ac:dyDescent="0.25">
      <c r="A168" s="2">
        <v>46121</v>
      </c>
      <c r="B168" s="1"/>
      <c r="C168" s="154" t="s">
        <v>3253</v>
      </c>
      <c r="D168" s="154" t="s">
        <v>12</v>
      </c>
      <c r="E168" s="154" t="s">
        <v>8</v>
      </c>
      <c r="F168" s="154" t="s">
        <v>3277</v>
      </c>
      <c r="G168" s="2">
        <v>46844</v>
      </c>
      <c r="H168" s="112">
        <v>200000</v>
      </c>
      <c r="I168" s="112" t="s">
        <v>3457</v>
      </c>
      <c r="J168" s="112" t="s">
        <v>1795</v>
      </c>
      <c r="K168" s="112" t="s">
        <v>241</v>
      </c>
      <c r="L168" s="112">
        <v>2</v>
      </c>
      <c r="M168" s="112">
        <v>30</v>
      </c>
      <c r="N168" s="112" t="s">
        <v>3255</v>
      </c>
      <c r="O168" s="1">
        <v>2000</v>
      </c>
      <c r="P168" s="3">
        <v>3.2898250521729525E-2</v>
      </c>
      <c r="Q168" s="5">
        <v>46150</v>
      </c>
      <c r="R168" s="112" t="s">
        <v>25</v>
      </c>
      <c r="S168" s="5" t="s">
        <v>2028</v>
      </c>
      <c r="T168" s="1">
        <f>COUNTIF(Tabla_control[LOTE],Tabla_imprenta[[#This Row],[LOTE]])</f>
        <v>1</v>
      </c>
      <c r="U168" s="1">
        <f>INDEX(Tabla_stock[En stock],MATCH(Tabla_imprenta[[#This Row],[CODIGO IFA]],Tabla_stock[Número de artículo],0))</f>
        <v>1800</v>
      </c>
    </row>
    <row r="169" spans="1:21" x14ac:dyDescent="0.25">
      <c r="A169" s="2">
        <v>46121</v>
      </c>
      <c r="B169" s="1"/>
      <c r="C169" s="154" t="s">
        <v>3246</v>
      </c>
      <c r="D169" s="154" t="s">
        <v>12</v>
      </c>
      <c r="E169" s="154" t="s">
        <v>8</v>
      </c>
      <c r="F169" s="154" t="s">
        <v>3278</v>
      </c>
      <c r="G169" s="2">
        <v>47574</v>
      </c>
      <c r="H169" s="112">
        <v>300000</v>
      </c>
      <c r="I169" s="112" t="s">
        <v>3455</v>
      </c>
      <c r="J169" s="112" t="s">
        <v>1722</v>
      </c>
      <c r="K169" s="112" t="s">
        <v>241</v>
      </c>
      <c r="L169" s="112">
        <v>1</v>
      </c>
      <c r="M169" s="112">
        <v>79</v>
      </c>
      <c r="N169" s="112" t="s">
        <v>3248</v>
      </c>
      <c r="O169" s="1">
        <v>600</v>
      </c>
      <c r="P169" s="3">
        <v>2.1887853211673778</v>
      </c>
      <c r="Q169" s="5">
        <v>46164</v>
      </c>
      <c r="R169" s="112" t="s">
        <v>25</v>
      </c>
      <c r="S169" s="5">
        <v>46168</v>
      </c>
      <c r="T169" s="1">
        <f>COUNTIF(Tabla_control[LOTE],Tabla_imprenta[[#This Row],[LOTE]])</f>
        <v>1</v>
      </c>
      <c r="U169" s="1">
        <f>INDEX(Tabla_stock[En stock],MATCH(Tabla_imprenta[[#This Row],[CODIGO IFA]],Tabla_stock[Número de artículo],0))</f>
        <v>929</v>
      </c>
    </row>
    <row r="170" spans="1:21" x14ac:dyDescent="0.25">
      <c r="A170" s="2">
        <v>46121</v>
      </c>
      <c r="B170" s="1"/>
      <c r="C170" s="154" t="s">
        <v>3240</v>
      </c>
      <c r="D170" s="154" t="s">
        <v>212</v>
      </c>
      <c r="E170" s="154" t="s">
        <v>8</v>
      </c>
      <c r="F170" s="154" t="s">
        <v>3279</v>
      </c>
      <c r="G170" s="2">
        <v>47574</v>
      </c>
      <c r="H170" s="112">
        <v>35000</v>
      </c>
      <c r="I170" s="112" t="s">
        <v>3453</v>
      </c>
      <c r="J170" s="112" t="s">
        <v>863</v>
      </c>
      <c r="K170" s="112" t="s">
        <v>241</v>
      </c>
      <c r="L170" s="112">
        <v>1</v>
      </c>
      <c r="M170" s="112">
        <v>9</v>
      </c>
      <c r="N170" s="112" t="s">
        <v>3242</v>
      </c>
      <c r="O170" s="1">
        <v>1400</v>
      </c>
      <c r="P170" s="3">
        <v>1.2473137131573817</v>
      </c>
      <c r="Q170" s="5">
        <v>46153</v>
      </c>
      <c r="R170" s="112" t="s">
        <v>25</v>
      </c>
      <c r="S170" s="5">
        <v>46149</v>
      </c>
      <c r="T170" s="1">
        <f>COUNTIF(Tabla_control[LOTE],Tabla_imprenta[[#This Row],[LOTE]])</f>
        <v>1</v>
      </c>
      <c r="U170" s="1">
        <f>INDEX(Tabla_stock[En stock],MATCH(Tabla_imprenta[[#This Row],[CODIGO IFA]],Tabla_stock[Número de artículo],0))</f>
        <v>564</v>
      </c>
    </row>
    <row r="171" spans="1:21" x14ac:dyDescent="0.25">
      <c r="A171" s="2">
        <v>46121</v>
      </c>
      <c r="B171" s="1"/>
      <c r="C171" s="154" t="s">
        <v>3246</v>
      </c>
      <c r="D171" s="154" t="s">
        <v>12</v>
      </c>
      <c r="E171" s="154" t="s">
        <v>8</v>
      </c>
      <c r="F171" s="154" t="s">
        <v>3280</v>
      </c>
      <c r="G171" s="2">
        <v>47574</v>
      </c>
      <c r="H171" s="112">
        <v>300000</v>
      </c>
      <c r="I171" s="112" t="s">
        <v>3455</v>
      </c>
      <c r="J171" s="112" t="s">
        <v>1722</v>
      </c>
      <c r="K171" s="112" t="s">
        <v>241</v>
      </c>
      <c r="L171" s="112">
        <v>1</v>
      </c>
      <c r="M171" s="112">
        <v>79</v>
      </c>
      <c r="N171" s="112" t="s">
        <v>3248</v>
      </c>
      <c r="O171" s="1">
        <v>600</v>
      </c>
      <c r="P171" s="3">
        <v>2.1887853211673778</v>
      </c>
      <c r="Q171" s="5">
        <v>46167</v>
      </c>
      <c r="R171" s="112" t="s">
        <v>25</v>
      </c>
      <c r="S171" s="5">
        <v>46169</v>
      </c>
      <c r="T171" s="1">
        <f>COUNTIF(Tabla_control[LOTE],Tabla_imprenta[[#This Row],[LOTE]])</f>
        <v>1</v>
      </c>
      <c r="U171" s="1">
        <f>INDEX(Tabla_stock[En stock],MATCH(Tabla_imprenta[[#This Row],[CODIGO IFA]],Tabla_stock[Número de artículo],0))</f>
        <v>929</v>
      </c>
    </row>
    <row r="172" spans="1:21" x14ac:dyDescent="0.25">
      <c r="A172" s="2">
        <v>46121</v>
      </c>
      <c r="B172" s="1"/>
      <c r="C172" s="154" t="s">
        <v>3246</v>
      </c>
      <c r="D172" s="154" t="s">
        <v>12</v>
      </c>
      <c r="E172" s="154" t="s">
        <v>8</v>
      </c>
      <c r="F172" s="154" t="s">
        <v>3281</v>
      </c>
      <c r="G172" s="2">
        <v>47574</v>
      </c>
      <c r="H172" s="112">
        <v>300000</v>
      </c>
      <c r="I172" s="112" t="s">
        <v>3455</v>
      </c>
      <c r="J172" s="112" t="s">
        <v>1722</v>
      </c>
      <c r="K172" s="112" t="s">
        <v>241</v>
      </c>
      <c r="L172" s="112">
        <v>1</v>
      </c>
      <c r="M172" s="112">
        <v>79</v>
      </c>
      <c r="N172" s="112" t="s">
        <v>3248</v>
      </c>
      <c r="O172" s="1">
        <v>600</v>
      </c>
      <c r="P172" s="3">
        <v>2.1887853211673778</v>
      </c>
      <c r="Q172" s="5">
        <v>46170</v>
      </c>
      <c r="R172" s="112" t="s">
        <v>25</v>
      </c>
      <c r="S172" s="5">
        <v>46176</v>
      </c>
      <c r="T172" s="1">
        <f>COUNTIF(Tabla_control[LOTE],Tabla_imprenta[[#This Row],[LOTE]])</f>
        <v>1</v>
      </c>
      <c r="U172" s="1">
        <f>INDEX(Tabla_stock[En stock],MATCH(Tabla_imprenta[[#This Row],[CODIGO IFA]],Tabla_stock[Número de artículo],0))</f>
        <v>929</v>
      </c>
    </row>
    <row r="173" spans="1:21" x14ac:dyDescent="0.25">
      <c r="A173" s="2">
        <v>46121</v>
      </c>
      <c r="B173" s="1"/>
      <c r="C173" s="154" t="s">
        <v>3246</v>
      </c>
      <c r="D173" s="154" t="s">
        <v>12</v>
      </c>
      <c r="E173" s="154" t="s">
        <v>8</v>
      </c>
      <c r="F173" s="154" t="s">
        <v>3282</v>
      </c>
      <c r="G173" s="2">
        <v>47574</v>
      </c>
      <c r="H173" s="112">
        <v>300000</v>
      </c>
      <c r="I173" s="112" t="s">
        <v>3455</v>
      </c>
      <c r="J173" s="112" t="s">
        <v>1722</v>
      </c>
      <c r="K173" s="112" t="s">
        <v>241</v>
      </c>
      <c r="L173" s="112">
        <v>1</v>
      </c>
      <c r="M173" s="112">
        <v>79</v>
      </c>
      <c r="N173" s="112" t="s">
        <v>3248</v>
      </c>
      <c r="O173" s="1">
        <v>600</v>
      </c>
      <c r="P173" s="3">
        <v>2.1887853211673778</v>
      </c>
      <c r="Q173" s="5">
        <v>46168</v>
      </c>
      <c r="R173" s="112" t="s">
        <v>25</v>
      </c>
      <c r="S173" s="5">
        <v>46171</v>
      </c>
      <c r="T173" s="1">
        <f>COUNTIF(Tabla_control[LOTE],Tabla_imprenta[[#This Row],[LOTE]])</f>
        <v>1</v>
      </c>
      <c r="U173" s="1">
        <f>INDEX(Tabla_stock[En stock],MATCH(Tabla_imprenta[[#This Row],[CODIGO IFA]],Tabla_stock[Número de artículo],0))</f>
        <v>929</v>
      </c>
    </row>
    <row r="174" spans="1:21" x14ac:dyDescent="0.25">
      <c r="A174" s="2">
        <v>46121</v>
      </c>
      <c r="B174" s="1"/>
      <c r="C174" s="154" t="s">
        <v>3246</v>
      </c>
      <c r="D174" s="154" t="s">
        <v>12</v>
      </c>
      <c r="E174" s="154" t="s">
        <v>8</v>
      </c>
      <c r="F174" s="154" t="s">
        <v>3283</v>
      </c>
      <c r="G174" s="2">
        <v>47574</v>
      </c>
      <c r="H174" s="112">
        <v>300000</v>
      </c>
      <c r="I174" s="112" t="s">
        <v>3455</v>
      </c>
      <c r="J174" s="112" t="s">
        <v>1722</v>
      </c>
      <c r="K174" s="112" t="s">
        <v>241</v>
      </c>
      <c r="L174" s="112">
        <v>1</v>
      </c>
      <c r="M174" s="112">
        <v>79</v>
      </c>
      <c r="N174" s="112" t="s">
        <v>3248</v>
      </c>
      <c r="O174" s="1">
        <v>600</v>
      </c>
      <c r="P174" s="3">
        <v>2.1887853211673778</v>
      </c>
      <c r="Q174" s="5">
        <v>46169</v>
      </c>
      <c r="R174" s="112" t="s">
        <v>25</v>
      </c>
      <c r="S174" s="5">
        <v>46174</v>
      </c>
      <c r="T174" s="1">
        <f>COUNTIF(Tabla_control[LOTE],Tabla_imprenta[[#This Row],[LOTE]])</f>
        <v>1</v>
      </c>
      <c r="U174" s="1">
        <f>INDEX(Tabla_stock[En stock],MATCH(Tabla_imprenta[[#This Row],[CODIGO IFA]],Tabla_stock[Número de artículo],0))</f>
        <v>929</v>
      </c>
    </row>
    <row r="175" spans="1:21" x14ac:dyDescent="0.25">
      <c r="A175" s="2">
        <v>46143</v>
      </c>
      <c r="B175" s="1"/>
      <c r="C175" s="154" t="s">
        <v>5351</v>
      </c>
      <c r="D175" s="154" t="s">
        <v>201</v>
      </c>
      <c r="E175" s="154" t="s">
        <v>8</v>
      </c>
      <c r="F175" s="154" t="s">
        <v>5352</v>
      </c>
      <c r="G175" s="2">
        <v>47239</v>
      </c>
      <c r="H175" s="112">
        <v>24000</v>
      </c>
      <c r="I175" s="112" t="s">
        <v>4190</v>
      </c>
      <c r="J175" s="112" t="s">
        <v>1779</v>
      </c>
      <c r="K175" s="112" t="s">
        <v>241</v>
      </c>
      <c r="L175" s="112">
        <v>4</v>
      </c>
      <c r="M175" s="112">
        <v>3</v>
      </c>
      <c r="N175" s="112" t="s">
        <v>5353</v>
      </c>
      <c r="O175" s="1">
        <v>24000</v>
      </c>
      <c r="P175" s="3">
        <v>4.0707319864516398</v>
      </c>
      <c r="Q175" s="5">
        <v>46162</v>
      </c>
      <c r="R175" s="112">
        <v>46155</v>
      </c>
      <c r="S175" s="5">
        <v>46162</v>
      </c>
      <c r="T175" s="1">
        <f>COUNTIF(Tabla_control[LOTE],Tabla_imprenta[[#This Row],[LOTE]])</f>
        <v>1</v>
      </c>
      <c r="U175" s="1">
        <f>INDEX(Tabla_stock[En stock],MATCH(Tabla_imprenta[[#This Row],[CODIGO IFA]],Tabla_stock[Número de artículo],0))</f>
        <v>1593</v>
      </c>
    </row>
    <row r="176" spans="1:21" x14ac:dyDescent="0.25">
      <c r="A176" s="2">
        <v>46143</v>
      </c>
      <c r="B176" s="1"/>
      <c r="C176" s="154" t="s">
        <v>5351</v>
      </c>
      <c r="D176" s="154" t="s">
        <v>201</v>
      </c>
      <c r="E176" s="154" t="s">
        <v>8</v>
      </c>
      <c r="F176" s="154" t="s">
        <v>5354</v>
      </c>
      <c r="G176" s="2">
        <v>47239</v>
      </c>
      <c r="H176" s="112">
        <v>24000</v>
      </c>
      <c r="I176" s="112" t="s">
        <v>4190</v>
      </c>
      <c r="J176" s="112" t="s">
        <v>1779</v>
      </c>
      <c r="K176" s="112" t="s">
        <v>241</v>
      </c>
      <c r="L176" s="112">
        <v>4</v>
      </c>
      <c r="M176" s="112">
        <v>3</v>
      </c>
      <c r="N176" s="112" t="s">
        <v>5353</v>
      </c>
      <c r="O176" s="1">
        <v>24000</v>
      </c>
      <c r="P176" s="3">
        <v>4.0707319864516398</v>
      </c>
      <c r="Q176" s="5">
        <v>46156</v>
      </c>
      <c r="R176" s="112">
        <v>46150</v>
      </c>
      <c r="S176" s="5">
        <v>46156</v>
      </c>
      <c r="T176" s="1">
        <f>COUNTIF(Tabla_control[LOTE],Tabla_imprenta[[#This Row],[LOTE]])</f>
        <v>1</v>
      </c>
      <c r="U176" s="1">
        <f>INDEX(Tabla_stock[En stock],MATCH(Tabla_imprenta[[#This Row],[CODIGO IFA]],Tabla_stock[Número de artículo],0))</f>
        <v>1593</v>
      </c>
    </row>
    <row r="177" spans="1:21" x14ac:dyDescent="0.25">
      <c r="A177" s="2">
        <v>46143</v>
      </c>
      <c r="B177" s="1"/>
      <c r="C177" s="154" t="s">
        <v>5351</v>
      </c>
      <c r="D177" s="154" t="s">
        <v>201</v>
      </c>
      <c r="E177" s="154" t="s">
        <v>8</v>
      </c>
      <c r="F177" s="154" t="s">
        <v>5355</v>
      </c>
      <c r="G177" s="2">
        <v>47239</v>
      </c>
      <c r="H177" s="112">
        <v>24000</v>
      </c>
      <c r="I177" s="112" t="s">
        <v>4190</v>
      </c>
      <c r="J177" s="112" t="s">
        <v>1779</v>
      </c>
      <c r="K177" s="112" t="s">
        <v>241</v>
      </c>
      <c r="L177" s="112">
        <v>4</v>
      </c>
      <c r="M177" s="112">
        <v>3</v>
      </c>
      <c r="N177" s="112" t="s">
        <v>5353</v>
      </c>
      <c r="O177" s="1">
        <v>24000</v>
      </c>
      <c r="P177" s="3">
        <v>4.0707319864516398</v>
      </c>
      <c r="Q177" s="5">
        <v>46154</v>
      </c>
      <c r="R177" s="112">
        <v>46149</v>
      </c>
      <c r="S177" s="5">
        <v>46154</v>
      </c>
      <c r="T177" s="1">
        <f>COUNTIF(Tabla_control[LOTE],Tabla_imprenta[[#This Row],[LOTE]])</f>
        <v>1</v>
      </c>
      <c r="U177" s="1">
        <f>INDEX(Tabla_stock[En stock],MATCH(Tabla_imprenta[[#This Row],[CODIGO IFA]],Tabla_stock[Número de artículo],0))</f>
        <v>1593</v>
      </c>
    </row>
    <row r="178" spans="1:21" x14ac:dyDescent="0.25">
      <c r="A178" s="2">
        <v>46143</v>
      </c>
      <c r="B178" s="1"/>
      <c r="C178" s="154" t="s">
        <v>5351</v>
      </c>
      <c r="D178" s="154" t="s">
        <v>201</v>
      </c>
      <c r="E178" s="154" t="s">
        <v>8</v>
      </c>
      <c r="F178" s="154" t="s">
        <v>5356</v>
      </c>
      <c r="G178" s="2">
        <v>47239</v>
      </c>
      <c r="H178" s="112">
        <v>24000</v>
      </c>
      <c r="I178" s="112" t="s">
        <v>4190</v>
      </c>
      <c r="J178" s="112" t="s">
        <v>1779</v>
      </c>
      <c r="K178" s="112" t="s">
        <v>241</v>
      </c>
      <c r="L178" s="112">
        <v>4</v>
      </c>
      <c r="M178" s="112">
        <v>3</v>
      </c>
      <c r="N178" s="112" t="s">
        <v>5353</v>
      </c>
      <c r="O178" s="1">
        <v>24000</v>
      </c>
      <c r="P178" s="3">
        <v>4.0707319864516398</v>
      </c>
      <c r="Q178" s="5">
        <v>46160</v>
      </c>
      <c r="R178" s="112">
        <v>46154</v>
      </c>
      <c r="S178" s="5">
        <v>46160</v>
      </c>
      <c r="T178" s="1">
        <f>COUNTIF(Tabla_control[LOTE],Tabla_imprenta[[#This Row],[LOTE]])</f>
        <v>1</v>
      </c>
      <c r="U178" s="1">
        <f>INDEX(Tabla_stock[En stock],MATCH(Tabla_imprenta[[#This Row],[CODIGO IFA]],Tabla_stock[Número de artículo],0))</f>
        <v>1593</v>
      </c>
    </row>
    <row r="179" spans="1:21" x14ac:dyDescent="0.25">
      <c r="A179" s="2">
        <v>46143</v>
      </c>
      <c r="B179" s="1"/>
      <c r="C179" s="154" t="s">
        <v>5351</v>
      </c>
      <c r="D179" s="154" t="s">
        <v>201</v>
      </c>
      <c r="E179" s="154" t="s">
        <v>8</v>
      </c>
      <c r="F179" s="154" t="s">
        <v>5357</v>
      </c>
      <c r="G179" s="2">
        <v>47239</v>
      </c>
      <c r="H179" s="112">
        <v>24000</v>
      </c>
      <c r="I179" s="112" t="s">
        <v>4190</v>
      </c>
      <c r="J179" s="112" t="s">
        <v>1779</v>
      </c>
      <c r="K179" s="112" t="s">
        <v>241</v>
      </c>
      <c r="L179" s="112">
        <v>4</v>
      </c>
      <c r="M179" s="112">
        <v>3</v>
      </c>
      <c r="N179" s="112" t="s">
        <v>5353</v>
      </c>
      <c r="O179" s="1">
        <v>24000</v>
      </c>
      <c r="P179" s="3">
        <v>4.0707319864516398</v>
      </c>
      <c r="Q179" s="5" t="s">
        <v>28</v>
      </c>
      <c r="R179" s="112" t="s">
        <v>2028</v>
      </c>
      <c r="S179" s="5">
        <v>46152</v>
      </c>
      <c r="T179" s="1">
        <f>COUNTIF(Tabla_control[LOTE],Tabla_imprenta[[#This Row],[LOTE]])</f>
        <v>1</v>
      </c>
      <c r="U179" s="1">
        <f>INDEX(Tabla_stock[En stock],MATCH(Tabla_imprenta[[#This Row],[CODIGO IFA]],Tabla_stock[Número de artículo],0))</f>
        <v>1593</v>
      </c>
    </row>
    <row r="180" spans="1:21" x14ac:dyDescent="0.25">
      <c r="A180" s="2">
        <v>46143</v>
      </c>
      <c r="B180" s="1"/>
      <c r="C180" s="154" t="s">
        <v>5351</v>
      </c>
      <c r="D180" s="154" t="s">
        <v>201</v>
      </c>
      <c r="E180" s="154" t="s">
        <v>8</v>
      </c>
      <c r="F180" s="154" t="s">
        <v>5358</v>
      </c>
      <c r="G180" s="2">
        <v>47239</v>
      </c>
      <c r="H180" s="112">
        <v>24000</v>
      </c>
      <c r="I180" s="112" t="s">
        <v>4190</v>
      </c>
      <c r="J180" s="112" t="s">
        <v>1779</v>
      </c>
      <c r="K180" s="112" t="s">
        <v>241</v>
      </c>
      <c r="L180" s="112">
        <v>4</v>
      </c>
      <c r="M180" s="112">
        <v>3</v>
      </c>
      <c r="N180" s="112" t="s">
        <v>5353</v>
      </c>
      <c r="O180" s="1">
        <v>24000</v>
      </c>
      <c r="P180" s="3">
        <v>4.0707319864516398</v>
      </c>
      <c r="Q180" s="5" t="s">
        <v>28</v>
      </c>
      <c r="R180" s="112">
        <v>46153</v>
      </c>
      <c r="S180" s="5">
        <v>46158</v>
      </c>
      <c r="T180" s="1">
        <f>COUNTIF(Tabla_control[LOTE],Tabla_imprenta[[#This Row],[LOTE]])</f>
        <v>1</v>
      </c>
      <c r="U180" s="1">
        <f>INDEX(Tabla_stock[En stock],MATCH(Tabla_imprenta[[#This Row],[CODIGO IFA]],Tabla_stock[Número de artículo],0))</f>
        <v>1593</v>
      </c>
    </row>
    <row r="181" spans="1:21" x14ac:dyDescent="0.25">
      <c r="A181" s="2">
        <v>46143</v>
      </c>
      <c r="B181" s="1"/>
      <c r="C181" s="154" t="s">
        <v>5359</v>
      </c>
      <c r="D181" s="154" t="s">
        <v>9</v>
      </c>
      <c r="E181" s="154" t="s">
        <v>8</v>
      </c>
      <c r="F181" s="154" t="s">
        <v>5360</v>
      </c>
      <c r="G181" s="2">
        <v>46874</v>
      </c>
      <c r="H181" s="112">
        <v>150000</v>
      </c>
      <c r="I181" s="112" t="s">
        <v>4850</v>
      </c>
      <c r="J181" s="112" t="s">
        <v>1620</v>
      </c>
      <c r="K181" s="112" t="s">
        <v>2030</v>
      </c>
      <c r="L181" s="112">
        <v>3</v>
      </c>
      <c r="M181" s="112">
        <v>116</v>
      </c>
      <c r="N181" s="112" t="s">
        <v>5361</v>
      </c>
      <c r="O181" s="1">
        <v>15000</v>
      </c>
      <c r="P181" s="3">
        <v>1.0982532103561793</v>
      </c>
      <c r="Q181" s="5" t="s">
        <v>28</v>
      </c>
      <c r="R181" s="112" t="s">
        <v>25</v>
      </c>
      <c r="S181" s="5">
        <v>0</v>
      </c>
      <c r="T181" s="1">
        <f>COUNTIF(Tabla_control[LOTE],Tabla_imprenta[[#This Row],[LOTE]])</f>
        <v>1</v>
      </c>
      <c r="U181" s="1">
        <f>INDEX(Tabla_stock[En stock],MATCH(Tabla_imprenta[[#This Row],[CODIGO IFA]],Tabla_stock[Número de artículo],0))</f>
        <v>1425</v>
      </c>
    </row>
    <row r="182" spans="1:21" x14ac:dyDescent="0.25">
      <c r="A182" s="2">
        <v>46143</v>
      </c>
      <c r="B182" s="1"/>
      <c r="C182" s="154" t="s">
        <v>5362</v>
      </c>
      <c r="D182" s="154" t="s">
        <v>2111</v>
      </c>
      <c r="E182" s="154" t="s">
        <v>8</v>
      </c>
      <c r="F182" s="154" t="s">
        <v>5363</v>
      </c>
      <c r="G182" s="2">
        <v>46874</v>
      </c>
      <c r="H182" s="112">
        <v>140000</v>
      </c>
      <c r="I182" s="112" t="s">
        <v>5000</v>
      </c>
      <c r="J182" s="112" t="s">
        <v>947</v>
      </c>
      <c r="K182" s="112" t="s">
        <v>241</v>
      </c>
      <c r="L182" s="112">
        <v>2</v>
      </c>
      <c r="M182" s="112">
        <v>21</v>
      </c>
      <c r="N182" s="112" t="s">
        <v>5364</v>
      </c>
      <c r="O182" s="1">
        <v>5600</v>
      </c>
      <c r="P182" s="3">
        <v>0.77126222075350692</v>
      </c>
      <c r="Q182" s="5">
        <v>46170</v>
      </c>
      <c r="R182" s="112" t="s">
        <v>25</v>
      </c>
      <c r="S182" s="5">
        <v>46170</v>
      </c>
      <c r="T182" s="1">
        <f>COUNTIF(Tabla_control[LOTE],Tabla_imprenta[[#This Row],[LOTE]])</f>
        <v>1</v>
      </c>
      <c r="U182" s="1">
        <f>INDEX(Tabla_stock[En stock],MATCH(Tabla_imprenta[[#This Row],[CODIGO IFA]],Tabla_stock[Número de artículo],0))</f>
        <v>5116</v>
      </c>
    </row>
    <row r="183" spans="1:21" x14ac:dyDescent="0.25">
      <c r="A183" s="2">
        <v>46143</v>
      </c>
      <c r="B183" s="1"/>
      <c r="C183" s="154" t="s">
        <v>5365</v>
      </c>
      <c r="D183" s="154" t="s">
        <v>2111</v>
      </c>
      <c r="E183" s="154" t="s">
        <v>8</v>
      </c>
      <c r="F183" s="154" t="s">
        <v>5366</v>
      </c>
      <c r="G183" s="2">
        <v>46874</v>
      </c>
      <c r="H183" s="112">
        <v>45000</v>
      </c>
      <c r="I183" s="112" t="s">
        <v>4995</v>
      </c>
      <c r="J183" s="112" t="s">
        <v>774</v>
      </c>
      <c r="K183" s="112" t="s">
        <v>241</v>
      </c>
      <c r="L183" s="112">
        <v>2</v>
      </c>
      <c r="M183" s="112">
        <v>21</v>
      </c>
      <c r="N183" s="112" t="s">
        <v>5367</v>
      </c>
      <c r="O183" s="1">
        <v>1800</v>
      </c>
      <c r="P183" s="3">
        <v>2.956845599546595</v>
      </c>
      <c r="Q183" s="5">
        <v>46167</v>
      </c>
      <c r="R183" s="112" t="s">
        <v>25</v>
      </c>
      <c r="S183" s="5">
        <v>46167</v>
      </c>
      <c r="T183" s="1">
        <f>COUNTIF(Tabla_control[LOTE],Tabla_imprenta[[#This Row],[LOTE]])</f>
        <v>1</v>
      </c>
      <c r="U183" s="1">
        <f>INDEX(Tabla_stock[En stock],MATCH(Tabla_imprenta[[#This Row],[CODIGO IFA]],Tabla_stock[Número de artículo],0))</f>
        <v>2485</v>
      </c>
    </row>
    <row r="184" spans="1:21" x14ac:dyDescent="0.25">
      <c r="A184" s="2">
        <v>46143</v>
      </c>
      <c r="B184" s="1"/>
      <c r="C184" s="154" t="s">
        <v>5368</v>
      </c>
      <c r="D184" s="154" t="s">
        <v>9</v>
      </c>
      <c r="E184" s="154" t="s">
        <v>8</v>
      </c>
      <c r="F184" s="154" t="s">
        <v>5369</v>
      </c>
      <c r="G184" s="2">
        <v>47239</v>
      </c>
      <c r="H184" s="112">
        <v>100000</v>
      </c>
      <c r="I184" s="112" t="s">
        <v>5260</v>
      </c>
      <c r="J184" s="112" t="s">
        <v>1970</v>
      </c>
      <c r="K184" s="112" t="s">
        <v>2305</v>
      </c>
      <c r="L184" s="112">
        <v>2</v>
      </c>
      <c r="M184" s="112">
        <v>106</v>
      </c>
      <c r="N184" s="112" t="s">
        <v>5370</v>
      </c>
      <c r="O184" s="1">
        <v>3333.3333333333335</v>
      </c>
      <c r="P184" s="3">
        <v>25.079919408999331</v>
      </c>
      <c r="Q184" s="5" t="s">
        <v>28</v>
      </c>
      <c r="R184" s="112" t="s">
        <v>25</v>
      </c>
      <c r="S184" s="5">
        <v>0</v>
      </c>
      <c r="T184" s="1">
        <f>COUNTIF(Tabla_control[LOTE],Tabla_imprenta[[#This Row],[LOTE]])</f>
        <v>1</v>
      </c>
      <c r="U184" s="1">
        <f>INDEX(Tabla_stock[En stock],MATCH(Tabla_imprenta[[#This Row],[CODIGO IFA]],Tabla_stock[Número de artículo],0))</f>
        <v>3913</v>
      </c>
    </row>
    <row r="185" spans="1:21" x14ac:dyDescent="0.25">
      <c r="A185" s="2">
        <v>46143</v>
      </c>
      <c r="B185" s="1"/>
      <c r="C185" s="154" t="s">
        <v>5371</v>
      </c>
      <c r="D185" s="154" t="s">
        <v>2229</v>
      </c>
      <c r="E185" s="154" t="s">
        <v>8</v>
      </c>
      <c r="F185" s="154" t="s">
        <v>5372</v>
      </c>
      <c r="G185" s="2">
        <v>47239</v>
      </c>
      <c r="H185" s="112">
        <v>1500</v>
      </c>
      <c r="I185" s="112" t="s">
        <v>4269</v>
      </c>
      <c r="J185" s="112" t="s">
        <v>1073</v>
      </c>
      <c r="K185" s="112" t="s">
        <v>263</v>
      </c>
      <c r="L185" s="112">
        <v>4</v>
      </c>
      <c r="M185" s="112">
        <v>6</v>
      </c>
      <c r="N185" s="112" t="s">
        <v>5373</v>
      </c>
      <c r="O185" s="1">
        <v>1500</v>
      </c>
      <c r="P185" s="3">
        <v>3.7370120340475488</v>
      </c>
      <c r="Q185" s="5" t="s">
        <v>28</v>
      </c>
      <c r="R185" s="112" t="s">
        <v>25</v>
      </c>
      <c r="S185" s="5">
        <v>0</v>
      </c>
      <c r="T185" s="1">
        <f>COUNTIF(Tabla_control[LOTE],Tabla_imprenta[[#This Row],[LOTE]])</f>
        <v>1</v>
      </c>
      <c r="U185" s="1">
        <f>INDEX(Tabla_stock[En stock],MATCH(Tabla_imprenta[[#This Row],[CODIGO IFA]],Tabla_stock[Número de artículo],0))</f>
        <v>1722</v>
      </c>
    </row>
    <row r="186" spans="1:21" x14ac:dyDescent="0.25">
      <c r="A186" s="2">
        <v>46143</v>
      </c>
      <c r="B186" s="1"/>
      <c r="C186" s="154" t="s">
        <v>5374</v>
      </c>
      <c r="D186" s="154" t="s">
        <v>9</v>
      </c>
      <c r="E186" s="154" t="s">
        <v>8</v>
      </c>
      <c r="F186" s="154" t="s">
        <v>5375</v>
      </c>
      <c r="G186" s="2">
        <v>46874</v>
      </c>
      <c r="H186" s="112">
        <v>110000</v>
      </c>
      <c r="I186" s="112" t="s">
        <v>4305</v>
      </c>
      <c r="J186" s="112" t="s">
        <v>1053</v>
      </c>
      <c r="K186" s="112" t="s">
        <v>263</v>
      </c>
      <c r="L186" s="112">
        <v>3</v>
      </c>
      <c r="M186" s="112">
        <v>53</v>
      </c>
      <c r="N186" s="112" t="s">
        <v>5376</v>
      </c>
      <c r="O186" s="1">
        <v>11000</v>
      </c>
      <c r="P186" s="3">
        <v>2.8051552668966919</v>
      </c>
      <c r="Q186" s="5" t="s">
        <v>28</v>
      </c>
      <c r="R186" s="112" t="s">
        <v>25</v>
      </c>
      <c r="S186" s="5">
        <v>0</v>
      </c>
      <c r="T186" s="1">
        <f>COUNTIF(Tabla_control[LOTE],Tabla_imprenta[[#This Row],[LOTE]])</f>
        <v>1</v>
      </c>
      <c r="U186" s="1">
        <f>INDEX(Tabla_stock[En stock],MATCH(Tabla_imprenta[[#This Row],[CODIGO IFA]],Tabla_stock[Número de artículo],0))</f>
        <v>12044</v>
      </c>
    </row>
    <row r="187" spans="1:21" x14ac:dyDescent="0.25">
      <c r="A187" s="2">
        <v>46143</v>
      </c>
      <c r="B187" s="1"/>
      <c r="C187" s="154" t="s">
        <v>5377</v>
      </c>
      <c r="D187" s="154" t="s">
        <v>2229</v>
      </c>
      <c r="E187" s="154" t="s">
        <v>8</v>
      </c>
      <c r="F187" s="154" t="s">
        <v>5378</v>
      </c>
      <c r="G187" s="2">
        <v>46874</v>
      </c>
      <c r="H187" s="112">
        <v>15300</v>
      </c>
      <c r="I187" s="112" t="s">
        <v>4256</v>
      </c>
      <c r="J187" s="112" t="s">
        <v>953</v>
      </c>
      <c r="K187" s="112" t="s">
        <v>241</v>
      </c>
      <c r="L187" s="112">
        <v>4</v>
      </c>
      <c r="M187" s="112">
        <v>6</v>
      </c>
      <c r="N187" s="112" t="s">
        <v>5379</v>
      </c>
      <c r="O187" s="1">
        <v>15300</v>
      </c>
      <c r="P187" s="3">
        <v>0.39788184998056741</v>
      </c>
      <c r="Q187" s="5">
        <v>46160</v>
      </c>
      <c r="R187" s="112" t="s">
        <v>25</v>
      </c>
      <c r="S187" s="5">
        <v>0</v>
      </c>
      <c r="T187" s="1">
        <f>COUNTIF(Tabla_control[LOTE],Tabla_imprenta[[#This Row],[LOTE]])</f>
        <v>1</v>
      </c>
      <c r="U187" s="1">
        <f>INDEX(Tabla_stock[En stock],MATCH(Tabla_imprenta[[#This Row],[CODIGO IFA]],Tabla_stock[Número de artículo],0))</f>
        <v>3340</v>
      </c>
    </row>
    <row r="188" spans="1:21" x14ac:dyDescent="0.25">
      <c r="A188" s="2">
        <v>46143</v>
      </c>
      <c r="B188" s="1"/>
      <c r="C188" s="154" t="s">
        <v>5380</v>
      </c>
      <c r="D188" s="154" t="s">
        <v>9</v>
      </c>
      <c r="E188" s="154" t="s">
        <v>8</v>
      </c>
      <c r="F188" s="154" t="s">
        <v>5381</v>
      </c>
      <c r="G188" s="2">
        <v>46874</v>
      </c>
      <c r="H188" s="112">
        <v>20000</v>
      </c>
      <c r="I188" s="112" t="s">
        <v>4309</v>
      </c>
      <c r="J188" s="112" t="s">
        <v>1632</v>
      </c>
      <c r="K188" s="112" t="s">
        <v>263</v>
      </c>
      <c r="L188" s="112">
        <v>6</v>
      </c>
      <c r="M188" s="112">
        <v>121</v>
      </c>
      <c r="N188" s="112" t="s">
        <v>5382</v>
      </c>
      <c r="O188" s="1">
        <v>2000</v>
      </c>
      <c r="P188" s="3">
        <v>1.9681586061880445</v>
      </c>
      <c r="Q188" s="5" t="s">
        <v>28</v>
      </c>
      <c r="R188" s="112" t="s">
        <v>25</v>
      </c>
      <c r="S188" s="5">
        <v>0</v>
      </c>
      <c r="T188" s="1">
        <f>COUNTIF(Tabla_control[LOTE],Tabla_imprenta[[#This Row],[LOTE]])</f>
        <v>1</v>
      </c>
      <c r="U188" s="1">
        <f>INDEX(Tabla_stock[En stock],MATCH(Tabla_imprenta[[#This Row],[CODIGO IFA]],Tabla_stock[Número de artículo],0))</f>
        <v>2649</v>
      </c>
    </row>
    <row r="189" spans="1:21" x14ac:dyDescent="0.25">
      <c r="A189" s="2">
        <v>46143</v>
      </c>
      <c r="B189" s="1"/>
      <c r="C189" s="154" t="s">
        <v>5383</v>
      </c>
      <c r="D189" s="154" t="s">
        <v>9</v>
      </c>
      <c r="E189" s="154" t="s">
        <v>8</v>
      </c>
      <c r="F189" s="154" t="s">
        <v>5384</v>
      </c>
      <c r="G189" s="2">
        <v>46874</v>
      </c>
      <c r="H189" s="112">
        <v>20000</v>
      </c>
      <c r="I189" s="112" t="s">
        <v>4928</v>
      </c>
      <c r="J189" s="112" t="s">
        <v>1116</v>
      </c>
      <c r="K189" s="112" t="s">
        <v>2206</v>
      </c>
      <c r="L189" s="112">
        <v>3</v>
      </c>
      <c r="M189" s="112">
        <v>15</v>
      </c>
      <c r="N189" s="112" t="s">
        <v>5385</v>
      </c>
      <c r="O189" s="1">
        <v>666.66666666666663</v>
      </c>
      <c r="P189" s="3">
        <v>1.7278731836195509</v>
      </c>
      <c r="Q189" s="5" t="s">
        <v>28</v>
      </c>
      <c r="R189" s="112" t="s">
        <v>25</v>
      </c>
      <c r="S189" s="5">
        <v>0</v>
      </c>
      <c r="T189" s="1">
        <f>COUNTIF(Tabla_control[LOTE],Tabla_imprenta[[#This Row],[LOTE]])</f>
        <v>1</v>
      </c>
      <c r="U189" s="1">
        <f>INDEX(Tabla_stock[En stock],MATCH(Tabla_imprenta[[#This Row],[CODIGO IFA]],Tabla_stock[Número de artículo],0))</f>
        <v>1875</v>
      </c>
    </row>
    <row r="190" spans="1:21" x14ac:dyDescent="0.25">
      <c r="A190" s="2">
        <v>46143</v>
      </c>
      <c r="B190" s="1"/>
      <c r="C190" s="154" t="s">
        <v>5386</v>
      </c>
      <c r="D190" s="154" t="s">
        <v>17</v>
      </c>
      <c r="E190" s="154" t="s">
        <v>8</v>
      </c>
      <c r="F190" s="154" t="s">
        <v>5387</v>
      </c>
      <c r="G190" s="2">
        <v>47604</v>
      </c>
      <c r="H190" s="112">
        <v>9000</v>
      </c>
      <c r="I190" s="112" t="s">
        <v>4279</v>
      </c>
      <c r="J190" s="112" t="s">
        <v>1367</v>
      </c>
      <c r="K190" s="112" t="s">
        <v>263</v>
      </c>
      <c r="L190" s="112">
        <v>4</v>
      </c>
      <c r="M190" s="112">
        <v>6</v>
      </c>
      <c r="N190" s="112" t="s">
        <v>5388</v>
      </c>
      <c r="O190" s="1">
        <v>9000</v>
      </c>
      <c r="P190" s="3">
        <v>0.83776795395779458</v>
      </c>
      <c r="Q190" s="5">
        <v>46167</v>
      </c>
      <c r="R190" s="112" t="s">
        <v>25</v>
      </c>
      <c r="S190" s="5">
        <v>0</v>
      </c>
      <c r="T190" s="1">
        <f>COUNTIF(Tabla_control[LOTE],Tabla_imprenta[[#This Row],[LOTE]])</f>
        <v>1</v>
      </c>
      <c r="U190" s="1">
        <f>INDEX(Tabla_stock[En stock],MATCH(Tabla_imprenta[[#This Row],[CODIGO IFA]],Tabla_stock[Número de artículo],0))</f>
        <v>1051</v>
      </c>
    </row>
    <row r="191" spans="1:21" x14ac:dyDescent="0.25">
      <c r="A191" s="2">
        <v>46143</v>
      </c>
      <c r="B191" s="1"/>
      <c r="C191" s="154" t="s">
        <v>5389</v>
      </c>
      <c r="D191" s="154" t="s">
        <v>2229</v>
      </c>
      <c r="E191" s="154" t="s">
        <v>8</v>
      </c>
      <c r="F191" s="154" t="s">
        <v>5390</v>
      </c>
      <c r="G191" s="2">
        <v>46874</v>
      </c>
      <c r="H191" s="112">
        <v>12900</v>
      </c>
      <c r="I191" s="112" t="s">
        <v>4259</v>
      </c>
      <c r="J191" s="112" t="s">
        <v>1216</v>
      </c>
      <c r="K191" s="112" t="s">
        <v>241</v>
      </c>
      <c r="L191" s="112">
        <v>4</v>
      </c>
      <c r="M191" s="112">
        <v>6</v>
      </c>
      <c r="N191" s="112" t="s">
        <v>5391</v>
      </c>
      <c r="O191" s="1">
        <v>12900</v>
      </c>
      <c r="P191" s="3">
        <v>2.2778031219628296</v>
      </c>
      <c r="Q191" s="5" t="s">
        <v>28</v>
      </c>
      <c r="R191" s="112" t="s">
        <v>25</v>
      </c>
      <c r="S191" s="5">
        <v>0</v>
      </c>
      <c r="T191" s="1">
        <f>COUNTIF(Tabla_control[LOTE],Tabla_imprenta[[#This Row],[LOTE]])</f>
        <v>1</v>
      </c>
      <c r="U191" s="1">
        <f>INDEX(Tabla_stock[En stock],MATCH(Tabla_imprenta[[#This Row],[CODIGO IFA]],Tabla_stock[Número de artículo],0))</f>
        <v>2755</v>
      </c>
    </row>
    <row r="192" spans="1:21" x14ac:dyDescent="0.25">
      <c r="A192" s="2">
        <v>46143</v>
      </c>
      <c r="B192" s="1"/>
      <c r="C192" s="154" t="s">
        <v>5392</v>
      </c>
      <c r="D192" s="154" t="s">
        <v>243</v>
      </c>
      <c r="E192" s="154" t="s">
        <v>8</v>
      </c>
      <c r="F192" s="154" t="s">
        <v>5393</v>
      </c>
      <c r="G192" s="2">
        <v>46874</v>
      </c>
      <c r="H192" s="112">
        <v>40000</v>
      </c>
      <c r="I192" s="112" t="s">
        <v>4963</v>
      </c>
      <c r="J192" s="112" t="s">
        <v>1180</v>
      </c>
      <c r="K192" s="112" t="s">
        <v>251</v>
      </c>
      <c r="L192" s="112">
        <v>6</v>
      </c>
      <c r="M192" s="112">
        <v>16</v>
      </c>
      <c r="N192" s="112" t="s">
        <v>5394</v>
      </c>
      <c r="O192" s="1">
        <v>4000</v>
      </c>
      <c r="P192" s="3">
        <v>2.7912227351287493</v>
      </c>
      <c r="Q192" s="5" t="s">
        <v>28</v>
      </c>
      <c r="R192" s="112" t="s">
        <v>25</v>
      </c>
      <c r="S192" s="5">
        <v>0</v>
      </c>
      <c r="T192" s="1">
        <f>COUNTIF(Tabla_control[LOTE],Tabla_imprenta[[#This Row],[LOTE]])</f>
        <v>1</v>
      </c>
      <c r="U192" s="1">
        <f>INDEX(Tabla_stock[En stock],MATCH(Tabla_imprenta[[#This Row],[CODIGO IFA]],Tabla_stock[Número de artículo],0))</f>
        <v>1927</v>
      </c>
    </row>
    <row r="193" spans="1:21" x14ac:dyDescent="0.25">
      <c r="A193" s="2">
        <v>46143</v>
      </c>
      <c r="B193" s="1"/>
      <c r="C193" s="154" t="s">
        <v>5395</v>
      </c>
      <c r="D193" s="154" t="s">
        <v>9</v>
      </c>
      <c r="E193" s="154" t="s">
        <v>8</v>
      </c>
      <c r="F193" s="154" t="s">
        <v>5396</v>
      </c>
      <c r="G193" s="2">
        <v>46874</v>
      </c>
      <c r="H193" s="112">
        <v>30000</v>
      </c>
      <c r="I193" s="112" t="s">
        <v>4823</v>
      </c>
      <c r="J193" s="112" t="s">
        <v>1365</v>
      </c>
      <c r="K193" s="112" t="s">
        <v>2206</v>
      </c>
      <c r="L193" s="112">
        <v>3</v>
      </c>
      <c r="M193" s="112">
        <v>67</v>
      </c>
      <c r="N193" s="112" t="s">
        <v>5397</v>
      </c>
      <c r="O193" s="1">
        <v>1000</v>
      </c>
      <c r="P193" s="3">
        <v>0.96660513508977985</v>
      </c>
      <c r="Q193" s="5" t="s">
        <v>28</v>
      </c>
      <c r="R193" s="112" t="s">
        <v>25</v>
      </c>
      <c r="S193" s="5">
        <v>0</v>
      </c>
      <c r="T193" s="1">
        <f>COUNTIF(Tabla_control[LOTE],Tabla_imprenta[[#This Row],[LOTE]])</f>
        <v>1</v>
      </c>
      <c r="U193" s="1">
        <f>INDEX(Tabla_stock[En stock],MATCH(Tabla_imprenta[[#This Row],[CODIGO IFA]],Tabla_stock[Número de artículo],0))</f>
        <v>300</v>
      </c>
    </row>
    <row r="194" spans="1:21" x14ac:dyDescent="0.25">
      <c r="A194" s="2">
        <v>46143</v>
      </c>
      <c r="B194" s="1"/>
      <c r="C194" s="154" t="s">
        <v>5398</v>
      </c>
      <c r="D194" s="154" t="s">
        <v>243</v>
      </c>
      <c r="E194" s="154" t="s">
        <v>8</v>
      </c>
      <c r="F194" s="154" t="s">
        <v>5399</v>
      </c>
      <c r="G194" s="2">
        <v>46874</v>
      </c>
      <c r="H194" s="112">
        <v>130000</v>
      </c>
      <c r="I194" s="112" t="s">
        <v>4921</v>
      </c>
      <c r="J194" s="112" t="s">
        <v>767</v>
      </c>
      <c r="K194" s="112" t="s">
        <v>251</v>
      </c>
      <c r="L194" s="112">
        <v>3</v>
      </c>
      <c r="M194" s="112">
        <v>15</v>
      </c>
      <c r="N194" s="112" t="s">
        <v>5400</v>
      </c>
      <c r="O194" s="1">
        <v>13000</v>
      </c>
      <c r="P194" s="3">
        <v>0.3872823134686052</v>
      </c>
      <c r="Q194" s="5" t="s">
        <v>28</v>
      </c>
      <c r="R194" s="112" t="s">
        <v>25</v>
      </c>
      <c r="S194" s="5">
        <v>0</v>
      </c>
      <c r="T194" s="1">
        <f>COUNTIF(Tabla_control[LOTE],Tabla_imprenta[[#This Row],[LOTE]])</f>
        <v>1</v>
      </c>
      <c r="U194" s="1">
        <f>INDEX(Tabla_stock[En stock],MATCH(Tabla_imprenta[[#This Row],[CODIGO IFA]],Tabla_stock[Número de artículo],0))</f>
        <v>1082</v>
      </c>
    </row>
    <row r="195" spans="1:21" x14ac:dyDescent="0.25">
      <c r="A195" s="2">
        <v>46143</v>
      </c>
      <c r="B195" s="1"/>
      <c r="C195" s="154" t="s">
        <v>5386</v>
      </c>
      <c r="D195" s="154" t="s">
        <v>17</v>
      </c>
      <c r="E195" s="154" t="s">
        <v>8</v>
      </c>
      <c r="F195" s="154" t="s">
        <v>5401</v>
      </c>
      <c r="G195" s="2">
        <v>47604</v>
      </c>
      <c r="H195" s="112">
        <v>9000</v>
      </c>
      <c r="I195" s="112" t="s">
        <v>4279</v>
      </c>
      <c r="J195" s="112" t="s">
        <v>1367</v>
      </c>
      <c r="K195" s="112" t="s">
        <v>263</v>
      </c>
      <c r="L195" s="112">
        <v>4</v>
      </c>
      <c r="M195" s="112">
        <v>6</v>
      </c>
      <c r="N195" s="112" t="s">
        <v>5388</v>
      </c>
      <c r="O195" s="1">
        <v>9000</v>
      </c>
      <c r="P195" s="3">
        <v>0.83776795395779458</v>
      </c>
      <c r="Q195" s="5">
        <v>46176</v>
      </c>
      <c r="R195" s="112">
        <v>0</v>
      </c>
      <c r="S195" s="5">
        <v>0</v>
      </c>
      <c r="T195" s="1">
        <f>COUNTIF(Tabla_control[LOTE],Tabla_imprenta[[#This Row],[LOTE]])</f>
        <v>1</v>
      </c>
      <c r="U195" s="1">
        <f>INDEX(Tabla_stock[En stock],MATCH(Tabla_imprenta[[#This Row],[CODIGO IFA]],Tabla_stock[Número de artículo],0))</f>
        <v>1051</v>
      </c>
    </row>
    <row r="196" spans="1:21" x14ac:dyDescent="0.25">
      <c r="A196" s="2">
        <v>46143</v>
      </c>
      <c r="B196" s="1"/>
      <c r="C196" s="154" t="s">
        <v>5402</v>
      </c>
      <c r="D196" s="154" t="s">
        <v>9</v>
      </c>
      <c r="E196" s="154" t="s">
        <v>102</v>
      </c>
      <c r="F196" s="154" t="s">
        <v>5403</v>
      </c>
      <c r="G196" s="2">
        <v>46874</v>
      </c>
      <c r="H196" s="112">
        <v>50000</v>
      </c>
      <c r="I196" s="112" t="s">
        <v>4884</v>
      </c>
      <c r="J196" s="112" t="s">
        <v>1407</v>
      </c>
      <c r="K196" s="112" t="s">
        <v>2206</v>
      </c>
      <c r="L196" s="112">
        <v>7</v>
      </c>
      <c r="M196" s="112">
        <v>59</v>
      </c>
      <c r="N196" s="112" t="s">
        <v>5385</v>
      </c>
      <c r="O196" s="1">
        <v>25000</v>
      </c>
      <c r="P196" s="3">
        <v>5.3331323447249437</v>
      </c>
      <c r="Q196" s="5" t="s">
        <v>28</v>
      </c>
      <c r="R196" s="112" t="s">
        <v>25</v>
      </c>
      <c r="S196" s="5">
        <v>0</v>
      </c>
      <c r="T196" s="1">
        <f>COUNTIF(Tabla_control[LOTE],Tabla_imprenta[[#This Row],[LOTE]])</f>
        <v>1</v>
      </c>
      <c r="U196" s="1">
        <f>INDEX(Tabla_stock[En stock],MATCH(Tabla_imprenta[[#This Row],[CODIGO IFA]],Tabla_stock[Número de artículo],0))</f>
        <v>818</v>
      </c>
    </row>
    <row r="197" spans="1:21" x14ac:dyDescent="0.25">
      <c r="A197" s="2">
        <v>46143</v>
      </c>
      <c r="B197" s="1"/>
      <c r="C197" s="154" t="s">
        <v>5404</v>
      </c>
      <c r="D197" s="154" t="s">
        <v>2111</v>
      </c>
      <c r="E197" s="154" t="s">
        <v>8</v>
      </c>
      <c r="F197" s="154" t="s">
        <v>5405</v>
      </c>
      <c r="G197" s="2">
        <v>47239</v>
      </c>
      <c r="H197" s="112">
        <v>80000</v>
      </c>
      <c r="I197" s="112" t="s">
        <v>5001</v>
      </c>
      <c r="J197" s="112" t="s">
        <v>1104</v>
      </c>
      <c r="K197" s="112" t="s">
        <v>241</v>
      </c>
      <c r="L197" s="112">
        <v>2</v>
      </c>
      <c r="M197" s="112">
        <v>21</v>
      </c>
      <c r="N197" s="112" t="s">
        <v>5406</v>
      </c>
      <c r="O197" s="1">
        <v>3200</v>
      </c>
      <c r="P197" s="3">
        <v>0.43771548493479234</v>
      </c>
      <c r="Q197" s="5">
        <v>46167</v>
      </c>
      <c r="R197" s="112" t="s">
        <v>25</v>
      </c>
      <c r="S197" s="5">
        <v>46167</v>
      </c>
      <c r="T197" s="1">
        <f>COUNTIF(Tabla_control[LOTE],Tabla_imprenta[[#This Row],[LOTE]])</f>
        <v>1</v>
      </c>
      <c r="U197" s="1">
        <f>INDEX(Tabla_stock[En stock],MATCH(Tabla_imprenta[[#This Row],[CODIGO IFA]],Tabla_stock[Número de artículo],0))</f>
        <v>2211</v>
      </c>
    </row>
    <row r="198" spans="1:21" x14ac:dyDescent="0.25">
      <c r="A198" s="2">
        <v>46143</v>
      </c>
      <c r="B198" s="1"/>
      <c r="C198" s="154" t="s">
        <v>5407</v>
      </c>
      <c r="D198" s="154" t="s">
        <v>9</v>
      </c>
      <c r="E198" s="154" t="s">
        <v>102</v>
      </c>
      <c r="F198" s="154" t="s">
        <v>5408</v>
      </c>
      <c r="G198" s="2">
        <v>46874</v>
      </c>
      <c r="H198" s="112">
        <v>70000</v>
      </c>
      <c r="I198" s="112" t="s">
        <v>4873</v>
      </c>
      <c r="J198" s="112" t="s">
        <v>1397</v>
      </c>
      <c r="K198" s="112" t="s">
        <v>263</v>
      </c>
      <c r="L198" s="112">
        <v>7</v>
      </c>
      <c r="M198" s="112">
        <v>59</v>
      </c>
      <c r="N198" s="112" t="s">
        <v>5376</v>
      </c>
      <c r="O198" s="1">
        <v>35000</v>
      </c>
      <c r="P198" s="3">
        <v>2.0934936608469159</v>
      </c>
      <c r="Q198" s="5" t="s">
        <v>28</v>
      </c>
      <c r="R198" s="112" t="s">
        <v>25</v>
      </c>
      <c r="S198" s="5">
        <v>0</v>
      </c>
      <c r="T198" s="1">
        <f>COUNTIF(Tabla_control[LOTE],Tabla_imprenta[[#This Row],[LOTE]])</f>
        <v>1</v>
      </c>
      <c r="U198" s="1">
        <f>INDEX(Tabla_stock[En stock],MATCH(Tabla_imprenta[[#This Row],[CODIGO IFA]],Tabla_stock[Número de artículo],0))</f>
        <v>2360</v>
      </c>
    </row>
    <row r="199" spans="1:21" x14ac:dyDescent="0.25">
      <c r="A199" s="2">
        <v>46143</v>
      </c>
      <c r="B199" s="1"/>
      <c r="C199" s="154" t="s">
        <v>5409</v>
      </c>
      <c r="D199" s="154" t="s">
        <v>2111</v>
      </c>
      <c r="E199" s="154" t="s">
        <v>8</v>
      </c>
      <c r="F199" s="154" t="s">
        <v>5410</v>
      </c>
      <c r="G199" s="2">
        <v>47604</v>
      </c>
      <c r="H199" s="112">
        <v>45000</v>
      </c>
      <c r="I199" s="112" t="s">
        <v>4209</v>
      </c>
      <c r="J199" s="112" t="s">
        <v>1238</v>
      </c>
      <c r="K199" s="112" t="s">
        <v>241</v>
      </c>
      <c r="L199" s="112">
        <v>2</v>
      </c>
      <c r="M199" s="112">
        <v>36</v>
      </c>
      <c r="N199" s="112" t="s">
        <v>2939</v>
      </c>
      <c r="O199" s="1">
        <v>4500</v>
      </c>
      <c r="P199" s="3">
        <v>2.0187674359624652</v>
      </c>
      <c r="Q199" s="5">
        <v>46178</v>
      </c>
      <c r="R199" s="112" t="s">
        <v>25</v>
      </c>
      <c r="S199" s="5">
        <v>0</v>
      </c>
      <c r="T199" s="1">
        <f>COUNTIF(Tabla_control[LOTE],Tabla_imprenta[[#This Row],[LOTE]])</f>
        <v>1</v>
      </c>
      <c r="U199" s="1">
        <f>INDEX(Tabla_stock[En stock],MATCH(Tabla_imprenta[[#This Row],[CODIGO IFA]],Tabla_stock[Número de artículo],0))</f>
        <v>26965</v>
      </c>
    </row>
    <row r="200" spans="1:21" x14ac:dyDescent="0.25">
      <c r="A200" s="2">
        <v>46143</v>
      </c>
      <c r="B200" s="1"/>
      <c r="C200" s="154" t="s">
        <v>5411</v>
      </c>
      <c r="D200" s="154" t="s">
        <v>9</v>
      </c>
      <c r="E200" s="154" t="s">
        <v>8</v>
      </c>
      <c r="F200" s="154" t="s">
        <v>5412</v>
      </c>
      <c r="G200" s="2">
        <v>46874</v>
      </c>
      <c r="H200" s="112">
        <v>100000</v>
      </c>
      <c r="I200" s="112" t="s">
        <v>4406</v>
      </c>
      <c r="J200" s="112" t="s">
        <v>1757</v>
      </c>
      <c r="K200" s="112" t="s">
        <v>2030</v>
      </c>
      <c r="L200" s="112">
        <v>3</v>
      </c>
      <c r="M200" s="112">
        <v>69</v>
      </c>
      <c r="N200" s="112" t="s">
        <v>5413</v>
      </c>
      <c r="O200" s="1">
        <v>10000</v>
      </c>
      <c r="P200" s="3">
        <v>1.1142225497420779</v>
      </c>
      <c r="Q200" s="5" t="s">
        <v>28</v>
      </c>
      <c r="R200" s="112" t="s">
        <v>25</v>
      </c>
      <c r="S200" s="5">
        <v>0</v>
      </c>
      <c r="T200" s="1">
        <f>COUNTIF(Tabla_control[LOTE],Tabla_imprenta[[#This Row],[LOTE]])</f>
        <v>1</v>
      </c>
      <c r="U200" s="1">
        <f>INDEX(Tabla_stock[En stock],MATCH(Tabla_imprenta[[#This Row],[CODIGO IFA]],Tabla_stock[Número de artículo],0))</f>
        <v>9162</v>
      </c>
    </row>
    <row r="201" spans="1:21" x14ac:dyDescent="0.25">
      <c r="A201" s="2">
        <v>46143</v>
      </c>
      <c r="B201" s="1"/>
      <c r="C201" s="154" t="s">
        <v>5414</v>
      </c>
      <c r="D201" s="154" t="s">
        <v>17</v>
      </c>
      <c r="E201" s="154" t="s">
        <v>8</v>
      </c>
      <c r="F201" s="154" t="s">
        <v>5415</v>
      </c>
      <c r="G201" s="2">
        <v>47604</v>
      </c>
      <c r="H201" s="112">
        <v>8600</v>
      </c>
      <c r="I201" s="112" t="s">
        <v>4266</v>
      </c>
      <c r="J201" s="112" t="s">
        <v>899</v>
      </c>
      <c r="K201" s="112" t="s">
        <v>263</v>
      </c>
      <c r="L201" s="112">
        <v>4</v>
      </c>
      <c r="M201" s="112">
        <v>6</v>
      </c>
      <c r="N201" s="112" t="s">
        <v>5416</v>
      </c>
      <c r="O201" s="1">
        <v>8600</v>
      </c>
      <c r="P201" s="3">
        <v>0.64971396448530139</v>
      </c>
      <c r="Q201" s="5">
        <v>46154</v>
      </c>
      <c r="R201" s="112" t="s">
        <v>25</v>
      </c>
      <c r="S201" s="5">
        <v>46154</v>
      </c>
      <c r="T201" s="1">
        <f>COUNTIF(Tabla_control[LOTE],Tabla_imprenta[[#This Row],[LOTE]])</f>
        <v>1</v>
      </c>
      <c r="U201" s="1">
        <f>INDEX(Tabla_stock[En stock],MATCH(Tabla_imprenta[[#This Row],[CODIGO IFA]],Tabla_stock[Número de artículo],0))</f>
        <v>14365</v>
      </c>
    </row>
    <row r="202" spans="1:21" x14ac:dyDescent="0.25">
      <c r="A202" s="2">
        <v>46143</v>
      </c>
      <c r="B202" s="1"/>
      <c r="C202" s="154" t="s">
        <v>5377</v>
      </c>
      <c r="D202" s="154" t="s">
        <v>2229</v>
      </c>
      <c r="E202" s="154" t="s">
        <v>8</v>
      </c>
      <c r="F202" s="154" t="s">
        <v>5417</v>
      </c>
      <c r="G202" s="2">
        <v>46874</v>
      </c>
      <c r="H202" s="112">
        <v>15300</v>
      </c>
      <c r="I202" s="112" t="s">
        <v>4256</v>
      </c>
      <c r="J202" s="112" t="s">
        <v>953</v>
      </c>
      <c r="K202" s="112" t="s">
        <v>241</v>
      </c>
      <c r="L202" s="112">
        <v>4</v>
      </c>
      <c r="M202" s="112">
        <v>6</v>
      </c>
      <c r="N202" s="112" t="s">
        <v>5379</v>
      </c>
      <c r="O202" s="1">
        <v>15300</v>
      </c>
      <c r="P202" s="3">
        <v>0.39788184998056741</v>
      </c>
      <c r="Q202" s="5">
        <v>46156</v>
      </c>
      <c r="R202" s="112" t="s">
        <v>25</v>
      </c>
      <c r="S202" s="5">
        <v>46156</v>
      </c>
      <c r="T202" s="1">
        <f>COUNTIF(Tabla_control[LOTE],Tabla_imprenta[[#This Row],[LOTE]])</f>
        <v>1</v>
      </c>
      <c r="U202" s="1">
        <f>INDEX(Tabla_stock[En stock],MATCH(Tabla_imprenta[[#This Row],[CODIGO IFA]],Tabla_stock[Número de artículo],0))</f>
        <v>3340</v>
      </c>
    </row>
    <row r="203" spans="1:21" x14ac:dyDescent="0.25">
      <c r="A203" s="2">
        <v>46143</v>
      </c>
      <c r="B203" s="1"/>
      <c r="C203" s="154" t="s">
        <v>5377</v>
      </c>
      <c r="D203" s="154" t="s">
        <v>2229</v>
      </c>
      <c r="E203" s="154" t="s">
        <v>8</v>
      </c>
      <c r="F203" s="154" t="s">
        <v>5418</v>
      </c>
      <c r="G203" s="2">
        <v>46874</v>
      </c>
      <c r="H203" s="112">
        <v>10200</v>
      </c>
      <c r="I203" s="112" t="s">
        <v>4256</v>
      </c>
      <c r="J203" s="112" t="s">
        <v>953</v>
      </c>
      <c r="K203" s="112" t="s">
        <v>241</v>
      </c>
      <c r="L203" s="112">
        <v>4</v>
      </c>
      <c r="M203" s="112">
        <v>6</v>
      </c>
      <c r="N203" s="112" t="s">
        <v>5379</v>
      </c>
      <c r="O203" s="1">
        <v>10200</v>
      </c>
      <c r="P203" s="3">
        <v>0.39788184998056741</v>
      </c>
      <c r="Q203" s="5">
        <v>46163</v>
      </c>
      <c r="R203" s="112" t="s">
        <v>25</v>
      </c>
      <c r="S203" s="5">
        <v>46161</v>
      </c>
      <c r="T203" s="1">
        <f>COUNTIF(Tabla_control[LOTE],Tabla_imprenta[[#This Row],[LOTE]])</f>
        <v>1</v>
      </c>
      <c r="U203" s="1">
        <f>INDEX(Tabla_stock[En stock],MATCH(Tabla_imprenta[[#This Row],[CODIGO IFA]],Tabla_stock[Número de artículo],0))</f>
        <v>3340</v>
      </c>
    </row>
    <row r="204" spans="1:21" x14ac:dyDescent="0.25">
      <c r="A204" s="2">
        <v>46143</v>
      </c>
      <c r="B204" s="1"/>
      <c r="C204" s="154" t="s">
        <v>5377</v>
      </c>
      <c r="D204" s="154" t="s">
        <v>2229</v>
      </c>
      <c r="E204" s="154" t="s">
        <v>8</v>
      </c>
      <c r="F204" s="154" t="s">
        <v>5419</v>
      </c>
      <c r="G204" s="2">
        <v>46874</v>
      </c>
      <c r="H204" s="112">
        <v>15300</v>
      </c>
      <c r="I204" s="112" t="s">
        <v>4256</v>
      </c>
      <c r="J204" s="112" t="s">
        <v>953</v>
      </c>
      <c r="K204" s="112" t="s">
        <v>241</v>
      </c>
      <c r="L204" s="112">
        <v>4</v>
      </c>
      <c r="M204" s="112">
        <v>6</v>
      </c>
      <c r="N204" s="112" t="s">
        <v>5379</v>
      </c>
      <c r="O204" s="1">
        <v>15300</v>
      </c>
      <c r="P204" s="3">
        <v>0.39788184998056741</v>
      </c>
      <c r="Q204" s="5">
        <v>46162</v>
      </c>
      <c r="R204" s="112" t="s">
        <v>25</v>
      </c>
      <c r="S204" s="5">
        <v>46160</v>
      </c>
      <c r="T204" s="1">
        <f>COUNTIF(Tabla_control[LOTE],Tabla_imprenta[[#This Row],[LOTE]])</f>
        <v>1</v>
      </c>
      <c r="U204" s="1">
        <f>INDEX(Tabla_stock[En stock],MATCH(Tabla_imprenta[[#This Row],[CODIGO IFA]],Tabla_stock[Número de artículo],0))</f>
        <v>3340</v>
      </c>
    </row>
    <row r="205" spans="1:21" x14ac:dyDescent="0.25">
      <c r="A205" s="2">
        <v>46143</v>
      </c>
      <c r="B205" s="1"/>
      <c r="C205" s="154" t="s">
        <v>5362</v>
      </c>
      <c r="D205" s="154" t="s">
        <v>2111</v>
      </c>
      <c r="E205" s="154" t="s">
        <v>8</v>
      </c>
      <c r="F205" s="154" t="s">
        <v>5420</v>
      </c>
      <c r="G205" s="2">
        <v>46874</v>
      </c>
      <c r="H205" s="112">
        <v>140000</v>
      </c>
      <c r="I205" s="112" t="s">
        <v>5000</v>
      </c>
      <c r="J205" s="112" t="s">
        <v>947</v>
      </c>
      <c r="K205" s="112" t="s">
        <v>241</v>
      </c>
      <c r="L205" s="112">
        <v>2</v>
      </c>
      <c r="M205" s="112">
        <v>21</v>
      </c>
      <c r="N205" s="112" t="s">
        <v>5364</v>
      </c>
      <c r="O205" s="1">
        <v>5600</v>
      </c>
      <c r="P205" s="3">
        <v>0.77126222075350692</v>
      </c>
      <c r="Q205" s="5">
        <v>46174</v>
      </c>
      <c r="R205" s="112" t="s">
        <v>25</v>
      </c>
      <c r="S205" s="5">
        <v>46174</v>
      </c>
      <c r="T205" s="1">
        <f>COUNTIF(Tabla_control[LOTE],Tabla_imprenta[[#This Row],[LOTE]])</f>
        <v>1</v>
      </c>
      <c r="U205" s="1">
        <f>INDEX(Tabla_stock[En stock],MATCH(Tabla_imprenta[[#This Row],[CODIGO IFA]],Tabla_stock[Número de artículo],0))</f>
        <v>5116</v>
      </c>
    </row>
    <row r="206" spans="1:21" x14ac:dyDescent="0.25">
      <c r="A206" s="2">
        <v>46143</v>
      </c>
      <c r="B206" s="1"/>
      <c r="C206" s="154" t="s">
        <v>5362</v>
      </c>
      <c r="D206" s="154" t="s">
        <v>2111</v>
      </c>
      <c r="E206" s="154" t="s">
        <v>8</v>
      </c>
      <c r="F206" s="154" t="s">
        <v>5421</v>
      </c>
      <c r="G206" s="2">
        <v>46874</v>
      </c>
      <c r="H206" s="112">
        <v>140000</v>
      </c>
      <c r="I206" s="112" t="s">
        <v>5000</v>
      </c>
      <c r="J206" s="112" t="s">
        <v>947</v>
      </c>
      <c r="K206" s="112" t="s">
        <v>241</v>
      </c>
      <c r="L206" s="112">
        <v>2</v>
      </c>
      <c r="M206" s="112">
        <v>21</v>
      </c>
      <c r="N206" s="112" t="s">
        <v>5364</v>
      </c>
      <c r="O206" s="1">
        <v>5600</v>
      </c>
      <c r="P206" s="3">
        <v>0.77126222075350692</v>
      </c>
      <c r="Q206" s="5">
        <v>46172</v>
      </c>
      <c r="R206" s="112" t="s">
        <v>25</v>
      </c>
      <c r="S206" s="5">
        <v>46172</v>
      </c>
      <c r="T206" s="1">
        <f>COUNTIF(Tabla_control[LOTE],Tabla_imprenta[[#This Row],[LOTE]])</f>
        <v>1</v>
      </c>
      <c r="U206" s="1">
        <f>INDEX(Tabla_stock[En stock],MATCH(Tabla_imprenta[[#This Row],[CODIGO IFA]],Tabla_stock[Número de artículo],0))</f>
        <v>5116</v>
      </c>
    </row>
    <row r="207" spans="1:21" x14ac:dyDescent="0.25">
      <c r="A207" s="2">
        <v>46143</v>
      </c>
      <c r="B207" s="1"/>
      <c r="C207" s="154" t="s">
        <v>5362</v>
      </c>
      <c r="D207" s="154" t="s">
        <v>2111</v>
      </c>
      <c r="E207" s="154" t="s">
        <v>8</v>
      </c>
      <c r="F207" s="154" t="s">
        <v>5422</v>
      </c>
      <c r="G207" s="2">
        <v>46874</v>
      </c>
      <c r="H207" s="112">
        <v>140000</v>
      </c>
      <c r="I207" s="112" t="s">
        <v>5000</v>
      </c>
      <c r="J207" s="112" t="s">
        <v>947</v>
      </c>
      <c r="K207" s="112" t="s">
        <v>241</v>
      </c>
      <c r="L207" s="112">
        <v>2</v>
      </c>
      <c r="M207" s="112">
        <v>21</v>
      </c>
      <c r="N207" s="112" t="s">
        <v>5364</v>
      </c>
      <c r="O207" s="1">
        <v>5600</v>
      </c>
      <c r="P207" s="3">
        <v>0.77126222075350692</v>
      </c>
      <c r="Q207" s="5">
        <v>46171</v>
      </c>
      <c r="R207" s="112" t="s">
        <v>25</v>
      </c>
      <c r="S207" s="5">
        <v>46171</v>
      </c>
      <c r="T207" s="1">
        <f>COUNTIF(Tabla_control[LOTE],Tabla_imprenta[[#This Row],[LOTE]])</f>
        <v>1</v>
      </c>
      <c r="U207" s="1">
        <f>INDEX(Tabla_stock[En stock],MATCH(Tabla_imprenta[[#This Row],[CODIGO IFA]],Tabla_stock[Número de artículo],0))</f>
        <v>5116</v>
      </c>
    </row>
    <row r="208" spans="1:21" x14ac:dyDescent="0.25">
      <c r="A208" s="2">
        <v>46143</v>
      </c>
      <c r="B208" s="1"/>
      <c r="C208" s="154" t="s">
        <v>5423</v>
      </c>
      <c r="D208" s="154" t="s">
        <v>17</v>
      </c>
      <c r="E208" s="154" t="s">
        <v>8</v>
      </c>
      <c r="F208" s="154" t="s">
        <v>5424</v>
      </c>
      <c r="G208" s="2">
        <v>46874</v>
      </c>
      <c r="H208" s="112">
        <v>8600</v>
      </c>
      <c r="I208" s="112" t="s">
        <v>4271</v>
      </c>
      <c r="J208" s="112" t="s">
        <v>1138</v>
      </c>
      <c r="K208" s="112" t="s">
        <v>263</v>
      </c>
      <c r="L208" s="112">
        <v>4</v>
      </c>
      <c r="M208" s="112">
        <v>6</v>
      </c>
      <c r="N208" s="112" t="s">
        <v>5425</v>
      </c>
      <c r="O208" s="1">
        <v>8600</v>
      </c>
      <c r="P208" s="3">
        <v>1.4208941044381349</v>
      </c>
      <c r="Q208" s="5">
        <v>46175</v>
      </c>
      <c r="R208" s="112">
        <v>0</v>
      </c>
      <c r="S208" s="5">
        <v>46175</v>
      </c>
      <c r="T208" s="1">
        <f>COUNTIF(Tabla_control[LOTE],Tabla_imprenta[[#This Row],[LOTE]])</f>
        <v>1</v>
      </c>
      <c r="U208" s="1">
        <f>INDEX(Tabla_stock[En stock],MATCH(Tabla_imprenta[[#This Row],[CODIGO IFA]],Tabla_stock[Número de artículo],0))</f>
        <v>13295</v>
      </c>
    </row>
    <row r="209" spans="1:21" x14ac:dyDescent="0.25">
      <c r="A209" s="2">
        <v>46143</v>
      </c>
      <c r="B209" s="1"/>
      <c r="C209" s="154" t="s">
        <v>5414</v>
      </c>
      <c r="D209" s="154" t="s">
        <v>17</v>
      </c>
      <c r="E209" s="154" t="s">
        <v>8</v>
      </c>
      <c r="F209" s="154" t="s">
        <v>5426</v>
      </c>
      <c r="G209" s="2">
        <v>47604</v>
      </c>
      <c r="H209" s="112">
        <v>8600</v>
      </c>
      <c r="I209" s="112" t="s">
        <v>4266</v>
      </c>
      <c r="J209" s="112" t="s">
        <v>899</v>
      </c>
      <c r="K209" s="112" t="s">
        <v>263</v>
      </c>
      <c r="L209" s="112">
        <v>4</v>
      </c>
      <c r="M209" s="112">
        <v>6</v>
      </c>
      <c r="N209" s="112" t="s">
        <v>5416</v>
      </c>
      <c r="O209" s="1">
        <v>8600</v>
      </c>
      <c r="P209" s="3">
        <v>0.64971396448530139</v>
      </c>
      <c r="Q209" s="5">
        <v>46153</v>
      </c>
      <c r="R209" s="112" t="s">
        <v>25</v>
      </c>
      <c r="S209" s="5">
        <v>46153</v>
      </c>
      <c r="T209" s="1">
        <f>COUNTIF(Tabla_control[LOTE],Tabla_imprenta[[#This Row],[LOTE]])</f>
        <v>1</v>
      </c>
      <c r="U209" s="1">
        <f>INDEX(Tabla_stock[En stock],MATCH(Tabla_imprenta[[#This Row],[CODIGO IFA]],Tabla_stock[Número de artículo],0))</f>
        <v>14365</v>
      </c>
    </row>
    <row r="210" spans="1:21" x14ac:dyDescent="0.25">
      <c r="A210" s="2">
        <v>46143</v>
      </c>
      <c r="B210" s="1"/>
      <c r="C210" s="154" t="s">
        <v>5427</v>
      </c>
      <c r="D210" s="154" t="s">
        <v>9</v>
      </c>
      <c r="E210" s="154" t="s">
        <v>8</v>
      </c>
      <c r="F210" s="154" t="s">
        <v>5428</v>
      </c>
      <c r="G210" s="2">
        <v>47239</v>
      </c>
      <c r="H210" s="112">
        <v>185000</v>
      </c>
      <c r="I210" s="112" t="s">
        <v>4354</v>
      </c>
      <c r="J210" s="112" t="s">
        <v>1639</v>
      </c>
      <c r="K210" s="112" t="s">
        <v>2305</v>
      </c>
      <c r="L210" s="112">
        <v>2</v>
      </c>
      <c r="M210" s="112">
        <v>107</v>
      </c>
      <c r="N210" s="112" t="s">
        <v>5429</v>
      </c>
      <c r="O210" s="1">
        <v>6166.666666666667</v>
      </c>
      <c r="P210" s="3">
        <v>1.4163880739578358</v>
      </c>
      <c r="Q210" s="5" t="s">
        <v>28</v>
      </c>
      <c r="R210" s="112" t="s">
        <v>25</v>
      </c>
      <c r="S210" s="5">
        <v>0</v>
      </c>
      <c r="T210" s="1">
        <f>COUNTIF(Tabla_control[LOTE],Tabla_imprenta[[#This Row],[LOTE]])</f>
        <v>1</v>
      </c>
      <c r="U210" s="1">
        <f>INDEX(Tabla_stock[En stock],MATCH(Tabla_imprenta[[#This Row],[CODIGO IFA]],Tabla_stock[Número de artículo],0))</f>
        <v>779</v>
      </c>
    </row>
    <row r="211" spans="1:21" x14ac:dyDescent="0.25">
      <c r="A211" s="2">
        <v>46143</v>
      </c>
      <c r="B211" s="1"/>
      <c r="C211" s="154" t="s">
        <v>5430</v>
      </c>
      <c r="D211" s="154" t="s">
        <v>9</v>
      </c>
      <c r="E211" s="154" t="s">
        <v>8</v>
      </c>
      <c r="F211" s="154" t="s">
        <v>5431</v>
      </c>
      <c r="G211" s="2">
        <v>46874</v>
      </c>
      <c r="H211" s="112">
        <v>20000</v>
      </c>
      <c r="I211" s="112" t="s">
        <v>4818</v>
      </c>
      <c r="J211" s="112" t="s">
        <v>1361</v>
      </c>
      <c r="K211" s="112" t="s">
        <v>2206</v>
      </c>
      <c r="L211" s="112">
        <v>3</v>
      </c>
      <c r="M211" s="112">
        <v>67</v>
      </c>
      <c r="N211" s="112" t="s">
        <v>5432</v>
      </c>
      <c r="O211" s="1">
        <v>666.66666666666663</v>
      </c>
      <c r="P211" s="3">
        <v>3.1471471471471473</v>
      </c>
      <c r="Q211" s="5" t="s">
        <v>28</v>
      </c>
      <c r="R211" s="112" t="s">
        <v>25</v>
      </c>
      <c r="S211" s="5">
        <v>0</v>
      </c>
      <c r="T211" s="1">
        <f>COUNTIF(Tabla_control[LOTE],Tabla_imprenta[[#This Row],[LOTE]])</f>
        <v>1</v>
      </c>
      <c r="U211" s="1">
        <f>INDEX(Tabla_stock[En stock],MATCH(Tabla_imprenta[[#This Row],[CODIGO IFA]],Tabla_stock[Número de artículo],0))</f>
        <v>69</v>
      </c>
    </row>
    <row r="212" spans="1:21" x14ac:dyDescent="0.25">
      <c r="A212" s="2">
        <v>46143</v>
      </c>
      <c r="B212" s="1"/>
      <c r="C212" s="154" t="s">
        <v>5433</v>
      </c>
      <c r="D212" s="154" t="s">
        <v>2111</v>
      </c>
      <c r="E212" s="154" t="s">
        <v>8</v>
      </c>
      <c r="F212" s="154" t="s">
        <v>5434</v>
      </c>
      <c r="G212" s="2">
        <v>46874</v>
      </c>
      <c r="H212" s="112">
        <v>36000</v>
      </c>
      <c r="I212" s="112" t="s">
        <v>4436</v>
      </c>
      <c r="J212" s="112" t="s">
        <v>749</v>
      </c>
      <c r="K212" s="112" t="s">
        <v>263</v>
      </c>
      <c r="L212" s="112">
        <v>1</v>
      </c>
      <c r="M212" s="112">
        <v>18</v>
      </c>
      <c r="N212" s="112" t="s">
        <v>5435</v>
      </c>
      <c r="O212" s="1">
        <v>1440</v>
      </c>
      <c r="P212" s="3">
        <v>1.5916398713826363</v>
      </c>
      <c r="Q212" s="5">
        <v>46182</v>
      </c>
      <c r="R212" s="112" t="s">
        <v>25</v>
      </c>
      <c r="S212" s="5">
        <v>46182</v>
      </c>
      <c r="T212" s="1">
        <f>COUNTIF(Tabla_control[LOTE],Tabla_imprenta[[#This Row],[LOTE]])</f>
        <v>1</v>
      </c>
      <c r="U212" s="1">
        <f>INDEX(Tabla_stock[En stock],MATCH(Tabla_imprenta[[#This Row],[CODIGO IFA]],Tabla_stock[Número de artículo],0))</f>
        <v>1303</v>
      </c>
    </row>
    <row r="213" spans="1:21" x14ac:dyDescent="0.25">
      <c r="A213" s="2">
        <v>46143</v>
      </c>
      <c r="B213" s="1"/>
      <c r="C213" s="154" t="s">
        <v>5436</v>
      </c>
      <c r="D213" s="154" t="s">
        <v>243</v>
      </c>
      <c r="E213" s="154" t="s">
        <v>8</v>
      </c>
      <c r="F213" s="154" t="s">
        <v>5437</v>
      </c>
      <c r="G213" s="2">
        <v>46874</v>
      </c>
      <c r="H213" s="112">
        <v>100000</v>
      </c>
      <c r="I213" s="112" t="s">
        <v>4965</v>
      </c>
      <c r="J213" s="112" t="s">
        <v>1304</v>
      </c>
      <c r="K213" s="112" t="s">
        <v>251</v>
      </c>
      <c r="L213" s="112">
        <v>6</v>
      </c>
      <c r="M213" s="112">
        <v>16</v>
      </c>
      <c r="N213" s="112" t="s">
        <v>5438</v>
      </c>
      <c r="O213" s="1">
        <v>10000</v>
      </c>
      <c r="P213" s="3">
        <v>6.7430883344571813E-4</v>
      </c>
      <c r="Q213" s="5" t="s">
        <v>28</v>
      </c>
      <c r="R213" s="112" t="s">
        <v>25</v>
      </c>
      <c r="S213" s="5">
        <v>0</v>
      </c>
      <c r="T213" s="1">
        <f>COUNTIF(Tabla_control[LOTE],Tabla_imprenta[[#This Row],[LOTE]])</f>
        <v>1</v>
      </c>
      <c r="U213" s="1">
        <f>INDEX(Tabla_stock[En stock],MATCH(Tabla_imprenta[[#This Row],[CODIGO IFA]],Tabla_stock[Número de artículo],0))</f>
        <v>789</v>
      </c>
    </row>
    <row r="214" spans="1:21" x14ac:dyDescent="0.25">
      <c r="A214" s="2">
        <v>46143</v>
      </c>
      <c r="B214" s="1"/>
      <c r="C214" s="154" t="s">
        <v>5423</v>
      </c>
      <c r="D214" s="154" t="s">
        <v>17</v>
      </c>
      <c r="E214" s="154" t="s">
        <v>8</v>
      </c>
      <c r="F214" s="154" t="s">
        <v>5439</v>
      </c>
      <c r="G214" s="2">
        <v>46874</v>
      </c>
      <c r="H214" s="112">
        <v>8600</v>
      </c>
      <c r="I214" s="112" t="s">
        <v>4271</v>
      </c>
      <c r="J214" s="112" t="s">
        <v>1138</v>
      </c>
      <c r="K214" s="112" t="s">
        <v>263</v>
      </c>
      <c r="L214" s="112">
        <v>4</v>
      </c>
      <c r="M214" s="112">
        <v>6</v>
      </c>
      <c r="N214" s="112" t="s">
        <v>5425</v>
      </c>
      <c r="O214" s="1">
        <v>8600</v>
      </c>
      <c r="P214" s="3">
        <v>1.4208941044381349</v>
      </c>
      <c r="Q214" s="5" t="s">
        <v>28</v>
      </c>
      <c r="R214" s="112">
        <v>0</v>
      </c>
      <c r="S214" s="5">
        <v>0</v>
      </c>
      <c r="T214" s="1">
        <f>COUNTIF(Tabla_control[LOTE],Tabla_imprenta[[#This Row],[LOTE]])</f>
        <v>1</v>
      </c>
      <c r="U214" s="1">
        <f>INDEX(Tabla_stock[En stock],MATCH(Tabla_imprenta[[#This Row],[CODIGO IFA]],Tabla_stock[Número de artículo],0))</f>
        <v>13295</v>
      </c>
    </row>
    <row r="215" spans="1:21" x14ac:dyDescent="0.25">
      <c r="A215" s="2">
        <v>46143</v>
      </c>
      <c r="B215" s="1"/>
      <c r="C215" s="154" t="s">
        <v>5440</v>
      </c>
      <c r="D215" s="154" t="s">
        <v>9</v>
      </c>
      <c r="E215" s="154" t="s">
        <v>8</v>
      </c>
      <c r="F215" s="154" t="s">
        <v>5441</v>
      </c>
      <c r="G215" s="2">
        <v>46874</v>
      </c>
      <c r="H215" s="112">
        <v>15000</v>
      </c>
      <c r="I215" s="112" t="s">
        <v>4930</v>
      </c>
      <c r="J215" s="112" t="s">
        <v>4929</v>
      </c>
      <c r="K215" s="112" t="s">
        <v>2206</v>
      </c>
      <c r="L215" s="112">
        <v>3</v>
      </c>
      <c r="M215" s="112">
        <v>15</v>
      </c>
      <c r="N215" s="112" t="s">
        <v>5442</v>
      </c>
      <c r="O215" s="1">
        <v>500</v>
      </c>
      <c r="P215" s="3">
        <v>0.28268551236749118</v>
      </c>
      <c r="Q215" s="5" t="s">
        <v>28</v>
      </c>
      <c r="R215" s="112" t="s">
        <v>25</v>
      </c>
      <c r="S215" s="5">
        <v>0</v>
      </c>
      <c r="T215" s="1">
        <f>COUNTIF(Tabla_control[LOTE],Tabla_imprenta[[#This Row],[LOTE]])</f>
        <v>1</v>
      </c>
      <c r="U215" s="1" t="e">
        <f>INDEX(Tabla_stock[En stock],MATCH(Tabla_imprenta[[#This Row],[CODIGO IFA]],Tabla_stock[Número de artículo],0))</f>
        <v>#N/A</v>
      </c>
    </row>
    <row r="216" spans="1:21" x14ac:dyDescent="0.25">
      <c r="A216" s="2">
        <v>46143</v>
      </c>
      <c r="B216" s="1"/>
      <c r="C216" s="154" t="s">
        <v>5490</v>
      </c>
      <c r="D216" s="154" t="s">
        <v>12</v>
      </c>
      <c r="E216" s="154" t="s">
        <v>8</v>
      </c>
      <c r="F216" s="154" t="s">
        <v>5491</v>
      </c>
      <c r="G216" s="2">
        <v>46874</v>
      </c>
      <c r="H216" s="112">
        <v>240000</v>
      </c>
      <c r="I216" s="112" t="s">
        <v>4585</v>
      </c>
      <c r="J216" s="112" t="s">
        <v>784</v>
      </c>
      <c r="K216" s="112" t="s">
        <v>241</v>
      </c>
      <c r="L216" s="112">
        <v>1</v>
      </c>
      <c r="M216" s="112">
        <v>79</v>
      </c>
      <c r="N216" s="112" t="s">
        <v>3117</v>
      </c>
      <c r="O216" s="1">
        <v>480</v>
      </c>
      <c r="P216" s="3">
        <v>2.8292858826955878</v>
      </c>
      <c r="Q216" s="5" t="s">
        <v>28</v>
      </c>
      <c r="R216" s="112" t="s">
        <v>25</v>
      </c>
      <c r="S216" s="5">
        <v>0</v>
      </c>
      <c r="T216" s="1">
        <f>COUNTIF(Tabla_control[LOTE],Tabla_imprenta[[#This Row],[LOTE]])</f>
        <v>1</v>
      </c>
      <c r="U216" s="1">
        <f>INDEX(Tabla_stock[En stock],MATCH(Tabla_imprenta[[#This Row],[CODIGO IFA]],Tabla_stock[Número de artículo],0))</f>
        <v>2256</v>
      </c>
    </row>
    <row r="217" spans="1:21" x14ac:dyDescent="0.25">
      <c r="A217" s="2">
        <v>46143</v>
      </c>
      <c r="B217" s="1"/>
      <c r="C217" s="154" t="s">
        <v>5492</v>
      </c>
      <c r="D217" s="154" t="s">
        <v>12</v>
      </c>
      <c r="E217" s="154" t="s">
        <v>8</v>
      </c>
      <c r="F217" s="154" t="s">
        <v>5493</v>
      </c>
      <c r="G217" s="2">
        <v>46874</v>
      </c>
      <c r="H217" s="112">
        <v>100000</v>
      </c>
      <c r="I217" s="112" t="s">
        <v>4534</v>
      </c>
      <c r="J217" s="112" t="s">
        <v>1208</v>
      </c>
      <c r="K217" s="112" t="s">
        <v>241</v>
      </c>
      <c r="L217" s="112">
        <v>2</v>
      </c>
      <c r="M217" s="112">
        <v>30</v>
      </c>
      <c r="N217" s="112" t="s">
        <v>5494</v>
      </c>
      <c r="O217" s="1">
        <v>1000</v>
      </c>
      <c r="P217" s="3">
        <v>0.83454885862632533</v>
      </c>
      <c r="Q217" s="5">
        <v>46153</v>
      </c>
      <c r="R217" s="112" t="s">
        <v>25</v>
      </c>
      <c r="S217" s="5">
        <v>46153</v>
      </c>
      <c r="T217" s="1">
        <f>COUNTIF(Tabla_control[LOTE],Tabla_imprenta[[#This Row],[LOTE]])</f>
        <v>1</v>
      </c>
      <c r="U217" s="1">
        <f>INDEX(Tabla_stock[En stock],MATCH(Tabla_imprenta[[#This Row],[CODIGO IFA]],Tabla_stock[Número de artículo],0))</f>
        <v>854</v>
      </c>
    </row>
    <row r="218" spans="1:21" x14ac:dyDescent="0.25">
      <c r="A218" s="2">
        <v>46143</v>
      </c>
      <c r="B218" s="1"/>
      <c r="C218" s="154" t="s">
        <v>5490</v>
      </c>
      <c r="D218" s="154" t="s">
        <v>12</v>
      </c>
      <c r="E218" s="154" t="s">
        <v>8</v>
      </c>
      <c r="F218" s="154" t="s">
        <v>5495</v>
      </c>
      <c r="G218" s="2">
        <v>46874</v>
      </c>
      <c r="H218" s="112">
        <v>240000</v>
      </c>
      <c r="I218" s="112" t="s">
        <v>4585</v>
      </c>
      <c r="J218" s="112" t="s">
        <v>784</v>
      </c>
      <c r="K218" s="112" t="s">
        <v>241</v>
      </c>
      <c r="L218" s="112">
        <v>1</v>
      </c>
      <c r="M218" s="112">
        <v>79</v>
      </c>
      <c r="N218" s="112" t="s">
        <v>3117</v>
      </c>
      <c r="O218" s="1">
        <v>480</v>
      </c>
      <c r="P218" s="3">
        <v>2.8292858826955878</v>
      </c>
      <c r="Q218" s="5" t="s">
        <v>28</v>
      </c>
      <c r="R218" s="112" t="s">
        <v>25</v>
      </c>
      <c r="S218" s="5">
        <v>0</v>
      </c>
      <c r="T218" s="1">
        <f>COUNTIF(Tabla_control[LOTE],Tabla_imprenta[[#This Row],[LOTE]])</f>
        <v>1</v>
      </c>
      <c r="U218" s="1">
        <f>INDEX(Tabla_stock[En stock],MATCH(Tabla_imprenta[[#This Row],[CODIGO IFA]],Tabla_stock[Número de artículo],0))</f>
        <v>2256</v>
      </c>
    </row>
    <row r="219" spans="1:21" x14ac:dyDescent="0.25">
      <c r="A219" s="2">
        <v>46143</v>
      </c>
      <c r="B219" s="1"/>
      <c r="C219" s="154" t="s">
        <v>5487</v>
      </c>
      <c r="D219" s="154" t="s">
        <v>15</v>
      </c>
      <c r="E219" s="154" t="s">
        <v>8</v>
      </c>
      <c r="F219" s="154" t="s">
        <v>5488</v>
      </c>
      <c r="G219" s="2">
        <v>46874</v>
      </c>
      <c r="H219" s="112">
        <v>8824</v>
      </c>
      <c r="I219" s="112" t="s">
        <v>4975</v>
      </c>
      <c r="J219" s="112" t="s">
        <v>1298</v>
      </c>
      <c r="K219" s="112" t="s">
        <v>241</v>
      </c>
      <c r="L219" s="112">
        <v>4</v>
      </c>
      <c r="M219" s="112">
        <v>122</v>
      </c>
      <c r="N219" s="112" t="s">
        <v>5489</v>
      </c>
      <c r="O219" s="1">
        <v>8824</v>
      </c>
      <c r="P219" s="3">
        <v>1.3290342392138801</v>
      </c>
      <c r="Q219" s="5" t="s">
        <v>28</v>
      </c>
      <c r="R219" s="112">
        <v>46181</v>
      </c>
      <c r="S219" s="5">
        <v>0</v>
      </c>
      <c r="T219" s="1">
        <f>COUNTIF(Tabla_control[LOTE],Tabla_imprenta[[#This Row],[LOTE]])</f>
        <v>1</v>
      </c>
      <c r="U219" s="1">
        <f>INDEX(Tabla_stock[En stock],MATCH(Tabla_imprenta[[#This Row],[CODIGO IFA]],Tabla_stock[Número de artículo],0))</f>
        <v>11429</v>
      </c>
    </row>
    <row r="220" spans="1:21" x14ac:dyDescent="0.25">
      <c r="A220" s="2">
        <v>46143</v>
      </c>
      <c r="B220" s="1"/>
      <c r="C220" s="154" t="s">
        <v>5496</v>
      </c>
      <c r="D220" s="154" t="s">
        <v>11</v>
      </c>
      <c r="E220" s="154" t="s">
        <v>8</v>
      </c>
      <c r="F220" s="154" t="s">
        <v>5497</v>
      </c>
      <c r="G220" s="2">
        <v>47604</v>
      </c>
      <c r="H220" s="112">
        <v>500000</v>
      </c>
      <c r="I220" s="112" t="s">
        <v>5009</v>
      </c>
      <c r="J220" s="112" t="s">
        <v>1480</v>
      </c>
      <c r="K220" s="112" t="s">
        <v>241</v>
      </c>
      <c r="L220" s="112">
        <v>4</v>
      </c>
      <c r="M220" s="112">
        <v>29</v>
      </c>
      <c r="N220" s="112" t="s">
        <v>5498</v>
      </c>
      <c r="O220" s="1">
        <v>5000</v>
      </c>
      <c r="P220" s="3">
        <v>1.3661017416322905</v>
      </c>
      <c r="Q220" s="5">
        <v>46167</v>
      </c>
      <c r="R220" s="112" t="s">
        <v>25</v>
      </c>
      <c r="S220" s="5">
        <v>46167</v>
      </c>
      <c r="T220" s="1">
        <f>COUNTIF(Tabla_control[LOTE],Tabla_imprenta[[#This Row],[LOTE]])</f>
        <v>1</v>
      </c>
      <c r="U220" s="1">
        <f>INDEX(Tabla_stock[En stock],MATCH(Tabla_imprenta[[#This Row],[CODIGO IFA]],Tabla_stock[Número de artículo],0))</f>
        <v>5807</v>
      </c>
    </row>
    <row r="221" spans="1:21" x14ac:dyDescent="0.25">
      <c r="A221" s="2">
        <v>46143</v>
      </c>
      <c r="B221" s="1"/>
      <c r="C221" s="154" t="s">
        <v>5490</v>
      </c>
      <c r="D221" s="154" t="s">
        <v>12</v>
      </c>
      <c r="E221" s="154" t="s">
        <v>8</v>
      </c>
      <c r="F221" s="154" t="s">
        <v>5499</v>
      </c>
      <c r="G221" s="2">
        <v>46874</v>
      </c>
      <c r="H221" s="112">
        <v>240000</v>
      </c>
      <c r="I221" s="112" t="s">
        <v>4585</v>
      </c>
      <c r="J221" s="112" t="s">
        <v>784</v>
      </c>
      <c r="K221" s="112" t="s">
        <v>241</v>
      </c>
      <c r="L221" s="112">
        <v>1</v>
      </c>
      <c r="M221" s="112">
        <v>79</v>
      </c>
      <c r="N221" s="112" t="s">
        <v>3117</v>
      </c>
      <c r="O221" s="1">
        <v>480</v>
      </c>
      <c r="P221" s="3">
        <v>2.8292858826955878</v>
      </c>
      <c r="Q221" s="5" t="s">
        <v>28</v>
      </c>
      <c r="R221" s="112" t="s">
        <v>25</v>
      </c>
      <c r="S221" s="5">
        <v>0</v>
      </c>
      <c r="T221" s="1">
        <f>COUNTIF(Tabla_control[LOTE],Tabla_imprenta[[#This Row],[LOTE]])</f>
        <v>1</v>
      </c>
      <c r="U221" s="1">
        <f>INDEX(Tabla_stock[En stock],MATCH(Tabla_imprenta[[#This Row],[CODIGO IFA]],Tabla_stock[Número de artículo],0))</f>
        <v>2256</v>
      </c>
    </row>
    <row r="222" spans="1:21" x14ac:dyDescent="0.25">
      <c r="A222" s="2">
        <v>46143</v>
      </c>
      <c r="B222" s="1"/>
      <c r="C222" s="154" t="s">
        <v>5490</v>
      </c>
      <c r="D222" s="154" t="s">
        <v>12</v>
      </c>
      <c r="E222" s="154" t="s">
        <v>8</v>
      </c>
      <c r="F222" s="154" t="s">
        <v>5500</v>
      </c>
      <c r="G222" s="2">
        <v>46874</v>
      </c>
      <c r="H222" s="112">
        <v>240000</v>
      </c>
      <c r="I222" s="112" t="s">
        <v>4585</v>
      </c>
      <c r="J222" s="112" t="s">
        <v>784</v>
      </c>
      <c r="K222" s="112" t="s">
        <v>241</v>
      </c>
      <c r="L222" s="112">
        <v>1</v>
      </c>
      <c r="M222" s="112">
        <v>79</v>
      </c>
      <c r="N222" s="112" t="s">
        <v>3117</v>
      </c>
      <c r="O222" s="1">
        <v>480</v>
      </c>
      <c r="P222" s="3">
        <v>2.8292858826955878</v>
      </c>
      <c r="Q222" s="5" t="s">
        <v>28</v>
      </c>
      <c r="R222" s="112" t="s">
        <v>25</v>
      </c>
      <c r="S222" s="5">
        <v>0</v>
      </c>
      <c r="T222" s="1">
        <f>COUNTIF(Tabla_control[LOTE],Tabla_imprenta[[#This Row],[LOTE]])</f>
        <v>1</v>
      </c>
      <c r="U222" s="1">
        <f>INDEX(Tabla_stock[En stock],MATCH(Tabla_imprenta[[#This Row],[CODIGO IFA]],Tabla_stock[Número de artículo],0))</f>
        <v>2256</v>
      </c>
    </row>
    <row r="223" spans="1:21" x14ac:dyDescent="0.25">
      <c r="A223" s="2">
        <v>46143</v>
      </c>
      <c r="B223" s="1"/>
      <c r="C223" s="154" t="s">
        <v>5501</v>
      </c>
      <c r="D223" s="154" t="s">
        <v>12</v>
      </c>
      <c r="E223" s="154" t="s">
        <v>8</v>
      </c>
      <c r="F223" s="154" t="s">
        <v>5502</v>
      </c>
      <c r="G223" s="2">
        <v>46874</v>
      </c>
      <c r="H223" s="112">
        <v>250000</v>
      </c>
      <c r="I223" s="112" t="s">
        <v>4447</v>
      </c>
      <c r="J223" s="112" t="s">
        <v>1440</v>
      </c>
      <c r="K223" s="112" t="s">
        <v>241</v>
      </c>
      <c r="L223" s="112">
        <v>2</v>
      </c>
      <c r="M223" s="112">
        <v>102</v>
      </c>
      <c r="N223" s="112" t="s">
        <v>5503</v>
      </c>
      <c r="O223" s="1">
        <v>2500</v>
      </c>
      <c r="P223" s="3">
        <v>2.3059587822931915</v>
      </c>
      <c r="Q223" s="5">
        <v>46169</v>
      </c>
      <c r="R223" s="112" t="s">
        <v>25</v>
      </c>
      <c r="S223" s="5">
        <v>46169</v>
      </c>
      <c r="T223" s="1">
        <f>COUNTIF(Tabla_control[LOTE],Tabla_imprenta[[#This Row],[LOTE]])</f>
        <v>1</v>
      </c>
      <c r="U223" s="1">
        <f>INDEX(Tabla_stock[En stock],MATCH(Tabla_imprenta[[#This Row],[CODIGO IFA]],Tabla_stock[Número de artículo],0))</f>
        <v>912</v>
      </c>
    </row>
    <row r="224" spans="1:21" x14ac:dyDescent="0.25">
      <c r="A224" s="2">
        <v>46143</v>
      </c>
      <c r="B224" s="1"/>
      <c r="C224" s="154" t="s">
        <v>5530</v>
      </c>
      <c r="D224" s="154" t="s">
        <v>106</v>
      </c>
      <c r="E224" s="154" t="s">
        <v>8</v>
      </c>
      <c r="F224" s="154" t="s">
        <v>5531</v>
      </c>
      <c r="G224" s="2">
        <v>46874</v>
      </c>
      <c r="H224" s="112">
        <v>3500</v>
      </c>
      <c r="I224" s="112" t="s">
        <v>4077</v>
      </c>
      <c r="J224" s="112" t="s">
        <v>1306</v>
      </c>
      <c r="K224" s="112" t="s">
        <v>251</v>
      </c>
      <c r="L224" s="112">
        <v>1</v>
      </c>
      <c r="M224" s="112">
        <v>49</v>
      </c>
      <c r="N224" s="112" t="s">
        <v>3148</v>
      </c>
      <c r="O224" s="1">
        <v>3500</v>
      </c>
      <c r="P224" s="3">
        <v>3.0161507402422618</v>
      </c>
      <c r="Q224" s="5" t="s">
        <v>28</v>
      </c>
      <c r="R224" s="112" t="s">
        <v>25</v>
      </c>
      <c r="S224" s="5">
        <v>0</v>
      </c>
      <c r="T224" s="1">
        <f>COUNTIF(Tabla_control[LOTE],Tabla_imprenta[[#This Row],[LOTE]])</f>
        <v>1</v>
      </c>
      <c r="U224" s="1">
        <f>INDEX(Tabla_stock[En stock],MATCH(Tabla_imprenta[[#This Row],[CODIGO IFA]],Tabla_stock[Número de artículo],0))</f>
        <v>714</v>
      </c>
    </row>
    <row r="225" spans="1:21" x14ac:dyDescent="0.25">
      <c r="A225" s="2">
        <v>46143</v>
      </c>
      <c r="B225" s="1"/>
      <c r="C225" s="154" t="s">
        <v>5532</v>
      </c>
      <c r="D225" s="154" t="s">
        <v>12</v>
      </c>
      <c r="E225" s="154" t="s">
        <v>8</v>
      </c>
      <c r="F225" s="154" t="s">
        <v>5533</v>
      </c>
      <c r="G225" s="2">
        <v>46874</v>
      </c>
      <c r="H225" s="112">
        <v>48000</v>
      </c>
      <c r="I225" s="112" t="s">
        <v>4652</v>
      </c>
      <c r="J225" s="112" t="s">
        <v>1345</v>
      </c>
      <c r="K225" s="112" t="s">
        <v>263</v>
      </c>
      <c r="L225" s="112">
        <v>3</v>
      </c>
      <c r="M225" s="112">
        <v>41</v>
      </c>
      <c r="N225" s="112" t="s">
        <v>131</v>
      </c>
      <c r="O225" s="1">
        <v>1600</v>
      </c>
      <c r="P225" s="3">
        <v>3.6214548374825646</v>
      </c>
      <c r="Q225" s="5">
        <v>46176</v>
      </c>
      <c r="R225" s="112" t="s">
        <v>25</v>
      </c>
      <c r="S225" s="5">
        <v>0</v>
      </c>
      <c r="T225" s="1">
        <f>COUNTIF(Tabla_control[LOTE],Tabla_imprenta[[#This Row],[LOTE]])</f>
        <v>1</v>
      </c>
      <c r="U225" s="1">
        <f>INDEX(Tabla_stock[En stock],MATCH(Tabla_imprenta[[#This Row],[CODIGO IFA]],Tabla_stock[Número de artículo],0))</f>
        <v>1056</v>
      </c>
    </row>
    <row r="226" spans="1:21" x14ac:dyDescent="0.25">
      <c r="A226" s="2">
        <v>46143</v>
      </c>
      <c r="B226" s="1"/>
      <c r="C226" s="154" t="s">
        <v>5534</v>
      </c>
      <c r="D226" s="154" t="s">
        <v>201</v>
      </c>
      <c r="E226" s="154" t="s">
        <v>8</v>
      </c>
      <c r="F226" s="154" t="s">
        <v>5535</v>
      </c>
      <c r="G226" s="2">
        <v>46874</v>
      </c>
      <c r="H226" s="112">
        <v>10500</v>
      </c>
      <c r="I226" s="112" t="s">
        <v>4944</v>
      </c>
      <c r="J226" s="112" t="s">
        <v>2972</v>
      </c>
      <c r="K226" s="112" t="s">
        <v>269</v>
      </c>
      <c r="L226" s="112">
        <v>2</v>
      </c>
      <c r="M226" s="112">
        <v>71</v>
      </c>
      <c r="N226" s="112" t="s">
        <v>5536</v>
      </c>
      <c r="O226" s="1">
        <v>10500</v>
      </c>
      <c r="P226" s="3">
        <v>3.4688073394495413</v>
      </c>
      <c r="Q226" s="5" t="s">
        <v>28</v>
      </c>
      <c r="R226" s="112" t="s">
        <v>25</v>
      </c>
      <c r="S226" s="5">
        <v>0</v>
      </c>
      <c r="T226" s="1">
        <f>COUNTIF(Tabla_control[LOTE],Tabla_imprenta[[#This Row],[LOTE]])</f>
        <v>1</v>
      </c>
      <c r="U226" s="1">
        <f>INDEX(Tabla_stock[En stock],MATCH(Tabla_imprenta[[#This Row],[CODIGO IFA]],Tabla_stock[Número de artículo],0))</f>
        <v>13091</v>
      </c>
    </row>
    <row r="227" spans="1:21" x14ac:dyDescent="0.25">
      <c r="A227" s="2">
        <v>46143</v>
      </c>
      <c r="B227" s="1"/>
      <c r="C227" s="154" t="s">
        <v>5537</v>
      </c>
      <c r="D227" s="154" t="s">
        <v>13</v>
      </c>
      <c r="E227" s="154" t="s">
        <v>8</v>
      </c>
      <c r="F227" s="154" t="s">
        <v>5538</v>
      </c>
      <c r="G227" s="2">
        <v>46874</v>
      </c>
      <c r="H227" s="112">
        <v>2700</v>
      </c>
      <c r="I227" s="112" t="s">
        <v>4955</v>
      </c>
      <c r="J227" s="112" t="s">
        <v>1474</v>
      </c>
      <c r="K227" s="112" t="s">
        <v>176</v>
      </c>
      <c r="L227" s="112">
        <v>6</v>
      </c>
      <c r="M227" s="112">
        <v>25</v>
      </c>
      <c r="N227" s="112" t="s">
        <v>5539</v>
      </c>
      <c r="O227" s="1">
        <v>2700</v>
      </c>
      <c r="P227" s="3">
        <v>1.6346866377611351</v>
      </c>
      <c r="Q227" s="5" t="s">
        <v>28</v>
      </c>
      <c r="R227" s="112">
        <v>46181</v>
      </c>
      <c r="S227" s="5">
        <v>0</v>
      </c>
      <c r="T227" s="1">
        <f>COUNTIF(Tabla_control[LOTE],Tabla_imprenta[[#This Row],[LOTE]])</f>
        <v>1</v>
      </c>
      <c r="U227" s="1">
        <f>INDEX(Tabla_stock[En stock],MATCH(Tabla_imprenta[[#This Row],[CODIGO IFA]],Tabla_stock[Número de artículo],0))</f>
        <v>3080</v>
      </c>
    </row>
    <row r="228" spans="1:21" x14ac:dyDescent="0.25">
      <c r="A228" s="2">
        <v>46143</v>
      </c>
      <c r="B228" s="1"/>
      <c r="C228" s="154" t="s">
        <v>5540</v>
      </c>
      <c r="D228" s="154" t="s">
        <v>12</v>
      </c>
      <c r="E228" s="154" t="s">
        <v>8</v>
      </c>
      <c r="F228" s="154" t="s">
        <v>5541</v>
      </c>
      <c r="G228" s="2">
        <v>46874</v>
      </c>
      <c r="H228" s="112">
        <v>250000</v>
      </c>
      <c r="I228" s="112" t="s">
        <v>4174</v>
      </c>
      <c r="J228" s="112" t="s">
        <v>923</v>
      </c>
      <c r="K228" s="112" t="s">
        <v>241</v>
      </c>
      <c r="L228" s="112">
        <v>4</v>
      </c>
      <c r="M228" s="112">
        <v>108</v>
      </c>
      <c r="N228" s="112" t="s">
        <v>5542</v>
      </c>
      <c r="O228" s="1">
        <v>2500</v>
      </c>
      <c r="P228" s="3">
        <v>1.9113345521023768</v>
      </c>
      <c r="Q228" s="5">
        <v>46160</v>
      </c>
      <c r="R228" s="112" t="s">
        <v>25</v>
      </c>
      <c r="S228" s="5">
        <v>0</v>
      </c>
      <c r="T228" s="1">
        <f>COUNTIF(Tabla_control[LOTE],Tabla_imprenta[[#This Row],[LOTE]])</f>
        <v>1</v>
      </c>
      <c r="U228" s="1">
        <f>INDEX(Tabla_stock[En stock],MATCH(Tabla_imprenta[[#This Row],[CODIGO IFA]],Tabla_stock[Número de artículo],0))</f>
        <v>2665</v>
      </c>
    </row>
    <row r="229" spans="1:21" x14ac:dyDescent="0.25">
      <c r="A229" s="2">
        <v>46143</v>
      </c>
      <c r="B229" s="1"/>
      <c r="C229" s="154" t="s">
        <v>5543</v>
      </c>
      <c r="D229" s="154" t="s">
        <v>11</v>
      </c>
      <c r="E229" s="154" t="s">
        <v>8</v>
      </c>
      <c r="F229" s="154" t="s">
        <v>5544</v>
      </c>
      <c r="G229" s="2">
        <v>46874</v>
      </c>
      <c r="H229" s="112">
        <v>170000</v>
      </c>
      <c r="I229" s="112" t="s">
        <v>4147</v>
      </c>
      <c r="J229" s="112" t="s">
        <v>943</v>
      </c>
      <c r="K229" s="112" t="s">
        <v>241</v>
      </c>
      <c r="L229" s="112">
        <v>4</v>
      </c>
      <c r="M229" s="112">
        <v>92</v>
      </c>
      <c r="N229" s="112" t="s">
        <v>5545</v>
      </c>
      <c r="O229" s="1">
        <v>1700</v>
      </c>
      <c r="P229" s="3">
        <v>3.0155894643236563</v>
      </c>
      <c r="Q229" s="5">
        <v>46163</v>
      </c>
      <c r="R229" s="112" t="s">
        <v>25</v>
      </c>
      <c r="S229" s="5">
        <v>0</v>
      </c>
      <c r="T229" s="1">
        <f>COUNTIF(Tabla_control[LOTE],Tabla_imprenta[[#This Row],[LOTE]])</f>
        <v>1</v>
      </c>
      <c r="U229" s="1">
        <f>INDEX(Tabla_stock[En stock],MATCH(Tabla_imprenta[[#This Row],[CODIGO IFA]],Tabla_stock[Número de artículo],0))</f>
        <v>473</v>
      </c>
    </row>
    <row r="230" spans="1:21" x14ac:dyDescent="0.25">
      <c r="A230" s="2">
        <v>46143</v>
      </c>
      <c r="B230" s="1"/>
      <c r="C230" s="154" t="s">
        <v>5546</v>
      </c>
      <c r="D230" s="154" t="s">
        <v>15</v>
      </c>
      <c r="E230" s="154" t="s">
        <v>8</v>
      </c>
      <c r="F230" s="154" t="s">
        <v>5547</v>
      </c>
      <c r="G230" s="2">
        <v>46874</v>
      </c>
      <c r="H230" s="112">
        <v>4902</v>
      </c>
      <c r="I230" s="112" t="s">
        <v>3986</v>
      </c>
      <c r="J230" s="112" t="s">
        <v>971</v>
      </c>
      <c r="K230" s="112" t="s">
        <v>269</v>
      </c>
      <c r="L230" s="112">
        <v>2</v>
      </c>
      <c r="M230" s="112">
        <v>75</v>
      </c>
      <c r="N230" s="112" t="s">
        <v>5548</v>
      </c>
      <c r="O230" s="1">
        <v>4902</v>
      </c>
      <c r="P230" s="3">
        <v>2.3179753406878651</v>
      </c>
      <c r="Q230" s="5" t="s">
        <v>28</v>
      </c>
      <c r="R230" s="112" t="s">
        <v>25</v>
      </c>
      <c r="S230" s="5">
        <v>0</v>
      </c>
      <c r="T230" s="1">
        <f>COUNTIF(Tabla_control[LOTE],Tabla_imprenta[[#This Row],[LOTE]])</f>
        <v>1</v>
      </c>
      <c r="U230" s="1">
        <f>INDEX(Tabla_stock[En stock],MATCH(Tabla_imprenta[[#This Row],[CODIGO IFA]],Tabla_stock[Número de artículo],0))</f>
        <v>624</v>
      </c>
    </row>
    <row r="231" spans="1:21" x14ac:dyDescent="0.25">
      <c r="A231" s="2">
        <v>46143</v>
      </c>
      <c r="B231" s="1"/>
      <c r="C231" s="154" t="s">
        <v>5549</v>
      </c>
      <c r="D231" s="154" t="s">
        <v>14</v>
      </c>
      <c r="E231" s="154" t="s">
        <v>8</v>
      </c>
      <c r="F231" s="154" t="s">
        <v>5550</v>
      </c>
      <c r="G231" s="2">
        <v>47239</v>
      </c>
      <c r="H231" s="112">
        <v>3500</v>
      </c>
      <c r="I231" s="112" t="s">
        <v>5063</v>
      </c>
      <c r="J231" s="112" t="s">
        <v>5062</v>
      </c>
      <c r="K231" s="112" t="s">
        <v>251</v>
      </c>
      <c r="L231" s="112">
        <v>0</v>
      </c>
      <c r="M231" s="112">
        <v>0</v>
      </c>
      <c r="N231" s="112" t="s">
        <v>154</v>
      </c>
      <c r="O231" s="1">
        <v>3500</v>
      </c>
      <c r="P231" s="3">
        <v>4.9100254032019857</v>
      </c>
      <c r="Q231" s="5" t="s">
        <v>28</v>
      </c>
      <c r="R231" s="112" t="s">
        <v>25</v>
      </c>
      <c r="S231" s="5">
        <v>0</v>
      </c>
      <c r="T231" s="1">
        <f>COUNTIF(Tabla_control[LOTE],Tabla_imprenta[[#This Row],[LOTE]])</f>
        <v>1</v>
      </c>
      <c r="U231" s="1" t="e">
        <f>INDEX(Tabla_stock[En stock],MATCH(Tabla_imprenta[[#This Row],[CODIGO IFA]],Tabla_stock[Número de artículo],0))</f>
        <v>#N/A</v>
      </c>
    </row>
    <row r="232" spans="1:21" x14ac:dyDescent="0.25">
      <c r="A232" s="2">
        <v>46143</v>
      </c>
      <c r="B232" s="1"/>
      <c r="C232" s="154" t="s">
        <v>5551</v>
      </c>
      <c r="D232" s="154" t="s">
        <v>15</v>
      </c>
      <c r="E232" s="154" t="s">
        <v>8</v>
      </c>
      <c r="F232" s="154" t="s">
        <v>5552</v>
      </c>
      <c r="G232" s="2">
        <v>46874</v>
      </c>
      <c r="H232" s="112">
        <v>9804</v>
      </c>
      <c r="I232" s="112" t="s">
        <v>3939</v>
      </c>
      <c r="J232" s="112" t="s">
        <v>1132</v>
      </c>
      <c r="K232" s="112" t="s">
        <v>241</v>
      </c>
      <c r="L232" s="112">
        <v>2</v>
      </c>
      <c r="M232" s="112">
        <v>8</v>
      </c>
      <c r="N232" s="112" t="s">
        <v>5553</v>
      </c>
      <c r="O232" s="1">
        <v>9804</v>
      </c>
      <c r="P232" s="3">
        <v>3.3015231907941738</v>
      </c>
      <c r="Q232" s="5" t="s">
        <v>28</v>
      </c>
      <c r="R232" s="112">
        <v>46170</v>
      </c>
      <c r="S232" s="5">
        <v>0</v>
      </c>
      <c r="T232" s="1">
        <f>COUNTIF(Tabla_control[LOTE],Tabla_imprenta[[#This Row],[LOTE]])</f>
        <v>1</v>
      </c>
      <c r="U232" s="1">
        <f>INDEX(Tabla_stock[En stock],MATCH(Tabla_imprenta[[#This Row],[CODIGO IFA]],Tabla_stock[Número de artículo],0))</f>
        <v>11608</v>
      </c>
    </row>
    <row r="233" spans="1:21" x14ac:dyDescent="0.25">
      <c r="A233" s="2">
        <v>46143</v>
      </c>
      <c r="B233" s="1"/>
      <c r="C233" s="154" t="s">
        <v>5554</v>
      </c>
      <c r="D233" s="154" t="s">
        <v>12</v>
      </c>
      <c r="E233" s="154" t="s">
        <v>8</v>
      </c>
      <c r="F233" s="154" t="s">
        <v>5555</v>
      </c>
      <c r="G233" s="2">
        <v>46874</v>
      </c>
      <c r="H233" s="112">
        <v>100000</v>
      </c>
      <c r="I233" s="112" t="s">
        <v>4043</v>
      </c>
      <c r="J233" s="112" t="s">
        <v>1170</v>
      </c>
      <c r="K233" s="112" t="s">
        <v>263</v>
      </c>
      <c r="L233" s="112">
        <v>4</v>
      </c>
      <c r="M233" s="112">
        <v>31</v>
      </c>
      <c r="N233" s="112" t="s">
        <v>5556</v>
      </c>
      <c r="O233" s="1">
        <v>3333.3333333333335</v>
      </c>
      <c r="P233" s="3">
        <v>3.6308429884139031</v>
      </c>
      <c r="Q233" s="5">
        <v>46184</v>
      </c>
      <c r="R233" s="112" t="s">
        <v>25</v>
      </c>
      <c r="S233" s="5">
        <v>0</v>
      </c>
      <c r="T233" s="1">
        <f>COUNTIF(Tabla_control[LOTE],Tabla_imprenta[[#This Row],[LOTE]])</f>
        <v>1</v>
      </c>
      <c r="U233" s="1">
        <f>INDEX(Tabla_stock[En stock],MATCH(Tabla_imprenta[[#This Row],[CODIGO IFA]],Tabla_stock[Número de artículo],0))</f>
        <v>4925</v>
      </c>
    </row>
    <row r="234" spans="1:21" x14ac:dyDescent="0.25">
      <c r="A234" s="2">
        <v>46143</v>
      </c>
      <c r="B234" s="1"/>
      <c r="C234" s="154" t="s">
        <v>5557</v>
      </c>
      <c r="D234" s="154" t="s">
        <v>106</v>
      </c>
      <c r="E234" s="154" t="s">
        <v>8</v>
      </c>
      <c r="F234" s="154" t="s">
        <v>5558</v>
      </c>
      <c r="G234" s="2">
        <v>46874</v>
      </c>
      <c r="H234" s="112">
        <v>1700</v>
      </c>
      <c r="I234" s="112" t="s">
        <v>4072</v>
      </c>
      <c r="J234" s="112" t="s">
        <v>1176</v>
      </c>
      <c r="K234" s="112" t="s">
        <v>251</v>
      </c>
      <c r="L234" s="112">
        <v>1</v>
      </c>
      <c r="M234" s="112">
        <v>49</v>
      </c>
      <c r="N234" s="112" t="s">
        <v>5559</v>
      </c>
      <c r="O234" s="1">
        <v>1700</v>
      </c>
      <c r="P234" s="3">
        <v>3.8038237738985874</v>
      </c>
      <c r="Q234" s="5" t="s">
        <v>28</v>
      </c>
      <c r="R234" s="112" t="s">
        <v>25</v>
      </c>
      <c r="S234" s="5">
        <v>0</v>
      </c>
      <c r="T234" s="1">
        <f>COUNTIF(Tabla_control[LOTE],Tabla_imprenta[[#This Row],[LOTE]])</f>
        <v>1</v>
      </c>
      <c r="U234" s="1">
        <f>INDEX(Tabla_stock[En stock],MATCH(Tabla_imprenta[[#This Row],[CODIGO IFA]],Tabla_stock[Número de artículo],0))</f>
        <v>600</v>
      </c>
    </row>
    <row r="235" spans="1:21" x14ac:dyDescent="0.25">
      <c r="A235" s="2">
        <v>46143</v>
      </c>
      <c r="B235" s="1"/>
      <c r="C235" s="154" t="s">
        <v>5560</v>
      </c>
      <c r="D235" s="154" t="s">
        <v>13</v>
      </c>
      <c r="E235" s="154" t="s">
        <v>8</v>
      </c>
      <c r="F235" s="154" t="s">
        <v>5561</v>
      </c>
      <c r="G235" s="2">
        <v>46874</v>
      </c>
      <c r="H235" s="112">
        <v>14285</v>
      </c>
      <c r="I235" s="112" t="s">
        <v>4953</v>
      </c>
      <c r="J235" s="112" t="s">
        <v>4952</v>
      </c>
      <c r="K235" s="112" t="s">
        <v>269</v>
      </c>
      <c r="L235" s="112">
        <v>6</v>
      </c>
      <c r="M235" s="112">
        <v>25</v>
      </c>
      <c r="N235" s="112" t="s">
        <v>2217</v>
      </c>
      <c r="O235" s="1">
        <v>14285</v>
      </c>
      <c r="P235" s="3">
        <v>1.7496903113132831</v>
      </c>
      <c r="Q235" s="5" t="s">
        <v>28</v>
      </c>
      <c r="R235" s="112" t="s">
        <v>25</v>
      </c>
      <c r="S235" s="5">
        <v>0</v>
      </c>
      <c r="T235" s="1">
        <f>COUNTIF(Tabla_control[LOTE],Tabla_imprenta[[#This Row],[LOTE]])</f>
        <v>1</v>
      </c>
      <c r="U235" s="1">
        <f>INDEX(Tabla_stock[En stock],MATCH(Tabla_imprenta[[#This Row],[CODIGO IFA]],Tabla_stock[Número de artículo],0))</f>
        <v>15050</v>
      </c>
    </row>
    <row r="236" spans="1:21" x14ac:dyDescent="0.25">
      <c r="A236" s="2">
        <v>46143</v>
      </c>
      <c r="B236" s="1"/>
      <c r="C236" s="154" t="s">
        <v>5562</v>
      </c>
      <c r="D236" s="154" t="s">
        <v>106</v>
      </c>
      <c r="E236" s="154" t="s">
        <v>102</v>
      </c>
      <c r="F236" s="154" t="s">
        <v>5563</v>
      </c>
      <c r="G236" s="2">
        <v>46874</v>
      </c>
      <c r="H236" s="112">
        <v>10000</v>
      </c>
      <c r="I236" s="112" t="s">
        <v>5564</v>
      </c>
      <c r="J236" s="112" t="s">
        <v>1178</v>
      </c>
      <c r="K236" s="112" t="s">
        <v>251</v>
      </c>
      <c r="L236" s="112">
        <v>4</v>
      </c>
      <c r="M236" s="112">
        <v>6</v>
      </c>
      <c r="N236" s="112" t="s">
        <v>5559</v>
      </c>
      <c r="O236" s="1">
        <v>10000</v>
      </c>
      <c r="P236" s="3">
        <v>4.1966887417218546</v>
      </c>
      <c r="Q236" s="5" t="s">
        <v>28</v>
      </c>
      <c r="R236" s="112" t="s">
        <v>25</v>
      </c>
      <c r="S236" s="5">
        <v>0</v>
      </c>
      <c r="T236" s="1">
        <f>COUNTIF(Tabla_control[LOTE],Tabla_imprenta[[#This Row],[LOTE]])</f>
        <v>1</v>
      </c>
      <c r="U236" s="1">
        <f>INDEX(Tabla_stock[En stock],MATCH(Tabla_imprenta[[#This Row],[CODIGO IFA]],Tabla_stock[Número de artículo],0))</f>
        <v>1634</v>
      </c>
    </row>
    <row r="237" spans="1:21" x14ac:dyDescent="0.25">
      <c r="A237" s="2">
        <v>46143</v>
      </c>
      <c r="B237" s="1"/>
      <c r="C237" s="154" t="s">
        <v>5565</v>
      </c>
      <c r="D237" s="154" t="s">
        <v>201</v>
      </c>
      <c r="E237" s="154" t="s">
        <v>102</v>
      </c>
      <c r="F237" s="154" t="s">
        <v>5566</v>
      </c>
      <c r="G237" s="2">
        <v>46874</v>
      </c>
      <c r="H237" s="112">
        <v>15900</v>
      </c>
      <c r="I237" s="112" t="s">
        <v>4867</v>
      </c>
      <c r="J237" s="112" t="s">
        <v>1495</v>
      </c>
      <c r="K237" s="112" t="s">
        <v>269</v>
      </c>
      <c r="L237" s="112">
        <v>2</v>
      </c>
      <c r="M237" s="112">
        <v>76</v>
      </c>
      <c r="N237" s="112" t="s">
        <v>5567</v>
      </c>
      <c r="O237" s="1">
        <v>15900</v>
      </c>
      <c r="P237" s="3">
        <v>3.7092911071182768</v>
      </c>
      <c r="Q237" s="5" t="s">
        <v>28</v>
      </c>
      <c r="R237" s="112" t="s">
        <v>25</v>
      </c>
      <c r="S237" s="5">
        <v>0</v>
      </c>
      <c r="T237" s="1">
        <f>COUNTIF(Tabla_control[LOTE],Tabla_imprenta[[#This Row],[LOTE]])</f>
        <v>1</v>
      </c>
      <c r="U237" s="1">
        <f>INDEX(Tabla_stock[En stock],MATCH(Tabla_imprenta[[#This Row],[CODIGO IFA]],Tabla_stock[Número de artículo],0))</f>
        <v>706</v>
      </c>
    </row>
    <row r="238" spans="1:21" x14ac:dyDescent="0.25">
      <c r="A238" s="2">
        <v>46143</v>
      </c>
      <c r="B238" s="1"/>
      <c r="C238" s="154" t="s">
        <v>5568</v>
      </c>
      <c r="D238" s="154" t="s">
        <v>15</v>
      </c>
      <c r="E238" s="154" t="s">
        <v>102</v>
      </c>
      <c r="F238" s="154" t="s">
        <v>5569</v>
      </c>
      <c r="G238" s="2">
        <v>46874</v>
      </c>
      <c r="H238" s="112">
        <v>13000</v>
      </c>
      <c r="I238" s="112" t="s">
        <v>3885</v>
      </c>
      <c r="J238" s="112" t="s">
        <v>1869</v>
      </c>
      <c r="K238" s="112" t="s">
        <v>269</v>
      </c>
      <c r="L238" s="112">
        <v>2</v>
      </c>
      <c r="M238" s="112">
        <v>77</v>
      </c>
      <c r="N238" s="112" t="s">
        <v>5570</v>
      </c>
      <c r="O238" s="1">
        <v>13000</v>
      </c>
      <c r="P238" s="3">
        <v>5.2959568733153635</v>
      </c>
      <c r="Q238" s="5" t="s">
        <v>28</v>
      </c>
      <c r="R238" s="112" t="s">
        <v>25</v>
      </c>
      <c r="S238" s="5">
        <v>0</v>
      </c>
      <c r="T238" s="1">
        <f>COUNTIF(Tabla_control[LOTE],Tabla_imprenta[[#This Row],[LOTE]])</f>
        <v>1</v>
      </c>
      <c r="U238" s="1">
        <f>INDEX(Tabla_stock[En stock],MATCH(Tabla_imprenta[[#This Row],[CODIGO IFA]],Tabla_stock[Número de artículo],0))</f>
        <v>1090</v>
      </c>
    </row>
    <row r="239" spans="1:21" x14ac:dyDescent="0.25">
      <c r="A239" s="2">
        <v>46143</v>
      </c>
      <c r="B239" s="1"/>
      <c r="C239" s="154" t="s">
        <v>5571</v>
      </c>
      <c r="D239" s="154" t="s">
        <v>12</v>
      </c>
      <c r="E239" s="154" t="s">
        <v>102</v>
      </c>
      <c r="F239" s="154" t="s">
        <v>5572</v>
      </c>
      <c r="G239" s="2">
        <v>46874</v>
      </c>
      <c r="H239" s="112">
        <v>18000</v>
      </c>
      <c r="I239" s="112" t="s">
        <v>4810</v>
      </c>
      <c r="J239" s="112" t="s">
        <v>1437</v>
      </c>
      <c r="K239" s="112" t="s">
        <v>263</v>
      </c>
      <c r="L239" s="112">
        <v>6</v>
      </c>
      <c r="M239" s="112">
        <v>1</v>
      </c>
      <c r="N239" s="112" t="s">
        <v>5573</v>
      </c>
      <c r="O239" s="1">
        <v>18000</v>
      </c>
      <c r="P239" s="3">
        <v>1.4211218447256322</v>
      </c>
      <c r="Q239" s="5">
        <v>46174</v>
      </c>
      <c r="R239" s="112" t="s">
        <v>25</v>
      </c>
      <c r="S239" s="5">
        <v>0</v>
      </c>
      <c r="T239" s="1">
        <f>COUNTIF(Tabla_control[LOTE],Tabla_imprenta[[#This Row],[LOTE]])</f>
        <v>1</v>
      </c>
      <c r="U239" s="1">
        <f>INDEX(Tabla_stock[En stock],MATCH(Tabla_imprenta[[#This Row],[CODIGO IFA]],Tabla_stock[Número de artículo],0))</f>
        <v>1485</v>
      </c>
    </row>
    <row r="240" spans="1:21" x14ac:dyDescent="0.25">
      <c r="A240" s="2">
        <v>46143</v>
      </c>
      <c r="B240" s="1"/>
      <c r="C240" s="154" t="s">
        <v>5574</v>
      </c>
      <c r="D240" s="154" t="s">
        <v>181</v>
      </c>
      <c r="E240" s="154" t="s">
        <v>8</v>
      </c>
      <c r="F240" s="154" t="s">
        <v>5575</v>
      </c>
      <c r="G240" s="2">
        <v>46874</v>
      </c>
      <c r="H240" s="112">
        <v>4959</v>
      </c>
      <c r="I240" s="112" t="s">
        <v>3967</v>
      </c>
      <c r="J240" s="112" t="s">
        <v>1264</v>
      </c>
      <c r="K240" s="112" t="s">
        <v>269</v>
      </c>
      <c r="L240" s="112">
        <v>2</v>
      </c>
      <c r="M240" s="112">
        <v>8</v>
      </c>
      <c r="N240" s="112" t="s">
        <v>208</v>
      </c>
      <c r="O240" s="1">
        <v>4959</v>
      </c>
      <c r="P240" s="3">
        <v>2.695722120658135</v>
      </c>
      <c r="Q240" s="5" t="s">
        <v>28</v>
      </c>
      <c r="R240" s="112" t="s">
        <v>25</v>
      </c>
      <c r="S240" s="5">
        <v>0</v>
      </c>
      <c r="T240" s="1">
        <f>COUNTIF(Tabla_control[LOTE],Tabla_imprenta[[#This Row],[LOTE]])</f>
        <v>1</v>
      </c>
      <c r="U240" s="1">
        <f>INDEX(Tabla_stock[En stock],MATCH(Tabla_imprenta[[#This Row],[CODIGO IFA]],Tabla_stock[Número de artículo],0))</f>
        <v>1440</v>
      </c>
    </row>
    <row r="241" spans="1:21" x14ac:dyDescent="0.25">
      <c r="A241" s="2">
        <v>46143</v>
      </c>
      <c r="B241" s="1"/>
      <c r="C241" s="154" t="s">
        <v>5576</v>
      </c>
      <c r="D241" s="154" t="s">
        <v>15</v>
      </c>
      <c r="E241" s="154" t="s">
        <v>8</v>
      </c>
      <c r="F241" s="154" t="s">
        <v>5577</v>
      </c>
      <c r="G241" s="2">
        <v>46874</v>
      </c>
      <c r="H241" s="112">
        <v>4902</v>
      </c>
      <c r="I241" s="112" t="s">
        <v>3996</v>
      </c>
      <c r="J241" s="112" t="s">
        <v>1726</v>
      </c>
      <c r="K241" s="112" t="s">
        <v>269</v>
      </c>
      <c r="L241" s="112">
        <v>2</v>
      </c>
      <c r="M241" s="112">
        <v>75</v>
      </c>
      <c r="N241" s="112" t="s">
        <v>5578</v>
      </c>
      <c r="O241" s="1">
        <v>4902</v>
      </c>
      <c r="P241" s="3">
        <v>2.7090794667887179</v>
      </c>
      <c r="Q241" s="5" t="s">
        <v>28</v>
      </c>
      <c r="R241" s="112" t="s">
        <v>25</v>
      </c>
      <c r="S241" s="5">
        <v>0</v>
      </c>
      <c r="T241" s="1">
        <f>COUNTIF(Tabla_control[LOTE],Tabla_imprenta[[#This Row],[LOTE]])</f>
        <v>1</v>
      </c>
      <c r="U241" s="1">
        <f>INDEX(Tabla_stock[En stock],MATCH(Tabla_imprenta[[#This Row],[CODIGO IFA]],Tabla_stock[Número de artículo],0))</f>
        <v>909</v>
      </c>
    </row>
    <row r="242" spans="1:21" x14ac:dyDescent="0.25">
      <c r="A242" s="2">
        <v>46143</v>
      </c>
      <c r="B242" s="1"/>
      <c r="C242" s="154" t="s">
        <v>5579</v>
      </c>
      <c r="D242" s="154" t="s">
        <v>12</v>
      </c>
      <c r="E242" s="154" t="s">
        <v>8</v>
      </c>
      <c r="F242" s="154" t="s">
        <v>5580</v>
      </c>
      <c r="G242" s="2">
        <v>46874</v>
      </c>
      <c r="H242" s="112">
        <v>10000</v>
      </c>
      <c r="I242" s="112" t="s">
        <v>5125</v>
      </c>
      <c r="J242" s="112" t="s">
        <v>1493</v>
      </c>
      <c r="K242" s="112" t="s">
        <v>263</v>
      </c>
      <c r="L242" s="112">
        <v>0</v>
      </c>
      <c r="M242" s="112">
        <v>0</v>
      </c>
      <c r="N242" s="112" t="s">
        <v>5573</v>
      </c>
      <c r="O242" s="1">
        <v>3333.3333333333335</v>
      </c>
      <c r="P242" s="3">
        <v>2.1368595041322314</v>
      </c>
      <c r="Q242" s="5">
        <v>46174</v>
      </c>
      <c r="R242" s="112" t="s">
        <v>25</v>
      </c>
      <c r="S242" s="5">
        <v>0</v>
      </c>
      <c r="T242" s="1">
        <f>COUNTIF(Tabla_control[LOTE],Tabla_imprenta[[#This Row],[LOTE]])</f>
        <v>1</v>
      </c>
      <c r="U242" s="1">
        <f>INDEX(Tabla_stock[En stock],MATCH(Tabla_imprenta[[#This Row],[CODIGO IFA]],Tabla_stock[Número de artículo],0))</f>
        <v>13807</v>
      </c>
    </row>
    <row r="243" spans="1:21" x14ac:dyDescent="0.25">
      <c r="A243" s="2">
        <v>46143</v>
      </c>
      <c r="B243" s="1"/>
      <c r="C243" s="154" t="s">
        <v>5581</v>
      </c>
      <c r="D243" s="154" t="s">
        <v>201</v>
      </c>
      <c r="E243" s="154" t="s">
        <v>8</v>
      </c>
      <c r="F243" s="154" t="s">
        <v>5582</v>
      </c>
      <c r="G243" s="2">
        <v>46874</v>
      </c>
      <c r="H243" s="112">
        <v>3500</v>
      </c>
      <c r="I243" s="112" t="s">
        <v>4942</v>
      </c>
      <c r="J243" s="112" t="s">
        <v>833</v>
      </c>
      <c r="K243" s="112" t="s">
        <v>269</v>
      </c>
      <c r="L243" s="112">
        <v>2</v>
      </c>
      <c r="M243" s="112">
        <v>71</v>
      </c>
      <c r="N243" s="112" t="s">
        <v>5583</v>
      </c>
      <c r="O243" s="1">
        <v>3500</v>
      </c>
      <c r="P243" s="3">
        <v>3.5510844003135613</v>
      </c>
      <c r="Q243" s="5" t="s">
        <v>28</v>
      </c>
      <c r="R243" s="112" t="s">
        <v>25</v>
      </c>
      <c r="S243" s="5">
        <v>0</v>
      </c>
      <c r="T243" s="1">
        <f>COUNTIF(Tabla_control[LOTE],Tabla_imprenta[[#This Row],[LOTE]])</f>
        <v>1</v>
      </c>
      <c r="U243" s="1">
        <f>INDEX(Tabla_stock[En stock],MATCH(Tabla_imprenta[[#This Row],[CODIGO IFA]],Tabla_stock[Número de artículo],0))</f>
        <v>1045</v>
      </c>
    </row>
    <row r="244" spans="1:21" x14ac:dyDescent="0.25">
      <c r="A244" s="2">
        <v>46143</v>
      </c>
      <c r="B244" s="1"/>
      <c r="C244" s="154" t="s">
        <v>5584</v>
      </c>
      <c r="D244" s="154" t="s">
        <v>168</v>
      </c>
      <c r="E244" s="154" t="s">
        <v>8</v>
      </c>
      <c r="F244" s="154" t="s">
        <v>5585</v>
      </c>
      <c r="G244" s="2">
        <v>46874</v>
      </c>
      <c r="H244" s="112">
        <v>49000</v>
      </c>
      <c r="I244" s="112" t="s">
        <v>5586</v>
      </c>
      <c r="J244" s="112"/>
      <c r="K244" s="112"/>
      <c r="L244" s="112"/>
      <c r="M244" s="112"/>
      <c r="N244" s="112" t="s">
        <v>5587</v>
      </c>
      <c r="O244" s="1">
        <v>2450</v>
      </c>
      <c r="P244" s="3">
        <v>0</v>
      </c>
      <c r="Q244" s="5" t="s">
        <v>28</v>
      </c>
      <c r="R244" s="112" t="s">
        <v>25</v>
      </c>
      <c r="S244" s="5">
        <v>0</v>
      </c>
      <c r="T244" s="1">
        <f>COUNTIF(Tabla_control[LOTE],Tabla_imprenta[[#This Row],[LOTE]])</f>
        <v>1</v>
      </c>
      <c r="U244" s="1" t="e">
        <f>INDEX(Tabla_stock[En stock],MATCH(Tabla_imprenta[[#This Row],[CODIGO IFA]],Tabla_stock[Número de artículo],0))</f>
        <v>#N/A</v>
      </c>
    </row>
    <row r="245" spans="1:21" x14ac:dyDescent="0.25">
      <c r="A245" s="2">
        <v>46143</v>
      </c>
      <c r="B245" s="1"/>
      <c r="C245" s="154" t="s">
        <v>5588</v>
      </c>
      <c r="D245" s="154" t="s">
        <v>168</v>
      </c>
      <c r="E245" s="154" t="s">
        <v>8</v>
      </c>
      <c r="F245" s="154" t="s">
        <v>5589</v>
      </c>
      <c r="G245" s="2">
        <v>46874</v>
      </c>
      <c r="H245" s="112">
        <v>49000</v>
      </c>
      <c r="I245" s="112" t="s">
        <v>5590</v>
      </c>
      <c r="J245" s="112"/>
      <c r="K245" s="112"/>
      <c r="L245" s="112"/>
      <c r="M245" s="112"/>
      <c r="N245" s="112" t="s">
        <v>5587</v>
      </c>
      <c r="O245" s="1">
        <v>2450</v>
      </c>
      <c r="P245" s="3">
        <v>0</v>
      </c>
      <c r="Q245" s="5" t="s">
        <v>28</v>
      </c>
      <c r="R245" s="112" t="s">
        <v>25</v>
      </c>
      <c r="S245" s="5">
        <v>0</v>
      </c>
      <c r="T245" s="1">
        <f>COUNTIF(Tabla_control[LOTE],Tabla_imprenta[[#This Row],[LOTE]])</f>
        <v>1</v>
      </c>
      <c r="U245" s="1" t="e">
        <f>INDEX(Tabla_stock[En stock],MATCH(Tabla_imprenta[[#This Row],[CODIGO IFA]],Tabla_stock[Número de artículo],0))</f>
        <v>#N/A</v>
      </c>
    </row>
    <row r="246" spans="1:21" x14ac:dyDescent="0.25">
      <c r="A246" s="2">
        <v>46143</v>
      </c>
      <c r="B246" s="1"/>
      <c r="C246" s="154" t="s">
        <v>5591</v>
      </c>
      <c r="D246" s="154" t="s">
        <v>11</v>
      </c>
      <c r="E246" s="154" t="s">
        <v>8</v>
      </c>
      <c r="F246" s="154" t="s">
        <v>5592</v>
      </c>
      <c r="G246" s="2">
        <v>47239</v>
      </c>
      <c r="H246" s="112">
        <v>50000</v>
      </c>
      <c r="I246" s="112" t="s">
        <v>4532</v>
      </c>
      <c r="J246" s="112" t="s">
        <v>1110</v>
      </c>
      <c r="K246" s="112" t="s">
        <v>241</v>
      </c>
      <c r="L246" s="112">
        <v>2</v>
      </c>
      <c r="M246" s="112">
        <v>30</v>
      </c>
      <c r="N246" s="112" t="s">
        <v>5593</v>
      </c>
      <c r="O246" s="1">
        <v>500</v>
      </c>
      <c r="P246" s="3">
        <v>2.6855887767793347</v>
      </c>
      <c r="Q246" s="5">
        <v>46169</v>
      </c>
      <c r="R246" s="112" t="s">
        <v>25</v>
      </c>
      <c r="S246" s="5">
        <v>0</v>
      </c>
      <c r="T246" s="1">
        <f>COUNTIF(Tabla_control[LOTE],Tabla_imprenta[[#This Row],[LOTE]])</f>
        <v>1</v>
      </c>
      <c r="U246" s="1">
        <f>INDEX(Tabla_stock[En stock],MATCH(Tabla_imprenta[[#This Row],[CODIGO IFA]],Tabla_stock[Número de artículo],0))</f>
        <v>472</v>
      </c>
    </row>
    <row r="247" spans="1:21" x14ac:dyDescent="0.25">
      <c r="A247" s="2">
        <v>46143</v>
      </c>
      <c r="B247" s="1"/>
      <c r="C247" s="154" t="s">
        <v>5594</v>
      </c>
      <c r="D247" s="154" t="s">
        <v>201</v>
      </c>
      <c r="E247" s="154" t="s">
        <v>8</v>
      </c>
      <c r="F247" s="154" t="s">
        <v>5595</v>
      </c>
      <c r="G247" s="2">
        <v>46874</v>
      </c>
      <c r="H247" s="112">
        <v>1000</v>
      </c>
      <c r="I247" s="112" t="s">
        <v>4900</v>
      </c>
      <c r="J247" s="112" t="s">
        <v>837</v>
      </c>
      <c r="K247" s="112" t="s">
        <v>269</v>
      </c>
      <c r="L247" s="112">
        <v>2</v>
      </c>
      <c r="M247" s="112">
        <v>72</v>
      </c>
      <c r="N247" s="112" t="s">
        <v>3142</v>
      </c>
      <c r="O247" s="1">
        <v>1000</v>
      </c>
      <c r="P247" s="3">
        <v>3.6761180941245257</v>
      </c>
      <c r="Q247" s="5" t="s">
        <v>28</v>
      </c>
      <c r="R247" s="112" t="s">
        <v>25</v>
      </c>
      <c r="S247" s="5">
        <v>0</v>
      </c>
      <c r="T247" s="1">
        <f>COUNTIF(Tabla_control[LOTE],Tabla_imprenta[[#This Row],[LOTE]])</f>
        <v>1</v>
      </c>
      <c r="U247" s="1">
        <f>INDEX(Tabla_stock[En stock],MATCH(Tabla_imprenta[[#This Row],[CODIGO IFA]],Tabla_stock[Número de artículo],0))</f>
        <v>201</v>
      </c>
    </row>
    <row r="248" spans="1:21" x14ac:dyDescent="0.25">
      <c r="A248" s="2">
        <v>46143</v>
      </c>
      <c r="B248" s="1"/>
      <c r="C248" s="154" t="s">
        <v>5596</v>
      </c>
      <c r="D248" s="154" t="s">
        <v>12</v>
      </c>
      <c r="E248" s="154" t="s">
        <v>8</v>
      </c>
      <c r="F248" s="154" t="s">
        <v>5597</v>
      </c>
      <c r="G248" s="2">
        <v>47604</v>
      </c>
      <c r="H248" s="112">
        <v>200000</v>
      </c>
      <c r="I248" s="112" t="s">
        <v>4529</v>
      </c>
      <c r="J248" s="112" t="s">
        <v>759</v>
      </c>
      <c r="K248" s="112" t="s">
        <v>241</v>
      </c>
      <c r="L248" s="112">
        <v>2</v>
      </c>
      <c r="M248" s="112">
        <v>30</v>
      </c>
      <c r="N248" s="112" t="s">
        <v>5598</v>
      </c>
      <c r="O248" s="1">
        <v>2000</v>
      </c>
      <c r="P248" s="3">
        <v>5.7448499791169851</v>
      </c>
      <c r="Q248" s="5">
        <v>46176</v>
      </c>
      <c r="R248" s="112" t="s">
        <v>25</v>
      </c>
      <c r="S248" s="5">
        <v>0</v>
      </c>
      <c r="T248" s="1">
        <f>COUNTIF(Tabla_control[LOTE],Tabla_imprenta[[#This Row],[LOTE]])</f>
        <v>1</v>
      </c>
      <c r="U248" s="1">
        <f>INDEX(Tabla_stock[En stock],MATCH(Tabla_imprenta[[#This Row],[CODIGO IFA]],Tabla_stock[Número de artículo],0))</f>
        <v>3015</v>
      </c>
    </row>
    <row r="249" spans="1:21" x14ac:dyDescent="0.25">
      <c r="A249" s="2">
        <v>46143</v>
      </c>
      <c r="B249" s="1"/>
      <c r="C249" s="154" t="s">
        <v>5599</v>
      </c>
      <c r="D249" s="154" t="s">
        <v>13</v>
      </c>
      <c r="E249" s="154" t="s">
        <v>8</v>
      </c>
      <c r="F249" s="154" t="s">
        <v>5600</v>
      </c>
      <c r="G249" s="2">
        <v>46874</v>
      </c>
      <c r="H249" s="112">
        <v>7000</v>
      </c>
      <c r="I249" s="112" t="s">
        <v>4951</v>
      </c>
      <c r="J249" s="112" t="s">
        <v>1741</v>
      </c>
      <c r="K249" s="112" t="s">
        <v>269</v>
      </c>
      <c r="L249" s="112">
        <v>6</v>
      </c>
      <c r="M249" s="112">
        <v>25</v>
      </c>
      <c r="N249" s="112" t="s">
        <v>5601</v>
      </c>
      <c r="O249" s="1">
        <v>7000</v>
      </c>
      <c r="P249" s="3">
        <v>3.674757281553398</v>
      </c>
      <c r="Q249" s="5" t="s">
        <v>28</v>
      </c>
      <c r="R249" s="112" t="s">
        <v>25</v>
      </c>
      <c r="S249" s="5">
        <v>0</v>
      </c>
      <c r="T249" s="1">
        <f>COUNTIF(Tabla_control[LOTE],Tabla_imprenta[[#This Row],[LOTE]])</f>
        <v>1</v>
      </c>
      <c r="U249" s="1">
        <f>INDEX(Tabla_stock[En stock],MATCH(Tabla_imprenta[[#This Row],[CODIGO IFA]],Tabla_stock[Número de artículo],0))</f>
        <v>7098</v>
      </c>
    </row>
    <row r="250" spans="1:21" x14ac:dyDescent="0.25">
      <c r="A250" s="2">
        <v>46143</v>
      </c>
      <c r="B250" s="1"/>
      <c r="C250" s="154" t="s">
        <v>5602</v>
      </c>
      <c r="D250" s="154" t="s">
        <v>168</v>
      </c>
      <c r="E250" s="154" t="s">
        <v>8</v>
      </c>
      <c r="F250" s="154" t="s">
        <v>5603</v>
      </c>
      <c r="G250" s="2">
        <v>46874</v>
      </c>
      <c r="H250" s="112">
        <v>49000</v>
      </c>
      <c r="I250" s="112" t="s">
        <v>5604</v>
      </c>
      <c r="J250" s="112"/>
      <c r="K250" s="112"/>
      <c r="L250" s="112"/>
      <c r="M250" s="112"/>
      <c r="N250" s="112" t="s">
        <v>5587</v>
      </c>
      <c r="O250" s="1">
        <v>2450</v>
      </c>
      <c r="P250" s="3">
        <v>0</v>
      </c>
      <c r="Q250" s="5" t="s">
        <v>28</v>
      </c>
      <c r="R250" s="112" t="s">
        <v>25</v>
      </c>
      <c r="S250" s="5">
        <v>0</v>
      </c>
      <c r="T250" s="1">
        <f>COUNTIF(Tabla_control[LOTE],Tabla_imprenta[[#This Row],[LOTE]])</f>
        <v>1</v>
      </c>
      <c r="U250" s="1" t="e">
        <f>INDEX(Tabla_stock[En stock],MATCH(Tabla_imprenta[[#This Row],[CODIGO IFA]],Tabla_stock[Número de artículo],0))</f>
        <v>#N/A</v>
      </c>
    </row>
    <row r="251" spans="1:21" x14ac:dyDescent="0.25">
      <c r="A251" s="2">
        <v>46143</v>
      </c>
      <c r="B251" s="1"/>
      <c r="C251" s="154" t="s">
        <v>5605</v>
      </c>
      <c r="D251" s="154" t="s">
        <v>166</v>
      </c>
      <c r="E251" s="154" t="s">
        <v>8</v>
      </c>
      <c r="F251" s="154" t="s">
        <v>5606</v>
      </c>
      <c r="G251" s="2">
        <v>46874</v>
      </c>
      <c r="H251" s="112">
        <v>30000</v>
      </c>
      <c r="I251" s="112" t="s">
        <v>4179</v>
      </c>
      <c r="J251" s="112" t="s">
        <v>1812</v>
      </c>
      <c r="K251" s="112" t="s">
        <v>263</v>
      </c>
      <c r="L251" s="112">
        <v>2</v>
      </c>
      <c r="M251" s="112">
        <v>92</v>
      </c>
      <c r="N251" s="112" t="s">
        <v>5607</v>
      </c>
      <c r="O251" s="1">
        <v>3000</v>
      </c>
      <c r="P251" s="3">
        <v>2.886126973463218</v>
      </c>
      <c r="Q251" s="5" t="s">
        <v>28</v>
      </c>
      <c r="R251" s="112" t="s">
        <v>25</v>
      </c>
      <c r="S251" s="5">
        <v>0</v>
      </c>
      <c r="T251" s="1">
        <f>COUNTIF(Tabla_control[LOTE],Tabla_imprenta[[#This Row],[LOTE]])</f>
        <v>1</v>
      </c>
      <c r="U251" s="1">
        <f>INDEX(Tabla_stock[En stock],MATCH(Tabla_imprenta[[#This Row],[CODIGO IFA]],Tabla_stock[Número de artículo],0))</f>
        <v>4655</v>
      </c>
    </row>
    <row r="252" spans="1:21" x14ac:dyDescent="0.25">
      <c r="A252" s="2">
        <v>46143</v>
      </c>
      <c r="B252" s="1"/>
      <c r="C252" s="154" t="s">
        <v>5608</v>
      </c>
      <c r="D252" s="154" t="s">
        <v>141</v>
      </c>
      <c r="E252" s="154" t="s">
        <v>8</v>
      </c>
      <c r="F252" s="154" t="s">
        <v>5609</v>
      </c>
      <c r="G252" s="2">
        <v>46874</v>
      </c>
      <c r="H252" s="112">
        <v>500000</v>
      </c>
      <c r="I252" s="112" t="s">
        <v>4158</v>
      </c>
      <c r="J252" s="112" t="s">
        <v>1716</v>
      </c>
      <c r="K252" s="112" t="s">
        <v>241</v>
      </c>
      <c r="L252" s="112">
        <v>4</v>
      </c>
      <c r="M252" s="112">
        <v>92</v>
      </c>
      <c r="N252" s="112" t="s">
        <v>5610</v>
      </c>
      <c r="O252" s="1">
        <v>5000</v>
      </c>
      <c r="P252" s="3">
        <v>2.3437157077948658</v>
      </c>
      <c r="Q252" s="5">
        <v>46174</v>
      </c>
      <c r="R252" s="112" t="s">
        <v>25</v>
      </c>
      <c r="S252" s="5">
        <v>46174</v>
      </c>
      <c r="T252" s="1">
        <f>COUNTIF(Tabla_control[LOTE],Tabla_imprenta[[#This Row],[LOTE]])</f>
        <v>1</v>
      </c>
      <c r="U252" s="1">
        <f>INDEX(Tabla_stock[En stock],MATCH(Tabla_imprenta[[#This Row],[CODIGO IFA]],Tabla_stock[Número de artículo],0))</f>
        <v>6958</v>
      </c>
    </row>
    <row r="253" spans="1:21" x14ac:dyDescent="0.25">
      <c r="A253" s="2">
        <v>46143</v>
      </c>
      <c r="B253" s="1"/>
      <c r="C253" s="154" t="s">
        <v>5611</v>
      </c>
      <c r="D253" s="154" t="s">
        <v>15</v>
      </c>
      <c r="E253" s="154" t="s">
        <v>8</v>
      </c>
      <c r="F253" s="154" t="s">
        <v>5612</v>
      </c>
      <c r="G253" s="2">
        <v>46874</v>
      </c>
      <c r="H253" s="112">
        <v>4902</v>
      </c>
      <c r="I253" s="112" t="s">
        <v>4839</v>
      </c>
      <c r="J253" s="112" t="s">
        <v>1446</v>
      </c>
      <c r="K253" s="112" t="s">
        <v>176</v>
      </c>
      <c r="L253" s="112">
        <v>2</v>
      </c>
      <c r="M253" s="112">
        <v>73</v>
      </c>
      <c r="N253" s="112" t="s">
        <v>5613</v>
      </c>
      <c r="O253" s="1">
        <v>4902</v>
      </c>
      <c r="P253" s="3">
        <v>3.3689601057239615</v>
      </c>
      <c r="Q253" s="5" t="s">
        <v>28</v>
      </c>
      <c r="R253" s="112">
        <v>46167</v>
      </c>
      <c r="S253" s="5">
        <v>0</v>
      </c>
      <c r="T253" s="1">
        <f>COUNTIF(Tabla_control[LOTE],Tabla_imprenta[[#This Row],[LOTE]])</f>
        <v>1</v>
      </c>
      <c r="U253" s="1">
        <f>INDEX(Tabla_stock[En stock],MATCH(Tabla_imprenta[[#This Row],[CODIGO IFA]],Tabla_stock[Número de artículo],0))</f>
        <v>1098</v>
      </c>
    </row>
    <row r="254" spans="1:21" x14ac:dyDescent="0.25">
      <c r="A254" s="2">
        <v>46143</v>
      </c>
      <c r="B254" s="1"/>
      <c r="C254" s="154" t="s">
        <v>5614</v>
      </c>
      <c r="D254" s="154" t="s">
        <v>14</v>
      </c>
      <c r="E254" s="154" t="s">
        <v>102</v>
      </c>
      <c r="F254" s="154" t="s">
        <v>5615</v>
      </c>
      <c r="G254" s="2">
        <v>47239</v>
      </c>
      <c r="H254" s="112">
        <v>10000</v>
      </c>
      <c r="I254" s="112" t="s">
        <v>4477</v>
      </c>
      <c r="J254" s="112" t="s">
        <v>1037</v>
      </c>
      <c r="K254" s="112" t="s">
        <v>263</v>
      </c>
      <c r="L254" s="112">
        <v>6</v>
      </c>
      <c r="M254" s="112">
        <v>12</v>
      </c>
      <c r="N254" s="112" t="s">
        <v>5616</v>
      </c>
      <c r="O254" s="1">
        <v>10000</v>
      </c>
      <c r="P254" s="3">
        <v>4.3597526555077408</v>
      </c>
      <c r="Q254" s="5" t="s">
        <v>28</v>
      </c>
      <c r="R254" s="112" t="s">
        <v>25</v>
      </c>
      <c r="S254" s="5">
        <v>0</v>
      </c>
      <c r="T254" s="1">
        <f>COUNTIF(Tabla_control[LOTE],Tabla_imprenta[[#This Row],[LOTE]])</f>
        <v>1</v>
      </c>
      <c r="U254" s="1">
        <f>INDEX(Tabla_stock[En stock],MATCH(Tabla_imprenta[[#This Row],[CODIGO IFA]],Tabla_stock[Número de artículo],0))</f>
        <v>2658</v>
      </c>
    </row>
    <row r="255" spans="1:21" x14ac:dyDescent="0.25">
      <c r="A255" s="2">
        <v>46143</v>
      </c>
      <c r="B255" s="1"/>
      <c r="C255" s="154" t="s">
        <v>5617</v>
      </c>
      <c r="D255" s="154" t="s">
        <v>16</v>
      </c>
      <c r="E255" s="154" t="s">
        <v>8</v>
      </c>
      <c r="F255" s="154" t="s">
        <v>5618</v>
      </c>
      <c r="G255" s="2">
        <v>46874</v>
      </c>
      <c r="H255" s="112">
        <v>80000</v>
      </c>
      <c r="I255" s="112" t="s">
        <v>4640</v>
      </c>
      <c r="J255" s="112" t="s">
        <v>753</v>
      </c>
      <c r="K255" s="112" t="s">
        <v>241</v>
      </c>
      <c r="L255" s="112">
        <v>3</v>
      </c>
      <c r="M255" s="112">
        <v>41</v>
      </c>
      <c r="N255" s="112" t="s">
        <v>5619</v>
      </c>
      <c r="O255" s="1">
        <v>8000</v>
      </c>
      <c r="P255" s="3">
        <v>2.8247743515214818</v>
      </c>
      <c r="Q255" s="5">
        <v>46182</v>
      </c>
      <c r="R255" s="112" t="s">
        <v>25</v>
      </c>
      <c r="S255" s="5">
        <v>0</v>
      </c>
      <c r="T255" s="1">
        <f>COUNTIF(Tabla_control[LOTE],Tabla_imprenta[[#This Row],[LOTE]])</f>
        <v>1</v>
      </c>
      <c r="U255" s="1">
        <f>INDEX(Tabla_stock[En stock],MATCH(Tabla_imprenta[[#This Row],[CODIGO IFA]],Tabla_stock[Número de artículo],0))</f>
        <v>1805</v>
      </c>
    </row>
    <row r="256" spans="1:21" x14ac:dyDescent="0.25">
      <c r="A256" s="2">
        <v>46143</v>
      </c>
      <c r="B256" s="1"/>
      <c r="C256" s="154" t="s">
        <v>5620</v>
      </c>
      <c r="D256" s="154" t="s">
        <v>15</v>
      </c>
      <c r="E256" s="154" t="s">
        <v>8</v>
      </c>
      <c r="F256" s="154" t="s">
        <v>5621</v>
      </c>
      <c r="G256" s="2">
        <v>46874</v>
      </c>
      <c r="H256" s="112">
        <v>3225</v>
      </c>
      <c r="I256" s="112" t="s">
        <v>4195</v>
      </c>
      <c r="J256" s="112" t="s">
        <v>927</v>
      </c>
      <c r="K256" s="112" t="s">
        <v>241</v>
      </c>
      <c r="L256" s="112">
        <v>4</v>
      </c>
      <c r="M256" s="112">
        <v>3</v>
      </c>
      <c r="N256" s="112" t="s">
        <v>5622</v>
      </c>
      <c r="O256" s="1">
        <v>3225</v>
      </c>
      <c r="P256" s="3">
        <v>3.6361819090454768</v>
      </c>
      <c r="Q256" s="5" t="s">
        <v>28</v>
      </c>
      <c r="R256" s="112">
        <v>46160</v>
      </c>
      <c r="S256" s="5">
        <v>0</v>
      </c>
      <c r="T256" s="1">
        <f>COUNTIF(Tabla_control[LOTE],Tabla_imprenta[[#This Row],[LOTE]])</f>
        <v>1</v>
      </c>
      <c r="U256" s="1">
        <f>INDEX(Tabla_stock[En stock],MATCH(Tabla_imprenta[[#This Row],[CODIGO IFA]],Tabla_stock[Número de artículo],0))</f>
        <v>417</v>
      </c>
    </row>
    <row r="257" spans="1:21" x14ac:dyDescent="0.25">
      <c r="A257" s="2">
        <v>46143</v>
      </c>
      <c r="B257" s="1"/>
      <c r="C257" s="154" t="s">
        <v>5623</v>
      </c>
      <c r="D257" s="154" t="s">
        <v>11</v>
      </c>
      <c r="E257" s="154" t="s">
        <v>8</v>
      </c>
      <c r="F257" s="154" t="s">
        <v>5624</v>
      </c>
      <c r="G257" s="2">
        <v>47604</v>
      </c>
      <c r="H257" s="112">
        <v>10000</v>
      </c>
      <c r="I257" s="112" t="s">
        <v>5152</v>
      </c>
      <c r="J257" s="112" t="s">
        <v>1112</v>
      </c>
      <c r="K257" s="112" t="s">
        <v>176</v>
      </c>
      <c r="L257" s="112">
        <v>2</v>
      </c>
      <c r="M257" s="112">
        <v>30</v>
      </c>
      <c r="N257" s="112" t="s">
        <v>5625</v>
      </c>
      <c r="O257" s="1">
        <v>100</v>
      </c>
      <c r="P257" s="3">
        <v>4.0551724137931036</v>
      </c>
      <c r="Q257" s="5">
        <v>46169</v>
      </c>
      <c r="R257" s="112" t="s">
        <v>25</v>
      </c>
      <c r="S257" s="5">
        <v>0</v>
      </c>
      <c r="T257" s="1">
        <f>COUNTIF(Tabla_control[LOTE],Tabla_imprenta[[#This Row],[LOTE]])</f>
        <v>1</v>
      </c>
      <c r="U257" s="1">
        <f>INDEX(Tabla_stock[En stock],MATCH(Tabla_imprenta[[#This Row],[CODIGO IFA]],Tabla_stock[Número de artículo],0))</f>
        <v>556</v>
      </c>
    </row>
    <row r="258" spans="1:21" x14ac:dyDescent="0.25">
      <c r="A258" s="2">
        <v>46143</v>
      </c>
      <c r="B258" s="1"/>
      <c r="C258" s="154" t="s">
        <v>5626</v>
      </c>
      <c r="D258" s="154" t="s">
        <v>12</v>
      </c>
      <c r="E258" s="154" t="s">
        <v>8</v>
      </c>
      <c r="F258" s="154" t="s">
        <v>5627</v>
      </c>
      <c r="G258" s="2">
        <v>46874</v>
      </c>
      <c r="H258" s="112">
        <v>200000</v>
      </c>
      <c r="I258" s="112" t="s">
        <v>4155</v>
      </c>
      <c r="J258" s="112" t="s">
        <v>1049</v>
      </c>
      <c r="K258" s="112" t="s">
        <v>241</v>
      </c>
      <c r="L258" s="112">
        <v>4</v>
      </c>
      <c r="M258" s="112">
        <v>92</v>
      </c>
      <c r="N258" s="112" t="s">
        <v>5628</v>
      </c>
      <c r="O258" s="1">
        <v>2000</v>
      </c>
      <c r="P258" s="3">
        <v>4.4240794488013</v>
      </c>
      <c r="Q258" s="5">
        <v>46182</v>
      </c>
      <c r="R258" s="112" t="s">
        <v>25</v>
      </c>
      <c r="S258" s="5">
        <v>0</v>
      </c>
      <c r="T258" s="1">
        <f>COUNTIF(Tabla_control[LOTE],Tabla_imprenta[[#This Row],[LOTE]])</f>
        <v>1</v>
      </c>
      <c r="U258" s="1">
        <f>INDEX(Tabla_stock[En stock],MATCH(Tabla_imprenta[[#This Row],[CODIGO IFA]],Tabla_stock[Número de artículo],0))</f>
        <v>338</v>
      </c>
    </row>
    <row r="259" spans="1:21" x14ac:dyDescent="0.25">
      <c r="A259" s="2">
        <v>46143</v>
      </c>
      <c r="B259" s="1"/>
      <c r="C259" s="154" t="s">
        <v>5530</v>
      </c>
      <c r="D259" s="154" t="s">
        <v>106</v>
      </c>
      <c r="E259" s="154" t="s">
        <v>8</v>
      </c>
      <c r="F259" s="154" t="s">
        <v>5629</v>
      </c>
      <c r="G259" s="2">
        <v>46874</v>
      </c>
      <c r="H259" s="112">
        <v>3500</v>
      </c>
      <c r="I259" s="112" t="s">
        <v>4077</v>
      </c>
      <c r="J259" s="112" t="s">
        <v>1306</v>
      </c>
      <c r="K259" s="112" t="s">
        <v>251</v>
      </c>
      <c r="L259" s="112">
        <v>1</v>
      </c>
      <c r="M259" s="112">
        <v>49</v>
      </c>
      <c r="N259" s="112" t="s">
        <v>3148</v>
      </c>
      <c r="O259" s="1">
        <v>3500</v>
      </c>
      <c r="P259" s="3">
        <v>3.0161507402422618</v>
      </c>
      <c r="Q259" s="5" t="s">
        <v>28</v>
      </c>
      <c r="R259" s="112">
        <v>0</v>
      </c>
      <c r="S259" s="5">
        <v>0</v>
      </c>
      <c r="T259" s="1">
        <f>COUNTIF(Tabla_control[LOTE],Tabla_imprenta[[#This Row],[LOTE]])</f>
        <v>1</v>
      </c>
      <c r="U259" s="1">
        <f>INDEX(Tabla_stock[En stock],MATCH(Tabla_imprenta[[#This Row],[CODIGO IFA]],Tabla_stock[Número de artículo],0))</f>
        <v>714</v>
      </c>
    </row>
    <row r="260" spans="1:21" x14ac:dyDescent="0.25">
      <c r="A260" s="2">
        <v>46143</v>
      </c>
      <c r="B260" s="1"/>
      <c r="C260" s="154" t="s">
        <v>5630</v>
      </c>
      <c r="D260" s="154" t="s">
        <v>11</v>
      </c>
      <c r="E260" s="154" t="s">
        <v>8</v>
      </c>
      <c r="F260" s="154" t="s">
        <v>5631</v>
      </c>
      <c r="G260" s="2">
        <v>47604</v>
      </c>
      <c r="H260" s="112">
        <v>1000000</v>
      </c>
      <c r="I260" s="112" t="s">
        <v>4171</v>
      </c>
      <c r="J260" s="112" t="s">
        <v>778</v>
      </c>
      <c r="K260" s="112" t="s">
        <v>241</v>
      </c>
      <c r="L260" s="112">
        <v>4</v>
      </c>
      <c r="M260" s="112">
        <v>108</v>
      </c>
      <c r="N260" s="112" t="s">
        <v>3030</v>
      </c>
      <c r="O260" s="1">
        <v>10000</v>
      </c>
      <c r="P260" s="3">
        <v>3.0469370009922949</v>
      </c>
      <c r="Q260" s="5">
        <v>46161</v>
      </c>
      <c r="R260" s="112" t="s">
        <v>25</v>
      </c>
      <c r="S260" s="5">
        <v>0</v>
      </c>
      <c r="T260" s="1">
        <f>COUNTIF(Tabla_control[LOTE],Tabla_imprenta[[#This Row],[LOTE]])</f>
        <v>1</v>
      </c>
      <c r="U260" s="1">
        <f>INDEX(Tabla_stock[En stock],MATCH(Tabla_imprenta[[#This Row],[CODIGO IFA]],Tabla_stock[Número de artículo],0))</f>
        <v>12352</v>
      </c>
    </row>
    <row r="261" spans="1:21" x14ac:dyDescent="0.25">
      <c r="A261" s="2">
        <v>46143</v>
      </c>
      <c r="B261" s="1"/>
      <c r="C261" s="154" t="s">
        <v>5632</v>
      </c>
      <c r="D261" s="154" t="s">
        <v>12</v>
      </c>
      <c r="E261" s="154" t="s">
        <v>8</v>
      </c>
      <c r="F261" s="154" t="s">
        <v>5633</v>
      </c>
      <c r="G261" s="2">
        <v>47604</v>
      </c>
      <c r="H261" s="112">
        <v>250000</v>
      </c>
      <c r="I261" s="112" t="s">
        <v>4599</v>
      </c>
      <c r="J261" s="112" t="s">
        <v>877</v>
      </c>
      <c r="K261" s="112" t="s">
        <v>241</v>
      </c>
      <c r="L261" s="112">
        <v>1</v>
      </c>
      <c r="M261" s="112">
        <v>79</v>
      </c>
      <c r="N261" s="112" t="s">
        <v>2994</v>
      </c>
      <c r="O261" s="1">
        <v>500</v>
      </c>
      <c r="P261" s="3">
        <v>4.4794825890795735</v>
      </c>
      <c r="Q261" s="5">
        <v>46178</v>
      </c>
      <c r="R261" s="112" t="s">
        <v>25</v>
      </c>
      <c r="S261" s="5">
        <v>0</v>
      </c>
      <c r="T261" s="1">
        <f>COUNTIF(Tabla_control[LOTE],Tabla_imprenta[[#This Row],[LOTE]])</f>
        <v>1</v>
      </c>
      <c r="U261" s="1">
        <f>INDEX(Tabla_stock[En stock],MATCH(Tabla_imprenta[[#This Row],[CODIGO IFA]],Tabla_stock[Número de artículo],0))</f>
        <v>586</v>
      </c>
    </row>
    <row r="262" spans="1:21" x14ac:dyDescent="0.25">
      <c r="A262" s="2">
        <v>46143</v>
      </c>
      <c r="B262" s="1"/>
      <c r="C262" s="154" t="s">
        <v>5634</v>
      </c>
      <c r="D262" s="154" t="s">
        <v>12</v>
      </c>
      <c r="E262" s="154" t="s">
        <v>8</v>
      </c>
      <c r="F262" s="154" t="s">
        <v>5635</v>
      </c>
      <c r="G262" s="2">
        <v>47604</v>
      </c>
      <c r="H262" s="112">
        <v>50000</v>
      </c>
      <c r="I262" s="112" t="s">
        <v>5013</v>
      </c>
      <c r="J262" s="112" t="s">
        <v>1709</v>
      </c>
      <c r="K262" s="112" t="s">
        <v>176</v>
      </c>
      <c r="L262" s="112">
        <v>4</v>
      </c>
      <c r="M262" s="112">
        <v>92</v>
      </c>
      <c r="N262" s="112" t="s">
        <v>5636</v>
      </c>
      <c r="O262" s="1">
        <v>500</v>
      </c>
      <c r="P262" s="3">
        <v>4.9088738559490643</v>
      </c>
      <c r="Q262" s="5">
        <v>46160</v>
      </c>
      <c r="R262" s="112" t="s">
        <v>25</v>
      </c>
      <c r="S262" s="5">
        <v>0</v>
      </c>
      <c r="T262" s="1">
        <f>COUNTIF(Tabla_control[LOTE],Tabla_imprenta[[#This Row],[LOTE]])</f>
        <v>1</v>
      </c>
      <c r="U262" s="1">
        <f>INDEX(Tabla_stock[En stock],MATCH(Tabla_imprenta[[#This Row],[CODIGO IFA]],Tabla_stock[Número de artículo],0))</f>
        <v>858</v>
      </c>
    </row>
    <row r="263" spans="1:21" x14ac:dyDescent="0.25">
      <c r="A263" s="2">
        <v>46143</v>
      </c>
      <c r="B263" s="1"/>
      <c r="C263" s="154" t="s">
        <v>5637</v>
      </c>
      <c r="D263" s="154" t="s">
        <v>15</v>
      </c>
      <c r="E263" s="154" t="s">
        <v>8</v>
      </c>
      <c r="F263" s="154" t="s">
        <v>5638</v>
      </c>
      <c r="G263" s="2">
        <v>46874</v>
      </c>
      <c r="H263" s="112">
        <v>9804</v>
      </c>
      <c r="I263" s="112" t="s">
        <v>3945</v>
      </c>
      <c r="J263" s="112" t="s">
        <v>1256</v>
      </c>
      <c r="K263" s="112" t="s">
        <v>241</v>
      </c>
      <c r="L263" s="112">
        <v>2</v>
      </c>
      <c r="M263" s="112">
        <v>8</v>
      </c>
      <c r="N263" s="112" t="s">
        <v>5639</v>
      </c>
      <c r="O263" s="1">
        <v>9804</v>
      </c>
      <c r="P263" s="3">
        <v>3.4118853151580018</v>
      </c>
      <c r="Q263" s="5" t="s">
        <v>28</v>
      </c>
      <c r="R263" s="112">
        <v>46166</v>
      </c>
      <c r="S263" s="5">
        <v>0</v>
      </c>
      <c r="T263" s="1">
        <f>COUNTIF(Tabla_control[LOTE],Tabla_imprenta[[#This Row],[LOTE]])</f>
        <v>1</v>
      </c>
      <c r="U263" s="1">
        <f>INDEX(Tabla_stock[En stock],MATCH(Tabla_imprenta[[#This Row],[CODIGO IFA]],Tabla_stock[Número de artículo],0))</f>
        <v>1025</v>
      </c>
    </row>
    <row r="264" spans="1:21" x14ac:dyDescent="0.25">
      <c r="A264" s="2">
        <v>46143</v>
      </c>
      <c r="B264" s="1"/>
      <c r="C264" s="154" t="s">
        <v>5640</v>
      </c>
      <c r="D264" s="154" t="s">
        <v>12</v>
      </c>
      <c r="E264" s="154" t="s">
        <v>8</v>
      </c>
      <c r="F264" s="154" t="s">
        <v>5641</v>
      </c>
      <c r="G264" s="2">
        <v>47604</v>
      </c>
      <c r="H264" s="112">
        <v>500000</v>
      </c>
      <c r="I264" s="112" t="s">
        <v>5005</v>
      </c>
      <c r="J264" s="112" t="s">
        <v>1001</v>
      </c>
      <c r="K264" s="112" t="s">
        <v>241</v>
      </c>
      <c r="L264" s="112">
        <v>4</v>
      </c>
      <c r="M264" s="112">
        <v>92</v>
      </c>
      <c r="N264" s="112" t="s">
        <v>5642</v>
      </c>
      <c r="O264" s="1">
        <v>5000</v>
      </c>
      <c r="P264" s="3">
        <v>4.5808073588887677</v>
      </c>
      <c r="Q264" s="5">
        <v>46177</v>
      </c>
      <c r="R264" s="112" t="s">
        <v>25</v>
      </c>
      <c r="S264" s="5">
        <v>0</v>
      </c>
      <c r="T264" s="1">
        <f>COUNTIF(Tabla_control[LOTE],Tabla_imprenta[[#This Row],[LOTE]])</f>
        <v>1</v>
      </c>
      <c r="U264" s="1">
        <f>INDEX(Tabla_stock[En stock],MATCH(Tabla_imprenta[[#This Row],[CODIGO IFA]],Tabla_stock[Número de artículo],0))</f>
        <v>4951</v>
      </c>
    </row>
    <row r="265" spans="1:21" x14ac:dyDescent="0.25">
      <c r="A265" s="2">
        <v>46143</v>
      </c>
      <c r="B265" s="1"/>
      <c r="C265" s="154" t="s">
        <v>5551</v>
      </c>
      <c r="D265" s="154" t="s">
        <v>15</v>
      </c>
      <c r="E265" s="154" t="s">
        <v>8</v>
      </c>
      <c r="F265" s="154" t="s">
        <v>5643</v>
      </c>
      <c r="G265" s="2">
        <v>46874</v>
      </c>
      <c r="H265" s="112">
        <v>9804</v>
      </c>
      <c r="I265" s="112" t="s">
        <v>3939</v>
      </c>
      <c r="J265" s="112" t="s">
        <v>1132</v>
      </c>
      <c r="K265" s="112" t="s">
        <v>241</v>
      </c>
      <c r="L265" s="112">
        <v>2</v>
      </c>
      <c r="M265" s="112">
        <v>8</v>
      </c>
      <c r="N265" s="112" t="s">
        <v>5553</v>
      </c>
      <c r="O265" s="1">
        <v>9804</v>
      </c>
      <c r="P265" s="3">
        <v>3.3015231907941738</v>
      </c>
      <c r="Q265" s="5" t="s">
        <v>28</v>
      </c>
      <c r="R265" s="112">
        <v>46170</v>
      </c>
      <c r="S265" s="5">
        <v>0</v>
      </c>
      <c r="T265" s="1">
        <f>COUNTIF(Tabla_control[LOTE],Tabla_imprenta[[#This Row],[LOTE]])</f>
        <v>1</v>
      </c>
      <c r="U265" s="1">
        <f>INDEX(Tabla_stock[En stock],MATCH(Tabla_imprenta[[#This Row],[CODIGO IFA]],Tabla_stock[Número de artículo],0))</f>
        <v>11608</v>
      </c>
    </row>
    <row r="266" spans="1:21" x14ac:dyDescent="0.25">
      <c r="A266" s="2">
        <v>46143</v>
      </c>
      <c r="B266" s="1"/>
      <c r="C266" s="154" t="s">
        <v>5644</v>
      </c>
      <c r="D266" s="154" t="s">
        <v>11</v>
      </c>
      <c r="E266" s="154" t="s">
        <v>8</v>
      </c>
      <c r="F266" s="154" t="s">
        <v>5645</v>
      </c>
      <c r="G266" s="2">
        <v>47604</v>
      </c>
      <c r="H266" s="112">
        <v>200000</v>
      </c>
      <c r="I266" s="112" t="s">
        <v>4533</v>
      </c>
      <c r="J266" s="112" t="s">
        <v>1134</v>
      </c>
      <c r="K266" s="112" t="s">
        <v>241</v>
      </c>
      <c r="L266" s="112">
        <v>2</v>
      </c>
      <c r="M266" s="112">
        <v>30</v>
      </c>
      <c r="N266" s="112" t="s">
        <v>5646</v>
      </c>
      <c r="O266" s="1">
        <v>2000</v>
      </c>
      <c r="P266" s="3">
        <v>4.2674017918676768</v>
      </c>
      <c r="Q266" s="5">
        <v>46162</v>
      </c>
      <c r="R266" s="112" t="s">
        <v>25</v>
      </c>
      <c r="S266" s="5">
        <v>0</v>
      </c>
      <c r="T266" s="1">
        <f>COUNTIF(Tabla_control[LOTE],Tabla_imprenta[[#This Row],[LOTE]])</f>
        <v>1</v>
      </c>
      <c r="U266" s="1">
        <f>INDEX(Tabla_stock[En stock],MATCH(Tabla_imprenta[[#This Row],[CODIGO IFA]],Tabla_stock[Número de artículo],0))</f>
        <v>445</v>
      </c>
    </row>
    <row r="267" spans="1:21" x14ac:dyDescent="0.25">
      <c r="A267" s="2">
        <v>46143</v>
      </c>
      <c r="B267" s="1"/>
      <c r="C267" s="154" t="s">
        <v>5647</v>
      </c>
      <c r="D267" s="154" t="s">
        <v>12</v>
      </c>
      <c r="E267" s="154" t="s">
        <v>8</v>
      </c>
      <c r="F267" s="154" t="s">
        <v>5648</v>
      </c>
      <c r="G267" s="2">
        <v>47239</v>
      </c>
      <c r="H267" s="112">
        <v>982000</v>
      </c>
      <c r="I267" s="112" t="s">
        <v>4160</v>
      </c>
      <c r="J267" s="112" t="s">
        <v>1172</v>
      </c>
      <c r="K267" s="112" t="s">
        <v>241</v>
      </c>
      <c r="L267" s="112">
        <v>4</v>
      </c>
      <c r="M267" s="112">
        <v>92</v>
      </c>
      <c r="N267" s="112" t="s">
        <v>5649</v>
      </c>
      <c r="O267" s="1">
        <v>9820</v>
      </c>
      <c r="P267" s="3">
        <v>3.5178744333952094</v>
      </c>
      <c r="Q267" s="5">
        <v>46162</v>
      </c>
      <c r="R267" s="112" t="s">
        <v>25</v>
      </c>
      <c r="S267" s="5">
        <v>0</v>
      </c>
      <c r="T267" s="1">
        <f>COUNTIF(Tabla_control[LOTE],Tabla_imprenta[[#This Row],[LOTE]])</f>
        <v>1</v>
      </c>
      <c r="U267" s="1">
        <f>INDEX(Tabla_stock[En stock],MATCH(Tabla_imprenta[[#This Row],[CODIGO IFA]],Tabla_stock[Número de artículo],0))</f>
        <v>967</v>
      </c>
    </row>
    <row r="268" spans="1:21" x14ac:dyDescent="0.25">
      <c r="A268" s="2">
        <v>46143</v>
      </c>
      <c r="B268" s="1"/>
      <c r="C268" s="154" t="s">
        <v>5650</v>
      </c>
      <c r="D268" s="154" t="s">
        <v>141</v>
      </c>
      <c r="E268" s="154" t="s">
        <v>8</v>
      </c>
      <c r="F268" s="154" t="s">
        <v>5651</v>
      </c>
      <c r="G268" s="2">
        <v>46874</v>
      </c>
      <c r="H268" s="112">
        <v>500000</v>
      </c>
      <c r="I268" s="112" t="s">
        <v>4152</v>
      </c>
      <c r="J268" s="112" t="s">
        <v>1021</v>
      </c>
      <c r="K268" s="112" t="s">
        <v>241</v>
      </c>
      <c r="L268" s="112">
        <v>4</v>
      </c>
      <c r="M268" s="112">
        <v>92</v>
      </c>
      <c r="N268" s="112" t="s">
        <v>5652</v>
      </c>
      <c r="O268" s="1">
        <v>5000</v>
      </c>
      <c r="P268" s="3">
        <v>3.961114644643255</v>
      </c>
      <c r="Q268" s="5">
        <v>46174</v>
      </c>
      <c r="R268" s="112" t="s">
        <v>25</v>
      </c>
      <c r="S268" s="5">
        <v>0</v>
      </c>
      <c r="T268" s="1">
        <f>COUNTIF(Tabla_control[LOTE],Tabla_imprenta[[#This Row],[LOTE]])</f>
        <v>1</v>
      </c>
      <c r="U268" s="1">
        <f>INDEX(Tabla_stock[En stock],MATCH(Tabla_imprenta[[#This Row],[CODIGO IFA]],Tabla_stock[Número de artículo],0))</f>
        <v>1356</v>
      </c>
    </row>
    <row r="269" spans="1:21" x14ac:dyDescent="0.25">
      <c r="A269" s="2">
        <v>46143</v>
      </c>
      <c r="B269" s="1"/>
      <c r="C269" s="154" t="s">
        <v>5653</v>
      </c>
      <c r="D269" s="154" t="s">
        <v>181</v>
      </c>
      <c r="E269" s="154" t="s">
        <v>8</v>
      </c>
      <c r="F269" s="154" t="s">
        <v>5654</v>
      </c>
      <c r="G269" s="2">
        <v>46874</v>
      </c>
      <c r="H269" s="112">
        <v>8000</v>
      </c>
      <c r="I269" s="112" t="s">
        <v>5252</v>
      </c>
      <c r="J269" s="112" t="s">
        <v>1974</v>
      </c>
      <c r="K269" s="112" t="s">
        <v>269</v>
      </c>
      <c r="L269" s="112">
        <v>2</v>
      </c>
      <c r="M269" s="112">
        <v>75</v>
      </c>
      <c r="N269" s="112" t="s">
        <v>5655</v>
      </c>
      <c r="O269" s="1">
        <v>8000</v>
      </c>
      <c r="P269" s="3">
        <v>12.412899743624342</v>
      </c>
      <c r="Q269" s="5" t="s">
        <v>28</v>
      </c>
      <c r="R269" s="112" t="s">
        <v>25</v>
      </c>
      <c r="S269" s="5">
        <v>0</v>
      </c>
      <c r="T269" s="1">
        <f>COUNTIF(Tabla_control[LOTE],Tabla_imprenta[[#This Row],[LOTE]])</f>
        <v>1</v>
      </c>
      <c r="U269" s="1">
        <f>INDEX(Tabla_stock[En stock],MATCH(Tabla_imprenta[[#This Row],[CODIGO IFA]],Tabla_stock[Número de artículo],0))</f>
        <v>7346</v>
      </c>
    </row>
    <row r="270" spans="1:21" x14ac:dyDescent="0.25">
      <c r="A270" s="2">
        <v>46143</v>
      </c>
      <c r="B270" s="1"/>
      <c r="C270" s="154" t="s">
        <v>5656</v>
      </c>
      <c r="D270" s="154" t="s">
        <v>5657</v>
      </c>
      <c r="E270" s="154" t="s">
        <v>8</v>
      </c>
      <c r="F270" s="154" t="s">
        <v>5658</v>
      </c>
      <c r="G270" s="2">
        <v>47604</v>
      </c>
      <c r="H270" s="112">
        <v>1500</v>
      </c>
      <c r="I270" s="112" t="s">
        <v>5659</v>
      </c>
      <c r="J270" s="112" t="s">
        <v>1680</v>
      </c>
      <c r="K270" s="112" t="s">
        <v>2030</v>
      </c>
      <c r="L270" s="112">
        <v>2</v>
      </c>
      <c r="M270" s="112">
        <v>120</v>
      </c>
      <c r="N270" s="112" t="s">
        <v>5660</v>
      </c>
      <c r="O270" s="1">
        <v>1500</v>
      </c>
      <c r="P270" s="3">
        <v>0</v>
      </c>
      <c r="Q270" s="5" t="s">
        <v>28</v>
      </c>
      <c r="R270" s="112" t="s">
        <v>25</v>
      </c>
      <c r="S270" s="5">
        <v>0</v>
      </c>
      <c r="T270" s="1">
        <f>COUNTIF(Tabla_control[LOTE],Tabla_imprenta[[#This Row],[LOTE]])</f>
        <v>1</v>
      </c>
      <c r="U270" s="1">
        <f>INDEX(Tabla_stock[En stock],MATCH(Tabla_imprenta[[#This Row],[CODIGO IFA]],Tabla_stock[Número de artículo],0))</f>
        <v>379</v>
      </c>
    </row>
    <row r="271" spans="1:21" x14ac:dyDescent="0.25">
      <c r="A271" s="2">
        <v>46143</v>
      </c>
      <c r="B271" s="1"/>
      <c r="C271" s="154" t="s">
        <v>5661</v>
      </c>
      <c r="D271" s="154" t="s">
        <v>181</v>
      </c>
      <c r="E271" s="154" t="s">
        <v>8</v>
      </c>
      <c r="F271" s="154" t="s">
        <v>5662</v>
      </c>
      <c r="G271" s="2">
        <v>46874</v>
      </c>
      <c r="H271" s="112">
        <v>29508</v>
      </c>
      <c r="I271" s="112" t="s">
        <v>3298</v>
      </c>
      <c r="J271" s="112" t="s">
        <v>1290</v>
      </c>
      <c r="K271" s="112" t="s">
        <v>241</v>
      </c>
      <c r="L271" s="112">
        <v>4</v>
      </c>
      <c r="M271" s="112">
        <v>3</v>
      </c>
      <c r="N271" s="112" t="s">
        <v>2152</v>
      </c>
      <c r="O271" s="1">
        <v>29508</v>
      </c>
      <c r="P271" s="3">
        <v>2.5181245664386078</v>
      </c>
      <c r="Q271" s="5" t="s">
        <v>28</v>
      </c>
      <c r="R271" s="112">
        <v>46157</v>
      </c>
      <c r="S271" s="5">
        <v>0</v>
      </c>
      <c r="T271" s="1">
        <f>COUNTIF(Tabla_control[LOTE],Tabla_imprenta[[#This Row],[LOTE]])</f>
        <v>1</v>
      </c>
      <c r="U271" s="1">
        <f>INDEX(Tabla_stock[En stock],MATCH(Tabla_imprenta[[#This Row],[CODIGO IFA]],Tabla_stock[Número de artículo],0))</f>
        <v>863</v>
      </c>
    </row>
    <row r="272" spans="1:21" x14ac:dyDescent="0.25">
      <c r="A272" s="2">
        <v>46143</v>
      </c>
      <c r="B272" s="1"/>
      <c r="C272" s="154" t="s">
        <v>5663</v>
      </c>
      <c r="D272" s="154" t="s">
        <v>12</v>
      </c>
      <c r="E272" s="154" t="s">
        <v>8</v>
      </c>
      <c r="F272" s="154" t="s">
        <v>5664</v>
      </c>
      <c r="G272" s="2">
        <v>46874</v>
      </c>
      <c r="H272" s="112">
        <v>750000</v>
      </c>
      <c r="I272" s="112" t="s">
        <v>4970</v>
      </c>
      <c r="J272" s="112" t="s">
        <v>1444</v>
      </c>
      <c r="K272" s="112" t="s">
        <v>241</v>
      </c>
      <c r="L272" s="112">
        <v>1</v>
      </c>
      <c r="M272" s="112">
        <v>101</v>
      </c>
      <c r="N272" s="112" t="s">
        <v>5665</v>
      </c>
      <c r="O272" s="1">
        <v>750000</v>
      </c>
      <c r="P272" s="3">
        <v>3.1913648173391755</v>
      </c>
      <c r="Q272" s="5">
        <v>46174</v>
      </c>
      <c r="R272" s="112" t="s">
        <v>25</v>
      </c>
      <c r="S272" s="5">
        <v>0</v>
      </c>
      <c r="T272" s="1">
        <f>COUNTIF(Tabla_control[LOTE],Tabla_imprenta[[#This Row],[LOTE]])</f>
        <v>1</v>
      </c>
      <c r="U272" s="1">
        <f>INDEX(Tabla_stock[En stock],MATCH(Tabla_imprenta[[#This Row],[CODIGO IFA]],Tabla_stock[Número de artículo],0))</f>
        <v>4809</v>
      </c>
    </row>
    <row r="273" spans="1:21" x14ac:dyDescent="0.25">
      <c r="A273" s="2">
        <v>46143</v>
      </c>
      <c r="B273" s="1"/>
      <c r="C273" s="154" t="s">
        <v>5666</v>
      </c>
      <c r="D273" s="154" t="s">
        <v>2148</v>
      </c>
      <c r="E273" s="154" t="s">
        <v>8</v>
      </c>
      <c r="F273" s="154" t="s">
        <v>5667</v>
      </c>
      <c r="G273" s="2">
        <v>46874</v>
      </c>
      <c r="H273" s="112">
        <v>20000</v>
      </c>
      <c r="I273" s="112" t="s">
        <v>5300</v>
      </c>
      <c r="J273" s="112" t="s">
        <v>1939</v>
      </c>
      <c r="K273" s="112" t="s">
        <v>2030</v>
      </c>
      <c r="L273" s="112">
        <v>1</v>
      </c>
      <c r="M273" s="112">
        <v>128</v>
      </c>
      <c r="N273" s="112" t="s">
        <v>5668</v>
      </c>
      <c r="O273" s="1">
        <v>1000</v>
      </c>
      <c r="P273" s="3">
        <v>5.1149542217700912</v>
      </c>
      <c r="Q273" s="5" t="s">
        <v>28</v>
      </c>
      <c r="R273" s="112" t="s">
        <v>25</v>
      </c>
      <c r="S273" s="5">
        <v>0</v>
      </c>
      <c r="T273" s="1">
        <f>COUNTIF(Tabla_control[LOTE],Tabla_imprenta[[#This Row],[LOTE]])</f>
        <v>1</v>
      </c>
      <c r="U273" s="1">
        <f>INDEX(Tabla_stock[En stock],MATCH(Tabla_imprenta[[#This Row],[CODIGO IFA]],Tabla_stock[Número de artículo],0))</f>
        <v>1426</v>
      </c>
    </row>
    <row r="274" spans="1:21" x14ac:dyDescent="0.25">
      <c r="A274" s="2">
        <v>46143</v>
      </c>
      <c r="B274" s="1"/>
      <c r="C274" s="154" t="s">
        <v>5669</v>
      </c>
      <c r="D274" s="154" t="s">
        <v>13</v>
      </c>
      <c r="E274" s="154" t="s">
        <v>8</v>
      </c>
      <c r="F274" s="154" t="s">
        <v>5670</v>
      </c>
      <c r="G274" s="2">
        <v>47239</v>
      </c>
      <c r="H274" s="112">
        <v>14285</v>
      </c>
      <c r="I274" s="112" t="s">
        <v>4946</v>
      </c>
      <c r="J274" s="112" t="s">
        <v>1246</v>
      </c>
      <c r="K274" s="112" t="s">
        <v>241</v>
      </c>
      <c r="L274" s="112">
        <v>6</v>
      </c>
      <c r="M274" s="112">
        <v>25</v>
      </c>
      <c r="N274" s="112" t="s">
        <v>5671</v>
      </c>
      <c r="O274" s="1">
        <v>14285</v>
      </c>
      <c r="P274" s="3">
        <v>4.587473692623278</v>
      </c>
      <c r="Q274" s="5" t="s">
        <v>28</v>
      </c>
      <c r="R274" s="112">
        <v>46182</v>
      </c>
      <c r="S274" s="5">
        <v>0</v>
      </c>
      <c r="T274" s="1">
        <f>COUNTIF(Tabla_control[LOTE],Tabla_imprenta[[#This Row],[LOTE]])</f>
        <v>1</v>
      </c>
      <c r="U274" s="1">
        <f>INDEX(Tabla_stock[En stock],MATCH(Tabla_imprenta[[#This Row],[CODIGO IFA]],Tabla_stock[Número de artículo],0))</f>
        <v>950</v>
      </c>
    </row>
    <row r="275" spans="1:21" x14ac:dyDescent="0.25">
      <c r="A275" s="2">
        <v>46143</v>
      </c>
      <c r="B275" s="1"/>
      <c r="C275" s="154" t="s">
        <v>5672</v>
      </c>
      <c r="D275" s="154" t="s">
        <v>181</v>
      </c>
      <c r="E275" s="154" t="s">
        <v>8</v>
      </c>
      <c r="F275" s="154" t="s">
        <v>5673</v>
      </c>
      <c r="G275" s="2">
        <v>46874</v>
      </c>
      <c r="H275" s="112">
        <v>19802</v>
      </c>
      <c r="I275" s="112" t="s">
        <v>3321</v>
      </c>
      <c r="J275" s="112" t="s">
        <v>772</v>
      </c>
      <c r="K275" s="112" t="s">
        <v>241</v>
      </c>
      <c r="L275" s="112">
        <v>2</v>
      </c>
      <c r="M275" s="112">
        <v>8</v>
      </c>
      <c r="N275" s="112" t="s">
        <v>5674</v>
      </c>
      <c r="O275" s="1">
        <v>19802</v>
      </c>
      <c r="P275" s="3">
        <v>3.5893156093051148</v>
      </c>
      <c r="Q275" s="5" t="s">
        <v>28</v>
      </c>
      <c r="R275" s="112">
        <v>46170</v>
      </c>
      <c r="S275" s="5">
        <v>0</v>
      </c>
      <c r="T275" s="1">
        <f>COUNTIF(Tabla_control[LOTE],Tabla_imprenta[[#This Row],[LOTE]])</f>
        <v>1</v>
      </c>
      <c r="U275" s="1">
        <f>INDEX(Tabla_stock[En stock],MATCH(Tabla_imprenta[[#This Row],[CODIGO IFA]],Tabla_stock[Número de artículo],0))</f>
        <v>1778</v>
      </c>
    </row>
    <row r="276" spans="1:21" x14ac:dyDescent="0.25">
      <c r="A276" s="2">
        <v>46143</v>
      </c>
      <c r="B276" s="1"/>
      <c r="C276" s="154" t="s">
        <v>5675</v>
      </c>
      <c r="D276" s="154" t="s">
        <v>181</v>
      </c>
      <c r="E276" s="154" t="s">
        <v>8</v>
      </c>
      <c r="F276" s="154" t="s">
        <v>5676</v>
      </c>
      <c r="G276" s="2">
        <v>46874</v>
      </c>
      <c r="H276" s="112">
        <v>19802</v>
      </c>
      <c r="I276" s="112" t="s">
        <v>3911</v>
      </c>
      <c r="J276" s="112" t="s">
        <v>3910</v>
      </c>
      <c r="K276" s="112" t="s">
        <v>241</v>
      </c>
      <c r="L276" s="112">
        <v>2</v>
      </c>
      <c r="M276" s="112">
        <v>8</v>
      </c>
      <c r="N276" s="112" t="s">
        <v>5677</v>
      </c>
      <c r="O276" s="1">
        <v>19802</v>
      </c>
      <c r="P276" s="3">
        <v>2.1978169779111272</v>
      </c>
      <c r="Q276" s="5" t="s">
        <v>28</v>
      </c>
      <c r="R276" s="112">
        <v>46171</v>
      </c>
      <c r="S276" s="5">
        <v>0</v>
      </c>
      <c r="T276" s="1">
        <f>COUNTIF(Tabla_control[LOTE],Tabla_imprenta[[#This Row],[LOTE]])</f>
        <v>1</v>
      </c>
      <c r="U276" s="1">
        <f>INDEX(Tabla_stock[En stock],MATCH(Tabla_imprenta[[#This Row],[CODIGO IFA]],Tabla_stock[Número de artículo],0))</f>
        <v>9410</v>
      </c>
    </row>
    <row r="277" spans="1:21" x14ac:dyDescent="0.25">
      <c r="A277" s="2">
        <v>46143</v>
      </c>
      <c r="B277" s="1"/>
      <c r="C277" s="154" t="s">
        <v>5678</v>
      </c>
      <c r="D277" s="154" t="s">
        <v>181</v>
      </c>
      <c r="E277" s="154" t="s">
        <v>8</v>
      </c>
      <c r="F277" s="154" t="s">
        <v>5679</v>
      </c>
      <c r="G277" s="2">
        <v>46874</v>
      </c>
      <c r="H277" s="112">
        <v>9000</v>
      </c>
      <c r="I277" s="112" t="s">
        <v>5306</v>
      </c>
      <c r="J277" s="112" t="s">
        <v>1992</v>
      </c>
      <c r="K277" s="112" t="s">
        <v>269</v>
      </c>
      <c r="L277" s="112">
        <v>2</v>
      </c>
      <c r="M277" s="112">
        <v>77</v>
      </c>
      <c r="N277" s="112" t="s">
        <v>5680</v>
      </c>
      <c r="O277" s="1">
        <v>9000</v>
      </c>
      <c r="P277" s="3">
        <v>31.263908701854493</v>
      </c>
      <c r="Q277" s="5" t="s">
        <v>28</v>
      </c>
      <c r="R277" s="112" t="s">
        <v>25</v>
      </c>
      <c r="S277" s="5">
        <v>0</v>
      </c>
      <c r="T277" s="1">
        <f>COUNTIF(Tabla_control[LOTE],Tabla_imprenta[[#This Row],[LOTE]])</f>
        <v>1</v>
      </c>
      <c r="U277" s="1">
        <f>INDEX(Tabla_stock[En stock],MATCH(Tabla_imprenta[[#This Row],[CODIGO IFA]],Tabla_stock[Número de artículo],0))</f>
        <v>10997</v>
      </c>
    </row>
    <row r="278" spans="1:21" x14ac:dyDescent="0.25">
      <c r="A278" s="2">
        <v>46143</v>
      </c>
      <c r="B278" s="1"/>
      <c r="C278" s="154" t="s">
        <v>5681</v>
      </c>
      <c r="D278" s="154" t="s">
        <v>181</v>
      </c>
      <c r="E278" s="154" t="s">
        <v>8</v>
      </c>
      <c r="F278" s="154" t="s">
        <v>5682</v>
      </c>
      <c r="G278" s="2">
        <v>46874</v>
      </c>
      <c r="H278" s="112">
        <v>29703</v>
      </c>
      <c r="I278" s="112" t="s">
        <v>3926</v>
      </c>
      <c r="J278" s="112" t="s">
        <v>917</v>
      </c>
      <c r="K278" s="112" t="s">
        <v>241</v>
      </c>
      <c r="L278" s="112">
        <v>2</v>
      </c>
      <c r="M278" s="112">
        <v>8</v>
      </c>
      <c r="N278" s="112" t="s">
        <v>5683</v>
      </c>
      <c r="O278" s="1">
        <v>29703</v>
      </c>
      <c r="P278" s="3">
        <v>2.0546948489828294</v>
      </c>
      <c r="Q278" s="5" t="s">
        <v>28</v>
      </c>
      <c r="R278" s="112">
        <v>46175</v>
      </c>
      <c r="S278" s="5">
        <v>0</v>
      </c>
      <c r="T278" s="1">
        <f>COUNTIF(Tabla_control[LOTE],Tabla_imprenta[[#This Row],[LOTE]])</f>
        <v>1</v>
      </c>
      <c r="U278" s="1">
        <f>INDEX(Tabla_stock[En stock],MATCH(Tabla_imprenta[[#This Row],[CODIGO IFA]],Tabla_stock[Número de artículo],0))</f>
        <v>2561</v>
      </c>
    </row>
    <row r="279" spans="1:21" x14ac:dyDescent="0.25">
      <c r="A279" s="2">
        <v>46143</v>
      </c>
      <c r="B279" s="1"/>
      <c r="C279" s="154" t="s">
        <v>5632</v>
      </c>
      <c r="D279" s="154" t="s">
        <v>12</v>
      </c>
      <c r="E279" s="154" t="s">
        <v>8</v>
      </c>
      <c r="F279" s="154" t="s">
        <v>5684</v>
      </c>
      <c r="G279" s="2">
        <v>47604</v>
      </c>
      <c r="H279" s="112">
        <v>250000</v>
      </c>
      <c r="I279" s="112" t="s">
        <v>4599</v>
      </c>
      <c r="J279" s="112" t="s">
        <v>877</v>
      </c>
      <c r="K279" s="112" t="s">
        <v>241</v>
      </c>
      <c r="L279" s="112">
        <v>1</v>
      </c>
      <c r="M279" s="112">
        <v>79</v>
      </c>
      <c r="N279" s="112" t="s">
        <v>2994</v>
      </c>
      <c r="O279" s="1">
        <v>500</v>
      </c>
      <c r="P279" s="3">
        <v>4.4794825890795735</v>
      </c>
      <c r="Q279" s="5">
        <v>46181</v>
      </c>
      <c r="R279" s="112" t="s">
        <v>25</v>
      </c>
      <c r="S279" s="5">
        <v>0</v>
      </c>
      <c r="T279" s="1">
        <f>COUNTIF(Tabla_control[LOTE],Tabla_imprenta[[#This Row],[LOTE]])</f>
        <v>1</v>
      </c>
      <c r="U279" s="1">
        <f>INDEX(Tabla_stock[En stock],MATCH(Tabla_imprenta[[#This Row],[CODIGO IFA]],Tabla_stock[Número de artículo],0))</f>
        <v>586</v>
      </c>
    </row>
    <row r="280" spans="1:21" x14ac:dyDescent="0.25">
      <c r="A280" s="2">
        <v>46143</v>
      </c>
      <c r="B280" s="1"/>
      <c r="C280" s="154" t="s">
        <v>5685</v>
      </c>
      <c r="D280" s="154" t="s">
        <v>201</v>
      </c>
      <c r="E280" s="154" t="s">
        <v>8</v>
      </c>
      <c r="F280" s="154" t="s">
        <v>5686</v>
      </c>
      <c r="G280" s="2">
        <v>46874</v>
      </c>
      <c r="H280" s="112">
        <v>2000</v>
      </c>
      <c r="I280" s="112" t="s">
        <v>4191</v>
      </c>
      <c r="J280" s="112" t="s">
        <v>847</v>
      </c>
      <c r="K280" s="112" t="s">
        <v>241</v>
      </c>
      <c r="L280" s="112">
        <v>4</v>
      </c>
      <c r="M280" s="112">
        <v>3</v>
      </c>
      <c r="N280" s="112" t="s">
        <v>5687</v>
      </c>
      <c r="O280" s="1">
        <v>2000</v>
      </c>
      <c r="P280" s="3">
        <v>2.475978557702033</v>
      </c>
      <c r="Q280" s="5" t="s">
        <v>28</v>
      </c>
      <c r="R280" s="112">
        <v>46155</v>
      </c>
      <c r="S280" s="5">
        <v>0</v>
      </c>
      <c r="T280" s="1">
        <f>COUNTIF(Tabla_control[LOTE],Tabla_imprenta[[#This Row],[LOTE]])</f>
        <v>1</v>
      </c>
      <c r="U280" s="1">
        <f>INDEX(Tabla_stock[En stock],MATCH(Tabla_imprenta[[#This Row],[CODIGO IFA]],Tabla_stock[Número de artículo],0))</f>
        <v>3095</v>
      </c>
    </row>
    <row r="281" spans="1:21" x14ac:dyDescent="0.25">
      <c r="A281" s="2">
        <v>46143</v>
      </c>
      <c r="B281" s="1"/>
      <c r="C281" s="154" t="s">
        <v>5688</v>
      </c>
      <c r="D281" s="154" t="s">
        <v>212</v>
      </c>
      <c r="E281" s="154" t="s">
        <v>8</v>
      </c>
      <c r="F281" s="154" t="s">
        <v>5689</v>
      </c>
      <c r="G281" s="2">
        <v>46874</v>
      </c>
      <c r="H281" s="112">
        <v>10000</v>
      </c>
      <c r="I281" s="112" t="s">
        <v>5690</v>
      </c>
      <c r="J281" s="112" t="s">
        <v>1326</v>
      </c>
      <c r="K281" s="112" t="s">
        <v>241</v>
      </c>
      <c r="L281" s="112">
        <v>1</v>
      </c>
      <c r="M281" s="112">
        <v>9</v>
      </c>
      <c r="N281" s="112" t="s">
        <v>5691</v>
      </c>
      <c r="O281" s="1">
        <v>400</v>
      </c>
      <c r="P281" s="3">
        <v>0.78364311414356469</v>
      </c>
      <c r="Q281" s="5">
        <v>46167</v>
      </c>
      <c r="R281" s="112" t="s">
        <v>25</v>
      </c>
      <c r="S281" s="5">
        <v>46167</v>
      </c>
      <c r="T281" s="1">
        <f>COUNTIF(Tabla_control[LOTE],Tabla_imprenta[[#This Row],[LOTE]])</f>
        <v>1</v>
      </c>
      <c r="U281" s="1">
        <f>INDEX(Tabla_stock[En stock],MATCH(Tabla_imprenta[[#This Row],[CODIGO IFA]],Tabla_stock[Número de artículo],0))</f>
        <v>142</v>
      </c>
    </row>
    <row r="282" spans="1:21" x14ac:dyDescent="0.25">
      <c r="A282" s="2">
        <v>46143</v>
      </c>
      <c r="B282" s="1"/>
      <c r="C282" s="154" t="s">
        <v>5663</v>
      </c>
      <c r="D282" s="154" t="s">
        <v>12</v>
      </c>
      <c r="E282" s="154" t="s">
        <v>8</v>
      </c>
      <c r="F282" s="154" t="s">
        <v>5692</v>
      </c>
      <c r="G282" s="2">
        <v>46874</v>
      </c>
      <c r="H282" s="112">
        <v>500000</v>
      </c>
      <c r="I282" s="112" t="s">
        <v>4970</v>
      </c>
      <c r="J282" s="112" t="s">
        <v>1444</v>
      </c>
      <c r="K282" s="112" t="s">
        <v>241</v>
      </c>
      <c r="L282" s="112">
        <v>1</v>
      </c>
      <c r="M282" s="112">
        <v>101</v>
      </c>
      <c r="N282" s="112" t="s">
        <v>5665</v>
      </c>
      <c r="O282" s="1">
        <v>500000</v>
      </c>
      <c r="P282" s="3">
        <v>3.1913648173391755</v>
      </c>
      <c r="Q282" s="5">
        <v>46170</v>
      </c>
      <c r="R282" s="112" t="s">
        <v>25</v>
      </c>
      <c r="S282" s="5">
        <v>0</v>
      </c>
      <c r="T282" s="1">
        <f>COUNTIF(Tabla_control[LOTE],Tabla_imprenta[[#This Row],[LOTE]])</f>
        <v>1</v>
      </c>
      <c r="U282" s="1">
        <f>INDEX(Tabla_stock[En stock],MATCH(Tabla_imprenta[[#This Row],[CODIGO IFA]],Tabla_stock[Número de artículo],0))</f>
        <v>4809</v>
      </c>
    </row>
    <row r="283" spans="1:21" x14ac:dyDescent="0.25">
      <c r="A283" s="2">
        <v>46143</v>
      </c>
      <c r="B283" s="1"/>
      <c r="C283" s="154" t="s">
        <v>5637</v>
      </c>
      <c r="D283" s="154" t="s">
        <v>15</v>
      </c>
      <c r="E283" s="154" t="s">
        <v>8</v>
      </c>
      <c r="F283" s="154" t="s">
        <v>5693</v>
      </c>
      <c r="G283" s="2">
        <v>46874</v>
      </c>
      <c r="H283" s="112">
        <v>9804</v>
      </c>
      <c r="I283" s="112" t="s">
        <v>3945</v>
      </c>
      <c r="J283" s="112" t="s">
        <v>1256</v>
      </c>
      <c r="K283" s="112" t="s">
        <v>241</v>
      </c>
      <c r="L283" s="112">
        <v>2</v>
      </c>
      <c r="M283" s="112">
        <v>8</v>
      </c>
      <c r="N283" s="112" t="s">
        <v>5639</v>
      </c>
      <c r="O283" s="1">
        <v>9804</v>
      </c>
      <c r="P283" s="3">
        <v>3.4118853151580018</v>
      </c>
      <c r="Q283" s="5" t="s">
        <v>28</v>
      </c>
      <c r="R283" s="112">
        <v>46166</v>
      </c>
      <c r="S283" s="5">
        <v>0</v>
      </c>
      <c r="T283" s="1">
        <f>COUNTIF(Tabla_control[LOTE],Tabla_imprenta[[#This Row],[LOTE]])</f>
        <v>1</v>
      </c>
      <c r="U283" s="1">
        <f>INDEX(Tabla_stock[En stock],MATCH(Tabla_imprenta[[#This Row],[CODIGO IFA]],Tabla_stock[Número de artículo],0))</f>
        <v>1025</v>
      </c>
    </row>
    <row r="284" spans="1:21" x14ac:dyDescent="0.25">
      <c r="A284" s="2">
        <v>46143</v>
      </c>
      <c r="B284" s="1"/>
      <c r="C284" s="154" t="s">
        <v>5663</v>
      </c>
      <c r="D284" s="154" t="s">
        <v>12</v>
      </c>
      <c r="E284" s="154" t="s">
        <v>8</v>
      </c>
      <c r="F284" s="154" t="s">
        <v>5694</v>
      </c>
      <c r="G284" s="2">
        <v>46874</v>
      </c>
      <c r="H284" s="112">
        <v>750000</v>
      </c>
      <c r="I284" s="112" t="s">
        <v>4970</v>
      </c>
      <c r="J284" s="112" t="s">
        <v>1444</v>
      </c>
      <c r="K284" s="112" t="s">
        <v>241</v>
      </c>
      <c r="L284" s="112">
        <v>1</v>
      </c>
      <c r="M284" s="112">
        <v>101</v>
      </c>
      <c r="N284" s="112" t="s">
        <v>5665</v>
      </c>
      <c r="O284" s="1">
        <v>750000</v>
      </c>
      <c r="P284" s="3">
        <v>3.1913648173391755</v>
      </c>
      <c r="Q284" s="5">
        <v>46171</v>
      </c>
      <c r="R284" s="112" t="s">
        <v>25</v>
      </c>
      <c r="S284" s="5">
        <v>0</v>
      </c>
      <c r="T284" s="1">
        <f>COUNTIF(Tabla_control[LOTE],Tabla_imprenta[[#This Row],[LOTE]])</f>
        <v>1</v>
      </c>
      <c r="U284" s="1">
        <f>INDEX(Tabla_stock[En stock],MATCH(Tabla_imprenta[[#This Row],[CODIGO IFA]],Tabla_stock[Número de artículo],0))</f>
        <v>4809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71A2-B4C7-4878-ACD2-3AD947BFC850}">
  <sheetPr codeName="Hoja2"/>
  <dimension ref="A1:AH602"/>
  <sheetViews>
    <sheetView tabSelected="1" topLeftCell="E1" zoomScale="175" zoomScaleNormal="175" zoomScalePageLayoutView="145" workbookViewId="0">
      <selection activeCell="R435" sqref="R435"/>
    </sheetView>
  </sheetViews>
  <sheetFormatPr baseColWidth="10" defaultRowHeight="12.75" x14ac:dyDescent="0.2"/>
  <cols>
    <col min="1" max="1" width="10.42578125" style="183" customWidth="1"/>
    <col min="2" max="2" width="11.28515625" style="1" hidden="1" customWidth="1"/>
    <col min="3" max="3" width="36.28515625" style="183" customWidth="1"/>
    <col min="4" max="4" width="21.85546875" style="1" hidden="1" customWidth="1"/>
    <col min="5" max="5" width="10.85546875" style="183" customWidth="1"/>
    <col min="6" max="6" width="7.5703125" style="183" bestFit="1" customWidth="1"/>
    <col min="7" max="7" width="9.7109375" style="183" customWidth="1"/>
    <col min="8" max="9" width="9.7109375" style="183" hidden="1" customWidth="1"/>
    <col min="10" max="10" width="7" style="183" customWidth="1"/>
    <col min="11" max="11" width="12.28515625" style="183" customWidth="1"/>
    <col min="12" max="12" width="11" style="1" customWidth="1"/>
    <col min="13" max="13" width="13" style="183" hidden="1" customWidth="1"/>
    <col min="14" max="15" width="10.28515625" style="1" hidden="1" customWidth="1"/>
    <col min="16" max="16" width="11.42578125" style="1" hidden="1" customWidth="1"/>
    <col min="17" max="17" width="12.7109375" style="1" hidden="1" customWidth="1"/>
    <col min="18" max="18" width="13" style="183" customWidth="1"/>
    <col min="19" max="19" width="11.140625" style="183" customWidth="1"/>
    <col min="20" max="22" width="11.140625" style="183" hidden="1" customWidth="1"/>
    <col min="23" max="26" width="9.5703125" style="183" customWidth="1"/>
    <col min="27" max="27" width="12.140625" style="183" customWidth="1"/>
    <col min="28" max="28" width="8.85546875" style="183" customWidth="1"/>
    <col min="29" max="16384" width="11.42578125" style="183"/>
  </cols>
  <sheetData>
    <row r="1" spans="1:28" ht="30" customHeight="1" x14ac:dyDescent="0.2">
      <c r="A1" s="174" t="s">
        <v>0</v>
      </c>
      <c r="B1" s="135" t="s">
        <v>1</v>
      </c>
      <c r="C1" s="174" t="s">
        <v>2</v>
      </c>
      <c r="D1" s="135" t="s">
        <v>3</v>
      </c>
      <c r="E1" s="174" t="s">
        <v>4</v>
      </c>
      <c r="F1" s="174" t="s">
        <v>5</v>
      </c>
      <c r="G1" s="174" t="s">
        <v>20</v>
      </c>
      <c r="H1" s="174" t="s">
        <v>5701</v>
      </c>
      <c r="I1" s="174" t="s">
        <v>5703</v>
      </c>
      <c r="J1" s="174" t="s">
        <v>7</v>
      </c>
      <c r="K1" s="174" t="s">
        <v>26</v>
      </c>
      <c r="L1" s="135" t="s">
        <v>27</v>
      </c>
      <c r="M1" s="174" t="s">
        <v>3467</v>
      </c>
      <c r="N1" s="172" t="s">
        <v>3758</v>
      </c>
      <c r="O1" s="172" t="s">
        <v>3788</v>
      </c>
      <c r="P1" s="135" t="s">
        <v>3756</v>
      </c>
      <c r="Q1" s="135" t="s">
        <v>3757</v>
      </c>
      <c r="R1" s="174" t="s">
        <v>24</v>
      </c>
      <c r="S1" s="174" t="s">
        <v>29</v>
      </c>
      <c r="T1" s="174" t="s">
        <v>36</v>
      </c>
      <c r="U1" s="174" t="s">
        <v>37</v>
      </c>
      <c r="V1" s="174" t="s">
        <v>38</v>
      </c>
      <c r="W1" s="174" t="s">
        <v>104</v>
      </c>
      <c r="X1" s="174" t="s">
        <v>5723</v>
      </c>
      <c r="Y1" s="174" t="s">
        <v>5724</v>
      </c>
      <c r="Z1" s="174" t="s">
        <v>5725</v>
      </c>
      <c r="AA1" s="174" t="s">
        <v>23</v>
      </c>
      <c r="AB1" s="174" t="s">
        <v>21</v>
      </c>
    </row>
    <row r="2" spans="1:28" hidden="1" x14ac:dyDescent="0.2">
      <c r="A2" s="175" t="str">
        <f>IF(COUNTIF(Tabla_imprenta[LOTE],Tabla_control[[#This Row],[LOTE]])=1,INDEX(Tabla_imprenta[FECHA EMISIÓN],MATCH(Tabla_control[[#This Row],[LOTE]],Tabla_imprenta[LOTE],0)),"REALIZADO")</f>
        <v>REALIZADO</v>
      </c>
      <c r="B2" s="142" t="str">
        <f>IF(COUNTIF(Tabla_imprenta[LOTE],Tabla_control[[#This Row],[LOTE]])=1,INDEX(Tabla_imprenta[CÓD. SOLICITUD],MATCH(Tabla_control[[#This Row],[LOTE]],Tabla_imprenta[LOTE],0)),"REALIZADO")</f>
        <v>REALIZADO</v>
      </c>
      <c r="C2" s="177" t="str">
        <f>IF(COUNTIF(Tabla_imprenta[LOTE],Tabla_control[[#This Row],[LOTE]])=1,INDEX(Tabla_imprenta[PRODUCTO],MATCH(Tabla_control[[#This Row],[LOTE]],Tabla_imprenta[LOTE],0)),"REALIZADO")</f>
        <v>REALIZADO</v>
      </c>
      <c r="D2" s="142" t="str">
        <f>IF(COUNTIF(Tabla_imprenta[LOTE],Tabla_control[[#This Row],[LOTE]])=1,INDEX(Tabla_imprenta[FORMA FARMACEUTICA],MATCH(Tabla_control[[#This Row],[LOTE]],Tabla_imprenta[LOTE],0)),"REALIZADO")</f>
        <v>REALIZADO</v>
      </c>
      <c r="E2" s="177" t="str">
        <f>IF(COUNTIF(Tabla_imprenta[LOTE],Tabla_control[[#This Row],[LOTE]])=1,INDEX(Tabla_imprenta[INSTITUCIÓN],MATCH(Tabla_control[[#This Row],[LOTE]],Tabla_imprenta[LOTE],0)),"REALIZADO")</f>
        <v>REALIZADO</v>
      </c>
      <c r="F2" s="180" t="s">
        <v>2175</v>
      </c>
      <c r="G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" s="139" t="str">
        <f>IF(COUNTIF(Tabla_imprenta[LOTE],Tabla_control[[#This Row],[LOTE]])=1,INDEX(Tabla_imprenta[stock sap],MATCH(Tabla_control[[#This Row],[LOTE]],Tabla_imprenta[LOTE],0)),"ENTREGADO")</f>
        <v>ENTREGADO</v>
      </c>
      <c r="I2" s="139" t="str">
        <f>IF(Tabla_control[[#This Row],[STOCK SAP]]&gt;Tabla_control[[#This Row],[CANTIDAD IMPRIMIR]],"cubre","no cubre")</f>
        <v>no cubre</v>
      </c>
      <c r="J2" s="7" t="str">
        <f>IF(COUNTIF(Tabla_imprenta[LOTE],Tabla_control[[#This Row],[LOTE]])=1,INDEX(Tabla_imprenta[STOCK],MATCH(Tabla_control[[#This Row],[LOTE]],Tabla_imprenta[LOTE],0)),"ENTREGADO")</f>
        <v>ENTREGADO</v>
      </c>
      <c r="K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" s="148" t="e">
        <f>INDEX(Tabla_imprenta[FECHA CAJA],MATCH(Tabla_control[[#This Row],[LOTE]],Tabla_imprenta[LOTE],0))</f>
        <v>#N/A</v>
      </c>
      <c r="M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" s="169" t="e">
        <f>ROUNDUP(Tabla_control[[#This Row],[CANTIDAD IMPRIMIR]]/Tabla_control[[#This Row],[N TJ]],0)</f>
        <v>#VALUE!</v>
      </c>
      <c r="Q2" s="169" t="e">
        <f>IF(Tabla_control[[#This Row],[CANTIDAD TIRAJE]]&gt;10000,Tabla_control[[#This Row],[CANTIDAD TIRAJE]],Tabla_control[[#This Row],[CANTIDAD TIRAJE]]*2)</f>
        <v>#VALUE!</v>
      </c>
      <c r="R2" s="4" t="s">
        <v>173</v>
      </c>
      <c r="S2" s="4" t="s">
        <v>174</v>
      </c>
      <c r="T2" s="4"/>
      <c r="U2" s="4"/>
      <c r="V2" s="4"/>
      <c r="W2" s="138" t="s">
        <v>3223</v>
      </c>
      <c r="X2" s="138"/>
      <c r="Y2" s="138"/>
      <c r="Z2" s="138"/>
      <c r="AA2" s="4" t="s">
        <v>2031</v>
      </c>
      <c r="AB2" s="184" t="s">
        <v>2028</v>
      </c>
    </row>
    <row r="3" spans="1:28" hidden="1" x14ac:dyDescent="0.2">
      <c r="A3" s="175" t="str">
        <f>IF(COUNTIF(Tabla_imprenta[LOTE],Tabla_control[[#This Row],[LOTE]])=1,INDEX(Tabla_imprenta[FECHA EMISIÓN],MATCH(Tabla_control[[#This Row],[LOTE]],Tabla_imprenta[LOTE],0)),"REALIZADO")</f>
        <v>REALIZADO</v>
      </c>
      <c r="B3" s="142" t="str">
        <f>IF(COUNTIF(Tabla_imprenta[LOTE],Tabla_control[[#This Row],[LOTE]])=1,INDEX(Tabla_imprenta[CÓD. SOLICITUD],MATCH(Tabla_control[[#This Row],[LOTE]],Tabla_imprenta[LOTE],0)),"REALIZADO")</f>
        <v>REALIZADO</v>
      </c>
      <c r="C3" s="177" t="str">
        <f>IF(COUNTIF(Tabla_imprenta[LOTE],Tabla_control[[#This Row],[LOTE]])=1,INDEX(Tabla_imprenta[PRODUCTO],MATCH(Tabla_control[[#This Row],[LOTE]],Tabla_imprenta[LOTE],0)),"REALIZADO")</f>
        <v>REALIZADO</v>
      </c>
      <c r="D3" s="142" t="str">
        <f>IF(COUNTIF(Tabla_imprenta[LOTE],Tabla_control[[#This Row],[LOTE]])=1,INDEX(Tabla_imprenta[FORMA FARMACEUTICA],MATCH(Tabla_control[[#This Row],[LOTE]],Tabla_imprenta[LOTE],0)),"REALIZADO")</f>
        <v>REALIZADO</v>
      </c>
      <c r="E3" s="177" t="str">
        <f>IF(COUNTIF(Tabla_imprenta[LOTE],Tabla_control[[#This Row],[LOTE]])=1,INDEX(Tabla_imprenta[INSTITUCIÓN],MATCH(Tabla_control[[#This Row],[LOTE]],Tabla_imprenta[LOTE],0)),"REALIZADO")</f>
        <v>REALIZADO</v>
      </c>
      <c r="F3" s="180" t="s">
        <v>2544</v>
      </c>
      <c r="G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" s="139" t="str">
        <f>IF(COUNTIF(Tabla_imprenta[LOTE],Tabla_control[[#This Row],[LOTE]])=1,INDEX(Tabla_imprenta[stock sap],MATCH(Tabla_control[[#This Row],[LOTE]],Tabla_imprenta[LOTE],0)),"ENTREGADO")</f>
        <v>ENTREGADO</v>
      </c>
      <c r="I3" s="139" t="str">
        <f>IF(Tabla_control[[#This Row],[STOCK SAP]]&gt;Tabla_control[[#This Row],[CANTIDAD IMPRIMIR]],"cubre","no cubre")</f>
        <v>no cubre</v>
      </c>
      <c r="J3" s="7" t="str">
        <f>IF(COUNTIF(Tabla_imprenta[LOTE],Tabla_control[[#This Row],[LOTE]])=1,INDEX(Tabla_imprenta[STOCK],MATCH(Tabla_control[[#This Row],[LOTE]],Tabla_imprenta[LOTE],0)),"ENTREGADO")</f>
        <v>ENTREGADO</v>
      </c>
      <c r="K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" s="148" t="e">
        <f>INDEX(Tabla_imprenta[FECHA CAJA],MATCH(Tabla_control[[#This Row],[LOTE]],Tabla_imprenta[LOTE],0))</f>
        <v>#N/A</v>
      </c>
      <c r="M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" s="169" t="e">
        <f>ROUNDUP(Tabla_control[[#This Row],[CANTIDAD IMPRIMIR]]/Tabla_control[[#This Row],[N TJ]],0)</f>
        <v>#VALUE!</v>
      </c>
      <c r="Q3" s="169" t="e">
        <f>IF(Tabla_control[[#This Row],[CANTIDAD TIRAJE]]&gt;10000,Tabla_control[[#This Row],[CANTIDAD TIRAJE]],Tabla_control[[#This Row],[CANTIDAD TIRAJE]]*2)</f>
        <v>#VALUE!</v>
      </c>
      <c r="R3" s="4" t="s">
        <v>172</v>
      </c>
      <c r="S3" s="4" t="s">
        <v>31</v>
      </c>
      <c r="T3" s="4"/>
      <c r="U3" s="4"/>
      <c r="V3" s="4"/>
      <c r="W3" s="185" t="s">
        <v>3223</v>
      </c>
      <c r="X3" s="185"/>
      <c r="Y3" s="185"/>
      <c r="Z3" s="185"/>
      <c r="AA3" s="4" t="s">
        <v>2031</v>
      </c>
      <c r="AB3" s="184" t="s">
        <v>2028</v>
      </c>
    </row>
    <row r="4" spans="1:28" hidden="1" x14ac:dyDescent="0.2">
      <c r="A4" s="175" t="str">
        <f>IF(COUNTIF(Tabla_imprenta[LOTE],Tabla_control[[#This Row],[LOTE]])=1,INDEX(Tabla_imprenta[FECHA EMISIÓN],MATCH(Tabla_control[[#This Row],[LOTE]],Tabla_imprenta[LOTE],0)),"REALIZADO")</f>
        <v>REALIZADO</v>
      </c>
      <c r="B4" s="142" t="str">
        <f>IF(COUNTIF(Tabla_imprenta[LOTE],Tabla_control[[#This Row],[LOTE]])=1,INDEX(Tabla_imprenta[CÓD. SOLICITUD],MATCH(Tabla_control[[#This Row],[LOTE]],Tabla_imprenta[LOTE],0)),"REALIZADO")</f>
        <v>REALIZADO</v>
      </c>
      <c r="C4" s="177" t="str">
        <f>IF(COUNTIF(Tabla_imprenta[LOTE],Tabla_control[[#This Row],[LOTE]])=1,INDEX(Tabla_imprenta[PRODUCTO],MATCH(Tabla_control[[#This Row],[LOTE]],Tabla_imprenta[LOTE],0)),"REALIZADO")</f>
        <v>REALIZADO</v>
      </c>
      <c r="D4" s="142" t="str">
        <f>IF(COUNTIF(Tabla_imprenta[LOTE],Tabla_control[[#This Row],[LOTE]])=1,INDEX(Tabla_imprenta[FORMA FARMACEUTICA],MATCH(Tabla_control[[#This Row],[LOTE]],Tabla_imprenta[LOTE],0)),"REALIZADO")</f>
        <v>REALIZADO</v>
      </c>
      <c r="E4" s="177" t="str">
        <f>IF(COUNTIF(Tabla_imprenta[LOTE],Tabla_control[[#This Row],[LOTE]])=1,INDEX(Tabla_imprenta[INSTITUCIÓN],MATCH(Tabla_control[[#This Row],[LOTE]],Tabla_imprenta[LOTE],0)),"REALIZADO")</f>
        <v>REALIZADO</v>
      </c>
      <c r="F4" s="181" t="s">
        <v>2554</v>
      </c>
      <c r="G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" s="139" t="str">
        <f>IF(COUNTIF(Tabla_imprenta[LOTE],Tabla_control[[#This Row],[LOTE]])=1,INDEX(Tabla_imprenta[stock sap],MATCH(Tabla_control[[#This Row],[LOTE]],Tabla_imprenta[LOTE],0)),"ENTREGADO")</f>
        <v>ENTREGADO</v>
      </c>
      <c r="I4" s="139" t="str">
        <f>IF(Tabla_control[[#This Row],[STOCK SAP]]&gt;Tabla_control[[#This Row],[CANTIDAD IMPRIMIR]],"cubre","no cubre")</f>
        <v>no cubre</v>
      </c>
      <c r="J4" s="182" t="str">
        <f>IF(COUNTIF(Tabla_imprenta[LOTE],Tabla_control[[#This Row],[LOTE]])=1,INDEX(Tabla_imprenta[STOCK],MATCH(Tabla_control[[#This Row],[LOTE]],Tabla_imprenta[LOTE],0)),"ENTREGADO")</f>
        <v>ENTREGADO</v>
      </c>
      <c r="K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" s="148" t="e">
        <f>INDEX(Tabla_imprenta[FECHA CAJA],MATCH(Tabla_control[[#This Row],[LOTE]],Tabla_imprenta[LOTE],0))</f>
        <v>#N/A</v>
      </c>
      <c r="M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" s="169" t="e">
        <f>ROUNDUP(Tabla_control[[#This Row],[CANTIDAD IMPRIMIR]]/Tabla_control[[#This Row],[N TJ]],0)</f>
        <v>#VALUE!</v>
      </c>
      <c r="Q4" s="169" t="e">
        <f>IF(Tabla_control[[#This Row],[CANTIDAD TIRAJE]]&gt;10000,Tabla_control[[#This Row],[CANTIDAD TIRAJE]],Tabla_control[[#This Row],[CANTIDAD TIRAJE]]*2)</f>
        <v>#VALUE!</v>
      </c>
      <c r="R4" s="186" t="s">
        <v>172</v>
      </c>
      <c r="S4" s="4" t="s">
        <v>30</v>
      </c>
      <c r="T4" s="4"/>
      <c r="U4" s="4"/>
      <c r="V4" s="4"/>
      <c r="W4" s="185" t="s">
        <v>22</v>
      </c>
      <c r="X4" s="185"/>
      <c r="Y4" s="185"/>
      <c r="Z4" s="185"/>
      <c r="AA4" s="186" t="s">
        <v>171</v>
      </c>
      <c r="AB4" s="184" t="s">
        <v>2028</v>
      </c>
    </row>
    <row r="5" spans="1:28" hidden="1" x14ac:dyDescent="0.2">
      <c r="A5" s="175" t="str">
        <f>IF(COUNTIF(Tabla_imprenta[LOTE],Tabla_control[[#This Row],[LOTE]])=1,INDEX(Tabla_imprenta[FECHA EMISIÓN],MATCH(Tabla_control[[#This Row],[LOTE]],Tabla_imprenta[LOTE],0)),"REALIZADO")</f>
        <v>REALIZADO</v>
      </c>
      <c r="B5" s="142" t="str">
        <f>IF(COUNTIF(Tabla_imprenta[LOTE],Tabla_control[[#This Row],[LOTE]])=1,INDEX(Tabla_imprenta[CÓD. SOLICITUD],MATCH(Tabla_control[[#This Row],[LOTE]],Tabla_imprenta[LOTE],0)),"REALIZADO")</f>
        <v>REALIZADO</v>
      </c>
      <c r="C5" s="177" t="str">
        <f>IF(COUNTIF(Tabla_imprenta[LOTE],Tabla_control[[#This Row],[LOTE]])=1,INDEX(Tabla_imprenta[PRODUCTO],MATCH(Tabla_control[[#This Row],[LOTE]],Tabla_imprenta[LOTE],0)),"REALIZADO")</f>
        <v>REALIZADO</v>
      </c>
      <c r="D5" s="142" t="str">
        <f>IF(COUNTIF(Tabla_imprenta[LOTE],Tabla_control[[#This Row],[LOTE]])=1,INDEX(Tabla_imprenta[FORMA FARMACEUTICA],MATCH(Tabla_control[[#This Row],[LOTE]],Tabla_imprenta[LOTE],0)),"REALIZADO")</f>
        <v>REALIZADO</v>
      </c>
      <c r="E5" s="177" t="str">
        <f>IF(COUNTIF(Tabla_imprenta[LOTE],Tabla_control[[#This Row],[LOTE]])=1,INDEX(Tabla_imprenta[INSTITUCIÓN],MATCH(Tabla_control[[#This Row],[LOTE]],Tabla_imprenta[LOTE],0)),"REALIZADO")</f>
        <v>REALIZADO</v>
      </c>
      <c r="F5" s="180" t="s">
        <v>2946</v>
      </c>
      <c r="G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5" s="139" t="str">
        <f>IF(COUNTIF(Tabla_imprenta[LOTE],Tabla_control[[#This Row],[LOTE]])=1,INDEX(Tabla_imprenta[stock sap],MATCH(Tabla_control[[#This Row],[LOTE]],Tabla_imprenta[LOTE],0)),"ENTREGADO")</f>
        <v>ENTREGADO</v>
      </c>
      <c r="I5" s="139" t="str">
        <f>IF(Tabla_control[[#This Row],[STOCK SAP]]&gt;Tabla_control[[#This Row],[CANTIDAD IMPRIMIR]],"cubre","no cubre")</f>
        <v>no cubre</v>
      </c>
      <c r="J5" s="7" t="str">
        <f>IF(COUNTIF(Tabla_imprenta[LOTE],Tabla_control[[#This Row],[LOTE]])=1,INDEX(Tabla_imprenta[STOCK],MATCH(Tabla_control[[#This Row],[LOTE]],Tabla_imprenta[LOTE],0)),"ENTREGADO")</f>
        <v>ENTREGADO</v>
      </c>
      <c r="K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5" s="148" t="e">
        <f>INDEX(Tabla_imprenta[FECHA CAJA],MATCH(Tabla_control[[#This Row],[LOTE]],Tabla_imprenta[LOTE],0))</f>
        <v>#N/A</v>
      </c>
      <c r="M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5" s="169" t="e">
        <f>ROUNDUP(Tabla_control[[#This Row],[CANTIDAD IMPRIMIR]]/Tabla_control[[#This Row],[N TJ]],0)</f>
        <v>#VALUE!</v>
      </c>
      <c r="Q5" s="169" t="e">
        <f>IF(Tabla_control[[#This Row],[CANTIDAD TIRAJE]]&gt;10000,Tabla_control[[#This Row],[CANTIDAD TIRAJE]],Tabla_control[[#This Row],[CANTIDAD TIRAJE]]*2)</f>
        <v>#VALUE!</v>
      </c>
      <c r="R5" s="4" t="s">
        <v>172</v>
      </c>
      <c r="S5" s="4" t="s">
        <v>31</v>
      </c>
      <c r="T5" s="4"/>
      <c r="U5" s="4"/>
      <c r="V5" s="4"/>
      <c r="W5" s="138" t="s">
        <v>3223</v>
      </c>
      <c r="X5" s="138"/>
      <c r="Y5" s="138"/>
      <c r="Z5" s="138"/>
      <c r="AA5" s="4" t="s">
        <v>2031</v>
      </c>
      <c r="AB5" s="184" t="s">
        <v>2028</v>
      </c>
    </row>
    <row r="6" spans="1:28" hidden="1" x14ac:dyDescent="0.2">
      <c r="A6" s="175" t="str">
        <f>IF(COUNTIF(Tabla_imprenta[LOTE],Tabla_control[[#This Row],[LOTE]])=1,INDEX(Tabla_imprenta[FECHA EMISIÓN],MATCH(Tabla_control[[#This Row],[LOTE]],Tabla_imprenta[LOTE],0)),"REALIZADO")</f>
        <v>REALIZADO</v>
      </c>
      <c r="B6" s="142" t="str">
        <f>IF(COUNTIF(Tabla_imprenta[LOTE],Tabla_control[[#This Row],[LOTE]])=1,INDEX(Tabla_imprenta[CÓD. SOLICITUD],MATCH(Tabla_control[[#This Row],[LOTE]],Tabla_imprenta[LOTE],0)),"REALIZADO")</f>
        <v>REALIZADO</v>
      </c>
      <c r="C6" s="177" t="str">
        <f>IF(COUNTIF(Tabla_imprenta[LOTE],Tabla_control[[#This Row],[LOTE]])=1,INDEX(Tabla_imprenta[PRODUCTO],MATCH(Tabla_control[[#This Row],[LOTE]],Tabla_imprenta[LOTE],0)),"REALIZADO")</f>
        <v>REALIZADO</v>
      </c>
      <c r="D6" s="142" t="str">
        <f>IF(COUNTIF(Tabla_imprenta[LOTE],Tabla_control[[#This Row],[LOTE]])=1,INDEX(Tabla_imprenta[FORMA FARMACEUTICA],MATCH(Tabla_control[[#This Row],[LOTE]],Tabla_imprenta[LOTE],0)),"REALIZADO")</f>
        <v>REALIZADO</v>
      </c>
      <c r="E6" s="177" t="str">
        <f>IF(COUNTIF(Tabla_imprenta[LOTE],Tabla_control[[#This Row],[LOTE]])=1,INDEX(Tabla_imprenta[INSTITUCIÓN],MATCH(Tabla_control[[#This Row],[LOTE]],Tabla_imprenta[LOTE],0)),"REALIZADO")</f>
        <v>REALIZADO</v>
      </c>
      <c r="F6" s="180" t="s">
        <v>2949</v>
      </c>
      <c r="G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6" s="139" t="str">
        <f>IF(COUNTIF(Tabla_imprenta[LOTE],Tabla_control[[#This Row],[LOTE]])=1,INDEX(Tabla_imprenta[stock sap],MATCH(Tabla_control[[#This Row],[LOTE]],Tabla_imprenta[LOTE],0)),"ENTREGADO")</f>
        <v>ENTREGADO</v>
      </c>
      <c r="I6" s="139" t="str">
        <f>IF(Tabla_control[[#This Row],[STOCK SAP]]&gt;Tabla_control[[#This Row],[CANTIDAD IMPRIMIR]],"cubre","no cubre")</f>
        <v>no cubre</v>
      </c>
      <c r="J6" s="7" t="str">
        <f>IF(COUNTIF(Tabla_imprenta[LOTE],Tabla_control[[#This Row],[LOTE]])=1,INDEX(Tabla_imprenta[STOCK],MATCH(Tabla_control[[#This Row],[LOTE]],Tabla_imprenta[LOTE],0)),"ENTREGADO")</f>
        <v>ENTREGADO</v>
      </c>
      <c r="K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6" s="148" t="e">
        <f>INDEX(Tabla_imprenta[FECHA CAJA],MATCH(Tabla_control[[#This Row],[LOTE]],Tabla_imprenta[LOTE],0))</f>
        <v>#N/A</v>
      </c>
      <c r="M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6" s="169" t="e">
        <f>ROUNDUP(Tabla_control[[#This Row],[CANTIDAD IMPRIMIR]]/Tabla_control[[#This Row],[N TJ]],0)</f>
        <v>#VALUE!</v>
      </c>
      <c r="Q6" s="169" t="e">
        <f>IF(Tabla_control[[#This Row],[CANTIDAD TIRAJE]]&gt;10000,Tabla_control[[#This Row],[CANTIDAD TIRAJE]],Tabla_control[[#This Row],[CANTIDAD TIRAJE]]*2)</f>
        <v>#VALUE!</v>
      </c>
      <c r="R6" s="4" t="s">
        <v>172</v>
      </c>
      <c r="S6" s="4" t="s">
        <v>31</v>
      </c>
      <c r="T6" s="4"/>
      <c r="U6" s="4"/>
      <c r="V6" s="4"/>
      <c r="W6" s="138" t="s">
        <v>3223</v>
      </c>
      <c r="X6" s="138"/>
      <c r="Y6" s="138"/>
      <c r="Z6" s="138"/>
      <c r="AA6" s="4" t="s">
        <v>2031</v>
      </c>
      <c r="AB6" s="184" t="s">
        <v>2028</v>
      </c>
    </row>
    <row r="7" spans="1:28" hidden="1" x14ac:dyDescent="0.2">
      <c r="A7" s="175" t="str">
        <f>IF(COUNTIF(Tabla_imprenta[LOTE],Tabla_control[[#This Row],[LOTE]])=1,INDEX(Tabla_imprenta[FECHA EMISIÓN],MATCH(Tabla_control[[#This Row],[LOTE]],Tabla_imprenta[LOTE],0)),"REALIZADO")</f>
        <v>REALIZADO</v>
      </c>
      <c r="B7" s="142" t="str">
        <f>IF(COUNTIF(Tabla_imprenta[LOTE],Tabla_control[[#This Row],[LOTE]])=1,INDEX(Tabla_imprenta[CÓD. SOLICITUD],MATCH(Tabla_control[[#This Row],[LOTE]],Tabla_imprenta[LOTE],0)),"REALIZADO")</f>
        <v>REALIZADO</v>
      </c>
      <c r="C7" s="177" t="str">
        <f>IF(COUNTIF(Tabla_imprenta[LOTE],Tabla_control[[#This Row],[LOTE]])=1,INDEX(Tabla_imprenta[PRODUCTO],MATCH(Tabla_control[[#This Row],[LOTE]],Tabla_imprenta[LOTE],0)),"REALIZADO")</f>
        <v>REALIZADO</v>
      </c>
      <c r="D7" s="142" t="str">
        <f>IF(COUNTIF(Tabla_imprenta[LOTE],Tabla_control[[#This Row],[LOTE]])=1,INDEX(Tabla_imprenta[FORMA FARMACEUTICA],MATCH(Tabla_control[[#This Row],[LOTE]],Tabla_imprenta[LOTE],0)),"REALIZADO")</f>
        <v>REALIZADO</v>
      </c>
      <c r="E7" s="177" t="str">
        <f>IF(COUNTIF(Tabla_imprenta[LOTE],Tabla_control[[#This Row],[LOTE]])=1,INDEX(Tabla_imprenta[INSTITUCIÓN],MATCH(Tabla_control[[#This Row],[LOTE]],Tabla_imprenta[LOTE],0)),"REALIZADO")</f>
        <v>REALIZADO</v>
      </c>
      <c r="F7" s="180" t="s">
        <v>2435</v>
      </c>
      <c r="G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7" s="139" t="str">
        <f>IF(COUNTIF(Tabla_imprenta[LOTE],Tabla_control[[#This Row],[LOTE]])=1,INDEX(Tabla_imprenta[stock sap],MATCH(Tabla_control[[#This Row],[LOTE]],Tabla_imprenta[LOTE],0)),"ENTREGADO")</f>
        <v>ENTREGADO</v>
      </c>
      <c r="I7" s="139" t="str">
        <f>IF(Tabla_control[[#This Row],[STOCK SAP]]&gt;Tabla_control[[#This Row],[CANTIDAD IMPRIMIR]],"cubre","no cubre")</f>
        <v>no cubre</v>
      </c>
      <c r="J7" s="7" t="str">
        <f>IF(COUNTIF(Tabla_imprenta[LOTE],Tabla_control[[#This Row],[LOTE]])=1,INDEX(Tabla_imprenta[STOCK],MATCH(Tabla_control[[#This Row],[LOTE]],Tabla_imprenta[LOTE],0)),"ENTREGADO")</f>
        <v>ENTREGADO</v>
      </c>
      <c r="K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7" s="148" t="e">
        <f>INDEX(Tabla_imprenta[FECHA CAJA],MATCH(Tabla_control[[#This Row],[LOTE]],Tabla_imprenta[LOTE],0))</f>
        <v>#N/A</v>
      </c>
      <c r="M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7" s="169" t="e">
        <f>ROUNDUP(Tabla_control[[#This Row],[CANTIDAD IMPRIMIR]]/Tabla_control[[#This Row],[N TJ]],0)</f>
        <v>#VALUE!</v>
      </c>
      <c r="Q7" s="169" t="e">
        <f>IF(Tabla_control[[#This Row],[CANTIDAD TIRAJE]]&gt;10000,Tabla_control[[#This Row],[CANTIDAD TIRAJE]],Tabla_control[[#This Row],[CANTIDAD TIRAJE]]*2)</f>
        <v>#VALUE!</v>
      </c>
      <c r="R7" s="4" t="s">
        <v>173</v>
      </c>
      <c r="S7" s="4" t="s">
        <v>174</v>
      </c>
      <c r="T7" s="4"/>
      <c r="U7" s="4"/>
      <c r="V7" s="4"/>
      <c r="W7" s="138" t="s">
        <v>3223</v>
      </c>
      <c r="X7" s="138"/>
      <c r="Y7" s="138"/>
      <c r="Z7" s="138"/>
      <c r="AA7" s="4" t="s">
        <v>2182</v>
      </c>
      <c r="AB7" s="184" t="s">
        <v>2028</v>
      </c>
    </row>
    <row r="8" spans="1:28" hidden="1" x14ac:dyDescent="0.2">
      <c r="A8" s="175" t="str">
        <f>IF(COUNTIF(Tabla_imprenta[LOTE],Tabla_control[[#This Row],[LOTE]])=1,INDEX(Tabla_imprenta[FECHA EMISIÓN],MATCH(Tabla_control[[#This Row],[LOTE]],Tabla_imprenta[LOTE],0)),"REALIZADO")</f>
        <v>REALIZADO</v>
      </c>
      <c r="B8" s="142" t="str">
        <f>IF(COUNTIF(Tabla_imprenta[LOTE],Tabla_control[[#This Row],[LOTE]])=1,INDEX(Tabla_imprenta[CÓD. SOLICITUD],MATCH(Tabla_control[[#This Row],[LOTE]],Tabla_imprenta[LOTE],0)),"REALIZADO")</f>
        <v>REALIZADO</v>
      </c>
      <c r="C8" s="177" t="str">
        <f>IF(COUNTIF(Tabla_imprenta[LOTE],Tabla_control[[#This Row],[LOTE]])=1,INDEX(Tabla_imprenta[PRODUCTO],MATCH(Tabla_control[[#This Row],[LOTE]],Tabla_imprenta[LOTE],0)),"REALIZADO")</f>
        <v>REALIZADO</v>
      </c>
      <c r="D8" s="142" t="str">
        <f>IF(COUNTIF(Tabla_imprenta[LOTE],Tabla_control[[#This Row],[LOTE]])=1,INDEX(Tabla_imprenta[FORMA FARMACEUTICA],MATCH(Tabla_control[[#This Row],[LOTE]],Tabla_imprenta[LOTE],0)),"REALIZADO")</f>
        <v>REALIZADO</v>
      </c>
      <c r="E8" s="177" t="str">
        <f>IF(COUNTIF(Tabla_imprenta[LOTE],Tabla_control[[#This Row],[LOTE]])=1,INDEX(Tabla_imprenta[INSTITUCIÓN],MATCH(Tabla_control[[#This Row],[LOTE]],Tabla_imprenta[LOTE],0)),"REALIZADO")</f>
        <v>REALIZADO</v>
      </c>
      <c r="F8" s="180" t="s">
        <v>2502</v>
      </c>
      <c r="G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8" s="139" t="str">
        <f>IF(COUNTIF(Tabla_imprenta[LOTE],Tabla_control[[#This Row],[LOTE]])=1,INDEX(Tabla_imprenta[stock sap],MATCH(Tabla_control[[#This Row],[LOTE]],Tabla_imprenta[LOTE],0)),"ENTREGADO")</f>
        <v>ENTREGADO</v>
      </c>
      <c r="I8" s="139" t="str">
        <f>IF(Tabla_control[[#This Row],[STOCK SAP]]&gt;Tabla_control[[#This Row],[CANTIDAD IMPRIMIR]],"cubre","no cubre")</f>
        <v>no cubre</v>
      </c>
      <c r="J8" s="7" t="str">
        <f>IF(COUNTIF(Tabla_imprenta[LOTE],Tabla_control[[#This Row],[LOTE]])=1,INDEX(Tabla_imprenta[STOCK],MATCH(Tabla_control[[#This Row],[LOTE]],Tabla_imprenta[LOTE],0)),"ENTREGADO")</f>
        <v>ENTREGADO</v>
      </c>
      <c r="K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8" s="148" t="e">
        <f>INDEX(Tabla_imprenta[FECHA CAJA],MATCH(Tabla_control[[#This Row],[LOTE]],Tabla_imprenta[LOTE],0))</f>
        <v>#N/A</v>
      </c>
      <c r="M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8" s="169" t="e">
        <f>ROUNDUP(Tabla_control[[#This Row],[CANTIDAD IMPRIMIR]]/Tabla_control[[#This Row],[N TJ]],0)</f>
        <v>#VALUE!</v>
      </c>
      <c r="Q8" s="169" t="e">
        <f>IF(Tabla_control[[#This Row],[CANTIDAD TIRAJE]]&gt;10000,Tabla_control[[#This Row],[CANTIDAD TIRAJE]],Tabla_control[[#This Row],[CANTIDAD TIRAJE]]*2)</f>
        <v>#VALUE!</v>
      </c>
      <c r="R8" s="4" t="s">
        <v>172</v>
      </c>
      <c r="S8" s="4" t="s">
        <v>30</v>
      </c>
      <c r="T8" s="4"/>
      <c r="U8" s="4"/>
      <c r="V8" s="4"/>
      <c r="W8" s="155" t="s">
        <v>3223</v>
      </c>
      <c r="X8" s="155"/>
      <c r="Y8" s="155"/>
      <c r="Z8" s="155"/>
      <c r="AA8" s="4" t="s">
        <v>321</v>
      </c>
      <c r="AB8" s="184" t="s">
        <v>2028</v>
      </c>
    </row>
    <row r="9" spans="1:28" hidden="1" x14ac:dyDescent="0.2">
      <c r="A9" s="175" t="str">
        <f>IF(COUNTIF(Tabla_imprenta[LOTE],Tabla_control[[#This Row],[LOTE]])=1,INDEX(Tabla_imprenta[FECHA EMISIÓN],MATCH(Tabla_control[[#This Row],[LOTE]],Tabla_imprenta[LOTE],0)),"REALIZADO")</f>
        <v>REALIZADO</v>
      </c>
      <c r="B9" s="142" t="str">
        <f>IF(COUNTIF(Tabla_imprenta[LOTE],Tabla_control[[#This Row],[LOTE]])=1,INDEX(Tabla_imprenta[CÓD. SOLICITUD],MATCH(Tabla_control[[#This Row],[LOTE]],Tabla_imprenta[LOTE],0)),"REALIZADO")</f>
        <v>REALIZADO</v>
      </c>
      <c r="C9" s="177" t="str">
        <f>IF(COUNTIF(Tabla_imprenta[LOTE],Tabla_control[[#This Row],[LOTE]])=1,INDEX(Tabla_imprenta[PRODUCTO],MATCH(Tabla_control[[#This Row],[LOTE]],Tabla_imprenta[LOTE],0)),"REALIZADO")</f>
        <v>REALIZADO</v>
      </c>
      <c r="D9" s="142" t="str">
        <f>IF(COUNTIF(Tabla_imprenta[LOTE],Tabla_control[[#This Row],[LOTE]])=1,INDEX(Tabla_imprenta[FORMA FARMACEUTICA],MATCH(Tabla_control[[#This Row],[LOTE]],Tabla_imprenta[LOTE],0)),"REALIZADO")</f>
        <v>REALIZADO</v>
      </c>
      <c r="E9" s="177" t="str">
        <f>IF(COUNTIF(Tabla_imprenta[LOTE],Tabla_control[[#This Row],[LOTE]])=1,INDEX(Tabla_imprenta[INSTITUCIÓN],MATCH(Tabla_control[[#This Row],[LOTE]],Tabla_imprenta[LOTE],0)),"REALIZADO")</f>
        <v>REALIZADO</v>
      </c>
      <c r="F9" s="180" t="s">
        <v>2202</v>
      </c>
      <c r="G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9" s="139" t="str">
        <f>IF(COUNTIF(Tabla_imprenta[LOTE],Tabla_control[[#This Row],[LOTE]])=1,INDEX(Tabla_imprenta[stock sap],MATCH(Tabla_control[[#This Row],[LOTE]],Tabla_imprenta[LOTE],0)),"ENTREGADO")</f>
        <v>ENTREGADO</v>
      </c>
      <c r="I9" s="139" t="str">
        <f>IF(Tabla_control[[#This Row],[STOCK SAP]]&gt;Tabla_control[[#This Row],[CANTIDAD IMPRIMIR]],"cubre","no cubre")</f>
        <v>no cubre</v>
      </c>
      <c r="J9" s="7" t="str">
        <f>IF(COUNTIF(Tabla_imprenta[LOTE],Tabla_control[[#This Row],[LOTE]])=1,INDEX(Tabla_imprenta[STOCK],MATCH(Tabla_control[[#This Row],[LOTE]],Tabla_imprenta[LOTE],0)),"ENTREGADO")</f>
        <v>ENTREGADO</v>
      </c>
      <c r="K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9" s="148" t="e">
        <f>INDEX(Tabla_imprenta[FECHA CAJA],MATCH(Tabla_control[[#This Row],[LOTE]],Tabla_imprenta[LOTE],0))</f>
        <v>#N/A</v>
      </c>
      <c r="M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9" s="169" t="e">
        <f>ROUNDUP(Tabla_control[[#This Row],[CANTIDAD IMPRIMIR]]/Tabla_control[[#This Row],[N TJ]],0)</f>
        <v>#VALUE!</v>
      </c>
      <c r="Q9" s="169" t="e">
        <f>IF(Tabla_control[[#This Row],[CANTIDAD TIRAJE]]&gt;10000,Tabla_control[[#This Row],[CANTIDAD TIRAJE]],Tabla_control[[#This Row],[CANTIDAD TIRAJE]]*2)</f>
        <v>#VALUE!</v>
      </c>
      <c r="R9" s="4" t="s">
        <v>172</v>
      </c>
      <c r="S9" s="4" t="s">
        <v>30</v>
      </c>
      <c r="T9" s="4"/>
      <c r="U9" s="4"/>
      <c r="V9" s="4"/>
      <c r="W9" s="138" t="s">
        <v>3223</v>
      </c>
      <c r="X9" s="138"/>
      <c r="Y9" s="138"/>
      <c r="Z9" s="138"/>
      <c r="AA9" s="4" t="s">
        <v>2031</v>
      </c>
      <c r="AB9" s="184" t="s">
        <v>2028</v>
      </c>
    </row>
    <row r="10" spans="1:28" hidden="1" x14ac:dyDescent="0.2">
      <c r="A10" s="175" t="str">
        <f>IF(COUNTIF(Tabla_imprenta[LOTE],Tabla_control[[#This Row],[LOTE]])=1,INDEX(Tabla_imprenta[FECHA EMISIÓN],MATCH(Tabla_control[[#This Row],[LOTE]],Tabla_imprenta[LOTE],0)),"REALIZADO")</f>
        <v>REALIZADO</v>
      </c>
      <c r="B10" s="142" t="str">
        <f>IF(COUNTIF(Tabla_imprenta[LOTE],Tabla_control[[#This Row],[LOTE]])=1,INDEX(Tabla_imprenta[CÓD. SOLICITUD],MATCH(Tabla_control[[#This Row],[LOTE]],Tabla_imprenta[LOTE],0)),"REALIZADO")</f>
        <v>REALIZADO</v>
      </c>
      <c r="C10" s="177" t="str">
        <f>IF(COUNTIF(Tabla_imprenta[LOTE],Tabla_control[[#This Row],[LOTE]])=1,INDEX(Tabla_imprenta[PRODUCTO],MATCH(Tabla_control[[#This Row],[LOTE]],Tabla_imprenta[LOTE],0)),"REALIZADO")</f>
        <v>REALIZADO</v>
      </c>
      <c r="D10" s="142" t="str">
        <f>IF(COUNTIF(Tabla_imprenta[LOTE],Tabla_control[[#This Row],[LOTE]])=1,INDEX(Tabla_imprenta[FORMA FARMACEUTICA],MATCH(Tabla_control[[#This Row],[LOTE]],Tabla_imprenta[LOTE],0)),"REALIZADO")</f>
        <v>REALIZADO</v>
      </c>
      <c r="E10" s="177" t="str">
        <f>IF(COUNTIF(Tabla_imprenta[LOTE],Tabla_control[[#This Row],[LOTE]])=1,INDEX(Tabla_imprenta[INSTITUCIÓN],MATCH(Tabla_control[[#This Row],[LOTE]],Tabla_imprenta[LOTE],0)),"REALIZADO")</f>
        <v>REALIZADO</v>
      </c>
      <c r="F10" s="180" t="s">
        <v>2221</v>
      </c>
      <c r="G1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0" s="139" t="str">
        <f>IF(COUNTIF(Tabla_imprenta[LOTE],Tabla_control[[#This Row],[LOTE]])=1,INDEX(Tabla_imprenta[stock sap],MATCH(Tabla_control[[#This Row],[LOTE]],Tabla_imprenta[LOTE],0)),"ENTREGADO")</f>
        <v>ENTREGADO</v>
      </c>
      <c r="I10" s="139" t="str">
        <f>IF(Tabla_control[[#This Row],[STOCK SAP]]&gt;Tabla_control[[#This Row],[CANTIDAD IMPRIMIR]],"cubre","no cubre")</f>
        <v>no cubre</v>
      </c>
      <c r="J10" s="7" t="str">
        <f>IF(COUNTIF(Tabla_imprenta[LOTE],Tabla_control[[#This Row],[LOTE]])=1,INDEX(Tabla_imprenta[STOCK],MATCH(Tabla_control[[#This Row],[LOTE]],Tabla_imprenta[LOTE],0)),"ENTREGADO")</f>
        <v>ENTREGADO</v>
      </c>
      <c r="K1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0" s="148" t="e">
        <f>INDEX(Tabla_imprenta[FECHA CAJA],MATCH(Tabla_control[[#This Row],[LOTE]],Tabla_imprenta[LOTE],0))</f>
        <v>#N/A</v>
      </c>
      <c r="M1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0" s="169" t="e">
        <f>ROUNDUP(Tabla_control[[#This Row],[CANTIDAD IMPRIMIR]]/Tabla_control[[#This Row],[N TJ]],0)</f>
        <v>#VALUE!</v>
      </c>
      <c r="Q10" s="169" t="e">
        <f>IF(Tabla_control[[#This Row],[CANTIDAD TIRAJE]]&gt;10000,Tabla_control[[#This Row],[CANTIDAD TIRAJE]],Tabla_control[[#This Row],[CANTIDAD TIRAJE]]*2)</f>
        <v>#VALUE!</v>
      </c>
      <c r="R10" s="4" t="s">
        <v>172</v>
      </c>
      <c r="S10" s="4" t="s">
        <v>30</v>
      </c>
      <c r="T10" s="4"/>
      <c r="U10" s="4"/>
      <c r="V10" s="4"/>
      <c r="W10" s="138" t="s">
        <v>3223</v>
      </c>
      <c r="X10" s="138"/>
      <c r="Y10" s="138"/>
      <c r="Z10" s="138"/>
      <c r="AA10" s="4" t="s">
        <v>2314</v>
      </c>
      <c r="AB10" s="184" t="s">
        <v>2028</v>
      </c>
    </row>
    <row r="11" spans="1:28" hidden="1" x14ac:dyDescent="0.2">
      <c r="A11" s="175" t="str">
        <f>IF(COUNTIF(Tabla_imprenta[LOTE],Tabla_control[[#This Row],[LOTE]])=1,INDEX(Tabla_imprenta[FECHA EMISIÓN],MATCH(Tabla_control[[#This Row],[LOTE]],Tabla_imprenta[LOTE],0)),"REALIZADO")</f>
        <v>REALIZADO</v>
      </c>
      <c r="B11" s="142" t="str">
        <f>IF(COUNTIF(Tabla_imprenta[LOTE],Tabla_control[[#This Row],[LOTE]])=1,INDEX(Tabla_imprenta[CÓD. SOLICITUD],MATCH(Tabla_control[[#This Row],[LOTE]],Tabla_imprenta[LOTE],0)),"REALIZADO")</f>
        <v>REALIZADO</v>
      </c>
      <c r="C11" s="177" t="str">
        <f>IF(COUNTIF(Tabla_imprenta[LOTE],Tabla_control[[#This Row],[LOTE]])=1,INDEX(Tabla_imprenta[PRODUCTO],MATCH(Tabla_control[[#This Row],[LOTE]],Tabla_imprenta[LOTE],0)),"REALIZADO")</f>
        <v>REALIZADO</v>
      </c>
      <c r="D11" s="142" t="str">
        <f>IF(COUNTIF(Tabla_imprenta[LOTE],Tabla_control[[#This Row],[LOTE]])=1,INDEX(Tabla_imprenta[FORMA FARMACEUTICA],MATCH(Tabla_control[[#This Row],[LOTE]],Tabla_imprenta[LOTE],0)),"REALIZADO")</f>
        <v>REALIZADO</v>
      </c>
      <c r="E11" s="177" t="str">
        <f>IF(COUNTIF(Tabla_imprenta[LOTE],Tabla_control[[#This Row],[LOTE]])=1,INDEX(Tabla_imprenta[INSTITUCIÓN],MATCH(Tabla_control[[#This Row],[LOTE]],Tabla_imprenta[LOTE],0)),"REALIZADO")</f>
        <v>REALIZADO</v>
      </c>
      <c r="F11" s="180" t="s">
        <v>2537</v>
      </c>
      <c r="G1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1" s="139" t="str">
        <f>IF(COUNTIF(Tabla_imprenta[LOTE],Tabla_control[[#This Row],[LOTE]])=1,INDEX(Tabla_imprenta[stock sap],MATCH(Tabla_control[[#This Row],[LOTE]],Tabla_imprenta[LOTE],0)),"ENTREGADO")</f>
        <v>ENTREGADO</v>
      </c>
      <c r="I11" s="139" t="str">
        <f>IF(Tabla_control[[#This Row],[STOCK SAP]]&gt;Tabla_control[[#This Row],[CANTIDAD IMPRIMIR]],"cubre","no cubre")</f>
        <v>no cubre</v>
      </c>
      <c r="J11" s="7" t="str">
        <f>IF(COUNTIF(Tabla_imprenta[LOTE],Tabla_control[[#This Row],[LOTE]])=1,INDEX(Tabla_imprenta[STOCK],MATCH(Tabla_control[[#This Row],[LOTE]],Tabla_imprenta[LOTE],0)),"ENTREGADO")</f>
        <v>ENTREGADO</v>
      </c>
      <c r="K1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1" s="148" t="e">
        <f>INDEX(Tabla_imprenta[FECHA CAJA],MATCH(Tabla_control[[#This Row],[LOTE]],Tabla_imprenta[LOTE],0))</f>
        <v>#N/A</v>
      </c>
      <c r="M1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1" s="170" t="e">
        <f>ROUNDUP(Tabla_control[[#This Row],[CANTIDAD IMPRIMIR]]/Tabla_control[[#This Row],[N TJ]],0)</f>
        <v>#VALUE!</v>
      </c>
      <c r="Q11" s="170" t="e">
        <f>IF(Tabla_control[[#This Row],[CANTIDAD TIRAJE]]&gt;10000,Tabla_control[[#This Row],[CANTIDAD TIRAJE]],Tabla_control[[#This Row],[CANTIDAD TIRAJE]]*2)</f>
        <v>#VALUE!</v>
      </c>
      <c r="R11" s="4" t="s">
        <v>172</v>
      </c>
      <c r="S11" s="4" t="s">
        <v>3759</v>
      </c>
      <c r="T11" s="4"/>
      <c r="U11" s="4"/>
      <c r="V11" s="4"/>
      <c r="W11" s="138" t="s">
        <v>3223</v>
      </c>
      <c r="X11" s="138"/>
      <c r="Y11" s="138"/>
      <c r="Z11" s="138"/>
      <c r="AA11" s="4" t="s">
        <v>2182</v>
      </c>
      <c r="AB11" s="184" t="s">
        <v>2028</v>
      </c>
    </row>
    <row r="12" spans="1:28" hidden="1" x14ac:dyDescent="0.2">
      <c r="A12" s="175" t="str">
        <f>IF(COUNTIF(Tabla_imprenta[LOTE],Tabla_control[[#This Row],[LOTE]])=1,INDEX(Tabla_imprenta[FECHA EMISIÓN],MATCH(Tabla_control[[#This Row],[LOTE]],Tabla_imprenta[LOTE],0)),"REALIZADO")</f>
        <v>REALIZADO</v>
      </c>
      <c r="B12" s="142" t="str">
        <f>IF(COUNTIF(Tabla_imprenta[LOTE],Tabla_control[[#This Row],[LOTE]])=1,INDEX(Tabla_imprenta[CÓD. SOLICITUD],MATCH(Tabla_control[[#This Row],[LOTE]],Tabla_imprenta[LOTE],0)),"REALIZADO")</f>
        <v>REALIZADO</v>
      </c>
      <c r="C12" s="177" t="str">
        <f>IF(COUNTIF(Tabla_imprenta[LOTE],Tabla_control[[#This Row],[LOTE]])=1,INDEX(Tabla_imprenta[PRODUCTO],MATCH(Tabla_control[[#This Row],[LOTE]],Tabla_imprenta[LOTE],0)),"REALIZADO")</f>
        <v>REALIZADO</v>
      </c>
      <c r="D12" s="142" t="str">
        <f>IF(COUNTIF(Tabla_imprenta[LOTE],Tabla_control[[#This Row],[LOTE]])=1,INDEX(Tabla_imprenta[FORMA FARMACEUTICA],MATCH(Tabla_control[[#This Row],[LOTE]],Tabla_imprenta[LOTE],0)),"REALIZADO")</f>
        <v>REALIZADO</v>
      </c>
      <c r="E12" s="177" t="str">
        <f>IF(COUNTIF(Tabla_imprenta[LOTE],Tabla_control[[#This Row],[LOTE]])=1,INDEX(Tabla_imprenta[INSTITUCIÓN],MATCH(Tabla_control[[#This Row],[LOTE]],Tabla_imprenta[LOTE],0)),"REALIZADO")</f>
        <v>REALIZADO</v>
      </c>
      <c r="F12" s="180" t="s">
        <v>2208</v>
      </c>
      <c r="G1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2" s="139" t="str">
        <f>IF(COUNTIF(Tabla_imprenta[LOTE],Tabla_control[[#This Row],[LOTE]])=1,INDEX(Tabla_imprenta[stock sap],MATCH(Tabla_control[[#This Row],[LOTE]],Tabla_imprenta[LOTE],0)),"ENTREGADO")</f>
        <v>ENTREGADO</v>
      </c>
      <c r="I12" s="139" t="str">
        <f>IF(Tabla_control[[#This Row],[STOCK SAP]]&gt;Tabla_control[[#This Row],[CANTIDAD IMPRIMIR]],"cubre","no cubre")</f>
        <v>no cubre</v>
      </c>
      <c r="J12" s="7" t="str">
        <f>IF(COUNTIF(Tabla_imprenta[LOTE],Tabla_control[[#This Row],[LOTE]])=1,INDEX(Tabla_imprenta[STOCK],MATCH(Tabla_control[[#This Row],[LOTE]],Tabla_imprenta[LOTE],0)),"ENTREGADO")</f>
        <v>ENTREGADO</v>
      </c>
      <c r="K1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2" s="148" t="e">
        <f>INDEX(Tabla_imprenta[FECHA CAJA],MATCH(Tabla_control[[#This Row],[LOTE]],Tabla_imprenta[LOTE],0))</f>
        <v>#N/A</v>
      </c>
      <c r="M1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2" s="170" t="e">
        <f>ROUNDUP(Tabla_control[[#This Row],[CANTIDAD IMPRIMIR]]/Tabla_control[[#This Row],[N TJ]],0)</f>
        <v>#VALUE!</v>
      </c>
      <c r="Q12" s="170" t="e">
        <f>IF(Tabla_control[[#This Row],[CANTIDAD TIRAJE]]&gt;10000,Tabla_control[[#This Row],[CANTIDAD TIRAJE]],Tabla_control[[#This Row],[CANTIDAD TIRAJE]]*2)</f>
        <v>#VALUE!</v>
      </c>
      <c r="R12" s="4" t="s">
        <v>173</v>
      </c>
      <c r="S12" s="4" t="s">
        <v>3759</v>
      </c>
      <c r="T12" s="4"/>
      <c r="U12" s="4"/>
      <c r="V12" s="4"/>
      <c r="W12" s="138" t="s">
        <v>3223</v>
      </c>
      <c r="X12" s="138"/>
      <c r="Y12" s="138"/>
      <c r="Z12" s="138"/>
      <c r="AA12" s="4" t="s">
        <v>2182</v>
      </c>
      <c r="AB12" s="184" t="s">
        <v>2028</v>
      </c>
    </row>
    <row r="13" spans="1:28" hidden="1" x14ac:dyDescent="0.2">
      <c r="A13" s="175" t="str">
        <f>IF(COUNTIF(Tabla_imprenta[LOTE],Tabla_control[[#This Row],[LOTE]])=1,INDEX(Tabla_imprenta[FECHA EMISIÓN],MATCH(Tabla_control[[#This Row],[LOTE]],Tabla_imprenta[LOTE],0)),"REALIZADO")</f>
        <v>REALIZADO</v>
      </c>
      <c r="B13" s="142" t="str">
        <f>IF(COUNTIF(Tabla_imprenta[LOTE],Tabla_control[[#This Row],[LOTE]])=1,INDEX(Tabla_imprenta[CÓD. SOLICITUD],MATCH(Tabla_control[[#This Row],[LOTE]],Tabla_imprenta[LOTE],0)),"REALIZADO")</f>
        <v>REALIZADO</v>
      </c>
      <c r="C13" s="177" t="str">
        <f>IF(COUNTIF(Tabla_imprenta[LOTE],Tabla_control[[#This Row],[LOTE]])=1,INDEX(Tabla_imprenta[PRODUCTO],MATCH(Tabla_control[[#This Row],[LOTE]],Tabla_imprenta[LOTE],0)),"REALIZADO")</f>
        <v>REALIZADO</v>
      </c>
      <c r="D13" s="142" t="str">
        <f>IF(COUNTIF(Tabla_imprenta[LOTE],Tabla_control[[#This Row],[LOTE]])=1,INDEX(Tabla_imprenta[FORMA FARMACEUTICA],MATCH(Tabla_control[[#This Row],[LOTE]],Tabla_imprenta[LOTE],0)),"REALIZADO")</f>
        <v>REALIZADO</v>
      </c>
      <c r="E13" s="177" t="str">
        <f>IF(COUNTIF(Tabla_imprenta[LOTE],Tabla_control[[#This Row],[LOTE]])=1,INDEX(Tabla_imprenta[INSTITUCIÓN],MATCH(Tabla_control[[#This Row],[LOTE]],Tabla_imprenta[LOTE],0)),"REALIZADO")</f>
        <v>REALIZADO</v>
      </c>
      <c r="F13" s="180" t="s">
        <v>2527</v>
      </c>
      <c r="G1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3" s="139" t="str">
        <f>IF(COUNTIF(Tabla_imprenta[LOTE],Tabla_control[[#This Row],[LOTE]])=1,INDEX(Tabla_imprenta[stock sap],MATCH(Tabla_control[[#This Row],[LOTE]],Tabla_imprenta[LOTE],0)),"ENTREGADO")</f>
        <v>ENTREGADO</v>
      </c>
      <c r="I13" s="139" t="str">
        <f>IF(Tabla_control[[#This Row],[STOCK SAP]]&gt;Tabla_control[[#This Row],[CANTIDAD IMPRIMIR]],"cubre","no cubre")</f>
        <v>no cubre</v>
      </c>
      <c r="J13" s="7" t="str">
        <f>IF(COUNTIF(Tabla_imprenta[LOTE],Tabla_control[[#This Row],[LOTE]])=1,INDEX(Tabla_imprenta[STOCK],MATCH(Tabla_control[[#This Row],[LOTE]],Tabla_imprenta[LOTE],0)),"ENTREGADO")</f>
        <v>ENTREGADO</v>
      </c>
      <c r="K1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3" s="148" t="e">
        <f>INDEX(Tabla_imprenta[FECHA CAJA],MATCH(Tabla_control[[#This Row],[LOTE]],Tabla_imprenta[LOTE],0))</f>
        <v>#N/A</v>
      </c>
      <c r="M1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3" s="170" t="e">
        <f>ROUNDUP(Tabla_control[[#This Row],[CANTIDAD IMPRIMIR]]/Tabla_control[[#This Row],[N TJ]],0)</f>
        <v>#VALUE!</v>
      </c>
      <c r="Q13" s="170" t="e">
        <f>IF(Tabla_control[[#This Row],[CANTIDAD TIRAJE]]&gt;10000,Tabla_control[[#This Row],[CANTIDAD TIRAJE]],Tabla_control[[#This Row],[CANTIDAD TIRAJE]]*2)</f>
        <v>#VALUE!</v>
      </c>
      <c r="R13" s="4" t="s">
        <v>172</v>
      </c>
      <c r="S13" s="4" t="s">
        <v>3759</v>
      </c>
      <c r="T13" s="4"/>
      <c r="U13" s="4"/>
      <c r="V13" s="4"/>
      <c r="W13" s="185" t="s">
        <v>3223</v>
      </c>
      <c r="X13" s="185"/>
      <c r="Y13" s="185"/>
      <c r="Z13" s="185"/>
      <c r="AA13" s="4" t="s">
        <v>2182</v>
      </c>
      <c r="AB13" s="184" t="s">
        <v>2028</v>
      </c>
    </row>
    <row r="14" spans="1:28" hidden="1" x14ac:dyDescent="0.2">
      <c r="A14" s="175" t="str">
        <f>IF(COUNTIF(Tabla_imprenta[LOTE],Tabla_control[[#This Row],[LOTE]])=1,INDEX(Tabla_imprenta[FECHA EMISIÓN],MATCH(Tabla_control[[#This Row],[LOTE]],Tabla_imprenta[LOTE],0)),"REALIZADO")</f>
        <v>REALIZADO</v>
      </c>
      <c r="B14" s="142" t="str">
        <f>IF(COUNTIF(Tabla_imprenta[LOTE],Tabla_control[[#This Row],[LOTE]])=1,INDEX(Tabla_imprenta[CÓD. SOLICITUD],MATCH(Tabla_control[[#This Row],[LOTE]],Tabla_imprenta[LOTE],0)),"REALIZADO")</f>
        <v>REALIZADO</v>
      </c>
      <c r="C14" s="177" t="str">
        <f>IF(COUNTIF(Tabla_imprenta[LOTE],Tabla_control[[#This Row],[LOTE]])=1,INDEX(Tabla_imprenta[PRODUCTO],MATCH(Tabla_control[[#This Row],[LOTE]],Tabla_imprenta[LOTE],0)),"REALIZADO")</f>
        <v>REALIZADO</v>
      </c>
      <c r="D14" s="142" t="str">
        <f>IF(COUNTIF(Tabla_imprenta[LOTE],Tabla_control[[#This Row],[LOTE]])=1,INDEX(Tabla_imprenta[FORMA FARMACEUTICA],MATCH(Tabla_control[[#This Row],[LOTE]],Tabla_imprenta[LOTE],0)),"REALIZADO")</f>
        <v>REALIZADO</v>
      </c>
      <c r="E14" s="177" t="str">
        <f>IF(COUNTIF(Tabla_imprenta[LOTE],Tabla_control[[#This Row],[LOTE]])=1,INDEX(Tabla_imprenta[INSTITUCIÓN],MATCH(Tabla_control[[#This Row],[LOTE]],Tabla_imprenta[LOTE],0)),"REALIZADO")</f>
        <v>REALIZADO</v>
      </c>
      <c r="F14" s="180" t="s">
        <v>2135</v>
      </c>
      <c r="G1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4" s="139" t="str">
        <f>IF(COUNTIF(Tabla_imprenta[LOTE],Tabla_control[[#This Row],[LOTE]])=1,INDEX(Tabla_imprenta[stock sap],MATCH(Tabla_control[[#This Row],[LOTE]],Tabla_imprenta[LOTE],0)),"ENTREGADO")</f>
        <v>ENTREGADO</v>
      </c>
      <c r="I14" s="139" t="str">
        <f>IF(Tabla_control[[#This Row],[STOCK SAP]]&gt;Tabla_control[[#This Row],[CANTIDAD IMPRIMIR]],"cubre","no cubre")</f>
        <v>no cubre</v>
      </c>
      <c r="J14" s="7" t="str">
        <f>IF(COUNTIF(Tabla_imprenta[LOTE],Tabla_control[[#This Row],[LOTE]])=1,INDEX(Tabla_imprenta[STOCK],MATCH(Tabla_control[[#This Row],[LOTE]],Tabla_imprenta[LOTE],0)),"ENTREGADO")</f>
        <v>ENTREGADO</v>
      </c>
      <c r="K1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4" s="148" t="e">
        <f>INDEX(Tabla_imprenta[FECHA CAJA],MATCH(Tabla_control[[#This Row],[LOTE]],Tabla_imprenta[LOTE],0))</f>
        <v>#N/A</v>
      </c>
      <c r="M1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4" s="169" t="e">
        <f>ROUNDUP(Tabla_control[[#This Row],[CANTIDAD IMPRIMIR]]/Tabla_control[[#This Row],[N TJ]],0)</f>
        <v>#VALUE!</v>
      </c>
      <c r="Q14" s="169" t="e">
        <f>IF(Tabla_control[[#This Row],[CANTIDAD TIRAJE]]&gt;10000,Tabla_control[[#This Row],[CANTIDAD TIRAJE]],Tabla_control[[#This Row],[CANTIDAD TIRAJE]]*2)</f>
        <v>#VALUE!</v>
      </c>
      <c r="R14" s="4" t="s">
        <v>172</v>
      </c>
      <c r="S14" s="4" t="s">
        <v>30</v>
      </c>
      <c r="T14" s="4"/>
      <c r="U14" s="4"/>
      <c r="V14" s="4"/>
      <c r="W14" s="138" t="s">
        <v>3223</v>
      </c>
      <c r="X14" s="138"/>
      <c r="Y14" s="138"/>
      <c r="Z14" s="138"/>
      <c r="AA14" s="4" t="s">
        <v>2031</v>
      </c>
      <c r="AB14" s="184" t="s">
        <v>2028</v>
      </c>
    </row>
    <row r="15" spans="1:28" hidden="1" x14ac:dyDescent="0.2">
      <c r="A15" s="175" t="str">
        <f>IF(COUNTIF(Tabla_imprenta[LOTE],Tabla_control[[#This Row],[LOTE]])=1,INDEX(Tabla_imprenta[FECHA EMISIÓN],MATCH(Tabla_control[[#This Row],[LOTE]],Tabla_imprenta[LOTE],0)),"REALIZADO")</f>
        <v>REALIZADO</v>
      </c>
      <c r="B15" s="142" t="str">
        <f>IF(COUNTIF(Tabla_imprenta[LOTE],Tabla_control[[#This Row],[LOTE]])=1,INDEX(Tabla_imprenta[CÓD. SOLICITUD],MATCH(Tabla_control[[#This Row],[LOTE]],Tabla_imprenta[LOTE],0)),"REALIZADO")</f>
        <v>REALIZADO</v>
      </c>
      <c r="C15" s="177" t="str">
        <f>IF(COUNTIF(Tabla_imprenta[LOTE],Tabla_control[[#This Row],[LOTE]])=1,INDEX(Tabla_imprenta[PRODUCTO],MATCH(Tabla_control[[#This Row],[LOTE]],Tabla_imprenta[LOTE],0)),"REALIZADO")</f>
        <v>REALIZADO</v>
      </c>
      <c r="D15" s="142" t="str">
        <f>IF(COUNTIF(Tabla_imprenta[LOTE],Tabla_control[[#This Row],[LOTE]])=1,INDEX(Tabla_imprenta[FORMA FARMACEUTICA],MATCH(Tabla_control[[#This Row],[LOTE]],Tabla_imprenta[LOTE],0)),"REALIZADO")</f>
        <v>REALIZADO</v>
      </c>
      <c r="E15" s="177" t="str">
        <f>IF(COUNTIF(Tabla_imprenta[LOTE],Tabla_control[[#This Row],[LOTE]])=1,INDEX(Tabla_imprenta[INSTITUCIÓN],MATCH(Tabla_control[[#This Row],[LOTE]],Tabla_imprenta[LOTE],0)),"REALIZADO")</f>
        <v>REALIZADO</v>
      </c>
      <c r="F15" s="180" t="s">
        <v>2156</v>
      </c>
      <c r="G1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5" s="139" t="str">
        <f>IF(COUNTIF(Tabla_imprenta[LOTE],Tabla_control[[#This Row],[LOTE]])=1,INDEX(Tabla_imprenta[stock sap],MATCH(Tabla_control[[#This Row],[LOTE]],Tabla_imprenta[LOTE],0)),"ENTREGADO")</f>
        <v>ENTREGADO</v>
      </c>
      <c r="I15" s="139" t="str">
        <f>IF(Tabla_control[[#This Row],[STOCK SAP]]&gt;Tabla_control[[#This Row],[CANTIDAD IMPRIMIR]],"cubre","no cubre")</f>
        <v>no cubre</v>
      </c>
      <c r="J15" s="7" t="str">
        <f>IF(COUNTIF(Tabla_imprenta[LOTE],Tabla_control[[#This Row],[LOTE]])=1,INDEX(Tabla_imprenta[STOCK],MATCH(Tabla_control[[#This Row],[LOTE]],Tabla_imprenta[LOTE],0)),"ENTREGADO")</f>
        <v>ENTREGADO</v>
      </c>
      <c r="K1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5" s="148" t="e">
        <f>INDEX(Tabla_imprenta[FECHA CAJA],MATCH(Tabla_control[[#This Row],[LOTE]],Tabla_imprenta[LOTE],0))</f>
        <v>#N/A</v>
      </c>
      <c r="M1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5" s="170" t="e">
        <f>ROUNDUP(Tabla_control[[#This Row],[CANTIDAD IMPRIMIR]]/Tabla_control[[#This Row],[N TJ]],0)</f>
        <v>#VALUE!</v>
      </c>
      <c r="Q15" s="170" t="e">
        <f>IF(Tabla_control[[#This Row],[CANTIDAD TIRAJE]]&gt;10000,Tabla_control[[#This Row],[CANTIDAD TIRAJE]],Tabla_control[[#This Row],[CANTIDAD TIRAJE]]*2)</f>
        <v>#VALUE!</v>
      </c>
      <c r="R15" s="4" t="s">
        <v>177</v>
      </c>
      <c r="S15" s="4" t="s">
        <v>3759</v>
      </c>
      <c r="T15" s="4"/>
      <c r="U15" s="4"/>
      <c r="V15" s="4"/>
      <c r="W15" s="155" t="s">
        <v>3223</v>
      </c>
      <c r="X15" s="155"/>
      <c r="Y15" s="155"/>
      <c r="Z15" s="155"/>
      <c r="AA15" s="4" t="s">
        <v>2182</v>
      </c>
      <c r="AB15" s="184" t="s">
        <v>2028</v>
      </c>
    </row>
    <row r="16" spans="1:28" hidden="1" x14ac:dyDescent="0.2">
      <c r="A16" s="175" t="str">
        <f>IF(COUNTIF(Tabla_imprenta[LOTE],Tabla_control[[#This Row],[LOTE]])=1,INDEX(Tabla_imprenta[FECHA EMISIÓN],MATCH(Tabla_control[[#This Row],[LOTE]],Tabla_imprenta[LOTE],0)),"REALIZADO")</f>
        <v>REALIZADO</v>
      </c>
      <c r="B16" s="142" t="str">
        <f>IF(COUNTIF(Tabla_imprenta[LOTE],Tabla_control[[#This Row],[LOTE]])=1,INDEX(Tabla_imprenta[CÓD. SOLICITUD],MATCH(Tabla_control[[#This Row],[LOTE]],Tabla_imprenta[LOTE],0)),"REALIZADO")</f>
        <v>REALIZADO</v>
      </c>
      <c r="C16" s="177" t="str">
        <f>IF(COUNTIF(Tabla_imprenta[LOTE],Tabla_control[[#This Row],[LOTE]])=1,INDEX(Tabla_imprenta[PRODUCTO],MATCH(Tabla_control[[#This Row],[LOTE]],Tabla_imprenta[LOTE],0)),"REALIZADO")</f>
        <v>REALIZADO</v>
      </c>
      <c r="D16" s="142" t="str">
        <f>IF(COUNTIF(Tabla_imprenta[LOTE],Tabla_control[[#This Row],[LOTE]])=1,INDEX(Tabla_imprenta[FORMA FARMACEUTICA],MATCH(Tabla_control[[#This Row],[LOTE]],Tabla_imprenta[LOTE],0)),"REALIZADO")</f>
        <v>REALIZADO</v>
      </c>
      <c r="E16" s="177" t="str">
        <f>IF(COUNTIF(Tabla_imprenta[LOTE],Tabla_control[[#This Row],[LOTE]])=1,INDEX(Tabla_imprenta[INSTITUCIÓN],MATCH(Tabla_control[[#This Row],[LOTE]],Tabla_imprenta[LOTE],0)),"REALIZADO")</f>
        <v>REALIZADO</v>
      </c>
      <c r="F16" s="180" t="s">
        <v>2146</v>
      </c>
      <c r="G1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6" s="139" t="str">
        <f>IF(COUNTIF(Tabla_imprenta[LOTE],Tabla_control[[#This Row],[LOTE]])=1,INDEX(Tabla_imprenta[stock sap],MATCH(Tabla_control[[#This Row],[LOTE]],Tabla_imprenta[LOTE],0)),"ENTREGADO")</f>
        <v>ENTREGADO</v>
      </c>
      <c r="I16" s="139" t="str">
        <f>IF(Tabla_control[[#This Row],[STOCK SAP]]&gt;Tabla_control[[#This Row],[CANTIDAD IMPRIMIR]],"cubre","no cubre")</f>
        <v>no cubre</v>
      </c>
      <c r="J16" s="7" t="str">
        <f>IF(COUNTIF(Tabla_imprenta[LOTE],Tabla_control[[#This Row],[LOTE]])=1,INDEX(Tabla_imprenta[STOCK],MATCH(Tabla_control[[#This Row],[LOTE]],Tabla_imprenta[LOTE],0)),"ENTREGADO")</f>
        <v>ENTREGADO</v>
      </c>
      <c r="K1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6" s="148" t="e">
        <f>INDEX(Tabla_imprenta[FECHA CAJA],MATCH(Tabla_control[[#This Row],[LOTE]],Tabla_imprenta[LOTE],0))</f>
        <v>#N/A</v>
      </c>
      <c r="M1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6" s="170" t="e">
        <f>ROUNDUP(Tabla_control[[#This Row],[CANTIDAD IMPRIMIR]]/Tabla_control[[#This Row],[N TJ]],0)</f>
        <v>#VALUE!</v>
      </c>
      <c r="Q16" s="170" t="e">
        <f>IF(Tabla_control[[#This Row],[CANTIDAD TIRAJE]]&gt;10000,Tabla_control[[#This Row],[CANTIDAD TIRAJE]],Tabla_control[[#This Row],[CANTIDAD TIRAJE]]*2)</f>
        <v>#VALUE!</v>
      </c>
      <c r="R16" s="4" t="s">
        <v>172</v>
      </c>
      <c r="S16" s="4" t="s">
        <v>3759</v>
      </c>
      <c r="T16" s="4"/>
      <c r="U16" s="4"/>
      <c r="V16" s="4"/>
      <c r="W16" s="155" t="s">
        <v>3223</v>
      </c>
      <c r="X16" s="155"/>
      <c r="Y16" s="155"/>
      <c r="Z16" s="155"/>
      <c r="AA16" s="4" t="s">
        <v>2429</v>
      </c>
      <c r="AB16" s="184" t="s">
        <v>2028</v>
      </c>
    </row>
    <row r="17" spans="1:28" hidden="1" x14ac:dyDescent="0.2">
      <c r="A17" s="175" t="str">
        <f>IF(COUNTIF(Tabla_imprenta[LOTE],Tabla_control[[#This Row],[LOTE]])=1,INDEX(Tabla_imprenta[FECHA EMISIÓN],MATCH(Tabla_control[[#This Row],[LOTE]],Tabla_imprenta[LOTE],0)),"REALIZADO")</f>
        <v>REALIZADO</v>
      </c>
      <c r="B17" s="142" t="str">
        <f>IF(COUNTIF(Tabla_imprenta[LOTE],Tabla_control[[#This Row],[LOTE]])=1,INDEX(Tabla_imprenta[CÓD. SOLICITUD],MATCH(Tabla_control[[#This Row],[LOTE]],Tabla_imprenta[LOTE],0)),"REALIZADO")</f>
        <v>REALIZADO</v>
      </c>
      <c r="C17" s="177" t="str">
        <f>IF(COUNTIF(Tabla_imprenta[LOTE],Tabla_control[[#This Row],[LOTE]])=1,INDEX(Tabla_imprenta[PRODUCTO],MATCH(Tabla_control[[#This Row],[LOTE]],Tabla_imprenta[LOTE],0)),"REALIZADO")</f>
        <v>REALIZADO</v>
      </c>
      <c r="D17" s="142" t="str">
        <f>IF(COUNTIF(Tabla_imprenta[LOTE],Tabla_control[[#This Row],[LOTE]])=1,INDEX(Tabla_imprenta[FORMA FARMACEUTICA],MATCH(Tabla_control[[#This Row],[LOTE]],Tabla_imprenta[LOTE],0)),"REALIZADO")</f>
        <v>REALIZADO</v>
      </c>
      <c r="E17" s="177" t="str">
        <f>IF(COUNTIF(Tabla_imprenta[LOTE],Tabla_control[[#This Row],[LOTE]])=1,INDEX(Tabla_imprenta[INSTITUCIÓN],MATCH(Tabla_control[[#This Row],[LOTE]],Tabla_imprenta[LOTE],0)),"REALIZADO")</f>
        <v>REALIZADO</v>
      </c>
      <c r="F17" s="180" t="s">
        <v>2169</v>
      </c>
      <c r="G1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7" s="139" t="str">
        <f>IF(COUNTIF(Tabla_imprenta[LOTE],Tabla_control[[#This Row],[LOTE]])=1,INDEX(Tabla_imprenta[stock sap],MATCH(Tabla_control[[#This Row],[LOTE]],Tabla_imprenta[LOTE],0)),"ENTREGADO")</f>
        <v>ENTREGADO</v>
      </c>
      <c r="I17" s="139" t="str">
        <f>IF(Tabla_control[[#This Row],[STOCK SAP]]&gt;Tabla_control[[#This Row],[CANTIDAD IMPRIMIR]],"cubre","no cubre")</f>
        <v>no cubre</v>
      </c>
      <c r="J17" s="7" t="str">
        <f>IF(COUNTIF(Tabla_imprenta[LOTE],Tabla_control[[#This Row],[LOTE]])=1,INDEX(Tabla_imprenta[STOCK],MATCH(Tabla_control[[#This Row],[LOTE]],Tabla_imprenta[LOTE],0)),"ENTREGADO")</f>
        <v>ENTREGADO</v>
      </c>
      <c r="K1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7" s="148" t="e">
        <f>INDEX(Tabla_imprenta[FECHA CAJA],MATCH(Tabla_control[[#This Row],[LOTE]],Tabla_imprenta[LOTE],0))</f>
        <v>#N/A</v>
      </c>
      <c r="M1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7" s="170" t="e">
        <f>ROUNDUP(Tabla_control[[#This Row],[CANTIDAD IMPRIMIR]]/Tabla_control[[#This Row],[N TJ]],0)</f>
        <v>#VALUE!</v>
      </c>
      <c r="Q17" s="170" t="e">
        <f>IF(Tabla_control[[#This Row],[CANTIDAD TIRAJE]]&gt;10000,Tabla_control[[#This Row],[CANTIDAD TIRAJE]],Tabla_control[[#This Row],[CANTIDAD TIRAJE]]*2)</f>
        <v>#VALUE!</v>
      </c>
      <c r="R17" s="4" t="s">
        <v>172</v>
      </c>
      <c r="S17" s="4" t="s">
        <v>3759</v>
      </c>
      <c r="T17" s="4"/>
      <c r="U17" s="4"/>
      <c r="V17" s="4"/>
      <c r="W17" s="155" t="s">
        <v>3223</v>
      </c>
      <c r="X17" s="155"/>
      <c r="Y17" s="155"/>
      <c r="Z17" s="155"/>
      <c r="AA17" s="4" t="s">
        <v>2182</v>
      </c>
      <c r="AB17" s="184" t="s">
        <v>2028</v>
      </c>
    </row>
    <row r="18" spans="1:28" hidden="1" x14ac:dyDescent="0.2">
      <c r="A18" s="175" t="str">
        <f>IF(COUNTIF(Tabla_imprenta[LOTE],Tabla_control[[#This Row],[LOTE]])=1,INDEX(Tabla_imprenta[FECHA EMISIÓN],MATCH(Tabla_control[[#This Row],[LOTE]],Tabla_imprenta[LOTE],0)),"REALIZADO")</f>
        <v>REALIZADO</v>
      </c>
      <c r="B18" s="142" t="str">
        <f>IF(COUNTIF(Tabla_imprenta[LOTE],Tabla_control[[#This Row],[LOTE]])=1,INDEX(Tabla_imprenta[CÓD. SOLICITUD],MATCH(Tabla_control[[#This Row],[LOTE]],Tabla_imprenta[LOTE],0)),"REALIZADO")</f>
        <v>REALIZADO</v>
      </c>
      <c r="C18" s="177" t="str">
        <f>IF(COUNTIF(Tabla_imprenta[LOTE],Tabla_control[[#This Row],[LOTE]])=1,INDEX(Tabla_imprenta[PRODUCTO],MATCH(Tabla_control[[#This Row],[LOTE]],Tabla_imprenta[LOTE],0)),"REALIZADO")</f>
        <v>REALIZADO</v>
      </c>
      <c r="D18" s="142" t="str">
        <f>IF(COUNTIF(Tabla_imprenta[LOTE],Tabla_control[[#This Row],[LOTE]])=1,INDEX(Tabla_imprenta[FORMA FARMACEUTICA],MATCH(Tabla_control[[#This Row],[LOTE]],Tabla_imprenta[LOTE],0)),"REALIZADO")</f>
        <v>REALIZADO</v>
      </c>
      <c r="E18" s="177" t="str">
        <f>IF(COUNTIF(Tabla_imprenta[LOTE],Tabla_control[[#This Row],[LOTE]])=1,INDEX(Tabla_imprenta[INSTITUCIÓN],MATCH(Tabla_control[[#This Row],[LOTE]],Tabla_imprenta[LOTE],0)),"REALIZADO")</f>
        <v>REALIZADO</v>
      </c>
      <c r="F18" s="180" t="s">
        <v>2168</v>
      </c>
      <c r="G1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8" s="139" t="str">
        <f>IF(COUNTIF(Tabla_imprenta[LOTE],Tabla_control[[#This Row],[LOTE]])=1,INDEX(Tabla_imprenta[stock sap],MATCH(Tabla_control[[#This Row],[LOTE]],Tabla_imprenta[LOTE],0)),"ENTREGADO")</f>
        <v>ENTREGADO</v>
      </c>
      <c r="I18" s="139" t="str">
        <f>IF(Tabla_control[[#This Row],[STOCK SAP]]&gt;Tabla_control[[#This Row],[CANTIDAD IMPRIMIR]],"cubre","no cubre")</f>
        <v>no cubre</v>
      </c>
      <c r="J18" s="7" t="str">
        <f>IF(COUNTIF(Tabla_imprenta[LOTE],Tabla_control[[#This Row],[LOTE]])=1,INDEX(Tabla_imprenta[STOCK],MATCH(Tabla_control[[#This Row],[LOTE]],Tabla_imprenta[LOTE],0)),"ENTREGADO")</f>
        <v>ENTREGADO</v>
      </c>
      <c r="K1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8" s="148" t="e">
        <f>INDEX(Tabla_imprenta[FECHA CAJA],MATCH(Tabla_control[[#This Row],[LOTE]],Tabla_imprenta[LOTE],0))</f>
        <v>#N/A</v>
      </c>
      <c r="M1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8" s="170" t="e">
        <f>ROUNDUP(Tabla_control[[#This Row],[CANTIDAD IMPRIMIR]]/Tabla_control[[#This Row],[N TJ]],0)</f>
        <v>#VALUE!</v>
      </c>
      <c r="Q18" s="170" t="e">
        <f>IF(Tabla_control[[#This Row],[CANTIDAD TIRAJE]]&gt;10000,Tabla_control[[#This Row],[CANTIDAD TIRAJE]],Tabla_control[[#This Row],[CANTIDAD TIRAJE]]*2)</f>
        <v>#VALUE!</v>
      </c>
      <c r="R18" s="4" t="s">
        <v>172</v>
      </c>
      <c r="S18" s="4" t="s">
        <v>3759</v>
      </c>
      <c r="T18" s="4"/>
      <c r="U18" s="4"/>
      <c r="V18" s="4"/>
      <c r="W18" s="155" t="s">
        <v>3223</v>
      </c>
      <c r="X18" s="155"/>
      <c r="Y18" s="155"/>
      <c r="Z18" s="155"/>
      <c r="AA18" s="4" t="s">
        <v>2182</v>
      </c>
      <c r="AB18" s="184" t="s">
        <v>2028</v>
      </c>
    </row>
    <row r="19" spans="1:28" hidden="1" x14ac:dyDescent="0.2">
      <c r="A19" s="175" t="str">
        <f>IF(COUNTIF(Tabla_imprenta[LOTE],Tabla_control[[#This Row],[LOTE]])=1,INDEX(Tabla_imprenta[FECHA EMISIÓN],MATCH(Tabla_control[[#This Row],[LOTE]],Tabla_imprenta[LOTE],0)),"REALIZADO")</f>
        <v>REALIZADO</v>
      </c>
      <c r="B19" s="142" t="str">
        <f>IF(COUNTIF(Tabla_imprenta[LOTE],Tabla_control[[#This Row],[LOTE]])=1,INDEX(Tabla_imprenta[CÓD. SOLICITUD],MATCH(Tabla_control[[#This Row],[LOTE]],Tabla_imprenta[LOTE],0)),"REALIZADO")</f>
        <v>REALIZADO</v>
      </c>
      <c r="C19" s="177" t="str">
        <f>IF(COUNTIF(Tabla_imprenta[LOTE],Tabla_control[[#This Row],[LOTE]])=1,INDEX(Tabla_imprenta[PRODUCTO],MATCH(Tabla_control[[#This Row],[LOTE]],Tabla_imprenta[LOTE],0)),"REALIZADO")</f>
        <v>REALIZADO</v>
      </c>
      <c r="D19" s="142" t="str">
        <f>IF(COUNTIF(Tabla_imprenta[LOTE],Tabla_control[[#This Row],[LOTE]])=1,INDEX(Tabla_imprenta[FORMA FARMACEUTICA],MATCH(Tabla_control[[#This Row],[LOTE]],Tabla_imprenta[LOTE],0)),"REALIZADO")</f>
        <v>REALIZADO</v>
      </c>
      <c r="E19" s="177" t="str">
        <f>IF(COUNTIF(Tabla_imprenta[LOTE],Tabla_control[[#This Row],[LOTE]])=1,INDEX(Tabla_imprenta[INSTITUCIÓN],MATCH(Tabla_control[[#This Row],[LOTE]],Tabla_imprenta[LOTE],0)),"REALIZADO")</f>
        <v>REALIZADO</v>
      </c>
      <c r="F19" s="180" t="s">
        <v>2176</v>
      </c>
      <c r="G1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9" s="139" t="str">
        <f>IF(COUNTIF(Tabla_imprenta[LOTE],Tabla_control[[#This Row],[LOTE]])=1,INDEX(Tabla_imprenta[stock sap],MATCH(Tabla_control[[#This Row],[LOTE]],Tabla_imprenta[LOTE],0)),"ENTREGADO")</f>
        <v>ENTREGADO</v>
      </c>
      <c r="I19" s="139" t="str">
        <f>IF(Tabla_control[[#This Row],[STOCK SAP]]&gt;Tabla_control[[#This Row],[CANTIDAD IMPRIMIR]],"cubre","no cubre")</f>
        <v>no cubre</v>
      </c>
      <c r="J19" s="7" t="str">
        <f>IF(COUNTIF(Tabla_imprenta[LOTE],Tabla_control[[#This Row],[LOTE]])=1,INDEX(Tabla_imprenta[STOCK],MATCH(Tabla_control[[#This Row],[LOTE]],Tabla_imprenta[LOTE],0)),"ENTREGADO")</f>
        <v>ENTREGADO</v>
      </c>
      <c r="K1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9" s="148" t="e">
        <f>INDEX(Tabla_imprenta[FECHA CAJA],MATCH(Tabla_control[[#This Row],[LOTE]],Tabla_imprenta[LOTE],0))</f>
        <v>#N/A</v>
      </c>
      <c r="M1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9" s="169" t="e">
        <f>ROUNDUP(Tabla_control[[#This Row],[CANTIDAD IMPRIMIR]]/Tabla_control[[#This Row],[N TJ]],0)</f>
        <v>#VALUE!</v>
      </c>
      <c r="Q19" s="169" t="e">
        <f>IF(Tabla_control[[#This Row],[CANTIDAD TIRAJE]]&gt;10000,Tabla_control[[#This Row],[CANTIDAD TIRAJE]],Tabla_control[[#This Row],[CANTIDAD TIRAJE]]*2)</f>
        <v>#VALUE!</v>
      </c>
      <c r="R19" s="4" t="s">
        <v>173</v>
      </c>
      <c r="S19" s="4" t="s">
        <v>174</v>
      </c>
      <c r="T19" s="4"/>
      <c r="U19" s="4"/>
      <c r="V19" s="4"/>
      <c r="W19" s="138" t="s">
        <v>3223</v>
      </c>
      <c r="X19" s="138"/>
      <c r="Y19" s="138"/>
      <c r="Z19" s="138"/>
      <c r="AA19" s="4" t="s">
        <v>2031</v>
      </c>
      <c r="AB19" s="184" t="s">
        <v>2028</v>
      </c>
    </row>
    <row r="20" spans="1:28" hidden="1" x14ac:dyDescent="0.2">
      <c r="A20" s="175" t="str">
        <f>IF(COUNTIF(Tabla_imprenta[LOTE],Tabla_control[[#This Row],[LOTE]])=1,INDEX(Tabla_imprenta[FECHA EMISIÓN],MATCH(Tabla_control[[#This Row],[LOTE]],Tabla_imprenta[LOTE],0)),"REALIZADO")</f>
        <v>REALIZADO</v>
      </c>
      <c r="B20" s="142" t="str">
        <f>IF(COUNTIF(Tabla_imprenta[LOTE],Tabla_control[[#This Row],[LOTE]])=1,INDEX(Tabla_imprenta[CÓD. SOLICITUD],MATCH(Tabla_control[[#This Row],[LOTE]],Tabla_imprenta[LOTE],0)),"REALIZADO")</f>
        <v>REALIZADO</v>
      </c>
      <c r="C20" s="177" t="str">
        <f>IF(COUNTIF(Tabla_imprenta[LOTE],Tabla_control[[#This Row],[LOTE]])=1,INDEX(Tabla_imprenta[PRODUCTO],MATCH(Tabla_control[[#This Row],[LOTE]],Tabla_imprenta[LOTE],0)),"REALIZADO")</f>
        <v>REALIZADO</v>
      </c>
      <c r="D20" s="142" t="str">
        <f>IF(COUNTIF(Tabla_imprenta[LOTE],Tabla_control[[#This Row],[LOTE]])=1,INDEX(Tabla_imprenta[FORMA FARMACEUTICA],MATCH(Tabla_control[[#This Row],[LOTE]],Tabla_imprenta[LOTE],0)),"REALIZADO")</f>
        <v>REALIZADO</v>
      </c>
      <c r="E20" s="177" t="str">
        <f>IF(COUNTIF(Tabla_imprenta[LOTE],Tabla_control[[#This Row],[LOTE]])=1,INDEX(Tabla_imprenta[INSTITUCIÓN],MATCH(Tabla_control[[#This Row],[LOTE]],Tabla_imprenta[LOTE],0)),"REALIZADO")</f>
        <v>REALIZADO</v>
      </c>
      <c r="F20" s="180" t="s">
        <v>2211</v>
      </c>
      <c r="G2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0" s="139" t="str">
        <f>IF(COUNTIF(Tabla_imprenta[LOTE],Tabla_control[[#This Row],[LOTE]])=1,INDEX(Tabla_imprenta[stock sap],MATCH(Tabla_control[[#This Row],[LOTE]],Tabla_imprenta[LOTE],0)),"ENTREGADO")</f>
        <v>ENTREGADO</v>
      </c>
      <c r="I20" s="139" t="str">
        <f>IF(Tabla_control[[#This Row],[STOCK SAP]]&gt;Tabla_control[[#This Row],[CANTIDAD IMPRIMIR]],"cubre","no cubre")</f>
        <v>no cubre</v>
      </c>
      <c r="J20" s="7" t="str">
        <f>IF(COUNTIF(Tabla_imprenta[LOTE],Tabla_control[[#This Row],[LOTE]])=1,INDEX(Tabla_imprenta[STOCK],MATCH(Tabla_control[[#This Row],[LOTE]],Tabla_imprenta[LOTE],0)),"ENTREGADO")</f>
        <v>ENTREGADO</v>
      </c>
      <c r="K2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0" s="148" t="e">
        <f>INDEX(Tabla_imprenta[FECHA CAJA],MATCH(Tabla_control[[#This Row],[LOTE]],Tabla_imprenta[LOTE],0))</f>
        <v>#N/A</v>
      </c>
      <c r="M2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0" s="169" t="e">
        <f>ROUNDUP(Tabla_control[[#This Row],[CANTIDAD IMPRIMIR]]/Tabla_control[[#This Row],[N TJ]],0)</f>
        <v>#VALUE!</v>
      </c>
      <c r="Q20" s="169" t="e">
        <f>IF(Tabla_control[[#This Row],[CANTIDAD TIRAJE]]&gt;10000,Tabla_control[[#This Row],[CANTIDAD TIRAJE]],Tabla_control[[#This Row],[CANTIDAD TIRAJE]]*2)</f>
        <v>#VALUE!</v>
      </c>
      <c r="R20" s="4" t="s">
        <v>172</v>
      </c>
      <c r="S20" s="4" t="s">
        <v>30</v>
      </c>
      <c r="T20" s="4"/>
      <c r="U20" s="4"/>
      <c r="V20" s="4"/>
      <c r="W20" s="138" t="s">
        <v>3223</v>
      </c>
      <c r="X20" s="138"/>
      <c r="Y20" s="138"/>
      <c r="Z20" s="138"/>
      <c r="AA20" s="4" t="s">
        <v>2314</v>
      </c>
      <c r="AB20" s="184" t="s">
        <v>2028</v>
      </c>
    </row>
    <row r="21" spans="1:28" hidden="1" x14ac:dyDescent="0.2">
      <c r="A21" s="175" t="str">
        <f>IF(COUNTIF(Tabla_imprenta[LOTE],Tabla_control[[#This Row],[LOTE]])=1,INDEX(Tabla_imprenta[FECHA EMISIÓN],MATCH(Tabla_control[[#This Row],[LOTE]],Tabla_imprenta[LOTE],0)),"REALIZADO")</f>
        <v>REALIZADO</v>
      </c>
      <c r="B21" s="142" t="str">
        <f>IF(COUNTIF(Tabla_imprenta[LOTE],Tabla_control[[#This Row],[LOTE]])=1,INDEX(Tabla_imprenta[CÓD. SOLICITUD],MATCH(Tabla_control[[#This Row],[LOTE]],Tabla_imprenta[LOTE],0)),"REALIZADO")</f>
        <v>REALIZADO</v>
      </c>
      <c r="C21" s="177" t="str">
        <f>IF(COUNTIF(Tabla_imprenta[LOTE],Tabla_control[[#This Row],[LOTE]])=1,INDEX(Tabla_imprenta[PRODUCTO],MATCH(Tabla_control[[#This Row],[LOTE]],Tabla_imprenta[LOTE],0)),"REALIZADO")</f>
        <v>REALIZADO</v>
      </c>
      <c r="D21" s="142" t="str">
        <f>IF(COUNTIF(Tabla_imprenta[LOTE],Tabla_control[[#This Row],[LOTE]])=1,INDEX(Tabla_imprenta[FORMA FARMACEUTICA],MATCH(Tabla_control[[#This Row],[LOTE]],Tabla_imprenta[LOTE],0)),"REALIZADO")</f>
        <v>REALIZADO</v>
      </c>
      <c r="E21" s="177" t="str">
        <f>IF(COUNTIF(Tabla_imprenta[LOTE],Tabla_control[[#This Row],[LOTE]])=1,INDEX(Tabla_imprenta[INSTITUCIÓN],MATCH(Tabla_control[[#This Row],[LOTE]],Tabla_imprenta[LOTE],0)),"REALIZADO")</f>
        <v>REALIZADO</v>
      </c>
      <c r="F21" s="180" t="s">
        <v>2130</v>
      </c>
      <c r="G2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1" s="139" t="str">
        <f>IF(COUNTIF(Tabla_imprenta[LOTE],Tabla_control[[#This Row],[LOTE]])=1,INDEX(Tabla_imprenta[stock sap],MATCH(Tabla_control[[#This Row],[LOTE]],Tabla_imprenta[LOTE],0)),"ENTREGADO")</f>
        <v>ENTREGADO</v>
      </c>
      <c r="I21" s="139" t="str">
        <f>IF(Tabla_control[[#This Row],[STOCK SAP]]&gt;Tabla_control[[#This Row],[CANTIDAD IMPRIMIR]],"cubre","no cubre")</f>
        <v>no cubre</v>
      </c>
      <c r="J21" s="7" t="str">
        <f>IF(COUNTIF(Tabla_imprenta[LOTE],Tabla_control[[#This Row],[LOTE]])=1,INDEX(Tabla_imprenta[STOCK],MATCH(Tabla_control[[#This Row],[LOTE]],Tabla_imprenta[LOTE],0)),"ENTREGADO")</f>
        <v>ENTREGADO</v>
      </c>
      <c r="K2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1" s="148" t="e">
        <f>INDEX(Tabla_imprenta[FECHA CAJA],MATCH(Tabla_control[[#This Row],[LOTE]],Tabla_imprenta[LOTE],0))</f>
        <v>#N/A</v>
      </c>
      <c r="M2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1" s="169" t="e">
        <f>ROUNDUP(Tabla_control[[#This Row],[CANTIDAD IMPRIMIR]]/Tabla_control[[#This Row],[N TJ]],0)</f>
        <v>#VALUE!</v>
      </c>
      <c r="Q21" s="169" t="e">
        <f>IF(Tabla_control[[#This Row],[CANTIDAD TIRAJE]]&gt;10000,Tabla_control[[#This Row],[CANTIDAD TIRAJE]],Tabla_control[[#This Row],[CANTIDAD TIRAJE]]*2)</f>
        <v>#VALUE!</v>
      </c>
      <c r="R21" s="4" t="s">
        <v>172</v>
      </c>
      <c r="S21" s="4" t="s">
        <v>31</v>
      </c>
      <c r="T21" s="4"/>
      <c r="U21" s="4"/>
      <c r="V21" s="4"/>
      <c r="W21" s="138" t="s">
        <v>3223</v>
      </c>
      <c r="X21" s="138"/>
      <c r="Y21" s="138"/>
      <c r="Z21" s="138"/>
      <c r="AA21" s="4" t="s">
        <v>2031</v>
      </c>
      <c r="AB21" s="184" t="s">
        <v>2028</v>
      </c>
    </row>
    <row r="22" spans="1:28" hidden="1" x14ac:dyDescent="0.2">
      <c r="A22" s="175">
        <f>IF(COUNTIF(Tabla_imprenta[LOTE],Tabla_control[[#This Row],[LOTE]])=1,INDEX(Tabla_imprenta[FECHA EMISIÓN],MATCH(Tabla_control[[#This Row],[LOTE]],Tabla_imprenta[LOTE],0)),"REALIZADO")</f>
        <v>46055</v>
      </c>
      <c r="B22" s="142">
        <f>IF(COUNTIF(Tabla_imprenta[LOTE],Tabla_control[[#This Row],[LOTE]])=1,INDEX(Tabla_imprenta[CÓD. SOLICITUD],MATCH(Tabla_control[[#This Row],[LOTE]],Tabla_imprenta[LOTE],0)),"REALIZADO")</f>
        <v>0</v>
      </c>
      <c r="C22" s="177" t="str">
        <f>IF(COUNTIF(Tabla_imprenta[LOTE],Tabla_control[[#This Row],[LOTE]])=1,INDEX(Tabla_imprenta[PRODUCTO],MATCH(Tabla_control[[#This Row],[LOTE]],Tabla_imprenta[LOTE],0)),"REALIZADO")</f>
        <v>GLUCONATO DE CALCIO 10% X 10 AMP. SOLUCION INY.</v>
      </c>
      <c r="D22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22" s="177" t="str">
        <f>IF(COUNTIF(Tabla_imprenta[LOTE],Tabla_control[[#This Row],[LOTE]])=1,INDEX(Tabla_imprenta[INSTITUCIÓN],MATCH(Tabla_control[[#This Row],[LOTE]],Tabla_imprenta[LOTE],0)),"REALIZADO")</f>
        <v>COMERCIO</v>
      </c>
      <c r="F22" s="180" t="s">
        <v>2163</v>
      </c>
      <c r="G22" s="139">
        <f>IF(COUNTIF(Tabla_imprenta[LOTE],Tabla_control[[#This Row],[LOTE]])=1,INDEX(Tabla_imprenta[CANTIDAD ENVASE SECUNDARIO],MATCH(Tabla_control[[#This Row],[LOTE]],Tabla_imprenta[LOTE],0)),"ENTREGADO")</f>
        <v>1800</v>
      </c>
      <c r="H22" s="139">
        <f>IF(COUNTIF(Tabla_imprenta[LOTE],Tabla_control[[#This Row],[LOTE]])=1,INDEX(Tabla_imprenta[stock sap],MATCH(Tabla_control[[#This Row],[LOTE]],Tabla_imprenta[LOTE],0)),"ENTREGADO")</f>
        <v>1720</v>
      </c>
      <c r="I22" s="139" t="str">
        <f>IF(Tabla_control[[#This Row],[STOCK SAP]]&gt;Tabla_control[[#This Row],[CANTIDAD IMPRIMIR]],"cubre","no cubre")</f>
        <v>no cubre</v>
      </c>
      <c r="J22" s="7">
        <f>IF(COUNTIF(Tabla_imprenta[LOTE],Tabla_control[[#This Row],[LOTE]])=1,INDEX(Tabla_imprenta[STOCK],MATCH(Tabla_control[[#This Row],[LOTE]],Tabla_imprenta[LOTE],0)),"ENTREGADO")</f>
        <v>0.88060832673790668</v>
      </c>
      <c r="K2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2" s="148" t="str">
        <f>INDEX(Tabla_imprenta[FECHA CAJA],MATCH(Tabla_control[[#This Row],[LOTE]],Tabla_imprenta[LOTE],0))</f>
        <v>ENTREGADO</v>
      </c>
      <c r="M2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2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2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</v>
      </c>
      <c r="P22" s="169">
        <f>ROUNDUP(Tabla_control[[#This Row],[CANTIDAD IMPRIMIR]]/Tabla_control[[#This Row],[N TJ]],0)</f>
        <v>900</v>
      </c>
      <c r="Q22" s="169">
        <f>IF(Tabla_control[[#This Row],[CANTIDAD TIRAJE]]&gt;10000,Tabla_control[[#This Row],[CANTIDAD TIRAJE]],Tabla_control[[#This Row],[CANTIDAD TIRAJE]]*2)</f>
        <v>1800</v>
      </c>
      <c r="R22" s="4" t="s">
        <v>172</v>
      </c>
      <c r="S22" s="4" t="s">
        <v>31</v>
      </c>
      <c r="T22" s="4"/>
      <c r="U22" s="4"/>
      <c r="V22" s="4"/>
      <c r="W22" s="138" t="s">
        <v>3223</v>
      </c>
      <c r="X22" s="138"/>
      <c r="Y22" s="138"/>
      <c r="Z22" s="138"/>
      <c r="AA22" s="4" t="s">
        <v>2314</v>
      </c>
      <c r="AB22" s="184" t="s">
        <v>2028</v>
      </c>
    </row>
    <row r="23" spans="1:28" hidden="1" x14ac:dyDescent="0.2">
      <c r="A23" s="175" t="str">
        <f>IF(COUNTIF(Tabla_imprenta[LOTE],Tabla_control[[#This Row],[LOTE]])=1,INDEX(Tabla_imprenta[FECHA EMISIÓN],MATCH(Tabla_control[[#This Row],[LOTE]],Tabla_imprenta[LOTE],0)),"REALIZADO")</f>
        <v>REALIZADO</v>
      </c>
      <c r="B23" s="142" t="str">
        <f>IF(COUNTIF(Tabla_imprenta[LOTE],Tabla_control[[#This Row],[LOTE]])=1,INDEX(Tabla_imprenta[CÓD. SOLICITUD],MATCH(Tabla_control[[#This Row],[LOTE]],Tabla_imprenta[LOTE],0)),"REALIZADO")</f>
        <v>REALIZADO</v>
      </c>
      <c r="C23" s="177" t="str">
        <f>IF(COUNTIF(Tabla_imprenta[LOTE],Tabla_control[[#This Row],[LOTE]])=1,INDEX(Tabla_imprenta[PRODUCTO],MATCH(Tabla_control[[#This Row],[LOTE]],Tabla_imprenta[LOTE],0)),"REALIZADO")</f>
        <v>REALIZADO</v>
      </c>
      <c r="D23" s="142" t="str">
        <f>IF(COUNTIF(Tabla_imprenta[LOTE],Tabla_control[[#This Row],[LOTE]])=1,INDEX(Tabla_imprenta[FORMA FARMACEUTICA],MATCH(Tabla_control[[#This Row],[LOTE]],Tabla_imprenta[LOTE],0)),"REALIZADO")</f>
        <v>REALIZADO</v>
      </c>
      <c r="E23" s="177" t="str">
        <f>IF(COUNTIF(Tabla_imprenta[LOTE],Tabla_control[[#This Row],[LOTE]])=1,INDEX(Tabla_imprenta[INSTITUCIÓN],MATCH(Tabla_control[[#This Row],[LOTE]],Tabla_imprenta[LOTE],0)),"REALIZADO")</f>
        <v>REALIZADO</v>
      </c>
      <c r="F23" s="180" t="s">
        <v>2525</v>
      </c>
      <c r="G2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3" s="139" t="str">
        <f>IF(COUNTIF(Tabla_imprenta[LOTE],Tabla_control[[#This Row],[LOTE]])=1,INDEX(Tabla_imprenta[stock sap],MATCH(Tabla_control[[#This Row],[LOTE]],Tabla_imprenta[LOTE],0)),"ENTREGADO")</f>
        <v>ENTREGADO</v>
      </c>
      <c r="I23" s="139" t="str">
        <f>IF(Tabla_control[[#This Row],[STOCK SAP]]&gt;Tabla_control[[#This Row],[CANTIDAD IMPRIMIR]],"cubre","no cubre")</f>
        <v>no cubre</v>
      </c>
      <c r="J23" s="7" t="str">
        <f>IF(COUNTIF(Tabla_imprenta[LOTE],Tabla_control[[#This Row],[LOTE]])=1,INDEX(Tabla_imprenta[STOCK],MATCH(Tabla_control[[#This Row],[LOTE]],Tabla_imprenta[LOTE],0)),"ENTREGADO")</f>
        <v>ENTREGADO</v>
      </c>
      <c r="K2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3" s="148" t="e">
        <f>INDEX(Tabla_imprenta[FECHA CAJA],MATCH(Tabla_control[[#This Row],[LOTE]],Tabla_imprenta[LOTE],0))</f>
        <v>#N/A</v>
      </c>
      <c r="M2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3" s="170" t="e">
        <f>ROUNDUP(Tabla_control[[#This Row],[CANTIDAD IMPRIMIR]]/Tabla_control[[#This Row],[N TJ]],0)</f>
        <v>#VALUE!</v>
      </c>
      <c r="Q23" s="170" t="e">
        <f>IF(Tabla_control[[#This Row],[CANTIDAD TIRAJE]]&gt;10000,Tabla_control[[#This Row],[CANTIDAD TIRAJE]],Tabla_control[[#This Row],[CANTIDAD TIRAJE]]*2)</f>
        <v>#VALUE!</v>
      </c>
      <c r="R23" s="4" t="s">
        <v>2030</v>
      </c>
      <c r="S23" s="4" t="s">
        <v>31</v>
      </c>
      <c r="T23" s="4"/>
      <c r="U23" s="4"/>
      <c r="V23" s="4"/>
      <c r="W23" s="185" t="s">
        <v>2986</v>
      </c>
      <c r="X23" s="185"/>
      <c r="Y23" s="185"/>
      <c r="Z23" s="185"/>
      <c r="AA23" s="4" t="s">
        <v>2314</v>
      </c>
      <c r="AB23" s="184" t="s">
        <v>2028</v>
      </c>
    </row>
    <row r="24" spans="1:28" hidden="1" x14ac:dyDescent="0.2">
      <c r="A24" s="175" t="str">
        <f>IF(COUNTIF(Tabla_imprenta[LOTE],Tabla_control[[#This Row],[LOTE]])=1,INDEX(Tabla_imprenta[FECHA EMISIÓN],MATCH(Tabla_control[[#This Row],[LOTE]],Tabla_imprenta[LOTE],0)),"REALIZADO")</f>
        <v>REALIZADO</v>
      </c>
      <c r="B24" s="142" t="str">
        <f>IF(COUNTIF(Tabla_imprenta[LOTE],Tabla_control[[#This Row],[LOTE]])=1,INDEX(Tabla_imprenta[CÓD. SOLICITUD],MATCH(Tabla_control[[#This Row],[LOTE]],Tabla_imprenta[LOTE],0)),"REALIZADO")</f>
        <v>REALIZADO</v>
      </c>
      <c r="C24" s="177" t="str">
        <f>IF(COUNTIF(Tabla_imprenta[LOTE],Tabla_control[[#This Row],[LOTE]])=1,INDEX(Tabla_imprenta[PRODUCTO],MATCH(Tabla_control[[#This Row],[LOTE]],Tabla_imprenta[LOTE],0)),"REALIZADO")</f>
        <v>REALIZADO</v>
      </c>
      <c r="D24" s="142" t="str">
        <f>IF(COUNTIF(Tabla_imprenta[LOTE],Tabla_control[[#This Row],[LOTE]])=1,INDEX(Tabla_imprenta[FORMA FARMACEUTICA],MATCH(Tabla_control[[#This Row],[LOTE]],Tabla_imprenta[LOTE],0)),"REALIZADO")</f>
        <v>REALIZADO</v>
      </c>
      <c r="E24" s="177" t="str">
        <f>IF(COUNTIF(Tabla_imprenta[LOTE],Tabla_control[[#This Row],[LOTE]])=1,INDEX(Tabla_imprenta[INSTITUCIÓN],MATCH(Tabla_control[[#This Row],[LOTE]],Tabla_imprenta[LOTE],0)),"REALIZADO")</f>
        <v>REALIZADO</v>
      </c>
      <c r="F24" s="180" t="s">
        <v>2120</v>
      </c>
      <c r="G2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4" s="139" t="str">
        <f>IF(COUNTIF(Tabla_imprenta[LOTE],Tabla_control[[#This Row],[LOTE]])=1,INDEX(Tabla_imprenta[stock sap],MATCH(Tabla_control[[#This Row],[LOTE]],Tabla_imprenta[LOTE],0)),"ENTREGADO")</f>
        <v>ENTREGADO</v>
      </c>
      <c r="I24" s="139" t="str">
        <f>IF(Tabla_control[[#This Row],[STOCK SAP]]&gt;Tabla_control[[#This Row],[CANTIDAD IMPRIMIR]],"cubre","no cubre")</f>
        <v>no cubre</v>
      </c>
      <c r="J24" s="7" t="str">
        <f>IF(COUNTIF(Tabla_imprenta[LOTE],Tabla_control[[#This Row],[LOTE]])=1,INDEX(Tabla_imprenta[STOCK],MATCH(Tabla_control[[#This Row],[LOTE]],Tabla_imprenta[LOTE],0)),"ENTREGADO")</f>
        <v>ENTREGADO</v>
      </c>
      <c r="K2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4" s="148" t="e">
        <f>INDEX(Tabla_imprenta[FECHA CAJA],MATCH(Tabla_control[[#This Row],[LOTE]],Tabla_imprenta[LOTE],0))</f>
        <v>#N/A</v>
      </c>
      <c r="M2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4" s="169" t="e">
        <f>ROUNDUP(Tabla_control[[#This Row],[CANTIDAD IMPRIMIR]]/Tabla_control[[#This Row],[N TJ]],0)</f>
        <v>#VALUE!</v>
      </c>
      <c r="Q24" s="169" t="e">
        <f>IF(Tabla_control[[#This Row],[CANTIDAD TIRAJE]]&gt;10000,Tabla_control[[#This Row],[CANTIDAD TIRAJE]],Tabla_control[[#This Row],[CANTIDAD TIRAJE]]*2)</f>
        <v>#VALUE!</v>
      </c>
      <c r="R24" s="4" t="s">
        <v>172</v>
      </c>
      <c r="S24" s="4" t="s">
        <v>30</v>
      </c>
      <c r="T24" s="4"/>
      <c r="U24" s="4"/>
      <c r="V24" s="4"/>
      <c r="W24" s="138" t="s">
        <v>3223</v>
      </c>
      <c r="X24" s="138"/>
      <c r="Y24" s="138"/>
      <c r="Z24" s="138"/>
      <c r="AA24" s="4" t="s">
        <v>321</v>
      </c>
      <c r="AB24" s="184" t="s">
        <v>2028</v>
      </c>
    </row>
    <row r="25" spans="1:28" hidden="1" x14ac:dyDescent="0.2">
      <c r="A25" s="175" t="str">
        <f>IF(COUNTIF(Tabla_imprenta[LOTE],Tabla_control[[#This Row],[LOTE]])=1,INDEX(Tabla_imprenta[FECHA EMISIÓN],MATCH(Tabla_control[[#This Row],[LOTE]],Tabla_imprenta[LOTE],0)),"REALIZADO")</f>
        <v>REALIZADO</v>
      </c>
      <c r="B25" s="142" t="str">
        <f>IF(COUNTIF(Tabla_imprenta[LOTE],Tabla_control[[#This Row],[LOTE]])=1,INDEX(Tabla_imprenta[CÓD. SOLICITUD],MATCH(Tabla_control[[#This Row],[LOTE]],Tabla_imprenta[LOTE],0)),"REALIZADO")</f>
        <v>REALIZADO</v>
      </c>
      <c r="C25" s="177" t="str">
        <f>IF(COUNTIF(Tabla_imprenta[LOTE],Tabla_control[[#This Row],[LOTE]])=1,INDEX(Tabla_imprenta[PRODUCTO],MATCH(Tabla_control[[#This Row],[LOTE]],Tabla_imprenta[LOTE],0)),"REALIZADO")</f>
        <v>REALIZADO</v>
      </c>
      <c r="D25" s="142" t="str">
        <f>IF(COUNTIF(Tabla_imprenta[LOTE],Tabla_control[[#This Row],[LOTE]])=1,INDEX(Tabla_imprenta[FORMA FARMACEUTICA],MATCH(Tabla_control[[#This Row],[LOTE]],Tabla_imprenta[LOTE],0)),"REALIZADO")</f>
        <v>REALIZADO</v>
      </c>
      <c r="E25" s="177" t="str">
        <f>IF(COUNTIF(Tabla_imprenta[LOTE],Tabla_control[[#This Row],[LOTE]])=1,INDEX(Tabla_imprenta[INSTITUCIÓN],MATCH(Tabla_control[[#This Row],[LOTE]],Tabla_imprenta[LOTE],0)),"REALIZADO")</f>
        <v>REALIZADO</v>
      </c>
      <c r="F25" s="180" t="s">
        <v>2481</v>
      </c>
      <c r="G2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5" s="139" t="str">
        <f>IF(COUNTIF(Tabla_imprenta[LOTE],Tabla_control[[#This Row],[LOTE]])=1,INDEX(Tabla_imprenta[stock sap],MATCH(Tabla_control[[#This Row],[LOTE]],Tabla_imprenta[LOTE],0)),"ENTREGADO")</f>
        <v>ENTREGADO</v>
      </c>
      <c r="I25" s="139" t="str">
        <f>IF(Tabla_control[[#This Row],[STOCK SAP]]&gt;Tabla_control[[#This Row],[CANTIDAD IMPRIMIR]],"cubre","no cubre")</f>
        <v>no cubre</v>
      </c>
      <c r="J25" s="7" t="str">
        <f>IF(COUNTIF(Tabla_imprenta[LOTE],Tabla_control[[#This Row],[LOTE]])=1,INDEX(Tabla_imprenta[STOCK],MATCH(Tabla_control[[#This Row],[LOTE]],Tabla_imprenta[LOTE],0)),"ENTREGADO")</f>
        <v>ENTREGADO</v>
      </c>
      <c r="K2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5" s="148" t="e">
        <f>INDEX(Tabla_imprenta[FECHA CAJA],MATCH(Tabla_control[[#This Row],[LOTE]],Tabla_imprenta[LOTE],0))</f>
        <v>#N/A</v>
      </c>
      <c r="M2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5" s="170" t="e">
        <f>ROUNDUP(Tabla_control[[#This Row],[CANTIDAD IMPRIMIR]]/Tabla_control[[#This Row],[N TJ]],0)</f>
        <v>#VALUE!</v>
      </c>
      <c r="Q25" s="170" t="e">
        <f>IF(Tabla_control[[#This Row],[CANTIDAD TIRAJE]]&gt;10000,Tabla_control[[#This Row],[CANTIDAD TIRAJE]],Tabla_control[[#This Row],[CANTIDAD TIRAJE]]*2)</f>
        <v>#VALUE!</v>
      </c>
      <c r="R25" s="4" t="s">
        <v>176</v>
      </c>
      <c r="S25" s="4" t="s">
        <v>30</v>
      </c>
      <c r="T25" s="4"/>
      <c r="U25" s="4"/>
      <c r="V25" s="4"/>
      <c r="W25" s="185" t="s">
        <v>3237</v>
      </c>
      <c r="X25" s="185"/>
      <c r="Y25" s="185"/>
      <c r="Z25" s="185"/>
      <c r="AA25" s="4" t="s">
        <v>2031</v>
      </c>
      <c r="AB25" s="184" t="s">
        <v>2028</v>
      </c>
    </row>
    <row r="26" spans="1:28" hidden="1" x14ac:dyDescent="0.2">
      <c r="A26" s="175" t="str">
        <f>IF(COUNTIF(Tabla_imprenta[LOTE],Tabla_control[[#This Row],[LOTE]])=1,INDEX(Tabla_imprenta[FECHA EMISIÓN],MATCH(Tabla_control[[#This Row],[LOTE]],Tabla_imprenta[LOTE],0)),"REALIZADO")</f>
        <v>REALIZADO</v>
      </c>
      <c r="B26" s="142" t="str">
        <f>IF(COUNTIF(Tabla_imprenta[LOTE],Tabla_control[[#This Row],[LOTE]])=1,INDEX(Tabla_imprenta[CÓD. SOLICITUD],MATCH(Tabla_control[[#This Row],[LOTE]],Tabla_imprenta[LOTE],0)),"REALIZADO")</f>
        <v>REALIZADO</v>
      </c>
      <c r="C26" s="177" t="str">
        <f>IF(COUNTIF(Tabla_imprenta[LOTE],Tabla_control[[#This Row],[LOTE]])=1,INDEX(Tabla_imprenta[PRODUCTO],MATCH(Tabla_control[[#This Row],[LOTE]],Tabla_imprenta[LOTE],0)),"REALIZADO")</f>
        <v>REALIZADO</v>
      </c>
      <c r="D26" s="142" t="str">
        <f>IF(COUNTIF(Tabla_imprenta[LOTE],Tabla_control[[#This Row],[LOTE]])=1,INDEX(Tabla_imprenta[FORMA FARMACEUTICA],MATCH(Tabla_control[[#This Row],[LOTE]],Tabla_imprenta[LOTE],0)),"REALIZADO")</f>
        <v>REALIZADO</v>
      </c>
      <c r="E26" s="177" t="str">
        <f>IF(COUNTIF(Tabla_imprenta[LOTE],Tabla_control[[#This Row],[LOTE]])=1,INDEX(Tabla_imprenta[INSTITUCIÓN],MATCH(Tabla_control[[#This Row],[LOTE]],Tabla_imprenta[LOTE],0)),"REALIZADO")</f>
        <v>REALIZADO</v>
      </c>
      <c r="F26" s="180" t="s">
        <v>2524</v>
      </c>
      <c r="G2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6" s="139" t="str">
        <f>IF(COUNTIF(Tabla_imprenta[LOTE],Tabla_control[[#This Row],[LOTE]])=1,INDEX(Tabla_imprenta[stock sap],MATCH(Tabla_control[[#This Row],[LOTE]],Tabla_imprenta[LOTE],0)),"ENTREGADO")</f>
        <v>ENTREGADO</v>
      </c>
      <c r="I26" s="139" t="str">
        <f>IF(Tabla_control[[#This Row],[STOCK SAP]]&gt;Tabla_control[[#This Row],[CANTIDAD IMPRIMIR]],"cubre","no cubre")</f>
        <v>no cubre</v>
      </c>
      <c r="J26" s="7" t="str">
        <f>IF(COUNTIF(Tabla_imprenta[LOTE],Tabla_control[[#This Row],[LOTE]])=1,INDEX(Tabla_imprenta[STOCK],MATCH(Tabla_control[[#This Row],[LOTE]],Tabla_imprenta[LOTE],0)),"ENTREGADO")</f>
        <v>ENTREGADO</v>
      </c>
      <c r="K2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6" s="148" t="e">
        <f>INDEX(Tabla_imprenta[FECHA CAJA],MATCH(Tabla_control[[#This Row],[LOTE]],Tabla_imprenta[LOTE],0))</f>
        <v>#N/A</v>
      </c>
      <c r="M2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6" s="169" t="e">
        <f>ROUNDUP(Tabla_control[[#This Row],[CANTIDAD IMPRIMIR]]/Tabla_control[[#This Row],[N TJ]],0)</f>
        <v>#VALUE!</v>
      </c>
      <c r="Q26" s="169" t="e">
        <f>IF(Tabla_control[[#This Row],[CANTIDAD TIRAJE]]&gt;10000,Tabla_control[[#This Row],[CANTIDAD TIRAJE]],Tabla_control[[#This Row],[CANTIDAD TIRAJE]]*2)</f>
        <v>#VALUE!</v>
      </c>
      <c r="R26" s="4" t="s">
        <v>172</v>
      </c>
      <c r="S26" s="4" t="s">
        <v>31</v>
      </c>
      <c r="T26" s="4"/>
      <c r="U26" s="4"/>
      <c r="V26" s="4"/>
      <c r="W26" s="185" t="s">
        <v>3223</v>
      </c>
      <c r="X26" s="185"/>
      <c r="Y26" s="185"/>
      <c r="Z26" s="185"/>
      <c r="AA26" s="4" t="s">
        <v>2314</v>
      </c>
      <c r="AB26" s="184" t="s">
        <v>2028</v>
      </c>
    </row>
    <row r="27" spans="1:28" hidden="1" x14ac:dyDescent="0.2">
      <c r="A27" s="175" t="str">
        <f>IF(COUNTIF(Tabla_imprenta[LOTE],Tabla_control[[#This Row],[LOTE]])=1,INDEX(Tabla_imprenta[FECHA EMISIÓN],MATCH(Tabla_control[[#This Row],[LOTE]],Tabla_imprenta[LOTE],0)),"REALIZADO")</f>
        <v>REALIZADO</v>
      </c>
      <c r="B27" s="142" t="str">
        <f>IF(COUNTIF(Tabla_imprenta[LOTE],Tabla_control[[#This Row],[LOTE]])=1,INDEX(Tabla_imprenta[CÓD. SOLICITUD],MATCH(Tabla_control[[#This Row],[LOTE]],Tabla_imprenta[LOTE],0)),"REALIZADO")</f>
        <v>REALIZADO</v>
      </c>
      <c r="C27" s="177" t="str">
        <f>IF(COUNTIF(Tabla_imprenta[LOTE],Tabla_control[[#This Row],[LOTE]])=1,INDEX(Tabla_imprenta[PRODUCTO],MATCH(Tabla_control[[#This Row],[LOTE]],Tabla_imprenta[LOTE],0)),"REALIZADO")</f>
        <v>REALIZADO</v>
      </c>
      <c r="D27" s="142" t="str">
        <f>IF(COUNTIF(Tabla_imprenta[LOTE],Tabla_control[[#This Row],[LOTE]])=1,INDEX(Tabla_imprenta[FORMA FARMACEUTICA],MATCH(Tabla_control[[#This Row],[LOTE]],Tabla_imprenta[LOTE],0)),"REALIZADO")</f>
        <v>REALIZADO</v>
      </c>
      <c r="E27" s="177" t="str">
        <f>IF(COUNTIF(Tabla_imprenta[LOTE],Tabla_control[[#This Row],[LOTE]])=1,INDEX(Tabla_imprenta[INSTITUCIÓN],MATCH(Tabla_control[[#This Row],[LOTE]],Tabla_imprenta[LOTE],0)),"REALIZADO")</f>
        <v>REALIZADO</v>
      </c>
      <c r="F27" s="180" t="s">
        <v>2572</v>
      </c>
      <c r="G2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7" s="139" t="str">
        <f>IF(COUNTIF(Tabla_imprenta[LOTE],Tabla_control[[#This Row],[LOTE]])=1,INDEX(Tabla_imprenta[stock sap],MATCH(Tabla_control[[#This Row],[LOTE]],Tabla_imprenta[LOTE],0)),"ENTREGADO")</f>
        <v>ENTREGADO</v>
      </c>
      <c r="I27" s="139" t="str">
        <f>IF(Tabla_control[[#This Row],[STOCK SAP]]&gt;Tabla_control[[#This Row],[CANTIDAD IMPRIMIR]],"cubre","no cubre")</f>
        <v>no cubre</v>
      </c>
      <c r="J27" s="7" t="str">
        <f>IF(COUNTIF(Tabla_imprenta[LOTE],Tabla_control[[#This Row],[LOTE]])=1,INDEX(Tabla_imprenta[STOCK],MATCH(Tabla_control[[#This Row],[LOTE]],Tabla_imprenta[LOTE],0)),"ENTREGADO")</f>
        <v>ENTREGADO</v>
      </c>
      <c r="K2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7" s="148" t="e">
        <f>INDEX(Tabla_imprenta[FECHA CAJA],MATCH(Tabla_control[[#This Row],[LOTE]],Tabla_imprenta[LOTE],0))</f>
        <v>#N/A</v>
      </c>
      <c r="M2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7" s="169" t="e">
        <f>ROUNDUP(Tabla_control[[#This Row],[CANTIDAD IMPRIMIR]]/Tabla_control[[#This Row],[N TJ]],0)</f>
        <v>#VALUE!</v>
      </c>
      <c r="Q27" s="169" t="e">
        <f>IF(Tabla_control[[#This Row],[CANTIDAD TIRAJE]]&gt;10000,Tabla_control[[#This Row],[CANTIDAD TIRAJE]],Tabla_control[[#This Row],[CANTIDAD TIRAJE]]*2)</f>
        <v>#VALUE!</v>
      </c>
      <c r="R27" s="4" t="s">
        <v>172</v>
      </c>
      <c r="S27" s="4" t="s">
        <v>31</v>
      </c>
      <c r="T27" s="4"/>
      <c r="U27" s="4"/>
      <c r="V27" s="4"/>
      <c r="W27" s="185" t="s">
        <v>3223</v>
      </c>
      <c r="X27" s="185"/>
      <c r="Y27" s="185"/>
      <c r="Z27" s="185"/>
      <c r="AA27" s="4" t="s">
        <v>2429</v>
      </c>
      <c r="AB27" s="184" t="s">
        <v>2028</v>
      </c>
    </row>
    <row r="28" spans="1:28" hidden="1" x14ac:dyDescent="0.2">
      <c r="A28" s="175" t="str">
        <f>IF(COUNTIF(Tabla_imprenta[LOTE],Tabla_control[[#This Row],[LOTE]])=1,INDEX(Tabla_imprenta[FECHA EMISIÓN],MATCH(Tabla_control[[#This Row],[LOTE]],Tabla_imprenta[LOTE],0)),"REALIZADO")</f>
        <v>REALIZADO</v>
      </c>
      <c r="B28" s="142" t="str">
        <f>IF(COUNTIF(Tabla_imprenta[LOTE],Tabla_control[[#This Row],[LOTE]])=1,INDEX(Tabla_imprenta[CÓD. SOLICITUD],MATCH(Tabla_control[[#This Row],[LOTE]],Tabla_imprenta[LOTE],0)),"REALIZADO")</f>
        <v>REALIZADO</v>
      </c>
      <c r="C28" s="177" t="str">
        <f>IF(COUNTIF(Tabla_imprenta[LOTE],Tabla_control[[#This Row],[LOTE]])=1,INDEX(Tabla_imprenta[PRODUCTO],MATCH(Tabla_control[[#This Row],[LOTE]],Tabla_imprenta[LOTE],0)),"REALIZADO")</f>
        <v>REALIZADO</v>
      </c>
      <c r="D28" s="142" t="str">
        <f>IF(COUNTIF(Tabla_imprenta[LOTE],Tabla_control[[#This Row],[LOTE]])=1,INDEX(Tabla_imprenta[FORMA FARMACEUTICA],MATCH(Tabla_control[[#This Row],[LOTE]],Tabla_imprenta[LOTE],0)),"REALIZADO")</f>
        <v>REALIZADO</v>
      </c>
      <c r="E28" s="177" t="str">
        <f>IF(COUNTIF(Tabla_imprenta[LOTE],Tabla_control[[#This Row],[LOTE]])=1,INDEX(Tabla_imprenta[INSTITUCIÓN],MATCH(Tabla_control[[#This Row],[LOTE]],Tabla_imprenta[LOTE],0)),"REALIZADO")</f>
        <v>REALIZADO</v>
      </c>
      <c r="F28" s="180" t="s">
        <v>2574</v>
      </c>
      <c r="G2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8" s="139" t="str">
        <f>IF(COUNTIF(Tabla_imprenta[LOTE],Tabla_control[[#This Row],[LOTE]])=1,INDEX(Tabla_imprenta[stock sap],MATCH(Tabla_control[[#This Row],[LOTE]],Tabla_imprenta[LOTE],0)),"ENTREGADO")</f>
        <v>ENTREGADO</v>
      </c>
      <c r="I28" s="139" t="str">
        <f>IF(Tabla_control[[#This Row],[STOCK SAP]]&gt;Tabla_control[[#This Row],[CANTIDAD IMPRIMIR]],"cubre","no cubre")</f>
        <v>no cubre</v>
      </c>
      <c r="J28" s="7" t="str">
        <f>IF(COUNTIF(Tabla_imprenta[LOTE],Tabla_control[[#This Row],[LOTE]])=1,INDEX(Tabla_imprenta[STOCK],MATCH(Tabla_control[[#This Row],[LOTE]],Tabla_imprenta[LOTE],0)),"ENTREGADO")</f>
        <v>ENTREGADO</v>
      </c>
      <c r="K2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8" s="148" t="e">
        <f>INDEX(Tabla_imprenta[FECHA CAJA],MATCH(Tabla_control[[#This Row],[LOTE]],Tabla_imprenta[LOTE],0))</f>
        <v>#N/A</v>
      </c>
      <c r="M2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8" s="169" t="e">
        <f>ROUNDUP(Tabla_control[[#This Row],[CANTIDAD IMPRIMIR]]/Tabla_control[[#This Row],[N TJ]],0)</f>
        <v>#VALUE!</v>
      </c>
      <c r="Q28" s="169" t="e">
        <f>IF(Tabla_control[[#This Row],[CANTIDAD TIRAJE]]&gt;10000,Tabla_control[[#This Row],[CANTIDAD TIRAJE]],Tabla_control[[#This Row],[CANTIDAD TIRAJE]]*2)</f>
        <v>#VALUE!</v>
      </c>
      <c r="R28" s="4" t="s">
        <v>172</v>
      </c>
      <c r="S28" s="4" t="s">
        <v>31</v>
      </c>
      <c r="T28" s="4"/>
      <c r="U28" s="4"/>
      <c r="V28" s="4"/>
      <c r="W28" s="185" t="s">
        <v>3223</v>
      </c>
      <c r="X28" s="185"/>
      <c r="Y28" s="185"/>
      <c r="Z28" s="185"/>
      <c r="AA28" s="4" t="s">
        <v>2429</v>
      </c>
      <c r="AB28" s="184" t="s">
        <v>2028</v>
      </c>
    </row>
    <row r="29" spans="1:28" hidden="1" x14ac:dyDescent="0.2">
      <c r="A29" s="175">
        <f>IF(COUNTIF(Tabla_imprenta[LOTE],Tabla_control[[#This Row],[LOTE]])=1,INDEX(Tabla_imprenta[FECHA EMISIÓN],MATCH(Tabla_control[[#This Row],[LOTE]],Tabla_imprenta[LOTE],0)),"REALIZADO")</f>
        <v>46113</v>
      </c>
      <c r="B29" s="142">
        <f>IF(COUNTIF(Tabla_imprenta[LOTE],Tabla_control[[#This Row],[LOTE]])=1,INDEX(Tabla_imprenta[CÓD. SOLICITUD],MATCH(Tabla_control[[#This Row],[LOTE]],Tabla_imprenta[LOTE],0)),"REALIZADO")</f>
        <v>0</v>
      </c>
      <c r="C29" s="177" t="str">
        <f>IF(COUNTIF(Tabla_imprenta[LOTE],Tabla_control[[#This Row],[LOTE]])=1,INDEX(Tabla_imprenta[PRODUCTO],MATCH(Tabla_control[[#This Row],[LOTE]],Tabla_imprenta[LOTE],0)),"REALIZADO")</f>
        <v>MUCOL 600 MG X 20 SOBRES POLVO GRANULADO</v>
      </c>
      <c r="D29" s="142" t="str">
        <f>IF(COUNTIF(Tabla_imprenta[LOTE],Tabla_control[[#This Row],[LOTE]])=1,INDEX(Tabla_imprenta[FORMA FARMACEUTICA],MATCH(Tabla_control[[#This Row],[LOTE]],Tabla_imprenta[LOTE],0)),"REALIZADO")</f>
        <v>POLVO GRANULADO</v>
      </c>
      <c r="E29" s="177" t="str">
        <f>IF(COUNTIF(Tabla_imprenta[LOTE],Tabla_control[[#This Row],[LOTE]])=1,INDEX(Tabla_imprenta[INSTITUCIÓN],MATCH(Tabla_control[[#This Row],[LOTE]],Tabla_imprenta[LOTE],0)),"REALIZADO")</f>
        <v>COMERCIO</v>
      </c>
      <c r="F29" s="181" t="s">
        <v>3168</v>
      </c>
      <c r="G29" s="139">
        <f>IF(COUNTIF(Tabla_imprenta[LOTE],Tabla_control[[#This Row],[LOTE]])=1,INDEX(Tabla_imprenta[CANTIDAD ENVASE SECUNDARIO],MATCH(Tabla_control[[#This Row],[LOTE]],Tabla_imprenta[LOTE],0)),"ENTREGADO")</f>
        <v>1700</v>
      </c>
      <c r="H29" s="139">
        <f>IF(COUNTIF(Tabla_imprenta[LOTE],Tabla_control[[#This Row],[LOTE]])=1,INDEX(Tabla_imprenta[stock sap],MATCH(Tabla_control[[#This Row],[LOTE]],Tabla_imprenta[LOTE],0)),"ENTREGADO")</f>
        <v>1490</v>
      </c>
      <c r="I29" s="139" t="str">
        <f>IF(Tabla_control[[#This Row],[STOCK SAP]]&gt;Tabla_control[[#This Row],[CANTIDAD IMPRIMIR]],"cubre","no cubre")</f>
        <v>no cubre</v>
      </c>
      <c r="J29" s="182">
        <f>IF(COUNTIF(Tabla_imprenta[LOTE],Tabla_control[[#This Row],[LOTE]])=1,INDEX(Tabla_imprenta[STOCK],MATCH(Tabla_control[[#This Row],[LOTE]],Tabla_imprenta[LOTE],0)),"ENTREGADO")</f>
        <v>6.783867631851086</v>
      </c>
      <c r="K2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9" s="148" t="str">
        <f>INDEX(Tabla_imprenta[FECHA CAJA],MATCH(Tabla_control[[#This Row],[LOTE]],Tabla_imprenta[LOTE],0))</f>
        <v>ENTREGADO</v>
      </c>
      <c r="M2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FULL COLOR</v>
      </c>
      <c r="N2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2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128</v>
      </c>
      <c r="P29" s="170">
        <f>ROUNDUP(Tabla_control[[#This Row],[CANTIDAD IMPRIMIR]]/Tabla_control[[#This Row],[N TJ]],0)</f>
        <v>1700</v>
      </c>
      <c r="Q29" s="170">
        <f>IF(Tabla_control[[#This Row],[CANTIDAD TIRAJE]]&gt;10000,Tabla_control[[#This Row],[CANTIDAD TIRAJE]],Tabla_control[[#This Row],[CANTIDAD TIRAJE]]*2)</f>
        <v>3400</v>
      </c>
      <c r="R29" s="186" t="s">
        <v>2030</v>
      </c>
      <c r="S29" s="4" t="s">
        <v>31</v>
      </c>
      <c r="T29" s="4"/>
      <c r="U29" s="4"/>
      <c r="V29" s="4"/>
      <c r="W29" s="185" t="s">
        <v>3223</v>
      </c>
      <c r="X29" s="185"/>
      <c r="Y29" s="185"/>
      <c r="Z29" s="185"/>
      <c r="AA29" s="186" t="s">
        <v>2314</v>
      </c>
      <c r="AB29" s="184" t="s">
        <v>2028</v>
      </c>
    </row>
    <row r="30" spans="1:28" hidden="1" x14ac:dyDescent="0.2">
      <c r="A30" s="175" t="str">
        <f>IF(COUNTIF(Tabla_imprenta[LOTE],Tabla_control[[#This Row],[LOTE]])=1,INDEX(Tabla_imprenta[FECHA EMISIÓN],MATCH(Tabla_control[[#This Row],[LOTE]],Tabla_imprenta[LOTE],0)),"REALIZADO")</f>
        <v>REALIZADO</v>
      </c>
      <c r="B30" s="142" t="str">
        <f>IF(COUNTIF(Tabla_imprenta[LOTE],Tabla_control[[#This Row],[LOTE]])=1,INDEX(Tabla_imprenta[CÓD. SOLICITUD],MATCH(Tabla_control[[#This Row],[LOTE]],Tabla_imprenta[LOTE],0)),"REALIZADO")</f>
        <v>REALIZADO</v>
      </c>
      <c r="C30" s="177" t="str">
        <f>IF(COUNTIF(Tabla_imprenta[LOTE],Tabla_control[[#This Row],[LOTE]])=1,INDEX(Tabla_imprenta[PRODUCTO],MATCH(Tabla_control[[#This Row],[LOTE]],Tabla_imprenta[LOTE],0)),"REALIZADO")</f>
        <v>REALIZADO</v>
      </c>
      <c r="D30" s="142" t="str">
        <f>IF(COUNTIF(Tabla_imprenta[LOTE],Tabla_control[[#This Row],[LOTE]])=1,INDEX(Tabla_imprenta[FORMA FARMACEUTICA],MATCH(Tabla_control[[#This Row],[LOTE]],Tabla_imprenta[LOTE],0)),"REALIZADO")</f>
        <v>REALIZADO</v>
      </c>
      <c r="E30" s="177" t="str">
        <f>IF(COUNTIF(Tabla_imprenta[LOTE],Tabla_control[[#This Row],[LOTE]])=1,INDEX(Tabla_imprenta[INSTITUCIÓN],MATCH(Tabla_control[[#This Row],[LOTE]],Tabla_imprenta[LOTE],0)),"REALIZADO")</f>
        <v>REALIZADO</v>
      </c>
      <c r="F30" s="180" t="s">
        <v>2475</v>
      </c>
      <c r="G3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0" s="139" t="str">
        <f>IF(COUNTIF(Tabla_imprenta[LOTE],Tabla_control[[#This Row],[LOTE]])=1,INDEX(Tabla_imprenta[stock sap],MATCH(Tabla_control[[#This Row],[LOTE]],Tabla_imprenta[LOTE],0)),"ENTREGADO")</f>
        <v>ENTREGADO</v>
      </c>
      <c r="I30" s="139" t="str">
        <f>IF(Tabla_control[[#This Row],[STOCK SAP]]&gt;Tabla_control[[#This Row],[CANTIDAD IMPRIMIR]],"cubre","no cubre")</f>
        <v>no cubre</v>
      </c>
      <c r="J30" s="7" t="str">
        <f>IF(COUNTIF(Tabla_imprenta[LOTE],Tabla_control[[#This Row],[LOTE]])=1,INDEX(Tabla_imprenta[STOCK],MATCH(Tabla_control[[#This Row],[LOTE]],Tabla_imprenta[LOTE],0)),"ENTREGADO")</f>
        <v>ENTREGADO</v>
      </c>
      <c r="K3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0" s="148" t="e">
        <f>INDEX(Tabla_imprenta[FECHA CAJA],MATCH(Tabla_control[[#This Row],[LOTE]],Tabla_imprenta[LOTE],0))</f>
        <v>#N/A</v>
      </c>
      <c r="M3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0" s="169" t="e">
        <f>ROUNDUP(Tabla_control[[#This Row],[CANTIDAD IMPRIMIR]]/Tabla_control[[#This Row],[N TJ]],0)</f>
        <v>#VALUE!</v>
      </c>
      <c r="Q30" s="169" t="e">
        <f>IF(Tabla_control[[#This Row],[CANTIDAD TIRAJE]]&gt;10000,Tabla_control[[#This Row],[CANTIDAD TIRAJE]],Tabla_control[[#This Row],[CANTIDAD TIRAJE]]*2)</f>
        <v>#VALUE!</v>
      </c>
      <c r="R30" s="4" t="s">
        <v>176</v>
      </c>
      <c r="S30" s="4" t="s">
        <v>30</v>
      </c>
      <c r="T30" s="4"/>
      <c r="U30" s="4"/>
      <c r="V30" s="4"/>
      <c r="W30" s="185" t="s">
        <v>3223</v>
      </c>
      <c r="X30" s="185"/>
      <c r="Y30" s="185"/>
      <c r="Z30" s="185"/>
      <c r="AA30" s="4" t="s">
        <v>2031</v>
      </c>
      <c r="AB30" s="184" t="s">
        <v>2028</v>
      </c>
    </row>
    <row r="31" spans="1:28" hidden="1" x14ac:dyDescent="0.2">
      <c r="A31" s="175" t="str">
        <f>IF(COUNTIF(Tabla_imprenta[LOTE],Tabla_control[[#This Row],[LOTE]])=1,INDEX(Tabla_imprenta[FECHA EMISIÓN],MATCH(Tabla_control[[#This Row],[LOTE]],Tabla_imprenta[LOTE],0)),"REALIZADO")</f>
        <v>REALIZADO</v>
      </c>
      <c r="B31" s="142" t="str">
        <f>IF(COUNTIF(Tabla_imprenta[LOTE],Tabla_control[[#This Row],[LOTE]])=1,INDEX(Tabla_imprenta[CÓD. SOLICITUD],MATCH(Tabla_control[[#This Row],[LOTE]],Tabla_imprenta[LOTE],0)),"REALIZADO")</f>
        <v>REALIZADO</v>
      </c>
      <c r="C31" s="177" t="str">
        <f>IF(COUNTIF(Tabla_imprenta[LOTE],Tabla_control[[#This Row],[LOTE]])=1,INDEX(Tabla_imprenta[PRODUCTO],MATCH(Tabla_control[[#This Row],[LOTE]],Tabla_imprenta[LOTE],0)),"REALIZADO")</f>
        <v>REALIZADO</v>
      </c>
      <c r="D31" s="142" t="str">
        <f>IF(COUNTIF(Tabla_imprenta[LOTE],Tabla_control[[#This Row],[LOTE]])=1,INDEX(Tabla_imprenta[FORMA FARMACEUTICA],MATCH(Tabla_control[[#This Row],[LOTE]],Tabla_imprenta[LOTE],0)),"REALIZADO")</f>
        <v>REALIZADO</v>
      </c>
      <c r="E31" s="177" t="str">
        <f>IF(COUNTIF(Tabla_imprenta[LOTE],Tabla_control[[#This Row],[LOTE]])=1,INDEX(Tabla_imprenta[INSTITUCIÓN],MATCH(Tabla_control[[#This Row],[LOTE]],Tabla_imprenta[LOTE],0)),"REALIZADO")</f>
        <v>REALIZADO</v>
      </c>
      <c r="F31" s="181" t="s">
        <v>3127</v>
      </c>
      <c r="G3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1" s="139" t="str">
        <f>IF(COUNTIF(Tabla_imprenta[LOTE],Tabla_control[[#This Row],[LOTE]])=1,INDEX(Tabla_imprenta[stock sap],MATCH(Tabla_control[[#This Row],[LOTE]],Tabla_imprenta[LOTE],0)),"ENTREGADO")</f>
        <v>ENTREGADO</v>
      </c>
      <c r="I31" s="139" t="str">
        <f>IF(Tabla_control[[#This Row],[STOCK SAP]]&gt;Tabla_control[[#This Row],[CANTIDAD IMPRIMIR]],"cubre","no cubre")</f>
        <v>no cubre</v>
      </c>
      <c r="J31" s="182" t="str">
        <f>IF(COUNTIF(Tabla_imprenta[LOTE],Tabla_control[[#This Row],[LOTE]])=1,INDEX(Tabla_imprenta[STOCK],MATCH(Tabla_control[[#This Row],[LOTE]],Tabla_imprenta[LOTE],0)),"ENTREGADO")</f>
        <v>ENTREGADO</v>
      </c>
      <c r="K3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1" s="148" t="e">
        <f>INDEX(Tabla_imprenta[FECHA CAJA],MATCH(Tabla_control[[#This Row],[LOTE]],Tabla_imprenta[LOTE],0))</f>
        <v>#N/A</v>
      </c>
      <c r="M3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1" s="170" t="e">
        <f>ROUNDUP(Tabla_control[[#This Row],[CANTIDAD IMPRIMIR]]/Tabla_control[[#This Row],[N TJ]],0)</f>
        <v>#VALUE!</v>
      </c>
      <c r="Q31" s="170" t="e">
        <f>IF(Tabla_control[[#This Row],[CANTIDAD TIRAJE]]&gt;10000,Tabla_control[[#This Row],[CANTIDAD TIRAJE]],Tabla_control[[#This Row],[CANTIDAD TIRAJE]]*2)</f>
        <v>#VALUE!</v>
      </c>
      <c r="R31" s="186" t="s">
        <v>173</v>
      </c>
      <c r="S31" s="4" t="s">
        <v>174</v>
      </c>
      <c r="T31" s="4"/>
      <c r="U31" s="4"/>
      <c r="V31" s="4"/>
      <c r="W31" s="185" t="s">
        <v>3233</v>
      </c>
      <c r="X31" s="185"/>
      <c r="Y31" s="185"/>
      <c r="Z31" s="185"/>
      <c r="AA31" s="186" t="s">
        <v>2031</v>
      </c>
      <c r="AB31" s="184" t="s">
        <v>2028</v>
      </c>
    </row>
    <row r="32" spans="1:28" hidden="1" x14ac:dyDescent="0.2">
      <c r="A32" s="175" t="str">
        <f>IF(COUNTIF(Tabla_imprenta[LOTE],Tabla_control[[#This Row],[LOTE]])=1,INDEX(Tabla_imprenta[FECHA EMISIÓN],MATCH(Tabla_control[[#This Row],[LOTE]],Tabla_imprenta[LOTE],0)),"REALIZADO")</f>
        <v>REALIZADO</v>
      </c>
      <c r="B32" s="142" t="str">
        <f>IF(COUNTIF(Tabla_imprenta[LOTE],Tabla_control[[#This Row],[LOTE]])=1,INDEX(Tabla_imprenta[CÓD. SOLICITUD],MATCH(Tabla_control[[#This Row],[LOTE]],Tabla_imprenta[LOTE],0)),"REALIZADO")</f>
        <v>REALIZADO</v>
      </c>
      <c r="C32" s="177" t="str">
        <f>IF(COUNTIF(Tabla_imprenta[LOTE],Tabla_control[[#This Row],[LOTE]])=1,INDEX(Tabla_imprenta[PRODUCTO],MATCH(Tabla_control[[#This Row],[LOTE]],Tabla_imprenta[LOTE],0)),"REALIZADO")</f>
        <v>REALIZADO</v>
      </c>
      <c r="D32" s="142" t="str">
        <f>IF(COUNTIF(Tabla_imprenta[LOTE],Tabla_control[[#This Row],[LOTE]])=1,INDEX(Tabla_imprenta[FORMA FARMACEUTICA],MATCH(Tabla_control[[#This Row],[LOTE]],Tabla_imprenta[LOTE],0)),"REALIZADO")</f>
        <v>REALIZADO</v>
      </c>
      <c r="E32" s="177" t="str">
        <f>IF(COUNTIF(Tabla_imprenta[LOTE],Tabla_control[[#This Row],[LOTE]])=1,INDEX(Tabla_imprenta[INSTITUCIÓN],MATCH(Tabla_control[[#This Row],[LOTE]],Tabla_imprenta[LOTE],0)),"REALIZADO")</f>
        <v>REALIZADO</v>
      </c>
      <c r="F32" s="180" t="s">
        <v>2538</v>
      </c>
      <c r="G3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2" s="139" t="str">
        <f>IF(COUNTIF(Tabla_imprenta[LOTE],Tabla_control[[#This Row],[LOTE]])=1,INDEX(Tabla_imprenta[stock sap],MATCH(Tabla_control[[#This Row],[LOTE]],Tabla_imprenta[LOTE],0)),"ENTREGADO")</f>
        <v>ENTREGADO</v>
      </c>
      <c r="I32" s="139" t="str">
        <f>IF(Tabla_control[[#This Row],[STOCK SAP]]&gt;Tabla_control[[#This Row],[CANTIDAD IMPRIMIR]],"cubre","no cubre")</f>
        <v>no cubre</v>
      </c>
      <c r="J32" s="7" t="str">
        <f>IF(COUNTIF(Tabla_imprenta[LOTE],Tabla_control[[#This Row],[LOTE]])=1,INDEX(Tabla_imprenta[STOCK],MATCH(Tabla_control[[#This Row],[LOTE]],Tabla_imprenta[LOTE],0)),"ENTREGADO")</f>
        <v>ENTREGADO</v>
      </c>
      <c r="K3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2" s="148" t="e">
        <f>INDEX(Tabla_imprenta[FECHA CAJA],MATCH(Tabla_control[[#This Row],[LOTE]],Tabla_imprenta[LOTE],0))</f>
        <v>#N/A</v>
      </c>
      <c r="M3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2" s="170" t="e">
        <f>ROUNDUP(Tabla_control[[#This Row],[CANTIDAD IMPRIMIR]]/Tabla_control[[#This Row],[N TJ]],0)</f>
        <v>#VALUE!</v>
      </c>
      <c r="Q32" s="170" t="e">
        <f>IF(Tabla_control[[#This Row],[CANTIDAD TIRAJE]]&gt;10000,Tabla_control[[#This Row],[CANTIDAD TIRAJE]],Tabla_control[[#This Row],[CANTIDAD TIRAJE]]*2)</f>
        <v>#VALUE!</v>
      </c>
      <c r="R32" s="4" t="s">
        <v>172</v>
      </c>
      <c r="S32" s="4" t="s">
        <v>30</v>
      </c>
      <c r="T32" s="4"/>
      <c r="U32" s="4"/>
      <c r="V32" s="4"/>
      <c r="W32" s="185" t="s">
        <v>3238</v>
      </c>
      <c r="X32" s="185"/>
      <c r="Y32" s="185"/>
      <c r="Z32" s="185"/>
      <c r="AA32" s="4" t="s">
        <v>2314</v>
      </c>
      <c r="AB32" s="184" t="s">
        <v>2028</v>
      </c>
    </row>
    <row r="33" spans="1:28" hidden="1" x14ac:dyDescent="0.2">
      <c r="A33" s="175" t="str">
        <f>IF(COUNTIF(Tabla_imprenta[LOTE],Tabla_control[[#This Row],[LOTE]])=1,INDEX(Tabla_imprenta[FECHA EMISIÓN],MATCH(Tabla_control[[#This Row],[LOTE]],Tabla_imprenta[LOTE],0)),"REALIZADO")</f>
        <v>REALIZADO</v>
      </c>
      <c r="B33" s="142" t="str">
        <f>IF(COUNTIF(Tabla_imprenta[LOTE],Tabla_control[[#This Row],[LOTE]])=1,INDEX(Tabla_imprenta[CÓD. SOLICITUD],MATCH(Tabla_control[[#This Row],[LOTE]],Tabla_imprenta[LOTE],0)),"REALIZADO")</f>
        <v>REALIZADO</v>
      </c>
      <c r="C33" s="177" t="str">
        <f>IF(COUNTIF(Tabla_imprenta[LOTE],Tabla_control[[#This Row],[LOTE]])=1,INDEX(Tabla_imprenta[PRODUCTO],MATCH(Tabla_control[[#This Row],[LOTE]],Tabla_imprenta[LOTE],0)),"REALIZADO")</f>
        <v>REALIZADO</v>
      </c>
      <c r="D33" s="142" t="str">
        <f>IF(COUNTIF(Tabla_imprenta[LOTE],Tabla_control[[#This Row],[LOTE]])=1,INDEX(Tabla_imprenta[FORMA FARMACEUTICA],MATCH(Tabla_control[[#This Row],[LOTE]],Tabla_imprenta[LOTE],0)),"REALIZADO")</f>
        <v>REALIZADO</v>
      </c>
      <c r="E33" s="177" t="str">
        <f>IF(COUNTIF(Tabla_imprenta[LOTE],Tabla_control[[#This Row],[LOTE]])=1,INDEX(Tabla_imprenta[INSTITUCIÓN],MATCH(Tabla_control[[#This Row],[LOTE]],Tabla_imprenta[LOTE],0)),"REALIZADO")</f>
        <v>REALIZADO</v>
      </c>
      <c r="F33" s="181" t="s">
        <v>3074</v>
      </c>
      <c r="G3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3" s="139" t="str">
        <f>IF(COUNTIF(Tabla_imprenta[LOTE],Tabla_control[[#This Row],[LOTE]])=1,INDEX(Tabla_imprenta[stock sap],MATCH(Tabla_control[[#This Row],[LOTE]],Tabla_imprenta[LOTE],0)),"ENTREGADO")</f>
        <v>ENTREGADO</v>
      </c>
      <c r="I33" s="139" t="str">
        <f>IF(Tabla_control[[#This Row],[STOCK SAP]]&gt;Tabla_control[[#This Row],[CANTIDAD IMPRIMIR]],"cubre","no cubre")</f>
        <v>no cubre</v>
      </c>
      <c r="J33" s="182" t="str">
        <f>IF(COUNTIF(Tabla_imprenta[LOTE],Tabla_control[[#This Row],[LOTE]])=1,INDEX(Tabla_imprenta[STOCK],MATCH(Tabla_control[[#This Row],[LOTE]],Tabla_imprenta[LOTE],0)),"ENTREGADO")</f>
        <v>ENTREGADO</v>
      </c>
      <c r="K3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3" s="148" t="e">
        <f>INDEX(Tabla_imprenta[FECHA CAJA],MATCH(Tabla_control[[#This Row],[LOTE]],Tabla_imprenta[LOTE],0))</f>
        <v>#N/A</v>
      </c>
      <c r="M3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3" s="169" t="e">
        <f>ROUNDUP(Tabla_control[[#This Row],[CANTIDAD IMPRIMIR]]/Tabla_control[[#This Row],[N TJ]],0)</f>
        <v>#VALUE!</v>
      </c>
      <c r="Q33" s="169" t="e">
        <f>IF(Tabla_control[[#This Row],[CANTIDAD TIRAJE]]&gt;10000,Tabla_control[[#This Row],[CANTIDAD TIRAJE]],Tabla_control[[#This Row],[CANTIDAD TIRAJE]]*2)</f>
        <v>#VALUE!</v>
      </c>
      <c r="R33" s="186" t="s">
        <v>177</v>
      </c>
      <c r="S33" s="4" t="s">
        <v>174</v>
      </c>
      <c r="T33" s="4"/>
      <c r="U33" s="4"/>
      <c r="V33" s="4"/>
      <c r="W33" s="187" t="s">
        <v>3223</v>
      </c>
      <c r="X33" s="187"/>
      <c r="Y33" s="187"/>
      <c r="Z33" s="187"/>
      <c r="AA33" s="186" t="s">
        <v>321</v>
      </c>
      <c r="AB33" s="184" t="s">
        <v>2028</v>
      </c>
    </row>
    <row r="34" spans="1:28" hidden="1" x14ac:dyDescent="0.2">
      <c r="A34" s="175" t="str">
        <f>IF(COUNTIF(Tabla_imprenta[LOTE],Tabla_control[[#This Row],[LOTE]])=1,INDEX(Tabla_imprenta[FECHA EMISIÓN],MATCH(Tabla_control[[#This Row],[LOTE]],Tabla_imprenta[LOTE],0)),"REALIZADO")</f>
        <v>REALIZADO</v>
      </c>
      <c r="B34" s="142" t="str">
        <f>IF(COUNTIF(Tabla_imprenta[LOTE],Tabla_control[[#This Row],[LOTE]])=1,INDEX(Tabla_imprenta[CÓD. SOLICITUD],MATCH(Tabla_control[[#This Row],[LOTE]],Tabla_imprenta[LOTE],0)),"REALIZADO")</f>
        <v>REALIZADO</v>
      </c>
      <c r="C34" s="177" t="str">
        <f>IF(COUNTIF(Tabla_imprenta[LOTE],Tabla_control[[#This Row],[LOTE]])=1,INDEX(Tabla_imprenta[PRODUCTO],MATCH(Tabla_control[[#This Row],[LOTE]],Tabla_imprenta[LOTE],0)),"REALIZADO")</f>
        <v>REALIZADO</v>
      </c>
      <c r="D34" s="142" t="str">
        <f>IF(COUNTIF(Tabla_imprenta[LOTE],Tabla_control[[#This Row],[LOTE]])=1,INDEX(Tabla_imprenta[FORMA FARMACEUTICA],MATCH(Tabla_control[[#This Row],[LOTE]],Tabla_imprenta[LOTE],0)),"REALIZADO")</f>
        <v>REALIZADO</v>
      </c>
      <c r="E34" s="177" t="str">
        <f>IF(COUNTIF(Tabla_imprenta[LOTE],Tabla_control[[#This Row],[LOTE]])=1,INDEX(Tabla_imprenta[INSTITUCIÓN],MATCH(Tabla_control[[#This Row],[LOTE]],Tabla_imprenta[LOTE],0)),"REALIZADO")</f>
        <v>REALIZADO</v>
      </c>
      <c r="F34" s="180" t="s">
        <v>2521</v>
      </c>
      <c r="G3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4" s="139" t="str">
        <f>IF(COUNTIF(Tabla_imprenta[LOTE],Tabla_control[[#This Row],[LOTE]])=1,INDEX(Tabla_imprenta[stock sap],MATCH(Tabla_control[[#This Row],[LOTE]],Tabla_imprenta[LOTE],0)),"ENTREGADO")</f>
        <v>ENTREGADO</v>
      </c>
      <c r="I34" s="139" t="str">
        <f>IF(Tabla_control[[#This Row],[STOCK SAP]]&gt;Tabla_control[[#This Row],[CANTIDAD IMPRIMIR]],"cubre","no cubre")</f>
        <v>no cubre</v>
      </c>
      <c r="J34" s="7" t="str">
        <f>IF(COUNTIF(Tabla_imprenta[LOTE],Tabla_control[[#This Row],[LOTE]])=1,INDEX(Tabla_imprenta[STOCK],MATCH(Tabla_control[[#This Row],[LOTE]],Tabla_imprenta[LOTE],0)),"ENTREGADO")</f>
        <v>ENTREGADO</v>
      </c>
      <c r="K3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4" s="148" t="e">
        <f>INDEX(Tabla_imprenta[FECHA CAJA],MATCH(Tabla_control[[#This Row],[LOTE]],Tabla_imprenta[LOTE],0))</f>
        <v>#N/A</v>
      </c>
      <c r="M3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4" s="169" t="e">
        <f>ROUNDUP(Tabla_control[[#This Row],[CANTIDAD IMPRIMIR]]/Tabla_control[[#This Row],[N TJ]],0)</f>
        <v>#VALUE!</v>
      </c>
      <c r="Q34" s="169" t="e">
        <f>IF(Tabla_control[[#This Row],[CANTIDAD TIRAJE]]&gt;10000,Tabla_control[[#This Row],[CANTIDAD TIRAJE]],Tabla_control[[#This Row],[CANTIDAD TIRAJE]]*2)</f>
        <v>#VALUE!</v>
      </c>
      <c r="R34" s="4" t="s">
        <v>2206</v>
      </c>
      <c r="S34" s="4" t="s">
        <v>174</v>
      </c>
      <c r="T34" s="4"/>
      <c r="U34" s="4"/>
      <c r="V34" s="4"/>
      <c r="W34" s="155" t="s">
        <v>3223</v>
      </c>
      <c r="X34" s="155"/>
      <c r="Y34" s="155"/>
      <c r="Z34" s="155"/>
      <c r="AA34" s="4" t="s">
        <v>2429</v>
      </c>
      <c r="AB34" s="184" t="s">
        <v>2028</v>
      </c>
    </row>
    <row r="35" spans="1:28" hidden="1" x14ac:dyDescent="0.2">
      <c r="A35" s="175" t="str">
        <f>IF(COUNTIF(Tabla_imprenta[LOTE],Tabla_control[[#This Row],[LOTE]])=1,INDEX(Tabla_imprenta[FECHA EMISIÓN],MATCH(Tabla_control[[#This Row],[LOTE]],Tabla_imprenta[LOTE],0)),"REALIZADO")</f>
        <v>REALIZADO</v>
      </c>
      <c r="B35" s="142" t="str">
        <f>IF(COUNTIF(Tabla_imprenta[LOTE],Tabla_control[[#This Row],[LOTE]])=1,INDEX(Tabla_imprenta[CÓD. SOLICITUD],MATCH(Tabla_control[[#This Row],[LOTE]],Tabla_imprenta[LOTE],0)),"REALIZADO")</f>
        <v>REALIZADO</v>
      </c>
      <c r="C35" s="177" t="str">
        <f>IF(COUNTIF(Tabla_imprenta[LOTE],Tabla_control[[#This Row],[LOTE]])=1,INDEX(Tabla_imprenta[PRODUCTO],MATCH(Tabla_control[[#This Row],[LOTE]],Tabla_imprenta[LOTE],0)),"REALIZADO")</f>
        <v>REALIZADO</v>
      </c>
      <c r="D35" s="142" t="str">
        <f>IF(COUNTIF(Tabla_imprenta[LOTE],Tabla_control[[#This Row],[LOTE]])=1,INDEX(Tabla_imprenta[FORMA FARMACEUTICA],MATCH(Tabla_control[[#This Row],[LOTE]],Tabla_imprenta[LOTE],0)),"REALIZADO")</f>
        <v>REALIZADO</v>
      </c>
      <c r="E35" s="177" t="str">
        <f>IF(COUNTIF(Tabla_imprenta[LOTE],Tabla_control[[#This Row],[LOTE]])=1,INDEX(Tabla_imprenta[INSTITUCIÓN],MATCH(Tabla_control[[#This Row],[LOTE]],Tabla_imprenta[LOTE],0)),"REALIZADO")</f>
        <v>REALIZADO</v>
      </c>
      <c r="F35" s="180" t="s">
        <v>2474</v>
      </c>
      <c r="G3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5" s="139" t="str">
        <f>IF(COUNTIF(Tabla_imprenta[LOTE],Tabla_control[[#This Row],[LOTE]])=1,INDEX(Tabla_imprenta[stock sap],MATCH(Tabla_control[[#This Row],[LOTE]],Tabla_imprenta[LOTE],0)),"ENTREGADO")</f>
        <v>ENTREGADO</v>
      </c>
      <c r="I35" s="139" t="str">
        <f>IF(Tabla_control[[#This Row],[STOCK SAP]]&gt;Tabla_control[[#This Row],[CANTIDAD IMPRIMIR]],"cubre","no cubre")</f>
        <v>no cubre</v>
      </c>
      <c r="J35" s="7" t="str">
        <f>IF(COUNTIF(Tabla_imprenta[LOTE],Tabla_control[[#This Row],[LOTE]])=1,INDEX(Tabla_imprenta[STOCK],MATCH(Tabla_control[[#This Row],[LOTE]],Tabla_imprenta[LOTE],0)),"ENTREGADO")</f>
        <v>ENTREGADO</v>
      </c>
      <c r="K3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5" s="148" t="e">
        <f>INDEX(Tabla_imprenta[FECHA CAJA],MATCH(Tabla_control[[#This Row],[LOTE]],Tabla_imprenta[LOTE],0))</f>
        <v>#N/A</v>
      </c>
      <c r="M3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5" s="169" t="e">
        <f>ROUNDUP(Tabla_control[[#This Row],[CANTIDAD IMPRIMIR]]/Tabla_control[[#This Row],[N TJ]],0)</f>
        <v>#VALUE!</v>
      </c>
      <c r="Q35" s="169" t="e">
        <f>IF(Tabla_control[[#This Row],[CANTIDAD TIRAJE]]&gt;10000,Tabla_control[[#This Row],[CANTIDAD TIRAJE]],Tabla_control[[#This Row],[CANTIDAD TIRAJE]]*2)</f>
        <v>#VALUE!</v>
      </c>
      <c r="R35" s="4" t="s">
        <v>176</v>
      </c>
      <c r="S35" s="4" t="s">
        <v>30</v>
      </c>
      <c r="T35" s="4"/>
      <c r="U35" s="4"/>
      <c r="V35" s="4"/>
      <c r="W35" s="185" t="s">
        <v>3223</v>
      </c>
      <c r="X35" s="185"/>
      <c r="Y35" s="185"/>
      <c r="Z35" s="185"/>
      <c r="AA35" s="4" t="s">
        <v>2031</v>
      </c>
      <c r="AB35" s="184" t="s">
        <v>2028</v>
      </c>
    </row>
    <row r="36" spans="1:28" hidden="1" x14ac:dyDescent="0.2">
      <c r="A36" s="175" t="str">
        <f>IF(COUNTIF(Tabla_imprenta[LOTE],Tabla_control[[#This Row],[LOTE]])=1,INDEX(Tabla_imprenta[FECHA EMISIÓN],MATCH(Tabla_control[[#This Row],[LOTE]],Tabla_imprenta[LOTE],0)),"REALIZADO")</f>
        <v>REALIZADO</v>
      </c>
      <c r="B36" s="142" t="str">
        <f>IF(COUNTIF(Tabla_imprenta[LOTE],Tabla_control[[#This Row],[LOTE]])=1,INDEX(Tabla_imprenta[CÓD. SOLICITUD],MATCH(Tabla_control[[#This Row],[LOTE]],Tabla_imprenta[LOTE],0)),"REALIZADO")</f>
        <v>REALIZADO</v>
      </c>
      <c r="C36" s="177" t="str">
        <f>IF(COUNTIF(Tabla_imprenta[LOTE],Tabla_control[[#This Row],[LOTE]])=1,INDEX(Tabla_imprenta[PRODUCTO],MATCH(Tabla_control[[#This Row],[LOTE]],Tabla_imprenta[LOTE],0)),"REALIZADO")</f>
        <v>REALIZADO</v>
      </c>
      <c r="D36" s="142" t="str">
        <f>IF(COUNTIF(Tabla_imprenta[LOTE],Tabla_control[[#This Row],[LOTE]])=1,INDEX(Tabla_imprenta[FORMA FARMACEUTICA],MATCH(Tabla_control[[#This Row],[LOTE]],Tabla_imprenta[LOTE],0)),"REALIZADO")</f>
        <v>REALIZADO</v>
      </c>
      <c r="E36" s="177" t="str">
        <f>IF(COUNTIF(Tabla_imprenta[LOTE],Tabla_control[[#This Row],[LOTE]])=1,INDEX(Tabla_imprenta[INSTITUCIÓN],MATCH(Tabla_control[[#This Row],[LOTE]],Tabla_imprenta[LOTE],0)),"REALIZADO")</f>
        <v>REALIZADO</v>
      </c>
      <c r="F36" s="180" t="s">
        <v>2506</v>
      </c>
      <c r="G3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6" s="139" t="str">
        <f>IF(COUNTIF(Tabla_imprenta[LOTE],Tabla_control[[#This Row],[LOTE]])=1,INDEX(Tabla_imprenta[stock sap],MATCH(Tabla_control[[#This Row],[LOTE]],Tabla_imprenta[LOTE],0)),"ENTREGADO")</f>
        <v>ENTREGADO</v>
      </c>
      <c r="I36" s="139" t="str">
        <f>IF(Tabla_control[[#This Row],[STOCK SAP]]&gt;Tabla_control[[#This Row],[CANTIDAD IMPRIMIR]],"cubre","no cubre")</f>
        <v>no cubre</v>
      </c>
      <c r="J36" s="7" t="str">
        <f>IF(COUNTIF(Tabla_imprenta[LOTE],Tabla_control[[#This Row],[LOTE]])=1,INDEX(Tabla_imprenta[STOCK],MATCH(Tabla_control[[#This Row],[LOTE]],Tabla_imprenta[LOTE],0)),"ENTREGADO")</f>
        <v>ENTREGADO</v>
      </c>
      <c r="K3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6" s="148" t="e">
        <f>INDEX(Tabla_imprenta[FECHA CAJA],MATCH(Tabla_control[[#This Row],[LOTE]],Tabla_imprenta[LOTE],0))</f>
        <v>#N/A</v>
      </c>
      <c r="M3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6" s="169" t="e">
        <f>ROUNDUP(Tabla_control[[#This Row],[CANTIDAD IMPRIMIR]]/Tabla_control[[#This Row],[N TJ]],0)</f>
        <v>#VALUE!</v>
      </c>
      <c r="Q36" s="169" t="e">
        <f>IF(Tabla_control[[#This Row],[CANTIDAD TIRAJE]]&gt;10000,Tabla_control[[#This Row],[CANTIDAD TIRAJE]],Tabla_control[[#This Row],[CANTIDAD TIRAJE]]*2)</f>
        <v>#VALUE!</v>
      </c>
      <c r="R36" s="4" t="s">
        <v>173</v>
      </c>
      <c r="S36" s="4" t="s">
        <v>174</v>
      </c>
      <c r="T36" s="4"/>
      <c r="U36" s="4"/>
      <c r="V36" s="4"/>
      <c r="W36" s="187" t="s">
        <v>3223</v>
      </c>
      <c r="X36" s="187"/>
      <c r="Y36" s="187"/>
      <c r="Z36" s="187"/>
      <c r="AA36" s="4" t="s">
        <v>2429</v>
      </c>
      <c r="AB36" s="184" t="s">
        <v>2028</v>
      </c>
    </row>
    <row r="37" spans="1:28" hidden="1" x14ac:dyDescent="0.2">
      <c r="A37" s="175" t="str">
        <f>IF(COUNTIF(Tabla_imprenta[LOTE],Tabla_control[[#This Row],[LOTE]])=1,INDEX(Tabla_imprenta[FECHA EMISIÓN],MATCH(Tabla_control[[#This Row],[LOTE]],Tabla_imprenta[LOTE],0)),"REALIZADO")</f>
        <v>REALIZADO</v>
      </c>
      <c r="B37" s="142" t="str">
        <f>IF(COUNTIF(Tabla_imprenta[LOTE],Tabla_control[[#This Row],[LOTE]])=1,INDEX(Tabla_imprenta[CÓD. SOLICITUD],MATCH(Tabla_control[[#This Row],[LOTE]],Tabla_imprenta[LOTE],0)),"REALIZADO")</f>
        <v>REALIZADO</v>
      </c>
      <c r="C37" s="177" t="str">
        <f>IF(COUNTIF(Tabla_imprenta[LOTE],Tabla_control[[#This Row],[LOTE]])=1,INDEX(Tabla_imprenta[PRODUCTO],MATCH(Tabla_control[[#This Row],[LOTE]],Tabla_imprenta[LOTE],0)),"REALIZADO")</f>
        <v>REALIZADO</v>
      </c>
      <c r="D37" s="142" t="str">
        <f>IF(COUNTIF(Tabla_imprenta[LOTE],Tabla_control[[#This Row],[LOTE]])=1,INDEX(Tabla_imprenta[FORMA FARMACEUTICA],MATCH(Tabla_control[[#This Row],[LOTE]],Tabla_imprenta[LOTE],0)),"REALIZADO")</f>
        <v>REALIZADO</v>
      </c>
      <c r="E37" s="177" t="str">
        <f>IF(COUNTIF(Tabla_imprenta[LOTE],Tabla_control[[#This Row],[LOTE]])=1,INDEX(Tabla_imprenta[INSTITUCIÓN],MATCH(Tabla_control[[#This Row],[LOTE]],Tabla_imprenta[LOTE],0)),"REALIZADO")</f>
        <v>REALIZADO</v>
      </c>
      <c r="F37" s="180" t="s">
        <v>2170</v>
      </c>
      <c r="G3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7" s="139" t="str">
        <f>IF(COUNTIF(Tabla_imprenta[LOTE],Tabla_control[[#This Row],[LOTE]])=1,INDEX(Tabla_imprenta[stock sap],MATCH(Tabla_control[[#This Row],[LOTE]],Tabla_imprenta[LOTE],0)),"ENTREGADO")</f>
        <v>ENTREGADO</v>
      </c>
      <c r="I37" s="139" t="str">
        <f>IF(Tabla_control[[#This Row],[STOCK SAP]]&gt;Tabla_control[[#This Row],[CANTIDAD IMPRIMIR]],"cubre","no cubre")</f>
        <v>no cubre</v>
      </c>
      <c r="J37" s="7" t="str">
        <f>IF(COUNTIF(Tabla_imprenta[LOTE],Tabla_control[[#This Row],[LOTE]])=1,INDEX(Tabla_imprenta[STOCK],MATCH(Tabla_control[[#This Row],[LOTE]],Tabla_imprenta[LOTE],0)),"ENTREGADO")</f>
        <v>ENTREGADO</v>
      </c>
      <c r="K3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7" s="148" t="e">
        <f>INDEX(Tabla_imprenta[FECHA CAJA],MATCH(Tabla_control[[#This Row],[LOTE]],Tabla_imprenta[LOTE],0))</f>
        <v>#N/A</v>
      </c>
      <c r="M3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7" s="169" t="e">
        <f>ROUNDUP(Tabla_control[[#This Row],[CANTIDAD IMPRIMIR]]/Tabla_control[[#This Row],[N TJ]],0)</f>
        <v>#VALUE!</v>
      </c>
      <c r="Q37" s="169" t="e">
        <f>IF(Tabla_control[[#This Row],[CANTIDAD TIRAJE]]&gt;10000,Tabla_control[[#This Row],[CANTIDAD TIRAJE]],Tabla_control[[#This Row],[CANTIDAD TIRAJE]]*2)</f>
        <v>#VALUE!</v>
      </c>
      <c r="R37" s="4" t="s">
        <v>173</v>
      </c>
      <c r="S37" s="4" t="s">
        <v>174</v>
      </c>
      <c r="T37" s="4"/>
      <c r="U37" s="4"/>
      <c r="V37" s="4"/>
      <c r="W37" s="138" t="s">
        <v>3223</v>
      </c>
      <c r="X37" s="138"/>
      <c r="Y37" s="138"/>
      <c r="Z37" s="138"/>
      <c r="AA37" s="4" t="s">
        <v>2429</v>
      </c>
      <c r="AB37" s="184" t="s">
        <v>2028</v>
      </c>
    </row>
    <row r="38" spans="1:28" hidden="1" x14ac:dyDescent="0.2">
      <c r="A38" s="175" t="str">
        <f>IF(COUNTIF(Tabla_imprenta[LOTE],Tabla_control[[#This Row],[LOTE]])=1,INDEX(Tabla_imprenta[FECHA EMISIÓN],MATCH(Tabla_control[[#This Row],[LOTE]],Tabla_imprenta[LOTE],0)),"REALIZADO")</f>
        <v>REALIZADO</v>
      </c>
      <c r="B38" s="142" t="str">
        <f>IF(COUNTIF(Tabla_imprenta[LOTE],Tabla_control[[#This Row],[LOTE]])=1,INDEX(Tabla_imprenta[CÓD. SOLICITUD],MATCH(Tabla_control[[#This Row],[LOTE]],Tabla_imprenta[LOTE],0)),"REALIZADO")</f>
        <v>REALIZADO</v>
      </c>
      <c r="C38" s="177" t="str">
        <f>IF(COUNTIF(Tabla_imprenta[LOTE],Tabla_control[[#This Row],[LOTE]])=1,INDEX(Tabla_imprenta[PRODUCTO],MATCH(Tabla_control[[#This Row],[LOTE]],Tabla_imprenta[LOTE],0)),"REALIZADO")</f>
        <v>REALIZADO</v>
      </c>
      <c r="D38" s="142" t="str">
        <f>IF(COUNTIF(Tabla_imprenta[LOTE],Tabla_control[[#This Row],[LOTE]])=1,INDEX(Tabla_imprenta[FORMA FARMACEUTICA],MATCH(Tabla_control[[#This Row],[LOTE]],Tabla_imprenta[LOTE],0)),"REALIZADO")</f>
        <v>REALIZADO</v>
      </c>
      <c r="E38" s="177" t="str">
        <f>IF(COUNTIF(Tabla_imprenta[LOTE],Tabla_control[[#This Row],[LOTE]])=1,INDEX(Tabla_imprenta[INSTITUCIÓN],MATCH(Tabla_control[[#This Row],[LOTE]],Tabla_imprenta[LOTE],0)),"REALIZADO")</f>
        <v>REALIZADO</v>
      </c>
      <c r="F38" s="180" t="s">
        <v>2315</v>
      </c>
      <c r="G3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8" s="139" t="str">
        <f>IF(COUNTIF(Tabla_imprenta[LOTE],Tabla_control[[#This Row],[LOTE]])=1,INDEX(Tabla_imprenta[stock sap],MATCH(Tabla_control[[#This Row],[LOTE]],Tabla_imprenta[LOTE],0)),"ENTREGADO")</f>
        <v>ENTREGADO</v>
      </c>
      <c r="I38" s="139" t="str">
        <f>IF(Tabla_control[[#This Row],[STOCK SAP]]&gt;Tabla_control[[#This Row],[CANTIDAD IMPRIMIR]],"cubre","no cubre")</f>
        <v>no cubre</v>
      </c>
      <c r="J38" s="7" t="str">
        <f>IF(COUNTIF(Tabla_imprenta[LOTE],Tabla_control[[#This Row],[LOTE]])=1,INDEX(Tabla_imprenta[STOCK],MATCH(Tabla_control[[#This Row],[LOTE]],Tabla_imprenta[LOTE],0)),"ENTREGADO")</f>
        <v>ENTREGADO</v>
      </c>
      <c r="K3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8" s="148" t="e">
        <f>INDEX(Tabla_imprenta[FECHA CAJA],MATCH(Tabla_control[[#This Row],[LOTE]],Tabla_imprenta[LOTE],0))</f>
        <v>#N/A</v>
      </c>
      <c r="M3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8" s="169" t="e">
        <f>ROUNDUP(Tabla_control[[#This Row],[CANTIDAD IMPRIMIR]]/Tabla_control[[#This Row],[N TJ]],0)</f>
        <v>#VALUE!</v>
      </c>
      <c r="Q38" s="169" t="e">
        <f>IF(Tabla_control[[#This Row],[CANTIDAD TIRAJE]]&gt;10000,Tabla_control[[#This Row],[CANTIDAD TIRAJE]],Tabla_control[[#This Row],[CANTIDAD TIRAJE]]*2)</f>
        <v>#VALUE!</v>
      </c>
      <c r="R38" s="4" t="s">
        <v>173</v>
      </c>
      <c r="S38" s="4" t="s">
        <v>174</v>
      </c>
      <c r="T38" s="4"/>
      <c r="U38" s="4"/>
      <c r="V38" s="4"/>
      <c r="W38" s="138" t="s">
        <v>3223</v>
      </c>
      <c r="X38" s="138"/>
      <c r="Y38" s="138"/>
      <c r="Z38" s="138"/>
      <c r="AA38" s="4" t="s">
        <v>2429</v>
      </c>
      <c r="AB38" s="184" t="s">
        <v>2028</v>
      </c>
    </row>
    <row r="39" spans="1:28" hidden="1" x14ac:dyDescent="0.2">
      <c r="A39" s="175" t="str">
        <f>IF(COUNTIF(Tabla_imprenta[LOTE],Tabla_control[[#This Row],[LOTE]])=1,INDEX(Tabla_imprenta[FECHA EMISIÓN],MATCH(Tabla_control[[#This Row],[LOTE]],Tabla_imprenta[LOTE],0)),"REALIZADO")</f>
        <v>REALIZADO</v>
      </c>
      <c r="B39" s="142" t="str">
        <f>IF(COUNTIF(Tabla_imprenta[LOTE],Tabla_control[[#This Row],[LOTE]])=1,INDEX(Tabla_imprenta[CÓD. SOLICITUD],MATCH(Tabla_control[[#This Row],[LOTE]],Tabla_imprenta[LOTE],0)),"REALIZADO")</f>
        <v>REALIZADO</v>
      </c>
      <c r="C39" s="178" t="str">
        <f>IF(COUNTIF(Tabla_imprenta[LOTE],Tabla_control[[#This Row],[LOTE]])=1,INDEX(Tabla_imprenta[PRODUCTO],MATCH(Tabla_control[[#This Row],[LOTE]],Tabla_imprenta[LOTE],0)),"REALIZADO")</f>
        <v>REALIZADO</v>
      </c>
      <c r="D39" s="142" t="str">
        <f>IF(COUNTIF(Tabla_imprenta[LOTE],Tabla_control[[#This Row],[LOTE]])=1,INDEX(Tabla_imprenta[FORMA FARMACEUTICA],MATCH(Tabla_control[[#This Row],[LOTE]],Tabla_imprenta[LOTE],0)),"REALIZADO")</f>
        <v>REALIZADO</v>
      </c>
      <c r="E39" s="177" t="str">
        <f>IF(COUNTIF(Tabla_imprenta[LOTE],Tabla_control[[#This Row],[LOTE]])=1,INDEX(Tabla_imprenta[INSTITUCIÓN],MATCH(Tabla_control[[#This Row],[LOTE]],Tabla_imprenta[LOTE],0)),"REALIZADO")</f>
        <v>REALIZADO</v>
      </c>
      <c r="F39" s="180" t="s">
        <v>2531</v>
      </c>
      <c r="G3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9" s="139" t="str">
        <f>IF(COUNTIF(Tabla_imprenta[LOTE],Tabla_control[[#This Row],[LOTE]])=1,INDEX(Tabla_imprenta[stock sap],MATCH(Tabla_control[[#This Row],[LOTE]],Tabla_imprenta[LOTE],0)),"ENTREGADO")</f>
        <v>ENTREGADO</v>
      </c>
      <c r="I39" s="139" t="str">
        <f>IF(Tabla_control[[#This Row],[STOCK SAP]]&gt;Tabla_control[[#This Row],[CANTIDAD IMPRIMIR]],"cubre","no cubre")</f>
        <v>no cubre</v>
      </c>
      <c r="J39" s="7" t="str">
        <f>IF(COUNTIF(Tabla_imprenta[LOTE],Tabla_control[[#This Row],[LOTE]])=1,INDEX(Tabla_imprenta[STOCK],MATCH(Tabla_control[[#This Row],[LOTE]],Tabla_imprenta[LOTE],0)),"ENTREGADO")</f>
        <v>ENTREGADO</v>
      </c>
      <c r="K3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9" s="148" t="e">
        <f>INDEX(Tabla_imprenta[FECHA CAJA],MATCH(Tabla_control[[#This Row],[LOTE]],Tabla_imprenta[LOTE],0))</f>
        <v>#N/A</v>
      </c>
      <c r="M3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9" s="170" t="e">
        <f>ROUNDUP(Tabla_control[[#This Row],[CANTIDAD IMPRIMIR]]/Tabla_control[[#This Row],[N TJ]],0)</f>
        <v>#VALUE!</v>
      </c>
      <c r="Q39" s="170" t="e">
        <f>IF(Tabla_control[[#This Row],[CANTIDAD TIRAJE]]&gt;10000,Tabla_control[[#This Row],[CANTIDAD TIRAJE]],Tabla_control[[#This Row],[CANTIDAD TIRAJE]]*2)</f>
        <v>#VALUE!</v>
      </c>
      <c r="R39" s="4" t="s">
        <v>172</v>
      </c>
      <c r="S39" s="4" t="s">
        <v>30</v>
      </c>
      <c r="T39" s="4"/>
      <c r="U39" s="4"/>
      <c r="V39" s="4"/>
      <c r="W39" s="185" t="s">
        <v>3238</v>
      </c>
      <c r="X39" s="185"/>
      <c r="Y39" s="185"/>
      <c r="Z39" s="185"/>
      <c r="AA39" s="4" t="s">
        <v>2314</v>
      </c>
      <c r="AB39" s="184" t="s">
        <v>2028</v>
      </c>
    </row>
    <row r="40" spans="1:28" hidden="1" x14ac:dyDescent="0.2">
      <c r="A40" s="175" t="str">
        <f>IF(COUNTIF(Tabla_imprenta[LOTE],Tabla_control[[#This Row],[LOTE]])=1,INDEX(Tabla_imprenta[FECHA EMISIÓN],MATCH(Tabla_control[[#This Row],[LOTE]],Tabla_imprenta[LOTE],0)),"REALIZADO")</f>
        <v>REALIZADO</v>
      </c>
      <c r="B40" s="142" t="str">
        <f>IF(COUNTIF(Tabla_imprenta[LOTE],Tabla_control[[#This Row],[LOTE]])=1,INDEX(Tabla_imprenta[CÓD. SOLICITUD],MATCH(Tabla_control[[#This Row],[LOTE]],Tabla_imprenta[LOTE],0)),"REALIZADO")</f>
        <v>REALIZADO</v>
      </c>
      <c r="C40" s="178" t="str">
        <f>IF(COUNTIF(Tabla_imprenta[LOTE],Tabla_control[[#This Row],[LOTE]])=1,INDEX(Tabla_imprenta[PRODUCTO],MATCH(Tabla_control[[#This Row],[LOTE]],Tabla_imprenta[LOTE],0)),"REALIZADO")</f>
        <v>REALIZADO</v>
      </c>
      <c r="D40" s="142" t="str">
        <f>IF(COUNTIF(Tabla_imprenta[LOTE],Tabla_control[[#This Row],[LOTE]])=1,INDEX(Tabla_imprenta[FORMA FARMACEUTICA],MATCH(Tabla_control[[#This Row],[LOTE]],Tabla_imprenta[LOTE],0)),"REALIZADO")</f>
        <v>REALIZADO</v>
      </c>
      <c r="E40" s="177" t="str">
        <f>IF(COUNTIF(Tabla_imprenta[LOTE],Tabla_control[[#This Row],[LOTE]])=1,INDEX(Tabla_imprenta[INSTITUCIÓN],MATCH(Tabla_control[[#This Row],[LOTE]],Tabla_imprenta[LOTE],0)),"REALIZADO")</f>
        <v>REALIZADO</v>
      </c>
      <c r="F40" s="180" t="s">
        <v>2549</v>
      </c>
      <c r="G4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0" s="139" t="str">
        <f>IF(COUNTIF(Tabla_imprenta[LOTE],Tabla_control[[#This Row],[LOTE]])=1,INDEX(Tabla_imprenta[stock sap],MATCH(Tabla_control[[#This Row],[LOTE]],Tabla_imprenta[LOTE],0)),"ENTREGADO")</f>
        <v>ENTREGADO</v>
      </c>
      <c r="I40" s="139" t="str">
        <f>IF(Tabla_control[[#This Row],[STOCK SAP]]&gt;Tabla_control[[#This Row],[CANTIDAD IMPRIMIR]],"cubre","no cubre")</f>
        <v>no cubre</v>
      </c>
      <c r="J40" s="7" t="str">
        <f>IF(COUNTIF(Tabla_imprenta[LOTE],Tabla_control[[#This Row],[LOTE]])=1,INDEX(Tabla_imprenta[STOCK],MATCH(Tabla_control[[#This Row],[LOTE]],Tabla_imprenta[LOTE],0)),"ENTREGADO")</f>
        <v>ENTREGADO</v>
      </c>
      <c r="K4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0" s="148" t="e">
        <f>INDEX(Tabla_imprenta[FECHA CAJA],MATCH(Tabla_control[[#This Row],[LOTE]],Tabla_imprenta[LOTE],0))</f>
        <v>#N/A</v>
      </c>
      <c r="M4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0" s="170" t="e">
        <f>ROUNDUP(Tabla_control[[#This Row],[CANTIDAD IMPRIMIR]]/Tabla_control[[#This Row],[N TJ]],0)</f>
        <v>#VALUE!</v>
      </c>
      <c r="Q40" s="170" t="e">
        <f>IF(Tabla_control[[#This Row],[CANTIDAD TIRAJE]]&gt;10000,Tabla_control[[#This Row],[CANTIDAD TIRAJE]],Tabla_control[[#This Row],[CANTIDAD TIRAJE]]*2)</f>
        <v>#VALUE!</v>
      </c>
      <c r="R40" s="4" t="s">
        <v>172</v>
      </c>
      <c r="S40" s="4" t="s">
        <v>30</v>
      </c>
      <c r="T40" s="4"/>
      <c r="U40" s="4"/>
      <c r="V40" s="4"/>
      <c r="W40" s="185" t="s">
        <v>3238</v>
      </c>
      <c r="X40" s="185"/>
      <c r="Y40" s="185"/>
      <c r="Z40" s="185"/>
      <c r="AA40" s="4" t="s">
        <v>2031</v>
      </c>
      <c r="AB40" s="184" t="s">
        <v>2028</v>
      </c>
    </row>
    <row r="41" spans="1:28" hidden="1" x14ac:dyDescent="0.2">
      <c r="A41" s="175" t="str">
        <f>IF(COUNTIF(Tabla_imprenta[LOTE],Tabla_control[[#This Row],[LOTE]])=1,INDEX(Tabla_imprenta[FECHA EMISIÓN],MATCH(Tabla_control[[#This Row],[LOTE]],Tabla_imprenta[LOTE],0)),"REALIZADO")</f>
        <v>REALIZADO</v>
      </c>
      <c r="B41" s="142" t="str">
        <f>IF(COUNTIF(Tabla_imprenta[LOTE],Tabla_control[[#This Row],[LOTE]])=1,INDEX(Tabla_imprenta[CÓD. SOLICITUD],MATCH(Tabla_control[[#This Row],[LOTE]],Tabla_imprenta[LOTE],0)),"REALIZADO")</f>
        <v>REALIZADO</v>
      </c>
      <c r="C41" s="177" t="str">
        <f>IF(COUNTIF(Tabla_imprenta[LOTE],Tabla_control[[#This Row],[LOTE]])=1,INDEX(Tabla_imprenta[PRODUCTO],MATCH(Tabla_control[[#This Row],[LOTE]],Tabla_imprenta[LOTE],0)),"REALIZADO")</f>
        <v>REALIZADO</v>
      </c>
      <c r="D41" s="142" t="str">
        <f>IF(COUNTIF(Tabla_imprenta[LOTE],Tabla_control[[#This Row],[LOTE]])=1,INDEX(Tabla_imprenta[FORMA FARMACEUTICA],MATCH(Tabla_control[[#This Row],[LOTE]],Tabla_imprenta[LOTE],0)),"REALIZADO")</f>
        <v>REALIZADO</v>
      </c>
      <c r="E41" s="177" t="str">
        <f>IF(COUNTIF(Tabla_imprenta[LOTE],Tabla_control[[#This Row],[LOTE]])=1,INDEX(Tabla_imprenta[INSTITUCIÓN],MATCH(Tabla_control[[#This Row],[LOTE]],Tabla_imprenta[LOTE],0)),"REALIZADO")</f>
        <v>REALIZADO</v>
      </c>
      <c r="F41" s="183" t="s">
        <v>126</v>
      </c>
      <c r="G4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1" s="139" t="str">
        <f>IF(COUNTIF(Tabla_imprenta[LOTE],Tabla_control[[#This Row],[LOTE]])=1,INDEX(Tabla_imprenta[stock sap],MATCH(Tabla_control[[#This Row],[LOTE]],Tabla_imprenta[LOTE],0)),"ENTREGADO")</f>
        <v>ENTREGADO</v>
      </c>
      <c r="I41" s="139" t="str">
        <f>IF(Tabla_control[[#This Row],[STOCK SAP]]&gt;Tabla_control[[#This Row],[CANTIDAD IMPRIMIR]],"cubre","no cubre")</f>
        <v>no cubre</v>
      </c>
      <c r="J41" s="7" t="str">
        <f>IF(COUNTIF(Tabla_imprenta[LOTE],Tabla_control[[#This Row],[LOTE]])=1,INDEX(Tabla_imprenta[STOCK],MATCH(Tabla_control[[#This Row],[LOTE]],Tabla_imprenta[LOTE],0)),"ENTREGADO")</f>
        <v>ENTREGADO</v>
      </c>
      <c r="K4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1" s="149" t="e">
        <f>INDEX(Tabla_imprenta[FECHA CAJA],MATCH(Tabla_control[[#This Row],[LOTE]],Tabla_imprenta[LOTE],0))</f>
        <v>#N/A</v>
      </c>
      <c r="M4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1" s="167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1" s="167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1" s="168" t="e">
        <f>ROUNDUP(Tabla_control[[#This Row],[CANTIDAD IMPRIMIR]]/Tabla_control[[#This Row],[N TJ]],0)</f>
        <v>#VALUE!</v>
      </c>
      <c r="Q41" s="168" t="e">
        <f>IF(Tabla_control[[#This Row],[CANTIDAD TIRAJE]]&gt;10000,Tabla_control[[#This Row],[CANTIDAD TIRAJE]],Tabla_control[[#This Row],[CANTIDAD TIRAJE]]*2)</f>
        <v>#VALUE!</v>
      </c>
      <c r="R41" s="4" t="s">
        <v>173</v>
      </c>
      <c r="S41" s="4" t="s">
        <v>174</v>
      </c>
      <c r="T41" s="4"/>
      <c r="U41" s="4"/>
      <c r="V41" s="4"/>
      <c r="W41" s="138" t="s">
        <v>3223</v>
      </c>
      <c r="X41" s="138"/>
      <c r="Y41" s="138"/>
      <c r="Z41" s="138"/>
      <c r="AA41" s="4" t="s">
        <v>2031</v>
      </c>
      <c r="AB41" s="184" t="s">
        <v>2028</v>
      </c>
    </row>
    <row r="42" spans="1:28" hidden="1" x14ac:dyDescent="0.2">
      <c r="A42" s="175" t="str">
        <f>IF(COUNTIF(Tabla_imprenta[LOTE],Tabla_control[[#This Row],[LOTE]])=1,INDEX(Tabla_imprenta[FECHA EMISIÓN],MATCH(Tabla_control[[#This Row],[LOTE]],Tabla_imprenta[LOTE],0)),"REALIZADO")</f>
        <v>REALIZADO</v>
      </c>
      <c r="B42" s="142" t="str">
        <f>IF(COUNTIF(Tabla_imprenta[LOTE],Tabla_control[[#This Row],[LOTE]])=1,INDEX(Tabla_imprenta[CÓD. SOLICITUD],MATCH(Tabla_control[[#This Row],[LOTE]],Tabla_imprenta[LOTE],0)),"REALIZADO")</f>
        <v>REALIZADO</v>
      </c>
      <c r="C42" s="177" t="str">
        <f>IF(COUNTIF(Tabla_imprenta[LOTE],Tabla_control[[#This Row],[LOTE]])=1,INDEX(Tabla_imprenta[PRODUCTO],MATCH(Tabla_control[[#This Row],[LOTE]],Tabla_imprenta[LOTE],0)),"REALIZADO")</f>
        <v>REALIZADO</v>
      </c>
      <c r="D42" s="142" t="str">
        <f>IF(COUNTIF(Tabla_imprenta[LOTE],Tabla_control[[#This Row],[LOTE]])=1,INDEX(Tabla_imprenta[FORMA FARMACEUTICA],MATCH(Tabla_control[[#This Row],[LOTE]],Tabla_imprenta[LOTE],0)),"REALIZADO")</f>
        <v>REALIZADO</v>
      </c>
      <c r="E42" s="177" t="str">
        <f>IF(COUNTIF(Tabla_imprenta[LOTE],Tabla_control[[#This Row],[LOTE]])=1,INDEX(Tabla_imprenta[INSTITUCIÓN],MATCH(Tabla_control[[#This Row],[LOTE]],Tabla_imprenta[LOTE],0)),"REALIZADO")</f>
        <v>REALIZADO</v>
      </c>
      <c r="F42" s="183" t="s">
        <v>117</v>
      </c>
      <c r="G4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2" s="139" t="str">
        <f>IF(COUNTIF(Tabla_imprenta[LOTE],Tabla_control[[#This Row],[LOTE]])=1,INDEX(Tabla_imprenta[stock sap],MATCH(Tabla_control[[#This Row],[LOTE]],Tabla_imprenta[LOTE],0)),"ENTREGADO")</f>
        <v>ENTREGADO</v>
      </c>
      <c r="I42" s="139" t="str">
        <f>IF(Tabla_control[[#This Row],[STOCK SAP]]&gt;Tabla_control[[#This Row],[CANTIDAD IMPRIMIR]],"cubre","no cubre")</f>
        <v>no cubre</v>
      </c>
      <c r="J42" s="7" t="str">
        <f>IF(COUNTIF(Tabla_imprenta[LOTE],Tabla_control[[#This Row],[LOTE]])=1,INDEX(Tabla_imprenta[STOCK],MATCH(Tabla_control[[#This Row],[LOTE]],Tabla_imprenta[LOTE],0)),"ENTREGADO")</f>
        <v>ENTREGADO</v>
      </c>
      <c r="K4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2" s="148" t="e">
        <f>INDEX(Tabla_imprenta[FECHA CAJA],MATCH(Tabla_control[[#This Row],[LOTE]],Tabla_imprenta[LOTE],0))</f>
        <v>#N/A</v>
      </c>
      <c r="M4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2" s="169" t="e">
        <f>ROUNDUP(Tabla_control[[#This Row],[CANTIDAD IMPRIMIR]]/Tabla_control[[#This Row],[N TJ]],0)</f>
        <v>#VALUE!</v>
      </c>
      <c r="Q42" s="169" t="e">
        <f>IF(Tabla_control[[#This Row],[CANTIDAD TIRAJE]]&gt;10000,Tabla_control[[#This Row],[CANTIDAD TIRAJE]],Tabla_control[[#This Row],[CANTIDAD TIRAJE]]*2)</f>
        <v>#VALUE!</v>
      </c>
      <c r="R42" s="4" t="s">
        <v>172</v>
      </c>
      <c r="S42" s="4" t="s">
        <v>30</v>
      </c>
      <c r="T42" s="4"/>
      <c r="U42" s="4"/>
      <c r="V42" s="4"/>
      <c r="W42" s="138" t="s">
        <v>3223</v>
      </c>
      <c r="X42" s="138"/>
      <c r="Y42" s="138"/>
      <c r="Z42" s="138"/>
      <c r="AA42" s="4" t="s">
        <v>2182</v>
      </c>
      <c r="AB42" s="184" t="s">
        <v>2028</v>
      </c>
    </row>
    <row r="43" spans="1:28" hidden="1" x14ac:dyDescent="0.2">
      <c r="A43" s="176" t="str">
        <f>IF(COUNTIF(Tabla_imprenta[LOTE],Tabla_control[[#This Row],[LOTE]])=1,INDEX(Tabla_imprenta[FECHA EMISIÓN],MATCH(Tabla_control[[#This Row],[LOTE]],Tabla_imprenta[LOTE],0)),"REALIZADO")</f>
        <v>REALIZADO</v>
      </c>
      <c r="B43" s="142" t="str">
        <f>IF(COUNTIF(Tabla_imprenta[LOTE],Tabla_control[[#This Row],[LOTE]])=1,INDEX(Tabla_imprenta[CÓD. SOLICITUD],MATCH(Tabla_control[[#This Row],[LOTE]],Tabla_imprenta[LOTE],0)),"REALIZADO")</f>
        <v>REALIZADO</v>
      </c>
      <c r="C43" s="177" t="str">
        <f>IF(COUNTIF(Tabla_imprenta[LOTE],Tabla_control[[#This Row],[LOTE]])=1,INDEX(Tabla_imprenta[PRODUCTO],MATCH(Tabla_control[[#This Row],[LOTE]],Tabla_imprenta[LOTE],0)),"REALIZADO")</f>
        <v>REALIZADO</v>
      </c>
      <c r="D43" s="142" t="str">
        <f>IF(COUNTIF(Tabla_imprenta[LOTE],Tabla_control[[#This Row],[LOTE]])=1,INDEX(Tabla_imprenta[FORMA FARMACEUTICA],MATCH(Tabla_control[[#This Row],[LOTE]],Tabla_imprenta[LOTE],0)),"REALIZADO")</f>
        <v>REALIZADO</v>
      </c>
      <c r="E43" s="177" t="str">
        <f>IF(COUNTIF(Tabla_imprenta[LOTE],Tabla_control[[#This Row],[LOTE]])=1,INDEX(Tabla_imprenta[INSTITUCIÓN],MATCH(Tabla_control[[#This Row],[LOTE]],Tabla_imprenta[LOTE],0)),"REALIZADO")</f>
        <v>REALIZADO</v>
      </c>
      <c r="F43" s="183" t="s">
        <v>153</v>
      </c>
      <c r="G4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3" s="139" t="str">
        <f>IF(COUNTIF(Tabla_imprenta[LOTE],Tabla_control[[#This Row],[LOTE]])=1,INDEX(Tabla_imprenta[stock sap],MATCH(Tabla_control[[#This Row],[LOTE]],Tabla_imprenta[LOTE],0)),"ENTREGADO")</f>
        <v>ENTREGADO</v>
      </c>
      <c r="I43" s="139" t="str">
        <f>IF(Tabla_control[[#This Row],[STOCK SAP]]&gt;Tabla_control[[#This Row],[CANTIDAD IMPRIMIR]],"cubre","no cubre")</f>
        <v>no cubre</v>
      </c>
      <c r="J43" s="7" t="str">
        <f>IF(COUNTIF(Tabla_imprenta[LOTE],Tabla_control[[#This Row],[LOTE]])=1,INDEX(Tabla_imprenta[STOCK],MATCH(Tabla_control[[#This Row],[LOTE]],Tabla_imprenta[LOTE],0)),"ENTREGADO")</f>
        <v>ENTREGADO</v>
      </c>
      <c r="K4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3" s="148" t="e">
        <f>INDEX(Tabla_imprenta[FECHA CAJA],MATCH(Tabla_control[[#This Row],[LOTE]],Tabla_imprenta[LOTE],0))</f>
        <v>#N/A</v>
      </c>
      <c r="M4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3" s="169" t="e">
        <f>ROUNDUP(Tabla_control[[#This Row],[CANTIDAD IMPRIMIR]]/Tabla_control[[#This Row],[N TJ]],0)</f>
        <v>#VALUE!</v>
      </c>
      <c r="Q43" s="169" t="e">
        <f>IF(Tabla_control[[#This Row],[CANTIDAD TIRAJE]]&gt;10000,Tabla_control[[#This Row],[CANTIDAD TIRAJE]],Tabla_control[[#This Row],[CANTIDAD TIRAJE]]*2)</f>
        <v>#VALUE!</v>
      </c>
      <c r="R43" s="4" t="s">
        <v>175</v>
      </c>
      <c r="S43" s="4" t="s">
        <v>174</v>
      </c>
      <c r="T43" s="4"/>
      <c r="U43" s="4"/>
      <c r="V43" s="4"/>
      <c r="W43" s="138" t="s">
        <v>3223</v>
      </c>
      <c r="X43" s="138"/>
      <c r="Y43" s="138"/>
      <c r="Z43" s="138"/>
      <c r="AA43" s="4" t="s">
        <v>2031</v>
      </c>
      <c r="AB43" s="184" t="s">
        <v>2028</v>
      </c>
    </row>
    <row r="44" spans="1:28" hidden="1" x14ac:dyDescent="0.2">
      <c r="A44" s="175" t="str">
        <f>IF(COUNTIF(Tabla_imprenta[LOTE],Tabla_control[[#This Row],[LOTE]])=1,INDEX(Tabla_imprenta[FECHA EMISIÓN],MATCH(Tabla_control[[#This Row],[LOTE]],Tabla_imprenta[LOTE],0)),"REALIZADO")</f>
        <v>REALIZADO</v>
      </c>
      <c r="B44" s="142" t="str">
        <f>IF(COUNTIF(Tabla_imprenta[LOTE],Tabla_control[[#This Row],[LOTE]])=1,INDEX(Tabla_imprenta[CÓD. SOLICITUD],MATCH(Tabla_control[[#This Row],[LOTE]],Tabla_imprenta[LOTE],0)),"REALIZADO")</f>
        <v>REALIZADO</v>
      </c>
      <c r="C44" s="177" t="str">
        <f>IF(COUNTIF(Tabla_imprenta[LOTE],Tabla_control[[#This Row],[LOTE]])=1,INDEX(Tabla_imprenta[PRODUCTO],MATCH(Tabla_control[[#This Row],[LOTE]],Tabla_imprenta[LOTE],0)),"REALIZADO")</f>
        <v>REALIZADO</v>
      </c>
      <c r="D44" s="142" t="str">
        <f>IF(COUNTIF(Tabla_imprenta[LOTE],Tabla_control[[#This Row],[LOTE]])=1,INDEX(Tabla_imprenta[FORMA FARMACEUTICA],MATCH(Tabla_control[[#This Row],[LOTE]],Tabla_imprenta[LOTE],0)),"REALIZADO")</f>
        <v>REALIZADO</v>
      </c>
      <c r="E44" s="177" t="str">
        <f>IF(COUNTIF(Tabla_imprenta[LOTE],Tabla_control[[#This Row],[LOTE]])=1,INDEX(Tabla_imprenta[INSTITUCIÓN],MATCH(Tabla_control[[#This Row],[LOTE]],Tabla_imprenta[LOTE],0)),"REALIZADO")</f>
        <v>REALIZADO</v>
      </c>
      <c r="F44" s="183" t="s">
        <v>147</v>
      </c>
      <c r="G4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4" s="139" t="str">
        <f>IF(COUNTIF(Tabla_imprenta[LOTE],Tabla_control[[#This Row],[LOTE]])=1,INDEX(Tabla_imprenta[stock sap],MATCH(Tabla_control[[#This Row],[LOTE]],Tabla_imprenta[LOTE],0)),"ENTREGADO")</f>
        <v>ENTREGADO</v>
      </c>
      <c r="I44" s="139" t="str">
        <f>IF(Tabla_control[[#This Row],[STOCK SAP]]&gt;Tabla_control[[#This Row],[CANTIDAD IMPRIMIR]],"cubre","no cubre")</f>
        <v>no cubre</v>
      </c>
      <c r="J44" s="7" t="str">
        <f>IF(COUNTIF(Tabla_imprenta[LOTE],Tabla_control[[#This Row],[LOTE]])=1,INDEX(Tabla_imprenta[STOCK],MATCH(Tabla_control[[#This Row],[LOTE]],Tabla_imprenta[LOTE],0)),"ENTREGADO")</f>
        <v>ENTREGADO</v>
      </c>
      <c r="K4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4" s="148" t="e">
        <f>INDEX(Tabla_imprenta[FECHA CAJA],MATCH(Tabla_control[[#This Row],[LOTE]],Tabla_imprenta[LOTE],0))</f>
        <v>#N/A</v>
      </c>
      <c r="M4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4" s="169" t="e">
        <f>ROUNDUP(Tabla_control[[#This Row],[CANTIDAD IMPRIMIR]]/Tabla_control[[#This Row],[N TJ]],0)</f>
        <v>#VALUE!</v>
      </c>
      <c r="Q44" s="169" t="e">
        <f>IF(Tabla_control[[#This Row],[CANTIDAD TIRAJE]]&gt;10000,Tabla_control[[#This Row],[CANTIDAD TIRAJE]],Tabla_control[[#This Row],[CANTIDAD TIRAJE]]*2)</f>
        <v>#VALUE!</v>
      </c>
      <c r="R44" s="4" t="s">
        <v>172</v>
      </c>
      <c r="S44" s="4" t="s">
        <v>30</v>
      </c>
      <c r="T44" s="4"/>
      <c r="U44" s="4"/>
      <c r="V44" s="4"/>
      <c r="W44" s="138" t="s">
        <v>3223</v>
      </c>
      <c r="X44" s="138"/>
      <c r="Y44" s="138"/>
      <c r="Z44" s="138"/>
      <c r="AA44" s="4" t="s">
        <v>2182</v>
      </c>
      <c r="AB44" s="184" t="s">
        <v>2028</v>
      </c>
    </row>
    <row r="45" spans="1:28" hidden="1" x14ac:dyDescent="0.2">
      <c r="A45" s="175" t="str">
        <f>IF(COUNTIF(Tabla_imprenta[LOTE],Tabla_control[[#This Row],[LOTE]])=1,INDEX(Tabla_imprenta[FECHA EMISIÓN],MATCH(Tabla_control[[#This Row],[LOTE]],Tabla_imprenta[LOTE],0)),"REALIZADO")</f>
        <v>REALIZADO</v>
      </c>
      <c r="B45" s="142" t="str">
        <f>IF(COUNTIF(Tabla_imprenta[LOTE],Tabla_control[[#This Row],[LOTE]])=1,INDEX(Tabla_imprenta[CÓD. SOLICITUD],MATCH(Tabla_control[[#This Row],[LOTE]],Tabla_imprenta[LOTE],0)),"REALIZADO")</f>
        <v>REALIZADO</v>
      </c>
      <c r="C45" s="177" t="str">
        <f>IF(COUNTIF(Tabla_imprenta[LOTE],Tabla_control[[#This Row],[LOTE]])=1,INDEX(Tabla_imprenta[PRODUCTO],MATCH(Tabla_control[[#This Row],[LOTE]],Tabla_imprenta[LOTE],0)),"REALIZADO")</f>
        <v>REALIZADO</v>
      </c>
      <c r="D45" s="142" t="str">
        <f>IF(COUNTIF(Tabla_imprenta[LOTE],Tabla_control[[#This Row],[LOTE]])=1,INDEX(Tabla_imprenta[FORMA FARMACEUTICA],MATCH(Tabla_control[[#This Row],[LOTE]],Tabla_imprenta[LOTE],0)),"REALIZADO")</f>
        <v>REALIZADO</v>
      </c>
      <c r="E45" s="177" t="str">
        <f>IF(COUNTIF(Tabla_imprenta[LOTE],Tabla_control[[#This Row],[LOTE]])=1,INDEX(Tabla_imprenta[INSTITUCIÓN],MATCH(Tabla_control[[#This Row],[LOTE]],Tabla_imprenta[LOTE],0)),"REALIZADO")</f>
        <v>REALIZADO</v>
      </c>
      <c r="F45" s="183" t="s">
        <v>164</v>
      </c>
      <c r="G4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5" s="139" t="str">
        <f>IF(COUNTIF(Tabla_imprenta[LOTE],Tabla_control[[#This Row],[LOTE]])=1,INDEX(Tabla_imprenta[stock sap],MATCH(Tabla_control[[#This Row],[LOTE]],Tabla_imprenta[LOTE],0)),"ENTREGADO")</f>
        <v>ENTREGADO</v>
      </c>
      <c r="I45" s="139" t="str">
        <f>IF(Tabla_control[[#This Row],[STOCK SAP]]&gt;Tabla_control[[#This Row],[CANTIDAD IMPRIMIR]],"cubre","no cubre")</f>
        <v>no cubre</v>
      </c>
      <c r="J45" s="7" t="str">
        <f>IF(COUNTIF(Tabla_imprenta[LOTE],Tabla_control[[#This Row],[LOTE]])=1,INDEX(Tabla_imprenta[STOCK],MATCH(Tabla_control[[#This Row],[LOTE]],Tabla_imprenta[LOTE],0)),"ENTREGADO")</f>
        <v>ENTREGADO</v>
      </c>
      <c r="K4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5" s="148" t="e">
        <f>INDEX(Tabla_imprenta[FECHA CAJA],MATCH(Tabla_control[[#This Row],[LOTE]],Tabla_imprenta[LOTE],0))</f>
        <v>#N/A</v>
      </c>
      <c r="M4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5" s="169" t="e">
        <f>ROUNDUP(Tabla_control[[#This Row],[CANTIDAD IMPRIMIR]]/Tabla_control[[#This Row],[N TJ]],0)</f>
        <v>#VALUE!</v>
      </c>
      <c r="Q45" s="169" t="e">
        <f>IF(Tabla_control[[#This Row],[CANTIDAD TIRAJE]]&gt;10000,Tabla_control[[#This Row],[CANTIDAD TIRAJE]],Tabla_control[[#This Row],[CANTIDAD TIRAJE]]*2)</f>
        <v>#VALUE!</v>
      </c>
      <c r="R45" s="4" t="s">
        <v>176</v>
      </c>
      <c r="S45" s="4" t="s">
        <v>30</v>
      </c>
      <c r="T45" s="4"/>
      <c r="U45" s="4"/>
      <c r="V45" s="4"/>
      <c r="W45" s="138" t="s">
        <v>3223</v>
      </c>
      <c r="X45" s="138"/>
      <c r="Y45" s="138"/>
      <c r="Z45" s="138"/>
      <c r="AA45" s="4" t="s">
        <v>2182</v>
      </c>
      <c r="AB45" s="184" t="s">
        <v>2028</v>
      </c>
    </row>
    <row r="46" spans="1:28" hidden="1" x14ac:dyDescent="0.2">
      <c r="A46" s="175" t="str">
        <f>IF(COUNTIF(Tabla_imprenta[LOTE],Tabla_control[[#This Row],[LOTE]])=1,INDEX(Tabla_imprenta[FECHA EMISIÓN],MATCH(Tabla_control[[#This Row],[LOTE]],Tabla_imprenta[LOTE],0)),"REALIZADO")</f>
        <v>REALIZADO</v>
      </c>
      <c r="B46" s="142" t="str">
        <f>IF(COUNTIF(Tabla_imprenta[LOTE],Tabla_control[[#This Row],[LOTE]])=1,INDEX(Tabla_imprenta[CÓD. SOLICITUD],MATCH(Tabla_control[[#This Row],[LOTE]],Tabla_imprenta[LOTE],0)),"REALIZADO")</f>
        <v>REALIZADO</v>
      </c>
      <c r="C46" s="177" t="str">
        <f>IF(COUNTIF(Tabla_imprenta[LOTE],Tabla_control[[#This Row],[LOTE]])=1,INDEX(Tabla_imprenta[PRODUCTO],MATCH(Tabla_control[[#This Row],[LOTE]],Tabla_imprenta[LOTE],0)),"REALIZADO")</f>
        <v>REALIZADO</v>
      </c>
      <c r="D46" s="142" t="str">
        <f>IF(COUNTIF(Tabla_imprenta[LOTE],Tabla_control[[#This Row],[LOTE]])=1,INDEX(Tabla_imprenta[FORMA FARMACEUTICA],MATCH(Tabla_control[[#This Row],[LOTE]],Tabla_imprenta[LOTE],0)),"REALIZADO")</f>
        <v>REALIZADO</v>
      </c>
      <c r="E46" s="177" t="str">
        <f>IF(COUNTIF(Tabla_imprenta[LOTE],Tabla_control[[#This Row],[LOTE]])=1,INDEX(Tabla_imprenta[INSTITUCIÓN],MATCH(Tabla_control[[#This Row],[LOTE]],Tabla_imprenta[LOTE],0)),"REALIZADO")</f>
        <v>REALIZADO</v>
      </c>
      <c r="F46" s="180" t="s">
        <v>195</v>
      </c>
      <c r="G4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6" s="139" t="str">
        <f>IF(COUNTIF(Tabla_imprenta[LOTE],Tabla_control[[#This Row],[LOTE]])=1,INDEX(Tabla_imprenta[stock sap],MATCH(Tabla_control[[#This Row],[LOTE]],Tabla_imprenta[LOTE],0)),"ENTREGADO")</f>
        <v>ENTREGADO</v>
      </c>
      <c r="I46" s="139" t="str">
        <f>IF(Tabla_control[[#This Row],[STOCK SAP]]&gt;Tabla_control[[#This Row],[CANTIDAD IMPRIMIR]],"cubre","no cubre")</f>
        <v>no cubre</v>
      </c>
      <c r="J46" s="7" t="str">
        <f>IF(COUNTIF(Tabla_imprenta[LOTE],Tabla_control[[#This Row],[LOTE]])=1,INDEX(Tabla_imprenta[STOCK],MATCH(Tabla_control[[#This Row],[LOTE]],Tabla_imprenta[LOTE],0)),"ENTREGADO")</f>
        <v>ENTREGADO</v>
      </c>
      <c r="K4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6" s="148" t="e">
        <f>INDEX(Tabla_imprenta[FECHA CAJA],MATCH(Tabla_control[[#This Row],[LOTE]],Tabla_imprenta[LOTE],0))</f>
        <v>#N/A</v>
      </c>
      <c r="M4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6" s="169" t="e">
        <f>ROUNDUP(Tabla_control[[#This Row],[CANTIDAD IMPRIMIR]]/Tabla_control[[#This Row],[N TJ]],0)</f>
        <v>#VALUE!</v>
      </c>
      <c r="Q46" s="169" t="e">
        <f>IF(Tabla_control[[#This Row],[CANTIDAD TIRAJE]]&gt;10000,Tabla_control[[#This Row],[CANTIDAD TIRAJE]],Tabla_control[[#This Row],[CANTIDAD TIRAJE]]*2)</f>
        <v>#VALUE!</v>
      </c>
      <c r="R46" s="4" t="s">
        <v>211</v>
      </c>
      <c r="S46" s="4" t="s">
        <v>31</v>
      </c>
      <c r="T46" s="4"/>
      <c r="U46" s="4"/>
      <c r="V46" s="4"/>
      <c r="W46" s="138" t="s">
        <v>3223</v>
      </c>
      <c r="X46" s="138"/>
      <c r="Y46" s="138"/>
      <c r="Z46" s="138"/>
      <c r="AA46" s="4" t="s">
        <v>321</v>
      </c>
      <c r="AB46" s="184" t="s">
        <v>2028</v>
      </c>
    </row>
    <row r="47" spans="1:28" hidden="1" x14ac:dyDescent="0.2">
      <c r="A47" s="175" t="str">
        <f>IF(COUNTIF(Tabla_imprenta[LOTE],Tabla_control[[#This Row],[LOTE]])=1,INDEX(Tabla_imprenta[FECHA EMISIÓN],MATCH(Tabla_control[[#This Row],[LOTE]],Tabla_imprenta[LOTE],0)),"REALIZADO")</f>
        <v>REALIZADO</v>
      </c>
      <c r="B47" s="142" t="str">
        <f>IF(COUNTIF(Tabla_imprenta[LOTE],Tabla_control[[#This Row],[LOTE]])=1,INDEX(Tabla_imprenta[CÓD. SOLICITUD],MATCH(Tabla_control[[#This Row],[LOTE]],Tabla_imprenta[LOTE],0)),"REALIZADO")</f>
        <v>REALIZADO</v>
      </c>
      <c r="C47" s="177" t="str">
        <f>IF(COUNTIF(Tabla_imprenta[LOTE],Tabla_control[[#This Row],[LOTE]])=1,INDEX(Tabla_imprenta[PRODUCTO],MATCH(Tabla_control[[#This Row],[LOTE]],Tabla_imprenta[LOTE],0)),"REALIZADO")</f>
        <v>REALIZADO</v>
      </c>
      <c r="D47" s="142" t="str">
        <f>IF(COUNTIF(Tabla_imprenta[LOTE],Tabla_control[[#This Row],[LOTE]])=1,INDEX(Tabla_imprenta[FORMA FARMACEUTICA],MATCH(Tabla_control[[#This Row],[LOTE]],Tabla_imprenta[LOTE],0)),"REALIZADO")</f>
        <v>REALIZADO</v>
      </c>
      <c r="E47" s="177" t="str">
        <f>IF(COUNTIF(Tabla_imprenta[LOTE],Tabla_control[[#This Row],[LOTE]])=1,INDEX(Tabla_imprenta[INSTITUCIÓN],MATCH(Tabla_control[[#This Row],[LOTE]],Tabla_imprenta[LOTE],0)),"REALIZADO")</f>
        <v>REALIZADO</v>
      </c>
      <c r="F47" s="183" t="s">
        <v>142</v>
      </c>
      <c r="G4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7" s="139" t="str">
        <f>IF(COUNTIF(Tabla_imprenta[LOTE],Tabla_control[[#This Row],[LOTE]])=1,INDEX(Tabla_imprenta[stock sap],MATCH(Tabla_control[[#This Row],[LOTE]],Tabla_imprenta[LOTE],0)),"ENTREGADO")</f>
        <v>ENTREGADO</v>
      </c>
      <c r="I47" s="139" t="str">
        <f>IF(Tabla_control[[#This Row],[STOCK SAP]]&gt;Tabla_control[[#This Row],[CANTIDAD IMPRIMIR]],"cubre","no cubre")</f>
        <v>no cubre</v>
      </c>
      <c r="J47" s="7" t="str">
        <f>IF(COUNTIF(Tabla_imprenta[LOTE],Tabla_control[[#This Row],[LOTE]])=1,INDEX(Tabla_imprenta[STOCK],MATCH(Tabla_control[[#This Row],[LOTE]],Tabla_imprenta[LOTE],0)),"ENTREGADO")</f>
        <v>ENTREGADO</v>
      </c>
      <c r="K4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7" s="148" t="e">
        <f>INDEX(Tabla_imprenta[FECHA CAJA],MATCH(Tabla_control[[#This Row],[LOTE]],Tabla_imprenta[LOTE],0))</f>
        <v>#N/A</v>
      </c>
      <c r="M4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7" s="169" t="e">
        <f>ROUNDUP(Tabla_control[[#This Row],[CANTIDAD IMPRIMIR]]/Tabla_control[[#This Row],[N TJ]],0)</f>
        <v>#VALUE!</v>
      </c>
      <c r="Q47" s="169" t="e">
        <f>IF(Tabla_control[[#This Row],[CANTIDAD TIRAJE]]&gt;10000,Tabla_control[[#This Row],[CANTIDAD TIRAJE]],Tabla_control[[#This Row],[CANTIDAD TIRAJE]]*2)</f>
        <v>#VALUE!</v>
      </c>
      <c r="R47" s="4" t="s">
        <v>172</v>
      </c>
      <c r="S47" s="4" t="s">
        <v>30</v>
      </c>
      <c r="T47" s="4"/>
      <c r="U47" s="4"/>
      <c r="V47" s="4"/>
      <c r="W47" s="138" t="s">
        <v>3223</v>
      </c>
      <c r="X47" s="138"/>
      <c r="Y47" s="138"/>
      <c r="Z47" s="138"/>
      <c r="AA47" s="4" t="s">
        <v>2031</v>
      </c>
      <c r="AB47" s="184" t="s">
        <v>2028</v>
      </c>
    </row>
    <row r="48" spans="1:28" hidden="1" x14ac:dyDescent="0.2">
      <c r="A48" s="175" t="str">
        <f>IF(COUNTIF(Tabla_imprenta[LOTE],Tabla_control[[#This Row],[LOTE]])=1,INDEX(Tabla_imprenta[FECHA EMISIÓN],MATCH(Tabla_control[[#This Row],[LOTE]],Tabla_imprenta[LOTE],0)),"REALIZADO")</f>
        <v>REALIZADO</v>
      </c>
      <c r="B48" s="142" t="str">
        <f>IF(COUNTIF(Tabla_imprenta[LOTE],Tabla_control[[#This Row],[LOTE]])=1,INDEX(Tabla_imprenta[CÓD. SOLICITUD],MATCH(Tabla_control[[#This Row],[LOTE]],Tabla_imprenta[LOTE],0)),"REALIZADO")</f>
        <v>REALIZADO</v>
      </c>
      <c r="C48" s="177" t="str">
        <f>IF(COUNTIF(Tabla_imprenta[LOTE],Tabla_control[[#This Row],[LOTE]])=1,INDEX(Tabla_imprenta[PRODUCTO],MATCH(Tabla_control[[#This Row],[LOTE]],Tabla_imprenta[LOTE],0)),"REALIZADO")</f>
        <v>REALIZADO</v>
      </c>
      <c r="D48" s="142" t="str">
        <f>IF(COUNTIF(Tabla_imprenta[LOTE],Tabla_control[[#This Row],[LOTE]])=1,INDEX(Tabla_imprenta[FORMA FARMACEUTICA],MATCH(Tabla_control[[#This Row],[LOTE]],Tabla_imprenta[LOTE],0)),"REALIZADO")</f>
        <v>REALIZADO</v>
      </c>
      <c r="E48" s="177" t="str">
        <f>IF(COUNTIF(Tabla_imprenta[LOTE],Tabla_control[[#This Row],[LOTE]])=1,INDEX(Tabla_imprenta[INSTITUCIÓN],MATCH(Tabla_control[[#This Row],[LOTE]],Tabla_imprenta[LOTE],0)),"REALIZADO")</f>
        <v>REALIZADO</v>
      </c>
      <c r="F48" s="183" t="s">
        <v>149</v>
      </c>
      <c r="G4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8" s="139" t="str">
        <f>IF(COUNTIF(Tabla_imprenta[LOTE],Tabla_control[[#This Row],[LOTE]])=1,INDEX(Tabla_imprenta[stock sap],MATCH(Tabla_control[[#This Row],[LOTE]],Tabla_imprenta[LOTE],0)),"ENTREGADO")</f>
        <v>ENTREGADO</v>
      </c>
      <c r="I48" s="139" t="str">
        <f>IF(Tabla_control[[#This Row],[STOCK SAP]]&gt;Tabla_control[[#This Row],[CANTIDAD IMPRIMIR]],"cubre","no cubre")</f>
        <v>no cubre</v>
      </c>
      <c r="J48" s="7" t="str">
        <f>IF(COUNTIF(Tabla_imprenta[LOTE],Tabla_control[[#This Row],[LOTE]])=1,INDEX(Tabla_imprenta[STOCK],MATCH(Tabla_control[[#This Row],[LOTE]],Tabla_imprenta[LOTE],0)),"ENTREGADO")</f>
        <v>ENTREGADO</v>
      </c>
      <c r="K4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8" s="148" t="e">
        <f>INDEX(Tabla_imprenta[FECHA CAJA],MATCH(Tabla_control[[#This Row],[LOTE]],Tabla_imprenta[LOTE],0))</f>
        <v>#N/A</v>
      </c>
      <c r="M4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8" s="169" t="e">
        <f>ROUNDUP(Tabla_control[[#This Row],[CANTIDAD IMPRIMIR]]/Tabla_control[[#This Row],[N TJ]],0)</f>
        <v>#VALUE!</v>
      </c>
      <c r="Q48" s="169" t="e">
        <f>IF(Tabla_control[[#This Row],[CANTIDAD TIRAJE]]&gt;10000,Tabla_control[[#This Row],[CANTIDAD TIRAJE]],Tabla_control[[#This Row],[CANTIDAD TIRAJE]]*2)</f>
        <v>#VALUE!</v>
      </c>
      <c r="R48" s="4" t="s">
        <v>172</v>
      </c>
      <c r="S48" s="4" t="s">
        <v>30</v>
      </c>
      <c r="T48" s="4"/>
      <c r="U48" s="4"/>
      <c r="V48" s="4"/>
      <c r="W48" s="138" t="s">
        <v>3223</v>
      </c>
      <c r="X48" s="138"/>
      <c r="Y48" s="138"/>
      <c r="Z48" s="138"/>
      <c r="AA48" s="4" t="s">
        <v>2031</v>
      </c>
      <c r="AB48" s="184" t="s">
        <v>2028</v>
      </c>
    </row>
    <row r="49" spans="1:28" hidden="1" x14ac:dyDescent="0.2">
      <c r="A49" s="175" t="str">
        <f>IF(COUNTIF(Tabla_imprenta[LOTE],Tabla_control[[#This Row],[LOTE]])=1,INDEX(Tabla_imprenta[FECHA EMISIÓN],MATCH(Tabla_control[[#This Row],[LOTE]],Tabla_imprenta[LOTE],0)),"REALIZADO")</f>
        <v>REALIZADO</v>
      </c>
      <c r="B49" s="142" t="str">
        <f>IF(COUNTIF(Tabla_imprenta[LOTE],Tabla_control[[#This Row],[LOTE]])=1,INDEX(Tabla_imprenta[CÓD. SOLICITUD],MATCH(Tabla_control[[#This Row],[LOTE]],Tabla_imprenta[LOTE],0)),"REALIZADO")</f>
        <v>REALIZADO</v>
      </c>
      <c r="C49" s="177" t="str">
        <f>IF(COUNTIF(Tabla_imprenta[LOTE],Tabla_control[[#This Row],[LOTE]])=1,INDEX(Tabla_imprenta[PRODUCTO],MATCH(Tabla_control[[#This Row],[LOTE]],Tabla_imprenta[LOTE],0)),"REALIZADO")</f>
        <v>REALIZADO</v>
      </c>
      <c r="D49" s="142" t="str">
        <f>IF(COUNTIF(Tabla_imprenta[LOTE],Tabla_control[[#This Row],[LOTE]])=1,INDEX(Tabla_imprenta[FORMA FARMACEUTICA],MATCH(Tabla_control[[#This Row],[LOTE]],Tabla_imprenta[LOTE],0)),"REALIZADO")</f>
        <v>REALIZADO</v>
      </c>
      <c r="E49" s="177" t="str">
        <f>IF(COUNTIF(Tabla_imprenta[LOTE],Tabla_control[[#This Row],[LOTE]])=1,INDEX(Tabla_imprenta[INSTITUCIÓN],MATCH(Tabla_control[[#This Row],[LOTE]],Tabla_imprenta[LOTE],0)),"REALIZADO")</f>
        <v>REALIZADO</v>
      </c>
      <c r="F49" s="183" t="s">
        <v>105</v>
      </c>
      <c r="G4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9" s="139" t="str">
        <f>IF(COUNTIF(Tabla_imprenta[LOTE],Tabla_control[[#This Row],[LOTE]])=1,INDEX(Tabla_imprenta[stock sap],MATCH(Tabla_control[[#This Row],[LOTE]],Tabla_imprenta[LOTE],0)),"ENTREGADO")</f>
        <v>ENTREGADO</v>
      </c>
      <c r="I49" s="139" t="str">
        <f>IF(Tabla_control[[#This Row],[STOCK SAP]]&gt;Tabla_control[[#This Row],[CANTIDAD IMPRIMIR]],"cubre","no cubre")</f>
        <v>no cubre</v>
      </c>
      <c r="J49" s="7" t="str">
        <f>IF(COUNTIF(Tabla_imprenta[LOTE],Tabla_control[[#This Row],[LOTE]])=1,INDEX(Tabla_imprenta[STOCK],MATCH(Tabla_control[[#This Row],[LOTE]],Tabla_imprenta[LOTE],0)),"ENTREGADO")</f>
        <v>ENTREGADO</v>
      </c>
      <c r="K4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9" s="149" t="e">
        <f>INDEX(Tabla_imprenta[FECHA CAJA],MATCH(Tabla_control[[#This Row],[LOTE]],Tabla_imprenta[LOTE],0))</f>
        <v>#N/A</v>
      </c>
      <c r="M4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9" s="167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9" s="167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9" s="168" t="e">
        <f>ROUNDUP(Tabla_control[[#This Row],[CANTIDAD IMPRIMIR]]/Tabla_control[[#This Row],[N TJ]],0)</f>
        <v>#VALUE!</v>
      </c>
      <c r="Q49" s="168" t="e">
        <f>IF(Tabla_control[[#This Row],[CANTIDAD TIRAJE]]&gt;10000,Tabla_control[[#This Row],[CANTIDAD TIRAJE]],Tabla_control[[#This Row],[CANTIDAD TIRAJE]]*2)</f>
        <v>#VALUE!</v>
      </c>
      <c r="R49" s="4" t="s">
        <v>172</v>
      </c>
      <c r="S49" s="4" t="s">
        <v>30</v>
      </c>
      <c r="T49" s="4"/>
      <c r="U49" s="4"/>
      <c r="V49" s="4"/>
      <c r="W49" s="138" t="s">
        <v>3223</v>
      </c>
      <c r="X49" s="138"/>
      <c r="Y49" s="138"/>
      <c r="Z49" s="138"/>
      <c r="AA49" s="4" t="s">
        <v>2031</v>
      </c>
      <c r="AB49" s="184" t="s">
        <v>2028</v>
      </c>
    </row>
    <row r="50" spans="1:28" hidden="1" x14ac:dyDescent="0.2">
      <c r="A50" s="175" t="str">
        <f>IF(COUNTIF(Tabla_imprenta[LOTE],Tabla_control[[#This Row],[LOTE]])=1,INDEX(Tabla_imprenta[FECHA EMISIÓN],MATCH(Tabla_control[[#This Row],[LOTE]],Tabla_imprenta[LOTE],0)),"REALIZADO")</f>
        <v>REALIZADO</v>
      </c>
      <c r="B50" s="142" t="str">
        <f>IF(COUNTIF(Tabla_imprenta[LOTE],Tabla_control[[#This Row],[LOTE]])=1,INDEX(Tabla_imprenta[CÓD. SOLICITUD],MATCH(Tabla_control[[#This Row],[LOTE]],Tabla_imprenta[LOTE],0)),"REALIZADO")</f>
        <v>REALIZADO</v>
      </c>
      <c r="C50" s="178" t="str">
        <f>IF(COUNTIF(Tabla_imprenta[LOTE],Tabla_control[[#This Row],[LOTE]])=1,INDEX(Tabla_imprenta[PRODUCTO],MATCH(Tabla_control[[#This Row],[LOTE]],Tabla_imprenta[LOTE],0)),"REALIZADO")</f>
        <v>REALIZADO</v>
      </c>
      <c r="D50" s="142" t="str">
        <f>IF(COUNTIF(Tabla_imprenta[LOTE],Tabla_control[[#This Row],[LOTE]])=1,INDEX(Tabla_imprenta[FORMA FARMACEUTICA],MATCH(Tabla_control[[#This Row],[LOTE]],Tabla_imprenta[LOTE],0)),"REALIZADO")</f>
        <v>REALIZADO</v>
      </c>
      <c r="E50" s="177" t="str">
        <f>IF(COUNTIF(Tabla_imprenta[LOTE],Tabla_control[[#This Row],[LOTE]])=1,INDEX(Tabla_imprenta[INSTITUCIÓN],MATCH(Tabla_control[[#This Row],[LOTE]],Tabla_imprenta[LOTE],0)),"REALIZADO")</f>
        <v>REALIZADO</v>
      </c>
      <c r="F50" s="183" t="s">
        <v>167</v>
      </c>
      <c r="G5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50" s="139" t="str">
        <f>IF(COUNTIF(Tabla_imprenta[LOTE],Tabla_control[[#This Row],[LOTE]])=1,INDEX(Tabla_imprenta[stock sap],MATCH(Tabla_control[[#This Row],[LOTE]],Tabla_imprenta[LOTE],0)),"ENTREGADO")</f>
        <v>ENTREGADO</v>
      </c>
      <c r="I50" s="139" t="str">
        <f>IF(Tabla_control[[#This Row],[STOCK SAP]]&gt;Tabla_control[[#This Row],[CANTIDAD IMPRIMIR]],"cubre","no cubre")</f>
        <v>no cubre</v>
      </c>
      <c r="J50" s="7" t="str">
        <f>IF(COUNTIF(Tabla_imprenta[LOTE],Tabla_control[[#This Row],[LOTE]])=1,INDEX(Tabla_imprenta[STOCK],MATCH(Tabla_control[[#This Row],[LOTE]],Tabla_imprenta[LOTE],0)),"ENTREGADO")</f>
        <v>ENTREGADO</v>
      </c>
      <c r="K5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50" s="148" t="e">
        <f>INDEX(Tabla_imprenta[FECHA CAJA],MATCH(Tabla_control[[#This Row],[LOTE]],Tabla_imprenta[LOTE],0))</f>
        <v>#N/A</v>
      </c>
      <c r="M5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5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5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50" s="169" t="e">
        <f>ROUNDUP(Tabla_control[[#This Row],[CANTIDAD IMPRIMIR]]/Tabla_control[[#This Row],[N TJ]],0)</f>
        <v>#VALUE!</v>
      </c>
      <c r="Q50" s="169" t="e">
        <f>IF(Tabla_control[[#This Row],[CANTIDAD TIRAJE]]&gt;10000,Tabla_control[[#This Row],[CANTIDAD TIRAJE]],Tabla_control[[#This Row],[CANTIDAD TIRAJE]]*2)</f>
        <v>#VALUE!</v>
      </c>
      <c r="R50" s="4" t="s">
        <v>173</v>
      </c>
      <c r="S50" s="4" t="s">
        <v>174</v>
      </c>
      <c r="T50" s="4"/>
      <c r="U50" s="4"/>
      <c r="V50" s="4"/>
      <c r="W50" s="138" t="s">
        <v>3223</v>
      </c>
      <c r="X50" s="138"/>
      <c r="Y50" s="138"/>
      <c r="Z50" s="138"/>
      <c r="AA50" s="4" t="s">
        <v>2031</v>
      </c>
      <c r="AB50" s="184" t="s">
        <v>2028</v>
      </c>
    </row>
    <row r="51" spans="1:28" hidden="1" x14ac:dyDescent="0.2">
      <c r="A51" s="175" t="str">
        <f>IF(COUNTIF(Tabla_imprenta[LOTE],Tabla_control[[#This Row],[LOTE]])=1,INDEX(Tabla_imprenta[FECHA EMISIÓN],MATCH(Tabla_control[[#This Row],[LOTE]],Tabla_imprenta[LOTE],0)),"REALIZADO")</f>
        <v>REALIZADO</v>
      </c>
      <c r="B51" s="142" t="str">
        <f>IF(COUNTIF(Tabla_imprenta[LOTE],Tabla_control[[#This Row],[LOTE]])=1,INDEX(Tabla_imprenta[CÓD. SOLICITUD],MATCH(Tabla_control[[#This Row],[LOTE]],Tabla_imprenta[LOTE],0)),"REALIZADO")</f>
        <v>REALIZADO</v>
      </c>
      <c r="C51" s="177" t="str">
        <f>IF(COUNTIF(Tabla_imprenta[LOTE],Tabla_control[[#This Row],[LOTE]])=1,INDEX(Tabla_imprenta[PRODUCTO],MATCH(Tabla_control[[#This Row],[LOTE]],Tabla_imprenta[LOTE],0)),"REALIZADO")</f>
        <v>REALIZADO</v>
      </c>
      <c r="D51" s="142" t="str">
        <f>IF(COUNTIF(Tabla_imprenta[LOTE],Tabla_control[[#This Row],[LOTE]])=1,INDEX(Tabla_imprenta[FORMA FARMACEUTICA],MATCH(Tabla_control[[#This Row],[LOTE]],Tabla_imprenta[LOTE],0)),"REALIZADO")</f>
        <v>REALIZADO</v>
      </c>
      <c r="E51" s="177" t="str">
        <f>IF(COUNTIF(Tabla_imprenta[LOTE],Tabla_control[[#This Row],[LOTE]])=1,INDEX(Tabla_imprenta[INSTITUCIÓN],MATCH(Tabla_control[[#This Row],[LOTE]],Tabla_imprenta[LOTE],0)),"REALIZADO")</f>
        <v>REALIZADO</v>
      </c>
      <c r="F51" s="183" t="s">
        <v>146</v>
      </c>
      <c r="G5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51" s="139" t="str">
        <f>IF(COUNTIF(Tabla_imprenta[LOTE],Tabla_control[[#This Row],[LOTE]])=1,INDEX(Tabla_imprenta[stock sap],MATCH(Tabla_control[[#This Row],[LOTE]],Tabla_imprenta[LOTE],0)),"ENTREGADO")</f>
        <v>ENTREGADO</v>
      </c>
      <c r="I51" s="139" t="str">
        <f>IF(Tabla_control[[#This Row],[STOCK SAP]]&gt;Tabla_control[[#This Row],[CANTIDAD IMPRIMIR]],"cubre","no cubre")</f>
        <v>no cubre</v>
      </c>
      <c r="J51" s="7" t="str">
        <f>IF(COUNTIF(Tabla_imprenta[LOTE],Tabla_control[[#This Row],[LOTE]])=1,INDEX(Tabla_imprenta[STOCK],MATCH(Tabla_control[[#This Row],[LOTE]],Tabla_imprenta[LOTE],0)),"ENTREGADO")</f>
        <v>ENTREGADO</v>
      </c>
      <c r="K5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51" s="148" t="e">
        <f>INDEX(Tabla_imprenta[FECHA CAJA],MATCH(Tabla_control[[#This Row],[LOTE]],Tabla_imprenta[LOTE],0))</f>
        <v>#N/A</v>
      </c>
      <c r="M5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5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5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51" s="169" t="e">
        <f>ROUNDUP(Tabla_control[[#This Row],[CANTIDAD IMPRIMIR]]/Tabla_control[[#This Row],[N TJ]],0)</f>
        <v>#VALUE!</v>
      </c>
      <c r="Q51" s="169" t="e">
        <f>IF(Tabla_control[[#This Row],[CANTIDAD TIRAJE]]&gt;10000,Tabla_control[[#This Row],[CANTIDAD TIRAJE]],Tabla_control[[#This Row],[CANTIDAD TIRAJE]]*2)</f>
        <v>#VALUE!</v>
      </c>
      <c r="R51" s="4" t="s">
        <v>172</v>
      </c>
      <c r="S51" s="4" t="s">
        <v>30</v>
      </c>
      <c r="T51" s="4"/>
      <c r="U51" s="4"/>
      <c r="V51" s="4"/>
      <c r="W51" s="138" t="s">
        <v>3223</v>
      </c>
      <c r="X51" s="138"/>
      <c r="Y51" s="138"/>
      <c r="Z51" s="138"/>
      <c r="AA51" s="4" t="s">
        <v>2031</v>
      </c>
      <c r="AB51" s="184" t="s">
        <v>2028</v>
      </c>
    </row>
    <row r="52" spans="1:28" hidden="1" x14ac:dyDescent="0.2">
      <c r="A52" s="175" t="str">
        <f>IF(COUNTIF(Tabla_imprenta[LOTE],Tabla_control[[#This Row],[LOTE]])=1,INDEX(Tabla_imprenta[FECHA EMISIÓN],MATCH(Tabla_control[[#This Row],[LOTE]],Tabla_imprenta[LOTE],0)),"REALIZADO")</f>
        <v>REALIZADO</v>
      </c>
      <c r="B52" s="142" t="str">
        <f>IF(COUNTIF(Tabla_imprenta[LOTE],Tabla_control[[#This Row],[LOTE]])=1,INDEX(Tabla_imprenta[CÓD. SOLICITUD],MATCH(Tabla_control[[#This Row],[LOTE]],Tabla_imprenta[LOTE],0)),"REALIZADO")</f>
        <v>REALIZADO</v>
      </c>
      <c r="C52" s="177" t="str">
        <f>IF(COUNTIF(Tabla_imprenta[LOTE],Tabla_control[[#This Row],[LOTE]])=1,INDEX(Tabla_imprenta[PRODUCTO],MATCH(Tabla_control[[#This Row],[LOTE]],Tabla_imprenta[LOTE],0)),"REALIZADO")</f>
        <v>REALIZADO</v>
      </c>
      <c r="D52" s="142" t="str">
        <f>IF(COUNTIF(Tabla_imprenta[LOTE],Tabla_control[[#This Row],[LOTE]])=1,INDEX(Tabla_imprenta[FORMA FARMACEUTICA],MATCH(Tabla_control[[#This Row],[LOTE]],Tabla_imprenta[LOTE],0)),"REALIZADO")</f>
        <v>REALIZADO</v>
      </c>
      <c r="E52" s="177" t="str">
        <f>IF(COUNTIF(Tabla_imprenta[LOTE],Tabla_control[[#This Row],[LOTE]])=1,INDEX(Tabla_imprenta[INSTITUCIÓN],MATCH(Tabla_control[[#This Row],[LOTE]],Tabla_imprenta[LOTE],0)),"REALIZADO")</f>
        <v>REALIZADO</v>
      </c>
      <c r="F52" s="183" t="s">
        <v>118</v>
      </c>
      <c r="G5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52" s="139" t="str">
        <f>IF(COUNTIF(Tabla_imprenta[LOTE],Tabla_control[[#This Row],[LOTE]])=1,INDEX(Tabla_imprenta[stock sap],MATCH(Tabla_control[[#This Row],[LOTE]],Tabla_imprenta[LOTE],0)),"ENTREGADO")</f>
        <v>ENTREGADO</v>
      </c>
      <c r="I52" s="139" t="str">
        <f>IF(Tabla_control[[#This Row],[STOCK SAP]]&gt;Tabla_control[[#This Row],[CANTIDAD IMPRIMIR]],"cubre","no cubre")</f>
        <v>no cubre</v>
      </c>
      <c r="J52" s="7" t="str">
        <f>IF(COUNTIF(Tabla_imprenta[LOTE],Tabla_control[[#This Row],[LOTE]])=1,INDEX(Tabla_imprenta[STOCK],MATCH(Tabla_control[[#This Row],[LOTE]],Tabla_imprenta[LOTE],0)),"ENTREGADO")</f>
        <v>ENTREGADO</v>
      </c>
      <c r="K5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52" s="148" t="e">
        <f>INDEX(Tabla_imprenta[FECHA CAJA],MATCH(Tabla_control[[#This Row],[LOTE]],Tabla_imprenta[LOTE],0))</f>
        <v>#N/A</v>
      </c>
      <c r="M5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5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5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52" s="169" t="e">
        <f>ROUNDUP(Tabla_control[[#This Row],[CANTIDAD IMPRIMIR]]/Tabla_control[[#This Row],[N TJ]],0)</f>
        <v>#VALUE!</v>
      </c>
      <c r="Q52" s="169" t="e">
        <f>IF(Tabla_control[[#This Row],[CANTIDAD TIRAJE]]&gt;10000,Tabla_control[[#This Row],[CANTIDAD TIRAJE]],Tabla_control[[#This Row],[CANTIDAD TIRAJE]]*2)</f>
        <v>#VALUE!</v>
      </c>
      <c r="R52" s="4" t="s">
        <v>173</v>
      </c>
      <c r="S52" s="4" t="s">
        <v>174</v>
      </c>
      <c r="T52" s="4"/>
      <c r="U52" s="4"/>
      <c r="V52" s="4"/>
      <c r="W52" s="138" t="s">
        <v>3223</v>
      </c>
      <c r="X52" s="138"/>
      <c r="Y52" s="138"/>
      <c r="Z52" s="138"/>
      <c r="AA52" s="4" t="s">
        <v>2031</v>
      </c>
      <c r="AB52" s="184" t="s">
        <v>2028</v>
      </c>
    </row>
    <row r="53" spans="1:28" hidden="1" x14ac:dyDescent="0.2">
      <c r="A53" s="175" t="str">
        <f>IF(COUNTIF(Tabla_imprenta[LOTE],Tabla_control[[#This Row],[LOTE]])=1,INDEX(Tabla_imprenta[FECHA EMISIÓN],MATCH(Tabla_control[[#This Row],[LOTE]],Tabla_imprenta[LOTE],0)),"REALIZADO")</f>
        <v>REALIZADO</v>
      </c>
      <c r="B53" s="142" t="str">
        <f>IF(COUNTIF(Tabla_imprenta[LOTE],Tabla_control[[#This Row],[LOTE]])=1,INDEX(Tabla_imprenta[CÓD. SOLICITUD],MATCH(Tabla_control[[#This Row],[LOTE]],Tabla_imprenta[LOTE],0)),"REALIZADO")</f>
        <v>REALIZADO</v>
      </c>
      <c r="C53" s="177" t="str">
        <f>IF(COUNTIF(Tabla_imprenta[LOTE],Tabla_control[[#This Row],[LOTE]])=1,INDEX(Tabla_imprenta[PRODUCTO],MATCH(Tabla_control[[#This Row],[LOTE]],Tabla_imprenta[LOTE],0)),"REALIZADO")</f>
        <v>REALIZADO</v>
      </c>
      <c r="D53" s="142" t="str">
        <f>IF(COUNTIF(Tabla_imprenta[LOTE],Tabla_control[[#This Row],[LOTE]])=1,INDEX(Tabla_imprenta[FORMA FARMACEUTICA],MATCH(Tabla_control[[#This Row],[LOTE]],Tabla_imprenta[LOTE],0)),"REALIZADO")</f>
        <v>REALIZADO</v>
      </c>
      <c r="E53" s="177" t="str">
        <f>IF(COUNTIF(Tabla_imprenta[LOTE],Tabla_control[[#This Row],[LOTE]])=1,INDEX(Tabla_imprenta[INSTITUCIÓN],MATCH(Tabla_control[[#This Row],[LOTE]],Tabla_imprenta[LOTE],0)),"REALIZADO")</f>
        <v>REALIZADO</v>
      </c>
      <c r="F53" s="183" t="s">
        <v>165</v>
      </c>
      <c r="G5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53" s="139" t="str">
        <f>IF(COUNTIF(Tabla_imprenta[LOTE],Tabla_control[[#This Row],[LOTE]])=1,INDEX(Tabla_imprenta[stock sap],MATCH(Tabla_control[[#This Row],[LOTE]],Tabla_imprenta[LOTE],0)),"ENTREGADO")</f>
        <v>ENTREGADO</v>
      </c>
      <c r="I53" s="139" t="str">
        <f>IF(Tabla_control[[#This Row],[STOCK SAP]]&gt;Tabla_control[[#This Row],[CANTIDAD IMPRIMIR]],"cubre","no cubre")</f>
        <v>no cubre</v>
      </c>
      <c r="J53" s="7" t="str">
        <f>IF(COUNTIF(Tabla_imprenta[LOTE],Tabla_control[[#This Row],[LOTE]])=1,INDEX(Tabla_imprenta[STOCK],MATCH(Tabla_control[[#This Row],[LOTE]],Tabla_imprenta[LOTE],0)),"ENTREGADO")</f>
        <v>ENTREGADO</v>
      </c>
      <c r="K5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53" s="148" t="e">
        <f>INDEX(Tabla_imprenta[FECHA CAJA],MATCH(Tabla_control[[#This Row],[LOTE]],Tabla_imprenta[LOTE],0))</f>
        <v>#N/A</v>
      </c>
      <c r="M5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5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5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53" s="169" t="e">
        <f>ROUNDUP(Tabla_control[[#This Row],[CANTIDAD IMPRIMIR]]/Tabla_control[[#This Row],[N TJ]],0)</f>
        <v>#VALUE!</v>
      </c>
      <c r="Q53" s="169" t="e">
        <f>IF(Tabla_control[[#This Row],[CANTIDAD TIRAJE]]&gt;10000,Tabla_control[[#This Row],[CANTIDAD TIRAJE]],Tabla_control[[#This Row],[CANTIDAD TIRAJE]]*2)</f>
        <v>#VALUE!</v>
      </c>
      <c r="R53" s="4" t="s">
        <v>172</v>
      </c>
      <c r="S53" s="4" t="s">
        <v>30</v>
      </c>
      <c r="T53" s="4"/>
      <c r="U53" s="4"/>
      <c r="V53" s="4"/>
      <c r="W53" s="138" t="s">
        <v>3223</v>
      </c>
      <c r="X53" s="138"/>
      <c r="Y53" s="138"/>
      <c r="Z53" s="138"/>
      <c r="AA53" s="4" t="s">
        <v>321</v>
      </c>
      <c r="AB53" s="184" t="s">
        <v>2028</v>
      </c>
    </row>
    <row r="54" spans="1:28" hidden="1" x14ac:dyDescent="0.2">
      <c r="A54" s="175" t="str">
        <f>IF(COUNTIF(Tabla_imprenta[LOTE],Tabla_control[[#This Row],[LOTE]])=1,INDEX(Tabla_imprenta[FECHA EMISIÓN],MATCH(Tabla_control[[#This Row],[LOTE]],Tabla_imprenta[LOTE],0)),"REALIZADO")</f>
        <v>REALIZADO</v>
      </c>
      <c r="B54" s="142" t="str">
        <f>IF(COUNTIF(Tabla_imprenta[LOTE],Tabla_control[[#This Row],[LOTE]])=1,INDEX(Tabla_imprenta[CÓD. SOLICITUD],MATCH(Tabla_control[[#This Row],[LOTE]],Tabla_imprenta[LOTE],0)),"REALIZADO")</f>
        <v>REALIZADO</v>
      </c>
      <c r="C54" s="177" t="str">
        <f>IF(COUNTIF(Tabla_imprenta[LOTE],Tabla_control[[#This Row],[LOTE]])=1,INDEX(Tabla_imprenta[PRODUCTO],MATCH(Tabla_control[[#This Row],[LOTE]],Tabla_imprenta[LOTE],0)),"REALIZADO")</f>
        <v>REALIZADO</v>
      </c>
      <c r="D54" s="142" t="str">
        <f>IF(COUNTIF(Tabla_imprenta[LOTE],Tabla_control[[#This Row],[LOTE]])=1,INDEX(Tabla_imprenta[FORMA FARMACEUTICA],MATCH(Tabla_control[[#This Row],[LOTE]],Tabla_imprenta[LOTE],0)),"REALIZADO")</f>
        <v>REALIZADO</v>
      </c>
      <c r="E54" s="177" t="str">
        <f>IF(COUNTIF(Tabla_imprenta[LOTE],Tabla_control[[#This Row],[LOTE]])=1,INDEX(Tabla_imprenta[INSTITUCIÓN],MATCH(Tabla_control[[#This Row],[LOTE]],Tabla_imprenta[LOTE],0)),"REALIZADO")</f>
        <v>REALIZADO</v>
      </c>
      <c r="F54" s="180" t="s">
        <v>187</v>
      </c>
      <c r="G5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54" s="139" t="str">
        <f>IF(COUNTIF(Tabla_imprenta[LOTE],Tabla_control[[#This Row],[LOTE]])=1,INDEX(Tabla_imprenta[stock sap],MATCH(Tabla_control[[#This Row],[LOTE]],Tabla_imprenta[LOTE],0)),"ENTREGADO")</f>
        <v>ENTREGADO</v>
      </c>
      <c r="I54" s="139" t="str">
        <f>IF(Tabla_control[[#This Row],[STOCK SAP]]&gt;Tabla_control[[#This Row],[CANTIDAD IMPRIMIR]],"cubre","no cubre")</f>
        <v>no cubre</v>
      </c>
      <c r="J54" s="7" t="str">
        <f>IF(COUNTIF(Tabla_imprenta[LOTE],Tabla_control[[#This Row],[LOTE]])=1,INDEX(Tabla_imprenta[STOCK],MATCH(Tabla_control[[#This Row],[LOTE]],Tabla_imprenta[LOTE],0)),"ENTREGADO")</f>
        <v>ENTREGADO</v>
      </c>
      <c r="K5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54" s="148" t="e">
        <f>INDEX(Tabla_imprenta[FECHA CAJA],MATCH(Tabla_control[[#This Row],[LOTE]],Tabla_imprenta[LOTE],0))</f>
        <v>#N/A</v>
      </c>
      <c r="M5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5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5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54" s="169" t="e">
        <f>ROUNDUP(Tabla_control[[#This Row],[CANTIDAD IMPRIMIR]]/Tabla_control[[#This Row],[N TJ]],0)</f>
        <v>#VALUE!</v>
      </c>
      <c r="Q54" s="169" t="e">
        <f>IF(Tabla_control[[#This Row],[CANTIDAD TIRAJE]]&gt;10000,Tabla_control[[#This Row],[CANTIDAD TIRAJE]],Tabla_control[[#This Row],[CANTIDAD TIRAJE]]*2)</f>
        <v>#VALUE!</v>
      </c>
      <c r="R54" s="4" t="s">
        <v>172</v>
      </c>
      <c r="S54" s="4" t="s">
        <v>30</v>
      </c>
      <c r="T54" s="4"/>
      <c r="U54" s="4"/>
      <c r="V54" s="4"/>
      <c r="W54" s="138" t="s">
        <v>3223</v>
      </c>
      <c r="X54" s="138"/>
      <c r="Y54" s="138"/>
      <c r="Z54" s="138"/>
      <c r="AA54" s="4" t="s">
        <v>2031</v>
      </c>
      <c r="AB54" s="184" t="s">
        <v>2028</v>
      </c>
    </row>
    <row r="55" spans="1:28" hidden="1" x14ac:dyDescent="0.2">
      <c r="A55" s="175" t="str">
        <f>IF(COUNTIF(Tabla_imprenta[LOTE],Tabla_control[[#This Row],[LOTE]])=1,INDEX(Tabla_imprenta[FECHA EMISIÓN],MATCH(Tabla_control[[#This Row],[LOTE]],Tabla_imprenta[LOTE],0)),"REALIZADO")</f>
        <v>REALIZADO</v>
      </c>
      <c r="B55" s="142" t="str">
        <f>IF(COUNTIF(Tabla_imprenta[LOTE],Tabla_control[[#This Row],[LOTE]])=1,INDEX(Tabla_imprenta[CÓD. SOLICITUD],MATCH(Tabla_control[[#This Row],[LOTE]],Tabla_imprenta[LOTE],0)),"REALIZADO")</f>
        <v>REALIZADO</v>
      </c>
      <c r="C55" s="177" t="str">
        <f>IF(COUNTIF(Tabla_imprenta[LOTE],Tabla_control[[#This Row],[LOTE]])=1,INDEX(Tabla_imprenta[PRODUCTO],MATCH(Tabla_control[[#This Row],[LOTE]],Tabla_imprenta[LOTE],0)),"REALIZADO")</f>
        <v>REALIZADO</v>
      </c>
      <c r="D55" s="142" t="str">
        <f>IF(COUNTIF(Tabla_imprenta[LOTE],Tabla_control[[#This Row],[LOTE]])=1,INDEX(Tabla_imprenta[FORMA FARMACEUTICA],MATCH(Tabla_control[[#This Row],[LOTE]],Tabla_imprenta[LOTE],0)),"REALIZADO")</f>
        <v>REALIZADO</v>
      </c>
      <c r="E55" s="177" t="str">
        <f>IF(COUNTIF(Tabla_imprenta[LOTE],Tabla_control[[#This Row],[LOTE]])=1,INDEX(Tabla_imprenta[INSTITUCIÓN],MATCH(Tabla_control[[#This Row],[LOTE]],Tabla_imprenta[LOTE],0)),"REALIZADO")</f>
        <v>REALIZADO</v>
      </c>
      <c r="F55" s="183" t="s">
        <v>143</v>
      </c>
      <c r="G5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55" s="139" t="str">
        <f>IF(COUNTIF(Tabla_imprenta[LOTE],Tabla_control[[#This Row],[LOTE]])=1,INDEX(Tabla_imprenta[stock sap],MATCH(Tabla_control[[#This Row],[LOTE]],Tabla_imprenta[LOTE],0)),"ENTREGADO")</f>
        <v>ENTREGADO</v>
      </c>
      <c r="I55" s="139" t="str">
        <f>IF(Tabla_control[[#This Row],[STOCK SAP]]&gt;Tabla_control[[#This Row],[CANTIDAD IMPRIMIR]],"cubre","no cubre")</f>
        <v>no cubre</v>
      </c>
      <c r="J55" s="7" t="str">
        <f>IF(COUNTIF(Tabla_imprenta[LOTE],Tabla_control[[#This Row],[LOTE]])=1,INDEX(Tabla_imprenta[STOCK],MATCH(Tabla_control[[#This Row],[LOTE]],Tabla_imprenta[LOTE],0)),"ENTREGADO")</f>
        <v>ENTREGADO</v>
      </c>
      <c r="K5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55" s="148" t="e">
        <f>INDEX(Tabla_imprenta[FECHA CAJA],MATCH(Tabla_control[[#This Row],[LOTE]],Tabla_imprenta[LOTE],0))</f>
        <v>#N/A</v>
      </c>
      <c r="M5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5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5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55" s="169" t="e">
        <f>ROUNDUP(Tabla_control[[#This Row],[CANTIDAD IMPRIMIR]]/Tabla_control[[#This Row],[N TJ]],0)</f>
        <v>#VALUE!</v>
      </c>
      <c r="Q55" s="169" t="e">
        <f>IF(Tabla_control[[#This Row],[CANTIDAD TIRAJE]]&gt;10000,Tabla_control[[#This Row],[CANTIDAD TIRAJE]],Tabla_control[[#This Row],[CANTIDAD TIRAJE]]*2)</f>
        <v>#VALUE!</v>
      </c>
      <c r="R55" s="4" t="s">
        <v>172</v>
      </c>
      <c r="S55" s="4" t="s">
        <v>30</v>
      </c>
      <c r="T55" s="4"/>
      <c r="U55" s="4"/>
      <c r="V55" s="4"/>
      <c r="W55" s="138" t="s">
        <v>3223</v>
      </c>
      <c r="X55" s="138"/>
      <c r="Y55" s="138"/>
      <c r="Z55" s="138"/>
      <c r="AA55" s="4" t="s">
        <v>2314</v>
      </c>
      <c r="AB55" s="184" t="s">
        <v>2028</v>
      </c>
    </row>
    <row r="56" spans="1:28" hidden="1" x14ac:dyDescent="0.2">
      <c r="A56" s="175" t="str">
        <f>IF(COUNTIF(Tabla_imprenta[LOTE],Tabla_control[[#This Row],[LOTE]])=1,INDEX(Tabla_imprenta[FECHA EMISIÓN],MATCH(Tabla_control[[#This Row],[LOTE]],Tabla_imprenta[LOTE],0)),"REALIZADO")</f>
        <v>REALIZADO</v>
      </c>
      <c r="B56" s="142" t="str">
        <f>IF(COUNTIF(Tabla_imprenta[LOTE],Tabla_control[[#This Row],[LOTE]])=1,INDEX(Tabla_imprenta[CÓD. SOLICITUD],MATCH(Tabla_control[[#This Row],[LOTE]],Tabla_imprenta[LOTE],0)),"REALIZADO")</f>
        <v>REALIZADO</v>
      </c>
      <c r="C56" s="177" t="str">
        <f>IF(COUNTIF(Tabla_imprenta[LOTE],Tabla_control[[#This Row],[LOTE]])=1,INDEX(Tabla_imprenta[PRODUCTO],MATCH(Tabla_control[[#This Row],[LOTE]],Tabla_imprenta[LOTE],0)),"REALIZADO")</f>
        <v>REALIZADO</v>
      </c>
      <c r="D56" s="142" t="str">
        <f>IF(COUNTIF(Tabla_imprenta[LOTE],Tabla_control[[#This Row],[LOTE]])=1,INDEX(Tabla_imprenta[FORMA FARMACEUTICA],MATCH(Tabla_control[[#This Row],[LOTE]],Tabla_imprenta[LOTE],0)),"REALIZADO")</f>
        <v>REALIZADO</v>
      </c>
      <c r="E56" s="177" t="str">
        <f>IF(COUNTIF(Tabla_imprenta[LOTE],Tabla_control[[#This Row],[LOTE]])=1,INDEX(Tabla_imprenta[INSTITUCIÓN],MATCH(Tabla_control[[#This Row],[LOTE]],Tabla_imprenta[LOTE],0)),"REALIZADO")</f>
        <v>REALIZADO</v>
      </c>
      <c r="F56" s="183" t="s">
        <v>111</v>
      </c>
      <c r="G5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56" s="139" t="str">
        <f>IF(COUNTIF(Tabla_imprenta[LOTE],Tabla_control[[#This Row],[LOTE]])=1,INDEX(Tabla_imprenta[stock sap],MATCH(Tabla_control[[#This Row],[LOTE]],Tabla_imprenta[LOTE],0)),"ENTREGADO")</f>
        <v>ENTREGADO</v>
      </c>
      <c r="I56" s="139" t="str">
        <f>IF(Tabla_control[[#This Row],[STOCK SAP]]&gt;Tabla_control[[#This Row],[CANTIDAD IMPRIMIR]],"cubre","no cubre")</f>
        <v>no cubre</v>
      </c>
      <c r="J56" s="7" t="str">
        <f>IF(COUNTIF(Tabla_imprenta[LOTE],Tabla_control[[#This Row],[LOTE]])=1,INDEX(Tabla_imprenta[STOCK],MATCH(Tabla_control[[#This Row],[LOTE]],Tabla_imprenta[LOTE],0)),"ENTREGADO")</f>
        <v>ENTREGADO</v>
      </c>
      <c r="K5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56" s="148" t="e">
        <f>INDEX(Tabla_imprenta[FECHA CAJA],MATCH(Tabla_control[[#This Row],[LOTE]],Tabla_imprenta[LOTE],0))</f>
        <v>#N/A</v>
      </c>
      <c r="M5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5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5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56" s="169" t="e">
        <f>ROUNDUP(Tabla_control[[#This Row],[CANTIDAD IMPRIMIR]]/Tabla_control[[#This Row],[N TJ]],0)</f>
        <v>#VALUE!</v>
      </c>
      <c r="Q56" s="169" t="e">
        <f>IF(Tabla_control[[#This Row],[CANTIDAD TIRAJE]]&gt;10000,Tabla_control[[#This Row],[CANTIDAD TIRAJE]],Tabla_control[[#This Row],[CANTIDAD TIRAJE]]*2)</f>
        <v>#VALUE!</v>
      </c>
      <c r="R56" s="4" t="s">
        <v>172</v>
      </c>
      <c r="S56" s="4" t="s">
        <v>30</v>
      </c>
      <c r="T56" s="4"/>
      <c r="U56" s="4"/>
      <c r="V56" s="4"/>
      <c r="W56" s="138" t="s">
        <v>3223</v>
      </c>
      <c r="X56" s="138"/>
      <c r="Y56" s="138"/>
      <c r="Z56" s="138"/>
      <c r="AA56" s="4" t="s">
        <v>2031</v>
      </c>
      <c r="AB56" s="184" t="s">
        <v>2028</v>
      </c>
    </row>
    <row r="57" spans="1:28" hidden="1" x14ac:dyDescent="0.2">
      <c r="A57" s="175" t="str">
        <f>IF(COUNTIF(Tabla_imprenta[LOTE],Tabla_control[[#This Row],[LOTE]])=1,INDEX(Tabla_imprenta[FECHA EMISIÓN],MATCH(Tabla_control[[#This Row],[LOTE]],Tabla_imprenta[LOTE],0)),"REALIZADO")</f>
        <v>REALIZADO</v>
      </c>
      <c r="B57" s="142" t="str">
        <f>IF(COUNTIF(Tabla_imprenta[LOTE],Tabla_control[[#This Row],[LOTE]])=1,INDEX(Tabla_imprenta[CÓD. SOLICITUD],MATCH(Tabla_control[[#This Row],[LOTE]],Tabla_imprenta[LOTE],0)),"REALIZADO")</f>
        <v>REALIZADO</v>
      </c>
      <c r="C57" s="177" t="str">
        <f>IF(COUNTIF(Tabla_imprenta[LOTE],Tabla_control[[#This Row],[LOTE]])=1,INDEX(Tabla_imprenta[PRODUCTO],MATCH(Tabla_control[[#This Row],[LOTE]],Tabla_imprenta[LOTE],0)),"REALIZADO")</f>
        <v>REALIZADO</v>
      </c>
      <c r="D57" s="142" t="str">
        <f>IF(COUNTIF(Tabla_imprenta[LOTE],Tabla_control[[#This Row],[LOTE]])=1,INDEX(Tabla_imprenta[FORMA FARMACEUTICA],MATCH(Tabla_control[[#This Row],[LOTE]],Tabla_imprenta[LOTE],0)),"REALIZADO")</f>
        <v>REALIZADO</v>
      </c>
      <c r="E57" s="177" t="str">
        <f>IF(COUNTIF(Tabla_imprenta[LOTE],Tabla_control[[#This Row],[LOTE]])=1,INDEX(Tabla_imprenta[INSTITUCIÓN],MATCH(Tabla_control[[#This Row],[LOTE]],Tabla_imprenta[LOTE],0)),"REALIZADO")</f>
        <v>REALIZADO</v>
      </c>
      <c r="F57" s="183" t="s">
        <v>121</v>
      </c>
      <c r="G5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57" s="139" t="str">
        <f>IF(COUNTIF(Tabla_imprenta[LOTE],Tabla_control[[#This Row],[LOTE]])=1,INDEX(Tabla_imprenta[stock sap],MATCH(Tabla_control[[#This Row],[LOTE]],Tabla_imprenta[LOTE],0)),"ENTREGADO")</f>
        <v>ENTREGADO</v>
      </c>
      <c r="I57" s="139" t="str">
        <f>IF(Tabla_control[[#This Row],[STOCK SAP]]&gt;Tabla_control[[#This Row],[CANTIDAD IMPRIMIR]],"cubre","no cubre")</f>
        <v>no cubre</v>
      </c>
      <c r="J57" s="7" t="str">
        <f>IF(COUNTIF(Tabla_imprenta[LOTE],Tabla_control[[#This Row],[LOTE]])=1,INDEX(Tabla_imprenta[STOCK],MATCH(Tabla_control[[#This Row],[LOTE]],Tabla_imprenta[LOTE],0)),"ENTREGADO")</f>
        <v>ENTREGADO</v>
      </c>
      <c r="K5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57" s="148" t="e">
        <f>INDEX(Tabla_imprenta[FECHA CAJA],MATCH(Tabla_control[[#This Row],[LOTE]],Tabla_imprenta[LOTE],0))</f>
        <v>#N/A</v>
      </c>
      <c r="M5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5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5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57" s="169" t="e">
        <f>ROUNDUP(Tabla_control[[#This Row],[CANTIDAD IMPRIMIR]]/Tabla_control[[#This Row],[N TJ]],0)</f>
        <v>#VALUE!</v>
      </c>
      <c r="Q57" s="169" t="e">
        <f>IF(Tabla_control[[#This Row],[CANTIDAD TIRAJE]]&gt;10000,Tabla_control[[#This Row],[CANTIDAD TIRAJE]],Tabla_control[[#This Row],[CANTIDAD TIRAJE]]*2)</f>
        <v>#VALUE!</v>
      </c>
      <c r="R57" s="4" t="s">
        <v>172</v>
      </c>
      <c r="S57" s="4" t="s">
        <v>30</v>
      </c>
      <c r="T57" s="4"/>
      <c r="U57" s="4"/>
      <c r="V57" s="4"/>
      <c r="W57" s="138" t="s">
        <v>3223</v>
      </c>
      <c r="X57" s="138"/>
      <c r="Y57" s="138"/>
      <c r="Z57" s="138"/>
      <c r="AA57" s="4" t="s">
        <v>2031</v>
      </c>
      <c r="AB57" s="184" t="s">
        <v>2028</v>
      </c>
    </row>
    <row r="58" spans="1:28" hidden="1" x14ac:dyDescent="0.2">
      <c r="A58" s="176" t="str">
        <f>IF(COUNTIF(Tabla_imprenta[LOTE],Tabla_control[[#This Row],[LOTE]])=1,INDEX(Tabla_imprenta[FECHA EMISIÓN],MATCH(Tabla_control[[#This Row],[LOTE]],Tabla_imprenta[LOTE],0)),"REALIZADO")</f>
        <v>REALIZADO</v>
      </c>
      <c r="B58" s="142" t="str">
        <f>IF(COUNTIF(Tabla_imprenta[LOTE],Tabla_control[[#This Row],[LOTE]])=1,INDEX(Tabla_imprenta[CÓD. SOLICITUD],MATCH(Tabla_control[[#This Row],[LOTE]],Tabla_imprenta[LOTE],0)),"REALIZADO")</f>
        <v>REALIZADO</v>
      </c>
      <c r="C58" s="179" t="str">
        <f>IF(COUNTIF(Tabla_imprenta[LOTE],Tabla_control[[#This Row],[LOTE]])=1,INDEX(Tabla_imprenta[PRODUCTO],MATCH(Tabla_control[[#This Row],[LOTE]],Tabla_imprenta[LOTE],0)),"REALIZADO")</f>
        <v>REALIZADO</v>
      </c>
      <c r="D58" s="142" t="str">
        <f>IF(COUNTIF(Tabla_imprenta[LOTE],Tabla_control[[#This Row],[LOTE]])=1,INDEX(Tabla_imprenta[FORMA FARMACEUTICA],MATCH(Tabla_control[[#This Row],[LOTE]],Tabla_imprenta[LOTE],0)),"REALIZADO")</f>
        <v>REALIZADO</v>
      </c>
      <c r="E58" s="177" t="str">
        <f>IF(COUNTIF(Tabla_imprenta[LOTE],Tabla_control[[#This Row],[LOTE]])=1,INDEX(Tabla_imprenta[INSTITUCIÓN],MATCH(Tabla_control[[#This Row],[LOTE]],Tabla_imprenta[LOTE],0)),"REALIZADO")</f>
        <v>REALIZADO</v>
      </c>
      <c r="F58" s="183" t="s">
        <v>163</v>
      </c>
      <c r="G5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58" s="139" t="str">
        <f>IF(COUNTIF(Tabla_imprenta[LOTE],Tabla_control[[#This Row],[LOTE]])=1,INDEX(Tabla_imprenta[stock sap],MATCH(Tabla_control[[#This Row],[LOTE]],Tabla_imprenta[LOTE],0)),"ENTREGADO")</f>
        <v>ENTREGADO</v>
      </c>
      <c r="I58" s="139" t="str">
        <f>IF(Tabla_control[[#This Row],[STOCK SAP]]&gt;Tabla_control[[#This Row],[CANTIDAD IMPRIMIR]],"cubre","no cubre")</f>
        <v>no cubre</v>
      </c>
      <c r="J58" s="7" t="str">
        <f>IF(COUNTIF(Tabla_imprenta[LOTE],Tabla_control[[#This Row],[LOTE]])=1,INDEX(Tabla_imprenta[STOCK],MATCH(Tabla_control[[#This Row],[LOTE]],Tabla_imprenta[LOTE],0)),"ENTREGADO")</f>
        <v>ENTREGADO</v>
      </c>
      <c r="K5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58" s="148" t="e">
        <f>INDEX(Tabla_imprenta[FECHA CAJA],MATCH(Tabla_control[[#This Row],[LOTE]],Tabla_imprenta[LOTE],0))</f>
        <v>#N/A</v>
      </c>
      <c r="M5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5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5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58" s="169" t="e">
        <f>ROUNDUP(Tabla_control[[#This Row],[CANTIDAD IMPRIMIR]]/Tabla_control[[#This Row],[N TJ]],0)</f>
        <v>#VALUE!</v>
      </c>
      <c r="Q58" s="169" t="e">
        <f>IF(Tabla_control[[#This Row],[CANTIDAD TIRAJE]]&gt;10000,Tabla_control[[#This Row],[CANTIDAD TIRAJE]],Tabla_control[[#This Row],[CANTIDAD TIRAJE]]*2)</f>
        <v>#VALUE!</v>
      </c>
      <c r="R58" s="4" t="s">
        <v>175</v>
      </c>
      <c r="S58" s="4" t="s">
        <v>174</v>
      </c>
      <c r="T58" s="4"/>
      <c r="U58" s="4"/>
      <c r="V58" s="4"/>
      <c r="W58" s="138" t="s">
        <v>3223</v>
      </c>
      <c r="X58" s="138"/>
      <c r="Y58" s="138"/>
      <c r="Z58" s="138"/>
      <c r="AA58" s="4" t="s">
        <v>2031</v>
      </c>
      <c r="AB58" s="184" t="s">
        <v>2028</v>
      </c>
    </row>
    <row r="59" spans="1:28" hidden="1" x14ac:dyDescent="0.2">
      <c r="A59" s="175" t="str">
        <f>IF(COUNTIF(Tabla_imprenta[LOTE],Tabla_control[[#This Row],[LOTE]])=1,INDEX(Tabla_imprenta[FECHA EMISIÓN],MATCH(Tabla_control[[#This Row],[LOTE]],Tabla_imprenta[LOTE],0)),"REALIZADO")</f>
        <v>REALIZADO</v>
      </c>
      <c r="B59" s="142" t="str">
        <f>IF(COUNTIF(Tabla_imprenta[LOTE],Tabla_control[[#This Row],[LOTE]])=1,INDEX(Tabla_imprenta[CÓD. SOLICITUD],MATCH(Tabla_control[[#This Row],[LOTE]],Tabla_imprenta[LOTE],0)),"REALIZADO")</f>
        <v>REALIZADO</v>
      </c>
      <c r="C59" s="177" t="str">
        <f>IF(COUNTIF(Tabla_imprenta[LOTE],Tabla_control[[#This Row],[LOTE]])=1,INDEX(Tabla_imprenta[PRODUCTO],MATCH(Tabla_control[[#This Row],[LOTE]],Tabla_imprenta[LOTE],0)),"REALIZADO")</f>
        <v>REALIZADO</v>
      </c>
      <c r="D59" s="142" t="str">
        <f>IF(COUNTIF(Tabla_imprenta[LOTE],Tabla_control[[#This Row],[LOTE]])=1,INDEX(Tabla_imprenta[FORMA FARMACEUTICA],MATCH(Tabla_control[[#This Row],[LOTE]],Tabla_imprenta[LOTE],0)),"REALIZADO")</f>
        <v>REALIZADO</v>
      </c>
      <c r="E59" s="177" t="str">
        <f>IF(COUNTIF(Tabla_imprenta[LOTE],Tabla_control[[#This Row],[LOTE]])=1,INDEX(Tabla_imprenta[INSTITUCIÓN],MATCH(Tabla_control[[#This Row],[LOTE]],Tabla_imprenta[LOTE],0)),"REALIZADO")</f>
        <v>REALIZADO</v>
      </c>
      <c r="F59" s="180" t="s">
        <v>199</v>
      </c>
      <c r="G5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59" s="139" t="str">
        <f>IF(COUNTIF(Tabla_imprenta[LOTE],Tabla_control[[#This Row],[LOTE]])=1,INDEX(Tabla_imprenta[stock sap],MATCH(Tabla_control[[#This Row],[LOTE]],Tabla_imprenta[LOTE],0)),"ENTREGADO")</f>
        <v>ENTREGADO</v>
      </c>
      <c r="I59" s="139" t="str">
        <f>IF(Tabla_control[[#This Row],[STOCK SAP]]&gt;Tabla_control[[#This Row],[CANTIDAD IMPRIMIR]],"cubre","no cubre")</f>
        <v>no cubre</v>
      </c>
      <c r="J59" s="7" t="str">
        <f>IF(COUNTIF(Tabla_imprenta[LOTE],Tabla_control[[#This Row],[LOTE]])=1,INDEX(Tabla_imprenta[STOCK],MATCH(Tabla_control[[#This Row],[LOTE]],Tabla_imprenta[LOTE],0)),"ENTREGADO")</f>
        <v>ENTREGADO</v>
      </c>
      <c r="K5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59" s="148" t="e">
        <f>INDEX(Tabla_imprenta[FECHA CAJA],MATCH(Tabla_control[[#This Row],[LOTE]],Tabla_imprenta[LOTE],0))</f>
        <v>#N/A</v>
      </c>
      <c r="M5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5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5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59" s="169" t="e">
        <f>ROUNDUP(Tabla_control[[#This Row],[CANTIDAD IMPRIMIR]]/Tabla_control[[#This Row],[N TJ]],0)</f>
        <v>#VALUE!</v>
      </c>
      <c r="Q59" s="169" t="e">
        <f>IF(Tabla_control[[#This Row],[CANTIDAD TIRAJE]]&gt;10000,Tabla_control[[#This Row],[CANTIDAD TIRAJE]],Tabla_control[[#This Row],[CANTIDAD TIRAJE]]*2)</f>
        <v>#VALUE!</v>
      </c>
      <c r="R59" s="4" t="s">
        <v>177</v>
      </c>
      <c r="S59" s="4" t="s">
        <v>31</v>
      </c>
      <c r="T59" s="4"/>
      <c r="U59" s="4"/>
      <c r="V59" s="4"/>
      <c r="W59" s="138" t="s">
        <v>3223</v>
      </c>
      <c r="X59" s="138"/>
      <c r="Y59" s="138"/>
      <c r="Z59" s="138"/>
      <c r="AA59" s="4" t="s">
        <v>321</v>
      </c>
      <c r="AB59" s="184" t="s">
        <v>2028</v>
      </c>
    </row>
    <row r="60" spans="1:28" hidden="1" x14ac:dyDescent="0.2">
      <c r="A60" s="175" t="str">
        <f>IF(COUNTIF(Tabla_imprenta[LOTE],Tabla_control[[#This Row],[LOTE]])=1,INDEX(Tabla_imprenta[FECHA EMISIÓN],MATCH(Tabla_control[[#This Row],[LOTE]],Tabla_imprenta[LOTE],0)),"REALIZADO")</f>
        <v>REALIZADO</v>
      </c>
      <c r="B60" s="142" t="str">
        <f>IF(COUNTIF(Tabla_imprenta[LOTE],Tabla_control[[#This Row],[LOTE]])=1,INDEX(Tabla_imprenta[CÓD. SOLICITUD],MATCH(Tabla_control[[#This Row],[LOTE]],Tabla_imprenta[LOTE],0)),"REALIZADO")</f>
        <v>REALIZADO</v>
      </c>
      <c r="C60" s="179" t="str">
        <f>IF(COUNTIF(Tabla_imprenta[LOTE],Tabla_control[[#This Row],[LOTE]])=1,INDEX(Tabla_imprenta[PRODUCTO],MATCH(Tabla_control[[#This Row],[LOTE]],Tabla_imprenta[LOTE],0)),"REALIZADO")</f>
        <v>REALIZADO</v>
      </c>
      <c r="D60" s="142" t="str">
        <f>IF(COUNTIF(Tabla_imprenta[LOTE],Tabla_control[[#This Row],[LOTE]])=1,INDEX(Tabla_imprenta[FORMA FARMACEUTICA],MATCH(Tabla_control[[#This Row],[LOTE]],Tabla_imprenta[LOTE],0)),"REALIZADO")</f>
        <v>REALIZADO</v>
      </c>
      <c r="E60" s="177" t="str">
        <f>IF(COUNTIF(Tabla_imprenta[LOTE],Tabla_control[[#This Row],[LOTE]])=1,INDEX(Tabla_imprenta[INSTITUCIÓN],MATCH(Tabla_control[[#This Row],[LOTE]],Tabla_imprenta[LOTE],0)),"REALIZADO")</f>
        <v>REALIZADO</v>
      </c>
      <c r="F60" s="183" t="s">
        <v>139</v>
      </c>
      <c r="G6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60" s="139" t="str">
        <f>IF(COUNTIF(Tabla_imprenta[LOTE],Tabla_control[[#This Row],[LOTE]])=1,INDEX(Tabla_imprenta[stock sap],MATCH(Tabla_control[[#This Row],[LOTE]],Tabla_imprenta[LOTE],0)),"ENTREGADO")</f>
        <v>ENTREGADO</v>
      </c>
      <c r="I60" s="139" t="str">
        <f>IF(Tabla_control[[#This Row],[STOCK SAP]]&gt;Tabla_control[[#This Row],[CANTIDAD IMPRIMIR]],"cubre","no cubre")</f>
        <v>no cubre</v>
      </c>
      <c r="J60" s="7" t="str">
        <f>IF(COUNTIF(Tabla_imprenta[LOTE],Tabla_control[[#This Row],[LOTE]])=1,INDEX(Tabla_imprenta[STOCK],MATCH(Tabla_control[[#This Row],[LOTE]],Tabla_imprenta[LOTE],0)),"ENTREGADO")</f>
        <v>ENTREGADO</v>
      </c>
      <c r="K6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60" s="148" t="e">
        <f>INDEX(Tabla_imprenta[FECHA CAJA],MATCH(Tabla_control[[#This Row],[LOTE]],Tabla_imprenta[LOTE],0))</f>
        <v>#N/A</v>
      </c>
      <c r="M6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6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6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60" s="169" t="e">
        <f>ROUNDUP(Tabla_control[[#This Row],[CANTIDAD IMPRIMIR]]/Tabla_control[[#This Row],[N TJ]],0)</f>
        <v>#VALUE!</v>
      </c>
      <c r="Q60" s="169" t="e">
        <f>IF(Tabla_control[[#This Row],[CANTIDAD TIRAJE]]&gt;10000,Tabla_control[[#This Row],[CANTIDAD TIRAJE]],Tabla_control[[#This Row],[CANTIDAD TIRAJE]]*2)</f>
        <v>#VALUE!</v>
      </c>
      <c r="R60" s="4" t="s">
        <v>175</v>
      </c>
      <c r="S60" s="4" t="s">
        <v>174</v>
      </c>
      <c r="T60" s="4"/>
      <c r="U60" s="4"/>
      <c r="V60" s="4"/>
      <c r="W60" s="138" t="s">
        <v>3223</v>
      </c>
      <c r="X60" s="138"/>
      <c r="Y60" s="138"/>
      <c r="Z60" s="138"/>
      <c r="AA60" s="4" t="s">
        <v>2031</v>
      </c>
      <c r="AB60" s="184" t="s">
        <v>2028</v>
      </c>
    </row>
    <row r="61" spans="1:28" hidden="1" x14ac:dyDescent="0.2">
      <c r="A61" s="175" t="str">
        <f>IF(COUNTIF(Tabla_imprenta[LOTE],Tabla_control[[#This Row],[LOTE]])=1,INDEX(Tabla_imprenta[FECHA EMISIÓN],MATCH(Tabla_control[[#This Row],[LOTE]],Tabla_imprenta[LOTE],0)),"REALIZADO")</f>
        <v>REALIZADO</v>
      </c>
      <c r="B61" s="142" t="str">
        <f>IF(COUNTIF(Tabla_imprenta[LOTE],Tabla_control[[#This Row],[LOTE]])=1,INDEX(Tabla_imprenta[CÓD. SOLICITUD],MATCH(Tabla_control[[#This Row],[LOTE]],Tabla_imprenta[LOTE],0)),"REALIZADO")</f>
        <v>REALIZADO</v>
      </c>
      <c r="C61" s="177" t="str">
        <f>IF(COUNTIF(Tabla_imprenta[LOTE],Tabla_control[[#This Row],[LOTE]])=1,INDEX(Tabla_imprenta[PRODUCTO],MATCH(Tabla_control[[#This Row],[LOTE]],Tabla_imprenta[LOTE],0)),"REALIZADO")</f>
        <v>REALIZADO</v>
      </c>
      <c r="D61" s="142" t="str">
        <f>IF(COUNTIF(Tabla_imprenta[LOTE],Tabla_control[[#This Row],[LOTE]])=1,INDEX(Tabla_imprenta[FORMA FARMACEUTICA],MATCH(Tabla_control[[#This Row],[LOTE]],Tabla_imprenta[LOTE],0)),"REALIZADO")</f>
        <v>REALIZADO</v>
      </c>
      <c r="E61" s="177" t="str">
        <f>IF(COUNTIF(Tabla_imprenta[LOTE],Tabla_control[[#This Row],[LOTE]])=1,INDEX(Tabla_imprenta[INSTITUCIÓN],MATCH(Tabla_control[[#This Row],[LOTE]],Tabla_imprenta[LOTE],0)),"REALIZADO")</f>
        <v>REALIZADO</v>
      </c>
      <c r="F61" s="183" t="s">
        <v>115</v>
      </c>
      <c r="G6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61" s="139" t="str">
        <f>IF(COUNTIF(Tabla_imprenta[LOTE],Tabla_control[[#This Row],[LOTE]])=1,INDEX(Tabla_imprenta[stock sap],MATCH(Tabla_control[[#This Row],[LOTE]],Tabla_imprenta[LOTE],0)),"ENTREGADO")</f>
        <v>ENTREGADO</v>
      </c>
      <c r="I61" s="139" t="str">
        <f>IF(Tabla_control[[#This Row],[STOCK SAP]]&gt;Tabla_control[[#This Row],[CANTIDAD IMPRIMIR]],"cubre","no cubre")</f>
        <v>no cubre</v>
      </c>
      <c r="J61" s="7" t="str">
        <f>IF(COUNTIF(Tabla_imprenta[LOTE],Tabla_control[[#This Row],[LOTE]])=1,INDEX(Tabla_imprenta[STOCK],MATCH(Tabla_control[[#This Row],[LOTE]],Tabla_imprenta[LOTE],0)),"ENTREGADO")</f>
        <v>ENTREGADO</v>
      </c>
      <c r="K6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61" s="148" t="e">
        <f>INDEX(Tabla_imprenta[FECHA CAJA],MATCH(Tabla_control[[#This Row],[LOTE]],Tabla_imprenta[LOTE],0))</f>
        <v>#N/A</v>
      </c>
      <c r="M6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6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6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61" s="169" t="e">
        <f>ROUNDUP(Tabla_control[[#This Row],[CANTIDAD IMPRIMIR]]/Tabla_control[[#This Row],[N TJ]],0)</f>
        <v>#VALUE!</v>
      </c>
      <c r="Q61" s="169" t="e">
        <f>IF(Tabla_control[[#This Row],[CANTIDAD TIRAJE]]&gt;10000,Tabla_control[[#This Row],[CANTIDAD TIRAJE]],Tabla_control[[#This Row],[CANTIDAD TIRAJE]]*2)</f>
        <v>#VALUE!</v>
      </c>
      <c r="R61" s="4" t="s">
        <v>172</v>
      </c>
      <c r="S61" s="4" t="s">
        <v>30</v>
      </c>
      <c r="T61" s="4"/>
      <c r="U61" s="4"/>
      <c r="V61" s="4"/>
      <c r="W61" s="138" t="s">
        <v>3223</v>
      </c>
      <c r="X61" s="138"/>
      <c r="Y61" s="138"/>
      <c r="Z61" s="138"/>
      <c r="AA61" s="4" t="s">
        <v>2031</v>
      </c>
      <c r="AB61" s="184" t="s">
        <v>2028</v>
      </c>
    </row>
    <row r="62" spans="1:28" hidden="1" x14ac:dyDescent="0.2">
      <c r="A62" s="175" t="str">
        <f>IF(COUNTIF(Tabla_imprenta[LOTE],Tabla_control[[#This Row],[LOTE]])=1,INDEX(Tabla_imprenta[FECHA EMISIÓN],MATCH(Tabla_control[[#This Row],[LOTE]],Tabla_imprenta[LOTE],0)),"REALIZADO")</f>
        <v>REALIZADO</v>
      </c>
      <c r="B62" s="142" t="str">
        <f>IF(COUNTIF(Tabla_imprenta[LOTE],Tabla_control[[#This Row],[LOTE]])=1,INDEX(Tabla_imprenta[CÓD. SOLICITUD],MATCH(Tabla_control[[#This Row],[LOTE]],Tabla_imprenta[LOTE],0)),"REALIZADO")</f>
        <v>REALIZADO</v>
      </c>
      <c r="C62" s="177" t="str">
        <f>IF(COUNTIF(Tabla_imprenta[LOTE],Tabla_control[[#This Row],[LOTE]])=1,INDEX(Tabla_imprenta[PRODUCTO],MATCH(Tabla_control[[#This Row],[LOTE]],Tabla_imprenta[LOTE],0)),"REALIZADO")</f>
        <v>REALIZADO</v>
      </c>
      <c r="D62" s="142" t="str">
        <f>IF(COUNTIF(Tabla_imprenta[LOTE],Tabla_control[[#This Row],[LOTE]])=1,INDEX(Tabla_imprenta[FORMA FARMACEUTICA],MATCH(Tabla_control[[#This Row],[LOTE]],Tabla_imprenta[LOTE],0)),"REALIZADO")</f>
        <v>REALIZADO</v>
      </c>
      <c r="E62" s="177" t="str">
        <f>IF(COUNTIF(Tabla_imprenta[LOTE],Tabla_control[[#This Row],[LOTE]])=1,INDEX(Tabla_imprenta[INSTITUCIÓN],MATCH(Tabla_control[[#This Row],[LOTE]],Tabla_imprenta[LOTE],0)),"REALIZADO")</f>
        <v>REALIZADO</v>
      </c>
      <c r="F62" s="180" t="s">
        <v>2115</v>
      </c>
      <c r="G6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62" s="139" t="str">
        <f>IF(COUNTIF(Tabla_imprenta[LOTE],Tabla_control[[#This Row],[LOTE]])=1,INDEX(Tabla_imprenta[stock sap],MATCH(Tabla_control[[#This Row],[LOTE]],Tabla_imprenta[LOTE],0)),"ENTREGADO")</f>
        <v>ENTREGADO</v>
      </c>
      <c r="I62" s="139" t="str">
        <f>IF(Tabla_control[[#This Row],[STOCK SAP]]&gt;Tabla_control[[#This Row],[CANTIDAD IMPRIMIR]],"cubre","no cubre")</f>
        <v>no cubre</v>
      </c>
      <c r="J62" s="7" t="str">
        <f>IF(COUNTIF(Tabla_imprenta[LOTE],Tabla_control[[#This Row],[LOTE]])=1,INDEX(Tabla_imprenta[STOCK],MATCH(Tabla_control[[#This Row],[LOTE]],Tabla_imprenta[LOTE],0)),"ENTREGADO")</f>
        <v>ENTREGADO</v>
      </c>
      <c r="K6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62" s="148" t="e">
        <f>INDEX(Tabla_imprenta[FECHA CAJA],MATCH(Tabla_control[[#This Row],[LOTE]],Tabla_imprenta[LOTE],0))</f>
        <v>#N/A</v>
      </c>
      <c r="M6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6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6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62" s="169" t="e">
        <f>ROUNDUP(Tabla_control[[#This Row],[CANTIDAD IMPRIMIR]]/Tabla_control[[#This Row],[N TJ]],0)</f>
        <v>#VALUE!</v>
      </c>
      <c r="Q62" s="169" t="e">
        <f>IF(Tabla_control[[#This Row],[CANTIDAD TIRAJE]]&gt;10000,Tabla_control[[#This Row],[CANTIDAD TIRAJE]],Tabla_control[[#This Row],[CANTIDAD TIRAJE]]*2)</f>
        <v>#VALUE!</v>
      </c>
      <c r="R62" s="4" t="s">
        <v>172</v>
      </c>
      <c r="S62" s="4" t="s">
        <v>30</v>
      </c>
      <c r="T62" s="4"/>
      <c r="U62" s="4"/>
      <c r="V62" s="4"/>
      <c r="W62" s="138" t="s">
        <v>3223</v>
      </c>
      <c r="X62" s="138"/>
      <c r="Y62" s="138"/>
      <c r="Z62" s="138"/>
      <c r="AA62" s="4" t="s">
        <v>321</v>
      </c>
      <c r="AB62" s="184" t="s">
        <v>2028</v>
      </c>
    </row>
    <row r="63" spans="1:28" hidden="1" x14ac:dyDescent="0.2">
      <c r="A63" s="175" t="str">
        <f>IF(COUNTIF(Tabla_imprenta[LOTE],Tabla_control[[#This Row],[LOTE]])=1,INDEX(Tabla_imprenta[FECHA EMISIÓN],MATCH(Tabla_control[[#This Row],[LOTE]],Tabla_imprenta[LOTE],0)),"REALIZADO")</f>
        <v>REALIZADO</v>
      </c>
      <c r="B63" s="142" t="str">
        <f>IF(COUNTIF(Tabla_imprenta[LOTE],Tabla_control[[#This Row],[LOTE]])=1,INDEX(Tabla_imprenta[CÓD. SOLICITUD],MATCH(Tabla_control[[#This Row],[LOTE]],Tabla_imprenta[LOTE],0)),"REALIZADO")</f>
        <v>REALIZADO</v>
      </c>
      <c r="C63" s="177" t="str">
        <f>IF(COUNTIF(Tabla_imprenta[LOTE],Tabla_control[[#This Row],[LOTE]])=1,INDEX(Tabla_imprenta[PRODUCTO],MATCH(Tabla_control[[#This Row],[LOTE]],Tabla_imprenta[LOTE],0)),"REALIZADO")</f>
        <v>REALIZADO</v>
      </c>
      <c r="D63" s="142" t="str">
        <f>IF(COUNTIF(Tabla_imprenta[LOTE],Tabla_control[[#This Row],[LOTE]])=1,INDEX(Tabla_imprenta[FORMA FARMACEUTICA],MATCH(Tabla_control[[#This Row],[LOTE]],Tabla_imprenta[LOTE],0)),"REALIZADO")</f>
        <v>REALIZADO</v>
      </c>
      <c r="E63" s="177" t="str">
        <f>IF(COUNTIF(Tabla_imprenta[LOTE],Tabla_control[[#This Row],[LOTE]])=1,INDEX(Tabla_imprenta[INSTITUCIÓN],MATCH(Tabla_control[[#This Row],[LOTE]],Tabla_imprenta[LOTE],0)),"REALIZADO")</f>
        <v>REALIZADO</v>
      </c>
      <c r="F63" s="180" t="s">
        <v>200</v>
      </c>
      <c r="G6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63" s="139" t="str">
        <f>IF(COUNTIF(Tabla_imprenta[LOTE],Tabla_control[[#This Row],[LOTE]])=1,INDEX(Tabla_imprenta[stock sap],MATCH(Tabla_control[[#This Row],[LOTE]],Tabla_imprenta[LOTE],0)),"ENTREGADO")</f>
        <v>ENTREGADO</v>
      </c>
      <c r="I63" s="139" t="str">
        <f>IF(Tabla_control[[#This Row],[STOCK SAP]]&gt;Tabla_control[[#This Row],[CANTIDAD IMPRIMIR]],"cubre","no cubre")</f>
        <v>no cubre</v>
      </c>
      <c r="J63" s="7" t="str">
        <f>IF(COUNTIF(Tabla_imprenta[LOTE],Tabla_control[[#This Row],[LOTE]])=1,INDEX(Tabla_imprenta[STOCK],MATCH(Tabla_control[[#This Row],[LOTE]],Tabla_imprenta[LOTE],0)),"ENTREGADO")</f>
        <v>ENTREGADO</v>
      </c>
      <c r="K6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63" s="148" t="e">
        <f>INDEX(Tabla_imprenta[FECHA CAJA],MATCH(Tabla_control[[#This Row],[LOTE]],Tabla_imprenta[LOTE],0))</f>
        <v>#N/A</v>
      </c>
      <c r="M6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6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6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63" s="169" t="e">
        <f>ROUNDUP(Tabla_control[[#This Row],[CANTIDAD IMPRIMIR]]/Tabla_control[[#This Row],[N TJ]],0)</f>
        <v>#VALUE!</v>
      </c>
      <c r="Q63" s="169" t="e">
        <f>IF(Tabla_control[[#This Row],[CANTIDAD TIRAJE]]&gt;10000,Tabla_control[[#This Row],[CANTIDAD TIRAJE]],Tabla_control[[#This Row],[CANTIDAD TIRAJE]]*2)</f>
        <v>#VALUE!</v>
      </c>
      <c r="R63" s="4" t="s">
        <v>211</v>
      </c>
      <c r="S63" s="4" t="s">
        <v>31</v>
      </c>
      <c r="T63" s="4"/>
      <c r="U63" s="4"/>
      <c r="V63" s="4"/>
      <c r="W63" s="138" t="s">
        <v>3223</v>
      </c>
      <c r="X63" s="138"/>
      <c r="Y63" s="138"/>
      <c r="Z63" s="138"/>
      <c r="AA63" s="4" t="s">
        <v>321</v>
      </c>
      <c r="AB63" s="184" t="s">
        <v>2028</v>
      </c>
    </row>
    <row r="64" spans="1:28" hidden="1" x14ac:dyDescent="0.2">
      <c r="A64" s="175" t="str">
        <f>IF(COUNTIF(Tabla_imprenta[LOTE],Tabla_control[[#This Row],[LOTE]])=1,INDEX(Tabla_imprenta[FECHA EMISIÓN],MATCH(Tabla_control[[#This Row],[LOTE]],Tabla_imprenta[LOTE],0)),"REALIZADO")</f>
        <v>REALIZADO</v>
      </c>
      <c r="B64" s="142" t="str">
        <f>IF(COUNTIF(Tabla_imprenta[LOTE],Tabla_control[[#This Row],[LOTE]])=1,INDEX(Tabla_imprenta[CÓD. SOLICITUD],MATCH(Tabla_control[[#This Row],[LOTE]],Tabla_imprenta[LOTE],0)),"REALIZADO")</f>
        <v>REALIZADO</v>
      </c>
      <c r="C64" s="177" t="str">
        <f>IF(COUNTIF(Tabla_imprenta[LOTE],Tabla_control[[#This Row],[LOTE]])=1,INDEX(Tabla_imprenta[PRODUCTO],MATCH(Tabla_control[[#This Row],[LOTE]],Tabla_imprenta[LOTE],0)),"REALIZADO")</f>
        <v>REALIZADO</v>
      </c>
      <c r="D64" s="142" t="str">
        <f>IF(COUNTIF(Tabla_imprenta[LOTE],Tabla_control[[#This Row],[LOTE]])=1,INDEX(Tabla_imprenta[FORMA FARMACEUTICA],MATCH(Tabla_control[[#This Row],[LOTE]],Tabla_imprenta[LOTE],0)),"REALIZADO")</f>
        <v>REALIZADO</v>
      </c>
      <c r="E64" s="177" t="str">
        <f>IF(COUNTIF(Tabla_imprenta[LOTE],Tabla_control[[#This Row],[LOTE]])=1,INDEX(Tabla_imprenta[INSTITUCIÓN],MATCH(Tabla_control[[#This Row],[LOTE]],Tabla_imprenta[LOTE],0)),"REALIZADO")</f>
        <v>REALIZADO</v>
      </c>
      <c r="F64" s="180" t="s">
        <v>2119</v>
      </c>
      <c r="G6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64" s="139" t="str">
        <f>IF(COUNTIF(Tabla_imprenta[LOTE],Tabla_control[[#This Row],[LOTE]])=1,INDEX(Tabla_imprenta[stock sap],MATCH(Tabla_control[[#This Row],[LOTE]],Tabla_imprenta[LOTE],0)),"ENTREGADO")</f>
        <v>ENTREGADO</v>
      </c>
      <c r="I64" s="139" t="str">
        <f>IF(Tabla_control[[#This Row],[STOCK SAP]]&gt;Tabla_control[[#This Row],[CANTIDAD IMPRIMIR]],"cubre","no cubre")</f>
        <v>no cubre</v>
      </c>
      <c r="J64" s="7" t="str">
        <f>IF(COUNTIF(Tabla_imprenta[LOTE],Tabla_control[[#This Row],[LOTE]])=1,INDEX(Tabla_imprenta[STOCK],MATCH(Tabla_control[[#This Row],[LOTE]],Tabla_imprenta[LOTE],0)),"ENTREGADO")</f>
        <v>ENTREGADO</v>
      </c>
      <c r="K6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64" s="148" t="e">
        <f>INDEX(Tabla_imprenta[FECHA CAJA],MATCH(Tabla_control[[#This Row],[LOTE]],Tabla_imprenta[LOTE],0))</f>
        <v>#N/A</v>
      </c>
      <c r="M6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6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6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64" s="169" t="e">
        <f>ROUNDUP(Tabla_control[[#This Row],[CANTIDAD IMPRIMIR]]/Tabla_control[[#This Row],[N TJ]],0)</f>
        <v>#VALUE!</v>
      </c>
      <c r="Q64" s="169" t="e">
        <f>IF(Tabla_control[[#This Row],[CANTIDAD TIRAJE]]&gt;10000,Tabla_control[[#This Row],[CANTIDAD TIRAJE]],Tabla_control[[#This Row],[CANTIDAD TIRAJE]]*2)</f>
        <v>#VALUE!</v>
      </c>
      <c r="R64" s="4" t="s">
        <v>173</v>
      </c>
      <c r="S64" s="4" t="s">
        <v>174</v>
      </c>
      <c r="T64" s="4"/>
      <c r="U64" s="4"/>
      <c r="V64" s="4"/>
      <c r="W64" s="138" t="s">
        <v>3223</v>
      </c>
      <c r="X64" s="138"/>
      <c r="Y64" s="138"/>
      <c r="Z64" s="138"/>
      <c r="AA64" s="4" t="s">
        <v>321</v>
      </c>
      <c r="AB64" s="184" t="s">
        <v>2028</v>
      </c>
    </row>
    <row r="65" spans="1:28" hidden="1" x14ac:dyDescent="0.2">
      <c r="A65" s="175" t="str">
        <f>IF(COUNTIF(Tabla_imprenta[LOTE],Tabla_control[[#This Row],[LOTE]])=1,INDEX(Tabla_imprenta[FECHA EMISIÓN],MATCH(Tabla_control[[#This Row],[LOTE]],Tabla_imprenta[LOTE],0)),"REALIZADO")</f>
        <v>REALIZADO</v>
      </c>
      <c r="B65" s="142" t="str">
        <f>IF(COUNTIF(Tabla_imprenta[LOTE],Tabla_control[[#This Row],[LOTE]])=1,INDEX(Tabla_imprenta[CÓD. SOLICITUD],MATCH(Tabla_control[[#This Row],[LOTE]],Tabla_imprenta[LOTE],0)),"REALIZADO")</f>
        <v>REALIZADO</v>
      </c>
      <c r="C65" s="177" t="str">
        <f>IF(COUNTIF(Tabla_imprenta[LOTE],Tabla_control[[#This Row],[LOTE]])=1,INDEX(Tabla_imprenta[PRODUCTO],MATCH(Tabla_control[[#This Row],[LOTE]],Tabla_imprenta[LOTE],0)),"REALIZADO")</f>
        <v>REALIZADO</v>
      </c>
      <c r="D65" s="142" t="str">
        <f>IF(COUNTIF(Tabla_imprenta[LOTE],Tabla_control[[#This Row],[LOTE]])=1,INDEX(Tabla_imprenta[FORMA FARMACEUTICA],MATCH(Tabla_control[[#This Row],[LOTE]],Tabla_imprenta[LOTE],0)),"REALIZADO")</f>
        <v>REALIZADO</v>
      </c>
      <c r="E65" s="177" t="str">
        <f>IF(COUNTIF(Tabla_imprenta[LOTE],Tabla_control[[#This Row],[LOTE]])=1,INDEX(Tabla_imprenta[INSTITUCIÓN],MATCH(Tabla_control[[#This Row],[LOTE]],Tabla_imprenta[LOTE],0)),"REALIZADO")</f>
        <v>REALIZADO</v>
      </c>
      <c r="F65" s="183" t="s">
        <v>120</v>
      </c>
      <c r="G6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65" s="139" t="str">
        <f>IF(COUNTIF(Tabla_imprenta[LOTE],Tabla_control[[#This Row],[LOTE]])=1,INDEX(Tabla_imprenta[stock sap],MATCH(Tabla_control[[#This Row],[LOTE]],Tabla_imprenta[LOTE],0)),"ENTREGADO")</f>
        <v>ENTREGADO</v>
      </c>
      <c r="I65" s="139" t="str">
        <f>IF(Tabla_control[[#This Row],[STOCK SAP]]&gt;Tabla_control[[#This Row],[CANTIDAD IMPRIMIR]],"cubre","no cubre")</f>
        <v>no cubre</v>
      </c>
      <c r="J65" s="7" t="str">
        <f>IF(COUNTIF(Tabla_imprenta[LOTE],Tabla_control[[#This Row],[LOTE]])=1,INDEX(Tabla_imprenta[STOCK],MATCH(Tabla_control[[#This Row],[LOTE]],Tabla_imprenta[LOTE],0)),"ENTREGADO")</f>
        <v>ENTREGADO</v>
      </c>
      <c r="K6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65" s="149" t="e">
        <f>INDEX(Tabla_imprenta[FECHA CAJA],MATCH(Tabla_control[[#This Row],[LOTE]],Tabla_imprenta[LOTE],0))</f>
        <v>#N/A</v>
      </c>
      <c r="M6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65" s="167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65" s="167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65" s="168" t="e">
        <f>ROUNDUP(Tabla_control[[#This Row],[CANTIDAD IMPRIMIR]]/Tabla_control[[#This Row],[N TJ]],0)</f>
        <v>#VALUE!</v>
      </c>
      <c r="Q65" s="168" t="e">
        <f>IF(Tabla_control[[#This Row],[CANTIDAD TIRAJE]]&gt;10000,Tabla_control[[#This Row],[CANTIDAD TIRAJE]],Tabla_control[[#This Row],[CANTIDAD TIRAJE]]*2)</f>
        <v>#VALUE!</v>
      </c>
      <c r="R65" s="4" t="s">
        <v>175</v>
      </c>
      <c r="S65" s="4" t="s">
        <v>174</v>
      </c>
      <c r="T65" s="4"/>
      <c r="U65" s="4"/>
      <c r="V65" s="4"/>
      <c r="W65" s="138" t="s">
        <v>3223</v>
      </c>
      <c r="X65" s="138"/>
      <c r="Y65" s="138"/>
      <c r="Z65" s="138"/>
      <c r="AA65" s="4" t="s">
        <v>321</v>
      </c>
      <c r="AB65" s="184" t="s">
        <v>2028</v>
      </c>
    </row>
    <row r="66" spans="1:28" hidden="1" x14ac:dyDescent="0.2">
      <c r="A66" s="175" t="str">
        <f>IF(COUNTIF(Tabla_imprenta[LOTE],Tabla_control[[#This Row],[LOTE]])=1,INDEX(Tabla_imprenta[FECHA EMISIÓN],MATCH(Tabla_control[[#This Row],[LOTE]],Tabla_imprenta[LOTE],0)),"REALIZADO")</f>
        <v>REALIZADO</v>
      </c>
      <c r="B66" s="142" t="str">
        <f>IF(COUNTIF(Tabla_imprenta[LOTE],Tabla_control[[#This Row],[LOTE]])=1,INDEX(Tabla_imprenta[CÓD. SOLICITUD],MATCH(Tabla_control[[#This Row],[LOTE]],Tabla_imprenta[LOTE],0)),"REALIZADO")</f>
        <v>REALIZADO</v>
      </c>
      <c r="C66" s="177" t="str">
        <f>IF(COUNTIF(Tabla_imprenta[LOTE],Tabla_control[[#This Row],[LOTE]])=1,INDEX(Tabla_imprenta[PRODUCTO],MATCH(Tabla_control[[#This Row],[LOTE]],Tabla_imprenta[LOTE],0)),"REALIZADO")</f>
        <v>REALIZADO</v>
      </c>
      <c r="D66" s="142" t="str">
        <f>IF(COUNTIF(Tabla_imprenta[LOTE],Tabla_control[[#This Row],[LOTE]])=1,INDEX(Tabla_imprenta[FORMA FARMACEUTICA],MATCH(Tabla_control[[#This Row],[LOTE]],Tabla_imprenta[LOTE],0)),"REALIZADO")</f>
        <v>REALIZADO</v>
      </c>
      <c r="E66" s="177" t="str">
        <f>IF(COUNTIF(Tabla_imprenta[LOTE],Tabla_control[[#This Row],[LOTE]])=1,INDEX(Tabla_imprenta[INSTITUCIÓN],MATCH(Tabla_control[[#This Row],[LOTE]],Tabla_imprenta[LOTE],0)),"REALIZADO")</f>
        <v>REALIZADO</v>
      </c>
      <c r="F66" s="180" t="s">
        <v>180</v>
      </c>
      <c r="G6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66" s="139" t="str">
        <f>IF(COUNTIF(Tabla_imprenta[LOTE],Tabla_control[[#This Row],[LOTE]])=1,INDEX(Tabla_imprenta[stock sap],MATCH(Tabla_control[[#This Row],[LOTE]],Tabla_imprenta[LOTE],0)),"ENTREGADO")</f>
        <v>ENTREGADO</v>
      </c>
      <c r="I66" s="139" t="str">
        <f>IF(Tabla_control[[#This Row],[STOCK SAP]]&gt;Tabla_control[[#This Row],[CANTIDAD IMPRIMIR]],"cubre","no cubre")</f>
        <v>no cubre</v>
      </c>
      <c r="J66" s="7" t="str">
        <f>IF(COUNTIF(Tabla_imprenta[LOTE],Tabla_control[[#This Row],[LOTE]])=1,INDEX(Tabla_imprenta[STOCK],MATCH(Tabla_control[[#This Row],[LOTE]],Tabla_imprenta[LOTE],0)),"ENTREGADO")</f>
        <v>ENTREGADO</v>
      </c>
      <c r="K6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66" s="148" t="e">
        <f>INDEX(Tabla_imprenta[FECHA CAJA],MATCH(Tabla_control[[#This Row],[LOTE]],Tabla_imprenta[LOTE],0))</f>
        <v>#N/A</v>
      </c>
      <c r="M6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6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6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66" s="169" t="e">
        <f>ROUNDUP(Tabla_control[[#This Row],[CANTIDAD IMPRIMIR]]/Tabla_control[[#This Row],[N TJ]],0)</f>
        <v>#VALUE!</v>
      </c>
      <c r="Q66" s="169" t="e">
        <f>IF(Tabla_control[[#This Row],[CANTIDAD TIRAJE]]&gt;10000,Tabla_control[[#This Row],[CANTIDAD TIRAJE]],Tabla_control[[#This Row],[CANTIDAD TIRAJE]]*2)</f>
        <v>#VALUE!</v>
      </c>
      <c r="R66" s="4" t="s">
        <v>177</v>
      </c>
      <c r="S66" s="4" t="s">
        <v>31</v>
      </c>
      <c r="T66" s="4"/>
      <c r="U66" s="4"/>
      <c r="V66" s="4"/>
      <c r="W66" s="138" t="s">
        <v>3223</v>
      </c>
      <c r="X66" s="138"/>
      <c r="Y66" s="138"/>
      <c r="Z66" s="138"/>
      <c r="AA66" s="4" t="s">
        <v>2031</v>
      </c>
      <c r="AB66" s="184" t="s">
        <v>2028</v>
      </c>
    </row>
    <row r="67" spans="1:28" hidden="1" x14ac:dyDescent="0.2">
      <c r="A67" s="175" t="str">
        <f>IF(COUNTIF(Tabla_imprenta[LOTE],Tabla_control[[#This Row],[LOTE]])=1,INDEX(Tabla_imprenta[FECHA EMISIÓN],MATCH(Tabla_control[[#This Row],[LOTE]],Tabla_imprenta[LOTE],0)),"REALIZADO")</f>
        <v>REALIZADO</v>
      </c>
      <c r="B67" s="142" t="str">
        <f>IF(COUNTIF(Tabla_imprenta[LOTE],Tabla_control[[#This Row],[LOTE]])=1,INDEX(Tabla_imprenta[CÓD. SOLICITUD],MATCH(Tabla_control[[#This Row],[LOTE]],Tabla_imprenta[LOTE],0)),"REALIZADO")</f>
        <v>REALIZADO</v>
      </c>
      <c r="C67" s="177" t="str">
        <f>IF(COUNTIF(Tabla_imprenta[LOTE],Tabla_control[[#This Row],[LOTE]])=1,INDEX(Tabla_imprenta[PRODUCTO],MATCH(Tabla_control[[#This Row],[LOTE]],Tabla_imprenta[LOTE],0)),"REALIZADO")</f>
        <v>REALIZADO</v>
      </c>
      <c r="D67" s="142" t="str">
        <f>IF(COUNTIF(Tabla_imprenta[LOTE],Tabla_control[[#This Row],[LOTE]])=1,INDEX(Tabla_imprenta[FORMA FARMACEUTICA],MATCH(Tabla_control[[#This Row],[LOTE]],Tabla_imprenta[LOTE],0)),"REALIZADO")</f>
        <v>REALIZADO</v>
      </c>
      <c r="E67" s="177" t="str">
        <f>IF(COUNTIF(Tabla_imprenta[LOTE],Tabla_control[[#This Row],[LOTE]])=1,INDEX(Tabla_imprenta[INSTITUCIÓN],MATCH(Tabla_control[[#This Row],[LOTE]],Tabla_imprenta[LOTE],0)),"REALIZADO")</f>
        <v>REALIZADO</v>
      </c>
      <c r="F67" s="180" t="s">
        <v>2124</v>
      </c>
      <c r="G6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67" s="139" t="str">
        <f>IF(COUNTIF(Tabla_imprenta[LOTE],Tabla_control[[#This Row],[LOTE]])=1,INDEX(Tabla_imprenta[stock sap],MATCH(Tabla_control[[#This Row],[LOTE]],Tabla_imprenta[LOTE],0)),"ENTREGADO")</f>
        <v>ENTREGADO</v>
      </c>
      <c r="I67" s="139" t="str">
        <f>IF(Tabla_control[[#This Row],[STOCK SAP]]&gt;Tabla_control[[#This Row],[CANTIDAD IMPRIMIR]],"cubre","no cubre")</f>
        <v>no cubre</v>
      </c>
      <c r="J67" s="7" t="str">
        <f>IF(COUNTIF(Tabla_imprenta[LOTE],Tabla_control[[#This Row],[LOTE]])=1,INDEX(Tabla_imprenta[STOCK],MATCH(Tabla_control[[#This Row],[LOTE]],Tabla_imprenta[LOTE],0)),"ENTREGADO")</f>
        <v>ENTREGADO</v>
      </c>
      <c r="K6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67" s="148" t="e">
        <f>INDEX(Tabla_imprenta[FECHA CAJA],MATCH(Tabla_control[[#This Row],[LOTE]],Tabla_imprenta[LOTE],0))</f>
        <v>#N/A</v>
      </c>
      <c r="M6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6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6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67" s="169" t="e">
        <f>ROUNDUP(Tabla_control[[#This Row],[CANTIDAD IMPRIMIR]]/Tabla_control[[#This Row],[N TJ]],0)</f>
        <v>#VALUE!</v>
      </c>
      <c r="Q67" s="169" t="e">
        <f>IF(Tabla_control[[#This Row],[CANTIDAD TIRAJE]]&gt;10000,Tabla_control[[#This Row],[CANTIDAD TIRAJE]],Tabla_control[[#This Row],[CANTIDAD TIRAJE]]*2)</f>
        <v>#VALUE!</v>
      </c>
      <c r="R67" s="4" t="s">
        <v>172</v>
      </c>
      <c r="S67" s="4" t="s">
        <v>30</v>
      </c>
      <c r="T67" s="4"/>
      <c r="U67" s="4"/>
      <c r="V67" s="4"/>
      <c r="W67" s="138" t="s">
        <v>3223</v>
      </c>
      <c r="X67" s="138"/>
      <c r="Y67" s="138"/>
      <c r="Z67" s="138"/>
      <c r="AA67" s="4" t="s">
        <v>2031</v>
      </c>
      <c r="AB67" s="184" t="s">
        <v>2028</v>
      </c>
    </row>
    <row r="68" spans="1:28" hidden="1" x14ac:dyDescent="0.2">
      <c r="A68" s="175" t="str">
        <f>IF(COUNTIF(Tabla_imprenta[LOTE],Tabla_control[[#This Row],[LOTE]])=1,INDEX(Tabla_imprenta[FECHA EMISIÓN],MATCH(Tabla_control[[#This Row],[LOTE]],Tabla_imprenta[LOTE],0)),"REALIZADO")</f>
        <v>REALIZADO</v>
      </c>
      <c r="B68" s="142" t="str">
        <f>IF(COUNTIF(Tabla_imprenta[LOTE],Tabla_control[[#This Row],[LOTE]])=1,INDEX(Tabla_imprenta[CÓD. SOLICITUD],MATCH(Tabla_control[[#This Row],[LOTE]],Tabla_imprenta[LOTE],0)),"REALIZADO")</f>
        <v>REALIZADO</v>
      </c>
      <c r="C68" s="177" t="str">
        <f>IF(COUNTIF(Tabla_imprenta[LOTE],Tabla_control[[#This Row],[LOTE]])=1,INDEX(Tabla_imprenta[PRODUCTO],MATCH(Tabla_control[[#This Row],[LOTE]],Tabla_imprenta[LOTE],0)),"REALIZADO")</f>
        <v>REALIZADO</v>
      </c>
      <c r="D68" s="142" t="str">
        <f>IF(COUNTIF(Tabla_imprenta[LOTE],Tabla_control[[#This Row],[LOTE]])=1,INDEX(Tabla_imprenta[FORMA FARMACEUTICA],MATCH(Tabla_control[[#This Row],[LOTE]],Tabla_imprenta[LOTE],0)),"REALIZADO")</f>
        <v>REALIZADO</v>
      </c>
      <c r="E68" s="177" t="str">
        <f>IF(COUNTIF(Tabla_imprenta[LOTE],Tabla_control[[#This Row],[LOTE]])=1,INDEX(Tabla_imprenta[INSTITUCIÓN],MATCH(Tabla_control[[#This Row],[LOTE]],Tabla_imprenta[LOTE],0)),"REALIZADO")</f>
        <v>REALIZADO</v>
      </c>
      <c r="F68" s="180" t="s">
        <v>193</v>
      </c>
      <c r="G6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68" s="139" t="str">
        <f>IF(COUNTIF(Tabla_imprenta[LOTE],Tabla_control[[#This Row],[LOTE]])=1,INDEX(Tabla_imprenta[stock sap],MATCH(Tabla_control[[#This Row],[LOTE]],Tabla_imprenta[LOTE],0)),"ENTREGADO")</f>
        <v>ENTREGADO</v>
      </c>
      <c r="I68" s="139" t="str">
        <f>IF(Tabla_control[[#This Row],[STOCK SAP]]&gt;Tabla_control[[#This Row],[CANTIDAD IMPRIMIR]],"cubre","no cubre")</f>
        <v>no cubre</v>
      </c>
      <c r="J68" s="7" t="str">
        <f>IF(COUNTIF(Tabla_imprenta[LOTE],Tabla_control[[#This Row],[LOTE]])=1,INDEX(Tabla_imprenta[STOCK],MATCH(Tabla_control[[#This Row],[LOTE]],Tabla_imprenta[LOTE],0)),"ENTREGADO")</f>
        <v>ENTREGADO</v>
      </c>
      <c r="K6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68" s="148" t="e">
        <f>INDEX(Tabla_imprenta[FECHA CAJA],MATCH(Tabla_control[[#This Row],[LOTE]],Tabla_imprenta[LOTE],0))</f>
        <v>#N/A</v>
      </c>
      <c r="M6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6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6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68" s="169" t="e">
        <f>ROUNDUP(Tabla_control[[#This Row],[CANTIDAD IMPRIMIR]]/Tabla_control[[#This Row],[N TJ]],0)</f>
        <v>#VALUE!</v>
      </c>
      <c r="Q68" s="169" t="e">
        <f>IF(Tabla_control[[#This Row],[CANTIDAD TIRAJE]]&gt;10000,Tabla_control[[#This Row],[CANTIDAD TIRAJE]],Tabla_control[[#This Row],[CANTIDAD TIRAJE]]*2)</f>
        <v>#VALUE!</v>
      </c>
      <c r="R68" s="4" t="s">
        <v>211</v>
      </c>
      <c r="S68" s="4" t="s">
        <v>31</v>
      </c>
      <c r="T68" s="4"/>
      <c r="U68" s="4"/>
      <c r="V68" s="4"/>
      <c r="W68" s="138" t="s">
        <v>3223</v>
      </c>
      <c r="X68" s="138"/>
      <c r="Y68" s="138"/>
      <c r="Z68" s="138"/>
      <c r="AA68" s="4" t="s">
        <v>321</v>
      </c>
      <c r="AB68" s="184" t="s">
        <v>2028</v>
      </c>
    </row>
    <row r="69" spans="1:28" hidden="1" x14ac:dyDescent="0.2">
      <c r="A69" s="175" t="str">
        <f>IF(COUNTIF(Tabla_imprenta[LOTE],Tabla_control[[#This Row],[LOTE]])=1,INDEX(Tabla_imprenta[FECHA EMISIÓN],MATCH(Tabla_control[[#This Row],[LOTE]],Tabla_imprenta[LOTE],0)),"REALIZADO")</f>
        <v>REALIZADO</v>
      </c>
      <c r="B69" s="142" t="str">
        <f>IF(COUNTIF(Tabla_imprenta[LOTE],Tabla_control[[#This Row],[LOTE]])=1,INDEX(Tabla_imprenta[CÓD. SOLICITUD],MATCH(Tabla_control[[#This Row],[LOTE]],Tabla_imprenta[LOTE],0)),"REALIZADO")</f>
        <v>REALIZADO</v>
      </c>
      <c r="C69" s="177" t="str">
        <f>IF(COUNTIF(Tabla_imprenta[LOTE],Tabla_control[[#This Row],[LOTE]])=1,INDEX(Tabla_imprenta[PRODUCTO],MATCH(Tabla_control[[#This Row],[LOTE]],Tabla_imprenta[LOTE],0)),"REALIZADO")</f>
        <v>REALIZADO</v>
      </c>
      <c r="D69" s="142" t="str">
        <f>IF(COUNTIF(Tabla_imprenta[LOTE],Tabla_control[[#This Row],[LOTE]])=1,INDEX(Tabla_imprenta[FORMA FARMACEUTICA],MATCH(Tabla_control[[#This Row],[LOTE]],Tabla_imprenta[LOTE],0)),"REALIZADO")</f>
        <v>REALIZADO</v>
      </c>
      <c r="E69" s="177" t="str">
        <f>IF(COUNTIF(Tabla_imprenta[LOTE],Tabla_control[[#This Row],[LOTE]])=1,INDEX(Tabla_imprenta[INSTITUCIÓN],MATCH(Tabla_control[[#This Row],[LOTE]],Tabla_imprenta[LOTE],0)),"REALIZADO")</f>
        <v>REALIZADO</v>
      </c>
      <c r="F69" s="180" t="s">
        <v>217</v>
      </c>
      <c r="G6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69" s="139" t="str">
        <f>IF(COUNTIF(Tabla_imprenta[LOTE],Tabla_control[[#This Row],[LOTE]])=1,INDEX(Tabla_imprenta[stock sap],MATCH(Tabla_control[[#This Row],[LOTE]],Tabla_imprenta[LOTE],0)),"ENTREGADO")</f>
        <v>ENTREGADO</v>
      </c>
      <c r="I69" s="139" t="str">
        <f>IF(Tabla_control[[#This Row],[STOCK SAP]]&gt;Tabla_control[[#This Row],[CANTIDAD IMPRIMIR]],"cubre","no cubre")</f>
        <v>no cubre</v>
      </c>
      <c r="J69" s="7" t="str">
        <f>IF(COUNTIF(Tabla_imprenta[LOTE],Tabla_control[[#This Row],[LOTE]])=1,INDEX(Tabla_imprenta[STOCK],MATCH(Tabla_control[[#This Row],[LOTE]],Tabla_imprenta[LOTE],0)),"ENTREGADO")</f>
        <v>ENTREGADO</v>
      </c>
      <c r="K6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69" s="148" t="e">
        <f>INDEX(Tabla_imprenta[FECHA CAJA],MATCH(Tabla_control[[#This Row],[LOTE]],Tabla_imprenta[LOTE],0))</f>
        <v>#N/A</v>
      </c>
      <c r="M6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6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6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69" s="169" t="e">
        <f>ROUNDUP(Tabla_control[[#This Row],[CANTIDAD IMPRIMIR]]/Tabla_control[[#This Row],[N TJ]],0)</f>
        <v>#VALUE!</v>
      </c>
      <c r="Q69" s="169" t="e">
        <f>IF(Tabla_control[[#This Row],[CANTIDAD TIRAJE]]&gt;10000,Tabla_control[[#This Row],[CANTIDAD TIRAJE]],Tabla_control[[#This Row],[CANTIDAD TIRAJE]]*2)</f>
        <v>#VALUE!</v>
      </c>
      <c r="R69" s="4" t="s">
        <v>172</v>
      </c>
      <c r="S69" s="4" t="s">
        <v>30</v>
      </c>
      <c r="T69" s="4"/>
      <c r="U69" s="4"/>
      <c r="V69" s="4"/>
      <c r="W69" s="138" t="s">
        <v>3223</v>
      </c>
      <c r="X69" s="138"/>
      <c r="Y69" s="138"/>
      <c r="Z69" s="138"/>
      <c r="AA69" s="4" t="s">
        <v>2031</v>
      </c>
      <c r="AB69" s="184" t="s">
        <v>2028</v>
      </c>
    </row>
    <row r="70" spans="1:28" hidden="1" x14ac:dyDescent="0.2">
      <c r="A70" s="175" t="str">
        <f>IF(COUNTIF(Tabla_imprenta[LOTE],Tabla_control[[#This Row],[LOTE]])=1,INDEX(Tabla_imprenta[FECHA EMISIÓN],MATCH(Tabla_control[[#This Row],[LOTE]],Tabla_imprenta[LOTE],0)),"REALIZADO")</f>
        <v>REALIZADO</v>
      </c>
      <c r="B70" s="142" t="str">
        <f>IF(COUNTIF(Tabla_imprenta[LOTE],Tabla_control[[#This Row],[LOTE]])=1,INDEX(Tabla_imprenta[CÓD. SOLICITUD],MATCH(Tabla_control[[#This Row],[LOTE]],Tabla_imprenta[LOTE],0)),"REALIZADO")</f>
        <v>REALIZADO</v>
      </c>
      <c r="C70" s="179" t="str">
        <f>IF(COUNTIF(Tabla_imprenta[LOTE],Tabla_control[[#This Row],[LOTE]])=1,INDEX(Tabla_imprenta[PRODUCTO],MATCH(Tabla_control[[#This Row],[LOTE]],Tabla_imprenta[LOTE],0)),"REALIZADO")</f>
        <v>REALIZADO</v>
      </c>
      <c r="D70" s="142" t="str">
        <f>IF(COUNTIF(Tabla_imprenta[LOTE],Tabla_control[[#This Row],[LOTE]])=1,INDEX(Tabla_imprenta[FORMA FARMACEUTICA],MATCH(Tabla_control[[#This Row],[LOTE]],Tabla_imprenta[LOTE],0)),"REALIZADO")</f>
        <v>REALIZADO</v>
      </c>
      <c r="E70" s="177" t="str">
        <f>IF(COUNTIF(Tabla_imprenta[LOTE],Tabla_control[[#This Row],[LOTE]])=1,INDEX(Tabla_imprenta[INSTITUCIÓN],MATCH(Tabla_control[[#This Row],[LOTE]],Tabla_imprenta[LOTE],0)),"REALIZADO")</f>
        <v>REALIZADO</v>
      </c>
      <c r="F70" s="183" t="s">
        <v>158</v>
      </c>
      <c r="G7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70" s="139" t="str">
        <f>IF(COUNTIF(Tabla_imprenta[LOTE],Tabla_control[[#This Row],[LOTE]])=1,INDEX(Tabla_imprenta[stock sap],MATCH(Tabla_control[[#This Row],[LOTE]],Tabla_imprenta[LOTE],0)),"ENTREGADO")</f>
        <v>ENTREGADO</v>
      </c>
      <c r="I70" s="139" t="str">
        <f>IF(Tabla_control[[#This Row],[STOCK SAP]]&gt;Tabla_control[[#This Row],[CANTIDAD IMPRIMIR]],"cubre","no cubre")</f>
        <v>no cubre</v>
      </c>
      <c r="J70" s="7" t="str">
        <f>IF(COUNTIF(Tabla_imprenta[LOTE],Tabla_control[[#This Row],[LOTE]])=1,INDEX(Tabla_imprenta[STOCK],MATCH(Tabla_control[[#This Row],[LOTE]],Tabla_imprenta[LOTE],0)),"ENTREGADO")</f>
        <v>ENTREGADO</v>
      </c>
      <c r="K7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70" s="148" t="e">
        <f>INDEX(Tabla_imprenta[FECHA CAJA],MATCH(Tabla_control[[#This Row],[LOTE]],Tabla_imprenta[LOTE],0))</f>
        <v>#N/A</v>
      </c>
      <c r="M7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7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7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70" s="169" t="e">
        <f>ROUNDUP(Tabla_control[[#This Row],[CANTIDAD IMPRIMIR]]/Tabla_control[[#This Row],[N TJ]],0)</f>
        <v>#VALUE!</v>
      </c>
      <c r="Q70" s="169" t="e">
        <f>IF(Tabla_control[[#This Row],[CANTIDAD TIRAJE]]&gt;10000,Tabla_control[[#This Row],[CANTIDAD TIRAJE]],Tabla_control[[#This Row],[CANTIDAD TIRAJE]]*2)</f>
        <v>#VALUE!</v>
      </c>
      <c r="R70" s="4" t="s">
        <v>175</v>
      </c>
      <c r="S70" s="4" t="s">
        <v>174</v>
      </c>
      <c r="T70" s="4"/>
      <c r="U70" s="4"/>
      <c r="V70" s="4"/>
      <c r="W70" s="138" t="s">
        <v>3223</v>
      </c>
      <c r="X70" s="138"/>
      <c r="Y70" s="138"/>
      <c r="Z70" s="138"/>
      <c r="AA70" s="4" t="s">
        <v>2031</v>
      </c>
      <c r="AB70" s="184" t="s">
        <v>2028</v>
      </c>
    </row>
    <row r="71" spans="1:28" hidden="1" x14ac:dyDescent="0.2">
      <c r="A71" s="175" t="str">
        <f>IF(COUNTIF(Tabla_imprenta[LOTE],Tabla_control[[#This Row],[LOTE]])=1,INDEX(Tabla_imprenta[FECHA EMISIÓN],MATCH(Tabla_control[[#This Row],[LOTE]],Tabla_imprenta[LOTE],0)),"REALIZADO")</f>
        <v>REALIZADO</v>
      </c>
      <c r="B71" s="142" t="str">
        <f>IF(COUNTIF(Tabla_imprenta[LOTE],Tabla_control[[#This Row],[LOTE]])=1,INDEX(Tabla_imprenta[CÓD. SOLICITUD],MATCH(Tabla_control[[#This Row],[LOTE]],Tabla_imprenta[LOTE],0)),"REALIZADO")</f>
        <v>REALIZADO</v>
      </c>
      <c r="C71" s="177" t="str">
        <f>IF(COUNTIF(Tabla_imprenta[LOTE],Tabla_control[[#This Row],[LOTE]])=1,INDEX(Tabla_imprenta[PRODUCTO],MATCH(Tabla_control[[#This Row],[LOTE]],Tabla_imprenta[LOTE],0)),"REALIZADO")</f>
        <v>REALIZADO</v>
      </c>
      <c r="D71" s="142" t="str">
        <f>IF(COUNTIF(Tabla_imprenta[LOTE],Tabla_control[[#This Row],[LOTE]])=1,INDEX(Tabla_imprenta[FORMA FARMACEUTICA],MATCH(Tabla_control[[#This Row],[LOTE]],Tabla_imprenta[LOTE],0)),"REALIZADO")</f>
        <v>REALIZADO</v>
      </c>
      <c r="E71" s="177" t="str">
        <f>IF(COUNTIF(Tabla_imprenta[LOTE],Tabla_control[[#This Row],[LOTE]])=1,INDEX(Tabla_imprenta[INSTITUCIÓN],MATCH(Tabla_control[[#This Row],[LOTE]],Tabla_imprenta[LOTE],0)),"REALIZADO")</f>
        <v>REALIZADO</v>
      </c>
      <c r="F71" s="183" t="s">
        <v>151</v>
      </c>
      <c r="G7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71" s="139" t="str">
        <f>IF(COUNTIF(Tabla_imprenta[LOTE],Tabla_control[[#This Row],[LOTE]])=1,INDEX(Tabla_imprenta[stock sap],MATCH(Tabla_control[[#This Row],[LOTE]],Tabla_imprenta[LOTE],0)),"ENTREGADO")</f>
        <v>ENTREGADO</v>
      </c>
      <c r="I71" s="139" t="str">
        <f>IF(Tabla_control[[#This Row],[STOCK SAP]]&gt;Tabla_control[[#This Row],[CANTIDAD IMPRIMIR]],"cubre","no cubre")</f>
        <v>no cubre</v>
      </c>
      <c r="J71" s="7" t="str">
        <f>IF(COUNTIF(Tabla_imprenta[LOTE],Tabla_control[[#This Row],[LOTE]])=1,INDEX(Tabla_imprenta[STOCK],MATCH(Tabla_control[[#This Row],[LOTE]],Tabla_imprenta[LOTE],0)),"ENTREGADO")</f>
        <v>ENTREGADO</v>
      </c>
      <c r="K7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71" s="148" t="e">
        <f>INDEX(Tabla_imprenta[FECHA CAJA],MATCH(Tabla_control[[#This Row],[LOTE]],Tabla_imprenta[LOTE],0))</f>
        <v>#N/A</v>
      </c>
      <c r="M7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7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7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71" s="169" t="e">
        <f>ROUNDUP(Tabla_control[[#This Row],[CANTIDAD IMPRIMIR]]/Tabla_control[[#This Row],[N TJ]],0)</f>
        <v>#VALUE!</v>
      </c>
      <c r="Q71" s="169" t="e">
        <f>IF(Tabla_control[[#This Row],[CANTIDAD TIRAJE]]&gt;10000,Tabla_control[[#This Row],[CANTIDAD TIRAJE]],Tabla_control[[#This Row],[CANTIDAD TIRAJE]]*2)</f>
        <v>#VALUE!</v>
      </c>
      <c r="R71" s="4" t="s">
        <v>176</v>
      </c>
      <c r="S71" s="4" t="s">
        <v>30</v>
      </c>
      <c r="T71" s="4"/>
      <c r="U71" s="4"/>
      <c r="V71" s="4"/>
      <c r="W71" s="138" t="s">
        <v>3223</v>
      </c>
      <c r="X71" s="138"/>
      <c r="Y71" s="138"/>
      <c r="Z71" s="138"/>
      <c r="AA71" s="4" t="s">
        <v>2182</v>
      </c>
      <c r="AB71" s="184" t="s">
        <v>2028</v>
      </c>
    </row>
    <row r="72" spans="1:28" hidden="1" x14ac:dyDescent="0.2">
      <c r="A72" s="175" t="str">
        <f>IF(COUNTIF(Tabla_imprenta[LOTE],Tabla_control[[#This Row],[LOTE]])=1,INDEX(Tabla_imprenta[FECHA EMISIÓN],MATCH(Tabla_control[[#This Row],[LOTE]],Tabla_imprenta[LOTE],0)),"REALIZADO")</f>
        <v>REALIZADO</v>
      </c>
      <c r="B72" s="142" t="str">
        <f>IF(COUNTIF(Tabla_imprenta[LOTE],Tabla_control[[#This Row],[LOTE]])=1,INDEX(Tabla_imprenta[CÓD. SOLICITUD],MATCH(Tabla_control[[#This Row],[LOTE]],Tabla_imprenta[LOTE],0)),"REALIZADO")</f>
        <v>REALIZADO</v>
      </c>
      <c r="C72" s="177" t="str">
        <f>IF(COUNTIF(Tabla_imprenta[LOTE],Tabla_control[[#This Row],[LOTE]])=1,INDEX(Tabla_imprenta[PRODUCTO],MATCH(Tabla_control[[#This Row],[LOTE]],Tabla_imprenta[LOTE],0)),"REALIZADO")</f>
        <v>REALIZADO</v>
      </c>
      <c r="D72" s="142" t="str">
        <f>IF(COUNTIF(Tabla_imprenta[LOTE],Tabla_control[[#This Row],[LOTE]])=1,INDEX(Tabla_imprenta[FORMA FARMACEUTICA],MATCH(Tabla_control[[#This Row],[LOTE]],Tabla_imprenta[LOTE],0)),"REALIZADO")</f>
        <v>REALIZADO</v>
      </c>
      <c r="E72" s="177" t="str">
        <f>IF(COUNTIF(Tabla_imprenta[LOTE],Tabla_control[[#This Row],[LOTE]])=1,INDEX(Tabla_imprenta[INSTITUCIÓN],MATCH(Tabla_control[[#This Row],[LOTE]],Tabla_imprenta[LOTE],0)),"REALIZADO")</f>
        <v>REALIZADO</v>
      </c>
      <c r="F72" s="180" t="s">
        <v>194</v>
      </c>
      <c r="G7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72" s="139" t="str">
        <f>IF(COUNTIF(Tabla_imprenta[LOTE],Tabla_control[[#This Row],[LOTE]])=1,INDEX(Tabla_imprenta[stock sap],MATCH(Tabla_control[[#This Row],[LOTE]],Tabla_imprenta[LOTE],0)),"ENTREGADO")</f>
        <v>ENTREGADO</v>
      </c>
      <c r="I72" s="139" t="str">
        <f>IF(Tabla_control[[#This Row],[STOCK SAP]]&gt;Tabla_control[[#This Row],[CANTIDAD IMPRIMIR]],"cubre","no cubre")</f>
        <v>no cubre</v>
      </c>
      <c r="J72" s="7" t="str">
        <f>IF(COUNTIF(Tabla_imprenta[LOTE],Tabla_control[[#This Row],[LOTE]])=1,INDEX(Tabla_imprenta[STOCK],MATCH(Tabla_control[[#This Row],[LOTE]],Tabla_imprenta[LOTE],0)),"ENTREGADO")</f>
        <v>ENTREGADO</v>
      </c>
      <c r="K7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72" s="148" t="e">
        <f>INDEX(Tabla_imprenta[FECHA CAJA],MATCH(Tabla_control[[#This Row],[LOTE]],Tabla_imprenta[LOTE],0))</f>
        <v>#N/A</v>
      </c>
      <c r="M7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7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7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72" s="169" t="e">
        <f>ROUNDUP(Tabla_control[[#This Row],[CANTIDAD IMPRIMIR]]/Tabla_control[[#This Row],[N TJ]],0)</f>
        <v>#VALUE!</v>
      </c>
      <c r="Q72" s="169" t="e">
        <f>IF(Tabla_control[[#This Row],[CANTIDAD TIRAJE]]&gt;10000,Tabla_control[[#This Row],[CANTIDAD TIRAJE]],Tabla_control[[#This Row],[CANTIDAD TIRAJE]]*2)</f>
        <v>#VALUE!</v>
      </c>
      <c r="R72" s="4" t="s">
        <v>211</v>
      </c>
      <c r="S72" s="4" t="s">
        <v>31</v>
      </c>
      <c r="T72" s="4"/>
      <c r="U72" s="4"/>
      <c r="V72" s="4"/>
      <c r="W72" s="138" t="s">
        <v>3223</v>
      </c>
      <c r="X72" s="138"/>
      <c r="Y72" s="138"/>
      <c r="Z72" s="138"/>
      <c r="AA72" s="4" t="s">
        <v>321</v>
      </c>
      <c r="AB72" s="184" t="s">
        <v>2028</v>
      </c>
    </row>
    <row r="73" spans="1:28" hidden="1" x14ac:dyDescent="0.2">
      <c r="A73" s="175" t="str">
        <f>IF(COUNTIF(Tabla_imprenta[LOTE],Tabla_control[[#This Row],[LOTE]])=1,INDEX(Tabla_imprenta[FECHA EMISIÓN],MATCH(Tabla_control[[#This Row],[LOTE]],Tabla_imprenta[LOTE],0)),"REALIZADO")</f>
        <v>REALIZADO</v>
      </c>
      <c r="B73" s="142" t="str">
        <f>IF(COUNTIF(Tabla_imprenta[LOTE],Tabla_control[[#This Row],[LOTE]])=1,INDEX(Tabla_imprenta[CÓD. SOLICITUD],MATCH(Tabla_control[[#This Row],[LOTE]],Tabla_imprenta[LOTE],0)),"REALIZADO")</f>
        <v>REALIZADO</v>
      </c>
      <c r="C73" s="177" t="str">
        <f>IF(COUNTIF(Tabla_imprenta[LOTE],Tabla_control[[#This Row],[LOTE]])=1,INDEX(Tabla_imprenta[PRODUCTO],MATCH(Tabla_control[[#This Row],[LOTE]],Tabla_imprenta[LOTE],0)),"REALIZADO")</f>
        <v>REALIZADO</v>
      </c>
      <c r="D73" s="142" t="str">
        <f>IF(COUNTIF(Tabla_imprenta[LOTE],Tabla_control[[#This Row],[LOTE]])=1,INDEX(Tabla_imprenta[FORMA FARMACEUTICA],MATCH(Tabla_control[[#This Row],[LOTE]],Tabla_imprenta[LOTE],0)),"REALIZADO")</f>
        <v>REALIZADO</v>
      </c>
      <c r="E73" s="177" t="str">
        <f>IF(COUNTIF(Tabla_imprenta[LOTE],Tabla_control[[#This Row],[LOTE]])=1,INDEX(Tabla_imprenta[INSTITUCIÓN],MATCH(Tabla_control[[#This Row],[LOTE]],Tabla_imprenta[LOTE],0)),"REALIZADO")</f>
        <v>REALIZADO</v>
      </c>
      <c r="F73" s="183" t="s">
        <v>162</v>
      </c>
      <c r="G7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73" s="139" t="str">
        <f>IF(COUNTIF(Tabla_imprenta[LOTE],Tabla_control[[#This Row],[LOTE]])=1,INDEX(Tabla_imprenta[stock sap],MATCH(Tabla_control[[#This Row],[LOTE]],Tabla_imprenta[LOTE],0)),"ENTREGADO")</f>
        <v>ENTREGADO</v>
      </c>
      <c r="I73" s="139" t="str">
        <f>IF(Tabla_control[[#This Row],[STOCK SAP]]&gt;Tabla_control[[#This Row],[CANTIDAD IMPRIMIR]],"cubre","no cubre")</f>
        <v>no cubre</v>
      </c>
      <c r="J73" s="7" t="str">
        <f>IF(COUNTIF(Tabla_imprenta[LOTE],Tabla_control[[#This Row],[LOTE]])=1,INDEX(Tabla_imprenta[STOCK],MATCH(Tabla_control[[#This Row],[LOTE]],Tabla_imprenta[LOTE],0)),"ENTREGADO")</f>
        <v>ENTREGADO</v>
      </c>
      <c r="K7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73" s="148" t="e">
        <f>INDEX(Tabla_imprenta[FECHA CAJA],MATCH(Tabla_control[[#This Row],[LOTE]],Tabla_imprenta[LOTE],0))</f>
        <v>#N/A</v>
      </c>
      <c r="M7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7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7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73" s="169" t="e">
        <f>ROUNDUP(Tabla_control[[#This Row],[CANTIDAD IMPRIMIR]]/Tabla_control[[#This Row],[N TJ]],0)</f>
        <v>#VALUE!</v>
      </c>
      <c r="Q73" s="169" t="e">
        <f>IF(Tabla_control[[#This Row],[CANTIDAD TIRAJE]]&gt;10000,Tabla_control[[#This Row],[CANTIDAD TIRAJE]],Tabla_control[[#This Row],[CANTIDAD TIRAJE]]*2)</f>
        <v>#VALUE!</v>
      </c>
      <c r="R73" s="4" t="s">
        <v>175</v>
      </c>
      <c r="S73" s="4" t="s">
        <v>174</v>
      </c>
      <c r="T73" s="4"/>
      <c r="U73" s="4"/>
      <c r="V73" s="4"/>
      <c r="W73" s="138" t="s">
        <v>3223</v>
      </c>
      <c r="X73" s="138"/>
      <c r="Y73" s="138"/>
      <c r="Z73" s="138"/>
      <c r="AA73" s="4" t="s">
        <v>321</v>
      </c>
      <c r="AB73" s="184" t="s">
        <v>2028</v>
      </c>
    </row>
    <row r="74" spans="1:28" hidden="1" x14ac:dyDescent="0.2">
      <c r="A74" s="175" t="str">
        <f>IF(COUNTIF(Tabla_imprenta[LOTE],Tabla_control[[#This Row],[LOTE]])=1,INDEX(Tabla_imprenta[FECHA EMISIÓN],MATCH(Tabla_control[[#This Row],[LOTE]],Tabla_imprenta[LOTE],0)),"REALIZADO")</f>
        <v>REALIZADO</v>
      </c>
      <c r="B74" s="142" t="str">
        <f>IF(COUNTIF(Tabla_imprenta[LOTE],Tabla_control[[#This Row],[LOTE]])=1,INDEX(Tabla_imprenta[CÓD. SOLICITUD],MATCH(Tabla_control[[#This Row],[LOTE]],Tabla_imprenta[LOTE],0)),"REALIZADO")</f>
        <v>REALIZADO</v>
      </c>
      <c r="C74" s="177" t="str">
        <f>IF(COUNTIF(Tabla_imprenta[LOTE],Tabla_control[[#This Row],[LOTE]])=1,INDEX(Tabla_imprenta[PRODUCTO],MATCH(Tabla_control[[#This Row],[LOTE]],Tabla_imprenta[LOTE],0)),"REALIZADO")</f>
        <v>REALIZADO</v>
      </c>
      <c r="D74" s="142" t="str">
        <f>IF(COUNTIF(Tabla_imprenta[LOTE],Tabla_control[[#This Row],[LOTE]])=1,INDEX(Tabla_imprenta[FORMA FARMACEUTICA],MATCH(Tabla_control[[#This Row],[LOTE]],Tabla_imprenta[LOTE],0)),"REALIZADO")</f>
        <v>REALIZADO</v>
      </c>
      <c r="E74" s="177" t="str">
        <f>IF(COUNTIF(Tabla_imprenta[LOTE],Tabla_control[[#This Row],[LOTE]])=1,INDEX(Tabla_imprenta[INSTITUCIÓN],MATCH(Tabla_control[[#This Row],[LOTE]],Tabla_imprenta[LOTE],0)),"REALIZADO")</f>
        <v>REALIZADO</v>
      </c>
      <c r="F74" s="183" t="s">
        <v>159</v>
      </c>
      <c r="G7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74" s="139" t="str">
        <f>IF(COUNTIF(Tabla_imprenta[LOTE],Tabla_control[[#This Row],[LOTE]])=1,INDEX(Tabla_imprenta[stock sap],MATCH(Tabla_control[[#This Row],[LOTE]],Tabla_imprenta[LOTE],0)),"ENTREGADO")</f>
        <v>ENTREGADO</v>
      </c>
      <c r="I74" s="139" t="str">
        <f>IF(Tabla_control[[#This Row],[STOCK SAP]]&gt;Tabla_control[[#This Row],[CANTIDAD IMPRIMIR]],"cubre","no cubre")</f>
        <v>no cubre</v>
      </c>
      <c r="J74" s="7" t="str">
        <f>IF(COUNTIF(Tabla_imprenta[LOTE],Tabla_control[[#This Row],[LOTE]])=1,INDEX(Tabla_imprenta[STOCK],MATCH(Tabla_control[[#This Row],[LOTE]],Tabla_imprenta[LOTE],0)),"ENTREGADO")</f>
        <v>ENTREGADO</v>
      </c>
      <c r="K7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74" s="148" t="e">
        <f>INDEX(Tabla_imprenta[FECHA CAJA],MATCH(Tabla_control[[#This Row],[LOTE]],Tabla_imprenta[LOTE],0))</f>
        <v>#N/A</v>
      </c>
      <c r="M7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7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7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74" s="169" t="e">
        <f>ROUNDUP(Tabla_control[[#This Row],[CANTIDAD IMPRIMIR]]/Tabla_control[[#This Row],[N TJ]],0)</f>
        <v>#VALUE!</v>
      </c>
      <c r="Q74" s="169" t="e">
        <f>IF(Tabla_control[[#This Row],[CANTIDAD TIRAJE]]&gt;10000,Tabla_control[[#This Row],[CANTIDAD TIRAJE]],Tabla_control[[#This Row],[CANTIDAD TIRAJE]]*2)</f>
        <v>#VALUE!</v>
      </c>
      <c r="R74" s="4" t="s">
        <v>176</v>
      </c>
      <c r="S74" s="4" t="s">
        <v>30</v>
      </c>
      <c r="T74" s="4"/>
      <c r="U74" s="4"/>
      <c r="V74" s="4"/>
      <c r="W74" s="138" t="s">
        <v>3223</v>
      </c>
      <c r="X74" s="138"/>
      <c r="Y74" s="138"/>
      <c r="Z74" s="138"/>
      <c r="AA74" s="4" t="s">
        <v>2031</v>
      </c>
      <c r="AB74" s="184" t="s">
        <v>2028</v>
      </c>
    </row>
    <row r="75" spans="1:28" hidden="1" x14ac:dyDescent="0.2">
      <c r="A75" s="175" t="str">
        <f>IF(COUNTIF(Tabla_imprenta[LOTE],Tabla_control[[#This Row],[LOTE]])=1,INDEX(Tabla_imprenta[FECHA EMISIÓN],MATCH(Tabla_control[[#This Row],[LOTE]],Tabla_imprenta[LOTE],0)),"REALIZADO")</f>
        <v>REALIZADO</v>
      </c>
      <c r="B75" s="142" t="str">
        <f>IF(COUNTIF(Tabla_imprenta[LOTE],Tabla_control[[#This Row],[LOTE]])=1,INDEX(Tabla_imprenta[CÓD. SOLICITUD],MATCH(Tabla_control[[#This Row],[LOTE]],Tabla_imprenta[LOTE],0)),"REALIZADO")</f>
        <v>REALIZADO</v>
      </c>
      <c r="C75" s="177" t="str">
        <f>IF(COUNTIF(Tabla_imprenta[LOTE],Tabla_control[[#This Row],[LOTE]])=1,INDEX(Tabla_imprenta[PRODUCTO],MATCH(Tabla_control[[#This Row],[LOTE]],Tabla_imprenta[LOTE],0)),"REALIZADO")</f>
        <v>REALIZADO</v>
      </c>
      <c r="D75" s="142" t="str">
        <f>IF(COUNTIF(Tabla_imprenta[LOTE],Tabla_control[[#This Row],[LOTE]])=1,INDEX(Tabla_imprenta[FORMA FARMACEUTICA],MATCH(Tabla_control[[#This Row],[LOTE]],Tabla_imprenta[LOTE],0)),"REALIZADO")</f>
        <v>REALIZADO</v>
      </c>
      <c r="E75" s="177" t="str">
        <f>IF(COUNTIF(Tabla_imprenta[LOTE],Tabla_control[[#This Row],[LOTE]])=1,INDEX(Tabla_imprenta[INSTITUCIÓN],MATCH(Tabla_control[[#This Row],[LOTE]],Tabla_imprenta[LOTE],0)),"REALIZADO")</f>
        <v>REALIZADO</v>
      </c>
      <c r="F75" s="180" t="s">
        <v>182</v>
      </c>
      <c r="G7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75" s="139" t="str">
        <f>IF(COUNTIF(Tabla_imprenta[LOTE],Tabla_control[[#This Row],[LOTE]])=1,INDEX(Tabla_imprenta[stock sap],MATCH(Tabla_control[[#This Row],[LOTE]],Tabla_imprenta[LOTE],0)),"ENTREGADO")</f>
        <v>ENTREGADO</v>
      </c>
      <c r="I75" s="139" t="str">
        <f>IF(Tabla_control[[#This Row],[STOCK SAP]]&gt;Tabla_control[[#This Row],[CANTIDAD IMPRIMIR]],"cubre","no cubre")</f>
        <v>no cubre</v>
      </c>
      <c r="J75" s="7" t="str">
        <f>IF(COUNTIF(Tabla_imprenta[LOTE],Tabla_control[[#This Row],[LOTE]])=1,INDEX(Tabla_imprenta[STOCK],MATCH(Tabla_control[[#This Row],[LOTE]],Tabla_imprenta[LOTE],0)),"ENTREGADO")</f>
        <v>ENTREGADO</v>
      </c>
      <c r="K7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75" s="148" t="e">
        <f>INDEX(Tabla_imprenta[FECHA CAJA],MATCH(Tabla_control[[#This Row],[LOTE]],Tabla_imprenta[LOTE],0))</f>
        <v>#N/A</v>
      </c>
      <c r="M7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7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7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75" s="169" t="e">
        <f>ROUNDUP(Tabla_control[[#This Row],[CANTIDAD IMPRIMIR]]/Tabla_control[[#This Row],[N TJ]],0)</f>
        <v>#VALUE!</v>
      </c>
      <c r="Q75" s="169" t="e">
        <f>IF(Tabla_control[[#This Row],[CANTIDAD TIRAJE]]&gt;10000,Tabla_control[[#This Row],[CANTIDAD TIRAJE]],Tabla_control[[#This Row],[CANTIDAD TIRAJE]]*2)</f>
        <v>#VALUE!</v>
      </c>
      <c r="R75" s="4" t="s">
        <v>177</v>
      </c>
      <c r="S75" s="4" t="s">
        <v>174</v>
      </c>
      <c r="T75" s="4"/>
      <c r="U75" s="4"/>
      <c r="V75" s="4"/>
      <c r="W75" s="138" t="s">
        <v>3223</v>
      </c>
      <c r="X75" s="138"/>
      <c r="Y75" s="138"/>
      <c r="Z75" s="138"/>
      <c r="AA75" s="4" t="s">
        <v>2429</v>
      </c>
      <c r="AB75" s="184" t="s">
        <v>2028</v>
      </c>
    </row>
    <row r="76" spans="1:28" hidden="1" x14ac:dyDescent="0.2">
      <c r="A76" s="175" t="str">
        <f>IF(COUNTIF(Tabla_imprenta[LOTE],Tabla_control[[#This Row],[LOTE]])=1,INDEX(Tabla_imprenta[FECHA EMISIÓN],MATCH(Tabla_control[[#This Row],[LOTE]],Tabla_imprenta[LOTE],0)),"REALIZADO")</f>
        <v>REALIZADO</v>
      </c>
      <c r="B76" s="142" t="str">
        <f>IF(COUNTIF(Tabla_imprenta[LOTE],Tabla_control[[#This Row],[LOTE]])=1,INDEX(Tabla_imprenta[CÓD. SOLICITUD],MATCH(Tabla_control[[#This Row],[LOTE]],Tabla_imprenta[LOTE],0)),"REALIZADO")</f>
        <v>REALIZADO</v>
      </c>
      <c r="C76" s="177" t="str">
        <f>IF(COUNTIF(Tabla_imprenta[LOTE],Tabla_control[[#This Row],[LOTE]])=1,INDEX(Tabla_imprenta[PRODUCTO],MATCH(Tabla_control[[#This Row],[LOTE]],Tabla_imprenta[LOTE],0)),"REALIZADO")</f>
        <v>REALIZADO</v>
      </c>
      <c r="D76" s="142" t="str">
        <f>IF(COUNTIF(Tabla_imprenta[LOTE],Tabla_control[[#This Row],[LOTE]])=1,INDEX(Tabla_imprenta[FORMA FARMACEUTICA],MATCH(Tabla_control[[#This Row],[LOTE]],Tabla_imprenta[LOTE],0)),"REALIZADO")</f>
        <v>REALIZADO</v>
      </c>
      <c r="E76" s="177" t="str">
        <f>IF(COUNTIF(Tabla_imprenta[LOTE],Tabla_control[[#This Row],[LOTE]])=1,INDEX(Tabla_imprenta[INSTITUCIÓN],MATCH(Tabla_control[[#This Row],[LOTE]],Tabla_imprenta[LOTE],0)),"REALIZADO")</f>
        <v>REALIZADO</v>
      </c>
      <c r="F76" s="180" t="s">
        <v>189</v>
      </c>
      <c r="G7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76" s="139" t="str">
        <f>IF(COUNTIF(Tabla_imprenta[LOTE],Tabla_control[[#This Row],[LOTE]])=1,INDEX(Tabla_imprenta[stock sap],MATCH(Tabla_control[[#This Row],[LOTE]],Tabla_imprenta[LOTE],0)),"ENTREGADO")</f>
        <v>ENTREGADO</v>
      </c>
      <c r="I76" s="139" t="str">
        <f>IF(Tabla_control[[#This Row],[STOCK SAP]]&gt;Tabla_control[[#This Row],[CANTIDAD IMPRIMIR]],"cubre","no cubre")</f>
        <v>no cubre</v>
      </c>
      <c r="J76" s="7" t="str">
        <f>IF(COUNTIF(Tabla_imprenta[LOTE],Tabla_control[[#This Row],[LOTE]])=1,INDEX(Tabla_imprenta[STOCK],MATCH(Tabla_control[[#This Row],[LOTE]],Tabla_imprenta[LOTE],0)),"ENTREGADO")</f>
        <v>ENTREGADO</v>
      </c>
      <c r="K7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76" s="148" t="e">
        <f>INDEX(Tabla_imprenta[FECHA CAJA],MATCH(Tabla_control[[#This Row],[LOTE]],Tabla_imprenta[LOTE],0))</f>
        <v>#N/A</v>
      </c>
      <c r="M7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7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7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76" s="169" t="e">
        <f>ROUNDUP(Tabla_control[[#This Row],[CANTIDAD IMPRIMIR]]/Tabla_control[[#This Row],[N TJ]],0)</f>
        <v>#VALUE!</v>
      </c>
      <c r="Q76" s="169" t="e">
        <f>IF(Tabla_control[[#This Row],[CANTIDAD TIRAJE]]&gt;10000,Tabla_control[[#This Row],[CANTIDAD TIRAJE]],Tabla_control[[#This Row],[CANTIDAD TIRAJE]]*2)</f>
        <v>#VALUE!</v>
      </c>
      <c r="R76" s="4" t="s">
        <v>177</v>
      </c>
      <c r="S76" s="4" t="s">
        <v>174</v>
      </c>
      <c r="T76" s="4"/>
      <c r="U76" s="4"/>
      <c r="V76" s="4"/>
      <c r="W76" s="138" t="s">
        <v>3223</v>
      </c>
      <c r="X76" s="138"/>
      <c r="Y76" s="138"/>
      <c r="Z76" s="138"/>
      <c r="AA76" s="4" t="s">
        <v>2429</v>
      </c>
      <c r="AB76" s="184" t="s">
        <v>2028</v>
      </c>
    </row>
    <row r="77" spans="1:28" hidden="1" x14ac:dyDescent="0.2">
      <c r="A77" s="175" t="str">
        <f>IF(COUNTIF(Tabla_imprenta[LOTE],Tabla_control[[#This Row],[LOTE]])=1,INDEX(Tabla_imprenta[FECHA EMISIÓN],MATCH(Tabla_control[[#This Row],[LOTE]],Tabla_imprenta[LOTE],0)),"REALIZADO")</f>
        <v>REALIZADO</v>
      </c>
      <c r="B77" s="142" t="str">
        <f>IF(COUNTIF(Tabla_imprenta[LOTE],Tabla_control[[#This Row],[LOTE]])=1,INDEX(Tabla_imprenta[CÓD. SOLICITUD],MATCH(Tabla_control[[#This Row],[LOTE]],Tabla_imprenta[LOTE],0)),"REALIZADO")</f>
        <v>REALIZADO</v>
      </c>
      <c r="C77" s="177" t="str">
        <f>IF(COUNTIF(Tabla_imprenta[LOTE],Tabla_control[[#This Row],[LOTE]])=1,INDEX(Tabla_imprenta[PRODUCTO],MATCH(Tabla_control[[#This Row],[LOTE]],Tabla_imprenta[LOTE],0)),"REALIZADO")</f>
        <v>REALIZADO</v>
      </c>
      <c r="D77" s="142" t="str">
        <f>IF(COUNTIF(Tabla_imprenta[LOTE],Tabla_control[[#This Row],[LOTE]])=1,INDEX(Tabla_imprenta[FORMA FARMACEUTICA],MATCH(Tabla_control[[#This Row],[LOTE]],Tabla_imprenta[LOTE],0)),"REALIZADO")</f>
        <v>REALIZADO</v>
      </c>
      <c r="E77" s="177" t="str">
        <f>IF(COUNTIF(Tabla_imprenta[LOTE],Tabla_control[[#This Row],[LOTE]])=1,INDEX(Tabla_imprenta[INSTITUCIÓN],MATCH(Tabla_control[[#This Row],[LOTE]],Tabla_imprenta[LOTE],0)),"REALIZADO")</f>
        <v>REALIZADO</v>
      </c>
      <c r="F77" s="183" t="s">
        <v>132</v>
      </c>
      <c r="G7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77" s="139" t="str">
        <f>IF(COUNTIF(Tabla_imprenta[LOTE],Tabla_control[[#This Row],[LOTE]])=1,INDEX(Tabla_imprenta[stock sap],MATCH(Tabla_control[[#This Row],[LOTE]],Tabla_imprenta[LOTE],0)),"ENTREGADO")</f>
        <v>ENTREGADO</v>
      </c>
      <c r="I77" s="139" t="str">
        <f>IF(Tabla_control[[#This Row],[STOCK SAP]]&gt;Tabla_control[[#This Row],[CANTIDAD IMPRIMIR]],"cubre","no cubre")</f>
        <v>no cubre</v>
      </c>
      <c r="J77" s="7" t="str">
        <f>IF(COUNTIF(Tabla_imprenta[LOTE],Tabla_control[[#This Row],[LOTE]])=1,INDEX(Tabla_imprenta[STOCK],MATCH(Tabla_control[[#This Row],[LOTE]],Tabla_imprenta[LOTE],0)),"ENTREGADO")</f>
        <v>ENTREGADO</v>
      </c>
      <c r="K7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77" s="148" t="e">
        <f>INDEX(Tabla_imprenta[FECHA CAJA],MATCH(Tabla_control[[#This Row],[LOTE]],Tabla_imprenta[LOTE],0))</f>
        <v>#N/A</v>
      </c>
      <c r="M7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7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7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77" s="169" t="e">
        <f>ROUNDUP(Tabla_control[[#This Row],[CANTIDAD IMPRIMIR]]/Tabla_control[[#This Row],[N TJ]],0)</f>
        <v>#VALUE!</v>
      </c>
      <c r="Q77" s="169" t="e">
        <f>IF(Tabla_control[[#This Row],[CANTIDAD TIRAJE]]&gt;10000,Tabla_control[[#This Row],[CANTIDAD TIRAJE]],Tabla_control[[#This Row],[CANTIDAD TIRAJE]]*2)</f>
        <v>#VALUE!</v>
      </c>
      <c r="R77" s="4" t="s">
        <v>173</v>
      </c>
      <c r="S77" s="4" t="s">
        <v>174</v>
      </c>
      <c r="T77" s="4"/>
      <c r="U77" s="4"/>
      <c r="V77" s="4"/>
      <c r="W77" s="138" t="s">
        <v>3223</v>
      </c>
      <c r="X77" s="138"/>
      <c r="Y77" s="138"/>
      <c r="Z77" s="138"/>
      <c r="AA77" s="4" t="s">
        <v>2031</v>
      </c>
      <c r="AB77" s="184" t="s">
        <v>2028</v>
      </c>
    </row>
    <row r="78" spans="1:28" hidden="1" x14ac:dyDescent="0.2">
      <c r="A78" s="175" t="str">
        <f>IF(COUNTIF(Tabla_imprenta[LOTE],Tabla_control[[#This Row],[LOTE]])=1,INDEX(Tabla_imprenta[FECHA EMISIÓN],MATCH(Tabla_control[[#This Row],[LOTE]],Tabla_imprenta[LOTE],0)),"REALIZADO")</f>
        <v>REALIZADO</v>
      </c>
      <c r="B78" s="142" t="str">
        <f>IF(COUNTIF(Tabla_imprenta[LOTE],Tabla_control[[#This Row],[LOTE]])=1,INDEX(Tabla_imprenta[CÓD. SOLICITUD],MATCH(Tabla_control[[#This Row],[LOTE]],Tabla_imprenta[LOTE],0)),"REALIZADO")</f>
        <v>REALIZADO</v>
      </c>
      <c r="C78" s="177" t="str">
        <f>IF(COUNTIF(Tabla_imprenta[LOTE],Tabla_control[[#This Row],[LOTE]])=1,INDEX(Tabla_imprenta[PRODUCTO],MATCH(Tabla_control[[#This Row],[LOTE]],Tabla_imprenta[LOTE],0)),"REALIZADO")</f>
        <v>REALIZADO</v>
      </c>
      <c r="D78" s="142" t="str">
        <f>IF(COUNTIF(Tabla_imprenta[LOTE],Tabla_control[[#This Row],[LOTE]])=1,INDEX(Tabla_imprenta[FORMA FARMACEUTICA],MATCH(Tabla_control[[#This Row],[LOTE]],Tabla_imprenta[LOTE],0)),"REALIZADO")</f>
        <v>REALIZADO</v>
      </c>
      <c r="E78" s="177" t="str">
        <f>IF(COUNTIF(Tabla_imprenta[LOTE],Tabla_control[[#This Row],[LOTE]])=1,INDEX(Tabla_imprenta[INSTITUCIÓN],MATCH(Tabla_control[[#This Row],[LOTE]],Tabla_imprenta[LOTE],0)),"REALIZADO")</f>
        <v>REALIZADO</v>
      </c>
      <c r="F78" s="183" t="s">
        <v>114</v>
      </c>
      <c r="G7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78" s="139" t="str">
        <f>IF(COUNTIF(Tabla_imprenta[LOTE],Tabla_control[[#This Row],[LOTE]])=1,INDEX(Tabla_imprenta[stock sap],MATCH(Tabla_control[[#This Row],[LOTE]],Tabla_imprenta[LOTE],0)),"ENTREGADO")</f>
        <v>ENTREGADO</v>
      </c>
      <c r="I78" s="139" t="str">
        <f>IF(Tabla_control[[#This Row],[STOCK SAP]]&gt;Tabla_control[[#This Row],[CANTIDAD IMPRIMIR]],"cubre","no cubre")</f>
        <v>no cubre</v>
      </c>
      <c r="J78" s="7" t="str">
        <f>IF(COUNTIF(Tabla_imprenta[LOTE],Tabla_control[[#This Row],[LOTE]])=1,INDEX(Tabla_imprenta[STOCK],MATCH(Tabla_control[[#This Row],[LOTE]],Tabla_imprenta[LOTE],0)),"ENTREGADO")</f>
        <v>ENTREGADO</v>
      </c>
      <c r="K7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78" s="148" t="e">
        <f>INDEX(Tabla_imprenta[FECHA CAJA],MATCH(Tabla_control[[#This Row],[LOTE]],Tabla_imprenta[LOTE],0))</f>
        <v>#N/A</v>
      </c>
      <c r="M7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7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7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78" s="169" t="e">
        <f>ROUNDUP(Tabla_control[[#This Row],[CANTIDAD IMPRIMIR]]/Tabla_control[[#This Row],[N TJ]],0)</f>
        <v>#VALUE!</v>
      </c>
      <c r="Q78" s="169" t="e">
        <f>IF(Tabla_control[[#This Row],[CANTIDAD TIRAJE]]&gt;10000,Tabla_control[[#This Row],[CANTIDAD TIRAJE]],Tabla_control[[#This Row],[CANTIDAD TIRAJE]]*2)</f>
        <v>#VALUE!</v>
      </c>
      <c r="R78" s="4" t="s">
        <v>172</v>
      </c>
      <c r="S78" s="4" t="s">
        <v>30</v>
      </c>
      <c r="T78" s="4"/>
      <c r="U78" s="4"/>
      <c r="V78" s="4"/>
      <c r="W78" s="138" t="s">
        <v>3223</v>
      </c>
      <c r="X78" s="138"/>
      <c r="Y78" s="138"/>
      <c r="Z78" s="138"/>
      <c r="AA78" s="4" t="s">
        <v>321</v>
      </c>
      <c r="AB78" s="184" t="s">
        <v>2028</v>
      </c>
    </row>
    <row r="79" spans="1:28" hidden="1" x14ac:dyDescent="0.2">
      <c r="A79" s="175" t="str">
        <f>IF(COUNTIF(Tabla_imprenta[LOTE],Tabla_control[[#This Row],[LOTE]])=1,INDEX(Tabla_imprenta[FECHA EMISIÓN],MATCH(Tabla_control[[#This Row],[LOTE]],Tabla_imprenta[LOTE],0)),"REALIZADO")</f>
        <v>REALIZADO</v>
      </c>
      <c r="B79" s="142" t="str">
        <f>IF(COUNTIF(Tabla_imprenta[LOTE],Tabla_control[[#This Row],[LOTE]])=1,INDEX(Tabla_imprenta[CÓD. SOLICITUD],MATCH(Tabla_control[[#This Row],[LOTE]],Tabla_imprenta[LOTE],0)),"REALIZADO")</f>
        <v>REALIZADO</v>
      </c>
      <c r="C79" s="177" t="str">
        <f>IF(COUNTIF(Tabla_imprenta[LOTE],Tabla_control[[#This Row],[LOTE]])=1,INDEX(Tabla_imprenta[PRODUCTO],MATCH(Tabla_control[[#This Row],[LOTE]],Tabla_imprenta[LOTE],0)),"REALIZADO")</f>
        <v>REALIZADO</v>
      </c>
      <c r="D79" s="142" t="str">
        <f>IF(COUNTIF(Tabla_imprenta[LOTE],Tabla_control[[#This Row],[LOTE]])=1,INDEX(Tabla_imprenta[FORMA FARMACEUTICA],MATCH(Tabla_control[[#This Row],[LOTE]],Tabla_imprenta[LOTE],0)),"REALIZADO")</f>
        <v>REALIZADO</v>
      </c>
      <c r="E79" s="177" t="str">
        <f>IF(COUNTIF(Tabla_imprenta[LOTE],Tabla_control[[#This Row],[LOTE]])=1,INDEX(Tabla_imprenta[INSTITUCIÓN],MATCH(Tabla_control[[#This Row],[LOTE]],Tabla_imprenta[LOTE],0)),"REALIZADO")</f>
        <v>REALIZADO</v>
      </c>
      <c r="F79" s="183" t="s">
        <v>152</v>
      </c>
      <c r="G7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79" s="139" t="str">
        <f>IF(COUNTIF(Tabla_imprenta[LOTE],Tabla_control[[#This Row],[LOTE]])=1,INDEX(Tabla_imprenta[stock sap],MATCH(Tabla_control[[#This Row],[LOTE]],Tabla_imprenta[LOTE],0)),"ENTREGADO")</f>
        <v>ENTREGADO</v>
      </c>
      <c r="I79" s="139" t="str">
        <f>IF(Tabla_control[[#This Row],[STOCK SAP]]&gt;Tabla_control[[#This Row],[CANTIDAD IMPRIMIR]],"cubre","no cubre")</f>
        <v>no cubre</v>
      </c>
      <c r="J79" s="7" t="str">
        <f>IF(COUNTIF(Tabla_imprenta[LOTE],Tabla_control[[#This Row],[LOTE]])=1,INDEX(Tabla_imprenta[STOCK],MATCH(Tabla_control[[#This Row],[LOTE]],Tabla_imprenta[LOTE],0)),"ENTREGADO")</f>
        <v>ENTREGADO</v>
      </c>
      <c r="K7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79" s="148" t="e">
        <f>INDEX(Tabla_imprenta[FECHA CAJA],MATCH(Tabla_control[[#This Row],[LOTE]],Tabla_imprenta[LOTE],0))</f>
        <v>#N/A</v>
      </c>
      <c r="M7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7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7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79" s="169" t="e">
        <f>ROUNDUP(Tabla_control[[#This Row],[CANTIDAD IMPRIMIR]]/Tabla_control[[#This Row],[N TJ]],0)</f>
        <v>#VALUE!</v>
      </c>
      <c r="Q79" s="169" t="e">
        <f>IF(Tabla_control[[#This Row],[CANTIDAD TIRAJE]]&gt;10000,Tabla_control[[#This Row],[CANTIDAD TIRAJE]],Tabla_control[[#This Row],[CANTIDAD TIRAJE]]*2)</f>
        <v>#VALUE!</v>
      </c>
      <c r="R79" s="4" t="s">
        <v>173</v>
      </c>
      <c r="S79" s="4" t="s">
        <v>174</v>
      </c>
      <c r="T79" s="4"/>
      <c r="U79" s="4"/>
      <c r="V79" s="4"/>
      <c r="W79" s="138" t="s">
        <v>3223</v>
      </c>
      <c r="X79" s="138"/>
      <c r="Y79" s="138"/>
      <c r="Z79" s="138"/>
      <c r="AA79" s="4" t="s">
        <v>2031</v>
      </c>
      <c r="AB79" s="184" t="s">
        <v>2028</v>
      </c>
    </row>
    <row r="80" spans="1:28" hidden="1" x14ac:dyDescent="0.2">
      <c r="A80" s="175" t="str">
        <f>IF(COUNTIF(Tabla_imprenta[LOTE],Tabla_control[[#This Row],[LOTE]])=1,INDEX(Tabla_imprenta[FECHA EMISIÓN],MATCH(Tabla_control[[#This Row],[LOTE]],Tabla_imprenta[LOTE],0)),"REALIZADO")</f>
        <v>REALIZADO</v>
      </c>
      <c r="B80" s="142" t="str">
        <f>IF(COUNTIF(Tabla_imprenta[LOTE],Tabla_control[[#This Row],[LOTE]])=1,INDEX(Tabla_imprenta[CÓD. SOLICITUD],MATCH(Tabla_control[[#This Row],[LOTE]],Tabla_imprenta[LOTE],0)),"REALIZADO")</f>
        <v>REALIZADO</v>
      </c>
      <c r="C80" s="177" t="str">
        <f>IF(COUNTIF(Tabla_imprenta[LOTE],Tabla_control[[#This Row],[LOTE]])=1,INDEX(Tabla_imprenta[PRODUCTO],MATCH(Tabla_control[[#This Row],[LOTE]],Tabla_imprenta[LOTE],0)),"REALIZADO")</f>
        <v>REALIZADO</v>
      </c>
      <c r="D80" s="142" t="str">
        <f>IF(COUNTIF(Tabla_imprenta[LOTE],Tabla_control[[#This Row],[LOTE]])=1,INDEX(Tabla_imprenta[FORMA FARMACEUTICA],MATCH(Tabla_control[[#This Row],[LOTE]],Tabla_imprenta[LOTE],0)),"REALIZADO")</f>
        <v>REALIZADO</v>
      </c>
      <c r="E80" s="177" t="str">
        <f>IF(COUNTIF(Tabla_imprenta[LOTE],Tabla_control[[#This Row],[LOTE]])=1,INDEX(Tabla_imprenta[INSTITUCIÓN],MATCH(Tabla_control[[#This Row],[LOTE]],Tabla_imprenta[LOTE],0)),"REALIZADO")</f>
        <v>REALIZADO</v>
      </c>
      <c r="F80" s="183" t="s">
        <v>145</v>
      </c>
      <c r="G8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80" s="139" t="str">
        <f>IF(COUNTIF(Tabla_imprenta[LOTE],Tabla_control[[#This Row],[LOTE]])=1,INDEX(Tabla_imprenta[stock sap],MATCH(Tabla_control[[#This Row],[LOTE]],Tabla_imprenta[LOTE],0)),"ENTREGADO")</f>
        <v>ENTREGADO</v>
      </c>
      <c r="I80" s="139" t="str">
        <f>IF(Tabla_control[[#This Row],[STOCK SAP]]&gt;Tabla_control[[#This Row],[CANTIDAD IMPRIMIR]],"cubre","no cubre")</f>
        <v>no cubre</v>
      </c>
      <c r="J80" s="7" t="str">
        <f>IF(COUNTIF(Tabla_imprenta[LOTE],Tabla_control[[#This Row],[LOTE]])=1,INDEX(Tabla_imprenta[STOCK],MATCH(Tabla_control[[#This Row],[LOTE]],Tabla_imprenta[LOTE],0)),"ENTREGADO")</f>
        <v>ENTREGADO</v>
      </c>
      <c r="K8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80" s="148" t="e">
        <f>INDEX(Tabla_imprenta[FECHA CAJA],MATCH(Tabla_control[[#This Row],[LOTE]],Tabla_imprenta[LOTE],0))</f>
        <v>#N/A</v>
      </c>
      <c r="M8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8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8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80" s="169" t="e">
        <f>ROUNDUP(Tabla_control[[#This Row],[CANTIDAD IMPRIMIR]]/Tabla_control[[#This Row],[N TJ]],0)</f>
        <v>#VALUE!</v>
      </c>
      <c r="Q80" s="169" t="e">
        <f>IF(Tabla_control[[#This Row],[CANTIDAD TIRAJE]]&gt;10000,Tabla_control[[#This Row],[CANTIDAD TIRAJE]],Tabla_control[[#This Row],[CANTIDAD TIRAJE]]*2)</f>
        <v>#VALUE!</v>
      </c>
      <c r="R80" s="4" t="s">
        <v>173</v>
      </c>
      <c r="S80" s="4" t="s">
        <v>174</v>
      </c>
      <c r="T80" s="4"/>
      <c r="U80" s="4"/>
      <c r="V80" s="4"/>
      <c r="W80" s="138" t="s">
        <v>3223</v>
      </c>
      <c r="X80" s="138"/>
      <c r="Y80" s="138"/>
      <c r="Z80" s="138"/>
      <c r="AA80" s="4" t="s">
        <v>2031</v>
      </c>
      <c r="AB80" s="184" t="s">
        <v>2028</v>
      </c>
    </row>
    <row r="81" spans="1:28" hidden="1" x14ac:dyDescent="0.2">
      <c r="A81" s="175" t="str">
        <f>IF(COUNTIF(Tabla_imprenta[LOTE],Tabla_control[[#This Row],[LOTE]])=1,INDEX(Tabla_imprenta[FECHA EMISIÓN],MATCH(Tabla_control[[#This Row],[LOTE]],Tabla_imprenta[LOTE],0)),"REALIZADO")</f>
        <v>REALIZADO</v>
      </c>
      <c r="B81" s="142" t="str">
        <f>IF(COUNTIF(Tabla_imprenta[LOTE],Tabla_control[[#This Row],[LOTE]])=1,INDEX(Tabla_imprenta[CÓD. SOLICITUD],MATCH(Tabla_control[[#This Row],[LOTE]],Tabla_imprenta[LOTE],0)),"REALIZADO")</f>
        <v>REALIZADO</v>
      </c>
      <c r="C81" s="177" t="str">
        <f>IF(COUNTIF(Tabla_imprenta[LOTE],Tabla_control[[#This Row],[LOTE]])=1,INDEX(Tabla_imprenta[PRODUCTO],MATCH(Tabla_control[[#This Row],[LOTE]],Tabla_imprenta[LOTE],0)),"REALIZADO")</f>
        <v>REALIZADO</v>
      </c>
      <c r="D81" s="142" t="str">
        <f>IF(COUNTIF(Tabla_imprenta[LOTE],Tabla_control[[#This Row],[LOTE]])=1,INDEX(Tabla_imprenta[FORMA FARMACEUTICA],MATCH(Tabla_control[[#This Row],[LOTE]],Tabla_imprenta[LOTE],0)),"REALIZADO")</f>
        <v>REALIZADO</v>
      </c>
      <c r="E81" s="177" t="str">
        <f>IF(COUNTIF(Tabla_imprenta[LOTE],Tabla_control[[#This Row],[LOTE]])=1,INDEX(Tabla_imprenta[INSTITUCIÓN],MATCH(Tabla_control[[#This Row],[LOTE]],Tabla_imprenta[LOTE],0)),"REALIZADO")</f>
        <v>REALIZADO</v>
      </c>
      <c r="F81" s="180" t="s">
        <v>2125</v>
      </c>
      <c r="G8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81" s="139" t="str">
        <f>IF(COUNTIF(Tabla_imprenta[LOTE],Tabla_control[[#This Row],[LOTE]])=1,INDEX(Tabla_imprenta[stock sap],MATCH(Tabla_control[[#This Row],[LOTE]],Tabla_imprenta[LOTE],0)),"ENTREGADO")</f>
        <v>ENTREGADO</v>
      </c>
      <c r="I81" s="139" t="str">
        <f>IF(Tabla_control[[#This Row],[STOCK SAP]]&gt;Tabla_control[[#This Row],[CANTIDAD IMPRIMIR]],"cubre","no cubre")</f>
        <v>no cubre</v>
      </c>
      <c r="J81" s="7" t="str">
        <f>IF(COUNTIF(Tabla_imprenta[LOTE],Tabla_control[[#This Row],[LOTE]])=1,INDEX(Tabla_imprenta[STOCK],MATCH(Tabla_control[[#This Row],[LOTE]],Tabla_imprenta[LOTE],0)),"ENTREGADO")</f>
        <v>ENTREGADO</v>
      </c>
      <c r="K8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81" s="148" t="e">
        <f>INDEX(Tabla_imprenta[FECHA CAJA],MATCH(Tabla_control[[#This Row],[LOTE]],Tabla_imprenta[LOTE],0))</f>
        <v>#N/A</v>
      </c>
      <c r="M8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8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8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81" s="169" t="e">
        <f>ROUNDUP(Tabla_control[[#This Row],[CANTIDAD IMPRIMIR]]/Tabla_control[[#This Row],[N TJ]],0)</f>
        <v>#VALUE!</v>
      </c>
      <c r="Q81" s="169" t="e">
        <f>IF(Tabla_control[[#This Row],[CANTIDAD TIRAJE]]&gt;10000,Tabla_control[[#This Row],[CANTIDAD TIRAJE]],Tabla_control[[#This Row],[CANTIDAD TIRAJE]]*2)</f>
        <v>#VALUE!</v>
      </c>
      <c r="R81" s="4" t="s">
        <v>172</v>
      </c>
      <c r="S81" s="4" t="s">
        <v>30</v>
      </c>
      <c r="T81" s="4"/>
      <c r="U81" s="4"/>
      <c r="V81" s="4"/>
      <c r="W81" s="138" t="s">
        <v>3223</v>
      </c>
      <c r="X81" s="138"/>
      <c r="Y81" s="138"/>
      <c r="Z81" s="138"/>
      <c r="AA81" s="4" t="s">
        <v>2031</v>
      </c>
      <c r="AB81" s="184" t="s">
        <v>2028</v>
      </c>
    </row>
    <row r="82" spans="1:28" hidden="1" x14ac:dyDescent="0.2">
      <c r="A82" s="175" t="str">
        <f>IF(COUNTIF(Tabla_imprenta[LOTE],Tabla_control[[#This Row],[LOTE]])=1,INDEX(Tabla_imprenta[FECHA EMISIÓN],MATCH(Tabla_control[[#This Row],[LOTE]],Tabla_imprenta[LOTE],0)),"REALIZADO")</f>
        <v>REALIZADO</v>
      </c>
      <c r="B82" s="142" t="str">
        <f>IF(COUNTIF(Tabla_imprenta[LOTE],Tabla_control[[#This Row],[LOTE]])=1,INDEX(Tabla_imprenta[CÓD. SOLICITUD],MATCH(Tabla_control[[#This Row],[LOTE]],Tabla_imprenta[LOTE],0)),"REALIZADO")</f>
        <v>REALIZADO</v>
      </c>
      <c r="C82" s="177" t="str">
        <f>IF(COUNTIF(Tabla_imprenta[LOTE],Tabla_control[[#This Row],[LOTE]])=1,INDEX(Tabla_imprenta[PRODUCTO],MATCH(Tabla_control[[#This Row],[LOTE]],Tabla_imprenta[LOTE],0)),"REALIZADO")</f>
        <v>REALIZADO</v>
      </c>
      <c r="D82" s="142" t="str">
        <f>IF(COUNTIF(Tabla_imprenta[LOTE],Tabla_control[[#This Row],[LOTE]])=1,INDEX(Tabla_imprenta[FORMA FARMACEUTICA],MATCH(Tabla_control[[#This Row],[LOTE]],Tabla_imprenta[LOTE],0)),"REALIZADO")</f>
        <v>REALIZADO</v>
      </c>
      <c r="E82" s="177" t="str">
        <f>IF(COUNTIF(Tabla_imprenta[LOTE],Tabla_control[[#This Row],[LOTE]])=1,INDEX(Tabla_imprenta[INSTITUCIÓN],MATCH(Tabla_control[[#This Row],[LOTE]],Tabla_imprenta[LOTE],0)),"REALIZADO")</f>
        <v>REALIZADO</v>
      </c>
      <c r="F82" s="180" t="s">
        <v>203</v>
      </c>
      <c r="G8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82" s="139" t="str">
        <f>IF(COUNTIF(Tabla_imprenta[LOTE],Tabla_control[[#This Row],[LOTE]])=1,INDEX(Tabla_imprenta[stock sap],MATCH(Tabla_control[[#This Row],[LOTE]],Tabla_imprenta[LOTE],0)),"ENTREGADO")</f>
        <v>ENTREGADO</v>
      </c>
      <c r="I82" s="139" t="str">
        <f>IF(Tabla_control[[#This Row],[STOCK SAP]]&gt;Tabla_control[[#This Row],[CANTIDAD IMPRIMIR]],"cubre","no cubre")</f>
        <v>no cubre</v>
      </c>
      <c r="J82" s="7" t="str">
        <f>IF(COUNTIF(Tabla_imprenta[LOTE],Tabla_control[[#This Row],[LOTE]])=1,INDEX(Tabla_imprenta[STOCK],MATCH(Tabla_control[[#This Row],[LOTE]],Tabla_imprenta[LOTE],0)),"ENTREGADO")</f>
        <v>ENTREGADO</v>
      </c>
      <c r="K8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82" s="148" t="e">
        <f>INDEX(Tabla_imprenta[FECHA CAJA],MATCH(Tabla_control[[#This Row],[LOTE]],Tabla_imprenta[LOTE],0))</f>
        <v>#N/A</v>
      </c>
      <c r="M8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8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8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82" s="169" t="e">
        <f>ROUNDUP(Tabla_control[[#This Row],[CANTIDAD IMPRIMIR]]/Tabla_control[[#This Row],[N TJ]],0)</f>
        <v>#VALUE!</v>
      </c>
      <c r="Q82" s="169" t="e">
        <f>IF(Tabla_control[[#This Row],[CANTIDAD TIRAJE]]&gt;10000,Tabla_control[[#This Row],[CANTIDAD TIRAJE]],Tabla_control[[#This Row],[CANTIDAD TIRAJE]]*2)</f>
        <v>#VALUE!</v>
      </c>
      <c r="R82" s="4" t="s">
        <v>177</v>
      </c>
      <c r="S82" s="4" t="s">
        <v>31</v>
      </c>
      <c r="T82" s="4"/>
      <c r="U82" s="4"/>
      <c r="V82" s="4"/>
      <c r="W82" s="138" t="s">
        <v>3223</v>
      </c>
      <c r="X82" s="138"/>
      <c r="Y82" s="138"/>
      <c r="Z82" s="138"/>
      <c r="AA82" s="4" t="s">
        <v>2031</v>
      </c>
      <c r="AB82" s="184" t="s">
        <v>2028</v>
      </c>
    </row>
    <row r="83" spans="1:28" hidden="1" x14ac:dyDescent="0.2">
      <c r="A83" s="175" t="str">
        <f>IF(COUNTIF(Tabla_imprenta[LOTE],Tabla_control[[#This Row],[LOTE]])=1,INDEX(Tabla_imprenta[FECHA EMISIÓN],MATCH(Tabla_control[[#This Row],[LOTE]],Tabla_imprenta[LOTE],0)),"REALIZADO")</f>
        <v>REALIZADO</v>
      </c>
      <c r="B83" s="142" t="str">
        <f>IF(COUNTIF(Tabla_imprenta[LOTE],Tabla_control[[#This Row],[LOTE]])=1,INDEX(Tabla_imprenta[CÓD. SOLICITUD],MATCH(Tabla_control[[#This Row],[LOTE]],Tabla_imprenta[LOTE],0)),"REALIZADO")</f>
        <v>REALIZADO</v>
      </c>
      <c r="C83" s="177" t="str">
        <f>IF(COUNTIF(Tabla_imprenta[LOTE],Tabla_control[[#This Row],[LOTE]])=1,INDEX(Tabla_imprenta[PRODUCTO],MATCH(Tabla_control[[#This Row],[LOTE]],Tabla_imprenta[LOTE],0)),"REALIZADO")</f>
        <v>REALIZADO</v>
      </c>
      <c r="D83" s="142" t="str">
        <f>IF(COUNTIF(Tabla_imprenta[LOTE],Tabla_control[[#This Row],[LOTE]])=1,INDEX(Tabla_imprenta[FORMA FARMACEUTICA],MATCH(Tabla_control[[#This Row],[LOTE]],Tabla_imprenta[LOTE],0)),"REALIZADO")</f>
        <v>REALIZADO</v>
      </c>
      <c r="E83" s="177" t="str">
        <f>IF(COUNTIF(Tabla_imprenta[LOTE],Tabla_control[[#This Row],[LOTE]])=1,INDEX(Tabla_imprenta[INSTITUCIÓN],MATCH(Tabla_control[[#This Row],[LOTE]],Tabla_imprenta[LOTE],0)),"REALIZADO")</f>
        <v>REALIZADO</v>
      </c>
      <c r="F83" s="180" t="s">
        <v>2121</v>
      </c>
      <c r="G8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83" s="139" t="str">
        <f>IF(COUNTIF(Tabla_imprenta[LOTE],Tabla_control[[#This Row],[LOTE]])=1,INDEX(Tabla_imprenta[stock sap],MATCH(Tabla_control[[#This Row],[LOTE]],Tabla_imprenta[LOTE],0)),"ENTREGADO")</f>
        <v>ENTREGADO</v>
      </c>
      <c r="I83" s="139" t="str">
        <f>IF(Tabla_control[[#This Row],[STOCK SAP]]&gt;Tabla_control[[#This Row],[CANTIDAD IMPRIMIR]],"cubre","no cubre")</f>
        <v>no cubre</v>
      </c>
      <c r="J83" s="7" t="str">
        <f>IF(COUNTIF(Tabla_imprenta[LOTE],Tabla_control[[#This Row],[LOTE]])=1,INDEX(Tabla_imprenta[STOCK],MATCH(Tabla_control[[#This Row],[LOTE]],Tabla_imprenta[LOTE],0)),"ENTREGADO")</f>
        <v>ENTREGADO</v>
      </c>
      <c r="K8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83" s="148" t="e">
        <f>INDEX(Tabla_imprenta[FECHA CAJA],MATCH(Tabla_control[[#This Row],[LOTE]],Tabla_imprenta[LOTE],0))</f>
        <v>#N/A</v>
      </c>
      <c r="M8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8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8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83" s="169" t="e">
        <f>ROUNDUP(Tabla_control[[#This Row],[CANTIDAD IMPRIMIR]]/Tabla_control[[#This Row],[N TJ]],0)</f>
        <v>#VALUE!</v>
      </c>
      <c r="Q83" s="169" t="e">
        <f>IF(Tabla_control[[#This Row],[CANTIDAD TIRAJE]]&gt;10000,Tabla_control[[#This Row],[CANTIDAD TIRAJE]],Tabla_control[[#This Row],[CANTIDAD TIRAJE]]*2)</f>
        <v>#VALUE!</v>
      </c>
      <c r="R83" s="4" t="s">
        <v>173</v>
      </c>
      <c r="S83" s="4" t="s">
        <v>174</v>
      </c>
      <c r="T83" s="4"/>
      <c r="U83" s="4"/>
      <c r="V83" s="4"/>
      <c r="W83" s="138" t="s">
        <v>3223</v>
      </c>
      <c r="X83" s="138"/>
      <c r="Y83" s="138"/>
      <c r="Z83" s="138"/>
      <c r="AA83" s="4" t="s">
        <v>321</v>
      </c>
      <c r="AB83" s="184" t="s">
        <v>2028</v>
      </c>
    </row>
    <row r="84" spans="1:28" hidden="1" x14ac:dyDescent="0.2">
      <c r="A84" s="175" t="str">
        <f>IF(COUNTIF(Tabla_imprenta[LOTE],Tabla_control[[#This Row],[LOTE]])=1,INDEX(Tabla_imprenta[FECHA EMISIÓN],MATCH(Tabla_control[[#This Row],[LOTE]],Tabla_imprenta[LOTE],0)),"REALIZADO")</f>
        <v>REALIZADO</v>
      </c>
      <c r="B84" s="142" t="str">
        <f>IF(COUNTIF(Tabla_imprenta[LOTE],Tabla_control[[#This Row],[LOTE]])=1,INDEX(Tabla_imprenta[CÓD. SOLICITUD],MATCH(Tabla_control[[#This Row],[LOTE]],Tabla_imprenta[LOTE],0)),"REALIZADO")</f>
        <v>REALIZADO</v>
      </c>
      <c r="C84" s="177" t="str">
        <f>IF(COUNTIF(Tabla_imprenta[LOTE],Tabla_control[[#This Row],[LOTE]])=1,INDEX(Tabla_imprenta[PRODUCTO],MATCH(Tabla_control[[#This Row],[LOTE]],Tabla_imprenta[LOTE],0)),"REALIZADO")</f>
        <v>REALIZADO</v>
      </c>
      <c r="D84" s="142" t="str">
        <f>IF(COUNTIF(Tabla_imprenta[LOTE],Tabla_control[[#This Row],[LOTE]])=1,INDEX(Tabla_imprenta[FORMA FARMACEUTICA],MATCH(Tabla_control[[#This Row],[LOTE]],Tabla_imprenta[LOTE],0)),"REALIZADO")</f>
        <v>REALIZADO</v>
      </c>
      <c r="E84" s="177" t="str">
        <f>IF(COUNTIF(Tabla_imprenta[LOTE],Tabla_control[[#This Row],[LOTE]])=1,INDEX(Tabla_imprenta[INSTITUCIÓN],MATCH(Tabla_control[[#This Row],[LOTE]],Tabla_imprenta[LOTE],0)),"REALIZADO")</f>
        <v>REALIZADO</v>
      </c>
      <c r="F84" s="183" t="s">
        <v>148</v>
      </c>
      <c r="G8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84" s="139" t="str">
        <f>IF(COUNTIF(Tabla_imprenta[LOTE],Tabla_control[[#This Row],[LOTE]])=1,INDEX(Tabla_imprenta[stock sap],MATCH(Tabla_control[[#This Row],[LOTE]],Tabla_imprenta[LOTE],0)),"ENTREGADO")</f>
        <v>ENTREGADO</v>
      </c>
      <c r="I84" s="139" t="str">
        <f>IF(Tabla_control[[#This Row],[STOCK SAP]]&gt;Tabla_control[[#This Row],[CANTIDAD IMPRIMIR]],"cubre","no cubre")</f>
        <v>no cubre</v>
      </c>
      <c r="J84" s="7" t="str">
        <f>IF(COUNTIF(Tabla_imprenta[LOTE],Tabla_control[[#This Row],[LOTE]])=1,INDEX(Tabla_imprenta[STOCK],MATCH(Tabla_control[[#This Row],[LOTE]],Tabla_imprenta[LOTE],0)),"ENTREGADO")</f>
        <v>ENTREGADO</v>
      </c>
      <c r="K8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84" s="148" t="e">
        <f>INDEX(Tabla_imprenta[FECHA CAJA],MATCH(Tabla_control[[#This Row],[LOTE]],Tabla_imprenta[LOTE],0))</f>
        <v>#N/A</v>
      </c>
      <c r="M8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8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8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84" s="169" t="e">
        <f>ROUNDUP(Tabla_control[[#This Row],[CANTIDAD IMPRIMIR]]/Tabla_control[[#This Row],[N TJ]],0)</f>
        <v>#VALUE!</v>
      </c>
      <c r="Q84" s="169" t="e">
        <f>IF(Tabla_control[[#This Row],[CANTIDAD TIRAJE]]&gt;10000,Tabla_control[[#This Row],[CANTIDAD TIRAJE]],Tabla_control[[#This Row],[CANTIDAD TIRAJE]]*2)</f>
        <v>#VALUE!</v>
      </c>
      <c r="R84" s="4" t="s">
        <v>172</v>
      </c>
      <c r="S84" s="4" t="s">
        <v>30</v>
      </c>
      <c r="T84" s="4"/>
      <c r="U84" s="4"/>
      <c r="V84" s="4"/>
      <c r="W84" s="138" t="s">
        <v>3223</v>
      </c>
      <c r="X84" s="138"/>
      <c r="Y84" s="138"/>
      <c r="Z84" s="138"/>
      <c r="AA84" s="4" t="s">
        <v>2031</v>
      </c>
      <c r="AB84" s="184" t="s">
        <v>2028</v>
      </c>
    </row>
    <row r="85" spans="1:28" hidden="1" x14ac:dyDescent="0.2">
      <c r="A85" s="175" t="str">
        <f>IF(COUNTIF(Tabla_imprenta[LOTE],Tabla_control[[#This Row],[LOTE]])=1,INDEX(Tabla_imprenta[FECHA EMISIÓN],MATCH(Tabla_control[[#This Row],[LOTE]],Tabla_imprenta[LOTE],0)),"REALIZADO")</f>
        <v>REALIZADO</v>
      </c>
      <c r="B85" s="142" t="str">
        <f>IF(COUNTIF(Tabla_imprenta[LOTE],Tabla_control[[#This Row],[LOTE]])=1,INDEX(Tabla_imprenta[CÓD. SOLICITUD],MATCH(Tabla_control[[#This Row],[LOTE]],Tabla_imprenta[LOTE],0)),"REALIZADO")</f>
        <v>REALIZADO</v>
      </c>
      <c r="C85" s="177" t="str">
        <f>IF(COUNTIF(Tabla_imprenta[LOTE],Tabla_control[[#This Row],[LOTE]])=1,INDEX(Tabla_imprenta[PRODUCTO],MATCH(Tabla_control[[#This Row],[LOTE]],Tabla_imprenta[LOTE],0)),"REALIZADO")</f>
        <v>REALIZADO</v>
      </c>
      <c r="D85" s="142" t="str">
        <f>IF(COUNTIF(Tabla_imprenta[LOTE],Tabla_control[[#This Row],[LOTE]])=1,INDEX(Tabla_imprenta[FORMA FARMACEUTICA],MATCH(Tabla_control[[#This Row],[LOTE]],Tabla_imprenta[LOTE],0)),"REALIZADO")</f>
        <v>REALIZADO</v>
      </c>
      <c r="E85" s="177" t="str">
        <f>IF(COUNTIF(Tabla_imprenta[LOTE],Tabla_control[[#This Row],[LOTE]])=1,INDEX(Tabla_imprenta[INSTITUCIÓN],MATCH(Tabla_control[[#This Row],[LOTE]],Tabla_imprenta[LOTE],0)),"REALIZADO")</f>
        <v>REALIZADO</v>
      </c>
      <c r="F85" s="180" t="s">
        <v>224</v>
      </c>
      <c r="G8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85" s="139" t="str">
        <f>IF(COUNTIF(Tabla_imprenta[LOTE],Tabla_control[[#This Row],[LOTE]])=1,INDEX(Tabla_imprenta[stock sap],MATCH(Tabla_control[[#This Row],[LOTE]],Tabla_imprenta[LOTE],0)),"ENTREGADO")</f>
        <v>ENTREGADO</v>
      </c>
      <c r="I85" s="139" t="str">
        <f>IF(Tabla_control[[#This Row],[STOCK SAP]]&gt;Tabla_control[[#This Row],[CANTIDAD IMPRIMIR]],"cubre","no cubre")</f>
        <v>no cubre</v>
      </c>
      <c r="J85" s="7" t="str">
        <f>IF(COUNTIF(Tabla_imprenta[LOTE],Tabla_control[[#This Row],[LOTE]])=1,INDEX(Tabla_imprenta[STOCK],MATCH(Tabla_control[[#This Row],[LOTE]],Tabla_imprenta[LOTE],0)),"ENTREGADO")</f>
        <v>ENTREGADO</v>
      </c>
      <c r="K8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85" s="148" t="e">
        <f>INDEX(Tabla_imprenta[FECHA CAJA],MATCH(Tabla_control[[#This Row],[LOTE]],Tabla_imprenta[LOTE],0))</f>
        <v>#N/A</v>
      </c>
      <c r="M8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8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8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85" s="169" t="e">
        <f>ROUNDUP(Tabla_control[[#This Row],[CANTIDAD IMPRIMIR]]/Tabla_control[[#This Row],[N TJ]],0)</f>
        <v>#VALUE!</v>
      </c>
      <c r="Q85" s="169" t="e">
        <f>IF(Tabla_control[[#This Row],[CANTIDAD TIRAJE]]&gt;10000,Tabla_control[[#This Row],[CANTIDAD TIRAJE]],Tabla_control[[#This Row],[CANTIDAD TIRAJE]]*2)</f>
        <v>#VALUE!</v>
      </c>
      <c r="R85" s="4" t="s">
        <v>172</v>
      </c>
      <c r="S85" s="4" t="s">
        <v>30</v>
      </c>
      <c r="T85" s="4"/>
      <c r="U85" s="4"/>
      <c r="V85" s="4"/>
      <c r="W85" s="138" t="s">
        <v>3223</v>
      </c>
      <c r="X85" s="138"/>
      <c r="Y85" s="138"/>
      <c r="Z85" s="138"/>
      <c r="AA85" s="4" t="s">
        <v>321</v>
      </c>
      <c r="AB85" s="184" t="s">
        <v>2028</v>
      </c>
    </row>
    <row r="86" spans="1:28" hidden="1" x14ac:dyDescent="0.2">
      <c r="A86" s="175" t="str">
        <f>IF(COUNTIF(Tabla_imprenta[LOTE],Tabla_control[[#This Row],[LOTE]])=1,INDEX(Tabla_imprenta[FECHA EMISIÓN],MATCH(Tabla_control[[#This Row],[LOTE]],Tabla_imprenta[LOTE],0)),"REALIZADO")</f>
        <v>REALIZADO</v>
      </c>
      <c r="B86" s="142" t="str">
        <f>IF(COUNTIF(Tabla_imprenta[LOTE],Tabla_control[[#This Row],[LOTE]])=1,INDEX(Tabla_imprenta[CÓD. SOLICITUD],MATCH(Tabla_control[[#This Row],[LOTE]],Tabla_imprenta[LOTE],0)),"REALIZADO")</f>
        <v>REALIZADO</v>
      </c>
      <c r="C86" s="177" t="str">
        <f>IF(COUNTIF(Tabla_imprenta[LOTE],Tabla_control[[#This Row],[LOTE]])=1,INDEX(Tabla_imprenta[PRODUCTO],MATCH(Tabla_control[[#This Row],[LOTE]],Tabla_imprenta[LOTE],0)),"REALIZADO")</f>
        <v>REALIZADO</v>
      </c>
      <c r="D86" s="142" t="str">
        <f>IF(COUNTIF(Tabla_imprenta[LOTE],Tabla_control[[#This Row],[LOTE]])=1,INDEX(Tabla_imprenta[FORMA FARMACEUTICA],MATCH(Tabla_control[[#This Row],[LOTE]],Tabla_imprenta[LOTE],0)),"REALIZADO")</f>
        <v>REALIZADO</v>
      </c>
      <c r="E86" s="177" t="str">
        <f>IF(COUNTIF(Tabla_imprenta[LOTE],Tabla_control[[#This Row],[LOTE]])=1,INDEX(Tabla_imprenta[INSTITUCIÓN],MATCH(Tabla_control[[#This Row],[LOTE]],Tabla_imprenta[LOTE],0)),"REALIZADO")</f>
        <v>REALIZADO</v>
      </c>
      <c r="F86" s="183" t="s">
        <v>128</v>
      </c>
      <c r="G8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86" s="139" t="str">
        <f>IF(COUNTIF(Tabla_imprenta[LOTE],Tabla_control[[#This Row],[LOTE]])=1,INDEX(Tabla_imprenta[stock sap],MATCH(Tabla_control[[#This Row],[LOTE]],Tabla_imprenta[LOTE],0)),"ENTREGADO")</f>
        <v>ENTREGADO</v>
      </c>
      <c r="I86" s="139" t="str">
        <f>IF(Tabla_control[[#This Row],[STOCK SAP]]&gt;Tabla_control[[#This Row],[CANTIDAD IMPRIMIR]],"cubre","no cubre")</f>
        <v>no cubre</v>
      </c>
      <c r="J86" s="7" t="str">
        <f>IF(COUNTIF(Tabla_imprenta[LOTE],Tabla_control[[#This Row],[LOTE]])=1,INDEX(Tabla_imprenta[STOCK],MATCH(Tabla_control[[#This Row],[LOTE]],Tabla_imprenta[LOTE],0)),"ENTREGADO")</f>
        <v>ENTREGADO</v>
      </c>
      <c r="K8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86" s="148" t="e">
        <f>INDEX(Tabla_imprenta[FECHA CAJA],MATCH(Tabla_control[[#This Row],[LOTE]],Tabla_imprenta[LOTE],0))</f>
        <v>#N/A</v>
      </c>
      <c r="M8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8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8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86" s="169" t="e">
        <f>ROUNDUP(Tabla_control[[#This Row],[CANTIDAD IMPRIMIR]]/Tabla_control[[#This Row],[N TJ]],0)</f>
        <v>#VALUE!</v>
      </c>
      <c r="Q86" s="169" t="e">
        <f>IF(Tabla_control[[#This Row],[CANTIDAD TIRAJE]]&gt;10000,Tabla_control[[#This Row],[CANTIDAD TIRAJE]],Tabla_control[[#This Row],[CANTIDAD TIRAJE]]*2)</f>
        <v>#VALUE!</v>
      </c>
      <c r="R86" s="4" t="s">
        <v>172</v>
      </c>
      <c r="S86" s="4" t="s">
        <v>30</v>
      </c>
      <c r="T86" s="4"/>
      <c r="U86" s="4"/>
      <c r="V86" s="4"/>
      <c r="W86" s="138" t="s">
        <v>3223</v>
      </c>
      <c r="X86" s="138"/>
      <c r="Y86" s="138"/>
      <c r="Z86" s="138"/>
      <c r="AA86" s="4" t="s">
        <v>2031</v>
      </c>
      <c r="AB86" s="184" t="s">
        <v>2028</v>
      </c>
    </row>
    <row r="87" spans="1:28" hidden="1" x14ac:dyDescent="0.2">
      <c r="A87" s="175" t="str">
        <f>IF(COUNTIF(Tabla_imprenta[LOTE],Tabla_control[[#This Row],[LOTE]])=1,INDEX(Tabla_imprenta[FECHA EMISIÓN],MATCH(Tabla_control[[#This Row],[LOTE]],Tabla_imprenta[LOTE],0)),"REALIZADO")</f>
        <v>REALIZADO</v>
      </c>
      <c r="B87" s="142" t="str">
        <f>IF(COUNTIF(Tabla_imprenta[LOTE],Tabla_control[[#This Row],[LOTE]])=1,INDEX(Tabla_imprenta[CÓD. SOLICITUD],MATCH(Tabla_control[[#This Row],[LOTE]],Tabla_imprenta[LOTE],0)),"REALIZADO")</f>
        <v>REALIZADO</v>
      </c>
      <c r="C87" s="177" t="str">
        <f>IF(COUNTIF(Tabla_imprenta[LOTE],Tabla_control[[#This Row],[LOTE]])=1,INDEX(Tabla_imprenta[PRODUCTO],MATCH(Tabla_control[[#This Row],[LOTE]],Tabla_imprenta[LOTE],0)),"REALIZADO")</f>
        <v>REALIZADO</v>
      </c>
      <c r="D87" s="142" t="str">
        <f>IF(COUNTIF(Tabla_imprenta[LOTE],Tabla_control[[#This Row],[LOTE]])=1,INDEX(Tabla_imprenta[FORMA FARMACEUTICA],MATCH(Tabla_control[[#This Row],[LOTE]],Tabla_imprenta[LOTE],0)),"REALIZADO")</f>
        <v>REALIZADO</v>
      </c>
      <c r="E87" s="177" t="str">
        <f>IF(COUNTIF(Tabla_imprenta[LOTE],Tabla_control[[#This Row],[LOTE]])=1,INDEX(Tabla_imprenta[INSTITUCIÓN],MATCH(Tabla_control[[#This Row],[LOTE]],Tabla_imprenta[LOTE],0)),"REALIZADO")</f>
        <v>REALIZADO</v>
      </c>
      <c r="F87" s="180" t="s">
        <v>221</v>
      </c>
      <c r="G8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87" s="139" t="str">
        <f>IF(COUNTIF(Tabla_imprenta[LOTE],Tabla_control[[#This Row],[LOTE]])=1,INDEX(Tabla_imprenta[stock sap],MATCH(Tabla_control[[#This Row],[LOTE]],Tabla_imprenta[LOTE],0)),"ENTREGADO")</f>
        <v>ENTREGADO</v>
      </c>
      <c r="I87" s="139" t="str">
        <f>IF(Tabla_control[[#This Row],[STOCK SAP]]&gt;Tabla_control[[#This Row],[CANTIDAD IMPRIMIR]],"cubre","no cubre")</f>
        <v>no cubre</v>
      </c>
      <c r="J87" s="7" t="str">
        <f>IF(COUNTIF(Tabla_imprenta[LOTE],Tabla_control[[#This Row],[LOTE]])=1,INDEX(Tabla_imprenta[STOCK],MATCH(Tabla_control[[#This Row],[LOTE]],Tabla_imprenta[LOTE],0)),"ENTREGADO")</f>
        <v>ENTREGADO</v>
      </c>
      <c r="K8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87" s="148" t="e">
        <f>INDEX(Tabla_imprenta[FECHA CAJA],MATCH(Tabla_control[[#This Row],[LOTE]],Tabla_imprenta[LOTE],0))</f>
        <v>#N/A</v>
      </c>
      <c r="M8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8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8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87" s="169" t="e">
        <f>ROUNDUP(Tabla_control[[#This Row],[CANTIDAD IMPRIMIR]]/Tabla_control[[#This Row],[N TJ]],0)</f>
        <v>#VALUE!</v>
      </c>
      <c r="Q87" s="169" t="e">
        <f>IF(Tabla_control[[#This Row],[CANTIDAD TIRAJE]]&gt;10000,Tabla_control[[#This Row],[CANTIDAD TIRAJE]],Tabla_control[[#This Row],[CANTIDAD TIRAJE]]*2)</f>
        <v>#VALUE!</v>
      </c>
      <c r="R87" s="4" t="s">
        <v>172</v>
      </c>
      <c r="S87" s="4" t="s">
        <v>30</v>
      </c>
      <c r="T87" s="4"/>
      <c r="U87" s="4"/>
      <c r="V87" s="4"/>
      <c r="W87" s="138" t="s">
        <v>3223</v>
      </c>
      <c r="X87" s="138"/>
      <c r="Y87" s="138"/>
      <c r="Z87" s="138"/>
      <c r="AA87" s="4" t="s">
        <v>2031</v>
      </c>
      <c r="AB87" s="184" t="s">
        <v>2028</v>
      </c>
    </row>
    <row r="88" spans="1:28" hidden="1" x14ac:dyDescent="0.2">
      <c r="A88" s="175" t="str">
        <f>IF(COUNTIF(Tabla_imprenta[LOTE],Tabla_control[[#This Row],[LOTE]])=1,INDEX(Tabla_imprenta[FECHA EMISIÓN],MATCH(Tabla_control[[#This Row],[LOTE]],Tabla_imprenta[LOTE],0)),"REALIZADO")</f>
        <v>REALIZADO</v>
      </c>
      <c r="B88" s="142" t="str">
        <f>IF(COUNTIF(Tabla_imprenta[LOTE],Tabla_control[[#This Row],[LOTE]])=1,INDEX(Tabla_imprenta[CÓD. SOLICITUD],MATCH(Tabla_control[[#This Row],[LOTE]],Tabla_imprenta[LOTE],0)),"REALIZADO")</f>
        <v>REALIZADO</v>
      </c>
      <c r="C88" s="177" t="str">
        <f>IF(COUNTIF(Tabla_imprenta[LOTE],Tabla_control[[#This Row],[LOTE]])=1,INDEX(Tabla_imprenta[PRODUCTO],MATCH(Tabla_control[[#This Row],[LOTE]],Tabla_imprenta[LOTE],0)),"REALIZADO")</f>
        <v>REALIZADO</v>
      </c>
      <c r="D88" s="142" t="str">
        <f>IF(COUNTIF(Tabla_imprenta[LOTE],Tabla_control[[#This Row],[LOTE]])=1,INDEX(Tabla_imprenta[FORMA FARMACEUTICA],MATCH(Tabla_control[[#This Row],[LOTE]],Tabla_imprenta[LOTE],0)),"REALIZADO")</f>
        <v>REALIZADO</v>
      </c>
      <c r="E88" s="177" t="str">
        <f>IF(COUNTIF(Tabla_imprenta[LOTE],Tabla_control[[#This Row],[LOTE]])=1,INDEX(Tabla_imprenta[INSTITUCIÓN],MATCH(Tabla_control[[#This Row],[LOTE]],Tabla_imprenta[LOTE],0)),"REALIZADO")</f>
        <v>REALIZADO</v>
      </c>
      <c r="F88" s="180" t="s">
        <v>223</v>
      </c>
      <c r="G8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88" s="139" t="str">
        <f>IF(COUNTIF(Tabla_imprenta[LOTE],Tabla_control[[#This Row],[LOTE]])=1,INDEX(Tabla_imprenta[stock sap],MATCH(Tabla_control[[#This Row],[LOTE]],Tabla_imprenta[LOTE],0)),"ENTREGADO")</f>
        <v>ENTREGADO</v>
      </c>
      <c r="I88" s="139" t="str">
        <f>IF(Tabla_control[[#This Row],[STOCK SAP]]&gt;Tabla_control[[#This Row],[CANTIDAD IMPRIMIR]],"cubre","no cubre")</f>
        <v>no cubre</v>
      </c>
      <c r="J88" s="7" t="str">
        <f>IF(COUNTIF(Tabla_imprenta[LOTE],Tabla_control[[#This Row],[LOTE]])=1,INDEX(Tabla_imprenta[STOCK],MATCH(Tabla_control[[#This Row],[LOTE]],Tabla_imprenta[LOTE],0)),"ENTREGADO")</f>
        <v>ENTREGADO</v>
      </c>
      <c r="K8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88" s="148" t="e">
        <f>INDEX(Tabla_imprenta[FECHA CAJA],MATCH(Tabla_control[[#This Row],[LOTE]],Tabla_imprenta[LOTE],0))</f>
        <v>#N/A</v>
      </c>
      <c r="M8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8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8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88" s="169" t="e">
        <f>ROUNDUP(Tabla_control[[#This Row],[CANTIDAD IMPRIMIR]]/Tabla_control[[#This Row],[N TJ]],0)</f>
        <v>#VALUE!</v>
      </c>
      <c r="Q88" s="169" t="e">
        <f>IF(Tabla_control[[#This Row],[CANTIDAD TIRAJE]]&gt;10000,Tabla_control[[#This Row],[CANTIDAD TIRAJE]],Tabla_control[[#This Row],[CANTIDAD TIRAJE]]*2)</f>
        <v>#VALUE!</v>
      </c>
      <c r="R88" s="4" t="s">
        <v>172</v>
      </c>
      <c r="S88" s="4" t="s">
        <v>30</v>
      </c>
      <c r="T88" s="4"/>
      <c r="U88" s="4"/>
      <c r="V88" s="4"/>
      <c r="W88" s="138" t="s">
        <v>3223</v>
      </c>
      <c r="X88" s="138"/>
      <c r="Y88" s="138"/>
      <c r="Z88" s="138"/>
      <c r="AA88" s="4" t="s">
        <v>321</v>
      </c>
      <c r="AB88" s="184" t="s">
        <v>2028</v>
      </c>
    </row>
    <row r="89" spans="1:28" hidden="1" x14ac:dyDescent="0.2">
      <c r="A89" s="175" t="str">
        <f>IF(COUNTIF(Tabla_imprenta[LOTE],Tabla_control[[#This Row],[LOTE]])=1,INDEX(Tabla_imprenta[FECHA EMISIÓN],MATCH(Tabla_control[[#This Row],[LOTE]],Tabla_imprenta[LOTE],0)),"REALIZADO")</f>
        <v>REALIZADO</v>
      </c>
      <c r="B89" s="142" t="str">
        <f>IF(COUNTIF(Tabla_imprenta[LOTE],Tabla_control[[#This Row],[LOTE]])=1,INDEX(Tabla_imprenta[CÓD. SOLICITUD],MATCH(Tabla_control[[#This Row],[LOTE]],Tabla_imprenta[LOTE],0)),"REALIZADO")</f>
        <v>REALIZADO</v>
      </c>
      <c r="C89" s="177" t="str">
        <f>IF(COUNTIF(Tabla_imprenta[LOTE],Tabla_control[[#This Row],[LOTE]])=1,INDEX(Tabla_imprenta[PRODUCTO],MATCH(Tabla_control[[#This Row],[LOTE]],Tabla_imprenta[LOTE],0)),"REALIZADO")</f>
        <v>REALIZADO</v>
      </c>
      <c r="D89" s="142" t="str">
        <f>IF(COUNTIF(Tabla_imprenta[LOTE],Tabla_control[[#This Row],[LOTE]])=1,INDEX(Tabla_imprenta[FORMA FARMACEUTICA],MATCH(Tabla_control[[#This Row],[LOTE]],Tabla_imprenta[LOTE],0)),"REALIZADO")</f>
        <v>REALIZADO</v>
      </c>
      <c r="E89" s="177" t="str">
        <f>IF(COUNTIF(Tabla_imprenta[LOTE],Tabla_control[[#This Row],[LOTE]])=1,INDEX(Tabla_imprenta[INSTITUCIÓN],MATCH(Tabla_control[[#This Row],[LOTE]],Tabla_imprenta[LOTE],0)),"REALIZADO")</f>
        <v>REALIZADO</v>
      </c>
      <c r="F89" s="183" t="s">
        <v>109</v>
      </c>
      <c r="G8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89" s="139" t="str">
        <f>IF(COUNTIF(Tabla_imprenta[LOTE],Tabla_control[[#This Row],[LOTE]])=1,INDEX(Tabla_imprenta[stock sap],MATCH(Tabla_control[[#This Row],[LOTE]],Tabla_imprenta[LOTE],0)),"ENTREGADO")</f>
        <v>ENTREGADO</v>
      </c>
      <c r="I89" s="139" t="str">
        <f>IF(Tabla_control[[#This Row],[STOCK SAP]]&gt;Tabla_control[[#This Row],[CANTIDAD IMPRIMIR]],"cubre","no cubre")</f>
        <v>no cubre</v>
      </c>
      <c r="J89" s="7" t="str">
        <f>IF(COUNTIF(Tabla_imprenta[LOTE],Tabla_control[[#This Row],[LOTE]])=1,INDEX(Tabla_imprenta[STOCK],MATCH(Tabla_control[[#This Row],[LOTE]],Tabla_imprenta[LOTE],0)),"ENTREGADO")</f>
        <v>ENTREGADO</v>
      </c>
      <c r="K8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89" s="148" t="e">
        <f>INDEX(Tabla_imprenta[FECHA CAJA],MATCH(Tabla_control[[#This Row],[LOTE]],Tabla_imprenta[LOTE],0))</f>
        <v>#N/A</v>
      </c>
      <c r="M8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8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8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89" s="169" t="e">
        <f>ROUNDUP(Tabla_control[[#This Row],[CANTIDAD IMPRIMIR]]/Tabla_control[[#This Row],[N TJ]],0)</f>
        <v>#VALUE!</v>
      </c>
      <c r="Q89" s="169" t="e">
        <f>IF(Tabla_control[[#This Row],[CANTIDAD TIRAJE]]&gt;10000,Tabla_control[[#This Row],[CANTIDAD TIRAJE]],Tabla_control[[#This Row],[CANTIDAD TIRAJE]]*2)</f>
        <v>#VALUE!</v>
      </c>
      <c r="R89" s="4" t="s">
        <v>172</v>
      </c>
      <c r="S89" s="4" t="s">
        <v>30</v>
      </c>
      <c r="T89" s="4"/>
      <c r="U89" s="4"/>
      <c r="V89" s="4"/>
      <c r="W89" s="138" t="s">
        <v>3223</v>
      </c>
      <c r="X89" s="138"/>
      <c r="Y89" s="138"/>
      <c r="Z89" s="138"/>
      <c r="AA89" s="4" t="s">
        <v>321</v>
      </c>
      <c r="AB89" s="184" t="s">
        <v>2028</v>
      </c>
    </row>
    <row r="90" spans="1:28" hidden="1" x14ac:dyDescent="0.2">
      <c r="A90" s="175" t="str">
        <f>IF(COUNTIF(Tabla_imprenta[LOTE],Tabla_control[[#This Row],[LOTE]])=1,INDEX(Tabla_imprenta[FECHA EMISIÓN],MATCH(Tabla_control[[#This Row],[LOTE]],Tabla_imprenta[LOTE],0)),"REALIZADO")</f>
        <v>REALIZADO</v>
      </c>
      <c r="B90" s="142" t="str">
        <f>IF(COUNTIF(Tabla_imprenta[LOTE],Tabla_control[[#This Row],[LOTE]])=1,INDEX(Tabla_imprenta[CÓD. SOLICITUD],MATCH(Tabla_control[[#This Row],[LOTE]],Tabla_imprenta[LOTE],0)),"REALIZADO")</f>
        <v>REALIZADO</v>
      </c>
      <c r="C90" s="177" t="str">
        <f>IF(COUNTIF(Tabla_imprenta[LOTE],Tabla_control[[#This Row],[LOTE]])=1,INDEX(Tabla_imprenta[PRODUCTO],MATCH(Tabla_control[[#This Row],[LOTE]],Tabla_imprenta[LOTE],0)),"REALIZADO")</f>
        <v>REALIZADO</v>
      </c>
      <c r="D90" s="142" t="str">
        <f>IF(COUNTIF(Tabla_imprenta[LOTE],Tabla_control[[#This Row],[LOTE]])=1,INDEX(Tabla_imprenta[FORMA FARMACEUTICA],MATCH(Tabla_control[[#This Row],[LOTE]],Tabla_imprenta[LOTE],0)),"REALIZADO")</f>
        <v>REALIZADO</v>
      </c>
      <c r="E90" s="177" t="str">
        <f>IF(COUNTIF(Tabla_imprenta[LOTE],Tabla_control[[#This Row],[LOTE]])=1,INDEX(Tabla_imprenta[INSTITUCIÓN],MATCH(Tabla_control[[#This Row],[LOTE]],Tabla_imprenta[LOTE],0)),"REALIZADO")</f>
        <v>REALIZADO</v>
      </c>
      <c r="F90" s="180" t="s">
        <v>2116</v>
      </c>
      <c r="G9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90" s="139" t="str">
        <f>IF(COUNTIF(Tabla_imprenta[LOTE],Tabla_control[[#This Row],[LOTE]])=1,INDEX(Tabla_imprenta[stock sap],MATCH(Tabla_control[[#This Row],[LOTE]],Tabla_imprenta[LOTE],0)),"ENTREGADO")</f>
        <v>ENTREGADO</v>
      </c>
      <c r="I90" s="139" t="str">
        <f>IF(Tabla_control[[#This Row],[STOCK SAP]]&gt;Tabla_control[[#This Row],[CANTIDAD IMPRIMIR]],"cubre","no cubre")</f>
        <v>no cubre</v>
      </c>
      <c r="J90" s="7" t="str">
        <f>IF(COUNTIF(Tabla_imprenta[LOTE],Tabla_control[[#This Row],[LOTE]])=1,INDEX(Tabla_imprenta[STOCK],MATCH(Tabla_control[[#This Row],[LOTE]],Tabla_imprenta[LOTE],0)),"ENTREGADO")</f>
        <v>ENTREGADO</v>
      </c>
      <c r="K9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90" s="148" t="e">
        <f>INDEX(Tabla_imprenta[FECHA CAJA],MATCH(Tabla_control[[#This Row],[LOTE]],Tabla_imprenta[LOTE],0))</f>
        <v>#N/A</v>
      </c>
      <c r="M9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9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9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90" s="169" t="e">
        <f>ROUNDUP(Tabla_control[[#This Row],[CANTIDAD IMPRIMIR]]/Tabla_control[[#This Row],[N TJ]],0)</f>
        <v>#VALUE!</v>
      </c>
      <c r="Q90" s="169" t="e">
        <f>IF(Tabla_control[[#This Row],[CANTIDAD TIRAJE]]&gt;10000,Tabla_control[[#This Row],[CANTIDAD TIRAJE]],Tabla_control[[#This Row],[CANTIDAD TIRAJE]]*2)</f>
        <v>#VALUE!</v>
      </c>
      <c r="R90" s="4" t="s">
        <v>172</v>
      </c>
      <c r="S90" s="4" t="s">
        <v>30</v>
      </c>
      <c r="T90" s="4"/>
      <c r="U90" s="4"/>
      <c r="V90" s="4"/>
      <c r="W90" s="138" t="s">
        <v>3223</v>
      </c>
      <c r="X90" s="138"/>
      <c r="Y90" s="138"/>
      <c r="Z90" s="138"/>
      <c r="AA90" s="4" t="s">
        <v>321</v>
      </c>
      <c r="AB90" s="184" t="s">
        <v>2028</v>
      </c>
    </row>
    <row r="91" spans="1:28" hidden="1" x14ac:dyDescent="0.2">
      <c r="A91" s="175" t="str">
        <f>IF(COUNTIF(Tabla_imprenta[LOTE],Tabla_control[[#This Row],[LOTE]])=1,INDEX(Tabla_imprenta[FECHA EMISIÓN],MATCH(Tabla_control[[#This Row],[LOTE]],Tabla_imprenta[LOTE],0)),"REALIZADO")</f>
        <v>REALIZADO</v>
      </c>
      <c r="B91" s="142" t="str">
        <f>IF(COUNTIF(Tabla_imprenta[LOTE],Tabla_control[[#This Row],[LOTE]])=1,INDEX(Tabla_imprenta[CÓD. SOLICITUD],MATCH(Tabla_control[[#This Row],[LOTE]],Tabla_imprenta[LOTE],0)),"REALIZADO")</f>
        <v>REALIZADO</v>
      </c>
      <c r="C91" s="177" t="str">
        <f>IF(COUNTIF(Tabla_imprenta[LOTE],Tabla_control[[#This Row],[LOTE]])=1,INDEX(Tabla_imprenta[PRODUCTO],MATCH(Tabla_control[[#This Row],[LOTE]],Tabla_imprenta[LOTE],0)),"REALIZADO")</f>
        <v>REALIZADO</v>
      </c>
      <c r="D91" s="142" t="str">
        <f>IF(COUNTIF(Tabla_imprenta[LOTE],Tabla_control[[#This Row],[LOTE]])=1,INDEX(Tabla_imprenta[FORMA FARMACEUTICA],MATCH(Tabla_control[[#This Row],[LOTE]],Tabla_imprenta[LOTE],0)),"REALIZADO")</f>
        <v>REALIZADO</v>
      </c>
      <c r="E91" s="177" t="str">
        <f>IF(COUNTIF(Tabla_imprenta[LOTE],Tabla_control[[#This Row],[LOTE]])=1,INDEX(Tabla_imprenta[INSTITUCIÓN],MATCH(Tabla_control[[#This Row],[LOTE]],Tabla_imprenta[LOTE],0)),"REALIZADO")</f>
        <v>REALIZADO</v>
      </c>
      <c r="F91" s="180" t="s">
        <v>213</v>
      </c>
      <c r="G9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91" s="139" t="str">
        <f>IF(COUNTIF(Tabla_imprenta[LOTE],Tabla_control[[#This Row],[LOTE]])=1,INDEX(Tabla_imprenta[stock sap],MATCH(Tabla_control[[#This Row],[LOTE]],Tabla_imprenta[LOTE],0)),"ENTREGADO")</f>
        <v>ENTREGADO</v>
      </c>
      <c r="I91" s="139" t="str">
        <f>IF(Tabla_control[[#This Row],[STOCK SAP]]&gt;Tabla_control[[#This Row],[CANTIDAD IMPRIMIR]],"cubre","no cubre")</f>
        <v>no cubre</v>
      </c>
      <c r="J91" s="7" t="str">
        <f>IF(COUNTIF(Tabla_imprenta[LOTE],Tabla_control[[#This Row],[LOTE]])=1,INDEX(Tabla_imprenta[STOCK],MATCH(Tabla_control[[#This Row],[LOTE]],Tabla_imprenta[LOTE],0)),"ENTREGADO")</f>
        <v>ENTREGADO</v>
      </c>
      <c r="K9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91" s="148" t="e">
        <f>INDEX(Tabla_imprenta[FECHA CAJA],MATCH(Tabla_control[[#This Row],[LOTE]],Tabla_imprenta[LOTE],0))</f>
        <v>#N/A</v>
      </c>
      <c r="M9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9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9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91" s="169" t="e">
        <f>ROUNDUP(Tabla_control[[#This Row],[CANTIDAD IMPRIMIR]]/Tabla_control[[#This Row],[N TJ]],0)</f>
        <v>#VALUE!</v>
      </c>
      <c r="Q91" s="169" t="e">
        <f>IF(Tabla_control[[#This Row],[CANTIDAD TIRAJE]]&gt;10000,Tabla_control[[#This Row],[CANTIDAD TIRAJE]],Tabla_control[[#This Row],[CANTIDAD TIRAJE]]*2)</f>
        <v>#VALUE!</v>
      </c>
      <c r="R91" s="4" t="s">
        <v>172</v>
      </c>
      <c r="S91" s="4" t="s">
        <v>30</v>
      </c>
      <c r="T91" s="4"/>
      <c r="U91" s="4"/>
      <c r="V91" s="4"/>
      <c r="W91" s="138" t="s">
        <v>3223</v>
      </c>
      <c r="X91" s="138"/>
      <c r="Y91" s="138"/>
      <c r="Z91" s="138"/>
      <c r="AA91" s="4" t="s">
        <v>321</v>
      </c>
      <c r="AB91" s="184" t="s">
        <v>2028</v>
      </c>
    </row>
    <row r="92" spans="1:28" hidden="1" x14ac:dyDescent="0.2">
      <c r="A92" s="175" t="str">
        <f>IF(COUNTIF(Tabla_imprenta[LOTE],Tabla_control[[#This Row],[LOTE]])=1,INDEX(Tabla_imprenta[FECHA EMISIÓN],MATCH(Tabla_control[[#This Row],[LOTE]],Tabla_imprenta[LOTE],0)),"REALIZADO")</f>
        <v>REALIZADO</v>
      </c>
      <c r="B92" s="142" t="str">
        <f>IF(COUNTIF(Tabla_imprenta[LOTE],Tabla_control[[#This Row],[LOTE]])=1,INDEX(Tabla_imprenta[CÓD. SOLICITUD],MATCH(Tabla_control[[#This Row],[LOTE]],Tabla_imprenta[LOTE],0)),"REALIZADO")</f>
        <v>REALIZADO</v>
      </c>
      <c r="C92" s="177" t="str">
        <f>IF(COUNTIF(Tabla_imprenta[LOTE],Tabla_control[[#This Row],[LOTE]])=1,INDEX(Tabla_imprenta[PRODUCTO],MATCH(Tabla_control[[#This Row],[LOTE]],Tabla_imprenta[LOTE],0)),"REALIZADO")</f>
        <v>REALIZADO</v>
      </c>
      <c r="D92" s="142" t="str">
        <f>IF(COUNTIF(Tabla_imprenta[LOTE],Tabla_control[[#This Row],[LOTE]])=1,INDEX(Tabla_imprenta[FORMA FARMACEUTICA],MATCH(Tabla_control[[#This Row],[LOTE]],Tabla_imprenta[LOTE],0)),"REALIZADO")</f>
        <v>REALIZADO</v>
      </c>
      <c r="E92" s="177" t="str">
        <f>IF(COUNTIF(Tabla_imprenta[LOTE],Tabla_control[[#This Row],[LOTE]])=1,INDEX(Tabla_imprenta[INSTITUCIÓN],MATCH(Tabla_control[[#This Row],[LOTE]],Tabla_imprenta[LOTE],0)),"REALIZADO")</f>
        <v>REALIZADO</v>
      </c>
      <c r="F92" s="183" t="s">
        <v>113</v>
      </c>
      <c r="G9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92" s="139" t="str">
        <f>IF(COUNTIF(Tabla_imprenta[LOTE],Tabla_control[[#This Row],[LOTE]])=1,INDEX(Tabla_imprenta[stock sap],MATCH(Tabla_control[[#This Row],[LOTE]],Tabla_imprenta[LOTE],0)),"ENTREGADO")</f>
        <v>ENTREGADO</v>
      </c>
      <c r="I92" s="139" t="str">
        <f>IF(Tabla_control[[#This Row],[STOCK SAP]]&gt;Tabla_control[[#This Row],[CANTIDAD IMPRIMIR]],"cubre","no cubre")</f>
        <v>no cubre</v>
      </c>
      <c r="J92" s="7" t="str">
        <f>IF(COUNTIF(Tabla_imprenta[LOTE],Tabla_control[[#This Row],[LOTE]])=1,INDEX(Tabla_imprenta[STOCK],MATCH(Tabla_control[[#This Row],[LOTE]],Tabla_imprenta[LOTE],0)),"ENTREGADO")</f>
        <v>ENTREGADO</v>
      </c>
      <c r="K9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92" s="148" t="e">
        <f>INDEX(Tabla_imprenta[FECHA CAJA],MATCH(Tabla_control[[#This Row],[LOTE]],Tabla_imprenta[LOTE],0))</f>
        <v>#N/A</v>
      </c>
      <c r="M9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9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9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92" s="169" t="e">
        <f>ROUNDUP(Tabla_control[[#This Row],[CANTIDAD IMPRIMIR]]/Tabla_control[[#This Row],[N TJ]],0)</f>
        <v>#VALUE!</v>
      </c>
      <c r="Q92" s="169" t="e">
        <f>IF(Tabla_control[[#This Row],[CANTIDAD TIRAJE]]&gt;10000,Tabla_control[[#This Row],[CANTIDAD TIRAJE]],Tabla_control[[#This Row],[CANTIDAD TIRAJE]]*2)</f>
        <v>#VALUE!</v>
      </c>
      <c r="R92" s="4" t="s">
        <v>172</v>
      </c>
      <c r="S92" s="4" t="s">
        <v>30</v>
      </c>
      <c r="T92" s="4"/>
      <c r="U92" s="4"/>
      <c r="V92" s="4"/>
      <c r="W92" s="138" t="s">
        <v>3223</v>
      </c>
      <c r="X92" s="138"/>
      <c r="Y92" s="138"/>
      <c r="Z92" s="138"/>
      <c r="AA92" s="4" t="s">
        <v>2031</v>
      </c>
      <c r="AB92" s="184" t="s">
        <v>2028</v>
      </c>
    </row>
    <row r="93" spans="1:28" hidden="1" x14ac:dyDescent="0.2">
      <c r="A93" s="175" t="str">
        <f>IF(COUNTIF(Tabla_imprenta[LOTE],Tabla_control[[#This Row],[LOTE]])=1,INDEX(Tabla_imprenta[FECHA EMISIÓN],MATCH(Tabla_control[[#This Row],[LOTE]],Tabla_imprenta[LOTE],0)),"REALIZADO")</f>
        <v>REALIZADO</v>
      </c>
      <c r="B93" s="142" t="str">
        <f>IF(COUNTIF(Tabla_imprenta[LOTE],Tabla_control[[#This Row],[LOTE]])=1,INDEX(Tabla_imprenta[CÓD. SOLICITUD],MATCH(Tabla_control[[#This Row],[LOTE]],Tabla_imprenta[LOTE],0)),"REALIZADO")</f>
        <v>REALIZADO</v>
      </c>
      <c r="C93" s="177" t="str">
        <f>IF(COUNTIF(Tabla_imprenta[LOTE],Tabla_control[[#This Row],[LOTE]])=1,INDEX(Tabla_imprenta[PRODUCTO],MATCH(Tabla_control[[#This Row],[LOTE]],Tabla_imprenta[LOTE],0)),"REALIZADO")</f>
        <v>REALIZADO</v>
      </c>
      <c r="D93" s="142" t="str">
        <f>IF(COUNTIF(Tabla_imprenta[LOTE],Tabla_control[[#This Row],[LOTE]])=1,INDEX(Tabla_imprenta[FORMA FARMACEUTICA],MATCH(Tabla_control[[#This Row],[LOTE]],Tabla_imprenta[LOTE],0)),"REALIZADO")</f>
        <v>REALIZADO</v>
      </c>
      <c r="E93" s="177" t="str">
        <f>IF(COUNTIF(Tabla_imprenta[LOTE],Tabla_control[[#This Row],[LOTE]])=1,INDEX(Tabla_imprenta[INSTITUCIÓN],MATCH(Tabla_control[[#This Row],[LOTE]],Tabla_imprenta[LOTE],0)),"REALIZADO")</f>
        <v>REALIZADO</v>
      </c>
      <c r="F93" s="180" t="s">
        <v>188</v>
      </c>
      <c r="G9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93" s="139" t="str">
        <f>IF(COUNTIF(Tabla_imprenta[LOTE],Tabla_control[[#This Row],[LOTE]])=1,INDEX(Tabla_imprenta[stock sap],MATCH(Tabla_control[[#This Row],[LOTE]],Tabla_imprenta[LOTE],0)),"ENTREGADO")</f>
        <v>ENTREGADO</v>
      </c>
      <c r="I93" s="139" t="str">
        <f>IF(Tabla_control[[#This Row],[STOCK SAP]]&gt;Tabla_control[[#This Row],[CANTIDAD IMPRIMIR]],"cubre","no cubre")</f>
        <v>no cubre</v>
      </c>
      <c r="J93" s="7" t="str">
        <f>IF(COUNTIF(Tabla_imprenta[LOTE],Tabla_control[[#This Row],[LOTE]])=1,INDEX(Tabla_imprenta[STOCK],MATCH(Tabla_control[[#This Row],[LOTE]],Tabla_imprenta[LOTE],0)),"ENTREGADO")</f>
        <v>ENTREGADO</v>
      </c>
      <c r="K9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93" s="148" t="e">
        <f>INDEX(Tabla_imprenta[FECHA CAJA],MATCH(Tabla_control[[#This Row],[LOTE]],Tabla_imprenta[LOTE],0))</f>
        <v>#N/A</v>
      </c>
      <c r="M9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9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9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93" s="169" t="e">
        <f>ROUNDUP(Tabla_control[[#This Row],[CANTIDAD IMPRIMIR]]/Tabla_control[[#This Row],[N TJ]],0)</f>
        <v>#VALUE!</v>
      </c>
      <c r="Q93" s="169" t="e">
        <f>IF(Tabla_control[[#This Row],[CANTIDAD TIRAJE]]&gt;10000,Tabla_control[[#This Row],[CANTIDAD TIRAJE]],Tabla_control[[#This Row],[CANTIDAD TIRAJE]]*2)</f>
        <v>#VALUE!</v>
      </c>
      <c r="R93" s="4" t="s">
        <v>172</v>
      </c>
      <c r="S93" s="4" t="s">
        <v>30</v>
      </c>
      <c r="T93" s="4"/>
      <c r="U93" s="4"/>
      <c r="V93" s="4"/>
      <c r="W93" s="138" t="s">
        <v>3223</v>
      </c>
      <c r="X93" s="138"/>
      <c r="Y93" s="138"/>
      <c r="Z93" s="138"/>
      <c r="AA93" s="4" t="s">
        <v>2031</v>
      </c>
      <c r="AB93" s="184" t="s">
        <v>2028</v>
      </c>
    </row>
    <row r="94" spans="1:28" hidden="1" x14ac:dyDescent="0.2">
      <c r="A94" s="175" t="str">
        <f>IF(COUNTIF(Tabla_imprenta[LOTE],Tabla_control[[#This Row],[LOTE]])=1,INDEX(Tabla_imprenta[FECHA EMISIÓN],MATCH(Tabla_control[[#This Row],[LOTE]],Tabla_imprenta[LOTE],0)),"REALIZADO")</f>
        <v>REALIZADO</v>
      </c>
      <c r="B94" s="142" t="str">
        <f>IF(COUNTIF(Tabla_imprenta[LOTE],Tabla_control[[#This Row],[LOTE]])=1,INDEX(Tabla_imprenta[CÓD. SOLICITUD],MATCH(Tabla_control[[#This Row],[LOTE]],Tabla_imprenta[LOTE],0)),"REALIZADO")</f>
        <v>REALIZADO</v>
      </c>
      <c r="C94" s="177" t="str">
        <f>IF(COUNTIF(Tabla_imprenta[LOTE],Tabla_control[[#This Row],[LOTE]])=1,INDEX(Tabla_imprenta[PRODUCTO],MATCH(Tabla_control[[#This Row],[LOTE]],Tabla_imprenta[LOTE],0)),"REALIZADO")</f>
        <v>REALIZADO</v>
      </c>
      <c r="D94" s="142" t="str">
        <f>IF(COUNTIF(Tabla_imprenta[LOTE],Tabla_control[[#This Row],[LOTE]])=1,INDEX(Tabla_imprenta[FORMA FARMACEUTICA],MATCH(Tabla_control[[#This Row],[LOTE]],Tabla_imprenta[LOTE],0)),"REALIZADO")</f>
        <v>REALIZADO</v>
      </c>
      <c r="E94" s="177" t="str">
        <f>IF(COUNTIF(Tabla_imprenta[LOTE],Tabla_control[[#This Row],[LOTE]])=1,INDEX(Tabla_imprenta[INSTITUCIÓN],MATCH(Tabla_control[[#This Row],[LOTE]],Tabla_imprenta[LOTE],0)),"REALIZADO")</f>
        <v>REALIZADO</v>
      </c>
      <c r="F94" s="180" t="s">
        <v>2238</v>
      </c>
      <c r="G9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94" s="139" t="str">
        <f>IF(COUNTIF(Tabla_imprenta[LOTE],Tabla_control[[#This Row],[LOTE]])=1,INDEX(Tabla_imprenta[stock sap],MATCH(Tabla_control[[#This Row],[LOTE]],Tabla_imprenta[LOTE],0)),"ENTREGADO")</f>
        <v>ENTREGADO</v>
      </c>
      <c r="I94" s="139" t="str">
        <f>IF(Tabla_control[[#This Row],[STOCK SAP]]&gt;Tabla_control[[#This Row],[CANTIDAD IMPRIMIR]],"cubre","no cubre")</f>
        <v>no cubre</v>
      </c>
      <c r="J94" s="7" t="str">
        <f>IF(COUNTIF(Tabla_imprenta[LOTE],Tabla_control[[#This Row],[LOTE]])=1,INDEX(Tabla_imprenta[STOCK],MATCH(Tabla_control[[#This Row],[LOTE]],Tabla_imprenta[LOTE],0)),"ENTREGADO")</f>
        <v>ENTREGADO</v>
      </c>
      <c r="K9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94" s="148" t="e">
        <f>INDEX(Tabla_imprenta[FECHA CAJA],MATCH(Tabla_control[[#This Row],[LOTE]],Tabla_imprenta[LOTE],0))</f>
        <v>#N/A</v>
      </c>
      <c r="M9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9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9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94" s="169" t="e">
        <f>ROUNDUP(Tabla_control[[#This Row],[CANTIDAD IMPRIMIR]]/Tabla_control[[#This Row],[N TJ]],0)</f>
        <v>#VALUE!</v>
      </c>
      <c r="Q94" s="169" t="e">
        <f>IF(Tabla_control[[#This Row],[CANTIDAD TIRAJE]]&gt;10000,Tabla_control[[#This Row],[CANTIDAD TIRAJE]],Tabla_control[[#This Row],[CANTIDAD TIRAJE]]*2)</f>
        <v>#VALUE!</v>
      </c>
      <c r="R94" s="4" t="s">
        <v>177</v>
      </c>
      <c r="S94" s="4" t="s">
        <v>31</v>
      </c>
      <c r="T94" s="4"/>
      <c r="U94" s="4"/>
      <c r="V94" s="4"/>
      <c r="W94" s="138" t="s">
        <v>3223</v>
      </c>
      <c r="X94" s="138"/>
      <c r="Y94" s="138"/>
      <c r="Z94" s="138"/>
      <c r="AA94" s="4" t="s">
        <v>2182</v>
      </c>
      <c r="AB94" s="184" t="s">
        <v>2028</v>
      </c>
    </row>
    <row r="95" spans="1:28" hidden="1" x14ac:dyDescent="0.2">
      <c r="A95" s="175" t="str">
        <f>IF(COUNTIF(Tabla_imprenta[LOTE],Tabla_control[[#This Row],[LOTE]])=1,INDEX(Tabla_imprenta[FECHA EMISIÓN],MATCH(Tabla_control[[#This Row],[LOTE]],Tabla_imprenta[LOTE],0)),"REALIZADO")</f>
        <v>REALIZADO</v>
      </c>
      <c r="B95" s="142" t="str">
        <f>IF(COUNTIF(Tabla_imprenta[LOTE],Tabla_control[[#This Row],[LOTE]])=1,INDEX(Tabla_imprenta[CÓD. SOLICITUD],MATCH(Tabla_control[[#This Row],[LOTE]],Tabla_imprenta[LOTE],0)),"REALIZADO")</f>
        <v>REALIZADO</v>
      </c>
      <c r="C95" s="177" t="str">
        <f>IF(COUNTIF(Tabla_imprenta[LOTE],Tabla_control[[#This Row],[LOTE]])=1,INDEX(Tabla_imprenta[PRODUCTO],MATCH(Tabla_control[[#This Row],[LOTE]],Tabla_imprenta[LOTE],0)),"REALIZADO")</f>
        <v>REALIZADO</v>
      </c>
      <c r="D95" s="142" t="str">
        <f>IF(COUNTIF(Tabla_imprenta[LOTE],Tabla_control[[#This Row],[LOTE]])=1,INDEX(Tabla_imprenta[FORMA FARMACEUTICA],MATCH(Tabla_control[[#This Row],[LOTE]],Tabla_imprenta[LOTE],0)),"REALIZADO")</f>
        <v>REALIZADO</v>
      </c>
      <c r="E95" s="177" t="str">
        <f>IF(COUNTIF(Tabla_imprenta[LOTE],Tabla_control[[#This Row],[LOTE]])=1,INDEX(Tabla_imprenta[INSTITUCIÓN],MATCH(Tabla_control[[#This Row],[LOTE]],Tabla_imprenta[LOTE],0)),"REALIZADO")</f>
        <v>REALIZADO</v>
      </c>
      <c r="F95" s="180" t="s">
        <v>2112</v>
      </c>
      <c r="G9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95" s="139" t="str">
        <f>IF(COUNTIF(Tabla_imprenta[LOTE],Tabla_control[[#This Row],[LOTE]])=1,INDEX(Tabla_imprenta[stock sap],MATCH(Tabla_control[[#This Row],[LOTE]],Tabla_imprenta[LOTE],0)),"ENTREGADO")</f>
        <v>ENTREGADO</v>
      </c>
      <c r="I95" s="139" t="str">
        <f>IF(Tabla_control[[#This Row],[STOCK SAP]]&gt;Tabla_control[[#This Row],[CANTIDAD IMPRIMIR]],"cubre","no cubre")</f>
        <v>no cubre</v>
      </c>
      <c r="J95" s="7" t="str">
        <f>IF(COUNTIF(Tabla_imprenta[LOTE],Tabla_control[[#This Row],[LOTE]])=1,INDEX(Tabla_imprenta[STOCK],MATCH(Tabla_control[[#This Row],[LOTE]],Tabla_imprenta[LOTE],0)),"ENTREGADO")</f>
        <v>ENTREGADO</v>
      </c>
      <c r="K9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95" s="148" t="e">
        <f>INDEX(Tabla_imprenta[FECHA CAJA],MATCH(Tabla_control[[#This Row],[LOTE]],Tabla_imprenta[LOTE],0))</f>
        <v>#N/A</v>
      </c>
      <c r="M9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9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9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95" s="169" t="e">
        <f>ROUNDUP(Tabla_control[[#This Row],[CANTIDAD IMPRIMIR]]/Tabla_control[[#This Row],[N TJ]],0)</f>
        <v>#VALUE!</v>
      </c>
      <c r="Q95" s="169" t="e">
        <f>IF(Tabla_control[[#This Row],[CANTIDAD TIRAJE]]&gt;10000,Tabla_control[[#This Row],[CANTIDAD TIRAJE]],Tabla_control[[#This Row],[CANTIDAD TIRAJE]]*2)</f>
        <v>#VALUE!</v>
      </c>
      <c r="R95" s="4" t="s">
        <v>172</v>
      </c>
      <c r="S95" s="4" t="s">
        <v>30</v>
      </c>
      <c r="T95" s="4"/>
      <c r="U95" s="4"/>
      <c r="V95" s="4"/>
      <c r="W95" s="138" t="s">
        <v>3223</v>
      </c>
      <c r="X95" s="138"/>
      <c r="Y95" s="138"/>
      <c r="Z95" s="138"/>
      <c r="AA95" s="4" t="s">
        <v>321</v>
      </c>
      <c r="AB95" s="184" t="s">
        <v>2028</v>
      </c>
    </row>
    <row r="96" spans="1:28" hidden="1" x14ac:dyDescent="0.2">
      <c r="A96" s="176" t="str">
        <f>IF(COUNTIF(Tabla_imprenta[LOTE],Tabla_control[[#This Row],[LOTE]])=1,INDEX(Tabla_imprenta[FECHA EMISIÓN],MATCH(Tabla_control[[#This Row],[LOTE]],Tabla_imprenta[LOTE],0)),"REALIZADO")</f>
        <v>REALIZADO</v>
      </c>
      <c r="B96" s="142" t="str">
        <f>IF(COUNTIF(Tabla_imprenta[LOTE],Tabla_control[[#This Row],[LOTE]])=1,INDEX(Tabla_imprenta[CÓD. SOLICITUD],MATCH(Tabla_control[[#This Row],[LOTE]],Tabla_imprenta[LOTE],0)),"REALIZADO")</f>
        <v>REALIZADO</v>
      </c>
      <c r="C96" s="177" t="str">
        <f>IF(COUNTIF(Tabla_imprenta[LOTE],Tabla_control[[#This Row],[LOTE]])=1,INDEX(Tabla_imprenta[PRODUCTO],MATCH(Tabla_control[[#This Row],[LOTE]],Tabla_imprenta[LOTE],0)),"REALIZADO")</f>
        <v>REALIZADO</v>
      </c>
      <c r="D96" s="142" t="str">
        <f>IF(COUNTIF(Tabla_imprenta[LOTE],Tabla_control[[#This Row],[LOTE]])=1,INDEX(Tabla_imprenta[FORMA FARMACEUTICA],MATCH(Tabla_control[[#This Row],[LOTE]],Tabla_imprenta[LOTE],0)),"REALIZADO")</f>
        <v>REALIZADO</v>
      </c>
      <c r="E96" s="177" t="str">
        <f>IF(COUNTIF(Tabla_imprenta[LOTE],Tabla_control[[#This Row],[LOTE]])=1,INDEX(Tabla_imprenta[INSTITUCIÓN],MATCH(Tabla_control[[#This Row],[LOTE]],Tabla_imprenta[LOTE],0)),"REALIZADO")</f>
        <v>REALIZADO</v>
      </c>
      <c r="F96" s="183" t="s">
        <v>156</v>
      </c>
      <c r="G9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96" s="139" t="str">
        <f>IF(COUNTIF(Tabla_imprenta[LOTE],Tabla_control[[#This Row],[LOTE]])=1,INDEX(Tabla_imprenta[stock sap],MATCH(Tabla_control[[#This Row],[LOTE]],Tabla_imprenta[LOTE],0)),"ENTREGADO")</f>
        <v>ENTREGADO</v>
      </c>
      <c r="I96" s="139" t="str">
        <f>IF(Tabla_control[[#This Row],[STOCK SAP]]&gt;Tabla_control[[#This Row],[CANTIDAD IMPRIMIR]],"cubre","no cubre")</f>
        <v>no cubre</v>
      </c>
      <c r="J96" s="7" t="str">
        <f>IF(COUNTIF(Tabla_imprenta[LOTE],Tabla_control[[#This Row],[LOTE]])=1,INDEX(Tabla_imprenta[STOCK],MATCH(Tabla_control[[#This Row],[LOTE]],Tabla_imprenta[LOTE],0)),"ENTREGADO")</f>
        <v>ENTREGADO</v>
      </c>
      <c r="K9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96" s="149" t="e">
        <f>INDEX(Tabla_imprenta[FECHA CAJA],MATCH(Tabla_control[[#This Row],[LOTE]],Tabla_imprenta[LOTE],0))</f>
        <v>#N/A</v>
      </c>
      <c r="M9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96" s="167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96" s="167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96" s="168" t="e">
        <f>ROUNDUP(Tabla_control[[#This Row],[CANTIDAD IMPRIMIR]]/Tabla_control[[#This Row],[N TJ]],0)</f>
        <v>#VALUE!</v>
      </c>
      <c r="Q96" s="168" t="e">
        <f>IF(Tabla_control[[#This Row],[CANTIDAD TIRAJE]]&gt;10000,Tabla_control[[#This Row],[CANTIDAD TIRAJE]],Tabla_control[[#This Row],[CANTIDAD TIRAJE]]*2)</f>
        <v>#VALUE!</v>
      </c>
      <c r="R96" s="4" t="s">
        <v>175</v>
      </c>
      <c r="S96" s="4" t="s">
        <v>174</v>
      </c>
      <c r="T96" s="4"/>
      <c r="U96" s="4"/>
      <c r="V96" s="4"/>
      <c r="W96" s="138" t="s">
        <v>3223</v>
      </c>
      <c r="X96" s="138"/>
      <c r="Y96" s="138"/>
      <c r="Z96" s="138"/>
      <c r="AA96" s="4" t="s">
        <v>2031</v>
      </c>
      <c r="AB96" s="184" t="s">
        <v>2028</v>
      </c>
    </row>
    <row r="97" spans="1:28" hidden="1" x14ac:dyDescent="0.2">
      <c r="A97" s="175" t="str">
        <f>IF(COUNTIF(Tabla_imprenta[LOTE],Tabla_control[[#This Row],[LOTE]])=1,INDEX(Tabla_imprenta[FECHA EMISIÓN],MATCH(Tabla_control[[#This Row],[LOTE]],Tabla_imprenta[LOTE],0)),"REALIZADO")</f>
        <v>REALIZADO</v>
      </c>
      <c r="B97" s="142" t="str">
        <f>IF(COUNTIF(Tabla_imprenta[LOTE],Tabla_control[[#This Row],[LOTE]])=1,INDEX(Tabla_imprenta[CÓD. SOLICITUD],MATCH(Tabla_control[[#This Row],[LOTE]],Tabla_imprenta[LOTE],0)),"REALIZADO")</f>
        <v>REALIZADO</v>
      </c>
      <c r="C97" s="177" t="str">
        <f>IF(COUNTIF(Tabla_imprenta[LOTE],Tabla_control[[#This Row],[LOTE]])=1,INDEX(Tabla_imprenta[PRODUCTO],MATCH(Tabla_control[[#This Row],[LOTE]],Tabla_imprenta[LOTE],0)),"REALIZADO")</f>
        <v>REALIZADO</v>
      </c>
      <c r="D97" s="142" t="str">
        <f>IF(COUNTIF(Tabla_imprenta[LOTE],Tabla_control[[#This Row],[LOTE]])=1,INDEX(Tabla_imprenta[FORMA FARMACEUTICA],MATCH(Tabla_control[[#This Row],[LOTE]],Tabla_imprenta[LOTE],0)),"REALIZADO")</f>
        <v>REALIZADO</v>
      </c>
      <c r="E97" s="177" t="str">
        <f>IF(COUNTIF(Tabla_imprenta[LOTE],Tabla_control[[#This Row],[LOTE]])=1,INDEX(Tabla_imprenta[INSTITUCIÓN],MATCH(Tabla_control[[#This Row],[LOTE]],Tabla_imprenta[LOTE],0)),"REALIZADO")</f>
        <v>REALIZADO</v>
      </c>
      <c r="F97" s="180" t="s">
        <v>205</v>
      </c>
      <c r="G9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97" s="139" t="str">
        <f>IF(COUNTIF(Tabla_imprenta[LOTE],Tabla_control[[#This Row],[LOTE]])=1,INDEX(Tabla_imprenta[stock sap],MATCH(Tabla_control[[#This Row],[LOTE]],Tabla_imprenta[LOTE],0)),"ENTREGADO")</f>
        <v>ENTREGADO</v>
      </c>
      <c r="I97" s="139" t="str">
        <f>IF(Tabla_control[[#This Row],[STOCK SAP]]&gt;Tabla_control[[#This Row],[CANTIDAD IMPRIMIR]],"cubre","no cubre")</f>
        <v>no cubre</v>
      </c>
      <c r="J97" s="7" t="str">
        <f>IF(COUNTIF(Tabla_imprenta[LOTE],Tabla_control[[#This Row],[LOTE]])=1,INDEX(Tabla_imprenta[STOCK],MATCH(Tabla_control[[#This Row],[LOTE]],Tabla_imprenta[LOTE],0)),"ENTREGADO")</f>
        <v>ENTREGADO</v>
      </c>
      <c r="K9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97" s="148" t="e">
        <f>INDEX(Tabla_imprenta[FECHA CAJA],MATCH(Tabla_control[[#This Row],[LOTE]],Tabla_imprenta[LOTE],0))</f>
        <v>#N/A</v>
      </c>
      <c r="M9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9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9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97" s="169" t="e">
        <f>ROUNDUP(Tabla_control[[#This Row],[CANTIDAD IMPRIMIR]]/Tabla_control[[#This Row],[N TJ]],0)</f>
        <v>#VALUE!</v>
      </c>
      <c r="Q97" s="169" t="e">
        <f>IF(Tabla_control[[#This Row],[CANTIDAD TIRAJE]]&gt;10000,Tabla_control[[#This Row],[CANTIDAD TIRAJE]],Tabla_control[[#This Row],[CANTIDAD TIRAJE]]*2)</f>
        <v>#VALUE!</v>
      </c>
      <c r="R97" s="4" t="s">
        <v>172</v>
      </c>
      <c r="S97" s="4" t="s">
        <v>30</v>
      </c>
      <c r="T97" s="4"/>
      <c r="U97" s="4"/>
      <c r="V97" s="4"/>
      <c r="W97" s="138" t="s">
        <v>3223</v>
      </c>
      <c r="X97" s="138"/>
      <c r="Y97" s="138"/>
      <c r="Z97" s="138"/>
      <c r="AA97" s="4" t="s">
        <v>2031</v>
      </c>
      <c r="AB97" s="184" t="s">
        <v>2028</v>
      </c>
    </row>
    <row r="98" spans="1:28" hidden="1" x14ac:dyDescent="0.2">
      <c r="A98" s="175" t="str">
        <f>IF(COUNTIF(Tabla_imprenta[LOTE],Tabla_control[[#This Row],[LOTE]])=1,INDEX(Tabla_imprenta[FECHA EMISIÓN],MATCH(Tabla_control[[#This Row],[LOTE]],Tabla_imprenta[LOTE],0)),"REALIZADO")</f>
        <v>REALIZADO</v>
      </c>
      <c r="B98" s="142" t="str">
        <f>IF(COUNTIF(Tabla_imprenta[LOTE],Tabla_control[[#This Row],[LOTE]])=1,INDEX(Tabla_imprenta[CÓD. SOLICITUD],MATCH(Tabla_control[[#This Row],[LOTE]],Tabla_imprenta[LOTE],0)),"REALIZADO")</f>
        <v>REALIZADO</v>
      </c>
      <c r="C98" s="177" t="str">
        <f>IF(COUNTIF(Tabla_imprenta[LOTE],Tabla_control[[#This Row],[LOTE]])=1,INDEX(Tabla_imprenta[PRODUCTO],MATCH(Tabla_control[[#This Row],[LOTE]],Tabla_imprenta[LOTE],0)),"REALIZADO")</f>
        <v>REALIZADO</v>
      </c>
      <c r="D98" s="142" t="str">
        <f>IF(COUNTIF(Tabla_imprenta[LOTE],Tabla_control[[#This Row],[LOTE]])=1,INDEX(Tabla_imprenta[FORMA FARMACEUTICA],MATCH(Tabla_control[[#This Row],[LOTE]],Tabla_imprenta[LOTE],0)),"REALIZADO")</f>
        <v>REALIZADO</v>
      </c>
      <c r="E98" s="177" t="str">
        <f>IF(COUNTIF(Tabla_imprenta[LOTE],Tabla_control[[#This Row],[LOTE]])=1,INDEX(Tabla_imprenta[INSTITUCIÓN],MATCH(Tabla_control[[#This Row],[LOTE]],Tabla_imprenta[LOTE],0)),"REALIZADO")</f>
        <v>REALIZADO</v>
      </c>
      <c r="F98" s="180" t="s">
        <v>214</v>
      </c>
      <c r="G9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98" s="139" t="str">
        <f>IF(COUNTIF(Tabla_imprenta[LOTE],Tabla_control[[#This Row],[LOTE]])=1,INDEX(Tabla_imprenta[stock sap],MATCH(Tabla_control[[#This Row],[LOTE]],Tabla_imprenta[LOTE],0)),"ENTREGADO")</f>
        <v>ENTREGADO</v>
      </c>
      <c r="I98" s="139" t="str">
        <f>IF(Tabla_control[[#This Row],[STOCK SAP]]&gt;Tabla_control[[#This Row],[CANTIDAD IMPRIMIR]],"cubre","no cubre")</f>
        <v>no cubre</v>
      </c>
      <c r="J98" s="7" t="str">
        <f>IF(COUNTIF(Tabla_imprenta[LOTE],Tabla_control[[#This Row],[LOTE]])=1,INDEX(Tabla_imprenta[STOCK],MATCH(Tabla_control[[#This Row],[LOTE]],Tabla_imprenta[LOTE],0)),"ENTREGADO")</f>
        <v>ENTREGADO</v>
      </c>
      <c r="K9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98" s="148" t="e">
        <f>INDEX(Tabla_imprenta[FECHA CAJA],MATCH(Tabla_control[[#This Row],[LOTE]],Tabla_imprenta[LOTE],0))</f>
        <v>#N/A</v>
      </c>
      <c r="M9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9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9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98" s="169" t="e">
        <f>ROUNDUP(Tabla_control[[#This Row],[CANTIDAD IMPRIMIR]]/Tabla_control[[#This Row],[N TJ]],0)</f>
        <v>#VALUE!</v>
      </c>
      <c r="Q98" s="169" t="e">
        <f>IF(Tabla_control[[#This Row],[CANTIDAD TIRAJE]]&gt;10000,Tabla_control[[#This Row],[CANTIDAD TIRAJE]],Tabla_control[[#This Row],[CANTIDAD TIRAJE]]*2)</f>
        <v>#VALUE!</v>
      </c>
      <c r="R98" s="4" t="s">
        <v>172</v>
      </c>
      <c r="S98" s="4" t="s">
        <v>30</v>
      </c>
      <c r="T98" s="4"/>
      <c r="U98" s="4"/>
      <c r="V98" s="4"/>
      <c r="W98" s="138" t="s">
        <v>3223</v>
      </c>
      <c r="X98" s="138"/>
      <c r="Y98" s="138"/>
      <c r="Z98" s="138"/>
      <c r="AA98" s="4" t="s">
        <v>2031</v>
      </c>
      <c r="AB98" s="184" t="s">
        <v>2028</v>
      </c>
    </row>
    <row r="99" spans="1:28" hidden="1" x14ac:dyDescent="0.2">
      <c r="A99" s="175" t="str">
        <f>IF(COUNTIF(Tabla_imprenta[LOTE],Tabla_control[[#This Row],[LOTE]])=1,INDEX(Tabla_imprenta[FECHA EMISIÓN],MATCH(Tabla_control[[#This Row],[LOTE]],Tabla_imprenta[LOTE],0)),"REALIZADO")</f>
        <v>REALIZADO</v>
      </c>
      <c r="B99" s="142" t="str">
        <f>IF(COUNTIF(Tabla_imprenta[LOTE],Tabla_control[[#This Row],[LOTE]])=1,INDEX(Tabla_imprenta[CÓD. SOLICITUD],MATCH(Tabla_control[[#This Row],[LOTE]],Tabla_imprenta[LOTE],0)),"REALIZADO")</f>
        <v>REALIZADO</v>
      </c>
      <c r="C99" s="179" t="str">
        <f>IF(COUNTIF(Tabla_imprenta[LOTE],Tabla_control[[#This Row],[LOTE]])=1,INDEX(Tabla_imprenta[PRODUCTO],MATCH(Tabla_control[[#This Row],[LOTE]],Tabla_imprenta[LOTE],0)),"REALIZADO")</f>
        <v>REALIZADO</v>
      </c>
      <c r="D99" s="142" t="str">
        <f>IF(COUNTIF(Tabla_imprenta[LOTE],Tabla_control[[#This Row],[LOTE]])=1,INDEX(Tabla_imprenta[FORMA FARMACEUTICA],MATCH(Tabla_control[[#This Row],[LOTE]],Tabla_imprenta[LOTE],0)),"REALIZADO")</f>
        <v>REALIZADO</v>
      </c>
      <c r="E99" s="177" t="str">
        <f>IF(COUNTIF(Tabla_imprenta[LOTE],Tabla_control[[#This Row],[LOTE]])=1,INDEX(Tabla_imprenta[INSTITUCIÓN],MATCH(Tabla_control[[#This Row],[LOTE]],Tabla_imprenta[LOTE],0)),"REALIZADO")</f>
        <v>REALIZADO</v>
      </c>
      <c r="F99" s="183" t="s">
        <v>107</v>
      </c>
      <c r="G9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99" s="139" t="str">
        <f>IF(COUNTIF(Tabla_imprenta[LOTE],Tabla_control[[#This Row],[LOTE]])=1,INDEX(Tabla_imprenta[stock sap],MATCH(Tabla_control[[#This Row],[LOTE]],Tabla_imprenta[LOTE],0)),"ENTREGADO")</f>
        <v>ENTREGADO</v>
      </c>
      <c r="I99" s="139" t="str">
        <f>IF(Tabla_control[[#This Row],[STOCK SAP]]&gt;Tabla_control[[#This Row],[CANTIDAD IMPRIMIR]],"cubre","no cubre")</f>
        <v>no cubre</v>
      </c>
      <c r="J99" s="7" t="str">
        <f>IF(COUNTIF(Tabla_imprenta[LOTE],Tabla_control[[#This Row],[LOTE]])=1,INDEX(Tabla_imprenta[STOCK],MATCH(Tabla_control[[#This Row],[LOTE]],Tabla_imprenta[LOTE],0)),"ENTREGADO")</f>
        <v>ENTREGADO</v>
      </c>
      <c r="K9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99" s="148" t="e">
        <f>INDEX(Tabla_imprenta[FECHA CAJA],MATCH(Tabla_control[[#This Row],[LOTE]],Tabla_imprenta[LOTE],0))</f>
        <v>#N/A</v>
      </c>
      <c r="M9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9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9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99" s="169" t="e">
        <f>ROUNDUP(Tabla_control[[#This Row],[CANTIDAD IMPRIMIR]]/Tabla_control[[#This Row],[N TJ]],0)</f>
        <v>#VALUE!</v>
      </c>
      <c r="Q99" s="169" t="e">
        <f>IF(Tabla_control[[#This Row],[CANTIDAD TIRAJE]]&gt;10000,Tabla_control[[#This Row],[CANTIDAD TIRAJE]],Tabla_control[[#This Row],[CANTIDAD TIRAJE]]*2)</f>
        <v>#VALUE!</v>
      </c>
      <c r="R99" s="4" t="s">
        <v>175</v>
      </c>
      <c r="S99" s="4" t="s">
        <v>174</v>
      </c>
      <c r="T99" s="4"/>
      <c r="U99" s="4"/>
      <c r="V99" s="4"/>
      <c r="W99" s="138" t="s">
        <v>3223</v>
      </c>
      <c r="X99" s="138"/>
      <c r="Y99" s="138"/>
      <c r="Z99" s="138"/>
      <c r="AA99" s="4" t="s">
        <v>2031</v>
      </c>
      <c r="AB99" s="184" t="s">
        <v>2028</v>
      </c>
    </row>
    <row r="100" spans="1:28" hidden="1" x14ac:dyDescent="0.2">
      <c r="A100" s="175" t="str">
        <f>IF(COUNTIF(Tabla_imprenta[LOTE],Tabla_control[[#This Row],[LOTE]])=1,INDEX(Tabla_imprenta[FECHA EMISIÓN],MATCH(Tabla_control[[#This Row],[LOTE]],Tabla_imprenta[LOTE],0)),"REALIZADO")</f>
        <v>REALIZADO</v>
      </c>
      <c r="B100" s="142" t="str">
        <f>IF(COUNTIF(Tabla_imprenta[LOTE],Tabla_control[[#This Row],[LOTE]])=1,INDEX(Tabla_imprenta[CÓD. SOLICITUD],MATCH(Tabla_control[[#This Row],[LOTE]],Tabla_imprenta[LOTE],0)),"REALIZADO")</f>
        <v>REALIZADO</v>
      </c>
      <c r="C100" s="177" t="str">
        <f>IF(COUNTIF(Tabla_imprenta[LOTE],Tabla_control[[#This Row],[LOTE]])=1,INDEX(Tabla_imprenta[PRODUCTO],MATCH(Tabla_control[[#This Row],[LOTE]],Tabla_imprenta[LOTE],0)),"REALIZADO")</f>
        <v>REALIZADO</v>
      </c>
      <c r="D100" s="142" t="str">
        <f>IF(COUNTIF(Tabla_imprenta[LOTE],Tabla_control[[#This Row],[LOTE]])=1,INDEX(Tabla_imprenta[FORMA FARMACEUTICA],MATCH(Tabla_control[[#This Row],[LOTE]],Tabla_imprenta[LOTE],0)),"REALIZADO")</f>
        <v>REALIZADO</v>
      </c>
      <c r="E100" s="177" t="str">
        <f>IF(COUNTIF(Tabla_imprenta[LOTE],Tabla_control[[#This Row],[LOTE]])=1,INDEX(Tabla_imprenta[INSTITUCIÓN],MATCH(Tabla_control[[#This Row],[LOTE]],Tabla_imprenta[LOTE],0)),"REALIZADO")</f>
        <v>REALIZADO</v>
      </c>
      <c r="F100" s="180" t="s">
        <v>2158</v>
      </c>
      <c r="G10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00" s="139" t="str">
        <f>IF(COUNTIF(Tabla_imprenta[LOTE],Tabla_control[[#This Row],[LOTE]])=1,INDEX(Tabla_imprenta[stock sap],MATCH(Tabla_control[[#This Row],[LOTE]],Tabla_imprenta[LOTE],0)),"ENTREGADO")</f>
        <v>ENTREGADO</v>
      </c>
      <c r="I100" s="139" t="str">
        <f>IF(Tabla_control[[#This Row],[STOCK SAP]]&gt;Tabla_control[[#This Row],[CANTIDAD IMPRIMIR]],"cubre","no cubre")</f>
        <v>no cubre</v>
      </c>
      <c r="J100" s="7" t="str">
        <f>IF(COUNTIF(Tabla_imprenta[LOTE],Tabla_control[[#This Row],[LOTE]])=1,INDEX(Tabla_imprenta[STOCK],MATCH(Tabla_control[[#This Row],[LOTE]],Tabla_imprenta[LOTE],0)),"ENTREGADO")</f>
        <v>ENTREGADO</v>
      </c>
      <c r="K10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00" s="148" t="e">
        <f>INDEX(Tabla_imprenta[FECHA CAJA],MATCH(Tabla_control[[#This Row],[LOTE]],Tabla_imprenta[LOTE],0))</f>
        <v>#N/A</v>
      </c>
      <c r="M10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0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0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00" s="169" t="e">
        <f>ROUNDUP(Tabla_control[[#This Row],[CANTIDAD IMPRIMIR]]/Tabla_control[[#This Row],[N TJ]],0)</f>
        <v>#VALUE!</v>
      </c>
      <c r="Q100" s="169" t="e">
        <f>IF(Tabla_control[[#This Row],[CANTIDAD TIRAJE]]&gt;10000,Tabla_control[[#This Row],[CANTIDAD TIRAJE]],Tabla_control[[#This Row],[CANTIDAD TIRAJE]]*2)</f>
        <v>#VALUE!</v>
      </c>
      <c r="R100" s="4" t="s">
        <v>173</v>
      </c>
      <c r="S100" s="4" t="s">
        <v>174</v>
      </c>
      <c r="T100" s="4"/>
      <c r="U100" s="4"/>
      <c r="V100" s="4"/>
      <c r="W100" s="138" t="s">
        <v>3223</v>
      </c>
      <c r="X100" s="138"/>
      <c r="Y100" s="138"/>
      <c r="Z100" s="138"/>
      <c r="AA100" s="4" t="s">
        <v>2429</v>
      </c>
      <c r="AB100" s="184" t="s">
        <v>2028</v>
      </c>
    </row>
    <row r="101" spans="1:28" hidden="1" x14ac:dyDescent="0.2">
      <c r="A101" s="175" t="str">
        <f>IF(COUNTIF(Tabla_imprenta[LOTE],Tabla_control[[#This Row],[LOTE]])=1,INDEX(Tabla_imprenta[FECHA EMISIÓN],MATCH(Tabla_control[[#This Row],[LOTE]],Tabla_imprenta[LOTE],0)),"REALIZADO")</f>
        <v>REALIZADO</v>
      </c>
      <c r="B101" s="142" t="str">
        <f>IF(COUNTIF(Tabla_imprenta[LOTE],Tabla_control[[#This Row],[LOTE]])=1,INDEX(Tabla_imprenta[CÓD. SOLICITUD],MATCH(Tabla_control[[#This Row],[LOTE]],Tabla_imprenta[LOTE],0)),"REALIZADO")</f>
        <v>REALIZADO</v>
      </c>
      <c r="C101" s="177" t="str">
        <f>IF(COUNTIF(Tabla_imprenta[LOTE],Tabla_control[[#This Row],[LOTE]])=1,INDEX(Tabla_imprenta[PRODUCTO],MATCH(Tabla_control[[#This Row],[LOTE]],Tabla_imprenta[LOTE],0)),"REALIZADO")</f>
        <v>REALIZADO</v>
      </c>
      <c r="D101" s="142" t="str">
        <f>IF(COUNTIF(Tabla_imprenta[LOTE],Tabla_control[[#This Row],[LOTE]])=1,INDEX(Tabla_imprenta[FORMA FARMACEUTICA],MATCH(Tabla_control[[#This Row],[LOTE]],Tabla_imprenta[LOTE],0)),"REALIZADO")</f>
        <v>REALIZADO</v>
      </c>
      <c r="E101" s="177" t="str">
        <f>IF(COUNTIF(Tabla_imprenta[LOTE],Tabla_control[[#This Row],[LOTE]])=1,INDEX(Tabla_imprenta[INSTITUCIÓN],MATCH(Tabla_control[[#This Row],[LOTE]],Tabla_imprenta[LOTE],0)),"REALIZADO")</f>
        <v>REALIZADO</v>
      </c>
      <c r="F101" s="183" t="s">
        <v>144</v>
      </c>
      <c r="G10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01" s="139" t="str">
        <f>IF(COUNTIF(Tabla_imprenta[LOTE],Tabla_control[[#This Row],[LOTE]])=1,INDEX(Tabla_imprenta[stock sap],MATCH(Tabla_control[[#This Row],[LOTE]],Tabla_imprenta[LOTE],0)),"ENTREGADO")</f>
        <v>ENTREGADO</v>
      </c>
      <c r="I101" s="139" t="str">
        <f>IF(Tabla_control[[#This Row],[STOCK SAP]]&gt;Tabla_control[[#This Row],[CANTIDAD IMPRIMIR]],"cubre","no cubre")</f>
        <v>no cubre</v>
      </c>
      <c r="J101" s="7" t="str">
        <f>IF(COUNTIF(Tabla_imprenta[LOTE],Tabla_control[[#This Row],[LOTE]])=1,INDEX(Tabla_imprenta[STOCK],MATCH(Tabla_control[[#This Row],[LOTE]],Tabla_imprenta[LOTE],0)),"ENTREGADO")</f>
        <v>ENTREGADO</v>
      </c>
      <c r="K10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01" s="148" t="e">
        <f>INDEX(Tabla_imprenta[FECHA CAJA],MATCH(Tabla_control[[#This Row],[LOTE]],Tabla_imprenta[LOTE],0))</f>
        <v>#N/A</v>
      </c>
      <c r="M10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0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0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01" s="169" t="e">
        <f>ROUNDUP(Tabla_control[[#This Row],[CANTIDAD IMPRIMIR]]/Tabla_control[[#This Row],[N TJ]],0)</f>
        <v>#VALUE!</v>
      </c>
      <c r="Q101" s="169" t="e">
        <f>IF(Tabla_control[[#This Row],[CANTIDAD TIRAJE]]&gt;10000,Tabla_control[[#This Row],[CANTIDAD TIRAJE]],Tabla_control[[#This Row],[CANTIDAD TIRAJE]]*2)</f>
        <v>#VALUE!</v>
      </c>
      <c r="R101" s="4" t="s">
        <v>173</v>
      </c>
      <c r="S101" s="4" t="s">
        <v>174</v>
      </c>
      <c r="T101" s="4"/>
      <c r="U101" s="4"/>
      <c r="V101" s="4"/>
      <c r="W101" s="138" t="s">
        <v>3223</v>
      </c>
      <c r="X101" s="138"/>
      <c r="Y101" s="138"/>
      <c r="Z101" s="138"/>
      <c r="AA101" s="4" t="s">
        <v>2031</v>
      </c>
      <c r="AB101" s="184" t="s">
        <v>2028</v>
      </c>
    </row>
    <row r="102" spans="1:28" hidden="1" x14ac:dyDescent="0.2">
      <c r="A102" s="175" t="str">
        <f>IF(COUNTIF(Tabla_imprenta[LOTE],Tabla_control[[#This Row],[LOTE]])=1,INDEX(Tabla_imprenta[FECHA EMISIÓN],MATCH(Tabla_control[[#This Row],[LOTE]],Tabla_imprenta[LOTE],0)),"REALIZADO")</f>
        <v>REALIZADO</v>
      </c>
      <c r="B102" s="142" t="str">
        <f>IF(COUNTIF(Tabla_imprenta[LOTE],Tabla_control[[#This Row],[LOTE]])=1,INDEX(Tabla_imprenta[CÓD. SOLICITUD],MATCH(Tabla_control[[#This Row],[LOTE]],Tabla_imprenta[LOTE],0)),"REALIZADO")</f>
        <v>REALIZADO</v>
      </c>
      <c r="C102" s="177" t="str">
        <f>IF(COUNTIF(Tabla_imprenta[LOTE],Tabla_control[[#This Row],[LOTE]])=1,INDEX(Tabla_imprenta[PRODUCTO],MATCH(Tabla_control[[#This Row],[LOTE]],Tabla_imprenta[LOTE],0)),"REALIZADO")</f>
        <v>REALIZADO</v>
      </c>
      <c r="D102" s="142" t="str">
        <f>IF(COUNTIF(Tabla_imprenta[LOTE],Tabla_control[[#This Row],[LOTE]])=1,INDEX(Tabla_imprenta[FORMA FARMACEUTICA],MATCH(Tabla_control[[#This Row],[LOTE]],Tabla_imprenta[LOTE],0)),"REALIZADO")</f>
        <v>REALIZADO</v>
      </c>
      <c r="E102" s="177" t="str">
        <f>IF(COUNTIF(Tabla_imprenta[LOTE],Tabla_control[[#This Row],[LOTE]])=1,INDEX(Tabla_imprenta[INSTITUCIÓN],MATCH(Tabla_control[[#This Row],[LOTE]],Tabla_imprenta[LOTE],0)),"REALIZADO")</f>
        <v>REALIZADO</v>
      </c>
      <c r="F102" s="180" t="s">
        <v>196</v>
      </c>
      <c r="G10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02" s="139" t="str">
        <f>IF(COUNTIF(Tabla_imprenta[LOTE],Tabla_control[[#This Row],[LOTE]])=1,INDEX(Tabla_imprenta[stock sap],MATCH(Tabla_control[[#This Row],[LOTE]],Tabla_imprenta[LOTE],0)),"ENTREGADO")</f>
        <v>ENTREGADO</v>
      </c>
      <c r="I102" s="139" t="str">
        <f>IF(Tabla_control[[#This Row],[STOCK SAP]]&gt;Tabla_control[[#This Row],[CANTIDAD IMPRIMIR]],"cubre","no cubre")</f>
        <v>no cubre</v>
      </c>
      <c r="J102" s="7" t="str">
        <f>IF(COUNTIF(Tabla_imprenta[LOTE],Tabla_control[[#This Row],[LOTE]])=1,INDEX(Tabla_imprenta[STOCK],MATCH(Tabla_control[[#This Row],[LOTE]],Tabla_imprenta[LOTE],0)),"ENTREGADO")</f>
        <v>ENTREGADO</v>
      </c>
      <c r="K10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02" s="148" t="e">
        <f>INDEX(Tabla_imprenta[FECHA CAJA],MATCH(Tabla_control[[#This Row],[LOTE]],Tabla_imprenta[LOTE],0))</f>
        <v>#N/A</v>
      </c>
      <c r="M10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0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0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02" s="169" t="e">
        <f>ROUNDUP(Tabla_control[[#This Row],[CANTIDAD IMPRIMIR]]/Tabla_control[[#This Row],[N TJ]],0)</f>
        <v>#VALUE!</v>
      </c>
      <c r="Q102" s="169" t="e">
        <f>IF(Tabla_control[[#This Row],[CANTIDAD TIRAJE]]&gt;10000,Tabla_control[[#This Row],[CANTIDAD TIRAJE]],Tabla_control[[#This Row],[CANTIDAD TIRAJE]]*2)</f>
        <v>#VALUE!</v>
      </c>
      <c r="R102" s="4" t="s">
        <v>211</v>
      </c>
      <c r="S102" s="4" t="s">
        <v>174</v>
      </c>
      <c r="T102" s="4"/>
      <c r="U102" s="4"/>
      <c r="V102" s="4"/>
      <c r="W102" s="138" t="s">
        <v>3223</v>
      </c>
      <c r="X102" s="138"/>
      <c r="Y102" s="138"/>
      <c r="Z102" s="138"/>
      <c r="AA102" s="4" t="s">
        <v>2314</v>
      </c>
      <c r="AB102" s="184" t="s">
        <v>2028</v>
      </c>
    </row>
    <row r="103" spans="1:28" hidden="1" x14ac:dyDescent="0.2">
      <c r="A103" s="175" t="str">
        <f>IF(COUNTIF(Tabla_imprenta[LOTE],Tabla_control[[#This Row],[LOTE]])=1,INDEX(Tabla_imprenta[FECHA EMISIÓN],MATCH(Tabla_control[[#This Row],[LOTE]],Tabla_imprenta[LOTE],0)),"REALIZADO")</f>
        <v>REALIZADO</v>
      </c>
      <c r="B103" s="142" t="str">
        <f>IF(COUNTIF(Tabla_imprenta[LOTE],Tabla_control[[#This Row],[LOTE]])=1,INDEX(Tabla_imprenta[CÓD. SOLICITUD],MATCH(Tabla_control[[#This Row],[LOTE]],Tabla_imprenta[LOTE],0)),"REALIZADO")</f>
        <v>REALIZADO</v>
      </c>
      <c r="C103" s="177" t="str">
        <f>IF(COUNTIF(Tabla_imprenta[LOTE],Tabla_control[[#This Row],[LOTE]])=1,INDEX(Tabla_imprenta[PRODUCTO],MATCH(Tabla_control[[#This Row],[LOTE]],Tabla_imprenta[LOTE],0)),"REALIZADO")</f>
        <v>REALIZADO</v>
      </c>
      <c r="D103" s="142" t="str">
        <f>IF(COUNTIF(Tabla_imprenta[LOTE],Tabla_control[[#This Row],[LOTE]])=1,INDEX(Tabla_imprenta[FORMA FARMACEUTICA],MATCH(Tabla_control[[#This Row],[LOTE]],Tabla_imprenta[LOTE],0)),"REALIZADO")</f>
        <v>REALIZADO</v>
      </c>
      <c r="E103" s="177" t="str">
        <f>IF(COUNTIF(Tabla_imprenta[LOTE],Tabla_control[[#This Row],[LOTE]])=1,INDEX(Tabla_imprenta[INSTITUCIÓN],MATCH(Tabla_control[[#This Row],[LOTE]],Tabla_imprenta[LOTE],0)),"REALIZADO")</f>
        <v>REALIZADO</v>
      </c>
      <c r="F103" s="183" t="s">
        <v>157</v>
      </c>
      <c r="G10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03" s="139" t="str">
        <f>IF(COUNTIF(Tabla_imprenta[LOTE],Tabla_control[[#This Row],[LOTE]])=1,INDEX(Tabla_imprenta[stock sap],MATCH(Tabla_control[[#This Row],[LOTE]],Tabla_imprenta[LOTE],0)),"ENTREGADO")</f>
        <v>ENTREGADO</v>
      </c>
      <c r="I103" s="139" t="str">
        <f>IF(Tabla_control[[#This Row],[STOCK SAP]]&gt;Tabla_control[[#This Row],[CANTIDAD IMPRIMIR]],"cubre","no cubre")</f>
        <v>no cubre</v>
      </c>
      <c r="J103" s="7" t="str">
        <f>IF(COUNTIF(Tabla_imprenta[LOTE],Tabla_control[[#This Row],[LOTE]])=1,INDEX(Tabla_imprenta[STOCK],MATCH(Tabla_control[[#This Row],[LOTE]],Tabla_imprenta[LOTE],0)),"ENTREGADO")</f>
        <v>ENTREGADO</v>
      </c>
      <c r="K10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03" s="148" t="e">
        <f>INDEX(Tabla_imprenta[FECHA CAJA],MATCH(Tabla_control[[#This Row],[LOTE]],Tabla_imprenta[LOTE],0))</f>
        <v>#N/A</v>
      </c>
      <c r="M10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0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0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03" s="169" t="e">
        <f>ROUNDUP(Tabla_control[[#This Row],[CANTIDAD IMPRIMIR]]/Tabla_control[[#This Row],[N TJ]],0)</f>
        <v>#VALUE!</v>
      </c>
      <c r="Q103" s="169" t="e">
        <f>IF(Tabla_control[[#This Row],[CANTIDAD TIRAJE]]&gt;10000,Tabla_control[[#This Row],[CANTIDAD TIRAJE]],Tabla_control[[#This Row],[CANTIDAD TIRAJE]]*2)</f>
        <v>#VALUE!</v>
      </c>
      <c r="R103" s="4" t="s">
        <v>173</v>
      </c>
      <c r="S103" s="4" t="s">
        <v>174</v>
      </c>
      <c r="T103" s="4"/>
      <c r="U103" s="4"/>
      <c r="V103" s="4"/>
      <c r="W103" s="138" t="s">
        <v>3223</v>
      </c>
      <c r="X103" s="138"/>
      <c r="Y103" s="138"/>
      <c r="Z103" s="138"/>
      <c r="AA103" s="4" t="s">
        <v>2031</v>
      </c>
      <c r="AB103" s="184" t="s">
        <v>2028</v>
      </c>
    </row>
    <row r="104" spans="1:28" hidden="1" x14ac:dyDescent="0.2">
      <c r="A104" s="175" t="str">
        <f>IF(COUNTIF(Tabla_imprenta[LOTE],Tabla_control[[#This Row],[LOTE]])=1,INDEX(Tabla_imprenta[FECHA EMISIÓN],MATCH(Tabla_control[[#This Row],[LOTE]],Tabla_imprenta[LOTE],0)),"REALIZADO")</f>
        <v>REALIZADO</v>
      </c>
      <c r="B104" s="142" t="str">
        <f>IF(COUNTIF(Tabla_imprenta[LOTE],Tabla_control[[#This Row],[LOTE]])=1,INDEX(Tabla_imprenta[CÓD. SOLICITUD],MATCH(Tabla_control[[#This Row],[LOTE]],Tabla_imprenta[LOTE],0)),"REALIZADO")</f>
        <v>REALIZADO</v>
      </c>
      <c r="C104" s="177" t="str">
        <f>IF(COUNTIF(Tabla_imprenta[LOTE],Tabla_control[[#This Row],[LOTE]])=1,INDEX(Tabla_imprenta[PRODUCTO],MATCH(Tabla_control[[#This Row],[LOTE]],Tabla_imprenta[LOTE],0)),"REALIZADO")</f>
        <v>REALIZADO</v>
      </c>
      <c r="D104" s="142" t="str">
        <f>IF(COUNTIF(Tabla_imprenta[LOTE],Tabla_control[[#This Row],[LOTE]])=1,INDEX(Tabla_imprenta[FORMA FARMACEUTICA],MATCH(Tabla_control[[#This Row],[LOTE]],Tabla_imprenta[LOTE],0)),"REALIZADO")</f>
        <v>REALIZADO</v>
      </c>
      <c r="E104" s="177" t="str">
        <f>IF(COUNTIF(Tabla_imprenta[LOTE],Tabla_control[[#This Row],[LOTE]])=1,INDEX(Tabla_imprenta[INSTITUCIÓN],MATCH(Tabla_control[[#This Row],[LOTE]],Tabla_imprenta[LOTE],0)),"REALIZADO")</f>
        <v>REALIZADO</v>
      </c>
      <c r="F104" s="180" t="s">
        <v>2029</v>
      </c>
      <c r="G10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04" s="139" t="str">
        <f>IF(COUNTIF(Tabla_imprenta[LOTE],Tabla_control[[#This Row],[LOTE]])=1,INDEX(Tabla_imprenta[stock sap],MATCH(Tabla_control[[#This Row],[LOTE]],Tabla_imprenta[LOTE],0)),"ENTREGADO")</f>
        <v>ENTREGADO</v>
      </c>
      <c r="I104" s="139" t="str">
        <f>IF(Tabla_control[[#This Row],[STOCK SAP]]&gt;Tabla_control[[#This Row],[CANTIDAD IMPRIMIR]],"cubre","no cubre")</f>
        <v>no cubre</v>
      </c>
      <c r="J104" s="7" t="str">
        <f>IF(COUNTIF(Tabla_imprenta[LOTE],Tabla_control[[#This Row],[LOTE]])=1,INDEX(Tabla_imprenta[STOCK],MATCH(Tabla_control[[#This Row],[LOTE]],Tabla_imprenta[LOTE],0)),"ENTREGADO")</f>
        <v>ENTREGADO</v>
      </c>
      <c r="K10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04" s="148" t="e">
        <f>INDEX(Tabla_imprenta[FECHA CAJA],MATCH(Tabla_control[[#This Row],[LOTE]],Tabla_imprenta[LOTE],0))</f>
        <v>#N/A</v>
      </c>
      <c r="M10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0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0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04" s="169" t="e">
        <f>ROUNDUP(Tabla_control[[#This Row],[CANTIDAD IMPRIMIR]]/Tabla_control[[#This Row],[N TJ]],0)</f>
        <v>#VALUE!</v>
      </c>
      <c r="Q104" s="169" t="e">
        <f>IF(Tabla_control[[#This Row],[CANTIDAD TIRAJE]]&gt;10000,Tabla_control[[#This Row],[CANTIDAD TIRAJE]],Tabla_control[[#This Row],[CANTIDAD TIRAJE]]*2)</f>
        <v>#VALUE!</v>
      </c>
      <c r="R104" s="4" t="s">
        <v>2030</v>
      </c>
      <c r="S104" s="4" t="s">
        <v>31</v>
      </c>
      <c r="T104" s="4"/>
      <c r="U104" s="4"/>
      <c r="V104" s="4"/>
      <c r="W104" s="138" t="s">
        <v>3223</v>
      </c>
      <c r="X104" s="138"/>
      <c r="Y104" s="138"/>
      <c r="Z104" s="138"/>
      <c r="AA104" s="4" t="s">
        <v>2429</v>
      </c>
      <c r="AB104" s="184" t="s">
        <v>2028</v>
      </c>
    </row>
    <row r="105" spans="1:28" hidden="1" x14ac:dyDescent="0.2">
      <c r="A105" s="175" t="str">
        <f>IF(COUNTIF(Tabla_imprenta[LOTE],Tabla_control[[#This Row],[LOTE]])=1,INDEX(Tabla_imprenta[FECHA EMISIÓN],MATCH(Tabla_control[[#This Row],[LOTE]],Tabla_imprenta[LOTE],0)),"REALIZADO")</f>
        <v>REALIZADO</v>
      </c>
      <c r="B105" s="142" t="str">
        <f>IF(COUNTIF(Tabla_imprenta[LOTE],Tabla_control[[#This Row],[LOTE]])=1,INDEX(Tabla_imprenta[CÓD. SOLICITUD],MATCH(Tabla_control[[#This Row],[LOTE]],Tabla_imprenta[LOTE],0)),"REALIZADO")</f>
        <v>REALIZADO</v>
      </c>
      <c r="C105" s="177" t="str">
        <f>IF(COUNTIF(Tabla_imprenta[LOTE],Tabla_control[[#This Row],[LOTE]])=1,INDEX(Tabla_imprenta[PRODUCTO],MATCH(Tabla_control[[#This Row],[LOTE]],Tabla_imprenta[LOTE],0)),"REALIZADO")</f>
        <v>REALIZADO</v>
      </c>
      <c r="D105" s="142" t="str">
        <f>IF(COUNTIF(Tabla_imprenta[LOTE],Tabla_control[[#This Row],[LOTE]])=1,INDEX(Tabla_imprenta[FORMA FARMACEUTICA],MATCH(Tabla_control[[#This Row],[LOTE]],Tabla_imprenta[LOTE],0)),"REALIZADO")</f>
        <v>REALIZADO</v>
      </c>
      <c r="E105" s="177" t="str">
        <f>IF(COUNTIF(Tabla_imprenta[LOTE],Tabla_control[[#This Row],[LOTE]])=1,INDEX(Tabla_imprenta[INSTITUCIÓN],MATCH(Tabla_control[[#This Row],[LOTE]],Tabla_imprenta[LOTE],0)),"REALIZADO")</f>
        <v>REALIZADO</v>
      </c>
      <c r="F105" s="183" t="s">
        <v>127</v>
      </c>
      <c r="G10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05" s="139" t="str">
        <f>IF(COUNTIF(Tabla_imprenta[LOTE],Tabla_control[[#This Row],[LOTE]])=1,INDEX(Tabla_imprenta[stock sap],MATCH(Tabla_control[[#This Row],[LOTE]],Tabla_imprenta[LOTE],0)),"ENTREGADO")</f>
        <v>ENTREGADO</v>
      </c>
      <c r="I105" s="139" t="str">
        <f>IF(Tabla_control[[#This Row],[STOCK SAP]]&gt;Tabla_control[[#This Row],[CANTIDAD IMPRIMIR]],"cubre","no cubre")</f>
        <v>no cubre</v>
      </c>
      <c r="J105" s="7" t="str">
        <f>IF(COUNTIF(Tabla_imprenta[LOTE],Tabla_control[[#This Row],[LOTE]])=1,INDEX(Tabla_imprenta[STOCK],MATCH(Tabla_control[[#This Row],[LOTE]],Tabla_imprenta[LOTE],0)),"ENTREGADO")</f>
        <v>ENTREGADO</v>
      </c>
      <c r="K10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05" s="148" t="e">
        <f>INDEX(Tabla_imprenta[FECHA CAJA],MATCH(Tabla_control[[#This Row],[LOTE]],Tabla_imprenta[LOTE],0))</f>
        <v>#N/A</v>
      </c>
      <c r="M10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0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0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05" s="169" t="e">
        <f>ROUNDUP(Tabla_control[[#This Row],[CANTIDAD IMPRIMIR]]/Tabla_control[[#This Row],[N TJ]],0)</f>
        <v>#VALUE!</v>
      </c>
      <c r="Q105" s="169" t="e">
        <f>IF(Tabla_control[[#This Row],[CANTIDAD TIRAJE]]&gt;10000,Tabla_control[[#This Row],[CANTIDAD TIRAJE]],Tabla_control[[#This Row],[CANTIDAD TIRAJE]]*2)</f>
        <v>#VALUE!</v>
      </c>
      <c r="R105" s="4" t="s">
        <v>172</v>
      </c>
      <c r="S105" s="4" t="s">
        <v>30</v>
      </c>
      <c r="T105" s="4"/>
      <c r="U105" s="4"/>
      <c r="V105" s="4"/>
      <c r="W105" s="138" t="s">
        <v>3223</v>
      </c>
      <c r="X105" s="138"/>
      <c r="Y105" s="138"/>
      <c r="Z105" s="138"/>
      <c r="AA105" s="4" t="s">
        <v>2031</v>
      </c>
      <c r="AB105" s="184" t="s">
        <v>2028</v>
      </c>
    </row>
    <row r="106" spans="1:28" hidden="1" x14ac:dyDescent="0.2">
      <c r="A106" s="175" t="str">
        <f>IF(COUNTIF(Tabla_imprenta[LOTE],Tabla_control[[#This Row],[LOTE]])=1,INDEX(Tabla_imprenta[FECHA EMISIÓN],MATCH(Tabla_control[[#This Row],[LOTE]],Tabla_imprenta[LOTE],0)),"REALIZADO")</f>
        <v>REALIZADO</v>
      </c>
      <c r="B106" s="142" t="str">
        <f>IF(COUNTIF(Tabla_imprenta[LOTE],Tabla_control[[#This Row],[LOTE]])=1,INDEX(Tabla_imprenta[CÓD. SOLICITUD],MATCH(Tabla_control[[#This Row],[LOTE]],Tabla_imprenta[LOTE],0)),"REALIZADO")</f>
        <v>REALIZADO</v>
      </c>
      <c r="C106" s="177" t="str">
        <f>IF(COUNTIF(Tabla_imprenta[LOTE],Tabla_control[[#This Row],[LOTE]])=1,INDEX(Tabla_imprenta[PRODUCTO],MATCH(Tabla_control[[#This Row],[LOTE]],Tabla_imprenta[LOTE],0)),"REALIZADO")</f>
        <v>REALIZADO</v>
      </c>
      <c r="D106" s="142" t="str">
        <f>IF(COUNTIF(Tabla_imprenta[LOTE],Tabla_control[[#This Row],[LOTE]])=1,INDEX(Tabla_imprenta[FORMA FARMACEUTICA],MATCH(Tabla_control[[#This Row],[LOTE]],Tabla_imprenta[LOTE],0)),"REALIZADO")</f>
        <v>REALIZADO</v>
      </c>
      <c r="E106" s="177" t="str">
        <f>IF(COUNTIF(Tabla_imprenta[LOTE],Tabla_control[[#This Row],[LOTE]])=1,INDEX(Tabla_imprenta[INSTITUCIÓN],MATCH(Tabla_control[[#This Row],[LOTE]],Tabla_imprenta[LOTE],0)),"REALIZADO")</f>
        <v>REALIZADO</v>
      </c>
      <c r="F106" s="180" t="s">
        <v>2235</v>
      </c>
      <c r="G10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06" s="139" t="str">
        <f>IF(COUNTIF(Tabla_imprenta[LOTE],Tabla_control[[#This Row],[LOTE]])=1,INDEX(Tabla_imprenta[stock sap],MATCH(Tabla_control[[#This Row],[LOTE]],Tabla_imprenta[LOTE],0)),"ENTREGADO")</f>
        <v>ENTREGADO</v>
      </c>
      <c r="I106" s="139" t="str">
        <f>IF(Tabla_control[[#This Row],[STOCK SAP]]&gt;Tabla_control[[#This Row],[CANTIDAD IMPRIMIR]],"cubre","no cubre")</f>
        <v>no cubre</v>
      </c>
      <c r="J106" s="7" t="str">
        <f>IF(COUNTIF(Tabla_imprenta[LOTE],Tabla_control[[#This Row],[LOTE]])=1,INDEX(Tabla_imprenta[STOCK],MATCH(Tabla_control[[#This Row],[LOTE]],Tabla_imprenta[LOTE],0)),"ENTREGADO")</f>
        <v>ENTREGADO</v>
      </c>
      <c r="K10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06" s="148" t="e">
        <f>INDEX(Tabla_imprenta[FECHA CAJA],MATCH(Tabla_control[[#This Row],[LOTE]],Tabla_imprenta[LOTE],0))</f>
        <v>#N/A</v>
      </c>
      <c r="M10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0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0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06" s="169" t="e">
        <f>ROUNDUP(Tabla_control[[#This Row],[CANTIDAD IMPRIMIR]]/Tabla_control[[#This Row],[N TJ]],0)</f>
        <v>#VALUE!</v>
      </c>
      <c r="Q106" s="169" t="e">
        <f>IF(Tabla_control[[#This Row],[CANTIDAD TIRAJE]]&gt;10000,Tabla_control[[#This Row],[CANTIDAD TIRAJE]],Tabla_control[[#This Row],[CANTIDAD TIRAJE]]*2)</f>
        <v>#VALUE!</v>
      </c>
      <c r="R106" s="4" t="s">
        <v>177</v>
      </c>
      <c r="S106" s="4" t="s">
        <v>31</v>
      </c>
      <c r="T106" s="4"/>
      <c r="U106" s="4"/>
      <c r="V106" s="4"/>
      <c r="W106" s="185" t="s">
        <v>2470</v>
      </c>
      <c r="X106" s="185"/>
      <c r="Y106" s="185"/>
      <c r="Z106" s="185"/>
      <c r="AA106" s="4" t="s">
        <v>171</v>
      </c>
      <c r="AB106" s="184" t="s">
        <v>2028</v>
      </c>
    </row>
    <row r="107" spans="1:28" hidden="1" x14ac:dyDescent="0.2">
      <c r="A107" s="175" t="str">
        <f>IF(COUNTIF(Tabla_imprenta[LOTE],Tabla_control[[#This Row],[LOTE]])=1,INDEX(Tabla_imprenta[FECHA EMISIÓN],MATCH(Tabla_control[[#This Row],[LOTE]],Tabla_imprenta[LOTE],0)),"REALIZADO")</f>
        <v>REALIZADO</v>
      </c>
      <c r="B107" s="142" t="str">
        <f>IF(COUNTIF(Tabla_imprenta[LOTE],Tabla_control[[#This Row],[LOTE]])=1,INDEX(Tabla_imprenta[CÓD. SOLICITUD],MATCH(Tabla_control[[#This Row],[LOTE]],Tabla_imprenta[LOTE],0)),"REALIZADO")</f>
        <v>REALIZADO</v>
      </c>
      <c r="C107" s="177" t="str">
        <f>IF(COUNTIF(Tabla_imprenta[LOTE],Tabla_control[[#This Row],[LOTE]])=1,INDEX(Tabla_imprenta[PRODUCTO],MATCH(Tabla_control[[#This Row],[LOTE]],Tabla_imprenta[LOTE],0)),"REALIZADO")</f>
        <v>REALIZADO</v>
      </c>
      <c r="D107" s="142" t="str">
        <f>IF(COUNTIF(Tabla_imprenta[LOTE],Tabla_control[[#This Row],[LOTE]])=1,INDEX(Tabla_imprenta[FORMA FARMACEUTICA],MATCH(Tabla_control[[#This Row],[LOTE]],Tabla_imprenta[LOTE],0)),"REALIZADO")</f>
        <v>REALIZADO</v>
      </c>
      <c r="E107" s="177" t="str">
        <f>IF(COUNTIF(Tabla_imprenta[LOTE],Tabla_control[[#This Row],[LOTE]])=1,INDEX(Tabla_imprenta[INSTITUCIÓN],MATCH(Tabla_control[[#This Row],[LOTE]],Tabla_imprenta[LOTE],0)),"REALIZADO")</f>
        <v>REALIZADO</v>
      </c>
      <c r="F107" s="180" t="s">
        <v>2122</v>
      </c>
      <c r="G10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07" s="139" t="str">
        <f>IF(COUNTIF(Tabla_imprenta[LOTE],Tabla_control[[#This Row],[LOTE]])=1,INDEX(Tabla_imprenta[stock sap],MATCH(Tabla_control[[#This Row],[LOTE]],Tabla_imprenta[LOTE],0)),"ENTREGADO")</f>
        <v>ENTREGADO</v>
      </c>
      <c r="I107" s="139" t="str">
        <f>IF(Tabla_control[[#This Row],[STOCK SAP]]&gt;Tabla_control[[#This Row],[CANTIDAD IMPRIMIR]],"cubre","no cubre")</f>
        <v>no cubre</v>
      </c>
      <c r="J107" s="7" t="str">
        <f>IF(COUNTIF(Tabla_imprenta[LOTE],Tabla_control[[#This Row],[LOTE]])=1,INDEX(Tabla_imprenta[STOCK],MATCH(Tabla_control[[#This Row],[LOTE]],Tabla_imprenta[LOTE],0)),"ENTREGADO")</f>
        <v>ENTREGADO</v>
      </c>
      <c r="K10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07" s="148" t="e">
        <f>INDEX(Tabla_imprenta[FECHA CAJA],MATCH(Tabla_control[[#This Row],[LOTE]],Tabla_imprenta[LOTE],0))</f>
        <v>#N/A</v>
      </c>
      <c r="M10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0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0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07" s="169" t="e">
        <f>ROUNDUP(Tabla_control[[#This Row],[CANTIDAD IMPRIMIR]]/Tabla_control[[#This Row],[N TJ]],0)</f>
        <v>#VALUE!</v>
      </c>
      <c r="Q107" s="169" t="e">
        <f>IF(Tabla_control[[#This Row],[CANTIDAD TIRAJE]]&gt;10000,Tabla_control[[#This Row],[CANTIDAD TIRAJE]],Tabla_control[[#This Row],[CANTIDAD TIRAJE]]*2)</f>
        <v>#VALUE!</v>
      </c>
      <c r="R107" s="4" t="s">
        <v>173</v>
      </c>
      <c r="S107" s="4" t="s">
        <v>174</v>
      </c>
      <c r="T107" s="4"/>
      <c r="U107" s="4"/>
      <c r="V107" s="4"/>
      <c r="W107" s="138" t="s">
        <v>3223</v>
      </c>
      <c r="X107" s="138"/>
      <c r="Y107" s="138"/>
      <c r="Z107" s="138"/>
      <c r="AA107" s="4" t="s">
        <v>321</v>
      </c>
      <c r="AB107" s="184" t="s">
        <v>2028</v>
      </c>
    </row>
    <row r="108" spans="1:28" hidden="1" x14ac:dyDescent="0.2">
      <c r="A108" s="175" t="str">
        <f>IF(COUNTIF(Tabla_imprenta[LOTE],Tabla_control[[#This Row],[LOTE]])=1,INDEX(Tabla_imprenta[FECHA EMISIÓN],MATCH(Tabla_control[[#This Row],[LOTE]],Tabla_imprenta[LOTE],0)),"REALIZADO")</f>
        <v>REALIZADO</v>
      </c>
      <c r="B108" s="142" t="str">
        <f>IF(COUNTIF(Tabla_imprenta[LOTE],Tabla_control[[#This Row],[LOTE]])=1,INDEX(Tabla_imprenta[CÓD. SOLICITUD],MATCH(Tabla_control[[#This Row],[LOTE]],Tabla_imprenta[LOTE],0)),"REALIZADO")</f>
        <v>REALIZADO</v>
      </c>
      <c r="C108" s="177" t="str">
        <f>IF(COUNTIF(Tabla_imprenta[LOTE],Tabla_control[[#This Row],[LOTE]])=1,INDEX(Tabla_imprenta[PRODUCTO],MATCH(Tabla_control[[#This Row],[LOTE]],Tabla_imprenta[LOTE],0)),"REALIZADO")</f>
        <v>REALIZADO</v>
      </c>
      <c r="D108" s="142" t="str">
        <f>IF(COUNTIF(Tabla_imprenta[LOTE],Tabla_control[[#This Row],[LOTE]])=1,INDEX(Tabla_imprenta[FORMA FARMACEUTICA],MATCH(Tabla_control[[#This Row],[LOTE]],Tabla_imprenta[LOTE],0)),"REALIZADO")</f>
        <v>REALIZADO</v>
      </c>
      <c r="E108" s="177" t="str">
        <f>IF(COUNTIF(Tabla_imprenta[LOTE],Tabla_control[[#This Row],[LOTE]])=1,INDEX(Tabla_imprenta[INSTITUCIÓN],MATCH(Tabla_control[[#This Row],[LOTE]],Tabla_imprenta[LOTE],0)),"REALIZADO")</f>
        <v>REALIZADO</v>
      </c>
      <c r="F108" s="180" t="s">
        <v>215</v>
      </c>
      <c r="G10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08" s="139" t="str">
        <f>IF(COUNTIF(Tabla_imprenta[LOTE],Tabla_control[[#This Row],[LOTE]])=1,INDEX(Tabla_imprenta[stock sap],MATCH(Tabla_control[[#This Row],[LOTE]],Tabla_imprenta[LOTE],0)),"ENTREGADO")</f>
        <v>ENTREGADO</v>
      </c>
      <c r="I108" s="139" t="str">
        <f>IF(Tabla_control[[#This Row],[STOCK SAP]]&gt;Tabla_control[[#This Row],[CANTIDAD IMPRIMIR]],"cubre","no cubre")</f>
        <v>no cubre</v>
      </c>
      <c r="J108" s="7" t="str">
        <f>IF(COUNTIF(Tabla_imprenta[LOTE],Tabla_control[[#This Row],[LOTE]])=1,INDEX(Tabla_imprenta[STOCK],MATCH(Tabla_control[[#This Row],[LOTE]],Tabla_imprenta[LOTE],0)),"ENTREGADO")</f>
        <v>ENTREGADO</v>
      </c>
      <c r="K10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08" s="148" t="e">
        <f>INDEX(Tabla_imprenta[FECHA CAJA],MATCH(Tabla_control[[#This Row],[LOTE]],Tabla_imprenta[LOTE],0))</f>
        <v>#N/A</v>
      </c>
      <c r="M10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0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0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08" s="169" t="e">
        <f>ROUNDUP(Tabla_control[[#This Row],[CANTIDAD IMPRIMIR]]/Tabla_control[[#This Row],[N TJ]],0)</f>
        <v>#VALUE!</v>
      </c>
      <c r="Q108" s="169" t="e">
        <f>IF(Tabla_control[[#This Row],[CANTIDAD TIRAJE]]&gt;10000,Tabla_control[[#This Row],[CANTIDAD TIRAJE]],Tabla_control[[#This Row],[CANTIDAD TIRAJE]]*2)</f>
        <v>#VALUE!</v>
      </c>
      <c r="R108" s="4" t="s">
        <v>172</v>
      </c>
      <c r="S108" s="4" t="s">
        <v>30</v>
      </c>
      <c r="T108" s="4"/>
      <c r="U108" s="4"/>
      <c r="V108" s="4"/>
      <c r="W108" s="138" t="s">
        <v>3223</v>
      </c>
      <c r="X108" s="138"/>
      <c r="Y108" s="138"/>
      <c r="Z108" s="138"/>
      <c r="AA108" s="4" t="s">
        <v>2031</v>
      </c>
      <c r="AB108" s="184" t="s">
        <v>2028</v>
      </c>
    </row>
    <row r="109" spans="1:28" hidden="1" x14ac:dyDescent="0.2">
      <c r="A109" s="175" t="str">
        <f>IF(COUNTIF(Tabla_imprenta[LOTE],Tabla_control[[#This Row],[LOTE]])=1,INDEX(Tabla_imprenta[FECHA EMISIÓN],MATCH(Tabla_control[[#This Row],[LOTE]],Tabla_imprenta[LOTE],0)),"REALIZADO")</f>
        <v>REALIZADO</v>
      </c>
      <c r="B109" s="142" t="str">
        <f>IF(COUNTIF(Tabla_imprenta[LOTE],Tabla_control[[#This Row],[LOTE]])=1,INDEX(Tabla_imprenta[CÓD. SOLICITUD],MATCH(Tabla_control[[#This Row],[LOTE]],Tabla_imprenta[LOTE],0)),"REALIZADO")</f>
        <v>REALIZADO</v>
      </c>
      <c r="C109" s="177" t="str">
        <f>IF(COUNTIF(Tabla_imprenta[LOTE],Tabla_control[[#This Row],[LOTE]])=1,INDEX(Tabla_imprenta[PRODUCTO],MATCH(Tabla_control[[#This Row],[LOTE]],Tabla_imprenta[LOTE],0)),"REALIZADO")</f>
        <v>REALIZADO</v>
      </c>
      <c r="D109" s="142" t="str">
        <f>IF(COUNTIF(Tabla_imprenta[LOTE],Tabla_control[[#This Row],[LOTE]])=1,INDEX(Tabla_imprenta[FORMA FARMACEUTICA],MATCH(Tabla_control[[#This Row],[LOTE]],Tabla_imprenta[LOTE],0)),"REALIZADO")</f>
        <v>REALIZADO</v>
      </c>
      <c r="E109" s="177" t="str">
        <f>IF(COUNTIF(Tabla_imprenta[LOTE],Tabla_control[[#This Row],[LOTE]])=1,INDEX(Tabla_imprenta[INSTITUCIÓN],MATCH(Tabla_control[[#This Row],[LOTE]],Tabla_imprenta[LOTE],0)),"REALIZADO")</f>
        <v>REALIZADO</v>
      </c>
      <c r="F109" s="183" t="s">
        <v>170</v>
      </c>
      <c r="G10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09" s="139" t="str">
        <f>IF(COUNTIF(Tabla_imprenta[LOTE],Tabla_control[[#This Row],[LOTE]])=1,INDEX(Tabla_imprenta[stock sap],MATCH(Tabla_control[[#This Row],[LOTE]],Tabla_imprenta[LOTE],0)),"ENTREGADO")</f>
        <v>ENTREGADO</v>
      </c>
      <c r="I109" s="139" t="str">
        <f>IF(Tabla_control[[#This Row],[STOCK SAP]]&gt;Tabla_control[[#This Row],[CANTIDAD IMPRIMIR]],"cubre","no cubre")</f>
        <v>no cubre</v>
      </c>
      <c r="J109" s="7" t="str">
        <f>IF(COUNTIF(Tabla_imprenta[LOTE],Tabla_control[[#This Row],[LOTE]])=1,INDEX(Tabla_imprenta[STOCK],MATCH(Tabla_control[[#This Row],[LOTE]],Tabla_imprenta[LOTE],0)),"ENTREGADO")</f>
        <v>ENTREGADO</v>
      </c>
      <c r="K10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09" s="149" t="e">
        <f>INDEX(Tabla_imprenta[FECHA CAJA],MATCH(Tabla_control[[#This Row],[LOTE]],Tabla_imprenta[LOTE],0))</f>
        <v>#N/A</v>
      </c>
      <c r="M10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09" s="167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09" s="167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09" s="168" t="e">
        <f>ROUNDUP(Tabla_control[[#This Row],[CANTIDAD IMPRIMIR]]/Tabla_control[[#This Row],[N TJ]],0)</f>
        <v>#VALUE!</v>
      </c>
      <c r="Q109" s="168" t="e">
        <f>IF(Tabla_control[[#This Row],[CANTIDAD TIRAJE]]&gt;10000,Tabla_control[[#This Row],[CANTIDAD TIRAJE]],Tabla_control[[#This Row],[CANTIDAD TIRAJE]]*2)</f>
        <v>#VALUE!</v>
      </c>
      <c r="R109" s="4" t="s">
        <v>173</v>
      </c>
      <c r="S109" s="4" t="s">
        <v>174</v>
      </c>
      <c r="T109" s="4"/>
      <c r="U109" s="4"/>
      <c r="V109" s="4"/>
      <c r="W109" s="138" t="s">
        <v>3223</v>
      </c>
      <c r="X109" s="138"/>
      <c r="Y109" s="138"/>
      <c r="Z109" s="138"/>
      <c r="AA109" s="4" t="s">
        <v>2429</v>
      </c>
      <c r="AB109" s="184" t="s">
        <v>2028</v>
      </c>
    </row>
    <row r="110" spans="1:28" hidden="1" x14ac:dyDescent="0.2">
      <c r="A110" s="175" t="str">
        <f>IF(COUNTIF(Tabla_imprenta[LOTE],Tabla_control[[#This Row],[LOTE]])=1,INDEX(Tabla_imprenta[FECHA EMISIÓN],MATCH(Tabla_control[[#This Row],[LOTE]],Tabla_imprenta[LOTE],0)),"REALIZADO")</f>
        <v>REALIZADO</v>
      </c>
      <c r="B110" s="142" t="str">
        <f>IF(COUNTIF(Tabla_imprenta[LOTE],Tabla_control[[#This Row],[LOTE]])=1,INDEX(Tabla_imprenta[CÓD. SOLICITUD],MATCH(Tabla_control[[#This Row],[LOTE]],Tabla_imprenta[LOTE],0)),"REALIZADO")</f>
        <v>REALIZADO</v>
      </c>
      <c r="C110" s="177" t="str">
        <f>IF(COUNTIF(Tabla_imprenta[LOTE],Tabla_control[[#This Row],[LOTE]])=1,INDEX(Tabla_imprenta[PRODUCTO],MATCH(Tabla_control[[#This Row],[LOTE]],Tabla_imprenta[LOTE],0)),"REALIZADO")</f>
        <v>REALIZADO</v>
      </c>
      <c r="D110" s="142" t="str">
        <f>IF(COUNTIF(Tabla_imprenta[LOTE],Tabla_control[[#This Row],[LOTE]])=1,INDEX(Tabla_imprenta[FORMA FARMACEUTICA],MATCH(Tabla_control[[#This Row],[LOTE]],Tabla_imprenta[LOTE],0)),"REALIZADO")</f>
        <v>REALIZADO</v>
      </c>
      <c r="E110" s="177" t="str">
        <f>IF(COUNTIF(Tabla_imprenta[LOTE],Tabla_control[[#This Row],[LOTE]])=1,INDEX(Tabla_imprenta[INSTITUCIÓN],MATCH(Tabla_control[[#This Row],[LOTE]],Tabla_imprenta[LOTE],0)),"REALIZADO")</f>
        <v>REALIZADO</v>
      </c>
      <c r="F110" s="183" t="s">
        <v>119</v>
      </c>
      <c r="G11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10" s="139" t="str">
        <f>IF(COUNTIF(Tabla_imprenta[LOTE],Tabla_control[[#This Row],[LOTE]])=1,INDEX(Tabla_imprenta[stock sap],MATCH(Tabla_control[[#This Row],[LOTE]],Tabla_imprenta[LOTE],0)),"ENTREGADO")</f>
        <v>ENTREGADO</v>
      </c>
      <c r="I110" s="139" t="str">
        <f>IF(Tabla_control[[#This Row],[STOCK SAP]]&gt;Tabla_control[[#This Row],[CANTIDAD IMPRIMIR]],"cubre","no cubre")</f>
        <v>no cubre</v>
      </c>
      <c r="J110" s="7" t="str">
        <f>IF(COUNTIF(Tabla_imprenta[LOTE],Tabla_control[[#This Row],[LOTE]])=1,INDEX(Tabla_imprenta[STOCK],MATCH(Tabla_control[[#This Row],[LOTE]],Tabla_imprenta[LOTE],0)),"ENTREGADO")</f>
        <v>ENTREGADO</v>
      </c>
      <c r="K11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10" s="148" t="e">
        <f>INDEX(Tabla_imprenta[FECHA CAJA],MATCH(Tabla_control[[#This Row],[LOTE]],Tabla_imprenta[LOTE],0))</f>
        <v>#N/A</v>
      </c>
      <c r="M11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1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1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10" s="169" t="e">
        <f>ROUNDUP(Tabla_control[[#This Row],[CANTIDAD IMPRIMIR]]/Tabla_control[[#This Row],[N TJ]],0)</f>
        <v>#VALUE!</v>
      </c>
      <c r="Q110" s="169" t="e">
        <f>IF(Tabla_control[[#This Row],[CANTIDAD TIRAJE]]&gt;10000,Tabla_control[[#This Row],[CANTIDAD TIRAJE]],Tabla_control[[#This Row],[CANTIDAD TIRAJE]]*2)</f>
        <v>#VALUE!</v>
      </c>
      <c r="R110" s="4" t="s">
        <v>211</v>
      </c>
      <c r="S110" s="4" t="s">
        <v>31</v>
      </c>
      <c r="T110" s="4"/>
      <c r="U110" s="4"/>
      <c r="V110" s="4"/>
      <c r="W110" s="138" t="s">
        <v>3223</v>
      </c>
      <c r="X110" s="138"/>
      <c r="Y110" s="138"/>
      <c r="Z110" s="138"/>
      <c r="AA110" s="4" t="s">
        <v>321</v>
      </c>
      <c r="AB110" s="184" t="s">
        <v>2028</v>
      </c>
    </row>
    <row r="111" spans="1:28" hidden="1" x14ac:dyDescent="0.2">
      <c r="A111" s="175" t="str">
        <f>IF(COUNTIF(Tabla_imprenta[LOTE],Tabla_control[[#This Row],[LOTE]])=1,INDEX(Tabla_imprenta[FECHA EMISIÓN],MATCH(Tabla_control[[#This Row],[LOTE]],Tabla_imprenta[LOTE],0)),"REALIZADO")</f>
        <v>REALIZADO</v>
      </c>
      <c r="B111" s="142" t="str">
        <f>IF(COUNTIF(Tabla_imprenta[LOTE],Tabla_control[[#This Row],[LOTE]])=1,INDEX(Tabla_imprenta[CÓD. SOLICITUD],MATCH(Tabla_control[[#This Row],[LOTE]],Tabla_imprenta[LOTE],0)),"REALIZADO")</f>
        <v>REALIZADO</v>
      </c>
      <c r="C111" s="177" t="str">
        <f>IF(COUNTIF(Tabla_imprenta[LOTE],Tabla_control[[#This Row],[LOTE]])=1,INDEX(Tabla_imprenta[PRODUCTO],MATCH(Tabla_control[[#This Row],[LOTE]],Tabla_imprenta[LOTE],0)),"REALIZADO")</f>
        <v>REALIZADO</v>
      </c>
      <c r="D111" s="142" t="str">
        <f>IF(COUNTIF(Tabla_imprenta[LOTE],Tabla_control[[#This Row],[LOTE]])=1,INDEX(Tabla_imprenta[FORMA FARMACEUTICA],MATCH(Tabla_control[[#This Row],[LOTE]],Tabla_imprenta[LOTE],0)),"REALIZADO")</f>
        <v>REALIZADO</v>
      </c>
      <c r="E111" s="177" t="str">
        <f>IF(COUNTIF(Tabla_imprenta[LOTE],Tabla_control[[#This Row],[LOTE]])=1,INDEX(Tabla_imprenta[INSTITUCIÓN],MATCH(Tabla_control[[#This Row],[LOTE]],Tabla_imprenta[LOTE],0)),"REALIZADO")</f>
        <v>REALIZADO</v>
      </c>
      <c r="F111" s="180" t="s">
        <v>185</v>
      </c>
      <c r="G11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11" s="139" t="str">
        <f>IF(COUNTIF(Tabla_imprenta[LOTE],Tabla_control[[#This Row],[LOTE]])=1,INDEX(Tabla_imprenta[stock sap],MATCH(Tabla_control[[#This Row],[LOTE]],Tabla_imprenta[LOTE],0)),"ENTREGADO")</f>
        <v>ENTREGADO</v>
      </c>
      <c r="I111" s="139" t="str">
        <f>IF(Tabla_control[[#This Row],[STOCK SAP]]&gt;Tabla_control[[#This Row],[CANTIDAD IMPRIMIR]],"cubre","no cubre")</f>
        <v>no cubre</v>
      </c>
      <c r="J111" s="7" t="str">
        <f>IF(COUNTIF(Tabla_imprenta[LOTE],Tabla_control[[#This Row],[LOTE]])=1,INDEX(Tabla_imprenta[STOCK],MATCH(Tabla_control[[#This Row],[LOTE]],Tabla_imprenta[LOTE],0)),"ENTREGADO")</f>
        <v>ENTREGADO</v>
      </c>
      <c r="K11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11" s="148" t="e">
        <f>INDEX(Tabla_imprenta[FECHA CAJA],MATCH(Tabla_control[[#This Row],[LOTE]],Tabla_imprenta[LOTE],0))</f>
        <v>#N/A</v>
      </c>
      <c r="M11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1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1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11" s="169" t="e">
        <f>ROUNDUP(Tabla_control[[#This Row],[CANTIDAD IMPRIMIR]]/Tabla_control[[#This Row],[N TJ]],0)</f>
        <v>#VALUE!</v>
      </c>
      <c r="Q111" s="169" t="e">
        <f>IF(Tabla_control[[#This Row],[CANTIDAD TIRAJE]]&gt;10000,Tabla_control[[#This Row],[CANTIDAD TIRAJE]],Tabla_control[[#This Row],[CANTIDAD TIRAJE]]*2)</f>
        <v>#VALUE!</v>
      </c>
      <c r="R111" s="4" t="s">
        <v>211</v>
      </c>
      <c r="S111" s="4" t="s">
        <v>174</v>
      </c>
      <c r="T111" s="4"/>
      <c r="U111" s="4"/>
      <c r="V111" s="4"/>
      <c r="W111" s="138" t="s">
        <v>3223</v>
      </c>
      <c r="X111" s="138"/>
      <c r="Y111" s="138"/>
      <c r="Z111" s="138"/>
      <c r="AA111" s="4" t="s">
        <v>2429</v>
      </c>
      <c r="AB111" s="184" t="s">
        <v>2028</v>
      </c>
    </row>
    <row r="112" spans="1:28" hidden="1" x14ac:dyDescent="0.2">
      <c r="A112" s="175" t="str">
        <f>IF(COUNTIF(Tabla_imprenta[LOTE],Tabla_control[[#This Row],[LOTE]])=1,INDEX(Tabla_imprenta[FECHA EMISIÓN],MATCH(Tabla_control[[#This Row],[LOTE]],Tabla_imprenta[LOTE],0)),"REALIZADO")</f>
        <v>REALIZADO</v>
      </c>
      <c r="B112" s="142" t="str">
        <f>IF(COUNTIF(Tabla_imprenta[LOTE],Tabla_control[[#This Row],[LOTE]])=1,INDEX(Tabla_imprenta[CÓD. SOLICITUD],MATCH(Tabla_control[[#This Row],[LOTE]],Tabla_imprenta[LOTE],0)),"REALIZADO")</f>
        <v>REALIZADO</v>
      </c>
      <c r="C112" s="177" t="str">
        <f>IF(COUNTIF(Tabla_imprenta[LOTE],Tabla_control[[#This Row],[LOTE]])=1,INDEX(Tabla_imprenta[PRODUCTO],MATCH(Tabla_control[[#This Row],[LOTE]],Tabla_imprenta[LOTE],0)),"REALIZADO")</f>
        <v>REALIZADO</v>
      </c>
      <c r="D112" s="142" t="str">
        <f>IF(COUNTIF(Tabla_imprenta[LOTE],Tabla_control[[#This Row],[LOTE]])=1,INDEX(Tabla_imprenta[FORMA FARMACEUTICA],MATCH(Tabla_control[[#This Row],[LOTE]],Tabla_imprenta[LOTE],0)),"REALIZADO")</f>
        <v>REALIZADO</v>
      </c>
      <c r="E112" s="177" t="str">
        <f>IF(COUNTIF(Tabla_imprenta[LOTE],Tabla_control[[#This Row],[LOTE]])=1,INDEX(Tabla_imprenta[INSTITUCIÓN],MATCH(Tabla_control[[#This Row],[LOTE]],Tabla_imprenta[LOTE],0)),"REALIZADO")</f>
        <v>REALIZADO</v>
      </c>
      <c r="F112" s="183" t="s">
        <v>155</v>
      </c>
      <c r="G11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12" s="139" t="str">
        <f>IF(COUNTIF(Tabla_imprenta[LOTE],Tabla_control[[#This Row],[LOTE]])=1,INDEX(Tabla_imprenta[stock sap],MATCH(Tabla_control[[#This Row],[LOTE]],Tabla_imprenta[LOTE],0)),"ENTREGADO")</f>
        <v>ENTREGADO</v>
      </c>
      <c r="I112" s="139" t="str">
        <f>IF(Tabla_control[[#This Row],[STOCK SAP]]&gt;Tabla_control[[#This Row],[CANTIDAD IMPRIMIR]],"cubre","no cubre")</f>
        <v>no cubre</v>
      </c>
      <c r="J112" s="7" t="str">
        <f>IF(COUNTIF(Tabla_imprenta[LOTE],Tabla_control[[#This Row],[LOTE]])=1,INDEX(Tabla_imprenta[STOCK],MATCH(Tabla_control[[#This Row],[LOTE]],Tabla_imprenta[LOTE],0)),"ENTREGADO")</f>
        <v>ENTREGADO</v>
      </c>
      <c r="K11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12" s="148" t="e">
        <f>INDEX(Tabla_imprenta[FECHA CAJA],MATCH(Tabla_control[[#This Row],[LOTE]],Tabla_imprenta[LOTE],0))</f>
        <v>#N/A</v>
      </c>
      <c r="M11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1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1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12" s="169" t="e">
        <f>ROUNDUP(Tabla_control[[#This Row],[CANTIDAD IMPRIMIR]]/Tabla_control[[#This Row],[N TJ]],0)</f>
        <v>#VALUE!</v>
      </c>
      <c r="Q112" s="169" t="e">
        <f>IF(Tabla_control[[#This Row],[CANTIDAD TIRAJE]]&gt;10000,Tabla_control[[#This Row],[CANTIDAD TIRAJE]],Tabla_control[[#This Row],[CANTIDAD TIRAJE]]*2)</f>
        <v>#VALUE!</v>
      </c>
      <c r="R112" s="4" t="s">
        <v>177</v>
      </c>
      <c r="S112" s="4" t="s">
        <v>31</v>
      </c>
      <c r="T112" s="4"/>
      <c r="U112" s="4"/>
      <c r="V112" s="4"/>
      <c r="W112" s="138" t="s">
        <v>3223</v>
      </c>
      <c r="X112" s="138"/>
      <c r="Y112" s="138"/>
      <c r="Z112" s="138"/>
      <c r="AA112" s="4" t="s">
        <v>321</v>
      </c>
      <c r="AB112" s="184" t="s">
        <v>2028</v>
      </c>
    </row>
    <row r="113" spans="1:28" hidden="1" x14ac:dyDescent="0.2">
      <c r="A113" s="175" t="str">
        <f>IF(COUNTIF(Tabla_imprenta[LOTE],Tabla_control[[#This Row],[LOTE]])=1,INDEX(Tabla_imprenta[FECHA EMISIÓN],MATCH(Tabla_control[[#This Row],[LOTE]],Tabla_imprenta[LOTE],0)),"REALIZADO")</f>
        <v>REALIZADO</v>
      </c>
      <c r="B113" s="142" t="str">
        <f>IF(COUNTIF(Tabla_imprenta[LOTE],Tabla_control[[#This Row],[LOTE]])=1,INDEX(Tabla_imprenta[CÓD. SOLICITUD],MATCH(Tabla_control[[#This Row],[LOTE]],Tabla_imprenta[LOTE],0)),"REALIZADO")</f>
        <v>REALIZADO</v>
      </c>
      <c r="C113" s="177" t="str">
        <f>IF(COUNTIF(Tabla_imprenta[LOTE],Tabla_control[[#This Row],[LOTE]])=1,INDEX(Tabla_imprenta[PRODUCTO],MATCH(Tabla_control[[#This Row],[LOTE]],Tabla_imprenta[LOTE],0)),"REALIZADO")</f>
        <v>REALIZADO</v>
      </c>
      <c r="D113" s="142" t="str">
        <f>IF(COUNTIF(Tabla_imprenta[LOTE],Tabla_control[[#This Row],[LOTE]])=1,INDEX(Tabla_imprenta[FORMA FARMACEUTICA],MATCH(Tabla_control[[#This Row],[LOTE]],Tabla_imprenta[LOTE],0)),"REALIZADO")</f>
        <v>REALIZADO</v>
      </c>
      <c r="E113" s="177" t="str">
        <f>IF(COUNTIF(Tabla_imprenta[LOTE],Tabla_control[[#This Row],[LOTE]])=1,INDEX(Tabla_imprenta[INSTITUCIÓN],MATCH(Tabla_control[[#This Row],[LOTE]],Tabla_imprenta[LOTE],0)),"REALIZADO")</f>
        <v>REALIZADO</v>
      </c>
      <c r="F113" s="180" t="s">
        <v>2114</v>
      </c>
      <c r="G11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13" s="139" t="str">
        <f>IF(COUNTIF(Tabla_imprenta[LOTE],Tabla_control[[#This Row],[LOTE]])=1,INDEX(Tabla_imprenta[stock sap],MATCH(Tabla_control[[#This Row],[LOTE]],Tabla_imprenta[LOTE],0)),"ENTREGADO")</f>
        <v>ENTREGADO</v>
      </c>
      <c r="I113" s="139" t="str">
        <f>IF(Tabla_control[[#This Row],[STOCK SAP]]&gt;Tabla_control[[#This Row],[CANTIDAD IMPRIMIR]],"cubre","no cubre")</f>
        <v>no cubre</v>
      </c>
      <c r="J113" s="7" t="str">
        <f>IF(COUNTIF(Tabla_imprenta[LOTE],Tabla_control[[#This Row],[LOTE]])=1,INDEX(Tabla_imprenta[STOCK],MATCH(Tabla_control[[#This Row],[LOTE]],Tabla_imprenta[LOTE],0)),"ENTREGADO")</f>
        <v>ENTREGADO</v>
      </c>
      <c r="K11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13" s="148" t="e">
        <f>INDEX(Tabla_imprenta[FECHA CAJA],MATCH(Tabla_control[[#This Row],[LOTE]],Tabla_imprenta[LOTE],0))</f>
        <v>#N/A</v>
      </c>
      <c r="M11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1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1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13" s="169" t="e">
        <f>ROUNDUP(Tabla_control[[#This Row],[CANTIDAD IMPRIMIR]]/Tabla_control[[#This Row],[N TJ]],0)</f>
        <v>#VALUE!</v>
      </c>
      <c r="Q113" s="169" t="e">
        <f>IF(Tabla_control[[#This Row],[CANTIDAD TIRAJE]]&gt;10000,Tabla_control[[#This Row],[CANTIDAD TIRAJE]],Tabla_control[[#This Row],[CANTIDAD TIRAJE]]*2)</f>
        <v>#VALUE!</v>
      </c>
      <c r="R113" s="4" t="s">
        <v>172</v>
      </c>
      <c r="S113" s="4" t="s">
        <v>30</v>
      </c>
      <c r="T113" s="4"/>
      <c r="U113" s="4"/>
      <c r="V113" s="4"/>
      <c r="W113" s="138" t="s">
        <v>3223</v>
      </c>
      <c r="X113" s="138"/>
      <c r="Y113" s="138"/>
      <c r="Z113" s="138"/>
      <c r="AA113" s="4" t="s">
        <v>2031</v>
      </c>
      <c r="AB113" s="184" t="s">
        <v>2028</v>
      </c>
    </row>
    <row r="114" spans="1:28" hidden="1" x14ac:dyDescent="0.2">
      <c r="A114" s="175" t="str">
        <f>IF(COUNTIF(Tabla_imprenta[LOTE],Tabla_control[[#This Row],[LOTE]])=1,INDEX(Tabla_imprenta[FECHA EMISIÓN],MATCH(Tabla_control[[#This Row],[LOTE]],Tabla_imprenta[LOTE],0)),"REALIZADO")</f>
        <v>REALIZADO</v>
      </c>
      <c r="B114" s="142" t="str">
        <f>IF(COUNTIF(Tabla_imprenta[LOTE],Tabla_control[[#This Row],[LOTE]])=1,INDEX(Tabla_imprenta[CÓD. SOLICITUD],MATCH(Tabla_control[[#This Row],[LOTE]],Tabla_imprenta[LOTE],0)),"REALIZADO")</f>
        <v>REALIZADO</v>
      </c>
      <c r="C114" s="177" t="str">
        <f>IF(COUNTIF(Tabla_imprenta[LOTE],Tabla_control[[#This Row],[LOTE]])=1,INDEX(Tabla_imprenta[PRODUCTO],MATCH(Tabla_control[[#This Row],[LOTE]],Tabla_imprenta[LOTE],0)),"REALIZADO")</f>
        <v>REALIZADO</v>
      </c>
      <c r="D114" s="142" t="str">
        <f>IF(COUNTIF(Tabla_imprenta[LOTE],Tabla_control[[#This Row],[LOTE]])=1,INDEX(Tabla_imprenta[FORMA FARMACEUTICA],MATCH(Tabla_control[[#This Row],[LOTE]],Tabla_imprenta[LOTE],0)),"REALIZADO")</f>
        <v>REALIZADO</v>
      </c>
      <c r="E114" s="177" t="str">
        <f>IF(COUNTIF(Tabla_imprenta[LOTE],Tabla_control[[#This Row],[LOTE]])=1,INDEX(Tabla_imprenta[INSTITUCIÓN],MATCH(Tabla_control[[#This Row],[LOTE]],Tabla_imprenta[LOTE],0)),"REALIZADO")</f>
        <v>REALIZADO</v>
      </c>
      <c r="F114" s="183" t="s">
        <v>169</v>
      </c>
      <c r="G11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14" s="139" t="str">
        <f>IF(COUNTIF(Tabla_imprenta[LOTE],Tabla_control[[#This Row],[LOTE]])=1,INDEX(Tabla_imprenta[stock sap],MATCH(Tabla_control[[#This Row],[LOTE]],Tabla_imprenta[LOTE],0)),"ENTREGADO")</f>
        <v>ENTREGADO</v>
      </c>
      <c r="I114" s="139" t="str">
        <f>IF(Tabla_control[[#This Row],[STOCK SAP]]&gt;Tabla_control[[#This Row],[CANTIDAD IMPRIMIR]],"cubre","no cubre")</f>
        <v>no cubre</v>
      </c>
      <c r="J114" s="7" t="str">
        <f>IF(COUNTIF(Tabla_imprenta[LOTE],Tabla_control[[#This Row],[LOTE]])=1,INDEX(Tabla_imprenta[STOCK],MATCH(Tabla_control[[#This Row],[LOTE]],Tabla_imprenta[LOTE],0)),"ENTREGADO")</f>
        <v>ENTREGADO</v>
      </c>
      <c r="K11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14" s="148" t="e">
        <f>INDEX(Tabla_imprenta[FECHA CAJA],MATCH(Tabla_control[[#This Row],[LOTE]],Tabla_imprenta[LOTE],0))</f>
        <v>#N/A</v>
      </c>
      <c r="M11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1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1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14" s="169" t="e">
        <f>ROUNDUP(Tabla_control[[#This Row],[CANTIDAD IMPRIMIR]]/Tabla_control[[#This Row],[N TJ]],0)</f>
        <v>#VALUE!</v>
      </c>
      <c r="Q114" s="169" t="e">
        <f>IF(Tabla_control[[#This Row],[CANTIDAD TIRAJE]]&gt;10000,Tabla_control[[#This Row],[CANTIDAD TIRAJE]],Tabla_control[[#This Row],[CANTIDAD TIRAJE]]*2)</f>
        <v>#VALUE!</v>
      </c>
      <c r="R114" s="4" t="s">
        <v>173</v>
      </c>
      <c r="S114" s="4" t="s">
        <v>174</v>
      </c>
      <c r="T114" s="4"/>
      <c r="U114" s="4"/>
      <c r="V114" s="4"/>
      <c r="W114" s="138" t="s">
        <v>3223</v>
      </c>
      <c r="X114" s="138"/>
      <c r="Y114" s="138"/>
      <c r="Z114" s="138"/>
      <c r="AA114" s="4" t="s">
        <v>2314</v>
      </c>
      <c r="AB114" s="184" t="s">
        <v>2028</v>
      </c>
    </row>
    <row r="115" spans="1:28" hidden="1" x14ac:dyDescent="0.2">
      <c r="A115" s="175" t="str">
        <f>IF(COUNTIF(Tabla_imprenta[LOTE],Tabla_control[[#This Row],[LOTE]])=1,INDEX(Tabla_imprenta[FECHA EMISIÓN],MATCH(Tabla_control[[#This Row],[LOTE]],Tabla_imprenta[LOTE],0)),"REALIZADO")</f>
        <v>REALIZADO</v>
      </c>
      <c r="B115" s="142" t="str">
        <f>IF(COUNTIF(Tabla_imprenta[LOTE],Tabla_control[[#This Row],[LOTE]])=1,INDEX(Tabla_imprenta[CÓD. SOLICITUD],MATCH(Tabla_control[[#This Row],[LOTE]],Tabla_imprenta[LOTE],0)),"REALIZADO")</f>
        <v>REALIZADO</v>
      </c>
      <c r="C115" s="177" t="str">
        <f>IF(COUNTIF(Tabla_imprenta[LOTE],Tabla_control[[#This Row],[LOTE]])=1,INDEX(Tabla_imprenta[PRODUCTO],MATCH(Tabla_control[[#This Row],[LOTE]],Tabla_imprenta[LOTE],0)),"REALIZADO")</f>
        <v>REALIZADO</v>
      </c>
      <c r="D115" s="142" t="str">
        <f>IF(COUNTIF(Tabla_imprenta[LOTE],Tabla_control[[#This Row],[LOTE]])=1,INDEX(Tabla_imprenta[FORMA FARMACEUTICA],MATCH(Tabla_control[[#This Row],[LOTE]],Tabla_imprenta[LOTE],0)),"REALIZADO")</f>
        <v>REALIZADO</v>
      </c>
      <c r="E115" s="177" t="str">
        <f>IF(COUNTIF(Tabla_imprenta[LOTE],Tabla_control[[#This Row],[LOTE]])=1,INDEX(Tabla_imprenta[INSTITUCIÓN],MATCH(Tabla_control[[#This Row],[LOTE]],Tabla_imprenta[LOTE],0)),"REALIZADO")</f>
        <v>REALIZADO</v>
      </c>
      <c r="F115" s="183" t="s">
        <v>133</v>
      </c>
      <c r="G11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15" s="139" t="str">
        <f>IF(COUNTIF(Tabla_imprenta[LOTE],Tabla_control[[#This Row],[LOTE]])=1,INDEX(Tabla_imprenta[stock sap],MATCH(Tabla_control[[#This Row],[LOTE]],Tabla_imprenta[LOTE],0)),"ENTREGADO")</f>
        <v>ENTREGADO</v>
      </c>
      <c r="I115" s="139" t="str">
        <f>IF(Tabla_control[[#This Row],[STOCK SAP]]&gt;Tabla_control[[#This Row],[CANTIDAD IMPRIMIR]],"cubre","no cubre")</f>
        <v>no cubre</v>
      </c>
      <c r="J115" s="7" t="str">
        <f>IF(COUNTIF(Tabla_imprenta[LOTE],Tabla_control[[#This Row],[LOTE]])=1,INDEX(Tabla_imprenta[STOCK],MATCH(Tabla_control[[#This Row],[LOTE]],Tabla_imprenta[LOTE],0)),"ENTREGADO")</f>
        <v>ENTREGADO</v>
      </c>
      <c r="K11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15" s="148" t="e">
        <f>INDEX(Tabla_imprenta[FECHA CAJA],MATCH(Tabla_control[[#This Row],[LOTE]],Tabla_imprenta[LOTE],0))</f>
        <v>#N/A</v>
      </c>
      <c r="M11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1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1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15" s="169" t="e">
        <f>ROUNDUP(Tabla_control[[#This Row],[CANTIDAD IMPRIMIR]]/Tabla_control[[#This Row],[N TJ]],0)</f>
        <v>#VALUE!</v>
      </c>
      <c r="Q115" s="169" t="e">
        <f>IF(Tabla_control[[#This Row],[CANTIDAD TIRAJE]]&gt;10000,Tabla_control[[#This Row],[CANTIDAD TIRAJE]],Tabla_control[[#This Row],[CANTIDAD TIRAJE]]*2)</f>
        <v>#VALUE!</v>
      </c>
      <c r="R115" s="4" t="s">
        <v>172</v>
      </c>
      <c r="S115" s="4" t="s">
        <v>31</v>
      </c>
      <c r="T115" s="4"/>
      <c r="U115" s="4"/>
      <c r="V115" s="4"/>
      <c r="W115" s="138" t="s">
        <v>3223</v>
      </c>
      <c r="X115" s="138"/>
      <c r="Y115" s="138"/>
      <c r="Z115" s="138"/>
      <c r="AA115" s="4" t="s">
        <v>2031</v>
      </c>
      <c r="AB115" s="184" t="s">
        <v>2028</v>
      </c>
    </row>
    <row r="116" spans="1:28" hidden="1" x14ac:dyDescent="0.2">
      <c r="A116" s="175" t="str">
        <f>IF(COUNTIF(Tabla_imprenta[LOTE],Tabla_control[[#This Row],[LOTE]])=1,INDEX(Tabla_imprenta[FECHA EMISIÓN],MATCH(Tabla_control[[#This Row],[LOTE]],Tabla_imprenta[LOTE],0)),"REALIZADO")</f>
        <v>REALIZADO</v>
      </c>
      <c r="B116" s="142" t="str">
        <f>IF(COUNTIF(Tabla_imprenta[LOTE],Tabla_control[[#This Row],[LOTE]])=1,INDEX(Tabla_imprenta[CÓD. SOLICITUD],MATCH(Tabla_control[[#This Row],[LOTE]],Tabla_imprenta[LOTE],0)),"REALIZADO")</f>
        <v>REALIZADO</v>
      </c>
      <c r="C116" s="177" t="str">
        <f>IF(COUNTIF(Tabla_imprenta[LOTE],Tabla_control[[#This Row],[LOTE]])=1,INDEX(Tabla_imprenta[PRODUCTO],MATCH(Tabla_control[[#This Row],[LOTE]],Tabla_imprenta[LOTE],0)),"REALIZADO")</f>
        <v>REALIZADO</v>
      </c>
      <c r="D116" s="142" t="str">
        <f>IF(COUNTIF(Tabla_imprenta[LOTE],Tabla_control[[#This Row],[LOTE]])=1,INDEX(Tabla_imprenta[FORMA FARMACEUTICA],MATCH(Tabla_control[[#This Row],[LOTE]],Tabla_imprenta[LOTE],0)),"REALIZADO")</f>
        <v>REALIZADO</v>
      </c>
      <c r="E116" s="177" t="str">
        <f>IF(COUNTIF(Tabla_imprenta[LOTE],Tabla_control[[#This Row],[LOTE]])=1,INDEX(Tabla_imprenta[INSTITUCIÓN],MATCH(Tabla_control[[#This Row],[LOTE]],Tabla_imprenta[LOTE],0)),"REALIZADO")</f>
        <v>REALIZADO</v>
      </c>
      <c r="F116" s="183" t="s">
        <v>134</v>
      </c>
      <c r="G11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16" s="139" t="str">
        <f>IF(COUNTIF(Tabla_imprenta[LOTE],Tabla_control[[#This Row],[LOTE]])=1,INDEX(Tabla_imprenta[stock sap],MATCH(Tabla_control[[#This Row],[LOTE]],Tabla_imprenta[LOTE],0)),"ENTREGADO")</f>
        <v>ENTREGADO</v>
      </c>
      <c r="I116" s="139" t="str">
        <f>IF(Tabla_control[[#This Row],[STOCK SAP]]&gt;Tabla_control[[#This Row],[CANTIDAD IMPRIMIR]],"cubre","no cubre")</f>
        <v>no cubre</v>
      </c>
      <c r="J116" s="7" t="str">
        <f>IF(COUNTIF(Tabla_imprenta[LOTE],Tabla_control[[#This Row],[LOTE]])=1,INDEX(Tabla_imprenta[STOCK],MATCH(Tabla_control[[#This Row],[LOTE]],Tabla_imprenta[LOTE],0)),"ENTREGADO")</f>
        <v>ENTREGADO</v>
      </c>
      <c r="K11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16" s="148" t="e">
        <f>INDEX(Tabla_imprenta[FECHA CAJA],MATCH(Tabla_control[[#This Row],[LOTE]],Tabla_imprenta[LOTE],0))</f>
        <v>#N/A</v>
      </c>
      <c r="M11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1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1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16" s="169" t="e">
        <f>ROUNDUP(Tabla_control[[#This Row],[CANTIDAD IMPRIMIR]]/Tabla_control[[#This Row],[N TJ]],0)</f>
        <v>#VALUE!</v>
      </c>
      <c r="Q116" s="169" t="e">
        <f>IF(Tabla_control[[#This Row],[CANTIDAD TIRAJE]]&gt;10000,Tabla_control[[#This Row],[CANTIDAD TIRAJE]],Tabla_control[[#This Row],[CANTIDAD TIRAJE]]*2)</f>
        <v>#VALUE!</v>
      </c>
      <c r="R116" s="4" t="s">
        <v>172</v>
      </c>
      <c r="S116" s="4" t="s">
        <v>31</v>
      </c>
      <c r="T116" s="4"/>
      <c r="U116" s="4"/>
      <c r="V116" s="4"/>
      <c r="W116" s="138" t="s">
        <v>3223</v>
      </c>
      <c r="X116" s="138"/>
      <c r="Y116" s="138"/>
      <c r="Z116" s="138"/>
      <c r="AA116" s="4" t="s">
        <v>2031</v>
      </c>
      <c r="AB116" s="184" t="s">
        <v>2028</v>
      </c>
    </row>
    <row r="117" spans="1:28" hidden="1" x14ac:dyDescent="0.2">
      <c r="A117" s="175" t="str">
        <f>IF(COUNTIF(Tabla_imprenta[LOTE],Tabla_control[[#This Row],[LOTE]])=1,INDEX(Tabla_imprenta[FECHA EMISIÓN],MATCH(Tabla_control[[#This Row],[LOTE]],Tabla_imprenta[LOTE],0)),"REALIZADO")</f>
        <v>REALIZADO</v>
      </c>
      <c r="B117" s="142" t="str">
        <f>IF(COUNTIF(Tabla_imprenta[LOTE],Tabla_control[[#This Row],[LOTE]])=1,INDEX(Tabla_imprenta[CÓD. SOLICITUD],MATCH(Tabla_control[[#This Row],[LOTE]],Tabla_imprenta[LOTE],0)),"REALIZADO")</f>
        <v>REALIZADO</v>
      </c>
      <c r="C117" s="177" t="str">
        <f>IF(COUNTIF(Tabla_imprenta[LOTE],Tabla_control[[#This Row],[LOTE]])=1,INDEX(Tabla_imprenta[PRODUCTO],MATCH(Tabla_control[[#This Row],[LOTE]],Tabla_imprenta[LOTE],0)),"REALIZADO")</f>
        <v>REALIZADO</v>
      </c>
      <c r="D117" s="142" t="str">
        <f>IF(COUNTIF(Tabla_imprenta[LOTE],Tabla_control[[#This Row],[LOTE]])=1,INDEX(Tabla_imprenta[FORMA FARMACEUTICA],MATCH(Tabla_control[[#This Row],[LOTE]],Tabla_imprenta[LOTE],0)),"REALIZADO")</f>
        <v>REALIZADO</v>
      </c>
      <c r="E117" s="177" t="str">
        <f>IF(COUNTIF(Tabla_imprenta[LOTE],Tabla_control[[#This Row],[LOTE]])=1,INDEX(Tabla_imprenta[INSTITUCIÓN],MATCH(Tabla_control[[#This Row],[LOTE]],Tabla_imprenta[LOTE],0)),"REALIZADO")</f>
        <v>REALIZADO</v>
      </c>
      <c r="F117" s="183" t="s">
        <v>137</v>
      </c>
      <c r="G11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17" s="139" t="str">
        <f>IF(COUNTIF(Tabla_imprenta[LOTE],Tabla_control[[#This Row],[LOTE]])=1,INDEX(Tabla_imprenta[stock sap],MATCH(Tabla_control[[#This Row],[LOTE]],Tabla_imprenta[LOTE],0)),"ENTREGADO")</f>
        <v>ENTREGADO</v>
      </c>
      <c r="I117" s="139" t="str">
        <f>IF(Tabla_control[[#This Row],[STOCK SAP]]&gt;Tabla_control[[#This Row],[CANTIDAD IMPRIMIR]],"cubre","no cubre")</f>
        <v>no cubre</v>
      </c>
      <c r="J117" s="7" t="str">
        <f>IF(COUNTIF(Tabla_imprenta[LOTE],Tabla_control[[#This Row],[LOTE]])=1,INDEX(Tabla_imprenta[STOCK],MATCH(Tabla_control[[#This Row],[LOTE]],Tabla_imprenta[LOTE],0)),"ENTREGADO")</f>
        <v>ENTREGADO</v>
      </c>
      <c r="K11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17" s="148" t="e">
        <f>INDEX(Tabla_imprenta[FECHA CAJA],MATCH(Tabla_control[[#This Row],[LOTE]],Tabla_imprenta[LOTE],0))</f>
        <v>#N/A</v>
      </c>
      <c r="M11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1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1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17" s="169" t="e">
        <f>ROUNDUP(Tabla_control[[#This Row],[CANTIDAD IMPRIMIR]]/Tabla_control[[#This Row],[N TJ]],0)</f>
        <v>#VALUE!</v>
      </c>
      <c r="Q117" s="169" t="e">
        <f>IF(Tabla_control[[#This Row],[CANTIDAD TIRAJE]]&gt;10000,Tabla_control[[#This Row],[CANTIDAD TIRAJE]],Tabla_control[[#This Row],[CANTIDAD TIRAJE]]*2)</f>
        <v>#VALUE!</v>
      </c>
      <c r="R117" s="4" t="s">
        <v>172</v>
      </c>
      <c r="S117" s="4" t="s">
        <v>31</v>
      </c>
      <c r="T117" s="4"/>
      <c r="U117" s="4"/>
      <c r="V117" s="4"/>
      <c r="W117" s="138" t="s">
        <v>3223</v>
      </c>
      <c r="X117" s="138"/>
      <c r="Y117" s="138"/>
      <c r="Z117" s="138"/>
      <c r="AA117" s="4" t="s">
        <v>2031</v>
      </c>
      <c r="AB117" s="184" t="s">
        <v>2028</v>
      </c>
    </row>
    <row r="118" spans="1:28" hidden="1" x14ac:dyDescent="0.2">
      <c r="A118" s="175" t="str">
        <f>IF(COUNTIF(Tabla_imprenta[LOTE],Tabla_control[[#This Row],[LOTE]])=1,INDEX(Tabla_imprenta[FECHA EMISIÓN],MATCH(Tabla_control[[#This Row],[LOTE]],Tabla_imprenta[LOTE],0)),"REALIZADO")</f>
        <v>REALIZADO</v>
      </c>
      <c r="B118" s="142" t="str">
        <f>IF(COUNTIF(Tabla_imprenta[LOTE],Tabla_control[[#This Row],[LOTE]])=1,INDEX(Tabla_imprenta[CÓD. SOLICITUD],MATCH(Tabla_control[[#This Row],[LOTE]],Tabla_imprenta[LOTE],0)),"REALIZADO")</f>
        <v>REALIZADO</v>
      </c>
      <c r="C118" s="177" t="str">
        <f>IF(COUNTIF(Tabla_imprenta[LOTE],Tabla_control[[#This Row],[LOTE]])=1,INDEX(Tabla_imprenta[PRODUCTO],MATCH(Tabla_control[[#This Row],[LOTE]],Tabla_imprenta[LOTE],0)),"REALIZADO")</f>
        <v>REALIZADO</v>
      </c>
      <c r="D118" s="142" t="str">
        <f>IF(COUNTIF(Tabla_imprenta[LOTE],Tabla_control[[#This Row],[LOTE]])=1,INDEX(Tabla_imprenta[FORMA FARMACEUTICA],MATCH(Tabla_control[[#This Row],[LOTE]],Tabla_imprenta[LOTE],0)),"REALIZADO")</f>
        <v>REALIZADO</v>
      </c>
      <c r="E118" s="177" t="str">
        <f>IF(COUNTIF(Tabla_imprenta[LOTE],Tabla_control[[#This Row],[LOTE]])=1,INDEX(Tabla_imprenta[INSTITUCIÓN],MATCH(Tabla_control[[#This Row],[LOTE]],Tabla_imprenta[LOTE],0)),"REALIZADO")</f>
        <v>REALIZADO</v>
      </c>
      <c r="F118" s="180" t="s">
        <v>2230</v>
      </c>
      <c r="G11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18" s="139" t="str">
        <f>IF(COUNTIF(Tabla_imprenta[LOTE],Tabla_control[[#This Row],[LOTE]])=1,INDEX(Tabla_imprenta[stock sap],MATCH(Tabla_control[[#This Row],[LOTE]],Tabla_imprenta[LOTE],0)),"ENTREGADO")</f>
        <v>ENTREGADO</v>
      </c>
      <c r="I118" s="139" t="str">
        <f>IF(Tabla_control[[#This Row],[STOCK SAP]]&gt;Tabla_control[[#This Row],[CANTIDAD IMPRIMIR]],"cubre","no cubre")</f>
        <v>no cubre</v>
      </c>
      <c r="J118" s="7" t="str">
        <f>IF(COUNTIF(Tabla_imprenta[LOTE],Tabla_control[[#This Row],[LOTE]])=1,INDEX(Tabla_imprenta[STOCK],MATCH(Tabla_control[[#This Row],[LOTE]],Tabla_imprenta[LOTE],0)),"ENTREGADO")</f>
        <v>ENTREGADO</v>
      </c>
      <c r="K11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18" s="148" t="e">
        <f>INDEX(Tabla_imprenta[FECHA CAJA],MATCH(Tabla_control[[#This Row],[LOTE]],Tabla_imprenta[LOTE],0))</f>
        <v>#N/A</v>
      </c>
      <c r="M11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1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1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18" s="169" t="e">
        <f>ROUNDUP(Tabla_control[[#This Row],[CANTIDAD IMPRIMIR]]/Tabla_control[[#This Row],[N TJ]],0)</f>
        <v>#VALUE!</v>
      </c>
      <c r="Q118" s="169" t="e">
        <f>IF(Tabla_control[[#This Row],[CANTIDAD TIRAJE]]&gt;10000,Tabla_control[[#This Row],[CANTIDAD TIRAJE]],Tabla_control[[#This Row],[CANTIDAD TIRAJE]]*2)</f>
        <v>#VALUE!</v>
      </c>
      <c r="R118" s="4" t="s">
        <v>172</v>
      </c>
      <c r="S118" s="4" t="s">
        <v>31</v>
      </c>
      <c r="T118" s="4"/>
      <c r="U118" s="4"/>
      <c r="V118" s="4"/>
      <c r="W118" s="138" t="s">
        <v>3223</v>
      </c>
      <c r="X118" s="138"/>
      <c r="Y118" s="138"/>
      <c r="Z118" s="138"/>
      <c r="AA118" s="4" t="s">
        <v>2314</v>
      </c>
      <c r="AB118" s="184" t="s">
        <v>2028</v>
      </c>
    </row>
    <row r="119" spans="1:28" hidden="1" x14ac:dyDescent="0.2">
      <c r="A119" s="175" t="str">
        <f>IF(COUNTIF(Tabla_imprenta[LOTE],Tabla_control[[#This Row],[LOTE]])=1,INDEX(Tabla_imprenta[FECHA EMISIÓN],MATCH(Tabla_control[[#This Row],[LOTE]],Tabla_imprenta[LOTE],0)),"REALIZADO")</f>
        <v>REALIZADO</v>
      </c>
      <c r="B119" s="142" t="str">
        <f>IF(COUNTIF(Tabla_imprenta[LOTE],Tabla_control[[#This Row],[LOTE]])=1,INDEX(Tabla_imprenta[CÓD. SOLICITUD],MATCH(Tabla_control[[#This Row],[LOTE]],Tabla_imprenta[LOTE],0)),"REALIZADO")</f>
        <v>REALIZADO</v>
      </c>
      <c r="C119" s="177" t="str">
        <f>IF(COUNTIF(Tabla_imprenta[LOTE],Tabla_control[[#This Row],[LOTE]])=1,INDEX(Tabla_imprenta[PRODUCTO],MATCH(Tabla_control[[#This Row],[LOTE]],Tabla_imprenta[LOTE],0)),"REALIZADO")</f>
        <v>REALIZADO</v>
      </c>
      <c r="D119" s="142" t="str">
        <f>IF(COUNTIF(Tabla_imprenta[LOTE],Tabla_control[[#This Row],[LOTE]])=1,INDEX(Tabla_imprenta[FORMA FARMACEUTICA],MATCH(Tabla_control[[#This Row],[LOTE]],Tabla_imprenta[LOTE],0)),"REALIZADO")</f>
        <v>REALIZADO</v>
      </c>
      <c r="E119" s="177" t="str">
        <f>IF(COUNTIF(Tabla_imprenta[LOTE],Tabla_control[[#This Row],[LOTE]])=1,INDEX(Tabla_imprenta[INSTITUCIÓN],MATCH(Tabla_control[[#This Row],[LOTE]],Tabla_imprenta[LOTE],0)),"REALIZADO")</f>
        <v>REALIZADO</v>
      </c>
      <c r="F119" s="183" t="s">
        <v>136</v>
      </c>
      <c r="G11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19" s="139" t="str">
        <f>IF(COUNTIF(Tabla_imprenta[LOTE],Tabla_control[[#This Row],[LOTE]])=1,INDEX(Tabla_imprenta[stock sap],MATCH(Tabla_control[[#This Row],[LOTE]],Tabla_imprenta[LOTE],0)),"ENTREGADO")</f>
        <v>ENTREGADO</v>
      </c>
      <c r="I119" s="139" t="str">
        <f>IF(Tabla_control[[#This Row],[STOCK SAP]]&gt;Tabla_control[[#This Row],[CANTIDAD IMPRIMIR]],"cubre","no cubre")</f>
        <v>no cubre</v>
      </c>
      <c r="J119" s="7" t="str">
        <f>IF(COUNTIF(Tabla_imprenta[LOTE],Tabla_control[[#This Row],[LOTE]])=1,INDEX(Tabla_imprenta[STOCK],MATCH(Tabla_control[[#This Row],[LOTE]],Tabla_imprenta[LOTE],0)),"ENTREGADO")</f>
        <v>ENTREGADO</v>
      </c>
      <c r="K11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19" s="148" t="e">
        <f>INDEX(Tabla_imprenta[FECHA CAJA],MATCH(Tabla_control[[#This Row],[LOTE]],Tabla_imprenta[LOTE],0))</f>
        <v>#N/A</v>
      </c>
      <c r="M11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1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1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19" s="169" t="e">
        <f>ROUNDUP(Tabla_control[[#This Row],[CANTIDAD IMPRIMIR]]/Tabla_control[[#This Row],[N TJ]],0)</f>
        <v>#VALUE!</v>
      </c>
      <c r="Q119" s="169" t="e">
        <f>IF(Tabla_control[[#This Row],[CANTIDAD TIRAJE]]&gt;10000,Tabla_control[[#This Row],[CANTIDAD TIRAJE]],Tabla_control[[#This Row],[CANTIDAD TIRAJE]]*2)</f>
        <v>#VALUE!</v>
      </c>
      <c r="R119" s="4" t="s">
        <v>172</v>
      </c>
      <c r="S119" s="4" t="s">
        <v>31</v>
      </c>
      <c r="T119" s="4"/>
      <c r="U119" s="4"/>
      <c r="V119" s="4"/>
      <c r="W119" s="138" t="s">
        <v>3223</v>
      </c>
      <c r="X119" s="138"/>
      <c r="Y119" s="138"/>
      <c r="Z119" s="138"/>
      <c r="AA119" s="4" t="s">
        <v>2031</v>
      </c>
      <c r="AB119" s="184" t="s">
        <v>2028</v>
      </c>
    </row>
    <row r="120" spans="1:28" hidden="1" x14ac:dyDescent="0.2">
      <c r="A120" s="175" t="str">
        <f>IF(COUNTIF(Tabla_imprenta[LOTE],Tabla_control[[#This Row],[LOTE]])=1,INDEX(Tabla_imprenta[FECHA EMISIÓN],MATCH(Tabla_control[[#This Row],[LOTE]],Tabla_imprenta[LOTE],0)),"REALIZADO")</f>
        <v>REALIZADO</v>
      </c>
      <c r="B120" s="142" t="str">
        <f>IF(COUNTIF(Tabla_imprenta[LOTE],Tabla_control[[#This Row],[LOTE]])=1,INDEX(Tabla_imprenta[CÓD. SOLICITUD],MATCH(Tabla_control[[#This Row],[LOTE]],Tabla_imprenta[LOTE],0)),"REALIZADO")</f>
        <v>REALIZADO</v>
      </c>
      <c r="C120" s="177" t="str">
        <f>IF(COUNTIF(Tabla_imprenta[LOTE],Tabla_control[[#This Row],[LOTE]])=1,INDEX(Tabla_imprenta[PRODUCTO],MATCH(Tabla_control[[#This Row],[LOTE]],Tabla_imprenta[LOTE],0)),"REALIZADO")</f>
        <v>REALIZADO</v>
      </c>
      <c r="D120" s="142" t="str">
        <f>IF(COUNTIF(Tabla_imprenta[LOTE],Tabla_control[[#This Row],[LOTE]])=1,INDEX(Tabla_imprenta[FORMA FARMACEUTICA],MATCH(Tabla_control[[#This Row],[LOTE]],Tabla_imprenta[LOTE],0)),"REALIZADO")</f>
        <v>REALIZADO</v>
      </c>
      <c r="E120" s="177" t="str">
        <f>IF(COUNTIF(Tabla_imprenta[LOTE],Tabla_control[[#This Row],[LOTE]])=1,INDEX(Tabla_imprenta[INSTITUCIÓN],MATCH(Tabla_control[[#This Row],[LOTE]],Tabla_imprenta[LOTE],0)),"REALIZADO")</f>
        <v>REALIZADO</v>
      </c>
      <c r="F120" s="180" t="s">
        <v>2140</v>
      </c>
      <c r="G12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20" s="139" t="str">
        <f>IF(COUNTIF(Tabla_imprenta[LOTE],Tabla_control[[#This Row],[LOTE]])=1,INDEX(Tabla_imprenta[stock sap],MATCH(Tabla_control[[#This Row],[LOTE]],Tabla_imprenta[LOTE],0)),"ENTREGADO")</f>
        <v>ENTREGADO</v>
      </c>
      <c r="I120" s="139" t="str">
        <f>IF(Tabla_control[[#This Row],[STOCK SAP]]&gt;Tabla_control[[#This Row],[CANTIDAD IMPRIMIR]],"cubre","no cubre")</f>
        <v>no cubre</v>
      </c>
      <c r="J120" s="7" t="str">
        <f>IF(COUNTIF(Tabla_imprenta[LOTE],Tabla_control[[#This Row],[LOTE]])=1,INDEX(Tabla_imprenta[STOCK],MATCH(Tabla_control[[#This Row],[LOTE]],Tabla_imprenta[LOTE],0)),"ENTREGADO")</f>
        <v>ENTREGADO</v>
      </c>
      <c r="K12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20" s="148" t="e">
        <f>INDEX(Tabla_imprenta[FECHA CAJA],MATCH(Tabla_control[[#This Row],[LOTE]],Tabla_imprenta[LOTE],0))</f>
        <v>#N/A</v>
      </c>
      <c r="M12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2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2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20" s="169" t="e">
        <f>ROUNDUP(Tabla_control[[#This Row],[CANTIDAD IMPRIMIR]]/Tabla_control[[#This Row],[N TJ]],0)</f>
        <v>#VALUE!</v>
      </c>
      <c r="Q120" s="169" t="e">
        <f>IF(Tabla_control[[#This Row],[CANTIDAD TIRAJE]]&gt;10000,Tabla_control[[#This Row],[CANTIDAD TIRAJE]],Tabla_control[[#This Row],[CANTIDAD TIRAJE]]*2)</f>
        <v>#VALUE!</v>
      </c>
      <c r="R120" s="4" t="s">
        <v>176</v>
      </c>
      <c r="S120" s="4" t="s">
        <v>30</v>
      </c>
      <c r="T120" s="4"/>
      <c r="U120" s="4"/>
      <c r="V120" s="4"/>
      <c r="W120" s="138" t="s">
        <v>3223</v>
      </c>
      <c r="X120" s="138"/>
      <c r="Y120" s="138"/>
      <c r="Z120" s="138"/>
      <c r="AA120" s="4" t="s">
        <v>2182</v>
      </c>
      <c r="AB120" s="184" t="s">
        <v>2028</v>
      </c>
    </row>
    <row r="121" spans="1:28" hidden="1" x14ac:dyDescent="0.2">
      <c r="A121" s="175" t="str">
        <f>IF(COUNTIF(Tabla_imprenta[LOTE],Tabla_control[[#This Row],[LOTE]])=1,INDEX(Tabla_imprenta[FECHA EMISIÓN],MATCH(Tabla_control[[#This Row],[LOTE]],Tabla_imprenta[LOTE],0)),"REALIZADO")</f>
        <v>REALIZADO</v>
      </c>
      <c r="B121" s="142" t="str">
        <f>IF(COUNTIF(Tabla_imprenta[LOTE],Tabla_control[[#This Row],[LOTE]])=1,INDEX(Tabla_imprenta[CÓD. SOLICITUD],MATCH(Tabla_control[[#This Row],[LOTE]],Tabla_imprenta[LOTE],0)),"REALIZADO")</f>
        <v>REALIZADO</v>
      </c>
      <c r="C121" s="177" t="str">
        <f>IF(COUNTIF(Tabla_imprenta[LOTE],Tabla_control[[#This Row],[LOTE]])=1,INDEX(Tabla_imprenta[PRODUCTO],MATCH(Tabla_control[[#This Row],[LOTE]],Tabla_imprenta[LOTE],0)),"REALIZADO")</f>
        <v>REALIZADO</v>
      </c>
      <c r="D121" s="142" t="str">
        <f>IF(COUNTIF(Tabla_imprenta[LOTE],Tabla_control[[#This Row],[LOTE]])=1,INDEX(Tabla_imprenta[FORMA FARMACEUTICA],MATCH(Tabla_control[[#This Row],[LOTE]],Tabla_imprenta[LOTE],0)),"REALIZADO")</f>
        <v>REALIZADO</v>
      </c>
      <c r="E121" s="177" t="str">
        <f>IF(COUNTIF(Tabla_imprenta[LOTE],Tabla_control[[#This Row],[LOTE]])=1,INDEX(Tabla_imprenta[INSTITUCIÓN],MATCH(Tabla_control[[#This Row],[LOTE]],Tabla_imprenta[LOTE],0)),"REALIZADO")</f>
        <v>REALIZADO</v>
      </c>
      <c r="F121" s="180" t="s">
        <v>2149</v>
      </c>
      <c r="G12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21" s="139" t="str">
        <f>IF(COUNTIF(Tabla_imprenta[LOTE],Tabla_control[[#This Row],[LOTE]])=1,INDEX(Tabla_imprenta[stock sap],MATCH(Tabla_control[[#This Row],[LOTE]],Tabla_imprenta[LOTE],0)),"ENTREGADO")</f>
        <v>ENTREGADO</v>
      </c>
      <c r="I121" s="139" t="str">
        <f>IF(Tabla_control[[#This Row],[STOCK SAP]]&gt;Tabla_control[[#This Row],[CANTIDAD IMPRIMIR]],"cubre","no cubre")</f>
        <v>no cubre</v>
      </c>
      <c r="J121" s="7" t="str">
        <f>IF(COUNTIF(Tabla_imprenta[LOTE],Tabla_control[[#This Row],[LOTE]])=1,INDEX(Tabla_imprenta[STOCK],MATCH(Tabla_control[[#This Row],[LOTE]],Tabla_imprenta[LOTE],0)),"ENTREGADO")</f>
        <v>ENTREGADO</v>
      </c>
      <c r="K12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21" s="148" t="e">
        <f>INDEX(Tabla_imprenta[FECHA CAJA],MATCH(Tabla_control[[#This Row],[LOTE]],Tabla_imprenta[LOTE],0))</f>
        <v>#N/A</v>
      </c>
      <c r="M12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2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2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21" s="169" t="e">
        <f>ROUNDUP(Tabla_control[[#This Row],[CANTIDAD IMPRIMIR]]/Tabla_control[[#This Row],[N TJ]],0)</f>
        <v>#VALUE!</v>
      </c>
      <c r="Q121" s="169" t="e">
        <f>IF(Tabla_control[[#This Row],[CANTIDAD TIRAJE]]&gt;10000,Tabla_control[[#This Row],[CANTIDAD TIRAJE]],Tabla_control[[#This Row],[CANTIDAD TIRAJE]]*2)</f>
        <v>#VALUE!</v>
      </c>
      <c r="R121" s="4" t="s">
        <v>2030</v>
      </c>
      <c r="S121" s="4" t="s">
        <v>174</v>
      </c>
      <c r="T121" s="4"/>
      <c r="U121" s="4"/>
      <c r="V121" s="4"/>
      <c r="W121" s="138" t="s">
        <v>3223</v>
      </c>
      <c r="X121" s="138"/>
      <c r="Y121" s="138"/>
      <c r="Z121" s="138"/>
      <c r="AA121" s="4" t="s">
        <v>321</v>
      </c>
      <c r="AB121" s="184" t="s">
        <v>2028</v>
      </c>
    </row>
    <row r="122" spans="1:28" hidden="1" x14ac:dyDescent="0.2">
      <c r="A122" s="175" t="str">
        <f>IF(COUNTIF(Tabla_imprenta[LOTE],Tabla_control[[#This Row],[LOTE]])=1,INDEX(Tabla_imprenta[FECHA EMISIÓN],MATCH(Tabla_control[[#This Row],[LOTE]],Tabla_imprenta[LOTE],0)),"REALIZADO")</f>
        <v>REALIZADO</v>
      </c>
      <c r="B122" s="142" t="str">
        <f>IF(COUNTIF(Tabla_imprenta[LOTE],Tabla_control[[#This Row],[LOTE]])=1,INDEX(Tabla_imprenta[CÓD. SOLICITUD],MATCH(Tabla_control[[#This Row],[LOTE]],Tabla_imprenta[LOTE],0)),"REALIZADO")</f>
        <v>REALIZADO</v>
      </c>
      <c r="C122" s="177" t="str">
        <f>IF(COUNTIF(Tabla_imprenta[LOTE],Tabla_control[[#This Row],[LOTE]])=1,INDEX(Tabla_imprenta[PRODUCTO],MATCH(Tabla_control[[#This Row],[LOTE]],Tabla_imprenta[LOTE],0)),"REALIZADO")</f>
        <v>REALIZADO</v>
      </c>
      <c r="D122" s="142" t="str">
        <f>IF(COUNTIF(Tabla_imprenta[LOTE],Tabla_control[[#This Row],[LOTE]])=1,INDEX(Tabla_imprenta[FORMA FARMACEUTICA],MATCH(Tabla_control[[#This Row],[LOTE]],Tabla_imprenta[LOTE],0)),"REALIZADO")</f>
        <v>REALIZADO</v>
      </c>
      <c r="E122" s="177" t="str">
        <f>IF(COUNTIF(Tabla_imprenta[LOTE],Tabla_control[[#This Row],[LOTE]])=1,INDEX(Tabla_imprenta[INSTITUCIÓN],MATCH(Tabla_control[[#This Row],[LOTE]],Tabla_imprenta[LOTE],0)),"REALIZADO")</f>
        <v>REALIZADO</v>
      </c>
      <c r="F122" s="183" t="s">
        <v>130</v>
      </c>
      <c r="G12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22" s="139" t="str">
        <f>IF(COUNTIF(Tabla_imprenta[LOTE],Tabla_control[[#This Row],[LOTE]])=1,INDEX(Tabla_imprenta[stock sap],MATCH(Tabla_control[[#This Row],[LOTE]],Tabla_imprenta[LOTE],0)),"ENTREGADO")</f>
        <v>ENTREGADO</v>
      </c>
      <c r="I122" s="139" t="str">
        <f>IF(Tabla_control[[#This Row],[STOCK SAP]]&gt;Tabla_control[[#This Row],[CANTIDAD IMPRIMIR]],"cubre","no cubre")</f>
        <v>no cubre</v>
      </c>
      <c r="J122" s="7" t="str">
        <f>IF(COUNTIF(Tabla_imprenta[LOTE],Tabla_control[[#This Row],[LOTE]])=1,INDEX(Tabla_imprenta[STOCK],MATCH(Tabla_control[[#This Row],[LOTE]],Tabla_imprenta[LOTE],0)),"ENTREGADO")</f>
        <v>ENTREGADO</v>
      </c>
      <c r="K12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22" s="148" t="e">
        <f>INDEX(Tabla_imprenta[FECHA CAJA],MATCH(Tabla_control[[#This Row],[LOTE]],Tabla_imprenta[LOTE],0))</f>
        <v>#N/A</v>
      </c>
      <c r="M12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2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2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22" s="169" t="e">
        <f>ROUNDUP(Tabla_control[[#This Row],[CANTIDAD IMPRIMIR]]/Tabla_control[[#This Row],[N TJ]],0)</f>
        <v>#VALUE!</v>
      </c>
      <c r="Q122" s="169" t="e">
        <f>IF(Tabla_control[[#This Row],[CANTIDAD TIRAJE]]&gt;10000,Tabla_control[[#This Row],[CANTIDAD TIRAJE]],Tabla_control[[#This Row],[CANTIDAD TIRAJE]]*2)</f>
        <v>#VALUE!</v>
      </c>
      <c r="R122" s="4" t="s">
        <v>173</v>
      </c>
      <c r="S122" s="4" t="s">
        <v>174</v>
      </c>
      <c r="T122" s="4"/>
      <c r="U122" s="4"/>
      <c r="V122" s="4"/>
      <c r="W122" s="138" t="s">
        <v>3223</v>
      </c>
      <c r="X122" s="138"/>
      <c r="Y122" s="138"/>
      <c r="Z122" s="138"/>
      <c r="AA122" s="4" t="s">
        <v>2314</v>
      </c>
      <c r="AB122" s="184" t="s">
        <v>2028</v>
      </c>
    </row>
    <row r="123" spans="1:28" hidden="1" x14ac:dyDescent="0.2">
      <c r="A123" s="175" t="str">
        <f>IF(COUNTIF(Tabla_imprenta[LOTE],Tabla_control[[#This Row],[LOTE]])=1,INDEX(Tabla_imprenta[FECHA EMISIÓN],MATCH(Tabla_control[[#This Row],[LOTE]],Tabla_imprenta[LOTE],0)),"REALIZADO")</f>
        <v>REALIZADO</v>
      </c>
      <c r="B123" s="142" t="str">
        <f>IF(COUNTIF(Tabla_imprenta[LOTE],Tabla_control[[#This Row],[LOTE]])=1,INDEX(Tabla_imprenta[CÓD. SOLICITUD],MATCH(Tabla_control[[#This Row],[LOTE]],Tabla_imprenta[LOTE],0)),"REALIZADO")</f>
        <v>REALIZADO</v>
      </c>
      <c r="C123" s="177" t="str">
        <f>IF(COUNTIF(Tabla_imprenta[LOTE],Tabla_control[[#This Row],[LOTE]])=1,INDEX(Tabla_imprenta[PRODUCTO],MATCH(Tabla_control[[#This Row],[LOTE]],Tabla_imprenta[LOTE],0)),"REALIZADO")</f>
        <v>REALIZADO</v>
      </c>
      <c r="D123" s="142" t="str">
        <f>IF(COUNTIF(Tabla_imprenta[LOTE],Tabla_control[[#This Row],[LOTE]])=1,INDEX(Tabla_imprenta[FORMA FARMACEUTICA],MATCH(Tabla_control[[#This Row],[LOTE]],Tabla_imprenta[LOTE],0)),"REALIZADO")</f>
        <v>REALIZADO</v>
      </c>
      <c r="E123" s="177" t="str">
        <f>IF(COUNTIF(Tabla_imprenta[LOTE],Tabla_control[[#This Row],[LOTE]])=1,INDEX(Tabla_imprenta[INSTITUCIÓN],MATCH(Tabla_control[[#This Row],[LOTE]],Tabla_imprenta[LOTE],0)),"REALIZADO")</f>
        <v>REALIZADO</v>
      </c>
      <c r="F123" s="180" t="s">
        <v>202</v>
      </c>
      <c r="G12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23" s="139" t="str">
        <f>IF(COUNTIF(Tabla_imprenta[LOTE],Tabla_control[[#This Row],[LOTE]])=1,INDEX(Tabla_imprenta[stock sap],MATCH(Tabla_control[[#This Row],[LOTE]],Tabla_imprenta[LOTE],0)),"ENTREGADO")</f>
        <v>ENTREGADO</v>
      </c>
      <c r="I123" s="139" t="str">
        <f>IF(Tabla_control[[#This Row],[STOCK SAP]]&gt;Tabla_control[[#This Row],[CANTIDAD IMPRIMIR]],"cubre","no cubre")</f>
        <v>no cubre</v>
      </c>
      <c r="J123" s="7" t="str">
        <f>IF(COUNTIF(Tabla_imprenta[LOTE],Tabla_control[[#This Row],[LOTE]])=1,INDEX(Tabla_imprenta[STOCK],MATCH(Tabla_control[[#This Row],[LOTE]],Tabla_imprenta[LOTE],0)),"ENTREGADO")</f>
        <v>ENTREGADO</v>
      </c>
      <c r="K12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23" s="148" t="e">
        <f>INDEX(Tabla_imprenta[FECHA CAJA],MATCH(Tabla_control[[#This Row],[LOTE]],Tabla_imprenta[LOTE],0))</f>
        <v>#N/A</v>
      </c>
      <c r="M12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2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2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23" s="169" t="e">
        <f>ROUNDUP(Tabla_control[[#This Row],[CANTIDAD IMPRIMIR]]/Tabla_control[[#This Row],[N TJ]],0)</f>
        <v>#VALUE!</v>
      </c>
      <c r="Q123" s="169" t="e">
        <f>IF(Tabla_control[[#This Row],[CANTIDAD TIRAJE]]&gt;10000,Tabla_control[[#This Row],[CANTIDAD TIRAJE]],Tabla_control[[#This Row],[CANTIDAD TIRAJE]]*2)</f>
        <v>#VALUE!</v>
      </c>
      <c r="R123" s="4" t="s">
        <v>176</v>
      </c>
      <c r="S123" s="4" t="s">
        <v>30</v>
      </c>
      <c r="T123" s="4"/>
      <c r="U123" s="4"/>
      <c r="V123" s="4"/>
      <c r="W123" s="138" t="s">
        <v>3223</v>
      </c>
      <c r="X123" s="138"/>
      <c r="Y123" s="138"/>
      <c r="Z123" s="138"/>
      <c r="AA123" s="4" t="s">
        <v>2031</v>
      </c>
      <c r="AB123" s="184" t="s">
        <v>2028</v>
      </c>
    </row>
    <row r="124" spans="1:28" hidden="1" x14ac:dyDescent="0.2">
      <c r="A124" s="175" t="str">
        <f>IF(COUNTIF(Tabla_imprenta[LOTE],Tabla_control[[#This Row],[LOTE]])=1,INDEX(Tabla_imprenta[FECHA EMISIÓN],MATCH(Tabla_control[[#This Row],[LOTE]],Tabla_imprenta[LOTE],0)),"REALIZADO")</f>
        <v>REALIZADO</v>
      </c>
      <c r="B124" s="142" t="str">
        <f>IF(COUNTIF(Tabla_imprenta[LOTE],Tabla_control[[#This Row],[LOTE]])=1,INDEX(Tabla_imprenta[CÓD. SOLICITUD],MATCH(Tabla_control[[#This Row],[LOTE]],Tabla_imprenta[LOTE],0)),"REALIZADO")</f>
        <v>REALIZADO</v>
      </c>
      <c r="C124" s="177" t="str">
        <f>IF(COUNTIF(Tabla_imprenta[LOTE],Tabla_control[[#This Row],[LOTE]])=1,INDEX(Tabla_imprenta[PRODUCTO],MATCH(Tabla_control[[#This Row],[LOTE]],Tabla_imprenta[LOTE],0)),"REALIZADO")</f>
        <v>REALIZADO</v>
      </c>
      <c r="D124" s="142" t="str">
        <f>IF(COUNTIF(Tabla_imprenta[LOTE],Tabla_control[[#This Row],[LOTE]])=1,INDEX(Tabla_imprenta[FORMA FARMACEUTICA],MATCH(Tabla_control[[#This Row],[LOTE]],Tabla_imprenta[LOTE],0)),"REALIZADO")</f>
        <v>REALIZADO</v>
      </c>
      <c r="E124" s="177" t="str">
        <f>IF(COUNTIF(Tabla_imprenta[LOTE],Tabla_control[[#This Row],[LOTE]])=1,INDEX(Tabla_imprenta[INSTITUCIÓN],MATCH(Tabla_control[[#This Row],[LOTE]],Tabla_imprenta[LOTE],0)),"REALIZADO")</f>
        <v>REALIZADO</v>
      </c>
      <c r="F124" s="180" t="s">
        <v>2227</v>
      </c>
      <c r="G12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24" s="139" t="str">
        <f>IF(COUNTIF(Tabla_imprenta[LOTE],Tabla_control[[#This Row],[LOTE]])=1,INDEX(Tabla_imprenta[stock sap],MATCH(Tabla_control[[#This Row],[LOTE]],Tabla_imprenta[LOTE],0)),"ENTREGADO")</f>
        <v>ENTREGADO</v>
      </c>
      <c r="I124" s="139" t="str">
        <f>IF(Tabla_control[[#This Row],[STOCK SAP]]&gt;Tabla_control[[#This Row],[CANTIDAD IMPRIMIR]],"cubre","no cubre")</f>
        <v>no cubre</v>
      </c>
      <c r="J124" s="7" t="str">
        <f>IF(COUNTIF(Tabla_imprenta[LOTE],Tabla_control[[#This Row],[LOTE]])=1,INDEX(Tabla_imprenta[STOCK],MATCH(Tabla_control[[#This Row],[LOTE]],Tabla_imprenta[LOTE],0)),"ENTREGADO")</f>
        <v>ENTREGADO</v>
      </c>
      <c r="K12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24" s="148" t="e">
        <f>INDEX(Tabla_imprenta[FECHA CAJA],MATCH(Tabla_control[[#This Row],[LOTE]],Tabla_imprenta[LOTE],0))</f>
        <v>#N/A</v>
      </c>
      <c r="M12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2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2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24" s="169" t="e">
        <f>ROUNDUP(Tabla_control[[#This Row],[CANTIDAD IMPRIMIR]]/Tabla_control[[#This Row],[N TJ]],0)</f>
        <v>#VALUE!</v>
      </c>
      <c r="Q124" s="169" t="e">
        <f>IF(Tabla_control[[#This Row],[CANTIDAD TIRAJE]]&gt;10000,Tabla_control[[#This Row],[CANTIDAD TIRAJE]],Tabla_control[[#This Row],[CANTIDAD TIRAJE]]*2)</f>
        <v>#VALUE!</v>
      </c>
      <c r="R124" s="4" t="s">
        <v>172</v>
      </c>
      <c r="S124" s="4" t="s">
        <v>30</v>
      </c>
      <c r="T124" s="4"/>
      <c r="U124" s="4"/>
      <c r="V124" s="4"/>
      <c r="W124" s="138" t="s">
        <v>3223</v>
      </c>
      <c r="X124" s="138"/>
      <c r="Y124" s="138"/>
      <c r="Z124" s="138"/>
      <c r="AA124" s="4" t="s">
        <v>2031</v>
      </c>
      <c r="AB124" s="184" t="s">
        <v>2028</v>
      </c>
    </row>
    <row r="125" spans="1:28" hidden="1" x14ac:dyDescent="0.2">
      <c r="A125" s="175" t="str">
        <f>IF(COUNTIF(Tabla_imprenta[LOTE],Tabla_control[[#This Row],[LOTE]])=1,INDEX(Tabla_imprenta[FECHA EMISIÓN],MATCH(Tabla_control[[#This Row],[LOTE]],Tabla_imprenta[LOTE],0)),"REALIZADO")</f>
        <v>REALIZADO</v>
      </c>
      <c r="B125" s="142" t="str">
        <f>IF(COUNTIF(Tabla_imprenta[LOTE],Tabla_control[[#This Row],[LOTE]])=1,INDEX(Tabla_imprenta[CÓD. SOLICITUD],MATCH(Tabla_control[[#This Row],[LOTE]],Tabla_imprenta[LOTE],0)),"REALIZADO")</f>
        <v>REALIZADO</v>
      </c>
      <c r="C125" s="177" t="str">
        <f>IF(COUNTIF(Tabla_imprenta[LOTE],Tabla_control[[#This Row],[LOTE]])=1,INDEX(Tabla_imprenta[PRODUCTO],MATCH(Tabla_control[[#This Row],[LOTE]],Tabla_imprenta[LOTE],0)),"REALIZADO")</f>
        <v>REALIZADO</v>
      </c>
      <c r="D125" s="142" t="str">
        <f>IF(COUNTIF(Tabla_imprenta[LOTE],Tabla_control[[#This Row],[LOTE]])=1,INDEX(Tabla_imprenta[FORMA FARMACEUTICA],MATCH(Tabla_control[[#This Row],[LOTE]],Tabla_imprenta[LOTE],0)),"REALIZADO")</f>
        <v>REALIZADO</v>
      </c>
      <c r="E125" s="177" t="str">
        <f>IF(COUNTIF(Tabla_imprenta[LOTE],Tabla_control[[#This Row],[LOTE]])=1,INDEX(Tabla_imprenta[INSTITUCIÓN],MATCH(Tabla_control[[#This Row],[LOTE]],Tabla_imprenta[LOTE],0)),"REALIZADO")</f>
        <v>REALIZADO</v>
      </c>
      <c r="F125" s="183" t="s">
        <v>135</v>
      </c>
      <c r="G12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25" s="139" t="str">
        <f>IF(COUNTIF(Tabla_imprenta[LOTE],Tabla_control[[#This Row],[LOTE]])=1,INDEX(Tabla_imprenta[stock sap],MATCH(Tabla_control[[#This Row],[LOTE]],Tabla_imprenta[LOTE],0)),"ENTREGADO")</f>
        <v>ENTREGADO</v>
      </c>
      <c r="I125" s="139" t="str">
        <f>IF(Tabla_control[[#This Row],[STOCK SAP]]&gt;Tabla_control[[#This Row],[CANTIDAD IMPRIMIR]],"cubre","no cubre")</f>
        <v>no cubre</v>
      </c>
      <c r="J125" s="7" t="str">
        <f>IF(COUNTIF(Tabla_imprenta[LOTE],Tabla_control[[#This Row],[LOTE]])=1,INDEX(Tabla_imprenta[STOCK],MATCH(Tabla_control[[#This Row],[LOTE]],Tabla_imprenta[LOTE],0)),"ENTREGADO")</f>
        <v>ENTREGADO</v>
      </c>
      <c r="K12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25" s="148" t="e">
        <f>INDEX(Tabla_imprenta[FECHA CAJA],MATCH(Tabla_control[[#This Row],[LOTE]],Tabla_imprenta[LOTE],0))</f>
        <v>#N/A</v>
      </c>
      <c r="M12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2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2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25" s="169" t="e">
        <f>ROUNDUP(Tabla_control[[#This Row],[CANTIDAD IMPRIMIR]]/Tabla_control[[#This Row],[N TJ]],0)</f>
        <v>#VALUE!</v>
      </c>
      <c r="Q125" s="169" t="e">
        <f>IF(Tabla_control[[#This Row],[CANTIDAD TIRAJE]]&gt;10000,Tabla_control[[#This Row],[CANTIDAD TIRAJE]],Tabla_control[[#This Row],[CANTIDAD TIRAJE]]*2)</f>
        <v>#VALUE!</v>
      </c>
      <c r="R125" s="4" t="s">
        <v>172</v>
      </c>
      <c r="S125" s="4" t="s">
        <v>31</v>
      </c>
      <c r="T125" s="4"/>
      <c r="U125" s="4"/>
      <c r="V125" s="4"/>
      <c r="W125" s="138" t="s">
        <v>3223</v>
      </c>
      <c r="X125" s="138"/>
      <c r="Y125" s="138"/>
      <c r="Z125" s="138"/>
      <c r="AA125" s="4" t="s">
        <v>2031</v>
      </c>
      <c r="AB125" s="184" t="s">
        <v>2028</v>
      </c>
    </row>
    <row r="126" spans="1:28" hidden="1" x14ac:dyDescent="0.2">
      <c r="A126" s="175" t="str">
        <f>IF(COUNTIF(Tabla_imprenta[LOTE],Tabla_control[[#This Row],[LOTE]])=1,INDEX(Tabla_imprenta[FECHA EMISIÓN],MATCH(Tabla_control[[#This Row],[LOTE]],Tabla_imprenta[LOTE],0)),"REALIZADO")</f>
        <v>REALIZADO</v>
      </c>
      <c r="B126" s="142" t="str">
        <f>IF(COUNTIF(Tabla_imprenta[LOTE],Tabla_control[[#This Row],[LOTE]])=1,INDEX(Tabla_imprenta[CÓD. SOLICITUD],MATCH(Tabla_control[[#This Row],[LOTE]],Tabla_imprenta[LOTE],0)),"REALIZADO")</f>
        <v>REALIZADO</v>
      </c>
      <c r="C126" s="177" t="str">
        <f>IF(COUNTIF(Tabla_imprenta[LOTE],Tabla_control[[#This Row],[LOTE]])=1,INDEX(Tabla_imprenta[PRODUCTO],MATCH(Tabla_control[[#This Row],[LOTE]],Tabla_imprenta[LOTE],0)),"REALIZADO")</f>
        <v>REALIZADO</v>
      </c>
      <c r="D126" s="142" t="str">
        <f>IF(COUNTIF(Tabla_imprenta[LOTE],Tabla_control[[#This Row],[LOTE]])=1,INDEX(Tabla_imprenta[FORMA FARMACEUTICA],MATCH(Tabla_control[[#This Row],[LOTE]],Tabla_imprenta[LOTE],0)),"REALIZADO")</f>
        <v>REALIZADO</v>
      </c>
      <c r="E126" s="177" t="str">
        <f>IF(COUNTIF(Tabla_imprenta[LOTE],Tabla_control[[#This Row],[LOTE]])=1,INDEX(Tabla_imprenta[INSTITUCIÓN],MATCH(Tabla_control[[#This Row],[LOTE]],Tabla_imprenta[LOTE],0)),"REALIZADO")</f>
        <v>REALIZADO</v>
      </c>
      <c r="F126" s="180" t="s">
        <v>2123</v>
      </c>
      <c r="G12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26" s="139" t="str">
        <f>IF(COUNTIF(Tabla_imprenta[LOTE],Tabla_control[[#This Row],[LOTE]])=1,INDEX(Tabla_imprenta[stock sap],MATCH(Tabla_control[[#This Row],[LOTE]],Tabla_imprenta[LOTE],0)),"ENTREGADO")</f>
        <v>ENTREGADO</v>
      </c>
      <c r="I126" s="139" t="str">
        <f>IF(Tabla_control[[#This Row],[STOCK SAP]]&gt;Tabla_control[[#This Row],[CANTIDAD IMPRIMIR]],"cubre","no cubre")</f>
        <v>no cubre</v>
      </c>
      <c r="J126" s="7" t="str">
        <f>IF(COUNTIF(Tabla_imprenta[LOTE],Tabla_control[[#This Row],[LOTE]])=1,INDEX(Tabla_imprenta[STOCK],MATCH(Tabla_control[[#This Row],[LOTE]],Tabla_imprenta[LOTE],0)),"ENTREGADO")</f>
        <v>ENTREGADO</v>
      </c>
      <c r="K12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26" s="148" t="e">
        <f>INDEX(Tabla_imprenta[FECHA CAJA],MATCH(Tabla_control[[#This Row],[LOTE]],Tabla_imprenta[LOTE],0))</f>
        <v>#N/A</v>
      </c>
      <c r="M12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2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2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26" s="169" t="e">
        <f>ROUNDUP(Tabla_control[[#This Row],[CANTIDAD IMPRIMIR]]/Tabla_control[[#This Row],[N TJ]],0)</f>
        <v>#VALUE!</v>
      </c>
      <c r="Q126" s="169" t="e">
        <f>IF(Tabla_control[[#This Row],[CANTIDAD TIRAJE]]&gt;10000,Tabla_control[[#This Row],[CANTIDAD TIRAJE]],Tabla_control[[#This Row],[CANTIDAD TIRAJE]]*2)</f>
        <v>#VALUE!</v>
      </c>
      <c r="R126" s="4" t="s">
        <v>172</v>
      </c>
      <c r="S126" s="4" t="s">
        <v>30</v>
      </c>
      <c r="T126" s="4"/>
      <c r="U126" s="4"/>
      <c r="V126" s="4"/>
      <c r="W126" s="138" t="s">
        <v>3223</v>
      </c>
      <c r="X126" s="138"/>
      <c r="Y126" s="138"/>
      <c r="Z126" s="138"/>
      <c r="AA126" s="4" t="s">
        <v>2182</v>
      </c>
      <c r="AB126" s="184" t="s">
        <v>2028</v>
      </c>
    </row>
    <row r="127" spans="1:28" hidden="1" x14ac:dyDescent="0.2">
      <c r="A127" s="175" t="str">
        <f>IF(COUNTIF(Tabla_imprenta[LOTE],Tabla_control[[#This Row],[LOTE]])=1,INDEX(Tabla_imprenta[FECHA EMISIÓN],MATCH(Tabla_control[[#This Row],[LOTE]],Tabla_imprenta[LOTE],0)),"REALIZADO")</f>
        <v>REALIZADO</v>
      </c>
      <c r="B127" s="142" t="str">
        <f>IF(COUNTIF(Tabla_imprenta[LOTE],Tabla_control[[#This Row],[LOTE]])=1,INDEX(Tabla_imprenta[CÓD. SOLICITUD],MATCH(Tabla_control[[#This Row],[LOTE]],Tabla_imprenta[LOTE],0)),"REALIZADO")</f>
        <v>REALIZADO</v>
      </c>
      <c r="C127" s="177" t="str">
        <f>IF(COUNTIF(Tabla_imprenta[LOTE],Tabla_control[[#This Row],[LOTE]])=1,INDEX(Tabla_imprenta[PRODUCTO],MATCH(Tabla_control[[#This Row],[LOTE]],Tabla_imprenta[LOTE],0)),"REALIZADO")</f>
        <v>REALIZADO</v>
      </c>
      <c r="D127" s="142" t="str">
        <f>IF(COUNTIF(Tabla_imprenta[LOTE],Tabla_control[[#This Row],[LOTE]])=1,INDEX(Tabla_imprenta[FORMA FARMACEUTICA],MATCH(Tabla_control[[#This Row],[LOTE]],Tabla_imprenta[LOTE],0)),"REALIZADO")</f>
        <v>REALIZADO</v>
      </c>
      <c r="E127" s="177" t="str">
        <f>IF(COUNTIF(Tabla_imprenta[LOTE],Tabla_control[[#This Row],[LOTE]])=1,INDEX(Tabla_imprenta[INSTITUCIÓN],MATCH(Tabla_control[[#This Row],[LOTE]],Tabla_imprenta[LOTE],0)),"REALIZADO")</f>
        <v>REALIZADO</v>
      </c>
      <c r="F127" s="180" t="s">
        <v>219</v>
      </c>
      <c r="G12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27" s="139" t="str">
        <f>IF(COUNTIF(Tabla_imprenta[LOTE],Tabla_control[[#This Row],[LOTE]])=1,INDEX(Tabla_imprenta[stock sap],MATCH(Tabla_control[[#This Row],[LOTE]],Tabla_imprenta[LOTE],0)),"ENTREGADO")</f>
        <v>ENTREGADO</v>
      </c>
      <c r="I127" s="139" t="str">
        <f>IF(Tabla_control[[#This Row],[STOCK SAP]]&gt;Tabla_control[[#This Row],[CANTIDAD IMPRIMIR]],"cubre","no cubre")</f>
        <v>no cubre</v>
      </c>
      <c r="J127" s="7" t="str">
        <f>IF(COUNTIF(Tabla_imprenta[LOTE],Tabla_control[[#This Row],[LOTE]])=1,INDEX(Tabla_imprenta[STOCK],MATCH(Tabla_control[[#This Row],[LOTE]],Tabla_imprenta[LOTE],0)),"ENTREGADO")</f>
        <v>ENTREGADO</v>
      </c>
      <c r="K12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27" s="148" t="e">
        <f>INDEX(Tabla_imprenta[FECHA CAJA],MATCH(Tabla_control[[#This Row],[LOTE]],Tabla_imprenta[LOTE],0))</f>
        <v>#N/A</v>
      </c>
      <c r="M12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2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2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27" s="169" t="e">
        <f>ROUNDUP(Tabla_control[[#This Row],[CANTIDAD IMPRIMIR]]/Tabla_control[[#This Row],[N TJ]],0)</f>
        <v>#VALUE!</v>
      </c>
      <c r="Q127" s="169" t="e">
        <f>IF(Tabla_control[[#This Row],[CANTIDAD TIRAJE]]&gt;10000,Tabla_control[[#This Row],[CANTIDAD TIRAJE]],Tabla_control[[#This Row],[CANTIDAD TIRAJE]]*2)</f>
        <v>#VALUE!</v>
      </c>
      <c r="R127" s="4" t="s">
        <v>172</v>
      </c>
      <c r="S127" s="4" t="s">
        <v>30</v>
      </c>
      <c r="T127" s="4"/>
      <c r="U127" s="4"/>
      <c r="V127" s="4"/>
      <c r="W127" s="138" t="s">
        <v>3223</v>
      </c>
      <c r="X127" s="138"/>
      <c r="Y127" s="138"/>
      <c r="Z127" s="138"/>
      <c r="AA127" s="4" t="s">
        <v>2031</v>
      </c>
      <c r="AB127" s="184" t="s">
        <v>2028</v>
      </c>
    </row>
    <row r="128" spans="1:28" hidden="1" x14ac:dyDescent="0.2">
      <c r="A128" s="175" t="str">
        <f>IF(COUNTIF(Tabla_imprenta[LOTE],Tabla_control[[#This Row],[LOTE]])=1,INDEX(Tabla_imprenta[FECHA EMISIÓN],MATCH(Tabla_control[[#This Row],[LOTE]],Tabla_imprenta[LOTE],0)),"REALIZADO")</f>
        <v>REALIZADO</v>
      </c>
      <c r="B128" s="142" t="str">
        <f>IF(COUNTIF(Tabla_imprenta[LOTE],Tabla_control[[#This Row],[LOTE]])=1,INDEX(Tabla_imprenta[CÓD. SOLICITUD],MATCH(Tabla_control[[#This Row],[LOTE]],Tabla_imprenta[LOTE],0)),"REALIZADO")</f>
        <v>REALIZADO</v>
      </c>
      <c r="C128" s="177" t="str">
        <f>IF(COUNTIF(Tabla_imprenta[LOTE],Tabla_control[[#This Row],[LOTE]])=1,INDEX(Tabla_imprenta[PRODUCTO],MATCH(Tabla_control[[#This Row],[LOTE]],Tabla_imprenta[LOTE],0)),"REALIZADO")</f>
        <v>REALIZADO</v>
      </c>
      <c r="D128" s="142" t="str">
        <f>IF(COUNTIF(Tabla_imprenta[LOTE],Tabla_control[[#This Row],[LOTE]])=1,INDEX(Tabla_imprenta[FORMA FARMACEUTICA],MATCH(Tabla_control[[#This Row],[LOTE]],Tabla_imprenta[LOTE],0)),"REALIZADO")</f>
        <v>REALIZADO</v>
      </c>
      <c r="E128" s="177" t="str">
        <f>IF(COUNTIF(Tabla_imprenta[LOTE],Tabla_control[[#This Row],[LOTE]])=1,INDEX(Tabla_imprenta[INSTITUCIÓN],MATCH(Tabla_control[[#This Row],[LOTE]],Tabla_imprenta[LOTE],0)),"REALIZADO")</f>
        <v>REALIZADO</v>
      </c>
      <c r="F128" s="183" t="s">
        <v>129</v>
      </c>
      <c r="G12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28" s="139" t="str">
        <f>IF(COUNTIF(Tabla_imprenta[LOTE],Tabla_control[[#This Row],[LOTE]])=1,INDEX(Tabla_imprenta[stock sap],MATCH(Tabla_control[[#This Row],[LOTE]],Tabla_imprenta[LOTE],0)),"ENTREGADO")</f>
        <v>ENTREGADO</v>
      </c>
      <c r="I128" s="139" t="str">
        <f>IF(Tabla_control[[#This Row],[STOCK SAP]]&gt;Tabla_control[[#This Row],[CANTIDAD IMPRIMIR]],"cubre","no cubre")</f>
        <v>no cubre</v>
      </c>
      <c r="J128" s="7" t="str">
        <f>IF(COUNTIF(Tabla_imprenta[LOTE],Tabla_control[[#This Row],[LOTE]])=1,INDEX(Tabla_imprenta[STOCK],MATCH(Tabla_control[[#This Row],[LOTE]],Tabla_imprenta[LOTE],0)),"ENTREGADO")</f>
        <v>ENTREGADO</v>
      </c>
      <c r="K12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28" s="148" t="e">
        <f>INDEX(Tabla_imprenta[FECHA CAJA],MATCH(Tabla_control[[#This Row],[LOTE]],Tabla_imprenta[LOTE],0))</f>
        <v>#N/A</v>
      </c>
      <c r="M12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2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2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28" s="169" t="e">
        <f>ROUNDUP(Tabla_control[[#This Row],[CANTIDAD IMPRIMIR]]/Tabla_control[[#This Row],[N TJ]],0)</f>
        <v>#VALUE!</v>
      </c>
      <c r="Q128" s="169" t="e">
        <f>IF(Tabla_control[[#This Row],[CANTIDAD TIRAJE]]&gt;10000,Tabla_control[[#This Row],[CANTIDAD TIRAJE]],Tabla_control[[#This Row],[CANTIDAD TIRAJE]]*2)</f>
        <v>#VALUE!</v>
      </c>
      <c r="R128" s="4" t="s">
        <v>172</v>
      </c>
      <c r="S128" s="4" t="s">
        <v>31</v>
      </c>
      <c r="T128" s="4"/>
      <c r="U128" s="4"/>
      <c r="V128" s="4"/>
      <c r="W128" s="138" t="s">
        <v>3223</v>
      </c>
      <c r="X128" s="138"/>
      <c r="Y128" s="138"/>
      <c r="Z128" s="138"/>
      <c r="AA128" s="4" t="s">
        <v>2031</v>
      </c>
      <c r="AB128" s="184" t="s">
        <v>2028</v>
      </c>
    </row>
    <row r="129" spans="1:33" hidden="1" x14ac:dyDescent="0.2">
      <c r="A129" s="175" t="str">
        <f>IF(COUNTIF(Tabla_imprenta[LOTE],Tabla_control[[#This Row],[LOTE]])=1,INDEX(Tabla_imprenta[FECHA EMISIÓN],MATCH(Tabla_control[[#This Row],[LOTE]],Tabla_imprenta[LOTE],0)),"REALIZADO")</f>
        <v>REALIZADO</v>
      </c>
      <c r="B129" s="142" t="str">
        <f>IF(COUNTIF(Tabla_imprenta[LOTE],Tabla_control[[#This Row],[LOTE]])=1,INDEX(Tabla_imprenta[CÓD. SOLICITUD],MATCH(Tabla_control[[#This Row],[LOTE]],Tabla_imprenta[LOTE],0)),"REALIZADO")</f>
        <v>REALIZADO</v>
      </c>
      <c r="C129" s="177" t="str">
        <f>IF(COUNTIF(Tabla_imprenta[LOTE],Tabla_control[[#This Row],[LOTE]])=1,INDEX(Tabla_imprenta[PRODUCTO],MATCH(Tabla_control[[#This Row],[LOTE]],Tabla_imprenta[LOTE],0)),"REALIZADO")</f>
        <v>REALIZADO</v>
      </c>
      <c r="D129" s="142" t="str">
        <f>IF(COUNTIF(Tabla_imprenta[LOTE],Tabla_control[[#This Row],[LOTE]])=1,INDEX(Tabla_imprenta[FORMA FARMACEUTICA],MATCH(Tabla_control[[#This Row],[LOTE]],Tabla_imprenta[LOTE],0)),"REALIZADO")</f>
        <v>REALIZADO</v>
      </c>
      <c r="E129" s="175" t="str">
        <f>IF(COUNTIF(Tabla_imprenta[LOTE],Tabla_control[[#This Row],[LOTE]])=1,INDEX(Tabla_imprenta[INSTITUCIÓN],MATCH(Tabla_control[[#This Row],[LOTE]],Tabla_imprenta[LOTE],0)),"REALIZADO")</f>
        <v>REALIZADO</v>
      </c>
      <c r="F129" s="183" t="s">
        <v>116</v>
      </c>
      <c r="G12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29" s="139" t="str">
        <f>IF(COUNTIF(Tabla_imprenta[LOTE],Tabla_control[[#This Row],[LOTE]])=1,INDEX(Tabla_imprenta[stock sap],MATCH(Tabla_control[[#This Row],[LOTE]],Tabla_imprenta[LOTE],0)),"ENTREGADO")</f>
        <v>ENTREGADO</v>
      </c>
      <c r="I129" s="139" t="str">
        <f>IF(Tabla_control[[#This Row],[STOCK SAP]]&gt;Tabla_control[[#This Row],[CANTIDAD IMPRIMIR]],"cubre","no cubre")</f>
        <v>no cubre</v>
      </c>
      <c r="J129" s="7" t="str">
        <f>IF(COUNTIF(Tabla_imprenta[LOTE],Tabla_control[[#This Row],[LOTE]])=1,INDEX(Tabla_imprenta[STOCK],MATCH(Tabla_control[[#This Row],[LOTE]],Tabla_imprenta[LOTE],0)),"ENTREGADO")</f>
        <v>ENTREGADO</v>
      </c>
      <c r="K12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29" s="148" t="e">
        <f>INDEX(Tabla_imprenta[FECHA CAJA],MATCH(Tabla_control[[#This Row],[LOTE]],Tabla_imprenta[LOTE],0))</f>
        <v>#N/A</v>
      </c>
      <c r="M12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2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2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29" s="169" t="e">
        <f>ROUNDUP(Tabla_control[[#This Row],[CANTIDAD IMPRIMIR]]/Tabla_control[[#This Row],[N TJ]],0)</f>
        <v>#VALUE!</v>
      </c>
      <c r="Q129" s="169" t="e">
        <f>IF(Tabla_control[[#This Row],[CANTIDAD TIRAJE]]&gt;10000,Tabla_control[[#This Row],[CANTIDAD TIRAJE]],Tabla_control[[#This Row],[CANTIDAD TIRAJE]]*2)</f>
        <v>#VALUE!</v>
      </c>
      <c r="R129" s="4" t="s">
        <v>172</v>
      </c>
      <c r="S129" s="4" t="s">
        <v>30</v>
      </c>
      <c r="T129" s="4"/>
      <c r="U129" s="4"/>
      <c r="V129" s="4"/>
      <c r="W129" s="138" t="s">
        <v>3223</v>
      </c>
      <c r="X129" s="138"/>
      <c r="Y129" s="138"/>
      <c r="Z129" s="138"/>
      <c r="AA129" s="4" t="s">
        <v>2031</v>
      </c>
      <c r="AB129" s="184" t="s">
        <v>2028</v>
      </c>
    </row>
    <row r="130" spans="1:33" hidden="1" x14ac:dyDescent="0.2">
      <c r="A130" s="175" t="str">
        <f>IF(COUNTIF(Tabla_imprenta[LOTE],Tabla_control[[#This Row],[LOTE]])=1,INDEX(Tabla_imprenta[FECHA EMISIÓN],MATCH(Tabla_control[[#This Row],[LOTE]],Tabla_imprenta[LOTE],0)),"REALIZADO")</f>
        <v>REALIZADO</v>
      </c>
      <c r="B130" s="142" t="str">
        <f>IF(COUNTIF(Tabla_imprenta[LOTE],Tabla_control[[#This Row],[LOTE]])=1,INDEX(Tabla_imprenta[CÓD. SOLICITUD],MATCH(Tabla_control[[#This Row],[LOTE]],Tabla_imprenta[LOTE],0)),"REALIZADO")</f>
        <v>REALIZADO</v>
      </c>
      <c r="C130" s="177" t="str">
        <f>IF(COUNTIF(Tabla_imprenta[LOTE],Tabla_control[[#This Row],[LOTE]])=1,INDEX(Tabla_imprenta[PRODUCTO],MATCH(Tabla_control[[#This Row],[LOTE]],Tabla_imprenta[LOTE],0)),"REALIZADO")</f>
        <v>REALIZADO</v>
      </c>
      <c r="D130" s="142" t="str">
        <f>IF(COUNTIF(Tabla_imprenta[LOTE],Tabla_control[[#This Row],[LOTE]])=1,INDEX(Tabla_imprenta[FORMA FARMACEUTICA],MATCH(Tabla_control[[#This Row],[LOTE]],Tabla_imprenta[LOTE],0)),"REALIZADO")</f>
        <v>REALIZADO</v>
      </c>
      <c r="E130" s="177" t="str">
        <f>IF(COUNTIF(Tabla_imprenta[LOTE],Tabla_control[[#This Row],[LOTE]])=1,INDEX(Tabla_imprenta[INSTITUCIÓN],MATCH(Tabla_control[[#This Row],[LOTE]],Tabla_imprenta[LOTE],0)),"REALIZADO")</f>
        <v>REALIZADO</v>
      </c>
      <c r="F130" s="183" t="s">
        <v>124</v>
      </c>
      <c r="G13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30" s="139" t="str">
        <f>IF(COUNTIF(Tabla_imprenta[LOTE],Tabla_control[[#This Row],[LOTE]])=1,INDEX(Tabla_imprenta[stock sap],MATCH(Tabla_control[[#This Row],[LOTE]],Tabla_imprenta[LOTE],0)),"ENTREGADO")</f>
        <v>ENTREGADO</v>
      </c>
      <c r="I130" s="139" t="str">
        <f>IF(Tabla_control[[#This Row],[STOCK SAP]]&gt;Tabla_control[[#This Row],[CANTIDAD IMPRIMIR]],"cubre","no cubre")</f>
        <v>no cubre</v>
      </c>
      <c r="J130" s="7" t="str">
        <f>IF(COUNTIF(Tabla_imprenta[LOTE],Tabla_control[[#This Row],[LOTE]])=1,INDEX(Tabla_imprenta[STOCK],MATCH(Tabla_control[[#This Row],[LOTE]],Tabla_imprenta[LOTE],0)),"ENTREGADO")</f>
        <v>ENTREGADO</v>
      </c>
      <c r="K13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30" s="148" t="e">
        <f>INDEX(Tabla_imprenta[FECHA CAJA],MATCH(Tabla_control[[#This Row],[LOTE]],Tabla_imprenta[LOTE],0))</f>
        <v>#N/A</v>
      </c>
      <c r="M13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3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3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30" s="169" t="e">
        <f>ROUNDUP(Tabla_control[[#This Row],[CANTIDAD IMPRIMIR]]/Tabla_control[[#This Row],[N TJ]],0)</f>
        <v>#VALUE!</v>
      </c>
      <c r="Q130" s="169" t="e">
        <f>IF(Tabla_control[[#This Row],[CANTIDAD TIRAJE]]&gt;10000,Tabla_control[[#This Row],[CANTIDAD TIRAJE]],Tabla_control[[#This Row],[CANTIDAD TIRAJE]]*2)</f>
        <v>#VALUE!</v>
      </c>
      <c r="R130" s="4" t="s">
        <v>172</v>
      </c>
      <c r="S130" s="4" t="s">
        <v>31</v>
      </c>
      <c r="T130" s="4"/>
      <c r="U130" s="4"/>
      <c r="V130" s="4"/>
      <c r="W130" s="138" t="s">
        <v>3223</v>
      </c>
      <c r="X130" s="138"/>
      <c r="Y130" s="138"/>
      <c r="Z130" s="138"/>
      <c r="AA130" s="4" t="s">
        <v>2031</v>
      </c>
      <c r="AB130" s="184" t="s">
        <v>2028</v>
      </c>
    </row>
    <row r="131" spans="1:33" hidden="1" x14ac:dyDescent="0.2">
      <c r="A131" s="175" t="str">
        <f>IF(COUNTIF(Tabla_imprenta[LOTE],Tabla_control[[#This Row],[LOTE]])=1,INDEX(Tabla_imprenta[FECHA EMISIÓN],MATCH(Tabla_control[[#This Row],[LOTE]],Tabla_imprenta[LOTE],0)),"REALIZADO")</f>
        <v>REALIZADO</v>
      </c>
      <c r="B131" s="142" t="str">
        <f>IF(COUNTIF(Tabla_imprenta[LOTE],Tabla_control[[#This Row],[LOTE]])=1,INDEX(Tabla_imprenta[CÓD. SOLICITUD],MATCH(Tabla_control[[#This Row],[LOTE]],Tabla_imprenta[LOTE],0)),"REALIZADO")</f>
        <v>REALIZADO</v>
      </c>
      <c r="C131" s="177" t="str">
        <f>IF(COUNTIF(Tabla_imprenta[LOTE],Tabla_control[[#This Row],[LOTE]])=1,INDEX(Tabla_imprenta[PRODUCTO],MATCH(Tabla_control[[#This Row],[LOTE]],Tabla_imprenta[LOTE],0)),"REALIZADO")</f>
        <v>REALIZADO</v>
      </c>
      <c r="D131" s="142" t="str">
        <f>IF(COUNTIF(Tabla_imprenta[LOTE],Tabla_control[[#This Row],[LOTE]])=1,INDEX(Tabla_imprenta[FORMA FARMACEUTICA],MATCH(Tabla_control[[#This Row],[LOTE]],Tabla_imprenta[LOTE],0)),"REALIZADO")</f>
        <v>REALIZADO</v>
      </c>
      <c r="E131" s="177" t="str">
        <f>IF(COUNTIF(Tabla_imprenta[LOTE],Tabla_control[[#This Row],[LOTE]])=1,INDEX(Tabla_imprenta[INSTITUCIÓN],MATCH(Tabla_control[[#This Row],[LOTE]],Tabla_imprenta[LOTE],0)),"REALIZADO")</f>
        <v>REALIZADO</v>
      </c>
      <c r="F131" s="180" t="s">
        <v>2161</v>
      </c>
      <c r="G13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31" s="139" t="str">
        <f>IF(COUNTIF(Tabla_imprenta[LOTE],Tabla_control[[#This Row],[LOTE]])=1,INDEX(Tabla_imprenta[stock sap],MATCH(Tabla_control[[#This Row],[LOTE]],Tabla_imprenta[LOTE],0)),"ENTREGADO")</f>
        <v>ENTREGADO</v>
      </c>
      <c r="I131" s="139" t="str">
        <f>IF(Tabla_control[[#This Row],[STOCK SAP]]&gt;Tabla_control[[#This Row],[CANTIDAD IMPRIMIR]],"cubre","no cubre")</f>
        <v>no cubre</v>
      </c>
      <c r="J131" s="7" t="str">
        <f>IF(COUNTIF(Tabla_imprenta[LOTE],Tabla_control[[#This Row],[LOTE]])=1,INDEX(Tabla_imprenta[STOCK],MATCH(Tabla_control[[#This Row],[LOTE]],Tabla_imprenta[LOTE],0)),"ENTREGADO")</f>
        <v>ENTREGADO</v>
      </c>
      <c r="K13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31" s="148" t="e">
        <f>INDEX(Tabla_imprenta[FECHA CAJA],MATCH(Tabla_control[[#This Row],[LOTE]],Tabla_imprenta[LOTE],0))</f>
        <v>#N/A</v>
      </c>
      <c r="M13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3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3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31" s="169" t="e">
        <f>ROUNDUP(Tabla_control[[#This Row],[CANTIDAD IMPRIMIR]]/Tabla_control[[#This Row],[N TJ]],0)</f>
        <v>#VALUE!</v>
      </c>
      <c r="Q131" s="169" t="e">
        <f>IF(Tabla_control[[#This Row],[CANTIDAD TIRAJE]]&gt;10000,Tabla_control[[#This Row],[CANTIDAD TIRAJE]],Tabla_control[[#This Row],[CANTIDAD TIRAJE]]*2)</f>
        <v>#VALUE!</v>
      </c>
      <c r="R131" s="4" t="s">
        <v>176</v>
      </c>
      <c r="S131" s="4" t="s">
        <v>30</v>
      </c>
      <c r="T131" s="4"/>
      <c r="U131" s="4"/>
      <c r="V131" s="4"/>
      <c r="W131" s="138" t="s">
        <v>3223</v>
      </c>
      <c r="X131" s="138"/>
      <c r="Y131" s="138"/>
      <c r="Z131" s="138"/>
      <c r="AA131" s="4" t="s">
        <v>2429</v>
      </c>
      <c r="AB131" s="184" t="s">
        <v>2028</v>
      </c>
      <c r="AF131" s="183">
        <f>200</f>
        <v>200</v>
      </c>
      <c r="AG131" s="183">
        <f>AF131*1.78</f>
        <v>356</v>
      </c>
    </row>
    <row r="132" spans="1:33" hidden="1" x14ac:dyDescent="0.2">
      <c r="A132" s="175" t="str">
        <f>IF(COUNTIF(Tabla_imprenta[LOTE],Tabla_control[[#This Row],[LOTE]])=1,INDEX(Tabla_imprenta[FECHA EMISIÓN],MATCH(Tabla_control[[#This Row],[LOTE]],Tabla_imprenta[LOTE],0)),"REALIZADO")</f>
        <v>REALIZADO</v>
      </c>
      <c r="B132" s="142" t="str">
        <f>IF(COUNTIF(Tabla_imprenta[LOTE],Tabla_control[[#This Row],[LOTE]])=1,INDEX(Tabla_imprenta[CÓD. SOLICITUD],MATCH(Tabla_control[[#This Row],[LOTE]],Tabla_imprenta[LOTE],0)),"REALIZADO")</f>
        <v>REALIZADO</v>
      </c>
      <c r="C132" s="177" t="str">
        <f>IF(COUNTIF(Tabla_imprenta[LOTE],Tabla_control[[#This Row],[LOTE]])=1,INDEX(Tabla_imprenta[PRODUCTO],MATCH(Tabla_control[[#This Row],[LOTE]],Tabla_imprenta[LOTE],0)),"REALIZADO")</f>
        <v>REALIZADO</v>
      </c>
      <c r="D132" s="142" t="str">
        <f>IF(COUNTIF(Tabla_imprenta[LOTE],Tabla_control[[#This Row],[LOTE]])=1,INDEX(Tabla_imprenta[FORMA FARMACEUTICA],MATCH(Tabla_control[[#This Row],[LOTE]],Tabla_imprenta[LOTE],0)),"REALIZADO")</f>
        <v>REALIZADO</v>
      </c>
      <c r="E132" s="177" t="str">
        <f>IF(COUNTIF(Tabla_imprenta[LOTE],Tabla_control[[#This Row],[LOTE]])=1,INDEX(Tabla_imprenta[INSTITUCIÓN],MATCH(Tabla_control[[#This Row],[LOTE]],Tabla_imprenta[LOTE],0)),"REALIZADO")</f>
        <v>REALIZADO</v>
      </c>
      <c r="F132" s="183" t="s">
        <v>123</v>
      </c>
      <c r="G13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32" s="139" t="str">
        <f>IF(COUNTIF(Tabla_imprenta[LOTE],Tabla_control[[#This Row],[LOTE]])=1,INDEX(Tabla_imprenta[stock sap],MATCH(Tabla_control[[#This Row],[LOTE]],Tabla_imprenta[LOTE],0)),"ENTREGADO")</f>
        <v>ENTREGADO</v>
      </c>
      <c r="I132" s="139" t="str">
        <f>IF(Tabla_control[[#This Row],[STOCK SAP]]&gt;Tabla_control[[#This Row],[CANTIDAD IMPRIMIR]],"cubre","no cubre")</f>
        <v>no cubre</v>
      </c>
      <c r="J132" s="7" t="str">
        <f>IF(COUNTIF(Tabla_imprenta[LOTE],Tabla_control[[#This Row],[LOTE]])=1,INDEX(Tabla_imprenta[STOCK],MATCH(Tabla_control[[#This Row],[LOTE]],Tabla_imprenta[LOTE],0)),"ENTREGADO")</f>
        <v>ENTREGADO</v>
      </c>
      <c r="K13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32" s="148" t="e">
        <f>INDEX(Tabla_imprenta[FECHA CAJA],MATCH(Tabla_control[[#This Row],[LOTE]],Tabla_imprenta[LOTE],0))</f>
        <v>#N/A</v>
      </c>
      <c r="M13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3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3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32" s="169" t="e">
        <f>ROUNDUP(Tabla_control[[#This Row],[CANTIDAD IMPRIMIR]]/Tabla_control[[#This Row],[N TJ]],0)</f>
        <v>#VALUE!</v>
      </c>
      <c r="Q132" s="169" t="e">
        <f>IF(Tabla_control[[#This Row],[CANTIDAD TIRAJE]]&gt;10000,Tabla_control[[#This Row],[CANTIDAD TIRAJE]],Tabla_control[[#This Row],[CANTIDAD TIRAJE]]*2)</f>
        <v>#VALUE!</v>
      </c>
      <c r="R132" s="4" t="s">
        <v>172</v>
      </c>
      <c r="S132" s="4" t="s">
        <v>31</v>
      </c>
      <c r="T132" s="4"/>
      <c r="U132" s="4"/>
      <c r="V132" s="4"/>
      <c r="W132" s="138" t="s">
        <v>3223</v>
      </c>
      <c r="X132" s="138"/>
      <c r="Y132" s="138"/>
      <c r="Z132" s="138"/>
      <c r="AA132" s="4" t="s">
        <v>2031</v>
      </c>
      <c r="AB132" s="184" t="s">
        <v>2028</v>
      </c>
    </row>
    <row r="133" spans="1:33" hidden="1" x14ac:dyDescent="0.2">
      <c r="A133" s="175" t="str">
        <f>IF(COUNTIF(Tabla_imprenta[LOTE],Tabla_control[[#This Row],[LOTE]])=1,INDEX(Tabla_imprenta[FECHA EMISIÓN],MATCH(Tabla_control[[#This Row],[LOTE]],Tabla_imprenta[LOTE],0)),"REALIZADO")</f>
        <v>REALIZADO</v>
      </c>
      <c r="B133" s="142" t="str">
        <f>IF(COUNTIF(Tabla_imprenta[LOTE],Tabla_control[[#This Row],[LOTE]])=1,INDEX(Tabla_imprenta[CÓD. SOLICITUD],MATCH(Tabla_control[[#This Row],[LOTE]],Tabla_imprenta[LOTE],0)),"REALIZADO")</f>
        <v>REALIZADO</v>
      </c>
      <c r="C133" s="177" t="str">
        <f>IF(COUNTIF(Tabla_imprenta[LOTE],Tabla_control[[#This Row],[LOTE]])=1,INDEX(Tabla_imprenta[PRODUCTO],MATCH(Tabla_control[[#This Row],[LOTE]],Tabla_imprenta[LOTE],0)),"REALIZADO")</f>
        <v>REALIZADO</v>
      </c>
      <c r="D133" s="142" t="str">
        <f>IF(COUNTIF(Tabla_imprenta[LOTE],Tabla_control[[#This Row],[LOTE]])=1,INDEX(Tabla_imprenta[FORMA FARMACEUTICA],MATCH(Tabla_control[[#This Row],[LOTE]],Tabla_imprenta[LOTE],0)),"REALIZADO")</f>
        <v>REALIZADO</v>
      </c>
      <c r="E133" s="177" t="str">
        <f>IF(COUNTIF(Tabla_imprenta[LOTE],Tabla_control[[#This Row],[LOTE]])=1,INDEX(Tabla_imprenta[INSTITUCIÓN],MATCH(Tabla_control[[#This Row],[LOTE]],Tabla_imprenta[LOTE],0)),"REALIZADO")</f>
        <v>REALIZADO</v>
      </c>
      <c r="F133" s="183" t="s">
        <v>122</v>
      </c>
      <c r="G13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33" s="139" t="str">
        <f>IF(COUNTIF(Tabla_imprenta[LOTE],Tabla_control[[#This Row],[LOTE]])=1,INDEX(Tabla_imprenta[stock sap],MATCH(Tabla_control[[#This Row],[LOTE]],Tabla_imprenta[LOTE],0)),"ENTREGADO")</f>
        <v>ENTREGADO</v>
      </c>
      <c r="I133" s="139" t="str">
        <f>IF(Tabla_control[[#This Row],[STOCK SAP]]&gt;Tabla_control[[#This Row],[CANTIDAD IMPRIMIR]],"cubre","no cubre")</f>
        <v>no cubre</v>
      </c>
      <c r="J133" s="7" t="str">
        <f>IF(COUNTIF(Tabla_imprenta[LOTE],Tabla_control[[#This Row],[LOTE]])=1,INDEX(Tabla_imprenta[STOCK],MATCH(Tabla_control[[#This Row],[LOTE]],Tabla_imprenta[LOTE],0)),"ENTREGADO")</f>
        <v>ENTREGADO</v>
      </c>
      <c r="K13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33" s="148" t="e">
        <f>INDEX(Tabla_imprenta[FECHA CAJA],MATCH(Tabla_control[[#This Row],[LOTE]],Tabla_imprenta[LOTE],0))</f>
        <v>#N/A</v>
      </c>
      <c r="M13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3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3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33" s="169" t="e">
        <f>ROUNDUP(Tabla_control[[#This Row],[CANTIDAD IMPRIMIR]]/Tabla_control[[#This Row],[N TJ]],0)</f>
        <v>#VALUE!</v>
      </c>
      <c r="Q133" s="169" t="e">
        <f>IF(Tabla_control[[#This Row],[CANTIDAD TIRAJE]]&gt;10000,Tabla_control[[#This Row],[CANTIDAD TIRAJE]],Tabla_control[[#This Row],[CANTIDAD TIRAJE]]*2)</f>
        <v>#VALUE!</v>
      </c>
      <c r="R133" s="4" t="s">
        <v>172</v>
      </c>
      <c r="S133" s="4" t="s">
        <v>31</v>
      </c>
      <c r="T133" s="4"/>
      <c r="U133" s="4"/>
      <c r="V133" s="4"/>
      <c r="W133" s="138" t="s">
        <v>3223</v>
      </c>
      <c r="X133" s="138"/>
      <c r="Y133" s="138"/>
      <c r="Z133" s="138"/>
      <c r="AA133" s="4" t="s">
        <v>2031</v>
      </c>
      <c r="AB133" s="184" t="s">
        <v>2028</v>
      </c>
    </row>
    <row r="134" spans="1:33" hidden="1" x14ac:dyDescent="0.2">
      <c r="A134" s="175" t="str">
        <f>IF(COUNTIF(Tabla_imprenta[LOTE],Tabla_control[[#This Row],[LOTE]])=1,INDEX(Tabla_imprenta[FECHA EMISIÓN],MATCH(Tabla_control[[#This Row],[LOTE]],Tabla_imprenta[LOTE],0)),"REALIZADO")</f>
        <v>REALIZADO</v>
      </c>
      <c r="B134" s="142" t="str">
        <f>IF(COUNTIF(Tabla_imprenta[LOTE],Tabla_control[[#This Row],[LOTE]])=1,INDEX(Tabla_imprenta[CÓD. SOLICITUD],MATCH(Tabla_control[[#This Row],[LOTE]],Tabla_imprenta[LOTE],0)),"REALIZADO")</f>
        <v>REALIZADO</v>
      </c>
      <c r="C134" s="177" t="str">
        <f>IF(COUNTIF(Tabla_imprenta[LOTE],Tabla_control[[#This Row],[LOTE]])=1,INDEX(Tabla_imprenta[PRODUCTO],MATCH(Tabla_control[[#This Row],[LOTE]],Tabla_imprenta[LOTE],0)),"REALIZADO")</f>
        <v>REALIZADO</v>
      </c>
      <c r="D134" s="142" t="str">
        <f>IF(COUNTIF(Tabla_imprenta[LOTE],Tabla_control[[#This Row],[LOTE]])=1,INDEX(Tabla_imprenta[FORMA FARMACEUTICA],MATCH(Tabla_control[[#This Row],[LOTE]],Tabla_imprenta[LOTE],0)),"REALIZADO")</f>
        <v>REALIZADO</v>
      </c>
      <c r="E134" s="177" t="str">
        <f>IF(COUNTIF(Tabla_imprenta[LOTE],Tabla_control[[#This Row],[LOTE]])=1,INDEX(Tabla_imprenta[INSTITUCIÓN],MATCH(Tabla_control[[#This Row],[LOTE]],Tabla_imprenta[LOTE],0)),"REALIZADO")</f>
        <v>REALIZADO</v>
      </c>
      <c r="F134" s="183" t="s">
        <v>125</v>
      </c>
      <c r="G13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34" s="139" t="str">
        <f>IF(COUNTIF(Tabla_imprenta[LOTE],Tabla_control[[#This Row],[LOTE]])=1,INDEX(Tabla_imprenta[stock sap],MATCH(Tabla_control[[#This Row],[LOTE]],Tabla_imprenta[LOTE],0)),"ENTREGADO")</f>
        <v>ENTREGADO</v>
      </c>
      <c r="I134" s="139" t="str">
        <f>IF(Tabla_control[[#This Row],[STOCK SAP]]&gt;Tabla_control[[#This Row],[CANTIDAD IMPRIMIR]],"cubre","no cubre")</f>
        <v>no cubre</v>
      </c>
      <c r="J134" s="7" t="str">
        <f>IF(COUNTIF(Tabla_imprenta[LOTE],Tabla_control[[#This Row],[LOTE]])=1,INDEX(Tabla_imprenta[STOCK],MATCH(Tabla_control[[#This Row],[LOTE]],Tabla_imprenta[LOTE],0)),"ENTREGADO")</f>
        <v>ENTREGADO</v>
      </c>
      <c r="K13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34" s="148" t="e">
        <f>INDEX(Tabla_imprenta[FECHA CAJA],MATCH(Tabla_control[[#This Row],[LOTE]],Tabla_imprenta[LOTE],0))</f>
        <v>#N/A</v>
      </c>
      <c r="M13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3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3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34" s="169" t="e">
        <f>ROUNDUP(Tabla_control[[#This Row],[CANTIDAD IMPRIMIR]]/Tabla_control[[#This Row],[N TJ]],0)</f>
        <v>#VALUE!</v>
      </c>
      <c r="Q134" s="169" t="e">
        <f>IF(Tabla_control[[#This Row],[CANTIDAD TIRAJE]]&gt;10000,Tabla_control[[#This Row],[CANTIDAD TIRAJE]],Tabla_control[[#This Row],[CANTIDAD TIRAJE]]*2)</f>
        <v>#VALUE!</v>
      </c>
      <c r="R134" s="4" t="s">
        <v>172</v>
      </c>
      <c r="S134" s="4" t="s">
        <v>31</v>
      </c>
      <c r="T134" s="4"/>
      <c r="U134" s="4"/>
      <c r="V134" s="4"/>
      <c r="W134" s="138" t="s">
        <v>3223</v>
      </c>
      <c r="X134" s="138"/>
      <c r="Y134" s="138"/>
      <c r="Z134" s="138"/>
      <c r="AA134" s="4" t="s">
        <v>2031</v>
      </c>
      <c r="AB134" s="184" t="s">
        <v>2028</v>
      </c>
    </row>
    <row r="135" spans="1:33" hidden="1" x14ac:dyDescent="0.2">
      <c r="A135" s="175" t="str">
        <f>IF(COUNTIF(Tabla_imprenta[LOTE],Tabla_control[[#This Row],[LOTE]])=1,INDEX(Tabla_imprenta[FECHA EMISIÓN],MATCH(Tabla_control[[#This Row],[LOTE]],Tabla_imprenta[LOTE],0)),"REALIZADO")</f>
        <v>REALIZADO</v>
      </c>
      <c r="B135" s="142" t="str">
        <f>IF(COUNTIF(Tabla_imprenta[LOTE],Tabla_control[[#This Row],[LOTE]])=1,INDEX(Tabla_imprenta[CÓD. SOLICITUD],MATCH(Tabla_control[[#This Row],[LOTE]],Tabla_imprenta[LOTE],0)),"REALIZADO")</f>
        <v>REALIZADO</v>
      </c>
      <c r="C135" s="177" t="str">
        <f>IF(COUNTIF(Tabla_imprenta[LOTE],Tabla_control[[#This Row],[LOTE]])=1,INDEX(Tabla_imprenta[PRODUCTO],MATCH(Tabla_control[[#This Row],[LOTE]],Tabla_imprenta[LOTE],0)),"REALIZADO")</f>
        <v>REALIZADO</v>
      </c>
      <c r="D135" s="142" t="str">
        <f>IF(COUNTIF(Tabla_imprenta[LOTE],Tabla_control[[#This Row],[LOTE]])=1,INDEX(Tabla_imprenta[FORMA FARMACEUTICA],MATCH(Tabla_control[[#This Row],[LOTE]],Tabla_imprenta[LOTE],0)),"REALIZADO")</f>
        <v>REALIZADO</v>
      </c>
      <c r="E135" s="177" t="str">
        <f>IF(COUNTIF(Tabla_imprenta[LOTE],Tabla_control[[#This Row],[LOTE]])=1,INDEX(Tabla_imprenta[INSTITUCIÓN],MATCH(Tabla_control[[#This Row],[LOTE]],Tabla_imprenta[LOTE],0)),"REALIZADO")</f>
        <v>REALIZADO</v>
      </c>
      <c r="F135" s="180" t="s">
        <v>207</v>
      </c>
      <c r="G13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35" s="139" t="str">
        <f>IF(COUNTIF(Tabla_imprenta[LOTE],Tabla_control[[#This Row],[LOTE]])=1,INDEX(Tabla_imprenta[stock sap],MATCH(Tabla_control[[#This Row],[LOTE]],Tabla_imprenta[LOTE],0)),"ENTREGADO")</f>
        <v>ENTREGADO</v>
      </c>
      <c r="I135" s="139" t="str">
        <f>IF(Tabla_control[[#This Row],[STOCK SAP]]&gt;Tabla_control[[#This Row],[CANTIDAD IMPRIMIR]],"cubre","no cubre")</f>
        <v>no cubre</v>
      </c>
      <c r="J135" s="7" t="str">
        <f>IF(COUNTIF(Tabla_imprenta[LOTE],Tabla_control[[#This Row],[LOTE]])=1,INDEX(Tabla_imprenta[STOCK],MATCH(Tabla_control[[#This Row],[LOTE]],Tabla_imprenta[LOTE],0)),"ENTREGADO")</f>
        <v>ENTREGADO</v>
      </c>
      <c r="K13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35" s="148" t="e">
        <f>INDEX(Tabla_imprenta[FECHA CAJA],MATCH(Tabla_control[[#This Row],[LOTE]],Tabla_imprenta[LOTE],0))</f>
        <v>#N/A</v>
      </c>
      <c r="M13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3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3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35" s="169" t="e">
        <f>ROUNDUP(Tabla_control[[#This Row],[CANTIDAD IMPRIMIR]]/Tabla_control[[#This Row],[N TJ]],0)</f>
        <v>#VALUE!</v>
      </c>
      <c r="Q135" s="169" t="e">
        <f>IF(Tabla_control[[#This Row],[CANTIDAD TIRAJE]]&gt;10000,Tabla_control[[#This Row],[CANTIDAD TIRAJE]],Tabla_control[[#This Row],[CANTIDAD TIRAJE]]*2)</f>
        <v>#VALUE!</v>
      </c>
      <c r="R135" s="4" t="s">
        <v>177</v>
      </c>
      <c r="S135" s="4" t="s">
        <v>31</v>
      </c>
      <c r="T135" s="4"/>
      <c r="U135" s="4"/>
      <c r="V135" s="4"/>
      <c r="W135" s="138" t="s">
        <v>3223</v>
      </c>
      <c r="X135" s="138"/>
      <c r="Y135" s="138"/>
      <c r="Z135" s="138"/>
      <c r="AA135" s="4" t="s">
        <v>321</v>
      </c>
      <c r="AB135" s="184" t="s">
        <v>2028</v>
      </c>
    </row>
    <row r="136" spans="1:33" hidden="1" x14ac:dyDescent="0.2">
      <c r="A136" s="175" t="str">
        <f>IF(COUNTIF(Tabla_imprenta[LOTE],Tabla_control[[#This Row],[LOTE]])=1,INDEX(Tabla_imprenta[FECHA EMISIÓN],MATCH(Tabla_control[[#This Row],[LOTE]],Tabla_imprenta[LOTE],0)),"REALIZADO")</f>
        <v>REALIZADO</v>
      </c>
      <c r="B136" s="142" t="str">
        <f>IF(COUNTIF(Tabla_imprenta[LOTE],Tabla_control[[#This Row],[LOTE]])=1,INDEX(Tabla_imprenta[CÓD. SOLICITUD],MATCH(Tabla_control[[#This Row],[LOTE]],Tabla_imprenta[LOTE],0)),"REALIZADO")</f>
        <v>REALIZADO</v>
      </c>
      <c r="C136" s="177" t="str">
        <f>IF(COUNTIF(Tabla_imprenta[LOTE],Tabla_control[[#This Row],[LOTE]])=1,INDEX(Tabla_imprenta[PRODUCTO],MATCH(Tabla_control[[#This Row],[LOTE]],Tabla_imprenta[LOTE],0)),"REALIZADO")</f>
        <v>REALIZADO</v>
      </c>
      <c r="D136" s="142" t="str">
        <f>IF(COUNTIF(Tabla_imprenta[LOTE],Tabla_control[[#This Row],[LOTE]])=1,INDEX(Tabla_imprenta[FORMA FARMACEUTICA],MATCH(Tabla_control[[#This Row],[LOTE]],Tabla_imprenta[LOTE],0)),"REALIZADO")</f>
        <v>REALIZADO</v>
      </c>
      <c r="E136" s="177" t="str">
        <f>IF(COUNTIF(Tabla_imprenta[LOTE],Tabla_control[[#This Row],[LOTE]])=1,INDEX(Tabla_imprenta[INSTITUCIÓN],MATCH(Tabla_control[[#This Row],[LOTE]],Tabla_imprenta[LOTE],0)),"REALIZADO")</f>
        <v>REALIZADO</v>
      </c>
      <c r="F136" s="180" t="s">
        <v>204</v>
      </c>
      <c r="G13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36" s="139" t="str">
        <f>IF(COUNTIF(Tabla_imprenta[LOTE],Tabla_control[[#This Row],[LOTE]])=1,INDEX(Tabla_imprenta[stock sap],MATCH(Tabla_control[[#This Row],[LOTE]],Tabla_imprenta[LOTE],0)),"ENTREGADO")</f>
        <v>ENTREGADO</v>
      </c>
      <c r="I136" s="139" t="str">
        <f>IF(Tabla_control[[#This Row],[STOCK SAP]]&gt;Tabla_control[[#This Row],[CANTIDAD IMPRIMIR]],"cubre","no cubre")</f>
        <v>no cubre</v>
      </c>
      <c r="J136" s="7" t="str">
        <f>IF(COUNTIF(Tabla_imprenta[LOTE],Tabla_control[[#This Row],[LOTE]])=1,INDEX(Tabla_imprenta[STOCK],MATCH(Tabla_control[[#This Row],[LOTE]],Tabla_imprenta[LOTE],0)),"ENTREGADO")</f>
        <v>ENTREGADO</v>
      </c>
      <c r="K13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36" s="148" t="e">
        <f>INDEX(Tabla_imprenta[FECHA CAJA],MATCH(Tabla_control[[#This Row],[LOTE]],Tabla_imprenta[LOTE],0))</f>
        <v>#N/A</v>
      </c>
      <c r="M13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3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3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36" s="169" t="e">
        <f>ROUNDUP(Tabla_control[[#This Row],[CANTIDAD IMPRIMIR]]/Tabla_control[[#This Row],[N TJ]],0)</f>
        <v>#VALUE!</v>
      </c>
      <c r="Q136" s="169" t="e">
        <f>IF(Tabla_control[[#This Row],[CANTIDAD TIRAJE]]&gt;10000,Tabla_control[[#This Row],[CANTIDAD TIRAJE]],Tabla_control[[#This Row],[CANTIDAD TIRAJE]]*2)</f>
        <v>#VALUE!</v>
      </c>
      <c r="R136" s="4" t="s">
        <v>177</v>
      </c>
      <c r="S136" s="4" t="s">
        <v>31</v>
      </c>
      <c r="T136" s="4"/>
      <c r="U136" s="4"/>
      <c r="V136" s="4"/>
      <c r="W136" s="138" t="s">
        <v>3223</v>
      </c>
      <c r="X136" s="138"/>
      <c r="Y136" s="138"/>
      <c r="Z136" s="138"/>
      <c r="AA136" s="4" t="s">
        <v>321</v>
      </c>
      <c r="AB136" s="184" t="s">
        <v>2028</v>
      </c>
    </row>
    <row r="137" spans="1:33" hidden="1" x14ac:dyDescent="0.2">
      <c r="A137" s="175" t="str">
        <f>IF(COUNTIF(Tabla_imprenta[LOTE],Tabla_control[[#This Row],[LOTE]])=1,INDEX(Tabla_imprenta[FECHA EMISIÓN],MATCH(Tabla_control[[#This Row],[LOTE]],Tabla_imprenta[LOTE],0)),"REALIZADO")</f>
        <v>REALIZADO</v>
      </c>
      <c r="B137" s="142" t="str">
        <f>IF(COUNTIF(Tabla_imprenta[LOTE],Tabla_control[[#This Row],[LOTE]])=1,INDEX(Tabla_imprenta[CÓD. SOLICITUD],MATCH(Tabla_control[[#This Row],[LOTE]],Tabla_imprenta[LOTE],0)),"REALIZADO")</f>
        <v>REALIZADO</v>
      </c>
      <c r="C137" s="177" t="str">
        <f>IF(COUNTIF(Tabla_imprenta[LOTE],Tabla_control[[#This Row],[LOTE]])=1,INDEX(Tabla_imprenta[PRODUCTO],MATCH(Tabla_control[[#This Row],[LOTE]],Tabla_imprenta[LOTE],0)),"REALIZADO")</f>
        <v>REALIZADO</v>
      </c>
      <c r="D137" s="142" t="str">
        <f>IF(COUNTIF(Tabla_imprenta[LOTE],Tabla_control[[#This Row],[LOTE]])=1,INDEX(Tabla_imprenta[FORMA FARMACEUTICA],MATCH(Tabla_control[[#This Row],[LOTE]],Tabla_imprenta[LOTE],0)),"REALIZADO")</f>
        <v>REALIZADO</v>
      </c>
      <c r="E137" s="177" t="str">
        <f>IF(COUNTIF(Tabla_imprenta[LOTE],Tabla_control[[#This Row],[LOTE]])=1,INDEX(Tabla_imprenta[INSTITUCIÓN],MATCH(Tabla_control[[#This Row],[LOTE]],Tabla_imprenta[LOTE],0)),"REALIZADO")</f>
        <v>REALIZADO</v>
      </c>
      <c r="F137" s="180" t="s">
        <v>2138</v>
      </c>
      <c r="G13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37" s="139" t="str">
        <f>IF(COUNTIF(Tabla_imprenta[LOTE],Tabla_control[[#This Row],[LOTE]])=1,INDEX(Tabla_imprenta[stock sap],MATCH(Tabla_control[[#This Row],[LOTE]],Tabla_imprenta[LOTE],0)),"ENTREGADO")</f>
        <v>ENTREGADO</v>
      </c>
      <c r="I137" s="139" t="str">
        <f>IF(Tabla_control[[#This Row],[STOCK SAP]]&gt;Tabla_control[[#This Row],[CANTIDAD IMPRIMIR]],"cubre","no cubre")</f>
        <v>no cubre</v>
      </c>
      <c r="J137" s="7" t="str">
        <f>IF(COUNTIF(Tabla_imprenta[LOTE],Tabla_control[[#This Row],[LOTE]])=1,INDEX(Tabla_imprenta[STOCK],MATCH(Tabla_control[[#This Row],[LOTE]],Tabla_imprenta[LOTE],0)),"ENTREGADO")</f>
        <v>ENTREGADO</v>
      </c>
      <c r="K13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37" s="148" t="e">
        <f>INDEX(Tabla_imprenta[FECHA CAJA],MATCH(Tabla_control[[#This Row],[LOTE]],Tabla_imprenta[LOTE],0))</f>
        <v>#N/A</v>
      </c>
      <c r="M13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3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3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37" s="169" t="e">
        <f>ROUNDUP(Tabla_control[[#This Row],[CANTIDAD IMPRIMIR]]/Tabla_control[[#This Row],[N TJ]],0)</f>
        <v>#VALUE!</v>
      </c>
      <c r="Q137" s="169" t="e">
        <f>IF(Tabla_control[[#This Row],[CANTIDAD TIRAJE]]&gt;10000,Tabla_control[[#This Row],[CANTIDAD TIRAJE]],Tabla_control[[#This Row],[CANTIDAD TIRAJE]]*2)</f>
        <v>#VALUE!</v>
      </c>
      <c r="R137" s="4" t="s">
        <v>175</v>
      </c>
      <c r="S137" s="4" t="s">
        <v>174</v>
      </c>
      <c r="T137" s="4"/>
      <c r="U137" s="4"/>
      <c r="V137" s="4"/>
      <c r="W137" s="138" t="s">
        <v>3223</v>
      </c>
      <c r="X137" s="138"/>
      <c r="Y137" s="138"/>
      <c r="Z137" s="138"/>
      <c r="AA137" s="4" t="s">
        <v>2031</v>
      </c>
      <c r="AB137" s="184" t="s">
        <v>2028</v>
      </c>
    </row>
    <row r="138" spans="1:33" hidden="1" x14ac:dyDescent="0.2">
      <c r="A138" s="175" t="str">
        <f>IF(COUNTIF(Tabla_imprenta[LOTE],Tabla_control[[#This Row],[LOTE]])=1,INDEX(Tabla_imprenta[FECHA EMISIÓN],MATCH(Tabla_control[[#This Row],[LOTE]],Tabla_imprenta[LOTE],0)),"REALIZADO")</f>
        <v>REALIZADO</v>
      </c>
      <c r="B138" s="142" t="str">
        <f>IF(COUNTIF(Tabla_imprenta[LOTE],Tabla_control[[#This Row],[LOTE]])=1,INDEX(Tabla_imprenta[CÓD. SOLICITUD],MATCH(Tabla_control[[#This Row],[LOTE]],Tabla_imprenta[LOTE],0)),"REALIZADO")</f>
        <v>REALIZADO</v>
      </c>
      <c r="C138" s="177" t="str">
        <f>IF(COUNTIF(Tabla_imprenta[LOTE],Tabla_control[[#This Row],[LOTE]])=1,INDEX(Tabla_imprenta[PRODUCTO],MATCH(Tabla_control[[#This Row],[LOTE]],Tabla_imprenta[LOTE],0)),"REALIZADO")</f>
        <v>REALIZADO</v>
      </c>
      <c r="D138" s="142" t="str">
        <f>IF(COUNTIF(Tabla_imprenta[LOTE],Tabla_control[[#This Row],[LOTE]])=1,INDEX(Tabla_imprenta[FORMA FARMACEUTICA],MATCH(Tabla_control[[#This Row],[LOTE]],Tabla_imprenta[LOTE],0)),"REALIZADO")</f>
        <v>REALIZADO</v>
      </c>
      <c r="E138" s="177" t="str">
        <f>IF(COUNTIF(Tabla_imprenta[LOTE],Tabla_control[[#This Row],[LOTE]])=1,INDEX(Tabla_imprenta[INSTITUCIÓN],MATCH(Tabla_control[[#This Row],[LOTE]],Tabla_imprenta[LOTE],0)),"REALIZADO")</f>
        <v>REALIZADO</v>
      </c>
      <c r="F138" s="180" t="s">
        <v>2180</v>
      </c>
      <c r="G13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38" s="139" t="str">
        <f>IF(COUNTIF(Tabla_imprenta[LOTE],Tabla_control[[#This Row],[LOTE]])=1,INDEX(Tabla_imprenta[stock sap],MATCH(Tabla_control[[#This Row],[LOTE]],Tabla_imprenta[LOTE],0)),"ENTREGADO")</f>
        <v>ENTREGADO</v>
      </c>
      <c r="I138" s="139" t="str">
        <f>IF(Tabla_control[[#This Row],[STOCK SAP]]&gt;Tabla_control[[#This Row],[CANTIDAD IMPRIMIR]],"cubre","no cubre")</f>
        <v>no cubre</v>
      </c>
      <c r="J138" s="7" t="str">
        <f>IF(COUNTIF(Tabla_imprenta[LOTE],Tabla_control[[#This Row],[LOTE]])=1,INDEX(Tabla_imprenta[STOCK],MATCH(Tabla_control[[#This Row],[LOTE]],Tabla_imprenta[LOTE],0)),"ENTREGADO")</f>
        <v>ENTREGADO</v>
      </c>
      <c r="K13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38" s="148" t="e">
        <f>INDEX(Tabla_imprenta[FECHA CAJA],MATCH(Tabla_control[[#This Row],[LOTE]],Tabla_imprenta[LOTE],0))</f>
        <v>#N/A</v>
      </c>
      <c r="M13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3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3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38" s="169" t="e">
        <f>ROUNDUP(Tabla_control[[#This Row],[CANTIDAD IMPRIMIR]]/Tabla_control[[#This Row],[N TJ]],0)</f>
        <v>#VALUE!</v>
      </c>
      <c r="Q138" s="169" t="e">
        <f>IF(Tabla_control[[#This Row],[CANTIDAD TIRAJE]]&gt;10000,Tabla_control[[#This Row],[CANTIDAD TIRAJE]],Tabla_control[[#This Row],[CANTIDAD TIRAJE]]*2)</f>
        <v>#VALUE!</v>
      </c>
      <c r="R138" s="4" t="s">
        <v>172</v>
      </c>
      <c r="S138" s="4" t="s">
        <v>30</v>
      </c>
      <c r="T138" s="4"/>
      <c r="U138" s="4"/>
      <c r="V138" s="4"/>
      <c r="W138" s="138" t="s">
        <v>3223</v>
      </c>
      <c r="X138" s="138"/>
      <c r="Y138" s="138"/>
      <c r="Z138" s="138"/>
      <c r="AA138" s="4" t="s">
        <v>2314</v>
      </c>
      <c r="AB138" s="184" t="s">
        <v>2028</v>
      </c>
    </row>
    <row r="139" spans="1:33" hidden="1" x14ac:dyDescent="0.2">
      <c r="A139" s="175" t="str">
        <f>IF(COUNTIF(Tabla_imprenta[LOTE],Tabla_control[[#This Row],[LOTE]])=1,INDEX(Tabla_imprenta[FECHA EMISIÓN],MATCH(Tabla_control[[#This Row],[LOTE]],Tabla_imprenta[LOTE],0)),"REALIZADO")</f>
        <v>REALIZADO</v>
      </c>
      <c r="B139" s="142" t="str">
        <f>IF(COUNTIF(Tabla_imprenta[LOTE],Tabla_control[[#This Row],[LOTE]])=1,INDEX(Tabla_imprenta[CÓD. SOLICITUD],MATCH(Tabla_control[[#This Row],[LOTE]],Tabla_imprenta[LOTE],0)),"REALIZADO")</f>
        <v>REALIZADO</v>
      </c>
      <c r="C139" s="177" t="str">
        <f>IF(COUNTIF(Tabla_imprenta[LOTE],Tabla_control[[#This Row],[LOTE]])=1,INDEX(Tabla_imprenta[PRODUCTO],MATCH(Tabla_control[[#This Row],[LOTE]],Tabla_imprenta[LOTE],0)),"REALIZADO")</f>
        <v>REALIZADO</v>
      </c>
      <c r="D139" s="142" t="str">
        <f>IF(COUNTIF(Tabla_imprenta[LOTE],Tabla_control[[#This Row],[LOTE]])=1,INDEX(Tabla_imprenta[FORMA FARMACEUTICA],MATCH(Tabla_control[[#This Row],[LOTE]],Tabla_imprenta[LOTE],0)),"REALIZADO")</f>
        <v>REALIZADO</v>
      </c>
      <c r="E139" s="177" t="str">
        <f>IF(COUNTIF(Tabla_imprenta[LOTE],Tabla_control[[#This Row],[LOTE]])=1,INDEX(Tabla_imprenta[INSTITUCIÓN],MATCH(Tabla_control[[#This Row],[LOTE]],Tabla_imprenta[LOTE],0)),"REALIZADO")</f>
        <v>REALIZADO</v>
      </c>
      <c r="F139" s="180" t="s">
        <v>2179</v>
      </c>
      <c r="G13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39" s="139" t="str">
        <f>IF(COUNTIF(Tabla_imprenta[LOTE],Tabla_control[[#This Row],[LOTE]])=1,INDEX(Tabla_imprenta[stock sap],MATCH(Tabla_control[[#This Row],[LOTE]],Tabla_imprenta[LOTE],0)),"ENTREGADO")</f>
        <v>ENTREGADO</v>
      </c>
      <c r="I139" s="139" t="str">
        <f>IF(Tabla_control[[#This Row],[STOCK SAP]]&gt;Tabla_control[[#This Row],[CANTIDAD IMPRIMIR]],"cubre","no cubre")</f>
        <v>no cubre</v>
      </c>
      <c r="J139" s="7" t="str">
        <f>IF(COUNTIF(Tabla_imprenta[LOTE],Tabla_control[[#This Row],[LOTE]])=1,INDEX(Tabla_imprenta[STOCK],MATCH(Tabla_control[[#This Row],[LOTE]],Tabla_imprenta[LOTE],0)),"ENTREGADO")</f>
        <v>ENTREGADO</v>
      </c>
      <c r="K13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39" s="148" t="e">
        <f>INDEX(Tabla_imprenta[FECHA CAJA],MATCH(Tabla_control[[#This Row],[LOTE]],Tabla_imprenta[LOTE],0))</f>
        <v>#N/A</v>
      </c>
      <c r="M13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3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3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39" s="169" t="e">
        <f>ROUNDUP(Tabla_control[[#This Row],[CANTIDAD IMPRIMIR]]/Tabla_control[[#This Row],[N TJ]],0)</f>
        <v>#VALUE!</v>
      </c>
      <c r="Q139" s="169" t="e">
        <f>IF(Tabla_control[[#This Row],[CANTIDAD TIRAJE]]&gt;10000,Tabla_control[[#This Row],[CANTIDAD TIRAJE]],Tabla_control[[#This Row],[CANTIDAD TIRAJE]]*2)</f>
        <v>#VALUE!</v>
      </c>
      <c r="R139" s="4" t="s">
        <v>172</v>
      </c>
      <c r="S139" s="4" t="s">
        <v>30</v>
      </c>
      <c r="T139" s="4"/>
      <c r="U139" s="4"/>
      <c r="V139" s="4"/>
      <c r="W139" s="138" t="s">
        <v>3223</v>
      </c>
      <c r="X139" s="138"/>
      <c r="Y139" s="138"/>
      <c r="Z139" s="138"/>
      <c r="AA139" s="4" t="s">
        <v>321</v>
      </c>
      <c r="AB139" s="184" t="s">
        <v>2028</v>
      </c>
    </row>
    <row r="140" spans="1:33" hidden="1" x14ac:dyDescent="0.2">
      <c r="A140" s="175" t="str">
        <f>IF(COUNTIF(Tabla_imprenta[LOTE],Tabla_control[[#This Row],[LOTE]])=1,INDEX(Tabla_imprenta[FECHA EMISIÓN],MATCH(Tabla_control[[#This Row],[LOTE]],Tabla_imprenta[LOTE],0)),"REALIZADO")</f>
        <v>REALIZADO</v>
      </c>
      <c r="B140" s="142" t="str">
        <f>IF(COUNTIF(Tabla_imprenta[LOTE],Tabla_control[[#This Row],[LOTE]])=1,INDEX(Tabla_imprenta[CÓD. SOLICITUD],MATCH(Tabla_control[[#This Row],[LOTE]],Tabla_imprenta[LOTE],0)),"REALIZADO")</f>
        <v>REALIZADO</v>
      </c>
      <c r="C140" s="177" t="str">
        <f>IF(COUNTIF(Tabla_imprenta[LOTE],Tabla_control[[#This Row],[LOTE]])=1,INDEX(Tabla_imprenta[PRODUCTO],MATCH(Tabla_control[[#This Row],[LOTE]],Tabla_imprenta[LOTE],0)),"REALIZADO")</f>
        <v>REALIZADO</v>
      </c>
      <c r="D140" s="142" t="str">
        <f>IF(COUNTIF(Tabla_imprenta[LOTE],Tabla_control[[#This Row],[LOTE]])=1,INDEX(Tabla_imprenta[FORMA FARMACEUTICA],MATCH(Tabla_control[[#This Row],[LOTE]],Tabla_imprenta[LOTE],0)),"REALIZADO")</f>
        <v>REALIZADO</v>
      </c>
      <c r="E140" s="177" t="str">
        <f>IF(COUNTIF(Tabla_imprenta[LOTE],Tabla_control[[#This Row],[LOTE]])=1,INDEX(Tabla_imprenta[INSTITUCIÓN],MATCH(Tabla_control[[#This Row],[LOTE]],Tabla_imprenta[LOTE],0)),"REALIZADO")</f>
        <v>REALIZADO</v>
      </c>
      <c r="F140" s="180" t="s">
        <v>2233</v>
      </c>
      <c r="G14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40" s="139" t="str">
        <f>IF(COUNTIF(Tabla_imprenta[LOTE],Tabla_control[[#This Row],[LOTE]])=1,INDEX(Tabla_imprenta[stock sap],MATCH(Tabla_control[[#This Row],[LOTE]],Tabla_imprenta[LOTE],0)),"ENTREGADO")</f>
        <v>ENTREGADO</v>
      </c>
      <c r="I140" s="139" t="str">
        <f>IF(Tabla_control[[#This Row],[STOCK SAP]]&gt;Tabla_control[[#This Row],[CANTIDAD IMPRIMIR]],"cubre","no cubre")</f>
        <v>no cubre</v>
      </c>
      <c r="J140" s="7" t="str">
        <f>IF(COUNTIF(Tabla_imprenta[LOTE],Tabla_control[[#This Row],[LOTE]])=1,INDEX(Tabla_imprenta[STOCK],MATCH(Tabla_control[[#This Row],[LOTE]],Tabla_imprenta[LOTE],0)),"ENTREGADO")</f>
        <v>ENTREGADO</v>
      </c>
      <c r="K14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40" s="148" t="e">
        <f>INDEX(Tabla_imprenta[FECHA CAJA],MATCH(Tabla_control[[#This Row],[LOTE]],Tabla_imprenta[LOTE],0))</f>
        <v>#N/A</v>
      </c>
      <c r="M14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4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4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40" s="169" t="e">
        <f>ROUNDUP(Tabla_control[[#This Row],[CANTIDAD IMPRIMIR]]/Tabla_control[[#This Row],[N TJ]],0)</f>
        <v>#VALUE!</v>
      </c>
      <c r="Q140" s="169" t="e">
        <f>IF(Tabla_control[[#This Row],[CANTIDAD TIRAJE]]&gt;10000,Tabla_control[[#This Row],[CANTIDAD TIRAJE]],Tabla_control[[#This Row],[CANTIDAD TIRAJE]]*2)</f>
        <v>#VALUE!</v>
      </c>
      <c r="R140" s="4" t="s">
        <v>172</v>
      </c>
      <c r="S140" s="4" t="s">
        <v>31</v>
      </c>
      <c r="T140" s="4"/>
      <c r="U140" s="4"/>
      <c r="V140" s="4"/>
      <c r="W140" s="138" t="s">
        <v>3223</v>
      </c>
      <c r="X140" s="138"/>
      <c r="Y140" s="138"/>
      <c r="Z140" s="138"/>
      <c r="AA140" s="4" t="s">
        <v>2314</v>
      </c>
      <c r="AB140" s="184" t="s">
        <v>2028</v>
      </c>
    </row>
    <row r="141" spans="1:33" hidden="1" x14ac:dyDescent="0.2">
      <c r="A141" s="175" t="str">
        <f>IF(COUNTIF(Tabla_imprenta[LOTE],Tabla_control[[#This Row],[LOTE]])=1,INDEX(Tabla_imprenta[FECHA EMISIÓN],MATCH(Tabla_control[[#This Row],[LOTE]],Tabla_imprenta[LOTE],0)),"REALIZADO")</f>
        <v>REALIZADO</v>
      </c>
      <c r="B141" s="142" t="str">
        <f>IF(COUNTIF(Tabla_imprenta[LOTE],Tabla_control[[#This Row],[LOTE]])=1,INDEX(Tabla_imprenta[CÓD. SOLICITUD],MATCH(Tabla_control[[#This Row],[LOTE]],Tabla_imprenta[LOTE],0)),"REALIZADO")</f>
        <v>REALIZADO</v>
      </c>
      <c r="C141" s="177" t="str">
        <f>IF(COUNTIF(Tabla_imprenta[LOTE],Tabla_control[[#This Row],[LOTE]])=1,INDEX(Tabla_imprenta[PRODUCTO],MATCH(Tabla_control[[#This Row],[LOTE]],Tabla_imprenta[LOTE],0)),"REALIZADO")</f>
        <v>REALIZADO</v>
      </c>
      <c r="D141" s="142" t="str">
        <f>IF(COUNTIF(Tabla_imprenta[LOTE],Tabla_control[[#This Row],[LOTE]])=1,INDEX(Tabla_imprenta[FORMA FARMACEUTICA],MATCH(Tabla_control[[#This Row],[LOTE]],Tabla_imprenta[LOTE],0)),"REALIZADO")</f>
        <v>REALIZADO</v>
      </c>
      <c r="E141" s="177" t="str">
        <f>IF(COUNTIF(Tabla_imprenta[LOTE],Tabla_control[[#This Row],[LOTE]])=1,INDEX(Tabla_imprenta[INSTITUCIÓN],MATCH(Tabla_control[[#This Row],[LOTE]],Tabla_imprenta[LOTE],0)),"REALIZADO")</f>
        <v>REALIZADO</v>
      </c>
      <c r="F141" s="183" t="s">
        <v>140</v>
      </c>
      <c r="G14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41" s="139" t="str">
        <f>IF(COUNTIF(Tabla_imprenta[LOTE],Tabla_control[[#This Row],[LOTE]])=1,INDEX(Tabla_imprenta[stock sap],MATCH(Tabla_control[[#This Row],[LOTE]],Tabla_imprenta[LOTE],0)),"ENTREGADO")</f>
        <v>ENTREGADO</v>
      </c>
      <c r="I141" s="139" t="str">
        <f>IF(Tabla_control[[#This Row],[STOCK SAP]]&gt;Tabla_control[[#This Row],[CANTIDAD IMPRIMIR]],"cubre","no cubre")</f>
        <v>no cubre</v>
      </c>
      <c r="J141" s="7" t="str">
        <f>IF(COUNTIF(Tabla_imprenta[LOTE],Tabla_control[[#This Row],[LOTE]])=1,INDEX(Tabla_imprenta[STOCK],MATCH(Tabla_control[[#This Row],[LOTE]],Tabla_imprenta[LOTE],0)),"ENTREGADO")</f>
        <v>ENTREGADO</v>
      </c>
      <c r="K14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41" s="148" t="e">
        <f>INDEX(Tabla_imprenta[FECHA CAJA],MATCH(Tabla_control[[#This Row],[LOTE]],Tabla_imprenta[LOTE],0))</f>
        <v>#N/A</v>
      </c>
      <c r="M14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4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4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41" s="169" t="e">
        <f>ROUNDUP(Tabla_control[[#This Row],[CANTIDAD IMPRIMIR]]/Tabla_control[[#This Row],[N TJ]],0)</f>
        <v>#VALUE!</v>
      </c>
      <c r="Q141" s="169" t="e">
        <f>IF(Tabla_control[[#This Row],[CANTIDAD TIRAJE]]&gt;10000,Tabla_control[[#This Row],[CANTIDAD TIRAJE]],Tabla_control[[#This Row],[CANTIDAD TIRAJE]]*2)</f>
        <v>#VALUE!</v>
      </c>
      <c r="R141" s="4" t="s">
        <v>172</v>
      </c>
      <c r="S141" s="4" t="s">
        <v>30</v>
      </c>
      <c r="T141" s="4"/>
      <c r="U141" s="4"/>
      <c r="V141" s="4"/>
      <c r="W141" s="138" t="s">
        <v>3223</v>
      </c>
      <c r="X141" s="138"/>
      <c r="Y141" s="138"/>
      <c r="Z141" s="138"/>
      <c r="AA141" s="4" t="s">
        <v>2031</v>
      </c>
      <c r="AB141" s="184" t="s">
        <v>2028</v>
      </c>
    </row>
    <row r="142" spans="1:33" hidden="1" x14ac:dyDescent="0.2">
      <c r="A142" s="175" t="str">
        <f>IF(COUNTIF(Tabla_imprenta[LOTE],Tabla_control[[#This Row],[LOTE]])=1,INDEX(Tabla_imprenta[FECHA EMISIÓN],MATCH(Tabla_control[[#This Row],[LOTE]],Tabla_imprenta[LOTE],0)),"REALIZADO")</f>
        <v>REALIZADO</v>
      </c>
      <c r="B142" s="142" t="str">
        <f>IF(COUNTIF(Tabla_imprenta[LOTE],Tabla_control[[#This Row],[LOTE]])=1,INDEX(Tabla_imprenta[CÓD. SOLICITUD],MATCH(Tabla_control[[#This Row],[LOTE]],Tabla_imprenta[LOTE],0)),"REALIZADO")</f>
        <v>REALIZADO</v>
      </c>
      <c r="C142" s="177" t="str">
        <f>IF(COUNTIF(Tabla_imprenta[LOTE],Tabla_control[[#This Row],[LOTE]])=1,INDEX(Tabla_imprenta[PRODUCTO],MATCH(Tabla_control[[#This Row],[LOTE]],Tabla_imprenta[LOTE],0)),"REALIZADO")</f>
        <v>REALIZADO</v>
      </c>
      <c r="D142" s="142" t="str">
        <f>IF(COUNTIF(Tabla_imprenta[LOTE],Tabla_control[[#This Row],[LOTE]])=1,INDEX(Tabla_imprenta[FORMA FARMACEUTICA],MATCH(Tabla_control[[#This Row],[LOTE]],Tabla_imprenta[LOTE],0)),"REALIZADO")</f>
        <v>REALIZADO</v>
      </c>
      <c r="E142" s="177" t="str">
        <f>IF(COUNTIF(Tabla_imprenta[LOTE],Tabla_control[[#This Row],[LOTE]])=1,INDEX(Tabla_imprenta[INSTITUCIÓN],MATCH(Tabla_control[[#This Row],[LOTE]],Tabla_imprenta[LOTE],0)),"REALIZADO")</f>
        <v>REALIZADO</v>
      </c>
      <c r="F142" s="180" t="s">
        <v>2118</v>
      </c>
      <c r="G14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42" s="139" t="str">
        <f>IF(COUNTIF(Tabla_imprenta[LOTE],Tabla_control[[#This Row],[LOTE]])=1,INDEX(Tabla_imprenta[stock sap],MATCH(Tabla_control[[#This Row],[LOTE]],Tabla_imprenta[LOTE],0)),"ENTREGADO")</f>
        <v>ENTREGADO</v>
      </c>
      <c r="I142" s="139" t="str">
        <f>IF(Tabla_control[[#This Row],[STOCK SAP]]&gt;Tabla_control[[#This Row],[CANTIDAD IMPRIMIR]],"cubre","no cubre")</f>
        <v>no cubre</v>
      </c>
      <c r="J142" s="7" t="str">
        <f>IF(COUNTIF(Tabla_imprenta[LOTE],Tabla_control[[#This Row],[LOTE]])=1,INDEX(Tabla_imprenta[STOCK],MATCH(Tabla_control[[#This Row],[LOTE]],Tabla_imprenta[LOTE],0)),"ENTREGADO")</f>
        <v>ENTREGADO</v>
      </c>
      <c r="K14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42" s="148" t="e">
        <f>INDEX(Tabla_imprenta[FECHA CAJA],MATCH(Tabla_control[[#This Row],[LOTE]],Tabla_imprenta[LOTE],0))</f>
        <v>#N/A</v>
      </c>
      <c r="M14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4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4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42" s="169" t="e">
        <f>ROUNDUP(Tabla_control[[#This Row],[CANTIDAD IMPRIMIR]]/Tabla_control[[#This Row],[N TJ]],0)</f>
        <v>#VALUE!</v>
      </c>
      <c r="Q142" s="169" t="e">
        <f>IF(Tabla_control[[#This Row],[CANTIDAD TIRAJE]]&gt;10000,Tabla_control[[#This Row],[CANTIDAD TIRAJE]],Tabla_control[[#This Row],[CANTIDAD TIRAJE]]*2)</f>
        <v>#VALUE!</v>
      </c>
      <c r="R142" s="4" t="s">
        <v>173</v>
      </c>
      <c r="S142" s="4" t="s">
        <v>174</v>
      </c>
      <c r="T142" s="4"/>
      <c r="U142" s="4"/>
      <c r="V142" s="4"/>
      <c r="W142" s="138" t="s">
        <v>3223</v>
      </c>
      <c r="X142" s="138"/>
      <c r="Y142" s="138"/>
      <c r="Z142" s="138"/>
      <c r="AA142" s="4" t="s">
        <v>2182</v>
      </c>
      <c r="AB142" s="184" t="s">
        <v>2028</v>
      </c>
    </row>
    <row r="143" spans="1:33" hidden="1" x14ac:dyDescent="0.2">
      <c r="A143" s="175" t="str">
        <f>IF(COUNTIF(Tabla_imprenta[LOTE],Tabla_control[[#This Row],[LOTE]])=1,INDEX(Tabla_imprenta[FECHA EMISIÓN],MATCH(Tabla_control[[#This Row],[LOTE]],Tabla_imprenta[LOTE],0)),"REALIZADO")</f>
        <v>REALIZADO</v>
      </c>
      <c r="B143" s="142" t="str">
        <f>IF(COUNTIF(Tabla_imprenta[LOTE],Tabla_control[[#This Row],[LOTE]])=1,INDEX(Tabla_imprenta[CÓD. SOLICITUD],MATCH(Tabla_control[[#This Row],[LOTE]],Tabla_imprenta[LOTE],0)),"REALIZADO")</f>
        <v>REALIZADO</v>
      </c>
      <c r="C143" s="177" t="str">
        <f>IF(COUNTIF(Tabla_imprenta[LOTE],Tabla_control[[#This Row],[LOTE]])=1,INDEX(Tabla_imprenta[PRODUCTO],MATCH(Tabla_control[[#This Row],[LOTE]],Tabla_imprenta[LOTE],0)),"REALIZADO")</f>
        <v>REALIZADO</v>
      </c>
      <c r="D143" s="142" t="str">
        <f>IF(COUNTIF(Tabla_imprenta[LOTE],Tabla_control[[#This Row],[LOTE]])=1,INDEX(Tabla_imprenta[FORMA FARMACEUTICA],MATCH(Tabla_control[[#This Row],[LOTE]],Tabla_imprenta[LOTE],0)),"REALIZADO")</f>
        <v>REALIZADO</v>
      </c>
      <c r="E143" s="177" t="str">
        <f>IF(COUNTIF(Tabla_imprenta[LOTE],Tabla_control[[#This Row],[LOTE]])=1,INDEX(Tabla_imprenta[INSTITUCIÓN],MATCH(Tabla_control[[#This Row],[LOTE]],Tabla_imprenta[LOTE],0)),"REALIZADO")</f>
        <v>REALIZADO</v>
      </c>
      <c r="F143" s="180" t="s">
        <v>2184</v>
      </c>
      <c r="G14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43" s="139" t="str">
        <f>IF(COUNTIF(Tabla_imprenta[LOTE],Tabla_control[[#This Row],[LOTE]])=1,INDEX(Tabla_imprenta[stock sap],MATCH(Tabla_control[[#This Row],[LOTE]],Tabla_imprenta[LOTE],0)),"ENTREGADO")</f>
        <v>ENTREGADO</v>
      </c>
      <c r="I143" s="139" t="str">
        <f>IF(Tabla_control[[#This Row],[STOCK SAP]]&gt;Tabla_control[[#This Row],[CANTIDAD IMPRIMIR]],"cubre","no cubre")</f>
        <v>no cubre</v>
      </c>
      <c r="J143" s="7" t="str">
        <f>IF(COUNTIF(Tabla_imprenta[LOTE],Tabla_control[[#This Row],[LOTE]])=1,INDEX(Tabla_imprenta[STOCK],MATCH(Tabla_control[[#This Row],[LOTE]],Tabla_imprenta[LOTE],0)),"ENTREGADO")</f>
        <v>ENTREGADO</v>
      </c>
      <c r="K14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43" s="148" t="e">
        <f>INDEX(Tabla_imprenta[FECHA CAJA],MATCH(Tabla_control[[#This Row],[LOTE]],Tabla_imprenta[LOTE],0))</f>
        <v>#N/A</v>
      </c>
      <c r="M14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4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4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43" s="169" t="e">
        <f>ROUNDUP(Tabla_control[[#This Row],[CANTIDAD IMPRIMIR]]/Tabla_control[[#This Row],[N TJ]],0)</f>
        <v>#VALUE!</v>
      </c>
      <c r="Q143" s="169" t="e">
        <f>IF(Tabla_control[[#This Row],[CANTIDAD TIRAJE]]&gt;10000,Tabla_control[[#This Row],[CANTIDAD TIRAJE]],Tabla_control[[#This Row],[CANTIDAD TIRAJE]]*2)</f>
        <v>#VALUE!</v>
      </c>
      <c r="R143" s="4" t="s">
        <v>172</v>
      </c>
      <c r="S143" s="4" t="s">
        <v>30</v>
      </c>
      <c r="T143" s="4"/>
      <c r="U143" s="4"/>
      <c r="V143" s="4"/>
      <c r="W143" s="138" t="s">
        <v>3223</v>
      </c>
      <c r="X143" s="138"/>
      <c r="Y143" s="138"/>
      <c r="Z143" s="138"/>
      <c r="AA143" s="4" t="s">
        <v>2429</v>
      </c>
      <c r="AB143" s="184" t="s">
        <v>2028</v>
      </c>
    </row>
    <row r="144" spans="1:33" hidden="1" x14ac:dyDescent="0.2">
      <c r="A144" s="175" t="str">
        <f>IF(COUNTIF(Tabla_imprenta[LOTE],Tabla_control[[#This Row],[LOTE]])=1,INDEX(Tabla_imprenta[FECHA EMISIÓN],MATCH(Tabla_control[[#This Row],[LOTE]],Tabla_imprenta[LOTE],0)),"REALIZADO")</f>
        <v>REALIZADO</v>
      </c>
      <c r="B144" s="142" t="str">
        <f>IF(COUNTIF(Tabla_imprenta[LOTE],Tabla_control[[#This Row],[LOTE]])=1,INDEX(Tabla_imprenta[CÓD. SOLICITUD],MATCH(Tabla_control[[#This Row],[LOTE]],Tabla_imprenta[LOTE],0)),"REALIZADO")</f>
        <v>REALIZADO</v>
      </c>
      <c r="C144" s="177" t="str">
        <f>IF(COUNTIF(Tabla_imprenta[LOTE],Tabla_control[[#This Row],[LOTE]])=1,INDEX(Tabla_imprenta[PRODUCTO],MATCH(Tabla_control[[#This Row],[LOTE]],Tabla_imprenta[LOTE],0)),"REALIZADO")</f>
        <v>REALIZADO</v>
      </c>
      <c r="D144" s="142" t="str">
        <f>IF(COUNTIF(Tabla_imprenta[LOTE],Tabla_control[[#This Row],[LOTE]])=1,INDEX(Tabla_imprenta[FORMA FARMACEUTICA],MATCH(Tabla_control[[#This Row],[LOTE]],Tabla_imprenta[LOTE],0)),"REALIZADO")</f>
        <v>REALIZADO</v>
      </c>
      <c r="E144" s="177" t="str">
        <f>IF(COUNTIF(Tabla_imprenta[LOTE],Tabla_control[[#This Row],[LOTE]])=1,INDEX(Tabla_imprenta[INSTITUCIÓN],MATCH(Tabla_control[[#This Row],[LOTE]],Tabla_imprenta[LOTE],0)),"REALIZADO")</f>
        <v>REALIZADO</v>
      </c>
      <c r="F144" s="180" t="s">
        <v>2186</v>
      </c>
      <c r="G14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44" s="139" t="str">
        <f>IF(COUNTIF(Tabla_imprenta[LOTE],Tabla_control[[#This Row],[LOTE]])=1,INDEX(Tabla_imprenta[stock sap],MATCH(Tabla_control[[#This Row],[LOTE]],Tabla_imprenta[LOTE],0)),"ENTREGADO")</f>
        <v>ENTREGADO</v>
      </c>
      <c r="I144" s="139" t="str">
        <f>IF(Tabla_control[[#This Row],[STOCK SAP]]&gt;Tabla_control[[#This Row],[CANTIDAD IMPRIMIR]],"cubre","no cubre")</f>
        <v>no cubre</v>
      </c>
      <c r="J144" s="7" t="str">
        <f>IF(COUNTIF(Tabla_imprenta[LOTE],Tabla_control[[#This Row],[LOTE]])=1,INDEX(Tabla_imprenta[STOCK],MATCH(Tabla_control[[#This Row],[LOTE]],Tabla_imprenta[LOTE],0)),"ENTREGADO")</f>
        <v>ENTREGADO</v>
      </c>
      <c r="K14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44" s="148" t="e">
        <f>INDEX(Tabla_imprenta[FECHA CAJA],MATCH(Tabla_control[[#This Row],[LOTE]],Tabla_imprenta[LOTE],0))</f>
        <v>#N/A</v>
      </c>
      <c r="M14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4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4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44" s="169" t="e">
        <f>ROUNDUP(Tabla_control[[#This Row],[CANTIDAD IMPRIMIR]]/Tabla_control[[#This Row],[N TJ]],0)</f>
        <v>#VALUE!</v>
      </c>
      <c r="Q144" s="169" t="e">
        <f>IF(Tabla_control[[#This Row],[CANTIDAD TIRAJE]]&gt;10000,Tabla_control[[#This Row],[CANTIDAD TIRAJE]],Tabla_control[[#This Row],[CANTIDAD TIRAJE]]*2)</f>
        <v>#VALUE!</v>
      </c>
      <c r="R144" s="4" t="s">
        <v>172</v>
      </c>
      <c r="S144" s="4" t="s">
        <v>30</v>
      </c>
      <c r="T144" s="4"/>
      <c r="U144" s="4"/>
      <c r="V144" s="4"/>
      <c r="W144" s="138" t="s">
        <v>3223</v>
      </c>
      <c r="X144" s="138"/>
      <c r="Y144" s="138"/>
      <c r="Z144" s="138"/>
      <c r="AA144" s="4" t="s">
        <v>2429</v>
      </c>
      <c r="AB144" s="184" t="s">
        <v>2028</v>
      </c>
    </row>
    <row r="145" spans="1:28" hidden="1" x14ac:dyDescent="0.2">
      <c r="A145" s="175" t="str">
        <f>IF(COUNTIF(Tabla_imprenta[LOTE],Tabla_control[[#This Row],[LOTE]])=1,INDEX(Tabla_imprenta[FECHA EMISIÓN],MATCH(Tabla_control[[#This Row],[LOTE]],Tabla_imprenta[LOTE],0)),"REALIZADO")</f>
        <v>REALIZADO</v>
      </c>
      <c r="B145" s="142" t="str">
        <f>IF(COUNTIF(Tabla_imprenta[LOTE],Tabla_control[[#This Row],[LOTE]])=1,INDEX(Tabla_imprenta[CÓD. SOLICITUD],MATCH(Tabla_control[[#This Row],[LOTE]],Tabla_imprenta[LOTE],0)),"REALIZADO")</f>
        <v>REALIZADO</v>
      </c>
      <c r="C145" s="177" t="str">
        <f>IF(COUNTIF(Tabla_imprenta[LOTE],Tabla_control[[#This Row],[LOTE]])=1,INDEX(Tabla_imprenta[PRODUCTO],MATCH(Tabla_control[[#This Row],[LOTE]],Tabla_imprenta[LOTE],0)),"REALIZADO")</f>
        <v>REALIZADO</v>
      </c>
      <c r="D145" s="142" t="str">
        <f>IF(COUNTIF(Tabla_imprenta[LOTE],Tabla_control[[#This Row],[LOTE]])=1,INDEX(Tabla_imprenta[FORMA FARMACEUTICA],MATCH(Tabla_control[[#This Row],[LOTE]],Tabla_imprenta[LOTE],0)),"REALIZADO")</f>
        <v>REALIZADO</v>
      </c>
      <c r="E145" s="177" t="str">
        <f>IF(COUNTIF(Tabla_imprenta[LOTE],Tabla_control[[#This Row],[LOTE]])=1,INDEX(Tabla_imprenta[INSTITUCIÓN],MATCH(Tabla_control[[#This Row],[LOTE]],Tabla_imprenta[LOTE],0)),"REALIZADO")</f>
        <v>REALIZADO</v>
      </c>
      <c r="F145" s="180" t="s">
        <v>2164</v>
      </c>
      <c r="G14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45" s="139" t="str">
        <f>IF(COUNTIF(Tabla_imprenta[LOTE],Tabla_control[[#This Row],[LOTE]])=1,INDEX(Tabla_imprenta[stock sap],MATCH(Tabla_control[[#This Row],[LOTE]],Tabla_imprenta[LOTE],0)),"ENTREGADO")</f>
        <v>ENTREGADO</v>
      </c>
      <c r="I145" s="139" t="str">
        <f>IF(Tabla_control[[#This Row],[STOCK SAP]]&gt;Tabla_control[[#This Row],[CANTIDAD IMPRIMIR]],"cubre","no cubre")</f>
        <v>no cubre</v>
      </c>
      <c r="J145" s="7" t="str">
        <f>IF(COUNTIF(Tabla_imprenta[LOTE],Tabla_control[[#This Row],[LOTE]])=1,INDEX(Tabla_imprenta[STOCK],MATCH(Tabla_control[[#This Row],[LOTE]],Tabla_imprenta[LOTE],0)),"ENTREGADO")</f>
        <v>ENTREGADO</v>
      </c>
      <c r="K14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45" s="148" t="e">
        <f>INDEX(Tabla_imprenta[FECHA CAJA],MATCH(Tabla_control[[#This Row],[LOTE]],Tabla_imprenta[LOTE],0))</f>
        <v>#N/A</v>
      </c>
      <c r="M14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4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4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45" s="169" t="e">
        <f>ROUNDUP(Tabla_control[[#This Row],[CANTIDAD IMPRIMIR]]/Tabla_control[[#This Row],[N TJ]],0)</f>
        <v>#VALUE!</v>
      </c>
      <c r="Q145" s="169" t="e">
        <f>IF(Tabla_control[[#This Row],[CANTIDAD TIRAJE]]&gt;10000,Tabla_control[[#This Row],[CANTIDAD TIRAJE]],Tabla_control[[#This Row],[CANTIDAD TIRAJE]]*2)</f>
        <v>#VALUE!</v>
      </c>
      <c r="R145" s="4" t="s">
        <v>176</v>
      </c>
      <c r="S145" s="4" t="s">
        <v>30</v>
      </c>
      <c r="T145" s="4"/>
      <c r="U145" s="4"/>
      <c r="V145" s="4"/>
      <c r="W145" s="138" t="s">
        <v>3223</v>
      </c>
      <c r="X145" s="138"/>
      <c r="Y145" s="138"/>
      <c r="Z145" s="138"/>
      <c r="AA145" s="4" t="s">
        <v>2429</v>
      </c>
      <c r="AB145" s="184" t="s">
        <v>2028</v>
      </c>
    </row>
    <row r="146" spans="1:28" hidden="1" x14ac:dyDescent="0.2">
      <c r="A146" s="175" t="str">
        <f>IF(COUNTIF(Tabla_imprenta[LOTE],Tabla_control[[#This Row],[LOTE]])=1,INDEX(Tabla_imprenta[FECHA EMISIÓN],MATCH(Tabla_control[[#This Row],[LOTE]],Tabla_imprenta[LOTE],0)),"REALIZADO")</f>
        <v>REALIZADO</v>
      </c>
      <c r="B146" s="142" t="str">
        <f>IF(COUNTIF(Tabla_imprenta[LOTE],Tabla_control[[#This Row],[LOTE]])=1,INDEX(Tabla_imprenta[CÓD. SOLICITUD],MATCH(Tabla_control[[#This Row],[LOTE]],Tabla_imprenta[LOTE],0)),"REALIZADO")</f>
        <v>REALIZADO</v>
      </c>
      <c r="C146" s="177" t="str">
        <f>IF(COUNTIF(Tabla_imprenta[LOTE],Tabla_control[[#This Row],[LOTE]])=1,INDEX(Tabla_imprenta[PRODUCTO],MATCH(Tabla_control[[#This Row],[LOTE]],Tabla_imprenta[LOTE],0)),"REALIZADO")</f>
        <v>REALIZADO</v>
      </c>
      <c r="D146" s="142" t="str">
        <f>IF(COUNTIF(Tabla_imprenta[LOTE],Tabla_control[[#This Row],[LOTE]])=1,INDEX(Tabla_imprenta[FORMA FARMACEUTICA],MATCH(Tabla_control[[#This Row],[LOTE]],Tabla_imprenta[LOTE],0)),"REALIZADO")</f>
        <v>REALIZADO</v>
      </c>
      <c r="E146" s="177" t="str">
        <f>IF(COUNTIF(Tabla_imprenta[LOTE],Tabla_control[[#This Row],[LOTE]])=1,INDEX(Tabla_imprenta[INSTITUCIÓN],MATCH(Tabla_control[[#This Row],[LOTE]],Tabla_imprenta[LOTE],0)),"REALIZADO")</f>
        <v>REALIZADO</v>
      </c>
      <c r="F146" s="180" t="s">
        <v>2185</v>
      </c>
      <c r="G14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46" s="139" t="str">
        <f>IF(COUNTIF(Tabla_imprenta[LOTE],Tabla_control[[#This Row],[LOTE]])=1,INDEX(Tabla_imprenta[stock sap],MATCH(Tabla_control[[#This Row],[LOTE]],Tabla_imprenta[LOTE],0)),"ENTREGADO")</f>
        <v>ENTREGADO</v>
      </c>
      <c r="I146" s="139" t="str">
        <f>IF(Tabla_control[[#This Row],[STOCK SAP]]&gt;Tabla_control[[#This Row],[CANTIDAD IMPRIMIR]],"cubre","no cubre")</f>
        <v>no cubre</v>
      </c>
      <c r="J146" s="7" t="str">
        <f>IF(COUNTIF(Tabla_imprenta[LOTE],Tabla_control[[#This Row],[LOTE]])=1,INDEX(Tabla_imprenta[STOCK],MATCH(Tabla_control[[#This Row],[LOTE]],Tabla_imprenta[LOTE],0)),"ENTREGADO")</f>
        <v>ENTREGADO</v>
      </c>
      <c r="K14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46" s="148" t="e">
        <f>INDEX(Tabla_imprenta[FECHA CAJA],MATCH(Tabla_control[[#This Row],[LOTE]],Tabla_imprenta[LOTE],0))</f>
        <v>#N/A</v>
      </c>
      <c r="M14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4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4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46" s="169" t="e">
        <f>ROUNDUP(Tabla_control[[#This Row],[CANTIDAD IMPRIMIR]]/Tabla_control[[#This Row],[N TJ]],0)</f>
        <v>#VALUE!</v>
      </c>
      <c r="Q146" s="169" t="e">
        <f>IF(Tabla_control[[#This Row],[CANTIDAD TIRAJE]]&gt;10000,Tabla_control[[#This Row],[CANTIDAD TIRAJE]],Tabla_control[[#This Row],[CANTIDAD TIRAJE]]*2)</f>
        <v>#VALUE!</v>
      </c>
      <c r="R146" s="4" t="s">
        <v>172</v>
      </c>
      <c r="S146" s="4" t="s">
        <v>30</v>
      </c>
      <c r="T146" s="4"/>
      <c r="U146" s="4"/>
      <c r="V146" s="4"/>
      <c r="W146" s="138" t="s">
        <v>3223</v>
      </c>
      <c r="X146" s="138"/>
      <c r="Y146" s="138"/>
      <c r="Z146" s="138"/>
      <c r="AA146" s="4" t="s">
        <v>2429</v>
      </c>
      <c r="AB146" s="184" t="s">
        <v>2028</v>
      </c>
    </row>
    <row r="147" spans="1:28" hidden="1" x14ac:dyDescent="0.2">
      <c r="A147" s="175" t="str">
        <f>IF(COUNTIF(Tabla_imprenta[LOTE],Tabla_control[[#This Row],[LOTE]])=1,INDEX(Tabla_imprenta[FECHA EMISIÓN],MATCH(Tabla_control[[#This Row],[LOTE]],Tabla_imprenta[LOTE],0)),"REALIZADO")</f>
        <v>REALIZADO</v>
      </c>
      <c r="B147" s="142" t="str">
        <f>IF(COUNTIF(Tabla_imprenta[LOTE],Tabla_control[[#This Row],[LOTE]])=1,INDEX(Tabla_imprenta[CÓD. SOLICITUD],MATCH(Tabla_control[[#This Row],[LOTE]],Tabla_imprenta[LOTE],0)),"REALIZADO")</f>
        <v>REALIZADO</v>
      </c>
      <c r="C147" s="177" t="str">
        <f>IF(COUNTIF(Tabla_imprenta[LOTE],Tabla_control[[#This Row],[LOTE]])=1,INDEX(Tabla_imprenta[PRODUCTO],MATCH(Tabla_control[[#This Row],[LOTE]],Tabla_imprenta[LOTE],0)),"REALIZADO")</f>
        <v>REALIZADO</v>
      </c>
      <c r="D147" s="142" t="str">
        <f>IF(COUNTIF(Tabla_imprenta[LOTE],Tabla_control[[#This Row],[LOTE]])=1,INDEX(Tabla_imprenta[FORMA FARMACEUTICA],MATCH(Tabla_control[[#This Row],[LOTE]],Tabla_imprenta[LOTE],0)),"REALIZADO")</f>
        <v>REALIZADO</v>
      </c>
      <c r="E147" s="177" t="str">
        <f>IF(COUNTIF(Tabla_imprenta[LOTE],Tabla_control[[#This Row],[LOTE]])=1,INDEX(Tabla_imprenta[INSTITUCIÓN],MATCH(Tabla_control[[#This Row],[LOTE]],Tabla_imprenta[LOTE],0)),"REALIZADO")</f>
        <v>REALIZADO</v>
      </c>
      <c r="F147" s="180" t="s">
        <v>2244</v>
      </c>
      <c r="G14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47" s="139" t="str">
        <f>IF(COUNTIF(Tabla_imprenta[LOTE],Tabla_control[[#This Row],[LOTE]])=1,INDEX(Tabla_imprenta[stock sap],MATCH(Tabla_control[[#This Row],[LOTE]],Tabla_imprenta[LOTE],0)),"ENTREGADO")</f>
        <v>ENTREGADO</v>
      </c>
      <c r="I147" s="139" t="str">
        <f>IF(Tabla_control[[#This Row],[STOCK SAP]]&gt;Tabla_control[[#This Row],[CANTIDAD IMPRIMIR]],"cubre","no cubre")</f>
        <v>no cubre</v>
      </c>
      <c r="J147" s="7" t="str">
        <f>IF(COUNTIF(Tabla_imprenta[LOTE],Tabla_control[[#This Row],[LOTE]])=1,INDEX(Tabla_imprenta[STOCK],MATCH(Tabla_control[[#This Row],[LOTE]],Tabla_imprenta[LOTE],0)),"ENTREGADO")</f>
        <v>ENTREGADO</v>
      </c>
      <c r="K14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47" s="148" t="e">
        <f>INDEX(Tabla_imprenta[FECHA CAJA],MATCH(Tabla_control[[#This Row],[LOTE]],Tabla_imprenta[LOTE],0))</f>
        <v>#N/A</v>
      </c>
      <c r="M14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4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4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47" s="169" t="e">
        <f>ROUNDUP(Tabla_control[[#This Row],[CANTIDAD IMPRIMIR]]/Tabla_control[[#This Row],[N TJ]],0)</f>
        <v>#VALUE!</v>
      </c>
      <c r="Q147" s="169" t="e">
        <f>IF(Tabla_control[[#This Row],[CANTIDAD TIRAJE]]&gt;10000,Tabla_control[[#This Row],[CANTIDAD TIRAJE]],Tabla_control[[#This Row],[CANTIDAD TIRAJE]]*2)</f>
        <v>#VALUE!</v>
      </c>
      <c r="R147" s="4" t="s">
        <v>177</v>
      </c>
      <c r="S147" s="4" t="s">
        <v>174</v>
      </c>
      <c r="T147" s="4"/>
      <c r="U147" s="4"/>
      <c r="V147" s="4"/>
      <c r="W147" s="138" t="s">
        <v>3223</v>
      </c>
      <c r="X147" s="138"/>
      <c r="Y147" s="138"/>
      <c r="Z147" s="138"/>
      <c r="AA147" s="4" t="s">
        <v>2314</v>
      </c>
      <c r="AB147" s="184" t="s">
        <v>2028</v>
      </c>
    </row>
    <row r="148" spans="1:28" hidden="1" x14ac:dyDescent="0.2">
      <c r="A148" s="175" t="str">
        <f>IF(COUNTIF(Tabla_imprenta[LOTE],Tabla_control[[#This Row],[LOTE]])=1,INDEX(Tabla_imprenta[FECHA EMISIÓN],MATCH(Tabla_control[[#This Row],[LOTE]],Tabla_imprenta[LOTE],0)),"REALIZADO")</f>
        <v>REALIZADO</v>
      </c>
      <c r="B148" s="142" t="str">
        <f>IF(COUNTIF(Tabla_imprenta[LOTE],Tabla_control[[#This Row],[LOTE]])=1,INDEX(Tabla_imprenta[CÓD. SOLICITUD],MATCH(Tabla_control[[#This Row],[LOTE]],Tabla_imprenta[LOTE],0)),"REALIZADO")</f>
        <v>REALIZADO</v>
      </c>
      <c r="C148" s="177" t="str">
        <f>IF(COUNTIF(Tabla_imprenta[LOTE],Tabla_control[[#This Row],[LOTE]])=1,INDEX(Tabla_imprenta[PRODUCTO],MATCH(Tabla_control[[#This Row],[LOTE]],Tabla_imprenta[LOTE],0)),"REALIZADO")</f>
        <v>REALIZADO</v>
      </c>
      <c r="D148" s="142" t="str">
        <f>IF(COUNTIF(Tabla_imprenta[LOTE],Tabla_control[[#This Row],[LOTE]])=1,INDEX(Tabla_imprenta[FORMA FARMACEUTICA],MATCH(Tabla_control[[#This Row],[LOTE]],Tabla_imprenta[LOTE],0)),"REALIZADO")</f>
        <v>REALIZADO</v>
      </c>
      <c r="E148" s="177" t="str">
        <f>IF(COUNTIF(Tabla_imprenta[LOTE],Tabla_control[[#This Row],[LOTE]])=1,INDEX(Tabla_imprenta[INSTITUCIÓN],MATCH(Tabla_control[[#This Row],[LOTE]],Tabla_imprenta[LOTE],0)),"REALIZADO")</f>
        <v>REALIZADO</v>
      </c>
      <c r="F148" s="180" t="s">
        <v>206</v>
      </c>
      <c r="G14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48" s="139" t="str">
        <f>IF(COUNTIF(Tabla_imprenta[LOTE],Tabla_control[[#This Row],[LOTE]])=1,INDEX(Tabla_imprenta[stock sap],MATCH(Tabla_control[[#This Row],[LOTE]],Tabla_imprenta[LOTE],0)),"ENTREGADO")</f>
        <v>ENTREGADO</v>
      </c>
      <c r="I148" s="139" t="str">
        <f>IF(Tabla_control[[#This Row],[STOCK SAP]]&gt;Tabla_control[[#This Row],[CANTIDAD IMPRIMIR]],"cubre","no cubre")</f>
        <v>no cubre</v>
      </c>
      <c r="J148" s="7" t="str">
        <f>IF(COUNTIF(Tabla_imprenta[LOTE],Tabla_control[[#This Row],[LOTE]])=1,INDEX(Tabla_imprenta[STOCK],MATCH(Tabla_control[[#This Row],[LOTE]],Tabla_imprenta[LOTE],0)),"ENTREGADO")</f>
        <v>ENTREGADO</v>
      </c>
      <c r="K14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48" s="148" t="e">
        <f>INDEX(Tabla_imprenta[FECHA CAJA],MATCH(Tabla_control[[#This Row],[LOTE]],Tabla_imprenta[LOTE],0))</f>
        <v>#N/A</v>
      </c>
      <c r="M14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4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4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48" s="169" t="e">
        <f>ROUNDUP(Tabla_control[[#This Row],[CANTIDAD IMPRIMIR]]/Tabla_control[[#This Row],[N TJ]],0)</f>
        <v>#VALUE!</v>
      </c>
      <c r="Q148" s="169" t="e">
        <f>IF(Tabla_control[[#This Row],[CANTIDAD TIRAJE]]&gt;10000,Tabla_control[[#This Row],[CANTIDAD TIRAJE]],Tabla_control[[#This Row],[CANTIDAD TIRAJE]]*2)</f>
        <v>#VALUE!</v>
      </c>
      <c r="R148" s="4" t="s">
        <v>177</v>
      </c>
      <c r="S148" s="4" t="s">
        <v>174</v>
      </c>
      <c r="T148" s="4"/>
      <c r="U148" s="4"/>
      <c r="V148" s="4"/>
      <c r="W148" s="138" t="s">
        <v>3223</v>
      </c>
      <c r="X148" s="138"/>
      <c r="Y148" s="138"/>
      <c r="Z148" s="138"/>
      <c r="AA148" s="4" t="s">
        <v>2314</v>
      </c>
      <c r="AB148" s="184" t="s">
        <v>2028</v>
      </c>
    </row>
    <row r="149" spans="1:28" hidden="1" x14ac:dyDescent="0.2">
      <c r="A149" s="175" t="str">
        <f>IF(COUNTIF(Tabla_imprenta[LOTE],Tabla_control[[#This Row],[LOTE]])=1,INDEX(Tabla_imprenta[FECHA EMISIÓN],MATCH(Tabla_control[[#This Row],[LOTE]],Tabla_imprenta[LOTE],0)),"REALIZADO")</f>
        <v>REALIZADO</v>
      </c>
      <c r="B149" s="142" t="str">
        <f>IF(COUNTIF(Tabla_imprenta[LOTE],Tabla_control[[#This Row],[LOTE]])=1,INDEX(Tabla_imprenta[CÓD. SOLICITUD],MATCH(Tabla_control[[#This Row],[LOTE]],Tabla_imprenta[LOTE],0)),"REALIZADO")</f>
        <v>REALIZADO</v>
      </c>
      <c r="C149" s="177" t="str">
        <f>IF(COUNTIF(Tabla_imprenta[LOTE],Tabla_control[[#This Row],[LOTE]])=1,INDEX(Tabla_imprenta[PRODUCTO],MATCH(Tabla_control[[#This Row],[LOTE]],Tabla_imprenta[LOTE],0)),"REALIZADO")</f>
        <v>REALIZADO</v>
      </c>
      <c r="D149" s="142" t="str">
        <f>IF(COUNTIF(Tabla_imprenta[LOTE],Tabla_control[[#This Row],[LOTE]])=1,INDEX(Tabla_imprenta[FORMA FARMACEUTICA],MATCH(Tabla_control[[#This Row],[LOTE]],Tabla_imprenta[LOTE],0)),"REALIZADO")</f>
        <v>REALIZADO</v>
      </c>
      <c r="E149" s="177" t="str">
        <f>IF(COUNTIF(Tabla_imprenta[LOTE],Tabla_control[[#This Row],[LOTE]])=1,INDEX(Tabla_imprenta[INSTITUCIÓN],MATCH(Tabla_control[[#This Row],[LOTE]],Tabla_imprenta[LOTE],0)),"REALIZADO")</f>
        <v>REALIZADO</v>
      </c>
      <c r="F149" s="180" t="s">
        <v>2241</v>
      </c>
      <c r="G14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49" s="139" t="str">
        <f>IF(COUNTIF(Tabla_imprenta[LOTE],Tabla_control[[#This Row],[LOTE]])=1,INDEX(Tabla_imprenta[stock sap],MATCH(Tabla_control[[#This Row],[LOTE]],Tabla_imprenta[LOTE],0)),"ENTREGADO")</f>
        <v>ENTREGADO</v>
      </c>
      <c r="I149" s="139" t="str">
        <f>IF(Tabla_control[[#This Row],[STOCK SAP]]&gt;Tabla_control[[#This Row],[CANTIDAD IMPRIMIR]],"cubre","no cubre")</f>
        <v>no cubre</v>
      </c>
      <c r="J149" s="7" t="str">
        <f>IF(COUNTIF(Tabla_imprenta[LOTE],Tabla_control[[#This Row],[LOTE]])=1,INDEX(Tabla_imprenta[STOCK],MATCH(Tabla_control[[#This Row],[LOTE]],Tabla_imprenta[LOTE],0)),"ENTREGADO")</f>
        <v>ENTREGADO</v>
      </c>
      <c r="K14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49" s="148" t="e">
        <f>INDEX(Tabla_imprenta[FECHA CAJA],MATCH(Tabla_control[[#This Row],[LOTE]],Tabla_imprenta[LOTE],0))</f>
        <v>#N/A</v>
      </c>
      <c r="M14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4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4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49" s="169" t="e">
        <f>ROUNDUP(Tabla_control[[#This Row],[CANTIDAD IMPRIMIR]]/Tabla_control[[#This Row],[N TJ]],0)</f>
        <v>#VALUE!</v>
      </c>
      <c r="Q149" s="169" t="e">
        <f>IF(Tabla_control[[#This Row],[CANTIDAD TIRAJE]]&gt;10000,Tabla_control[[#This Row],[CANTIDAD TIRAJE]],Tabla_control[[#This Row],[CANTIDAD TIRAJE]]*2)</f>
        <v>#VALUE!</v>
      </c>
      <c r="R149" s="4" t="s">
        <v>172</v>
      </c>
      <c r="S149" s="4" t="s">
        <v>31</v>
      </c>
      <c r="T149" s="4"/>
      <c r="U149" s="4"/>
      <c r="V149" s="4"/>
      <c r="W149" s="138" t="s">
        <v>3223</v>
      </c>
      <c r="X149" s="138"/>
      <c r="Y149" s="138"/>
      <c r="Z149" s="138"/>
      <c r="AA149" s="4" t="s">
        <v>2314</v>
      </c>
      <c r="AB149" s="184" t="s">
        <v>2028</v>
      </c>
    </row>
    <row r="150" spans="1:28" hidden="1" x14ac:dyDescent="0.2">
      <c r="A150" s="175" t="str">
        <f>IF(COUNTIF(Tabla_imprenta[LOTE],Tabla_control[[#This Row],[LOTE]])=1,INDEX(Tabla_imprenta[FECHA EMISIÓN],MATCH(Tabla_control[[#This Row],[LOTE]],Tabla_imprenta[LOTE],0)),"REALIZADO")</f>
        <v>REALIZADO</v>
      </c>
      <c r="B150" s="142" t="str">
        <f>IF(COUNTIF(Tabla_imprenta[LOTE],Tabla_control[[#This Row],[LOTE]])=1,INDEX(Tabla_imprenta[CÓD. SOLICITUD],MATCH(Tabla_control[[#This Row],[LOTE]],Tabla_imprenta[LOTE],0)),"REALIZADO")</f>
        <v>REALIZADO</v>
      </c>
      <c r="C150" s="177" t="str">
        <f>IF(COUNTIF(Tabla_imprenta[LOTE],Tabla_control[[#This Row],[LOTE]])=1,INDEX(Tabla_imprenta[PRODUCTO],MATCH(Tabla_control[[#This Row],[LOTE]],Tabla_imprenta[LOTE],0)),"REALIZADO")</f>
        <v>REALIZADO</v>
      </c>
      <c r="D150" s="142" t="str">
        <f>IF(COUNTIF(Tabla_imprenta[LOTE],Tabla_control[[#This Row],[LOTE]])=1,INDEX(Tabla_imprenta[FORMA FARMACEUTICA],MATCH(Tabla_control[[#This Row],[LOTE]],Tabla_imprenta[LOTE],0)),"REALIZADO")</f>
        <v>REALIZADO</v>
      </c>
      <c r="E150" s="177" t="str">
        <f>IF(COUNTIF(Tabla_imprenta[LOTE],Tabla_control[[#This Row],[LOTE]])=1,INDEX(Tabla_imprenta[INSTITUCIÓN],MATCH(Tabla_control[[#This Row],[LOTE]],Tabla_imprenta[LOTE],0)),"REALIZADO")</f>
        <v>REALIZADO</v>
      </c>
      <c r="F150" s="180" t="s">
        <v>2144</v>
      </c>
      <c r="G15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50" s="139" t="str">
        <f>IF(COUNTIF(Tabla_imprenta[LOTE],Tabla_control[[#This Row],[LOTE]])=1,INDEX(Tabla_imprenta[stock sap],MATCH(Tabla_control[[#This Row],[LOTE]],Tabla_imprenta[LOTE],0)),"ENTREGADO")</f>
        <v>ENTREGADO</v>
      </c>
      <c r="I150" s="139" t="str">
        <f>IF(Tabla_control[[#This Row],[STOCK SAP]]&gt;Tabla_control[[#This Row],[CANTIDAD IMPRIMIR]],"cubre","no cubre")</f>
        <v>no cubre</v>
      </c>
      <c r="J150" s="7" t="str">
        <f>IF(COUNTIF(Tabla_imprenta[LOTE],Tabla_control[[#This Row],[LOTE]])=1,INDEX(Tabla_imprenta[STOCK],MATCH(Tabla_control[[#This Row],[LOTE]],Tabla_imprenta[LOTE],0)),"ENTREGADO")</f>
        <v>ENTREGADO</v>
      </c>
      <c r="K15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50" s="148" t="e">
        <f>INDEX(Tabla_imprenta[FECHA CAJA],MATCH(Tabla_control[[#This Row],[LOTE]],Tabla_imprenta[LOTE],0))</f>
        <v>#N/A</v>
      </c>
      <c r="M15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5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5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50" s="169" t="e">
        <f>ROUNDUP(Tabla_control[[#This Row],[CANTIDAD IMPRIMIR]]/Tabla_control[[#This Row],[N TJ]],0)</f>
        <v>#VALUE!</v>
      </c>
      <c r="Q150" s="169" t="e">
        <f>IF(Tabla_control[[#This Row],[CANTIDAD TIRAJE]]&gt;10000,Tabla_control[[#This Row],[CANTIDAD TIRAJE]],Tabla_control[[#This Row],[CANTIDAD TIRAJE]]*2)</f>
        <v>#VALUE!</v>
      </c>
      <c r="R150" s="4" t="s">
        <v>175</v>
      </c>
      <c r="S150" s="4" t="s">
        <v>174</v>
      </c>
      <c r="T150" s="4"/>
      <c r="U150" s="4"/>
      <c r="V150" s="4"/>
      <c r="W150" s="138" t="s">
        <v>3223</v>
      </c>
      <c r="X150" s="138"/>
      <c r="Y150" s="138"/>
      <c r="Z150" s="138"/>
      <c r="AA150" s="4" t="s">
        <v>2031</v>
      </c>
      <c r="AB150" s="184" t="s">
        <v>2028</v>
      </c>
    </row>
    <row r="151" spans="1:28" hidden="1" x14ac:dyDescent="0.2">
      <c r="A151" s="175" t="str">
        <f>IF(COUNTIF(Tabla_imprenta[LOTE],Tabla_control[[#This Row],[LOTE]])=1,INDEX(Tabla_imprenta[FECHA EMISIÓN],MATCH(Tabla_control[[#This Row],[LOTE]],Tabla_imprenta[LOTE],0)),"REALIZADO")</f>
        <v>REALIZADO</v>
      </c>
      <c r="B151" s="142" t="str">
        <f>IF(COUNTIF(Tabla_imprenta[LOTE],Tabla_control[[#This Row],[LOTE]])=1,INDEX(Tabla_imprenta[CÓD. SOLICITUD],MATCH(Tabla_control[[#This Row],[LOTE]],Tabla_imprenta[LOTE],0)),"REALIZADO")</f>
        <v>REALIZADO</v>
      </c>
      <c r="C151" s="177" t="str">
        <f>IF(COUNTIF(Tabla_imprenta[LOTE],Tabla_control[[#This Row],[LOTE]])=1,INDEX(Tabla_imprenta[PRODUCTO],MATCH(Tabla_control[[#This Row],[LOTE]],Tabla_imprenta[LOTE],0)),"REALIZADO")</f>
        <v>REALIZADO</v>
      </c>
      <c r="D151" s="142" t="str">
        <f>IF(COUNTIF(Tabla_imprenta[LOTE],Tabla_control[[#This Row],[LOTE]])=1,INDEX(Tabla_imprenta[FORMA FARMACEUTICA],MATCH(Tabla_control[[#This Row],[LOTE]],Tabla_imprenta[LOTE],0)),"REALIZADO")</f>
        <v>REALIZADO</v>
      </c>
      <c r="E151" s="177" t="str">
        <f>IF(COUNTIF(Tabla_imprenta[LOTE],Tabla_control[[#This Row],[LOTE]])=1,INDEX(Tabla_imprenta[INSTITUCIÓN],MATCH(Tabla_control[[#This Row],[LOTE]],Tabla_imprenta[LOTE],0)),"REALIZADO")</f>
        <v>REALIZADO</v>
      </c>
      <c r="F151" s="180" t="s">
        <v>2187</v>
      </c>
      <c r="G15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51" s="139" t="str">
        <f>IF(COUNTIF(Tabla_imprenta[LOTE],Tabla_control[[#This Row],[LOTE]])=1,INDEX(Tabla_imprenta[stock sap],MATCH(Tabla_control[[#This Row],[LOTE]],Tabla_imprenta[LOTE],0)),"ENTREGADO")</f>
        <v>ENTREGADO</v>
      </c>
      <c r="I151" s="139" t="str">
        <f>IF(Tabla_control[[#This Row],[STOCK SAP]]&gt;Tabla_control[[#This Row],[CANTIDAD IMPRIMIR]],"cubre","no cubre")</f>
        <v>no cubre</v>
      </c>
      <c r="J151" s="7" t="str">
        <f>IF(COUNTIF(Tabla_imprenta[LOTE],Tabla_control[[#This Row],[LOTE]])=1,INDEX(Tabla_imprenta[STOCK],MATCH(Tabla_control[[#This Row],[LOTE]],Tabla_imprenta[LOTE],0)),"ENTREGADO")</f>
        <v>ENTREGADO</v>
      </c>
      <c r="K15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51" s="148" t="e">
        <f>INDEX(Tabla_imprenta[FECHA CAJA],MATCH(Tabla_control[[#This Row],[LOTE]],Tabla_imprenta[LOTE],0))</f>
        <v>#N/A</v>
      </c>
      <c r="M15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5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5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51" s="169" t="e">
        <f>ROUNDUP(Tabla_control[[#This Row],[CANTIDAD IMPRIMIR]]/Tabla_control[[#This Row],[N TJ]],0)</f>
        <v>#VALUE!</v>
      </c>
      <c r="Q151" s="169" t="e">
        <f>IF(Tabla_control[[#This Row],[CANTIDAD TIRAJE]]&gt;10000,Tabla_control[[#This Row],[CANTIDAD TIRAJE]],Tabla_control[[#This Row],[CANTIDAD TIRAJE]]*2)</f>
        <v>#VALUE!</v>
      </c>
      <c r="R151" s="4" t="s">
        <v>172</v>
      </c>
      <c r="S151" s="4" t="s">
        <v>30</v>
      </c>
      <c r="T151" s="4"/>
      <c r="U151" s="4"/>
      <c r="V151" s="4"/>
      <c r="W151" s="138" t="s">
        <v>3223</v>
      </c>
      <c r="X151" s="138"/>
      <c r="Y151" s="138"/>
      <c r="Z151" s="138"/>
      <c r="AA151" s="4" t="s">
        <v>2429</v>
      </c>
      <c r="AB151" s="184" t="s">
        <v>2028</v>
      </c>
    </row>
    <row r="152" spans="1:28" hidden="1" x14ac:dyDescent="0.2">
      <c r="A152" s="175" t="str">
        <f>IF(COUNTIF(Tabla_imprenta[LOTE],Tabla_control[[#This Row],[LOTE]])=1,INDEX(Tabla_imprenta[FECHA EMISIÓN],MATCH(Tabla_control[[#This Row],[LOTE]],Tabla_imprenta[LOTE],0)),"REALIZADO")</f>
        <v>REALIZADO</v>
      </c>
      <c r="B152" s="142" t="str">
        <f>IF(COUNTIF(Tabla_imprenta[LOTE],Tabla_control[[#This Row],[LOTE]])=1,INDEX(Tabla_imprenta[CÓD. SOLICITUD],MATCH(Tabla_control[[#This Row],[LOTE]],Tabla_imprenta[LOTE],0)),"REALIZADO")</f>
        <v>REALIZADO</v>
      </c>
      <c r="C152" s="177" t="str">
        <f>IF(COUNTIF(Tabla_imprenta[LOTE],Tabla_control[[#This Row],[LOTE]])=1,INDEX(Tabla_imprenta[PRODUCTO],MATCH(Tabla_control[[#This Row],[LOTE]],Tabla_imprenta[LOTE],0)),"REALIZADO")</f>
        <v>REALIZADO</v>
      </c>
      <c r="D152" s="142" t="str">
        <f>IF(COUNTIF(Tabla_imprenta[LOTE],Tabla_control[[#This Row],[LOTE]])=1,INDEX(Tabla_imprenta[FORMA FARMACEUTICA],MATCH(Tabla_control[[#This Row],[LOTE]],Tabla_imprenta[LOTE],0)),"REALIZADO")</f>
        <v>REALIZADO</v>
      </c>
      <c r="E152" s="177" t="str">
        <f>IF(COUNTIF(Tabla_imprenta[LOTE],Tabla_control[[#This Row],[LOTE]])=1,INDEX(Tabla_imprenta[INSTITUCIÓN],MATCH(Tabla_control[[#This Row],[LOTE]],Tabla_imprenta[LOTE],0)),"REALIZADO")</f>
        <v>REALIZADO</v>
      </c>
      <c r="F152" s="180" t="s">
        <v>2222</v>
      </c>
      <c r="G15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52" s="139" t="str">
        <f>IF(COUNTIF(Tabla_imprenta[LOTE],Tabla_control[[#This Row],[LOTE]])=1,INDEX(Tabla_imprenta[stock sap],MATCH(Tabla_control[[#This Row],[LOTE]],Tabla_imprenta[LOTE],0)),"ENTREGADO")</f>
        <v>ENTREGADO</v>
      </c>
      <c r="I152" s="139" t="str">
        <f>IF(Tabla_control[[#This Row],[STOCK SAP]]&gt;Tabla_control[[#This Row],[CANTIDAD IMPRIMIR]],"cubre","no cubre")</f>
        <v>no cubre</v>
      </c>
      <c r="J152" s="7" t="str">
        <f>IF(COUNTIF(Tabla_imprenta[LOTE],Tabla_control[[#This Row],[LOTE]])=1,INDEX(Tabla_imprenta[STOCK],MATCH(Tabla_control[[#This Row],[LOTE]],Tabla_imprenta[LOTE],0)),"ENTREGADO")</f>
        <v>ENTREGADO</v>
      </c>
      <c r="K15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52" s="148" t="e">
        <f>INDEX(Tabla_imprenta[FECHA CAJA],MATCH(Tabla_control[[#This Row],[LOTE]],Tabla_imprenta[LOTE],0))</f>
        <v>#N/A</v>
      </c>
      <c r="M15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5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5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52" s="169" t="e">
        <f>ROUNDUP(Tabla_control[[#This Row],[CANTIDAD IMPRIMIR]]/Tabla_control[[#This Row],[N TJ]],0)</f>
        <v>#VALUE!</v>
      </c>
      <c r="Q152" s="169" t="e">
        <f>IF(Tabla_control[[#This Row],[CANTIDAD TIRAJE]]&gt;10000,Tabla_control[[#This Row],[CANTIDAD TIRAJE]],Tabla_control[[#This Row],[CANTIDAD TIRAJE]]*2)</f>
        <v>#VALUE!</v>
      </c>
      <c r="R152" s="4" t="s">
        <v>172</v>
      </c>
      <c r="S152" s="4" t="s">
        <v>30</v>
      </c>
      <c r="T152" s="4"/>
      <c r="U152" s="4"/>
      <c r="V152" s="4"/>
      <c r="W152" s="138" t="s">
        <v>3223</v>
      </c>
      <c r="X152" s="138"/>
      <c r="Y152" s="138"/>
      <c r="Z152" s="138"/>
      <c r="AA152" s="4" t="s">
        <v>2314</v>
      </c>
      <c r="AB152" s="184" t="s">
        <v>2028</v>
      </c>
    </row>
    <row r="153" spans="1:28" hidden="1" x14ac:dyDescent="0.2">
      <c r="A153" s="175" t="str">
        <f>IF(COUNTIF(Tabla_imprenta[LOTE],Tabla_control[[#This Row],[LOTE]])=1,INDEX(Tabla_imprenta[FECHA EMISIÓN],MATCH(Tabla_control[[#This Row],[LOTE]],Tabla_imprenta[LOTE],0)),"REALIZADO")</f>
        <v>REALIZADO</v>
      </c>
      <c r="B153" s="142" t="str">
        <f>IF(COUNTIF(Tabla_imprenta[LOTE],Tabla_control[[#This Row],[LOTE]])=1,INDEX(Tabla_imprenta[CÓD. SOLICITUD],MATCH(Tabla_control[[#This Row],[LOTE]],Tabla_imprenta[LOTE],0)),"REALIZADO")</f>
        <v>REALIZADO</v>
      </c>
      <c r="C153" s="177" t="str">
        <f>IF(COUNTIF(Tabla_imprenta[LOTE],Tabla_control[[#This Row],[LOTE]])=1,INDEX(Tabla_imprenta[PRODUCTO],MATCH(Tabla_control[[#This Row],[LOTE]],Tabla_imprenta[LOTE],0)),"REALIZADO")</f>
        <v>REALIZADO</v>
      </c>
      <c r="D153" s="142" t="str">
        <f>IF(COUNTIF(Tabla_imprenta[LOTE],Tabla_control[[#This Row],[LOTE]])=1,INDEX(Tabla_imprenta[FORMA FARMACEUTICA],MATCH(Tabla_control[[#This Row],[LOTE]],Tabla_imprenta[LOTE],0)),"REALIZADO")</f>
        <v>REALIZADO</v>
      </c>
      <c r="E153" s="177" t="str">
        <f>IF(COUNTIF(Tabla_imprenta[LOTE],Tabla_control[[#This Row],[LOTE]])=1,INDEX(Tabla_imprenta[INSTITUCIÓN],MATCH(Tabla_control[[#This Row],[LOTE]],Tabla_imprenta[LOTE],0)),"REALIZADO")</f>
        <v>REALIZADO</v>
      </c>
      <c r="F153" s="180" t="s">
        <v>2160</v>
      </c>
      <c r="G15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53" s="139" t="str">
        <f>IF(COUNTIF(Tabla_imprenta[LOTE],Tabla_control[[#This Row],[LOTE]])=1,INDEX(Tabla_imprenta[stock sap],MATCH(Tabla_control[[#This Row],[LOTE]],Tabla_imprenta[LOTE],0)),"ENTREGADO")</f>
        <v>ENTREGADO</v>
      </c>
      <c r="I153" s="139" t="str">
        <f>IF(Tabla_control[[#This Row],[STOCK SAP]]&gt;Tabla_control[[#This Row],[CANTIDAD IMPRIMIR]],"cubre","no cubre")</f>
        <v>no cubre</v>
      </c>
      <c r="J153" s="7" t="str">
        <f>IF(COUNTIF(Tabla_imprenta[LOTE],Tabla_control[[#This Row],[LOTE]])=1,INDEX(Tabla_imprenta[STOCK],MATCH(Tabla_control[[#This Row],[LOTE]],Tabla_imprenta[LOTE],0)),"ENTREGADO")</f>
        <v>ENTREGADO</v>
      </c>
      <c r="K15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53" s="148" t="e">
        <f>INDEX(Tabla_imprenta[FECHA CAJA],MATCH(Tabla_control[[#This Row],[LOTE]],Tabla_imprenta[LOTE],0))</f>
        <v>#N/A</v>
      </c>
      <c r="M15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5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5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53" s="169" t="e">
        <f>ROUNDUP(Tabla_control[[#This Row],[CANTIDAD IMPRIMIR]]/Tabla_control[[#This Row],[N TJ]],0)</f>
        <v>#VALUE!</v>
      </c>
      <c r="Q153" s="169" t="e">
        <f>IF(Tabla_control[[#This Row],[CANTIDAD TIRAJE]]&gt;10000,Tabla_control[[#This Row],[CANTIDAD TIRAJE]],Tabla_control[[#This Row],[CANTIDAD TIRAJE]]*2)</f>
        <v>#VALUE!</v>
      </c>
      <c r="R153" s="4" t="s">
        <v>173</v>
      </c>
      <c r="S153" s="4" t="s">
        <v>174</v>
      </c>
      <c r="T153" s="4"/>
      <c r="U153" s="4"/>
      <c r="V153" s="4"/>
      <c r="W153" s="138" t="s">
        <v>3223</v>
      </c>
      <c r="X153" s="138"/>
      <c r="Y153" s="138"/>
      <c r="Z153" s="138"/>
      <c r="AA153" s="4" t="s">
        <v>2429</v>
      </c>
      <c r="AB153" s="184" t="s">
        <v>2028</v>
      </c>
    </row>
    <row r="154" spans="1:28" hidden="1" x14ac:dyDescent="0.2">
      <c r="A154" s="175" t="str">
        <f>IF(COUNTIF(Tabla_imprenta[LOTE],Tabla_control[[#This Row],[LOTE]])=1,INDEX(Tabla_imprenta[FECHA EMISIÓN],MATCH(Tabla_control[[#This Row],[LOTE]],Tabla_imprenta[LOTE],0)),"REALIZADO")</f>
        <v>REALIZADO</v>
      </c>
      <c r="B154" s="142" t="str">
        <f>IF(COUNTIF(Tabla_imprenta[LOTE],Tabla_control[[#This Row],[LOTE]])=1,INDEX(Tabla_imprenta[CÓD. SOLICITUD],MATCH(Tabla_control[[#This Row],[LOTE]],Tabla_imprenta[LOTE],0)),"REALIZADO")</f>
        <v>REALIZADO</v>
      </c>
      <c r="C154" s="177" t="str">
        <f>IF(COUNTIF(Tabla_imprenta[LOTE],Tabla_control[[#This Row],[LOTE]])=1,INDEX(Tabla_imprenta[PRODUCTO],MATCH(Tabla_control[[#This Row],[LOTE]],Tabla_imprenta[LOTE],0)),"REALIZADO")</f>
        <v>REALIZADO</v>
      </c>
      <c r="D154" s="142" t="str">
        <f>IF(COUNTIF(Tabla_imprenta[LOTE],Tabla_control[[#This Row],[LOTE]])=1,INDEX(Tabla_imprenta[FORMA FARMACEUTICA],MATCH(Tabla_control[[#This Row],[LOTE]],Tabla_imprenta[LOTE],0)),"REALIZADO")</f>
        <v>REALIZADO</v>
      </c>
      <c r="E154" s="177" t="str">
        <f>IF(COUNTIF(Tabla_imprenta[LOTE],Tabla_control[[#This Row],[LOTE]])=1,INDEX(Tabla_imprenta[INSTITUCIÓN],MATCH(Tabla_control[[#This Row],[LOTE]],Tabla_imprenta[LOTE],0)),"REALIZADO")</f>
        <v>REALIZADO</v>
      </c>
      <c r="F154" s="180" t="s">
        <v>2174</v>
      </c>
      <c r="G15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54" s="139" t="str">
        <f>IF(COUNTIF(Tabla_imprenta[LOTE],Tabla_control[[#This Row],[LOTE]])=1,INDEX(Tabla_imprenta[stock sap],MATCH(Tabla_control[[#This Row],[LOTE]],Tabla_imprenta[LOTE],0)),"ENTREGADO")</f>
        <v>ENTREGADO</v>
      </c>
      <c r="I154" s="139" t="str">
        <f>IF(Tabla_control[[#This Row],[STOCK SAP]]&gt;Tabla_control[[#This Row],[CANTIDAD IMPRIMIR]],"cubre","no cubre")</f>
        <v>no cubre</v>
      </c>
      <c r="J154" s="7" t="str">
        <f>IF(COUNTIF(Tabla_imprenta[LOTE],Tabla_control[[#This Row],[LOTE]])=1,INDEX(Tabla_imprenta[STOCK],MATCH(Tabla_control[[#This Row],[LOTE]],Tabla_imprenta[LOTE],0)),"ENTREGADO")</f>
        <v>ENTREGADO</v>
      </c>
      <c r="K15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54" s="148" t="e">
        <f>INDEX(Tabla_imprenta[FECHA CAJA],MATCH(Tabla_control[[#This Row],[LOTE]],Tabla_imprenta[LOTE],0))</f>
        <v>#N/A</v>
      </c>
      <c r="M15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5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5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54" s="169" t="e">
        <f>ROUNDUP(Tabla_control[[#This Row],[CANTIDAD IMPRIMIR]]/Tabla_control[[#This Row],[N TJ]],0)</f>
        <v>#VALUE!</v>
      </c>
      <c r="Q154" s="169" t="e">
        <f>IF(Tabla_control[[#This Row],[CANTIDAD TIRAJE]]&gt;10000,Tabla_control[[#This Row],[CANTIDAD TIRAJE]],Tabla_control[[#This Row],[CANTIDAD TIRAJE]]*2)</f>
        <v>#VALUE!</v>
      </c>
      <c r="R154" s="4" t="s">
        <v>2030</v>
      </c>
      <c r="S154" s="4" t="s">
        <v>174</v>
      </c>
      <c r="T154" s="4"/>
      <c r="U154" s="4"/>
      <c r="V154" s="4"/>
      <c r="W154" s="185" t="s">
        <v>2470</v>
      </c>
      <c r="X154" s="185"/>
      <c r="Y154" s="185"/>
      <c r="Z154" s="185"/>
      <c r="AA154" s="4" t="s">
        <v>171</v>
      </c>
      <c r="AB154" s="184" t="s">
        <v>2028</v>
      </c>
    </row>
    <row r="155" spans="1:28" s="1" customFormat="1" hidden="1" x14ac:dyDescent="0.2">
      <c r="A155" s="141" t="str">
        <f>IF(COUNTIF(Tabla_imprenta[LOTE],Tabla_control[[#This Row],[LOTE]])=1,INDEX(Tabla_imprenta[FECHA EMISIÓN],MATCH(Tabla_control[[#This Row],[LOTE]],Tabla_imprenta[LOTE],0)),"REALIZADO")</f>
        <v>REALIZADO</v>
      </c>
      <c r="B155" s="142" t="str">
        <f>IF(COUNTIF(Tabla_imprenta[LOTE],Tabla_control[[#This Row],[LOTE]])=1,INDEX(Tabla_imprenta[CÓD. SOLICITUD],MATCH(Tabla_control[[#This Row],[LOTE]],Tabla_imprenta[LOTE],0)),"REALIZADO")</f>
        <v>REALIZADO</v>
      </c>
      <c r="C155" s="142" t="str">
        <f>IF(COUNTIF(Tabla_imprenta[LOTE],Tabla_control[[#This Row],[LOTE]])=1,INDEX(Tabla_imprenta[PRODUCTO],MATCH(Tabla_control[[#This Row],[LOTE]],Tabla_imprenta[LOTE],0)),"REALIZADO")</f>
        <v>REALIZADO</v>
      </c>
      <c r="D155" s="142" t="str">
        <f>IF(COUNTIF(Tabla_imprenta[LOTE],Tabla_control[[#This Row],[LOTE]])=1,INDEX(Tabla_imprenta[FORMA FARMACEUTICA],MATCH(Tabla_control[[#This Row],[LOTE]],Tabla_imprenta[LOTE],0)),"REALIZADO")</f>
        <v>REALIZADO</v>
      </c>
      <c r="E155" s="142" t="str">
        <f>IF(COUNTIF(Tabla_imprenta[LOTE],Tabla_control[[#This Row],[LOTE]])=1,INDEX(Tabla_imprenta[INSTITUCIÓN],MATCH(Tabla_control[[#This Row],[LOTE]],Tabla_imprenta[LOTE],0)),"REALIZADO")</f>
        <v>REALIZADO</v>
      </c>
      <c r="F155" s="6" t="s">
        <v>2177</v>
      </c>
      <c r="G155" s="140" t="str">
        <f>IF(COUNTIF(Tabla_imprenta[LOTE],Tabla_control[[#This Row],[LOTE]])=1,INDEX(Tabla_imprenta[CANTIDAD ENVASE SECUNDARIO],MATCH(Tabla_control[[#This Row],[LOTE]],Tabla_imprenta[LOTE],0)),"ENTREGADO")</f>
        <v>ENTREGADO</v>
      </c>
      <c r="H155" s="140" t="str">
        <f>IF(COUNTIF(Tabla_imprenta[LOTE],Tabla_control[[#This Row],[LOTE]])=1,INDEX(Tabla_imprenta[stock sap],MATCH(Tabla_control[[#This Row],[LOTE]],Tabla_imprenta[LOTE],0)),"ENTREGADO")</f>
        <v>ENTREGADO</v>
      </c>
      <c r="I155" s="140" t="str">
        <f>IF(Tabla_control[[#This Row],[STOCK SAP]]&gt;Tabla_control[[#This Row],[CANTIDAD IMPRIMIR]],"cubre","no cubre")</f>
        <v>no cubre</v>
      </c>
      <c r="J155" s="136" t="str">
        <f>IF(COUNTIF(Tabla_imprenta[LOTE],Tabla_control[[#This Row],[LOTE]])=1,INDEX(Tabla_imprenta[STOCK],MATCH(Tabla_control[[#This Row],[LOTE]],Tabla_imprenta[LOTE],0)),"ENTREGADO")</f>
        <v>ENTREGADO</v>
      </c>
      <c r="K155" s="148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55" s="148" t="e">
        <f>INDEX(Tabla_imprenta[FECHA CAJA],MATCH(Tabla_control[[#This Row],[LOTE]],Tabla_imprenta[LOTE],0))</f>
        <v>#N/A</v>
      </c>
      <c r="M155" s="164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5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5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55" s="169" t="e">
        <f>ROUNDUP(Tabla_control[[#This Row],[CANTIDAD IMPRIMIR]]/Tabla_control[[#This Row],[N TJ]],0)</f>
        <v>#VALUE!</v>
      </c>
      <c r="Q155" s="169" t="e">
        <f>IF(Tabla_control[[#This Row],[CANTIDAD TIRAJE]]&gt;10000,Tabla_control[[#This Row],[CANTIDAD TIRAJE]],Tabla_control[[#This Row],[CANTIDAD TIRAJE]]*2)</f>
        <v>#VALUE!</v>
      </c>
      <c r="R155" s="137" t="s">
        <v>172</v>
      </c>
      <c r="S155" s="137" t="s">
        <v>30</v>
      </c>
      <c r="T155" s="137"/>
      <c r="U155" s="137"/>
      <c r="V155" s="137"/>
      <c r="W155" s="134" t="s">
        <v>3223</v>
      </c>
      <c r="X155" s="134"/>
      <c r="Y155" s="134"/>
      <c r="Z155" s="134"/>
      <c r="AA155" s="137" t="s">
        <v>2031</v>
      </c>
      <c r="AB155" s="143" t="s">
        <v>2958</v>
      </c>
    </row>
    <row r="156" spans="1:28" hidden="1" x14ac:dyDescent="0.2">
      <c r="A156" s="175" t="str">
        <f>IF(COUNTIF(Tabla_imprenta[LOTE],Tabla_control[[#This Row],[LOTE]])=1,INDEX(Tabla_imprenta[FECHA EMISIÓN],MATCH(Tabla_control[[#This Row],[LOTE]],Tabla_imprenta[LOTE],0)),"REALIZADO")</f>
        <v>REALIZADO</v>
      </c>
      <c r="B156" s="142" t="str">
        <f>IF(COUNTIF(Tabla_imprenta[LOTE],Tabla_control[[#This Row],[LOTE]])=1,INDEX(Tabla_imprenta[CÓD. SOLICITUD],MATCH(Tabla_control[[#This Row],[LOTE]],Tabla_imprenta[LOTE],0)),"REALIZADO")</f>
        <v>REALIZADO</v>
      </c>
      <c r="C156" s="177" t="str">
        <f>IF(COUNTIF(Tabla_imprenta[LOTE],Tabla_control[[#This Row],[LOTE]])=1,INDEX(Tabla_imprenta[PRODUCTO],MATCH(Tabla_control[[#This Row],[LOTE]],Tabla_imprenta[LOTE],0)),"REALIZADO")</f>
        <v>REALIZADO</v>
      </c>
      <c r="D156" s="142" t="str">
        <f>IF(COUNTIF(Tabla_imprenta[LOTE],Tabla_control[[#This Row],[LOTE]])=1,INDEX(Tabla_imprenta[FORMA FARMACEUTICA],MATCH(Tabla_control[[#This Row],[LOTE]],Tabla_imprenta[LOTE],0)),"REALIZADO")</f>
        <v>REALIZADO</v>
      </c>
      <c r="E156" s="177" t="str">
        <f>IF(COUNTIF(Tabla_imprenta[LOTE],Tabla_control[[#This Row],[LOTE]])=1,INDEX(Tabla_imprenta[INSTITUCIÓN],MATCH(Tabla_control[[#This Row],[LOTE]],Tabla_imprenta[LOTE],0)),"REALIZADO")</f>
        <v>REALIZADO</v>
      </c>
      <c r="F156" s="180" t="s">
        <v>2501</v>
      </c>
      <c r="G15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56" s="139" t="str">
        <f>IF(COUNTIF(Tabla_imprenta[LOTE],Tabla_control[[#This Row],[LOTE]])=1,INDEX(Tabla_imprenta[stock sap],MATCH(Tabla_control[[#This Row],[LOTE]],Tabla_imprenta[LOTE],0)),"ENTREGADO")</f>
        <v>ENTREGADO</v>
      </c>
      <c r="I156" s="139" t="str">
        <f>IF(Tabla_control[[#This Row],[STOCK SAP]]&gt;Tabla_control[[#This Row],[CANTIDAD IMPRIMIR]],"cubre","no cubre")</f>
        <v>no cubre</v>
      </c>
      <c r="J156" s="7" t="str">
        <f>IF(COUNTIF(Tabla_imprenta[LOTE],Tabla_control[[#This Row],[LOTE]])=1,INDEX(Tabla_imprenta[STOCK],MATCH(Tabla_control[[#This Row],[LOTE]],Tabla_imprenta[LOTE],0)),"ENTREGADO")</f>
        <v>ENTREGADO</v>
      </c>
      <c r="K15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56" s="148" t="e">
        <f>INDEX(Tabla_imprenta[FECHA CAJA],MATCH(Tabla_control[[#This Row],[LOTE]],Tabla_imprenta[LOTE],0))</f>
        <v>#N/A</v>
      </c>
      <c r="M15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5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5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56" s="169" t="e">
        <f>ROUNDUP(Tabla_control[[#This Row],[CANTIDAD IMPRIMIR]]/Tabla_control[[#This Row],[N TJ]],0)</f>
        <v>#VALUE!</v>
      </c>
      <c r="Q156" s="169" t="e">
        <f>IF(Tabla_control[[#This Row],[CANTIDAD TIRAJE]]&gt;10000,Tabla_control[[#This Row],[CANTIDAD TIRAJE]],Tabla_control[[#This Row],[CANTIDAD TIRAJE]]*2)</f>
        <v>#VALUE!</v>
      </c>
      <c r="R156" s="4" t="s">
        <v>2030</v>
      </c>
      <c r="S156" s="4" t="s">
        <v>174</v>
      </c>
      <c r="T156" s="4"/>
      <c r="U156" s="4"/>
      <c r="V156" s="4"/>
      <c r="W156" s="138" t="s">
        <v>3223</v>
      </c>
      <c r="X156" s="138"/>
      <c r="Y156" s="138"/>
      <c r="Z156" s="138"/>
      <c r="AA156" s="4" t="s">
        <v>2031</v>
      </c>
      <c r="AB156" s="184" t="s">
        <v>2028</v>
      </c>
    </row>
    <row r="157" spans="1:28" hidden="1" x14ac:dyDescent="0.2">
      <c r="A157" s="175" t="str">
        <f>IF(COUNTIF(Tabla_imprenta[LOTE],Tabla_control[[#This Row],[LOTE]])=1,INDEX(Tabla_imprenta[FECHA EMISIÓN],MATCH(Tabla_control[[#This Row],[LOTE]],Tabla_imprenta[LOTE],0)),"REALIZADO")</f>
        <v>REALIZADO</v>
      </c>
      <c r="B157" s="142" t="str">
        <f>IF(COUNTIF(Tabla_imprenta[LOTE],Tabla_control[[#This Row],[LOTE]])=1,INDEX(Tabla_imprenta[CÓD. SOLICITUD],MATCH(Tabla_control[[#This Row],[LOTE]],Tabla_imprenta[LOTE],0)),"REALIZADO")</f>
        <v>REALIZADO</v>
      </c>
      <c r="C157" s="177" t="str">
        <f>IF(COUNTIF(Tabla_imprenta[LOTE],Tabla_control[[#This Row],[LOTE]])=1,INDEX(Tabla_imprenta[PRODUCTO],MATCH(Tabla_control[[#This Row],[LOTE]],Tabla_imprenta[LOTE],0)),"REALIZADO")</f>
        <v>REALIZADO</v>
      </c>
      <c r="D157" s="142" t="str">
        <f>IF(COUNTIF(Tabla_imprenta[LOTE],Tabla_control[[#This Row],[LOTE]])=1,INDEX(Tabla_imprenta[FORMA FARMACEUTICA],MATCH(Tabla_control[[#This Row],[LOTE]],Tabla_imprenta[LOTE],0)),"REALIZADO")</f>
        <v>REALIZADO</v>
      </c>
      <c r="E157" s="177" t="str">
        <f>IF(COUNTIF(Tabla_imprenta[LOTE],Tabla_control[[#This Row],[LOTE]])=1,INDEX(Tabla_imprenta[INSTITUCIÓN],MATCH(Tabla_control[[#This Row],[LOTE]],Tabla_imprenta[LOTE],0)),"REALIZADO")</f>
        <v>REALIZADO</v>
      </c>
      <c r="F157" s="180" t="s">
        <v>2231</v>
      </c>
      <c r="G15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57" s="139" t="str">
        <f>IF(COUNTIF(Tabla_imprenta[LOTE],Tabla_control[[#This Row],[LOTE]])=1,INDEX(Tabla_imprenta[stock sap],MATCH(Tabla_control[[#This Row],[LOTE]],Tabla_imprenta[LOTE],0)),"ENTREGADO")</f>
        <v>ENTREGADO</v>
      </c>
      <c r="I157" s="139" t="str">
        <f>IF(Tabla_control[[#This Row],[STOCK SAP]]&gt;Tabla_control[[#This Row],[CANTIDAD IMPRIMIR]],"cubre","no cubre")</f>
        <v>no cubre</v>
      </c>
      <c r="J157" s="7" t="str">
        <f>IF(COUNTIF(Tabla_imprenta[LOTE],Tabla_control[[#This Row],[LOTE]])=1,INDEX(Tabla_imprenta[STOCK],MATCH(Tabla_control[[#This Row],[LOTE]],Tabla_imprenta[LOTE],0)),"ENTREGADO")</f>
        <v>ENTREGADO</v>
      </c>
      <c r="K15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57" s="148" t="e">
        <f>INDEX(Tabla_imprenta[FECHA CAJA],MATCH(Tabla_control[[#This Row],[LOTE]],Tabla_imprenta[LOTE],0))</f>
        <v>#N/A</v>
      </c>
      <c r="M15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5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5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57" s="169" t="e">
        <f>ROUNDUP(Tabla_control[[#This Row],[CANTIDAD IMPRIMIR]]/Tabla_control[[#This Row],[N TJ]],0)</f>
        <v>#VALUE!</v>
      </c>
      <c r="Q157" s="169" t="e">
        <f>IF(Tabla_control[[#This Row],[CANTIDAD TIRAJE]]&gt;10000,Tabla_control[[#This Row],[CANTIDAD TIRAJE]],Tabla_control[[#This Row],[CANTIDAD TIRAJE]]*2)</f>
        <v>#VALUE!</v>
      </c>
      <c r="R157" s="4" t="s">
        <v>172</v>
      </c>
      <c r="S157" s="4" t="s">
        <v>30</v>
      </c>
      <c r="T157" s="4"/>
      <c r="U157" s="4"/>
      <c r="V157" s="4"/>
      <c r="W157" s="138" t="s">
        <v>3223</v>
      </c>
      <c r="X157" s="138"/>
      <c r="Y157" s="138"/>
      <c r="Z157" s="138"/>
      <c r="AA157" s="4" t="s">
        <v>321</v>
      </c>
      <c r="AB157" s="184" t="s">
        <v>2028</v>
      </c>
    </row>
    <row r="158" spans="1:28" hidden="1" x14ac:dyDescent="0.2">
      <c r="A158" s="175" t="str">
        <f>IF(COUNTIF(Tabla_imprenta[LOTE],Tabla_control[[#This Row],[LOTE]])=1,INDEX(Tabla_imprenta[FECHA EMISIÓN],MATCH(Tabla_control[[#This Row],[LOTE]],Tabla_imprenta[LOTE],0)),"REALIZADO")</f>
        <v>REALIZADO</v>
      </c>
      <c r="B158" s="142" t="str">
        <f>IF(COUNTIF(Tabla_imprenta[LOTE],Tabla_control[[#This Row],[LOTE]])=1,INDEX(Tabla_imprenta[CÓD. SOLICITUD],MATCH(Tabla_control[[#This Row],[LOTE]],Tabla_imprenta[LOTE],0)),"REALIZADO")</f>
        <v>REALIZADO</v>
      </c>
      <c r="C158" s="177" t="str">
        <f>IF(COUNTIF(Tabla_imprenta[LOTE],Tabla_control[[#This Row],[LOTE]])=1,INDEX(Tabla_imprenta[PRODUCTO],MATCH(Tabla_control[[#This Row],[LOTE]],Tabla_imprenta[LOTE],0)),"REALIZADO")</f>
        <v>REALIZADO</v>
      </c>
      <c r="D158" s="142" t="str">
        <f>IF(COUNTIF(Tabla_imprenta[LOTE],Tabla_control[[#This Row],[LOTE]])=1,INDEX(Tabla_imprenta[FORMA FARMACEUTICA],MATCH(Tabla_control[[#This Row],[LOTE]],Tabla_imprenta[LOTE],0)),"REALIZADO")</f>
        <v>REALIZADO</v>
      </c>
      <c r="E158" s="177" t="str">
        <f>IF(COUNTIF(Tabla_imprenta[LOTE],Tabla_control[[#This Row],[LOTE]])=1,INDEX(Tabla_imprenta[INSTITUCIÓN],MATCH(Tabla_control[[#This Row],[LOTE]],Tabla_imprenta[LOTE],0)),"REALIZADO")</f>
        <v>REALIZADO</v>
      </c>
      <c r="F158" s="183" t="s">
        <v>110</v>
      </c>
      <c r="G15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58" s="139" t="str">
        <f>IF(COUNTIF(Tabla_imprenta[LOTE],Tabla_control[[#This Row],[LOTE]])=1,INDEX(Tabla_imprenta[stock sap],MATCH(Tabla_control[[#This Row],[LOTE]],Tabla_imprenta[LOTE],0)),"ENTREGADO")</f>
        <v>ENTREGADO</v>
      </c>
      <c r="I158" s="139" t="str">
        <f>IF(Tabla_control[[#This Row],[STOCK SAP]]&gt;Tabla_control[[#This Row],[CANTIDAD IMPRIMIR]],"cubre","no cubre")</f>
        <v>no cubre</v>
      </c>
      <c r="J158" s="7" t="str">
        <f>IF(COUNTIF(Tabla_imprenta[LOTE],Tabla_control[[#This Row],[LOTE]])=1,INDEX(Tabla_imprenta[STOCK],MATCH(Tabla_control[[#This Row],[LOTE]],Tabla_imprenta[LOTE],0)),"ENTREGADO")</f>
        <v>ENTREGADO</v>
      </c>
      <c r="K15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58" s="148" t="e">
        <f>INDEX(Tabla_imprenta[FECHA CAJA],MATCH(Tabla_control[[#This Row],[LOTE]],Tabla_imprenta[LOTE],0))</f>
        <v>#N/A</v>
      </c>
      <c r="M15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5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5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58" s="169" t="e">
        <f>ROUNDUP(Tabla_control[[#This Row],[CANTIDAD IMPRIMIR]]/Tabla_control[[#This Row],[N TJ]],0)</f>
        <v>#VALUE!</v>
      </c>
      <c r="Q158" s="169" t="e">
        <f>IF(Tabla_control[[#This Row],[CANTIDAD TIRAJE]]&gt;10000,Tabla_control[[#This Row],[CANTIDAD TIRAJE]],Tabla_control[[#This Row],[CANTIDAD TIRAJE]]*2)</f>
        <v>#VALUE!</v>
      </c>
      <c r="R158" s="4" t="s">
        <v>172</v>
      </c>
      <c r="S158" s="4" t="s">
        <v>30</v>
      </c>
      <c r="T158" s="4"/>
      <c r="U158" s="4"/>
      <c r="V158" s="4"/>
      <c r="W158" s="185" t="s">
        <v>2470</v>
      </c>
      <c r="X158" s="185"/>
      <c r="Y158" s="185"/>
      <c r="Z158" s="185"/>
      <c r="AA158" s="4" t="s">
        <v>171</v>
      </c>
      <c r="AB158" s="184" t="s">
        <v>2028</v>
      </c>
    </row>
    <row r="159" spans="1:28" hidden="1" x14ac:dyDescent="0.2">
      <c r="A159" s="175" t="str">
        <f>IF(COUNTIF(Tabla_imprenta[LOTE],Tabla_control[[#This Row],[LOTE]])=1,INDEX(Tabla_imprenta[FECHA EMISIÓN],MATCH(Tabla_control[[#This Row],[LOTE]],Tabla_imprenta[LOTE],0)),"REALIZADO")</f>
        <v>REALIZADO</v>
      </c>
      <c r="B159" s="142" t="str">
        <f>IF(COUNTIF(Tabla_imprenta[LOTE],Tabla_control[[#This Row],[LOTE]])=1,INDEX(Tabla_imprenta[CÓD. SOLICITUD],MATCH(Tabla_control[[#This Row],[LOTE]],Tabla_imprenta[LOTE],0)),"REALIZADO")</f>
        <v>REALIZADO</v>
      </c>
      <c r="C159" s="177" t="str">
        <f>IF(COUNTIF(Tabla_imprenta[LOTE],Tabla_control[[#This Row],[LOTE]])=1,INDEX(Tabla_imprenta[PRODUCTO],MATCH(Tabla_control[[#This Row],[LOTE]],Tabla_imprenta[LOTE],0)),"REALIZADO")</f>
        <v>REALIZADO</v>
      </c>
      <c r="D159" s="142" t="str">
        <f>IF(COUNTIF(Tabla_imprenta[LOTE],Tabla_control[[#This Row],[LOTE]])=1,INDEX(Tabla_imprenta[FORMA FARMACEUTICA],MATCH(Tabla_control[[#This Row],[LOTE]],Tabla_imprenta[LOTE],0)),"REALIZADO")</f>
        <v>REALIZADO</v>
      </c>
      <c r="E159" s="177" t="str">
        <f>IF(COUNTIF(Tabla_imprenta[LOTE],Tabla_control[[#This Row],[LOTE]])=1,INDEX(Tabla_imprenta[INSTITUCIÓN],MATCH(Tabla_control[[#This Row],[LOTE]],Tabla_imprenta[LOTE],0)),"REALIZADO")</f>
        <v>REALIZADO</v>
      </c>
      <c r="F159" s="180" t="s">
        <v>2165</v>
      </c>
      <c r="G15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59" s="139" t="str">
        <f>IF(COUNTIF(Tabla_imprenta[LOTE],Tabla_control[[#This Row],[LOTE]])=1,INDEX(Tabla_imprenta[stock sap],MATCH(Tabla_control[[#This Row],[LOTE]],Tabla_imprenta[LOTE],0)),"ENTREGADO")</f>
        <v>ENTREGADO</v>
      </c>
      <c r="I159" s="139" t="str">
        <f>IF(Tabla_control[[#This Row],[STOCK SAP]]&gt;Tabla_control[[#This Row],[CANTIDAD IMPRIMIR]],"cubre","no cubre")</f>
        <v>no cubre</v>
      </c>
      <c r="J159" s="7" t="str">
        <f>IF(COUNTIF(Tabla_imprenta[LOTE],Tabla_control[[#This Row],[LOTE]])=1,INDEX(Tabla_imprenta[STOCK],MATCH(Tabla_control[[#This Row],[LOTE]],Tabla_imprenta[LOTE],0)),"ENTREGADO")</f>
        <v>ENTREGADO</v>
      </c>
      <c r="K15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59" s="148" t="e">
        <f>INDEX(Tabla_imprenta[FECHA CAJA],MATCH(Tabla_control[[#This Row],[LOTE]],Tabla_imprenta[LOTE],0))</f>
        <v>#N/A</v>
      </c>
      <c r="M15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5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5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59" s="169" t="e">
        <f>ROUNDUP(Tabla_control[[#This Row],[CANTIDAD IMPRIMIR]]/Tabla_control[[#This Row],[N TJ]],0)</f>
        <v>#VALUE!</v>
      </c>
      <c r="Q159" s="169" t="e">
        <f>IF(Tabla_control[[#This Row],[CANTIDAD TIRAJE]]&gt;10000,Tabla_control[[#This Row],[CANTIDAD TIRAJE]],Tabla_control[[#This Row],[CANTIDAD TIRAJE]]*2)</f>
        <v>#VALUE!</v>
      </c>
      <c r="R159" s="4" t="s">
        <v>176</v>
      </c>
      <c r="S159" s="4" t="s">
        <v>30</v>
      </c>
      <c r="T159" s="4"/>
      <c r="U159" s="4"/>
      <c r="V159" s="4"/>
      <c r="W159" s="138" t="s">
        <v>3223</v>
      </c>
      <c r="X159" s="138"/>
      <c r="Y159" s="138"/>
      <c r="Z159" s="138"/>
      <c r="AA159" s="4" t="s">
        <v>2429</v>
      </c>
      <c r="AB159" s="184" t="s">
        <v>2028</v>
      </c>
    </row>
    <row r="160" spans="1:28" hidden="1" x14ac:dyDescent="0.2">
      <c r="A160" s="175" t="str">
        <f>IF(COUNTIF(Tabla_imprenta[LOTE],Tabla_control[[#This Row],[LOTE]])=1,INDEX(Tabla_imprenta[FECHA EMISIÓN],MATCH(Tabla_control[[#This Row],[LOTE]],Tabla_imprenta[LOTE],0)),"REALIZADO")</f>
        <v>REALIZADO</v>
      </c>
      <c r="B160" s="142" t="str">
        <f>IF(COUNTIF(Tabla_imprenta[LOTE],Tabla_control[[#This Row],[LOTE]])=1,INDEX(Tabla_imprenta[CÓD. SOLICITUD],MATCH(Tabla_control[[#This Row],[LOTE]],Tabla_imprenta[LOTE],0)),"REALIZADO")</f>
        <v>REALIZADO</v>
      </c>
      <c r="C160" s="177" t="str">
        <f>IF(COUNTIF(Tabla_imprenta[LOTE],Tabla_control[[#This Row],[LOTE]])=1,INDEX(Tabla_imprenta[PRODUCTO],MATCH(Tabla_control[[#This Row],[LOTE]],Tabla_imprenta[LOTE],0)),"REALIZADO")</f>
        <v>REALIZADO</v>
      </c>
      <c r="D160" s="142" t="str">
        <f>IF(COUNTIF(Tabla_imprenta[LOTE],Tabla_control[[#This Row],[LOTE]])=1,INDEX(Tabla_imprenta[FORMA FARMACEUTICA],MATCH(Tabla_control[[#This Row],[LOTE]],Tabla_imprenta[LOTE],0)),"REALIZADO")</f>
        <v>REALIZADO</v>
      </c>
      <c r="E160" s="177" t="str">
        <f>IF(COUNTIF(Tabla_imprenta[LOTE],Tabla_control[[#This Row],[LOTE]])=1,INDEX(Tabla_imprenta[INSTITUCIÓN],MATCH(Tabla_control[[#This Row],[LOTE]],Tabla_imprenta[LOTE],0)),"REALIZADO")</f>
        <v>REALIZADO</v>
      </c>
      <c r="F160" s="180" t="s">
        <v>2205</v>
      </c>
      <c r="G16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60" s="139" t="str">
        <f>IF(COUNTIF(Tabla_imprenta[LOTE],Tabla_control[[#This Row],[LOTE]])=1,INDEX(Tabla_imprenta[stock sap],MATCH(Tabla_control[[#This Row],[LOTE]],Tabla_imprenta[LOTE],0)),"ENTREGADO")</f>
        <v>ENTREGADO</v>
      </c>
      <c r="I160" s="139" t="str">
        <f>IF(Tabla_control[[#This Row],[STOCK SAP]]&gt;Tabla_control[[#This Row],[CANTIDAD IMPRIMIR]],"cubre","no cubre")</f>
        <v>no cubre</v>
      </c>
      <c r="J160" s="7" t="str">
        <f>IF(COUNTIF(Tabla_imprenta[LOTE],Tabla_control[[#This Row],[LOTE]])=1,INDEX(Tabla_imprenta[STOCK],MATCH(Tabla_control[[#This Row],[LOTE]],Tabla_imprenta[LOTE],0)),"ENTREGADO")</f>
        <v>ENTREGADO</v>
      </c>
      <c r="K16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60" s="148" t="e">
        <f>INDEX(Tabla_imprenta[FECHA CAJA],MATCH(Tabla_control[[#This Row],[LOTE]],Tabla_imprenta[LOTE],0))</f>
        <v>#N/A</v>
      </c>
      <c r="M16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6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6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60" s="169" t="e">
        <f>ROUNDUP(Tabla_control[[#This Row],[CANTIDAD IMPRIMIR]]/Tabla_control[[#This Row],[N TJ]],0)</f>
        <v>#VALUE!</v>
      </c>
      <c r="Q160" s="169" t="e">
        <f>IF(Tabla_control[[#This Row],[CANTIDAD TIRAJE]]&gt;10000,Tabla_control[[#This Row],[CANTIDAD TIRAJE]],Tabla_control[[#This Row],[CANTIDAD TIRAJE]]*2)</f>
        <v>#VALUE!</v>
      </c>
      <c r="R160" s="4" t="s">
        <v>2206</v>
      </c>
      <c r="S160" s="4" t="s">
        <v>174</v>
      </c>
      <c r="T160" s="4"/>
      <c r="U160" s="4"/>
      <c r="V160" s="4"/>
      <c r="W160" s="185" t="s">
        <v>2470</v>
      </c>
      <c r="X160" s="185"/>
      <c r="Y160" s="185"/>
      <c r="Z160" s="185"/>
      <c r="AA160" s="4" t="s">
        <v>171</v>
      </c>
      <c r="AB160" s="184" t="s">
        <v>2028</v>
      </c>
    </row>
    <row r="161" spans="1:28" hidden="1" x14ac:dyDescent="0.2">
      <c r="A161" s="175" t="str">
        <f>IF(COUNTIF(Tabla_imprenta[LOTE],Tabla_control[[#This Row],[LOTE]])=1,INDEX(Tabla_imprenta[FECHA EMISIÓN],MATCH(Tabla_control[[#This Row],[LOTE]],Tabla_imprenta[LOTE],0)),"REALIZADO")</f>
        <v>REALIZADO</v>
      </c>
      <c r="B161" s="142" t="str">
        <f>IF(COUNTIF(Tabla_imprenta[LOTE],Tabla_control[[#This Row],[LOTE]])=1,INDEX(Tabla_imprenta[CÓD. SOLICITUD],MATCH(Tabla_control[[#This Row],[LOTE]],Tabla_imprenta[LOTE],0)),"REALIZADO")</f>
        <v>REALIZADO</v>
      </c>
      <c r="C161" s="177" t="str">
        <f>IF(COUNTIF(Tabla_imprenta[LOTE],Tabla_control[[#This Row],[LOTE]])=1,INDEX(Tabla_imprenta[PRODUCTO],MATCH(Tabla_control[[#This Row],[LOTE]],Tabla_imprenta[LOTE],0)),"REALIZADO")</f>
        <v>REALIZADO</v>
      </c>
      <c r="D161" s="142" t="str">
        <f>IF(COUNTIF(Tabla_imprenta[LOTE],Tabla_control[[#This Row],[LOTE]])=1,INDEX(Tabla_imprenta[FORMA FARMACEUTICA],MATCH(Tabla_control[[#This Row],[LOTE]],Tabla_imprenta[LOTE],0)),"REALIZADO")</f>
        <v>REALIZADO</v>
      </c>
      <c r="E161" s="177" t="str">
        <f>IF(COUNTIF(Tabla_imprenta[LOTE],Tabla_control[[#This Row],[LOTE]])=1,INDEX(Tabla_imprenta[INSTITUCIÓN],MATCH(Tabla_control[[#This Row],[LOTE]],Tabla_imprenta[LOTE],0)),"REALIZADO")</f>
        <v>REALIZADO</v>
      </c>
      <c r="F161" s="180" t="s">
        <v>2209</v>
      </c>
      <c r="G16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61" s="139" t="str">
        <f>IF(COUNTIF(Tabla_imprenta[LOTE],Tabla_control[[#This Row],[LOTE]])=1,INDEX(Tabla_imprenta[stock sap],MATCH(Tabla_control[[#This Row],[LOTE]],Tabla_imprenta[LOTE],0)),"ENTREGADO")</f>
        <v>ENTREGADO</v>
      </c>
      <c r="I161" s="139" t="str">
        <f>IF(Tabla_control[[#This Row],[STOCK SAP]]&gt;Tabla_control[[#This Row],[CANTIDAD IMPRIMIR]],"cubre","no cubre")</f>
        <v>no cubre</v>
      </c>
      <c r="J161" s="7" t="str">
        <f>IF(COUNTIF(Tabla_imprenta[LOTE],Tabla_control[[#This Row],[LOTE]])=1,INDEX(Tabla_imprenta[STOCK],MATCH(Tabla_control[[#This Row],[LOTE]],Tabla_imprenta[LOTE],0)),"ENTREGADO")</f>
        <v>ENTREGADO</v>
      </c>
      <c r="K16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61" s="148" t="e">
        <f>INDEX(Tabla_imprenta[FECHA CAJA],MATCH(Tabla_control[[#This Row],[LOTE]],Tabla_imprenta[LOTE],0))</f>
        <v>#N/A</v>
      </c>
      <c r="M16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6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6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61" s="169" t="e">
        <f>ROUNDUP(Tabla_control[[#This Row],[CANTIDAD IMPRIMIR]]/Tabla_control[[#This Row],[N TJ]],0)</f>
        <v>#VALUE!</v>
      </c>
      <c r="Q161" s="169" t="e">
        <f>IF(Tabla_control[[#This Row],[CANTIDAD TIRAJE]]&gt;10000,Tabla_control[[#This Row],[CANTIDAD TIRAJE]],Tabla_control[[#This Row],[CANTIDAD TIRAJE]]*2)</f>
        <v>#VALUE!</v>
      </c>
      <c r="R161" s="4" t="s">
        <v>173</v>
      </c>
      <c r="S161" s="4" t="s">
        <v>174</v>
      </c>
      <c r="T161" s="4"/>
      <c r="U161" s="4"/>
      <c r="V161" s="4"/>
      <c r="W161" s="138" t="s">
        <v>3223</v>
      </c>
      <c r="X161" s="138"/>
      <c r="Y161" s="138"/>
      <c r="Z161" s="138"/>
      <c r="AA161" s="4" t="s">
        <v>321</v>
      </c>
      <c r="AB161" s="184" t="s">
        <v>2028</v>
      </c>
    </row>
    <row r="162" spans="1:28" hidden="1" x14ac:dyDescent="0.2">
      <c r="A162" s="175" t="str">
        <f>IF(COUNTIF(Tabla_imprenta[LOTE],Tabla_control[[#This Row],[LOTE]])=1,INDEX(Tabla_imprenta[FECHA EMISIÓN],MATCH(Tabla_control[[#This Row],[LOTE]],Tabla_imprenta[LOTE],0)),"REALIZADO")</f>
        <v>REALIZADO</v>
      </c>
      <c r="B162" s="142" t="str">
        <f>IF(COUNTIF(Tabla_imprenta[LOTE],Tabla_control[[#This Row],[LOTE]])=1,INDEX(Tabla_imprenta[CÓD. SOLICITUD],MATCH(Tabla_control[[#This Row],[LOTE]],Tabla_imprenta[LOTE],0)),"REALIZADO")</f>
        <v>REALIZADO</v>
      </c>
      <c r="C162" s="177" t="str">
        <f>IF(COUNTIF(Tabla_imprenta[LOTE],Tabla_control[[#This Row],[LOTE]])=1,INDEX(Tabla_imprenta[PRODUCTO],MATCH(Tabla_control[[#This Row],[LOTE]],Tabla_imprenta[LOTE],0)),"REALIZADO")</f>
        <v>REALIZADO</v>
      </c>
      <c r="D162" s="142" t="str">
        <f>IF(COUNTIF(Tabla_imprenta[LOTE],Tabla_control[[#This Row],[LOTE]])=1,INDEX(Tabla_imprenta[FORMA FARMACEUTICA],MATCH(Tabla_control[[#This Row],[LOTE]],Tabla_imprenta[LOTE],0)),"REALIZADO")</f>
        <v>REALIZADO</v>
      </c>
      <c r="E162" s="177" t="str">
        <f>IF(COUNTIF(Tabla_imprenta[LOTE],Tabla_control[[#This Row],[LOTE]])=1,INDEX(Tabla_imprenta[INSTITUCIÓN],MATCH(Tabla_control[[#This Row],[LOTE]],Tabla_imprenta[LOTE],0)),"REALIZADO")</f>
        <v>REALIZADO</v>
      </c>
      <c r="F162" s="180" t="s">
        <v>184</v>
      </c>
      <c r="G16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62" s="139" t="str">
        <f>IF(COUNTIF(Tabla_imprenta[LOTE],Tabla_control[[#This Row],[LOTE]])=1,INDEX(Tabla_imprenta[stock sap],MATCH(Tabla_control[[#This Row],[LOTE]],Tabla_imprenta[LOTE],0)),"ENTREGADO")</f>
        <v>ENTREGADO</v>
      </c>
      <c r="I162" s="139" t="str">
        <f>IF(Tabla_control[[#This Row],[STOCK SAP]]&gt;Tabla_control[[#This Row],[CANTIDAD IMPRIMIR]],"cubre","no cubre")</f>
        <v>no cubre</v>
      </c>
      <c r="J162" s="7" t="str">
        <f>IF(COUNTIF(Tabla_imprenta[LOTE],Tabla_control[[#This Row],[LOTE]])=1,INDEX(Tabla_imprenta[STOCK],MATCH(Tabla_control[[#This Row],[LOTE]],Tabla_imprenta[LOTE],0)),"ENTREGADO")</f>
        <v>ENTREGADO</v>
      </c>
      <c r="K16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62" s="148" t="e">
        <f>INDEX(Tabla_imprenta[FECHA CAJA],MATCH(Tabla_control[[#This Row],[LOTE]],Tabla_imprenta[LOTE],0))</f>
        <v>#N/A</v>
      </c>
      <c r="M16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6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6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62" s="169" t="e">
        <f>ROUNDUP(Tabla_control[[#This Row],[CANTIDAD IMPRIMIR]]/Tabla_control[[#This Row],[N TJ]],0)</f>
        <v>#VALUE!</v>
      </c>
      <c r="Q162" s="169" t="e">
        <f>IF(Tabla_control[[#This Row],[CANTIDAD TIRAJE]]&gt;10000,Tabla_control[[#This Row],[CANTIDAD TIRAJE]],Tabla_control[[#This Row],[CANTIDAD TIRAJE]]*2)</f>
        <v>#VALUE!</v>
      </c>
      <c r="R162" s="4" t="s">
        <v>177</v>
      </c>
      <c r="S162" s="4" t="s">
        <v>31</v>
      </c>
      <c r="T162" s="4"/>
      <c r="U162" s="4"/>
      <c r="V162" s="4"/>
      <c r="W162" s="138" t="s">
        <v>3223</v>
      </c>
      <c r="X162" s="138"/>
      <c r="Y162" s="138"/>
      <c r="Z162" s="138"/>
      <c r="AA162" s="4" t="s">
        <v>2031</v>
      </c>
      <c r="AB162" s="184" t="s">
        <v>2028</v>
      </c>
    </row>
    <row r="163" spans="1:28" hidden="1" x14ac:dyDescent="0.2">
      <c r="A163" s="175" t="str">
        <f>IF(COUNTIF(Tabla_imprenta[LOTE],Tabla_control[[#This Row],[LOTE]])=1,INDEX(Tabla_imprenta[FECHA EMISIÓN],MATCH(Tabla_control[[#This Row],[LOTE]],Tabla_imprenta[LOTE],0)),"REALIZADO")</f>
        <v>REALIZADO</v>
      </c>
      <c r="B163" s="142" t="str">
        <f>IF(COUNTIF(Tabla_imprenta[LOTE],Tabla_control[[#This Row],[LOTE]])=1,INDEX(Tabla_imprenta[CÓD. SOLICITUD],MATCH(Tabla_control[[#This Row],[LOTE]],Tabla_imprenta[LOTE],0)),"REALIZADO")</f>
        <v>REALIZADO</v>
      </c>
      <c r="C163" s="177" t="str">
        <f>IF(COUNTIF(Tabla_imprenta[LOTE],Tabla_control[[#This Row],[LOTE]])=1,INDEX(Tabla_imprenta[PRODUCTO],MATCH(Tabla_control[[#This Row],[LOTE]],Tabla_imprenta[LOTE],0)),"REALIZADO")</f>
        <v>REALIZADO</v>
      </c>
      <c r="D163" s="142" t="str">
        <f>IF(COUNTIF(Tabla_imprenta[LOTE],Tabla_control[[#This Row],[LOTE]])=1,INDEX(Tabla_imprenta[FORMA FARMACEUTICA],MATCH(Tabla_control[[#This Row],[LOTE]],Tabla_imprenta[LOTE],0)),"REALIZADO")</f>
        <v>REALIZADO</v>
      </c>
      <c r="E163" s="177" t="str">
        <f>IF(COUNTIF(Tabla_imprenta[LOTE],Tabla_control[[#This Row],[LOTE]])=1,INDEX(Tabla_imprenta[INSTITUCIÓN],MATCH(Tabla_control[[#This Row],[LOTE]],Tabla_imprenta[LOTE],0)),"REALIZADO")</f>
        <v>REALIZADO</v>
      </c>
      <c r="F163" s="180" t="s">
        <v>2197</v>
      </c>
      <c r="G16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63" s="139" t="str">
        <f>IF(COUNTIF(Tabla_imprenta[LOTE],Tabla_control[[#This Row],[LOTE]])=1,INDEX(Tabla_imprenta[stock sap],MATCH(Tabla_control[[#This Row],[LOTE]],Tabla_imprenta[LOTE],0)),"ENTREGADO")</f>
        <v>ENTREGADO</v>
      </c>
      <c r="I163" s="139" t="str">
        <f>IF(Tabla_control[[#This Row],[STOCK SAP]]&gt;Tabla_control[[#This Row],[CANTIDAD IMPRIMIR]],"cubre","no cubre")</f>
        <v>no cubre</v>
      </c>
      <c r="J163" s="7" t="str">
        <f>IF(COUNTIF(Tabla_imprenta[LOTE],Tabla_control[[#This Row],[LOTE]])=1,INDEX(Tabla_imprenta[STOCK],MATCH(Tabla_control[[#This Row],[LOTE]],Tabla_imprenta[LOTE],0)),"ENTREGADO")</f>
        <v>ENTREGADO</v>
      </c>
      <c r="K16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63" s="148" t="e">
        <f>INDEX(Tabla_imprenta[FECHA CAJA],MATCH(Tabla_control[[#This Row],[LOTE]],Tabla_imprenta[LOTE],0))</f>
        <v>#N/A</v>
      </c>
      <c r="M16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6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6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63" s="169" t="e">
        <f>ROUNDUP(Tabla_control[[#This Row],[CANTIDAD IMPRIMIR]]/Tabla_control[[#This Row],[N TJ]],0)</f>
        <v>#VALUE!</v>
      </c>
      <c r="Q163" s="169" t="e">
        <f>IF(Tabla_control[[#This Row],[CANTIDAD TIRAJE]]&gt;10000,Tabla_control[[#This Row],[CANTIDAD TIRAJE]],Tabla_control[[#This Row],[CANTIDAD TIRAJE]]*2)</f>
        <v>#VALUE!</v>
      </c>
      <c r="R163" s="4" t="s">
        <v>2206</v>
      </c>
      <c r="S163" s="4" t="s">
        <v>174</v>
      </c>
      <c r="T163" s="4"/>
      <c r="U163" s="4"/>
      <c r="V163" s="4"/>
      <c r="W163" s="138" t="s">
        <v>3223</v>
      </c>
      <c r="X163" s="138"/>
      <c r="Y163" s="138"/>
      <c r="Z163" s="138"/>
      <c r="AA163" s="4" t="s">
        <v>321</v>
      </c>
      <c r="AB163" s="184" t="s">
        <v>2028</v>
      </c>
    </row>
    <row r="164" spans="1:28" hidden="1" x14ac:dyDescent="0.2">
      <c r="A164" s="175" t="str">
        <f>IF(COUNTIF(Tabla_imprenta[LOTE],Tabla_control[[#This Row],[LOTE]])=1,INDEX(Tabla_imprenta[FECHA EMISIÓN],MATCH(Tabla_control[[#This Row],[LOTE]],Tabla_imprenta[LOTE],0)),"REALIZADO")</f>
        <v>REALIZADO</v>
      </c>
      <c r="B164" s="142" t="str">
        <f>IF(COUNTIF(Tabla_imprenta[LOTE],Tabla_control[[#This Row],[LOTE]])=1,INDEX(Tabla_imprenta[CÓD. SOLICITUD],MATCH(Tabla_control[[#This Row],[LOTE]],Tabla_imprenta[LOTE],0)),"REALIZADO")</f>
        <v>REALIZADO</v>
      </c>
      <c r="C164" s="177" t="str">
        <f>IF(COUNTIF(Tabla_imprenta[LOTE],Tabla_control[[#This Row],[LOTE]])=1,INDEX(Tabla_imprenta[PRODUCTO],MATCH(Tabla_control[[#This Row],[LOTE]],Tabla_imprenta[LOTE],0)),"REALIZADO")</f>
        <v>REALIZADO</v>
      </c>
      <c r="D164" s="142" t="str">
        <f>IF(COUNTIF(Tabla_imprenta[LOTE],Tabla_control[[#This Row],[LOTE]])=1,INDEX(Tabla_imprenta[FORMA FARMACEUTICA],MATCH(Tabla_control[[#This Row],[LOTE]],Tabla_imprenta[LOTE],0)),"REALIZADO")</f>
        <v>REALIZADO</v>
      </c>
      <c r="E164" s="177" t="str">
        <f>IF(COUNTIF(Tabla_imprenta[LOTE],Tabla_control[[#This Row],[LOTE]])=1,INDEX(Tabla_imprenta[INSTITUCIÓN],MATCH(Tabla_control[[#This Row],[LOTE]],Tabla_imprenta[LOTE],0)),"REALIZADO")</f>
        <v>REALIZADO</v>
      </c>
      <c r="F164" s="183" t="s">
        <v>161</v>
      </c>
      <c r="G16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64" s="139" t="str">
        <f>IF(COUNTIF(Tabla_imprenta[LOTE],Tabla_control[[#This Row],[LOTE]])=1,INDEX(Tabla_imprenta[stock sap],MATCH(Tabla_control[[#This Row],[LOTE]],Tabla_imprenta[LOTE],0)),"ENTREGADO")</f>
        <v>ENTREGADO</v>
      </c>
      <c r="I164" s="139" t="str">
        <f>IF(Tabla_control[[#This Row],[STOCK SAP]]&gt;Tabla_control[[#This Row],[CANTIDAD IMPRIMIR]],"cubre","no cubre")</f>
        <v>no cubre</v>
      </c>
      <c r="J164" s="7" t="str">
        <f>IF(COUNTIF(Tabla_imprenta[LOTE],Tabla_control[[#This Row],[LOTE]])=1,INDEX(Tabla_imprenta[STOCK],MATCH(Tabla_control[[#This Row],[LOTE]],Tabla_imprenta[LOTE],0)),"ENTREGADO")</f>
        <v>ENTREGADO</v>
      </c>
      <c r="K16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64" s="148" t="e">
        <f>INDEX(Tabla_imprenta[FECHA CAJA],MATCH(Tabla_control[[#This Row],[LOTE]],Tabla_imprenta[LOTE],0))</f>
        <v>#N/A</v>
      </c>
      <c r="M16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6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6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64" s="169" t="e">
        <f>ROUNDUP(Tabla_control[[#This Row],[CANTIDAD IMPRIMIR]]/Tabla_control[[#This Row],[N TJ]],0)</f>
        <v>#VALUE!</v>
      </c>
      <c r="Q164" s="169" t="e">
        <f>IF(Tabla_control[[#This Row],[CANTIDAD TIRAJE]]&gt;10000,Tabla_control[[#This Row],[CANTIDAD TIRAJE]],Tabla_control[[#This Row],[CANTIDAD TIRAJE]]*2)</f>
        <v>#VALUE!</v>
      </c>
      <c r="R164" s="4" t="s">
        <v>172</v>
      </c>
      <c r="S164" s="4" t="s">
        <v>30</v>
      </c>
      <c r="T164" s="4"/>
      <c r="U164" s="4"/>
      <c r="V164" s="4"/>
      <c r="W164" s="138" t="s">
        <v>3223</v>
      </c>
      <c r="X164" s="138"/>
      <c r="Y164" s="138"/>
      <c r="Z164" s="138"/>
      <c r="AA164" s="4" t="s">
        <v>321</v>
      </c>
      <c r="AB164" s="184" t="s">
        <v>2028</v>
      </c>
    </row>
    <row r="165" spans="1:28" hidden="1" x14ac:dyDescent="0.2">
      <c r="A165" s="175" t="str">
        <f>IF(COUNTIF(Tabla_imprenta[LOTE],Tabla_control[[#This Row],[LOTE]])=1,INDEX(Tabla_imprenta[FECHA EMISIÓN],MATCH(Tabla_control[[#This Row],[LOTE]],Tabla_imprenta[LOTE],0)),"REALIZADO")</f>
        <v>REALIZADO</v>
      </c>
      <c r="B165" s="142" t="str">
        <f>IF(COUNTIF(Tabla_imprenta[LOTE],Tabla_control[[#This Row],[LOTE]])=1,INDEX(Tabla_imprenta[CÓD. SOLICITUD],MATCH(Tabla_control[[#This Row],[LOTE]],Tabla_imprenta[LOTE],0)),"REALIZADO")</f>
        <v>REALIZADO</v>
      </c>
      <c r="C165" s="177" t="str">
        <f>IF(COUNTIF(Tabla_imprenta[LOTE],Tabla_control[[#This Row],[LOTE]])=1,INDEX(Tabla_imprenta[PRODUCTO],MATCH(Tabla_control[[#This Row],[LOTE]],Tabla_imprenta[LOTE],0)),"REALIZADO")</f>
        <v>REALIZADO</v>
      </c>
      <c r="D165" s="142" t="str">
        <f>IF(COUNTIF(Tabla_imprenta[LOTE],Tabla_control[[#This Row],[LOTE]])=1,INDEX(Tabla_imprenta[FORMA FARMACEUTICA],MATCH(Tabla_control[[#This Row],[LOTE]],Tabla_imprenta[LOTE],0)),"REALIZADO")</f>
        <v>REALIZADO</v>
      </c>
      <c r="E165" s="177" t="str">
        <f>IF(COUNTIF(Tabla_imprenta[LOTE],Tabla_control[[#This Row],[LOTE]])=1,INDEX(Tabla_imprenta[INSTITUCIÓN],MATCH(Tabla_control[[#This Row],[LOTE]],Tabla_imprenta[LOTE],0)),"REALIZADO")</f>
        <v>REALIZADO</v>
      </c>
      <c r="F165" s="180" t="s">
        <v>2213</v>
      </c>
      <c r="G16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65" s="139" t="str">
        <f>IF(COUNTIF(Tabla_imprenta[LOTE],Tabla_control[[#This Row],[LOTE]])=1,INDEX(Tabla_imprenta[stock sap],MATCH(Tabla_control[[#This Row],[LOTE]],Tabla_imprenta[LOTE],0)),"ENTREGADO")</f>
        <v>ENTREGADO</v>
      </c>
      <c r="I165" s="139" t="str">
        <f>IF(Tabla_control[[#This Row],[STOCK SAP]]&gt;Tabla_control[[#This Row],[CANTIDAD IMPRIMIR]],"cubre","no cubre")</f>
        <v>no cubre</v>
      </c>
      <c r="J165" s="7" t="str">
        <f>IF(COUNTIF(Tabla_imprenta[LOTE],Tabla_control[[#This Row],[LOTE]])=1,INDEX(Tabla_imprenta[STOCK],MATCH(Tabla_control[[#This Row],[LOTE]],Tabla_imprenta[LOTE],0)),"ENTREGADO")</f>
        <v>ENTREGADO</v>
      </c>
      <c r="K16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65" s="148" t="e">
        <f>INDEX(Tabla_imprenta[FECHA CAJA],MATCH(Tabla_control[[#This Row],[LOTE]],Tabla_imprenta[LOTE],0))</f>
        <v>#N/A</v>
      </c>
      <c r="M16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6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6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65" s="169" t="e">
        <f>ROUNDUP(Tabla_control[[#This Row],[CANTIDAD IMPRIMIR]]/Tabla_control[[#This Row],[N TJ]],0)</f>
        <v>#VALUE!</v>
      </c>
      <c r="Q165" s="169" t="e">
        <f>IF(Tabla_control[[#This Row],[CANTIDAD TIRAJE]]&gt;10000,Tabla_control[[#This Row],[CANTIDAD TIRAJE]],Tabla_control[[#This Row],[CANTIDAD TIRAJE]]*2)</f>
        <v>#VALUE!</v>
      </c>
      <c r="R165" s="4" t="s">
        <v>173</v>
      </c>
      <c r="S165" s="4" t="s">
        <v>174</v>
      </c>
      <c r="T165" s="4"/>
      <c r="U165" s="4"/>
      <c r="V165" s="4"/>
      <c r="W165" s="138" t="s">
        <v>3223</v>
      </c>
      <c r="X165" s="138"/>
      <c r="Y165" s="138"/>
      <c r="Z165" s="138"/>
      <c r="AA165" s="4" t="s">
        <v>2314</v>
      </c>
      <c r="AB165" s="184" t="s">
        <v>2028</v>
      </c>
    </row>
    <row r="166" spans="1:28" hidden="1" x14ac:dyDescent="0.2">
      <c r="A166" s="175" t="str">
        <f>IF(COUNTIF(Tabla_imprenta[LOTE],Tabla_control[[#This Row],[LOTE]])=1,INDEX(Tabla_imprenta[FECHA EMISIÓN],MATCH(Tabla_control[[#This Row],[LOTE]],Tabla_imprenta[LOTE],0)),"REALIZADO")</f>
        <v>REALIZADO</v>
      </c>
      <c r="B166" s="142" t="str">
        <f>IF(COUNTIF(Tabla_imprenta[LOTE],Tabla_control[[#This Row],[LOTE]])=1,INDEX(Tabla_imprenta[CÓD. SOLICITUD],MATCH(Tabla_control[[#This Row],[LOTE]],Tabla_imprenta[LOTE],0)),"REALIZADO")</f>
        <v>REALIZADO</v>
      </c>
      <c r="C166" s="177" t="str">
        <f>IF(COUNTIF(Tabla_imprenta[LOTE],Tabla_control[[#This Row],[LOTE]])=1,INDEX(Tabla_imprenta[PRODUCTO],MATCH(Tabla_control[[#This Row],[LOTE]],Tabla_imprenta[LOTE],0)),"REALIZADO")</f>
        <v>REALIZADO</v>
      </c>
      <c r="D166" s="142" t="str">
        <f>IF(COUNTIF(Tabla_imprenta[LOTE],Tabla_control[[#This Row],[LOTE]])=1,INDEX(Tabla_imprenta[FORMA FARMACEUTICA],MATCH(Tabla_control[[#This Row],[LOTE]],Tabla_imprenta[LOTE],0)),"REALIZADO")</f>
        <v>REALIZADO</v>
      </c>
      <c r="E166" s="177" t="str">
        <f>IF(COUNTIF(Tabla_imprenta[LOTE],Tabla_control[[#This Row],[LOTE]])=1,INDEX(Tabla_imprenta[INSTITUCIÓN],MATCH(Tabla_control[[#This Row],[LOTE]],Tabla_imprenta[LOTE],0)),"REALIZADO")</f>
        <v>REALIZADO</v>
      </c>
      <c r="F166" s="180" t="s">
        <v>2214</v>
      </c>
      <c r="G16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66" s="139" t="str">
        <f>IF(COUNTIF(Tabla_imprenta[LOTE],Tabla_control[[#This Row],[LOTE]])=1,INDEX(Tabla_imprenta[stock sap],MATCH(Tabla_control[[#This Row],[LOTE]],Tabla_imprenta[LOTE],0)),"ENTREGADO")</f>
        <v>ENTREGADO</v>
      </c>
      <c r="I166" s="139" t="str">
        <f>IF(Tabla_control[[#This Row],[STOCK SAP]]&gt;Tabla_control[[#This Row],[CANTIDAD IMPRIMIR]],"cubre","no cubre")</f>
        <v>no cubre</v>
      </c>
      <c r="J166" s="7" t="str">
        <f>IF(COUNTIF(Tabla_imprenta[LOTE],Tabla_control[[#This Row],[LOTE]])=1,INDEX(Tabla_imprenta[STOCK],MATCH(Tabla_control[[#This Row],[LOTE]],Tabla_imprenta[LOTE],0)),"ENTREGADO")</f>
        <v>ENTREGADO</v>
      </c>
      <c r="K16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66" s="148" t="e">
        <f>INDEX(Tabla_imprenta[FECHA CAJA],MATCH(Tabla_control[[#This Row],[LOTE]],Tabla_imprenta[LOTE],0))</f>
        <v>#N/A</v>
      </c>
      <c r="M16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6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6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66" s="169" t="e">
        <f>ROUNDUP(Tabla_control[[#This Row],[CANTIDAD IMPRIMIR]]/Tabla_control[[#This Row],[N TJ]],0)</f>
        <v>#VALUE!</v>
      </c>
      <c r="Q166" s="169" t="e">
        <f>IF(Tabla_control[[#This Row],[CANTIDAD TIRAJE]]&gt;10000,Tabla_control[[#This Row],[CANTIDAD TIRAJE]],Tabla_control[[#This Row],[CANTIDAD TIRAJE]]*2)</f>
        <v>#VALUE!</v>
      </c>
      <c r="R166" s="4" t="s">
        <v>173</v>
      </c>
      <c r="S166" s="4" t="s">
        <v>174</v>
      </c>
      <c r="T166" s="4"/>
      <c r="U166" s="4"/>
      <c r="V166" s="4"/>
      <c r="W166" s="138" t="s">
        <v>3223</v>
      </c>
      <c r="X166" s="138"/>
      <c r="Y166" s="138"/>
      <c r="Z166" s="138"/>
      <c r="AA166" s="4" t="s">
        <v>2182</v>
      </c>
      <c r="AB166" s="184" t="s">
        <v>2028</v>
      </c>
    </row>
    <row r="167" spans="1:28" hidden="1" x14ac:dyDescent="0.2">
      <c r="A167" s="175" t="str">
        <f>IF(COUNTIF(Tabla_imprenta[LOTE],Tabla_control[[#This Row],[LOTE]])=1,INDEX(Tabla_imprenta[FECHA EMISIÓN],MATCH(Tabla_control[[#This Row],[LOTE]],Tabla_imprenta[LOTE],0)),"REALIZADO")</f>
        <v>REALIZADO</v>
      </c>
      <c r="B167" s="142" t="str">
        <f>IF(COUNTIF(Tabla_imprenta[LOTE],Tabla_control[[#This Row],[LOTE]])=1,INDEX(Tabla_imprenta[CÓD. SOLICITUD],MATCH(Tabla_control[[#This Row],[LOTE]],Tabla_imprenta[LOTE],0)),"REALIZADO")</f>
        <v>REALIZADO</v>
      </c>
      <c r="C167" s="177" t="str">
        <f>IF(COUNTIF(Tabla_imprenta[LOTE],Tabla_control[[#This Row],[LOTE]])=1,INDEX(Tabla_imprenta[PRODUCTO],MATCH(Tabla_control[[#This Row],[LOTE]],Tabla_imprenta[LOTE],0)),"REALIZADO")</f>
        <v>REALIZADO</v>
      </c>
      <c r="D167" s="142" t="str">
        <f>IF(COUNTIF(Tabla_imprenta[LOTE],Tabla_control[[#This Row],[LOTE]])=1,INDEX(Tabla_imprenta[FORMA FARMACEUTICA],MATCH(Tabla_control[[#This Row],[LOTE]],Tabla_imprenta[LOTE],0)),"REALIZADO")</f>
        <v>REALIZADO</v>
      </c>
      <c r="E167" s="177" t="str">
        <f>IF(COUNTIF(Tabla_imprenta[LOTE],Tabla_control[[#This Row],[LOTE]])=1,INDEX(Tabla_imprenta[INSTITUCIÓN],MATCH(Tabla_control[[#This Row],[LOTE]],Tabla_imprenta[LOTE],0)),"REALIZADO")</f>
        <v>REALIZADO</v>
      </c>
      <c r="F167" s="180" t="s">
        <v>2141</v>
      </c>
      <c r="G16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67" s="139" t="str">
        <f>IF(COUNTIF(Tabla_imprenta[LOTE],Tabla_control[[#This Row],[LOTE]])=1,INDEX(Tabla_imprenta[stock sap],MATCH(Tabla_control[[#This Row],[LOTE]],Tabla_imprenta[LOTE],0)),"ENTREGADO")</f>
        <v>ENTREGADO</v>
      </c>
      <c r="I167" s="139" t="str">
        <f>IF(Tabla_control[[#This Row],[STOCK SAP]]&gt;Tabla_control[[#This Row],[CANTIDAD IMPRIMIR]],"cubre","no cubre")</f>
        <v>no cubre</v>
      </c>
      <c r="J167" s="7" t="str">
        <f>IF(COUNTIF(Tabla_imprenta[LOTE],Tabla_control[[#This Row],[LOTE]])=1,INDEX(Tabla_imprenta[STOCK],MATCH(Tabla_control[[#This Row],[LOTE]],Tabla_imprenta[LOTE],0)),"ENTREGADO")</f>
        <v>ENTREGADO</v>
      </c>
      <c r="K16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67" s="148" t="e">
        <f>INDEX(Tabla_imprenta[FECHA CAJA],MATCH(Tabla_control[[#This Row],[LOTE]],Tabla_imprenta[LOTE],0))</f>
        <v>#N/A</v>
      </c>
      <c r="M16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6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6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67" s="169" t="e">
        <f>ROUNDUP(Tabla_control[[#This Row],[CANTIDAD IMPRIMIR]]/Tabla_control[[#This Row],[N TJ]],0)</f>
        <v>#VALUE!</v>
      </c>
      <c r="Q167" s="169" t="e">
        <f>IF(Tabla_control[[#This Row],[CANTIDAD TIRAJE]]&gt;10000,Tabla_control[[#This Row],[CANTIDAD TIRAJE]],Tabla_control[[#This Row],[CANTIDAD TIRAJE]]*2)</f>
        <v>#VALUE!</v>
      </c>
      <c r="R167" s="4" t="s">
        <v>175</v>
      </c>
      <c r="S167" s="4" t="s">
        <v>174</v>
      </c>
      <c r="T167" s="4"/>
      <c r="U167" s="4"/>
      <c r="V167" s="4"/>
      <c r="W167" s="138" t="s">
        <v>3223</v>
      </c>
      <c r="X167" s="138"/>
      <c r="Y167" s="138"/>
      <c r="Z167" s="138"/>
      <c r="AA167" s="4" t="s">
        <v>321</v>
      </c>
      <c r="AB167" s="184" t="s">
        <v>2028</v>
      </c>
    </row>
    <row r="168" spans="1:28" hidden="1" x14ac:dyDescent="0.2">
      <c r="A168" s="175" t="str">
        <f>IF(COUNTIF(Tabla_imprenta[LOTE],Tabla_control[[#This Row],[LOTE]])=1,INDEX(Tabla_imprenta[FECHA EMISIÓN],MATCH(Tabla_control[[#This Row],[LOTE]],Tabla_imprenta[LOTE],0)),"REALIZADO")</f>
        <v>REALIZADO</v>
      </c>
      <c r="B168" s="142" t="str">
        <f>IF(COUNTIF(Tabla_imprenta[LOTE],Tabla_control[[#This Row],[LOTE]])=1,INDEX(Tabla_imprenta[CÓD. SOLICITUD],MATCH(Tabla_control[[#This Row],[LOTE]],Tabla_imprenta[LOTE],0)),"REALIZADO")</f>
        <v>REALIZADO</v>
      </c>
      <c r="C168" s="177" t="str">
        <f>IF(COUNTIF(Tabla_imprenta[LOTE],Tabla_control[[#This Row],[LOTE]])=1,INDEX(Tabla_imprenta[PRODUCTO],MATCH(Tabla_control[[#This Row],[LOTE]],Tabla_imprenta[LOTE],0)),"REALIZADO")</f>
        <v>REALIZADO</v>
      </c>
      <c r="D168" s="142" t="str">
        <f>IF(COUNTIF(Tabla_imprenta[LOTE],Tabla_control[[#This Row],[LOTE]])=1,INDEX(Tabla_imprenta[FORMA FARMACEUTICA],MATCH(Tabla_control[[#This Row],[LOTE]],Tabla_imprenta[LOTE],0)),"REALIZADO")</f>
        <v>REALIZADO</v>
      </c>
      <c r="E168" s="177" t="str">
        <f>IF(COUNTIF(Tabla_imprenta[LOTE],Tabla_control[[#This Row],[LOTE]])=1,INDEX(Tabla_imprenta[INSTITUCIÓN],MATCH(Tabla_control[[#This Row],[LOTE]],Tabla_imprenta[LOTE],0)),"REALIZADO")</f>
        <v>REALIZADO</v>
      </c>
      <c r="F168" s="180" t="s">
        <v>179</v>
      </c>
      <c r="G16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68" s="139" t="str">
        <f>IF(COUNTIF(Tabla_imprenta[LOTE],Tabla_control[[#This Row],[LOTE]])=1,INDEX(Tabla_imprenta[stock sap],MATCH(Tabla_control[[#This Row],[LOTE]],Tabla_imprenta[LOTE],0)),"ENTREGADO")</f>
        <v>ENTREGADO</v>
      </c>
      <c r="I168" s="139" t="str">
        <f>IF(Tabla_control[[#This Row],[STOCK SAP]]&gt;Tabla_control[[#This Row],[CANTIDAD IMPRIMIR]],"cubre","no cubre")</f>
        <v>no cubre</v>
      </c>
      <c r="J168" s="7" t="str">
        <f>IF(COUNTIF(Tabla_imprenta[LOTE],Tabla_control[[#This Row],[LOTE]])=1,INDEX(Tabla_imprenta[STOCK],MATCH(Tabla_control[[#This Row],[LOTE]],Tabla_imprenta[LOTE],0)),"ENTREGADO")</f>
        <v>ENTREGADO</v>
      </c>
      <c r="K16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68" s="148" t="e">
        <f>INDEX(Tabla_imprenta[FECHA CAJA],MATCH(Tabla_control[[#This Row],[LOTE]],Tabla_imprenta[LOTE],0))</f>
        <v>#N/A</v>
      </c>
      <c r="M16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6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6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68" s="169" t="e">
        <f>ROUNDUP(Tabla_control[[#This Row],[CANTIDAD IMPRIMIR]]/Tabla_control[[#This Row],[N TJ]],0)</f>
        <v>#VALUE!</v>
      </c>
      <c r="Q168" s="169" t="e">
        <f>IF(Tabla_control[[#This Row],[CANTIDAD TIRAJE]]&gt;10000,Tabla_control[[#This Row],[CANTIDAD TIRAJE]],Tabla_control[[#This Row],[CANTIDAD TIRAJE]]*2)</f>
        <v>#VALUE!</v>
      </c>
      <c r="R168" s="4" t="s">
        <v>211</v>
      </c>
      <c r="S168" s="4" t="s">
        <v>174</v>
      </c>
      <c r="T168" s="4"/>
      <c r="U168" s="4"/>
      <c r="V168" s="4"/>
      <c r="W168" s="138" t="s">
        <v>3223</v>
      </c>
      <c r="X168" s="138"/>
      <c r="Y168" s="138"/>
      <c r="Z168" s="138"/>
      <c r="AA168" s="4" t="s">
        <v>2314</v>
      </c>
      <c r="AB168" s="184" t="s">
        <v>2028</v>
      </c>
    </row>
    <row r="169" spans="1:28" hidden="1" x14ac:dyDescent="0.2">
      <c r="A169" s="175" t="str">
        <f>IF(COUNTIF(Tabla_imprenta[LOTE],Tabla_control[[#This Row],[LOTE]])=1,INDEX(Tabla_imprenta[FECHA EMISIÓN],MATCH(Tabla_control[[#This Row],[LOTE]],Tabla_imprenta[LOTE],0)),"REALIZADO")</f>
        <v>REALIZADO</v>
      </c>
      <c r="B169" s="142" t="str">
        <f>IF(COUNTIF(Tabla_imprenta[LOTE],Tabla_control[[#This Row],[LOTE]])=1,INDEX(Tabla_imprenta[CÓD. SOLICITUD],MATCH(Tabla_control[[#This Row],[LOTE]],Tabla_imprenta[LOTE],0)),"REALIZADO")</f>
        <v>REALIZADO</v>
      </c>
      <c r="C169" s="177" t="str">
        <f>IF(COUNTIF(Tabla_imprenta[LOTE],Tabla_control[[#This Row],[LOTE]])=1,INDEX(Tabla_imprenta[PRODUCTO],MATCH(Tabla_control[[#This Row],[LOTE]],Tabla_imprenta[LOTE],0)),"REALIZADO")</f>
        <v>REALIZADO</v>
      </c>
      <c r="D169" s="142" t="str">
        <f>IF(COUNTIF(Tabla_imprenta[LOTE],Tabla_control[[#This Row],[LOTE]])=1,INDEX(Tabla_imprenta[FORMA FARMACEUTICA],MATCH(Tabla_control[[#This Row],[LOTE]],Tabla_imprenta[LOTE],0)),"REALIZADO")</f>
        <v>REALIZADO</v>
      </c>
      <c r="E169" s="177" t="str">
        <f>IF(COUNTIF(Tabla_imprenta[LOTE],Tabla_control[[#This Row],[LOTE]])=1,INDEX(Tabla_imprenta[INSTITUCIÓN],MATCH(Tabla_control[[#This Row],[LOTE]],Tabla_imprenta[LOTE],0)),"REALIZADO")</f>
        <v>REALIZADO</v>
      </c>
      <c r="F169" s="180" t="s">
        <v>197</v>
      </c>
      <c r="G16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69" s="139" t="str">
        <f>IF(COUNTIF(Tabla_imprenta[LOTE],Tabla_control[[#This Row],[LOTE]])=1,INDEX(Tabla_imprenta[stock sap],MATCH(Tabla_control[[#This Row],[LOTE]],Tabla_imprenta[LOTE],0)),"ENTREGADO")</f>
        <v>ENTREGADO</v>
      </c>
      <c r="I169" s="139" t="str">
        <f>IF(Tabla_control[[#This Row],[STOCK SAP]]&gt;Tabla_control[[#This Row],[CANTIDAD IMPRIMIR]],"cubre","no cubre")</f>
        <v>no cubre</v>
      </c>
      <c r="J169" s="7" t="str">
        <f>IF(COUNTIF(Tabla_imprenta[LOTE],Tabla_control[[#This Row],[LOTE]])=1,INDEX(Tabla_imprenta[STOCK],MATCH(Tabla_control[[#This Row],[LOTE]],Tabla_imprenta[LOTE],0)),"ENTREGADO")</f>
        <v>ENTREGADO</v>
      </c>
      <c r="K16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69" s="148" t="e">
        <f>INDEX(Tabla_imprenta[FECHA CAJA],MATCH(Tabla_control[[#This Row],[LOTE]],Tabla_imprenta[LOTE],0))</f>
        <v>#N/A</v>
      </c>
      <c r="M16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6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6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69" s="169" t="e">
        <f>ROUNDUP(Tabla_control[[#This Row],[CANTIDAD IMPRIMIR]]/Tabla_control[[#This Row],[N TJ]],0)</f>
        <v>#VALUE!</v>
      </c>
      <c r="Q169" s="169" t="e">
        <f>IF(Tabla_control[[#This Row],[CANTIDAD TIRAJE]]&gt;10000,Tabla_control[[#This Row],[CANTIDAD TIRAJE]],Tabla_control[[#This Row],[CANTIDAD TIRAJE]]*2)</f>
        <v>#VALUE!</v>
      </c>
      <c r="R169" s="4" t="s">
        <v>211</v>
      </c>
      <c r="S169" s="4" t="s">
        <v>174</v>
      </c>
      <c r="T169" s="4"/>
      <c r="U169" s="4"/>
      <c r="V169" s="4"/>
      <c r="W169" s="138" t="s">
        <v>3223</v>
      </c>
      <c r="X169" s="138"/>
      <c r="Y169" s="138"/>
      <c r="Z169" s="138"/>
      <c r="AA169" s="4" t="s">
        <v>2429</v>
      </c>
      <c r="AB169" s="184" t="s">
        <v>2028</v>
      </c>
    </row>
    <row r="170" spans="1:28" hidden="1" x14ac:dyDescent="0.2">
      <c r="A170" s="175" t="str">
        <f>IF(COUNTIF(Tabla_imprenta[LOTE],Tabla_control[[#This Row],[LOTE]])=1,INDEX(Tabla_imprenta[FECHA EMISIÓN],MATCH(Tabla_control[[#This Row],[LOTE]],Tabla_imprenta[LOTE],0)),"REALIZADO")</f>
        <v>REALIZADO</v>
      </c>
      <c r="B170" s="142" t="str">
        <f>IF(COUNTIF(Tabla_imprenta[LOTE],Tabla_control[[#This Row],[LOTE]])=1,INDEX(Tabla_imprenta[CÓD. SOLICITUD],MATCH(Tabla_control[[#This Row],[LOTE]],Tabla_imprenta[LOTE],0)),"REALIZADO")</f>
        <v>REALIZADO</v>
      </c>
      <c r="C170" s="177" t="str">
        <f>IF(COUNTIF(Tabla_imprenta[LOTE],Tabla_control[[#This Row],[LOTE]])=1,INDEX(Tabla_imprenta[PRODUCTO],MATCH(Tabla_control[[#This Row],[LOTE]],Tabla_imprenta[LOTE],0)),"REALIZADO")</f>
        <v>REALIZADO</v>
      </c>
      <c r="D170" s="142" t="str">
        <f>IF(COUNTIF(Tabla_imprenta[LOTE],Tabla_control[[#This Row],[LOTE]])=1,INDEX(Tabla_imprenta[FORMA FARMACEUTICA],MATCH(Tabla_control[[#This Row],[LOTE]],Tabla_imprenta[LOTE],0)),"REALIZADO")</f>
        <v>REALIZADO</v>
      </c>
      <c r="E170" s="177" t="str">
        <f>IF(COUNTIF(Tabla_imprenta[LOTE],Tabla_control[[#This Row],[LOTE]])=1,INDEX(Tabla_imprenta[INSTITUCIÓN],MATCH(Tabla_control[[#This Row],[LOTE]],Tabla_imprenta[LOTE],0)),"REALIZADO")</f>
        <v>REALIZADO</v>
      </c>
      <c r="F170" s="180" t="s">
        <v>2239</v>
      </c>
      <c r="G17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70" s="139" t="str">
        <f>IF(COUNTIF(Tabla_imprenta[LOTE],Tabla_control[[#This Row],[LOTE]])=1,INDEX(Tabla_imprenta[stock sap],MATCH(Tabla_control[[#This Row],[LOTE]],Tabla_imprenta[LOTE],0)),"ENTREGADO")</f>
        <v>ENTREGADO</v>
      </c>
      <c r="I170" s="139" t="str">
        <f>IF(Tabla_control[[#This Row],[STOCK SAP]]&gt;Tabla_control[[#This Row],[CANTIDAD IMPRIMIR]],"cubre","no cubre")</f>
        <v>no cubre</v>
      </c>
      <c r="J170" s="7" t="str">
        <f>IF(COUNTIF(Tabla_imprenta[LOTE],Tabla_control[[#This Row],[LOTE]])=1,INDEX(Tabla_imprenta[STOCK],MATCH(Tabla_control[[#This Row],[LOTE]],Tabla_imprenta[LOTE],0)),"ENTREGADO")</f>
        <v>ENTREGADO</v>
      </c>
      <c r="K17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70" s="148" t="e">
        <f>INDEX(Tabla_imprenta[FECHA CAJA],MATCH(Tabla_control[[#This Row],[LOTE]],Tabla_imprenta[LOTE],0))</f>
        <v>#N/A</v>
      </c>
      <c r="M17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7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7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70" s="169" t="e">
        <f>ROUNDUP(Tabla_control[[#This Row],[CANTIDAD IMPRIMIR]]/Tabla_control[[#This Row],[N TJ]],0)</f>
        <v>#VALUE!</v>
      </c>
      <c r="Q170" s="169" t="e">
        <f>IF(Tabla_control[[#This Row],[CANTIDAD TIRAJE]]&gt;10000,Tabla_control[[#This Row],[CANTIDAD TIRAJE]],Tabla_control[[#This Row],[CANTIDAD TIRAJE]]*2)</f>
        <v>#VALUE!</v>
      </c>
      <c r="R170" s="4" t="s">
        <v>172</v>
      </c>
      <c r="S170" s="4" t="s">
        <v>30</v>
      </c>
      <c r="T170" s="4"/>
      <c r="U170" s="4"/>
      <c r="V170" s="4"/>
      <c r="W170" s="138" t="s">
        <v>3223</v>
      </c>
      <c r="X170" s="138"/>
      <c r="Y170" s="138"/>
      <c r="Z170" s="138"/>
      <c r="AA170" s="4" t="s">
        <v>2314</v>
      </c>
      <c r="AB170" s="184" t="s">
        <v>2028</v>
      </c>
    </row>
    <row r="171" spans="1:28" hidden="1" x14ac:dyDescent="0.2">
      <c r="A171" s="175" t="str">
        <f>IF(COUNTIF(Tabla_imprenta[LOTE],Tabla_control[[#This Row],[LOTE]])=1,INDEX(Tabla_imprenta[FECHA EMISIÓN],MATCH(Tabla_control[[#This Row],[LOTE]],Tabla_imprenta[LOTE],0)),"REALIZADO")</f>
        <v>REALIZADO</v>
      </c>
      <c r="B171" s="142" t="str">
        <f>IF(COUNTIF(Tabla_imprenta[LOTE],Tabla_control[[#This Row],[LOTE]])=1,INDEX(Tabla_imprenta[CÓD. SOLICITUD],MATCH(Tabla_control[[#This Row],[LOTE]],Tabla_imprenta[LOTE],0)),"REALIZADO")</f>
        <v>REALIZADO</v>
      </c>
      <c r="C171" s="177" t="str">
        <f>IF(COUNTIF(Tabla_imprenta[LOTE],Tabla_control[[#This Row],[LOTE]])=1,INDEX(Tabla_imprenta[PRODUCTO],MATCH(Tabla_control[[#This Row],[LOTE]],Tabla_imprenta[LOTE],0)),"REALIZADO")</f>
        <v>REALIZADO</v>
      </c>
      <c r="D171" s="142" t="str">
        <f>IF(COUNTIF(Tabla_imprenta[LOTE],Tabla_control[[#This Row],[LOTE]])=1,INDEX(Tabla_imprenta[FORMA FARMACEUTICA],MATCH(Tabla_control[[#This Row],[LOTE]],Tabla_imprenta[LOTE],0)),"REALIZADO")</f>
        <v>REALIZADO</v>
      </c>
      <c r="E171" s="177" t="str">
        <f>IF(COUNTIF(Tabla_imprenta[LOTE],Tabla_control[[#This Row],[LOTE]])=1,INDEX(Tabla_imprenta[INSTITUCIÓN],MATCH(Tabla_control[[#This Row],[LOTE]],Tabla_imprenta[LOTE],0)),"REALIZADO")</f>
        <v>REALIZADO</v>
      </c>
      <c r="F171" s="180" t="s">
        <v>2189</v>
      </c>
      <c r="G17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71" s="139" t="str">
        <f>IF(COUNTIF(Tabla_imprenta[LOTE],Tabla_control[[#This Row],[LOTE]])=1,INDEX(Tabla_imprenta[stock sap],MATCH(Tabla_control[[#This Row],[LOTE]],Tabla_imprenta[LOTE],0)),"ENTREGADO")</f>
        <v>ENTREGADO</v>
      </c>
      <c r="I171" s="139" t="str">
        <f>IF(Tabla_control[[#This Row],[STOCK SAP]]&gt;Tabla_control[[#This Row],[CANTIDAD IMPRIMIR]],"cubre","no cubre")</f>
        <v>no cubre</v>
      </c>
      <c r="J171" s="7" t="str">
        <f>IF(COUNTIF(Tabla_imprenta[LOTE],Tabla_control[[#This Row],[LOTE]])=1,INDEX(Tabla_imprenta[STOCK],MATCH(Tabla_control[[#This Row],[LOTE]],Tabla_imprenta[LOTE],0)),"ENTREGADO")</f>
        <v>ENTREGADO</v>
      </c>
      <c r="K17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71" s="148" t="e">
        <f>INDEX(Tabla_imprenta[FECHA CAJA],MATCH(Tabla_control[[#This Row],[LOTE]],Tabla_imprenta[LOTE],0))</f>
        <v>#N/A</v>
      </c>
      <c r="M17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7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7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71" s="169" t="e">
        <f>ROUNDUP(Tabla_control[[#This Row],[CANTIDAD IMPRIMIR]]/Tabla_control[[#This Row],[N TJ]],0)</f>
        <v>#VALUE!</v>
      </c>
      <c r="Q171" s="169" t="e">
        <f>IF(Tabla_control[[#This Row],[CANTIDAD TIRAJE]]&gt;10000,Tabla_control[[#This Row],[CANTIDAD TIRAJE]],Tabla_control[[#This Row],[CANTIDAD TIRAJE]]*2)</f>
        <v>#VALUE!</v>
      </c>
      <c r="R171" s="4" t="s">
        <v>173</v>
      </c>
      <c r="S171" s="4" t="s">
        <v>174</v>
      </c>
      <c r="T171" s="4"/>
      <c r="U171" s="4"/>
      <c r="V171" s="4"/>
      <c r="W171" s="138" t="s">
        <v>3223</v>
      </c>
      <c r="X171" s="138"/>
      <c r="Y171" s="138"/>
      <c r="Z171" s="138"/>
      <c r="AA171" s="4" t="s">
        <v>2031</v>
      </c>
      <c r="AB171" s="184" t="s">
        <v>2028</v>
      </c>
    </row>
    <row r="172" spans="1:28" hidden="1" x14ac:dyDescent="0.2">
      <c r="A172" s="175" t="str">
        <f>IF(COUNTIF(Tabla_imprenta[LOTE],Tabla_control[[#This Row],[LOTE]])=1,INDEX(Tabla_imprenta[FECHA EMISIÓN],MATCH(Tabla_control[[#This Row],[LOTE]],Tabla_imprenta[LOTE],0)),"REALIZADO")</f>
        <v>REALIZADO</v>
      </c>
      <c r="B172" s="142" t="str">
        <f>IF(COUNTIF(Tabla_imprenta[LOTE],Tabla_control[[#This Row],[LOTE]])=1,INDEX(Tabla_imprenta[CÓD. SOLICITUD],MATCH(Tabla_control[[#This Row],[LOTE]],Tabla_imprenta[LOTE],0)),"REALIZADO")</f>
        <v>REALIZADO</v>
      </c>
      <c r="C172" s="177" t="str">
        <f>IF(COUNTIF(Tabla_imprenta[LOTE],Tabla_control[[#This Row],[LOTE]])=1,INDEX(Tabla_imprenta[PRODUCTO],MATCH(Tabla_control[[#This Row],[LOTE]],Tabla_imprenta[LOTE],0)),"REALIZADO")</f>
        <v>REALIZADO</v>
      </c>
      <c r="D172" s="142" t="str">
        <f>IF(COUNTIF(Tabla_imprenta[LOTE],Tabla_control[[#This Row],[LOTE]])=1,INDEX(Tabla_imprenta[FORMA FARMACEUTICA],MATCH(Tabla_control[[#This Row],[LOTE]],Tabla_imprenta[LOTE],0)),"REALIZADO")</f>
        <v>REALIZADO</v>
      </c>
      <c r="E172" s="177" t="str">
        <f>IF(COUNTIF(Tabla_imprenta[LOTE],Tabla_control[[#This Row],[LOTE]])=1,INDEX(Tabla_imprenta[INSTITUCIÓN],MATCH(Tabla_control[[#This Row],[LOTE]],Tabla_imprenta[LOTE],0)),"REALIZADO")</f>
        <v>REALIZADO</v>
      </c>
      <c r="F172" s="180" t="s">
        <v>2210</v>
      </c>
      <c r="G17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72" s="139" t="str">
        <f>IF(COUNTIF(Tabla_imprenta[LOTE],Tabla_control[[#This Row],[LOTE]])=1,INDEX(Tabla_imprenta[stock sap],MATCH(Tabla_control[[#This Row],[LOTE]],Tabla_imprenta[LOTE],0)),"ENTREGADO")</f>
        <v>ENTREGADO</v>
      </c>
      <c r="I172" s="139" t="str">
        <f>IF(Tabla_control[[#This Row],[STOCK SAP]]&gt;Tabla_control[[#This Row],[CANTIDAD IMPRIMIR]],"cubre","no cubre")</f>
        <v>no cubre</v>
      </c>
      <c r="J172" s="7" t="str">
        <f>IF(COUNTIF(Tabla_imprenta[LOTE],Tabla_control[[#This Row],[LOTE]])=1,INDEX(Tabla_imprenta[STOCK],MATCH(Tabla_control[[#This Row],[LOTE]],Tabla_imprenta[LOTE],0)),"ENTREGADO")</f>
        <v>ENTREGADO</v>
      </c>
      <c r="K17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72" s="148" t="e">
        <f>INDEX(Tabla_imprenta[FECHA CAJA],MATCH(Tabla_control[[#This Row],[LOTE]],Tabla_imprenta[LOTE],0))</f>
        <v>#N/A</v>
      </c>
      <c r="M17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7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7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72" s="169" t="e">
        <f>ROUNDUP(Tabla_control[[#This Row],[CANTIDAD IMPRIMIR]]/Tabla_control[[#This Row],[N TJ]],0)</f>
        <v>#VALUE!</v>
      </c>
      <c r="Q172" s="169" t="e">
        <f>IF(Tabla_control[[#This Row],[CANTIDAD TIRAJE]]&gt;10000,Tabla_control[[#This Row],[CANTIDAD TIRAJE]],Tabla_control[[#This Row],[CANTIDAD TIRAJE]]*2)</f>
        <v>#VALUE!</v>
      </c>
      <c r="R172" s="4" t="s">
        <v>177</v>
      </c>
      <c r="S172" s="4" t="s">
        <v>31</v>
      </c>
      <c r="T172" s="4"/>
      <c r="U172" s="4"/>
      <c r="V172" s="4"/>
      <c r="W172" s="138" t="s">
        <v>3223</v>
      </c>
      <c r="X172" s="138"/>
      <c r="Y172" s="138"/>
      <c r="Z172" s="138"/>
      <c r="AA172" s="4" t="s">
        <v>2031</v>
      </c>
      <c r="AB172" s="184" t="s">
        <v>2028</v>
      </c>
    </row>
    <row r="173" spans="1:28" hidden="1" x14ac:dyDescent="0.2">
      <c r="A173" s="175" t="str">
        <f>IF(COUNTIF(Tabla_imprenta[LOTE],Tabla_control[[#This Row],[LOTE]])=1,INDEX(Tabla_imprenta[FECHA EMISIÓN],MATCH(Tabla_control[[#This Row],[LOTE]],Tabla_imprenta[LOTE],0)),"REALIZADO")</f>
        <v>REALIZADO</v>
      </c>
      <c r="B173" s="142" t="str">
        <f>IF(COUNTIF(Tabla_imprenta[LOTE],Tabla_control[[#This Row],[LOTE]])=1,INDEX(Tabla_imprenta[CÓD. SOLICITUD],MATCH(Tabla_control[[#This Row],[LOTE]],Tabla_imprenta[LOTE],0)),"REALIZADO")</f>
        <v>REALIZADO</v>
      </c>
      <c r="C173" s="177" t="str">
        <f>IF(COUNTIF(Tabla_imprenta[LOTE],Tabla_control[[#This Row],[LOTE]])=1,INDEX(Tabla_imprenta[PRODUCTO],MATCH(Tabla_control[[#This Row],[LOTE]],Tabla_imprenta[LOTE],0)),"REALIZADO")</f>
        <v>REALIZADO</v>
      </c>
      <c r="D173" s="142" t="str">
        <f>IF(COUNTIF(Tabla_imprenta[LOTE],Tabla_control[[#This Row],[LOTE]])=1,INDEX(Tabla_imprenta[FORMA FARMACEUTICA],MATCH(Tabla_control[[#This Row],[LOTE]],Tabla_imprenta[LOTE],0)),"REALIZADO")</f>
        <v>REALIZADO</v>
      </c>
      <c r="E173" s="177" t="str">
        <f>IF(COUNTIF(Tabla_imprenta[LOTE],Tabla_control[[#This Row],[LOTE]])=1,INDEX(Tabla_imprenta[INSTITUCIÓN],MATCH(Tabla_control[[#This Row],[LOTE]],Tabla_imprenta[LOTE],0)),"REALIZADO")</f>
        <v>REALIZADO</v>
      </c>
      <c r="F173" s="180" t="s">
        <v>2437</v>
      </c>
      <c r="G17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73" s="139" t="str">
        <f>IF(COUNTIF(Tabla_imprenta[LOTE],Tabla_control[[#This Row],[LOTE]])=1,INDEX(Tabla_imprenta[stock sap],MATCH(Tabla_control[[#This Row],[LOTE]],Tabla_imprenta[LOTE],0)),"ENTREGADO")</f>
        <v>ENTREGADO</v>
      </c>
      <c r="I173" s="139" t="str">
        <f>IF(Tabla_control[[#This Row],[STOCK SAP]]&gt;Tabla_control[[#This Row],[CANTIDAD IMPRIMIR]],"cubre","no cubre")</f>
        <v>no cubre</v>
      </c>
      <c r="J173" s="7" t="str">
        <f>IF(COUNTIF(Tabla_imprenta[LOTE],Tabla_control[[#This Row],[LOTE]])=1,INDEX(Tabla_imprenta[STOCK],MATCH(Tabla_control[[#This Row],[LOTE]],Tabla_imprenta[LOTE],0)),"ENTREGADO")</f>
        <v>ENTREGADO</v>
      </c>
      <c r="K17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73" s="148" t="e">
        <f>INDEX(Tabla_imprenta[FECHA CAJA],MATCH(Tabla_control[[#This Row],[LOTE]],Tabla_imprenta[LOTE],0))</f>
        <v>#N/A</v>
      </c>
      <c r="M17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7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7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73" s="169" t="e">
        <f>ROUNDUP(Tabla_control[[#This Row],[CANTIDAD IMPRIMIR]]/Tabla_control[[#This Row],[N TJ]],0)</f>
        <v>#VALUE!</v>
      </c>
      <c r="Q173" s="169" t="e">
        <f>IF(Tabla_control[[#This Row],[CANTIDAD TIRAJE]]&gt;10000,Tabla_control[[#This Row],[CANTIDAD TIRAJE]],Tabla_control[[#This Row],[CANTIDAD TIRAJE]]*2)</f>
        <v>#VALUE!</v>
      </c>
      <c r="R173" s="4" t="s">
        <v>173</v>
      </c>
      <c r="S173" s="4" t="s">
        <v>174</v>
      </c>
      <c r="T173" s="4"/>
      <c r="U173" s="4"/>
      <c r="V173" s="4"/>
      <c r="W173" s="138" t="s">
        <v>3223</v>
      </c>
      <c r="X173" s="138"/>
      <c r="Y173" s="138"/>
      <c r="Z173" s="138"/>
      <c r="AA173" s="4" t="s">
        <v>2031</v>
      </c>
      <c r="AB173" s="184" t="s">
        <v>2028</v>
      </c>
    </row>
    <row r="174" spans="1:28" hidden="1" x14ac:dyDescent="0.2">
      <c r="A174" s="175" t="str">
        <f>IF(COUNTIF(Tabla_imprenta[LOTE],Tabla_control[[#This Row],[LOTE]])=1,INDEX(Tabla_imprenta[FECHA EMISIÓN],MATCH(Tabla_control[[#This Row],[LOTE]],Tabla_imprenta[LOTE],0)),"REALIZADO")</f>
        <v>REALIZADO</v>
      </c>
      <c r="B174" s="142" t="str">
        <f>IF(COUNTIF(Tabla_imprenta[LOTE],Tabla_control[[#This Row],[LOTE]])=1,INDEX(Tabla_imprenta[CÓD. SOLICITUD],MATCH(Tabla_control[[#This Row],[LOTE]],Tabla_imprenta[LOTE],0)),"REALIZADO")</f>
        <v>REALIZADO</v>
      </c>
      <c r="C174" s="177" t="str">
        <f>IF(COUNTIF(Tabla_imprenta[LOTE],Tabla_control[[#This Row],[LOTE]])=1,INDEX(Tabla_imprenta[PRODUCTO],MATCH(Tabla_control[[#This Row],[LOTE]],Tabla_imprenta[LOTE],0)),"REALIZADO")</f>
        <v>REALIZADO</v>
      </c>
      <c r="D174" s="142" t="str">
        <f>IF(COUNTIF(Tabla_imprenta[LOTE],Tabla_control[[#This Row],[LOTE]])=1,INDEX(Tabla_imprenta[FORMA FARMACEUTICA],MATCH(Tabla_control[[#This Row],[LOTE]],Tabla_imprenta[LOTE],0)),"REALIZADO")</f>
        <v>REALIZADO</v>
      </c>
      <c r="E174" s="177" t="str">
        <f>IF(COUNTIF(Tabla_imprenta[LOTE],Tabla_control[[#This Row],[LOTE]])=1,INDEX(Tabla_imprenta[INSTITUCIÓN],MATCH(Tabla_control[[#This Row],[LOTE]],Tabla_imprenta[LOTE],0)),"REALIZADO")</f>
        <v>REALIZADO</v>
      </c>
      <c r="F174" s="180" t="s">
        <v>2436</v>
      </c>
      <c r="G17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74" s="139" t="str">
        <f>IF(COUNTIF(Tabla_imprenta[LOTE],Tabla_control[[#This Row],[LOTE]])=1,INDEX(Tabla_imprenta[stock sap],MATCH(Tabla_control[[#This Row],[LOTE]],Tabla_imprenta[LOTE],0)),"ENTREGADO")</f>
        <v>ENTREGADO</v>
      </c>
      <c r="I174" s="139" t="str">
        <f>IF(Tabla_control[[#This Row],[STOCK SAP]]&gt;Tabla_control[[#This Row],[CANTIDAD IMPRIMIR]],"cubre","no cubre")</f>
        <v>no cubre</v>
      </c>
      <c r="J174" s="7" t="str">
        <f>IF(COUNTIF(Tabla_imprenta[LOTE],Tabla_control[[#This Row],[LOTE]])=1,INDEX(Tabla_imprenta[STOCK],MATCH(Tabla_control[[#This Row],[LOTE]],Tabla_imprenta[LOTE],0)),"ENTREGADO")</f>
        <v>ENTREGADO</v>
      </c>
      <c r="K17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74" s="148" t="e">
        <f>INDEX(Tabla_imprenta[FECHA CAJA],MATCH(Tabla_control[[#This Row],[LOTE]],Tabla_imprenta[LOTE],0))</f>
        <v>#N/A</v>
      </c>
      <c r="M17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7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7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74" s="169" t="e">
        <f>ROUNDUP(Tabla_control[[#This Row],[CANTIDAD IMPRIMIR]]/Tabla_control[[#This Row],[N TJ]],0)</f>
        <v>#VALUE!</v>
      </c>
      <c r="Q174" s="169" t="e">
        <f>IF(Tabla_control[[#This Row],[CANTIDAD TIRAJE]]&gt;10000,Tabla_control[[#This Row],[CANTIDAD TIRAJE]],Tabla_control[[#This Row],[CANTIDAD TIRAJE]]*2)</f>
        <v>#VALUE!</v>
      </c>
      <c r="R174" s="4" t="s">
        <v>172</v>
      </c>
      <c r="S174" s="4" t="s">
        <v>30</v>
      </c>
      <c r="T174" s="4"/>
      <c r="U174" s="4"/>
      <c r="V174" s="4"/>
      <c r="W174" s="138" t="s">
        <v>3223</v>
      </c>
      <c r="X174" s="138"/>
      <c r="Y174" s="138"/>
      <c r="Z174" s="138"/>
      <c r="AA174" s="4" t="s">
        <v>321</v>
      </c>
      <c r="AB174" s="184" t="s">
        <v>2028</v>
      </c>
    </row>
    <row r="175" spans="1:28" hidden="1" x14ac:dyDescent="0.2">
      <c r="A175" s="175" t="str">
        <f>IF(COUNTIF(Tabla_imprenta[LOTE],Tabla_control[[#This Row],[LOTE]])=1,INDEX(Tabla_imprenta[FECHA EMISIÓN],MATCH(Tabla_control[[#This Row],[LOTE]],Tabla_imprenta[LOTE],0)),"REALIZADO")</f>
        <v>REALIZADO</v>
      </c>
      <c r="B175" s="142" t="str">
        <f>IF(COUNTIF(Tabla_imprenta[LOTE],Tabla_control[[#This Row],[LOTE]])=1,INDEX(Tabla_imprenta[CÓD. SOLICITUD],MATCH(Tabla_control[[#This Row],[LOTE]],Tabla_imprenta[LOTE],0)),"REALIZADO")</f>
        <v>REALIZADO</v>
      </c>
      <c r="C175" s="177" t="str">
        <f>IF(COUNTIF(Tabla_imprenta[LOTE],Tabla_control[[#This Row],[LOTE]])=1,INDEX(Tabla_imprenta[PRODUCTO],MATCH(Tabla_control[[#This Row],[LOTE]],Tabla_imprenta[LOTE],0)),"REALIZADO")</f>
        <v>REALIZADO</v>
      </c>
      <c r="D175" s="142" t="str">
        <f>IF(COUNTIF(Tabla_imprenta[LOTE],Tabla_control[[#This Row],[LOTE]])=1,INDEX(Tabla_imprenta[FORMA FARMACEUTICA],MATCH(Tabla_control[[#This Row],[LOTE]],Tabla_imprenta[LOTE],0)),"REALIZADO")</f>
        <v>REALIZADO</v>
      </c>
      <c r="E175" s="177" t="str">
        <f>IF(COUNTIF(Tabla_imprenta[LOTE],Tabla_control[[#This Row],[LOTE]])=1,INDEX(Tabla_imprenta[INSTITUCIÓN],MATCH(Tabla_control[[#This Row],[LOTE]],Tabla_imprenta[LOTE],0)),"REALIZADO")</f>
        <v>REALIZADO</v>
      </c>
      <c r="F175" s="180" t="s">
        <v>2245</v>
      </c>
      <c r="G17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75" s="139" t="str">
        <f>IF(COUNTIF(Tabla_imprenta[LOTE],Tabla_control[[#This Row],[LOTE]])=1,INDEX(Tabla_imprenta[stock sap],MATCH(Tabla_control[[#This Row],[LOTE]],Tabla_imprenta[LOTE],0)),"ENTREGADO")</f>
        <v>ENTREGADO</v>
      </c>
      <c r="I175" s="139" t="str">
        <f>IF(Tabla_control[[#This Row],[STOCK SAP]]&gt;Tabla_control[[#This Row],[CANTIDAD IMPRIMIR]],"cubre","no cubre")</f>
        <v>no cubre</v>
      </c>
      <c r="J175" s="7" t="str">
        <f>IF(COUNTIF(Tabla_imprenta[LOTE],Tabla_control[[#This Row],[LOTE]])=1,INDEX(Tabla_imprenta[STOCK],MATCH(Tabla_control[[#This Row],[LOTE]],Tabla_imprenta[LOTE],0)),"ENTREGADO")</f>
        <v>ENTREGADO</v>
      </c>
      <c r="K17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75" s="148" t="e">
        <f>INDEX(Tabla_imprenta[FECHA CAJA],MATCH(Tabla_control[[#This Row],[LOTE]],Tabla_imprenta[LOTE],0))</f>
        <v>#N/A</v>
      </c>
      <c r="M17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7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7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75" s="169" t="e">
        <f>ROUNDUP(Tabla_control[[#This Row],[CANTIDAD IMPRIMIR]]/Tabla_control[[#This Row],[N TJ]],0)</f>
        <v>#VALUE!</v>
      </c>
      <c r="Q175" s="169" t="e">
        <f>IF(Tabla_control[[#This Row],[CANTIDAD TIRAJE]]&gt;10000,Tabla_control[[#This Row],[CANTIDAD TIRAJE]],Tabla_control[[#This Row],[CANTIDAD TIRAJE]]*2)</f>
        <v>#VALUE!</v>
      </c>
      <c r="R175" s="4" t="s">
        <v>173</v>
      </c>
      <c r="S175" s="4" t="s">
        <v>174</v>
      </c>
      <c r="T175" s="4"/>
      <c r="U175" s="4"/>
      <c r="V175" s="4"/>
      <c r="W175" s="138" t="s">
        <v>3223</v>
      </c>
      <c r="X175" s="138"/>
      <c r="Y175" s="138"/>
      <c r="Z175" s="138"/>
      <c r="AA175" s="4" t="s">
        <v>2314</v>
      </c>
      <c r="AB175" s="184" t="s">
        <v>2028</v>
      </c>
    </row>
    <row r="176" spans="1:28" hidden="1" x14ac:dyDescent="0.2">
      <c r="A176" s="175" t="str">
        <f>IF(COUNTIF(Tabla_imprenta[LOTE],Tabla_control[[#This Row],[LOTE]])=1,INDEX(Tabla_imprenta[FECHA EMISIÓN],MATCH(Tabla_control[[#This Row],[LOTE]],Tabla_imprenta[LOTE],0)),"REALIZADO")</f>
        <v>REALIZADO</v>
      </c>
      <c r="B176" s="142" t="str">
        <f>IF(COUNTIF(Tabla_imprenta[LOTE],Tabla_control[[#This Row],[LOTE]])=1,INDEX(Tabla_imprenta[CÓD. SOLICITUD],MATCH(Tabla_control[[#This Row],[LOTE]],Tabla_imprenta[LOTE],0)),"REALIZADO")</f>
        <v>REALIZADO</v>
      </c>
      <c r="C176" s="177" t="str">
        <f>IF(COUNTIF(Tabla_imprenta[LOTE],Tabla_control[[#This Row],[LOTE]])=1,INDEX(Tabla_imprenta[PRODUCTO],MATCH(Tabla_control[[#This Row],[LOTE]],Tabla_imprenta[LOTE],0)),"REALIZADO")</f>
        <v>REALIZADO</v>
      </c>
      <c r="D176" s="142" t="str">
        <f>IF(COUNTIF(Tabla_imprenta[LOTE],Tabla_control[[#This Row],[LOTE]])=1,INDEX(Tabla_imprenta[FORMA FARMACEUTICA],MATCH(Tabla_control[[#This Row],[LOTE]],Tabla_imprenta[LOTE],0)),"REALIZADO")</f>
        <v>REALIZADO</v>
      </c>
      <c r="E176" s="177" t="str">
        <f>IF(COUNTIF(Tabla_imprenta[LOTE],Tabla_control[[#This Row],[LOTE]])=1,INDEX(Tabla_imprenta[INSTITUCIÓN],MATCH(Tabla_control[[#This Row],[LOTE]],Tabla_imprenta[LOTE],0)),"REALIZADO")</f>
        <v>REALIZADO</v>
      </c>
      <c r="F176" s="180" t="s">
        <v>2433</v>
      </c>
      <c r="G17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76" s="139" t="str">
        <f>IF(COUNTIF(Tabla_imprenta[LOTE],Tabla_control[[#This Row],[LOTE]])=1,INDEX(Tabla_imprenta[stock sap],MATCH(Tabla_control[[#This Row],[LOTE]],Tabla_imprenta[LOTE],0)),"ENTREGADO")</f>
        <v>ENTREGADO</v>
      </c>
      <c r="I176" s="139" t="str">
        <f>IF(Tabla_control[[#This Row],[STOCK SAP]]&gt;Tabla_control[[#This Row],[CANTIDAD IMPRIMIR]],"cubre","no cubre")</f>
        <v>no cubre</v>
      </c>
      <c r="J176" s="7" t="str">
        <f>IF(COUNTIF(Tabla_imprenta[LOTE],Tabla_control[[#This Row],[LOTE]])=1,INDEX(Tabla_imprenta[STOCK],MATCH(Tabla_control[[#This Row],[LOTE]],Tabla_imprenta[LOTE],0)),"ENTREGADO")</f>
        <v>ENTREGADO</v>
      </c>
      <c r="K17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76" s="148" t="e">
        <f>INDEX(Tabla_imprenta[FECHA CAJA],MATCH(Tabla_control[[#This Row],[LOTE]],Tabla_imprenta[LOTE],0))</f>
        <v>#N/A</v>
      </c>
      <c r="M17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7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7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76" s="169" t="e">
        <f>ROUNDUP(Tabla_control[[#This Row],[CANTIDAD IMPRIMIR]]/Tabla_control[[#This Row],[N TJ]],0)</f>
        <v>#VALUE!</v>
      </c>
      <c r="Q176" s="169" t="e">
        <f>IF(Tabla_control[[#This Row],[CANTIDAD TIRAJE]]&gt;10000,Tabla_control[[#This Row],[CANTIDAD TIRAJE]],Tabla_control[[#This Row],[CANTIDAD TIRAJE]]*2)</f>
        <v>#VALUE!</v>
      </c>
      <c r="R176" s="4" t="s">
        <v>172</v>
      </c>
      <c r="S176" s="4" t="s">
        <v>30</v>
      </c>
      <c r="T176" s="4"/>
      <c r="U176" s="4"/>
      <c r="V176" s="4"/>
      <c r="W176" s="138" t="s">
        <v>3223</v>
      </c>
      <c r="X176" s="138"/>
      <c r="Y176" s="138"/>
      <c r="Z176" s="138"/>
      <c r="AA176" s="4" t="s">
        <v>321</v>
      </c>
      <c r="AB176" s="184" t="s">
        <v>2028</v>
      </c>
    </row>
    <row r="177" spans="1:28" hidden="1" x14ac:dyDescent="0.2">
      <c r="A177" s="175" t="str">
        <f>IF(COUNTIF(Tabla_imprenta[LOTE],Tabla_control[[#This Row],[LOTE]])=1,INDEX(Tabla_imprenta[FECHA EMISIÓN],MATCH(Tabla_control[[#This Row],[LOTE]],Tabla_imprenta[LOTE],0)),"REALIZADO")</f>
        <v>REALIZADO</v>
      </c>
      <c r="B177" s="142" t="str">
        <f>IF(COUNTIF(Tabla_imprenta[LOTE],Tabla_control[[#This Row],[LOTE]])=1,INDEX(Tabla_imprenta[CÓD. SOLICITUD],MATCH(Tabla_control[[#This Row],[LOTE]],Tabla_imprenta[LOTE],0)),"REALIZADO")</f>
        <v>REALIZADO</v>
      </c>
      <c r="C177" s="177" t="str">
        <f>IF(COUNTIF(Tabla_imprenta[LOTE],Tabla_control[[#This Row],[LOTE]])=1,INDEX(Tabla_imprenta[PRODUCTO],MATCH(Tabla_control[[#This Row],[LOTE]],Tabla_imprenta[LOTE],0)),"REALIZADO")</f>
        <v>REALIZADO</v>
      </c>
      <c r="D177" s="142" t="str">
        <f>IF(COUNTIF(Tabla_imprenta[LOTE],Tabla_control[[#This Row],[LOTE]])=1,INDEX(Tabla_imprenta[FORMA FARMACEUTICA],MATCH(Tabla_control[[#This Row],[LOTE]],Tabla_imprenta[LOTE],0)),"REALIZADO")</f>
        <v>REALIZADO</v>
      </c>
      <c r="E177" s="177" t="str">
        <f>IF(COUNTIF(Tabla_imprenta[LOTE],Tabla_control[[#This Row],[LOTE]])=1,INDEX(Tabla_imprenta[INSTITUCIÓN],MATCH(Tabla_control[[#This Row],[LOTE]],Tabla_imprenta[LOTE],0)),"REALIZADO")</f>
        <v>REALIZADO</v>
      </c>
      <c r="F177" s="180" t="s">
        <v>190</v>
      </c>
      <c r="G17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77" s="139" t="str">
        <f>IF(COUNTIF(Tabla_imprenta[LOTE],Tabla_control[[#This Row],[LOTE]])=1,INDEX(Tabla_imprenta[stock sap],MATCH(Tabla_control[[#This Row],[LOTE]],Tabla_imprenta[LOTE],0)),"ENTREGADO")</f>
        <v>ENTREGADO</v>
      </c>
      <c r="I177" s="139" t="str">
        <f>IF(Tabla_control[[#This Row],[STOCK SAP]]&gt;Tabla_control[[#This Row],[CANTIDAD IMPRIMIR]],"cubre","no cubre")</f>
        <v>no cubre</v>
      </c>
      <c r="J177" s="7" t="str">
        <f>IF(COUNTIF(Tabla_imprenta[LOTE],Tabla_control[[#This Row],[LOTE]])=1,INDEX(Tabla_imprenta[STOCK],MATCH(Tabla_control[[#This Row],[LOTE]],Tabla_imprenta[LOTE],0)),"ENTREGADO")</f>
        <v>ENTREGADO</v>
      </c>
      <c r="K17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77" s="148" t="e">
        <f>INDEX(Tabla_imprenta[FECHA CAJA],MATCH(Tabla_control[[#This Row],[LOTE]],Tabla_imprenta[LOTE],0))</f>
        <v>#N/A</v>
      </c>
      <c r="M17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7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7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77" s="169" t="e">
        <f>ROUNDUP(Tabla_control[[#This Row],[CANTIDAD IMPRIMIR]]/Tabla_control[[#This Row],[N TJ]],0)</f>
        <v>#VALUE!</v>
      </c>
      <c r="Q177" s="169" t="e">
        <f>IF(Tabla_control[[#This Row],[CANTIDAD TIRAJE]]&gt;10000,Tabla_control[[#This Row],[CANTIDAD TIRAJE]],Tabla_control[[#This Row],[CANTIDAD TIRAJE]]*2)</f>
        <v>#VALUE!</v>
      </c>
      <c r="R177" s="4" t="s">
        <v>211</v>
      </c>
      <c r="S177" s="4" t="s">
        <v>174</v>
      </c>
      <c r="T177" s="4"/>
      <c r="U177" s="4"/>
      <c r="V177" s="4"/>
      <c r="W177" s="138" t="s">
        <v>3223</v>
      </c>
      <c r="X177" s="138"/>
      <c r="Y177" s="138"/>
      <c r="Z177" s="138"/>
      <c r="AA177" s="4" t="s">
        <v>2314</v>
      </c>
      <c r="AB177" s="184" t="s">
        <v>2028</v>
      </c>
    </row>
    <row r="178" spans="1:28" hidden="1" x14ac:dyDescent="0.2">
      <c r="A178" s="175" t="str">
        <f>IF(COUNTIF(Tabla_imprenta[LOTE],Tabla_control[[#This Row],[LOTE]])=1,INDEX(Tabla_imprenta[FECHA EMISIÓN],MATCH(Tabla_control[[#This Row],[LOTE]],Tabla_imprenta[LOTE],0)),"REALIZADO")</f>
        <v>REALIZADO</v>
      </c>
      <c r="B178" s="142" t="str">
        <f>IF(COUNTIF(Tabla_imprenta[LOTE],Tabla_control[[#This Row],[LOTE]])=1,INDEX(Tabla_imprenta[CÓD. SOLICITUD],MATCH(Tabla_control[[#This Row],[LOTE]],Tabla_imprenta[LOTE],0)),"REALIZADO")</f>
        <v>REALIZADO</v>
      </c>
      <c r="C178" s="177" t="str">
        <f>IF(COUNTIF(Tabla_imprenta[LOTE],Tabla_control[[#This Row],[LOTE]])=1,INDEX(Tabla_imprenta[PRODUCTO],MATCH(Tabla_control[[#This Row],[LOTE]],Tabla_imprenta[LOTE],0)),"REALIZADO")</f>
        <v>REALIZADO</v>
      </c>
      <c r="D178" s="142" t="str">
        <f>IF(COUNTIF(Tabla_imprenta[LOTE],Tabla_control[[#This Row],[LOTE]])=1,INDEX(Tabla_imprenta[FORMA FARMACEUTICA],MATCH(Tabla_control[[#This Row],[LOTE]],Tabla_imprenta[LOTE],0)),"REALIZADO")</f>
        <v>REALIZADO</v>
      </c>
      <c r="E178" s="177" t="str">
        <f>IF(COUNTIF(Tabla_imprenta[LOTE],Tabla_control[[#This Row],[LOTE]])=1,INDEX(Tabla_imprenta[INSTITUCIÓN],MATCH(Tabla_control[[#This Row],[LOTE]],Tabla_imprenta[LOTE],0)),"REALIZADO")</f>
        <v>REALIZADO</v>
      </c>
      <c r="F178" s="180" t="s">
        <v>191</v>
      </c>
      <c r="G17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78" s="139" t="str">
        <f>IF(COUNTIF(Tabla_imprenta[LOTE],Tabla_control[[#This Row],[LOTE]])=1,INDEX(Tabla_imprenta[stock sap],MATCH(Tabla_control[[#This Row],[LOTE]],Tabla_imprenta[LOTE],0)),"ENTREGADO")</f>
        <v>ENTREGADO</v>
      </c>
      <c r="I178" s="139" t="str">
        <f>IF(Tabla_control[[#This Row],[STOCK SAP]]&gt;Tabla_control[[#This Row],[CANTIDAD IMPRIMIR]],"cubre","no cubre")</f>
        <v>no cubre</v>
      </c>
      <c r="J178" s="7" t="str">
        <f>IF(COUNTIF(Tabla_imprenta[LOTE],Tabla_control[[#This Row],[LOTE]])=1,INDEX(Tabla_imprenta[STOCK],MATCH(Tabla_control[[#This Row],[LOTE]],Tabla_imprenta[LOTE],0)),"ENTREGADO")</f>
        <v>ENTREGADO</v>
      </c>
      <c r="K17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78" s="148" t="e">
        <f>INDEX(Tabla_imprenta[FECHA CAJA],MATCH(Tabla_control[[#This Row],[LOTE]],Tabla_imprenta[LOTE],0))</f>
        <v>#N/A</v>
      </c>
      <c r="M17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7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7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78" s="169" t="e">
        <f>ROUNDUP(Tabla_control[[#This Row],[CANTIDAD IMPRIMIR]]/Tabla_control[[#This Row],[N TJ]],0)</f>
        <v>#VALUE!</v>
      </c>
      <c r="Q178" s="169" t="e">
        <f>IF(Tabla_control[[#This Row],[CANTIDAD TIRAJE]]&gt;10000,Tabla_control[[#This Row],[CANTIDAD TIRAJE]],Tabla_control[[#This Row],[CANTIDAD TIRAJE]]*2)</f>
        <v>#VALUE!</v>
      </c>
      <c r="R178" s="4" t="s">
        <v>211</v>
      </c>
      <c r="S178" s="4" t="s">
        <v>174</v>
      </c>
      <c r="T178" s="4"/>
      <c r="U178" s="4"/>
      <c r="V178" s="4"/>
      <c r="W178" s="138" t="s">
        <v>3223</v>
      </c>
      <c r="X178" s="138"/>
      <c r="Y178" s="138"/>
      <c r="Z178" s="138"/>
      <c r="AA178" s="4" t="s">
        <v>2314</v>
      </c>
      <c r="AB178" s="184" t="s">
        <v>2028</v>
      </c>
    </row>
    <row r="179" spans="1:28" hidden="1" x14ac:dyDescent="0.2">
      <c r="A179" s="175" t="str">
        <f>IF(COUNTIF(Tabla_imprenta[LOTE],Tabla_control[[#This Row],[LOTE]])=1,INDEX(Tabla_imprenta[FECHA EMISIÓN],MATCH(Tabla_control[[#This Row],[LOTE]],Tabla_imprenta[LOTE],0)),"REALIZADO")</f>
        <v>REALIZADO</v>
      </c>
      <c r="B179" s="142" t="str">
        <f>IF(COUNTIF(Tabla_imprenta[LOTE],Tabla_control[[#This Row],[LOTE]])=1,INDEX(Tabla_imprenta[CÓD. SOLICITUD],MATCH(Tabla_control[[#This Row],[LOTE]],Tabla_imprenta[LOTE],0)),"REALIZADO")</f>
        <v>REALIZADO</v>
      </c>
      <c r="C179" s="177" t="str">
        <f>IF(COUNTIF(Tabla_imprenta[LOTE],Tabla_control[[#This Row],[LOTE]])=1,INDEX(Tabla_imprenta[PRODUCTO],MATCH(Tabla_control[[#This Row],[LOTE]],Tabla_imprenta[LOTE],0)),"REALIZADO")</f>
        <v>REALIZADO</v>
      </c>
      <c r="D179" s="142" t="str">
        <f>IF(COUNTIF(Tabla_imprenta[LOTE],Tabla_control[[#This Row],[LOTE]])=1,INDEX(Tabla_imprenta[FORMA FARMACEUTICA],MATCH(Tabla_control[[#This Row],[LOTE]],Tabla_imprenta[LOTE],0)),"REALIZADO")</f>
        <v>REALIZADO</v>
      </c>
      <c r="E179" s="177" t="str">
        <f>IF(COUNTIF(Tabla_imprenta[LOTE],Tabla_control[[#This Row],[LOTE]])=1,INDEX(Tabla_imprenta[INSTITUCIÓN],MATCH(Tabla_control[[#This Row],[LOTE]],Tabla_imprenta[LOTE],0)),"REALIZADO")</f>
        <v>REALIZADO</v>
      </c>
      <c r="F179" s="180" t="s">
        <v>2150</v>
      </c>
      <c r="G17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79" s="139" t="str">
        <f>IF(COUNTIF(Tabla_imprenta[LOTE],Tabla_control[[#This Row],[LOTE]])=1,INDEX(Tabla_imprenta[stock sap],MATCH(Tabla_control[[#This Row],[LOTE]],Tabla_imprenta[LOTE],0)),"ENTREGADO")</f>
        <v>ENTREGADO</v>
      </c>
      <c r="I179" s="139" t="str">
        <f>IF(Tabla_control[[#This Row],[STOCK SAP]]&gt;Tabla_control[[#This Row],[CANTIDAD IMPRIMIR]],"cubre","no cubre")</f>
        <v>no cubre</v>
      </c>
      <c r="J179" s="7" t="str">
        <f>IF(COUNTIF(Tabla_imprenta[LOTE],Tabla_control[[#This Row],[LOTE]])=1,INDEX(Tabla_imprenta[STOCK],MATCH(Tabla_control[[#This Row],[LOTE]],Tabla_imprenta[LOTE],0)),"ENTREGADO")</f>
        <v>ENTREGADO</v>
      </c>
      <c r="K17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79" s="148" t="e">
        <f>INDEX(Tabla_imprenta[FECHA CAJA],MATCH(Tabla_control[[#This Row],[LOTE]],Tabla_imprenta[LOTE],0))</f>
        <v>#N/A</v>
      </c>
      <c r="M17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7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7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79" s="169" t="e">
        <f>ROUNDUP(Tabla_control[[#This Row],[CANTIDAD IMPRIMIR]]/Tabla_control[[#This Row],[N TJ]],0)</f>
        <v>#VALUE!</v>
      </c>
      <c r="Q179" s="169" t="e">
        <f>IF(Tabla_control[[#This Row],[CANTIDAD TIRAJE]]&gt;10000,Tabla_control[[#This Row],[CANTIDAD TIRAJE]],Tabla_control[[#This Row],[CANTIDAD TIRAJE]]*2)</f>
        <v>#VALUE!</v>
      </c>
      <c r="R179" s="4" t="s">
        <v>175</v>
      </c>
      <c r="S179" s="4" t="s">
        <v>174</v>
      </c>
      <c r="T179" s="4"/>
      <c r="U179" s="4"/>
      <c r="V179" s="4"/>
      <c r="W179" s="138" t="s">
        <v>3223</v>
      </c>
      <c r="X179" s="138"/>
      <c r="Y179" s="138"/>
      <c r="Z179" s="138"/>
      <c r="AA179" s="4" t="s">
        <v>2031</v>
      </c>
      <c r="AB179" s="184" t="s">
        <v>2028</v>
      </c>
    </row>
    <row r="180" spans="1:28" hidden="1" x14ac:dyDescent="0.2">
      <c r="A180" s="175" t="str">
        <f>IF(COUNTIF(Tabla_imprenta[LOTE],Tabla_control[[#This Row],[LOTE]])=1,INDEX(Tabla_imprenta[FECHA EMISIÓN],MATCH(Tabla_control[[#This Row],[LOTE]],Tabla_imprenta[LOTE],0)),"REALIZADO")</f>
        <v>REALIZADO</v>
      </c>
      <c r="B180" s="142" t="str">
        <f>IF(COUNTIF(Tabla_imprenta[LOTE],Tabla_control[[#This Row],[LOTE]])=1,INDEX(Tabla_imprenta[CÓD. SOLICITUD],MATCH(Tabla_control[[#This Row],[LOTE]],Tabla_imprenta[LOTE],0)),"REALIZADO")</f>
        <v>REALIZADO</v>
      </c>
      <c r="C180" s="177" t="str">
        <f>IF(COUNTIF(Tabla_imprenta[LOTE],Tabla_control[[#This Row],[LOTE]])=1,INDEX(Tabla_imprenta[PRODUCTO],MATCH(Tabla_control[[#This Row],[LOTE]],Tabla_imprenta[LOTE],0)),"REALIZADO")</f>
        <v>REALIZADO</v>
      </c>
      <c r="D180" s="142" t="str">
        <f>IF(COUNTIF(Tabla_imprenta[LOTE],Tabla_control[[#This Row],[LOTE]])=1,INDEX(Tabla_imprenta[FORMA FARMACEUTICA],MATCH(Tabla_control[[#This Row],[LOTE]],Tabla_imprenta[LOTE],0)),"REALIZADO")</f>
        <v>REALIZADO</v>
      </c>
      <c r="E180" s="177" t="str">
        <f>IF(COUNTIF(Tabla_imprenta[LOTE],Tabla_control[[#This Row],[LOTE]])=1,INDEX(Tabla_imprenta[INSTITUCIÓN],MATCH(Tabla_control[[#This Row],[LOTE]],Tabla_imprenta[LOTE],0)),"REALIZADO")</f>
        <v>REALIZADO</v>
      </c>
      <c r="F180" s="180" t="s">
        <v>2219</v>
      </c>
      <c r="G18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80" s="139" t="str">
        <f>IF(COUNTIF(Tabla_imprenta[LOTE],Tabla_control[[#This Row],[LOTE]])=1,INDEX(Tabla_imprenta[stock sap],MATCH(Tabla_control[[#This Row],[LOTE]],Tabla_imprenta[LOTE],0)),"ENTREGADO")</f>
        <v>ENTREGADO</v>
      </c>
      <c r="I180" s="139" t="str">
        <f>IF(Tabla_control[[#This Row],[STOCK SAP]]&gt;Tabla_control[[#This Row],[CANTIDAD IMPRIMIR]],"cubre","no cubre")</f>
        <v>no cubre</v>
      </c>
      <c r="J180" s="7" t="str">
        <f>IF(COUNTIF(Tabla_imprenta[LOTE],Tabla_control[[#This Row],[LOTE]])=1,INDEX(Tabla_imprenta[STOCK],MATCH(Tabla_control[[#This Row],[LOTE]],Tabla_imprenta[LOTE],0)),"ENTREGADO")</f>
        <v>ENTREGADO</v>
      </c>
      <c r="K18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80" s="148" t="e">
        <f>INDEX(Tabla_imprenta[FECHA CAJA],MATCH(Tabla_control[[#This Row],[LOTE]],Tabla_imprenta[LOTE],0))</f>
        <v>#N/A</v>
      </c>
      <c r="M18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8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8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80" s="169" t="e">
        <f>ROUNDUP(Tabla_control[[#This Row],[CANTIDAD IMPRIMIR]]/Tabla_control[[#This Row],[N TJ]],0)</f>
        <v>#VALUE!</v>
      </c>
      <c r="Q180" s="169" t="e">
        <f>IF(Tabla_control[[#This Row],[CANTIDAD TIRAJE]]&gt;10000,Tabla_control[[#This Row],[CANTIDAD TIRAJE]],Tabla_control[[#This Row],[CANTIDAD TIRAJE]]*2)</f>
        <v>#VALUE!</v>
      </c>
      <c r="R180" s="4" t="s">
        <v>173</v>
      </c>
      <c r="S180" s="4" t="s">
        <v>174</v>
      </c>
      <c r="T180" s="4"/>
      <c r="U180" s="4"/>
      <c r="V180" s="4"/>
      <c r="W180" s="138" t="s">
        <v>3223</v>
      </c>
      <c r="X180" s="138"/>
      <c r="Y180" s="138"/>
      <c r="Z180" s="138"/>
      <c r="AA180" s="4" t="s">
        <v>2314</v>
      </c>
      <c r="AB180" s="184" t="s">
        <v>2028</v>
      </c>
    </row>
    <row r="181" spans="1:28" hidden="1" x14ac:dyDescent="0.2">
      <c r="A181" s="175" t="str">
        <f>IF(COUNTIF(Tabla_imprenta[LOTE],Tabla_control[[#This Row],[LOTE]])=1,INDEX(Tabla_imprenta[FECHA EMISIÓN],MATCH(Tabla_control[[#This Row],[LOTE]],Tabla_imprenta[LOTE],0)),"REALIZADO")</f>
        <v>REALIZADO</v>
      </c>
      <c r="B181" s="142" t="str">
        <f>IF(COUNTIF(Tabla_imprenta[LOTE],Tabla_control[[#This Row],[LOTE]])=1,INDEX(Tabla_imprenta[CÓD. SOLICITUD],MATCH(Tabla_control[[#This Row],[LOTE]],Tabla_imprenta[LOTE],0)),"REALIZADO")</f>
        <v>REALIZADO</v>
      </c>
      <c r="C181" s="177" t="str">
        <f>IF(COUNTIF(Tabla_imprenta[LOTE],Tabla_control[[#This Row],[LOTE]])=1,INDEX(Tabla_imprenta[PRODUCTO],MATCH(Tabla_control[[#This Row],[LOTE]],Tabla_imprenta[LOTE],0)),"REALIZADO")</f>
        <v>REALIZADO</v>
      </c>
      <c r="D181" s="142" t="str">
        <f>IF(COUNTIF(Tabla_imprenta[LOTE],Tabla_control[[#This Row],[LOTE]])=1,INDEX(Tabla_imprenta[FORMA FARMACEUTICA],MATCH(Tabla_control[[#This Row],[LOTE]],Tabla_imprenta[LOTE],0)),"REALIZADO")</f>
        <v>REALIZADO</v>
      </c>
      <c r="E181" s="177" t="str">
        <f>IF(COUNTIF(Tabla_imprenta[LOTE],Tabla_control[[#This Row],[LOTE]])=1,INDEX(Tabla_imprenta[INSTITUCIÓN],MATCH(Tabla_control[[#This Row],[LOTE]],Tabla_imprenta[LOTE],0)),"REALIZADO")</f>
        <v>REALIZADO</v>
      </c>
      <c r="F181" s="183" t="s">
        <v>112</v>
      </c>
      <c r="G18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81" s="139" t="str">
        <f>IF(COUNTIF(Tabla_imprenta[LOTE],Tabla_control[[#This Row],[LOTE]])=1,INDEX(Tabla_imprenta[stock sap],MATCH(Tabla_control[[#This Row],[LOTE]],Tabla_imprenta[LOTE],0)),"ENTREGADO")</f>
        <v>ENTREGADO</v>
      </c>
      <c r="I181" s="139" t="str">
        <f>IF(Tabla_control[[#This Row],[STOCK SAP]]&gt;Tabla_control[[#This Row],[CANTIDAD IMPRIMIR]],"cubre","no cubre")</f>
        <v>no cubre</v>
      </c>
      <c r="J181" s="7" t="str">
        <f>IF(COUNTIF(Tabla_imprenta[LOTE],Tabla_control[[#This Row],[LOTE]])=1,INDEX(Tabla_imprenta[STOCK],MATCH(Tabla_control[[#This Row],[LOTE]],Tabla_imprenta[LOTE],0)),"ENTREGADO")</f>
        <v>ENTREGADO</v>
      </c>
      <c r="K18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81" s="148" t="e">
        <f>INDEX(Tabla_imprenta[FECHA CAJA],MATCH(Tabla_control[[#This Row],[LOTE]],Tabla_imprenta[LOTE],0))</f>
        <v>#N/A</v>
      </c>
      <c r="M18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8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8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81" s="169" t="e">
        <f>ROUNDUP(Tabla_control[[#This Row],[CANTIDAD IMPRIMIR]]/Tabla_control[[#This Row],[N TJ]],0)</f>
        <v>#VALUE!</v>
      </c>
      <c r="Q181" s="169" t="e">
        <f>IF(Tabla_control[[#This Row],[CANTIDAD TIRAJE]]&gt;10000,Tabla_control[[#This Row],[CANTIDAD TIRAJE]],Tabla_control[[#This Row],[CANTIDAD TIRAJE]]*2)</f>
        <v>#VALUE!</v>
      </c>
      <c r="R181" s="4" t="s">
        <v>172</v>
      </c>
      <c r="S181" s="4" t="s">
        <v>30</v>
      </c>
      <c r="T181" s="4"/>
      <c r="U181" s="4"/>
      <c r="V181" s="4"/>
      <c r="W181" s="138" t="s">
        <v>3223</v>
      </c>
      <c r="X181" s="138"/>
      <c r="Y181" s="138"/>
      <c r="Z181" s="138"/>
      <c r="AA181" s="4" t="s">
        <v>2031</v>
      </c>
      <c r="AB181" s="184" t="s">
        <v>2028</v>
      </c>
    </row>
    <row r="182" spans="1:28" hidden="1" x14ac:dyDescent="0.2">
      <c r="A182" s="175" t="str">
        <f>IF(COUNTIF(Tabla_imprenta[LOTE],Tabla_control[[#This Row],[LOTE]])=1,INDEX(Tabla_imprenta[FECHA EMISIÓN],MATCH(Tabla_control[[#This Row],[LOTE]],Tabla_imprenta[LOTE],0)),"REALIZADO")</f>
        <v>REALIZADO</v>
      </c>
      <c r="B182" s="142" t="str">
        <f>IF(COUNTIF(Tabla_imprenta[LOTE],Tabla_control[[#This Row],[LOTE]])=1,INDEX(Tabla_imprenta[CÓD. SOLICITUD],MATCH(Tabla_control[[#This Row],[LOTE]],Tabla_imprenta[LOTE],0)),"REALIZADO")</f>
        <v>REALIZADO</v>
      </c>
      <c r="C182" s="177" t="str">
        <f>IF(COUNTIF(Tabla_imprenta[LOTE],Tabla_control[[#This Row],[LOTE]])=1,INDEX(Tabla_imprenta[PRODUCTO],MATCH(Tabla_control[[#This Row],[LOTE]],Tabla_imprenta[LOTE],0)),"REALIZADO")</f>
        <v>REALIZADO</v>
      </c>
      <c r="D182" s="142" t="str">
        <f>IF(COUNTIF(Tabla_imprenta[LOTE],Tabla_control[[#This Row],[LOTE]])=1,INDEX(Tabla_imprenta[FORMA FARMACEUTICA],MATCH(Tabla_control[[#This Row],[LOTE]],Tabla_imprenta[LOTE],0)),"REALIZADO")</f>
        <v>REALIZADO</v>
      </c>
      <c r="E182" s="177" t="str">
        <f>IF(COUNTIF(Tabla_imprenta[LOTE],Tabla_control[[#This Row],[LOTE]])=1,INDEX(Tabla_imprenta[INSTITUCIÓN],MATCH(Tabla_control[[#This Row],[LOTE]],Tabla_imprenta[LOTE],0)),"REALIZADO")</f>
        <v>REALIZADO</v>
      </c>
      <c r="F182" s="180" t="s">
        <v>2240</v>
      </c>
      <c r="G18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82" s="139" t="str">
        <f>IF(COUNTIF(Tabla_imprenta[LOTE],Tabla_control[[#This Row],[LOTE]])=1,INDEX(Tabla_imprenta[stock sap],MATCH(Tabla_control[[#This Row],[LOTE]],Tabla_imprenta[LOTE],0)),"ENTREGADO")</f>
        <v>ENTREGADO</v>
      </c>
      <c r="I182" s="139" t="str">
        <f>IF(Tabla_control[[#This Row],[STOCK SAP]]&gt;Tabla_control[[#This Row],[CANTIDAD IMPRIMIR]],"cubre","no cubre")</f>
        <v>no cubre</v>
      </c>
      <c r="J182" s="7" t="str">
        <f>IF(COUNTIF(Tabla_imprenta[LOTE],Tabla_control[[#This Row],[LOTE]])=1,INDEX(Tabla_imprenta[STOCK],MATCH(Tabla_control[[#This Row],[LOTE]],Tabla_imprenta[LOTE],0)),"ENTREGADO")</f>
        <v>ENTREGADO</v>
      </c>
      <c r="K18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82" s="148" t="e">
        <f>INDEX(Tabla_imprenta[FECHA CAJA],MATCH(Tabla_control[[#This Row],[LOTE]],Tabla_imprenta[LOTE],0))</f>
        <v>#N/A</v>
      </c>
      <c r="M18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8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8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82" s="169" t="e">
        <f>ROUNDUP(Tabla_control[[#This Row],[CANTIDAD IMPRIMIR]]/Tabla_control[[#This Row],[N TJ]],0)</f>
        <v>#VALUE!</v>
      </c>
      <c r="Q182" s="169" t="e">
        <f>IF(Tabla_control[[#This Row],[CANTIDAD TIRAJE]]&gt;10000,Tabla_control[[#This Row],[CANTIDAD TIRAJE]],Tabla_control[[#This Row],[CANTIDAD TIRAJE]]*2)</f>
        <v>#VALUE!</v>
      </c>
      <c r="R182" s="4" t="s">
        <v>172</v>
      </c>
      <c r="S182" s="4" t="s">
        <v>30</v>
      </c>
      <c r="T182" s="4"/>
      <c r="U182" s="4"/>
      <c r="V182" s="4"/>
      <c r="W182" s="138" t="s">
        <v>3223</v>
      </c>
      <c r="X182" s="138"/>
      <c r="Y182" s="138"/>
      <c r="Z182" s="138"/>
      <c r="AA182" s="4" t="s">
        <v>321</v>
      </c>
      <c r="AB182" s="184" t="s">
        <v>2028</v>
      </c>
    </row>
    <row r="183" spans="1:28" hidden="1" x14ac:dyDescent="0.2">
      <c r="A183" s="175" t="str">
        <f>IF(COUNTIF(Tabla_imprenta[LOTE],Tabla_control[[#This Row],[LOTE]])=1,INDEX(Tabla_imprenta[FECHA EMISIÓN],MATCH(Tabla_control[[#This Row],[LOTE]],Tabla_imprenta[LOTE],0)),"REALIZADO")</f>
        <v>REALIZADO</v>
      </c>
      <c r="B183" s="142" t="str">
        <f>IF(COUNTIF(Tabla_imprenta[LOTE],Tabla_control[[#This Row],[LOTE]])=1,INDEX(Tabla_imprenta[CÓD. SOLICITUD],MATCH(Tabla_control[[#This Row],[LOTE]],Tabla_imprenta[LOTE],0)),"REALIZADO")</f>
        <v>REALIZADO</v>
      </c>
      <c r="C183" s="177" t="str">
        <f>IF(COUNTIF(Tabla_imprenta[LOTE],Tabla_control[[#This Row],[LOTE]])=1,INDEX(Tabla_imprenta[PRODUCTO],MATCH(Tabla_control[[#This Row],[LOTE]],Tabla_imprenta[LOTE],0)),"REALIZADO")</f>
        <v>REALIZADO</v>
      </c>
      <c r="D183" s="142" t="str">
        <f>IF(COUNTIF(Tabla_imprenta[LOTE],Tabla_control[[#This Row],[LOTE]])=1,INDEX(Tabla_imprenta[FORMA FARMACEUTICA],MATCH(Tabla_control[[#This Row],[LOTE]],Tabla_imprenta[LOTE],0)),"REALIZADO")</f>
        <v>REALIZADO</v>
      </c>
      <c r="E183" s="177" t="str">
        <f>IF(COUNTIF(Tabla_imprenta[LOTE],Tabla_control[[#This Row],[LOTE]])=1,INDEX(Tabla_imprenta[INSTITUCIÓN],MATCH(Tabla_control[[#This Row],[LOTE]],Tabla_imprenta[LOTE],0)),"REALIZADO")</f>
        <v>REALIZADO</v>
      </c>
      <c r="F183" s="180" t="s">
        <v>2511</v>
      </c>
      <c r="G18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83" s="139" t="str">
        <f>IF(COUNTIF(Tabla_imprenta[LOTE],Tabla_control[[#This Row],[LOTE]])=1,INDEX(Tabla_imprenta[stock sap],MATCH(Tabla_control[[#This Row],[LOTE]],Tabla_imprenta[LOTE],0)),"ENTREGADO")</f>
        <v>ENTREGADO</v>
      </c>
      <c r="I183" s="139" t="str">
        <f>IF(Tabla_control[[#This Row],[STOCK SAP]]&gt;Tabla_control[[#This Row],[CANTIDAD IMPRIMIR]],"cubre","no cubre")</f>
        <v>no cubre</v>
      </c>
      <c r="J183" s="7" t="str">
        <f>IF(COUNTIF(Tabla_imprenta[LOTE],Tabla_control[[#This Row],[LOTE]])=1,INDEX(Tabla_imprenta[STOCK],MATCH(Tabla_control[[#This Row],[LOTE]],Tabla_imprenta[LOTE],0)),"ENTREGADO")</f>
        <v>ENTREGADO</v>
      </c>
      <c r="K18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83" s="148" t="e">
        <f>INDEX(Tabla_imprenta[FECHA CAJA],MATCH(Tabla_control[[#This Row],[LOTE]],Tabla_imprenta[LOTE],0))</f>
        <v>#N/A</v>
      </c>
      <c r="M18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8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8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83" s="169" t="e">
        <f>ROUNDUP(Tabla_control[[#This Row],[CANTIDAD IMPRIMIR]]/Tabla_control[[#This Row],[N TJ]],0)</f>
        <v>#VALUE!</v>
      </c>
      <c r="Q183" s="169" t="e">
        <f>IF(Tabla_control[[#This Row],[CANTIDAD TIRAJE]]&gt;10000,Tabla_control[[#This Row],[CANTIDAD TIRAJE]],Tabla_control[[#This Row],[CANTIDAD TIRAJE]]*2)</f>
        <v>#VALUE!</v>
      </c>
      <c r="R183" s="4" t="s">
        <v>2030</v>
      </c>
      <c r="S183" s="4" t="s">
        <v>174</v>
      </c>
      <c r="T183" s="4"/>
      <c r="U183" s="4"/>
      <c r="V183" s="4"/>
      <c r="W183" s="138" t="s">
        <v>3223</v>
      </c>
      <c r="X183" s="138"/>
      <c r="Y183" s="138"/>
      <c r="Z183" s="138"/>
      <c r="AA183" s="4" t="s">
        <v>2031</v>
      </c>
      <c r="AB183" s="184" t="s">
        <v>2028</v>
      </c>
    </row>
    <row r="184" spans="1:28" hidden="1" x14ac:dyDescent="0.2">
      <c r="A184" s="175" t="str">
        <f>IF(COUNTIF(Tabla_imprenta[LOTE],Tabla_control[[#This Row],[LOTE]])=1,INDEX(Tabla_imprenta[FECHA EMISIÓN],MATCH(Tabla_control[[#This Row],[LOTE]],Tabla_imprenta[LOTE],0)),"REALIZADO")</f>
        <v>REALIZADO</v>
      </c>
      <c r="B184" s="142" t="str">
        <f>IF(COUNTIF(Tabla_imprenta[LOTE],Tabla_control[[#This Row],[LOTE]])=1,INDEX(Tabla_imprenta[CÓD. SOLICITUD],MATCH(Tabla_control[[#This Row],[LOTE]],Tabla_imprenta[LOTE],0)),"REALIZADO")</f>
        <v>REALIZADO</v>
      </c>
      <c r="C184" s="177" t="str">
        <f>IF(COUNTIF(Tabla_imprenta[LOTE],Tabla_control[[#This Row],[LOTE]])=1,INDEX(Tabla_imprenta[PRODUCTO],MATCH(Tabla_control[[#This Row],[LOTE]],Tabla_imprenta[LOTE],0)),"REALIZADO")</f>
        <v>REALIZADO</v>
      </c>
      <c r="D184" s="142" t="str">
        <f>IF(COUNTIF(Tabla_imprenta[LOTE],Tabla_control[[#This Row],[LOTE]])=1,INDEX(Tabla_imprenta[FORMA FARMACEUTICA],MATCH(Tabla_control[[#This Row],[LOTE]],Tabla_imprenta[LOTE],0)),"REALIZADO")</f>
        <v>REALIZADO</v>
      </c>
      <c r="E184" s="177" t="str">
        <f>IF(COUNTIF(Tabla_imprenta[LOTE],Tabla_control[[#This Row],[LOTE]])=1,INDEX(Tabla_imprenta[INSTITUCIÓN],MATCH(Tabla_control[[#This Row],[LOTE]],Tabla_imprenta[LOTE],0)),"REALIZADO")</f>
        <v>REALIZADO</v>
      </c>
      <c r="F184" s="180" t="s">
        <v>2194</v>
      </c>
      <c r="G18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84" s="139" t="str">
        <f>IF(COUNTIF(Tabla_imprenta[LOTE],Tabla_control[[#This Row],[LOTE]])=1,INDEX(Tabla_imprenta[stock sap],MATCH(Tabla_control[[#This Row],[LOTE]],Tabla_imprenta[LOTE],0)),"ENTREGADO")</f>
        <v>ENTREGADO</v>
      </c>
      <c r="I184" s="139" t="str">
        <f>IF(Tabla_control[[#This Row],[STOCK SAP]]&gt;Tabla_control[[#This Row],[CANTIDAD IMPRIMIR]],"cubre","no cubre")</f>
        <v>no cubre</v>
      </c>
      <c r="J184" s="7" t="str">
        <f>IF(COUNTIF(Tabla_imprenta[LOTE],Tabla_control[[#This Row],[LOTE]])=1,INDEX(Tabla_imprenta[STOCK],MATCH(Tabla_control[[#This Row],[LOTE]],Tabla_imprenta[LOTE],0)),"ENTREGADO")</f>
        <v>ENTREGADO</v>
      </c>
      <c r="K18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84" s="148" t="e">
        <f>INDEX(Tabla_imprenta[FECHA CAJA],MATCH(Tabla_control[[#This Row],[LOTE]],Tabla_imprenta[LOTE],0))</f>
        <v>#N/A</v>
      </c>
      <c r="M18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8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8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84" s="169" t="e">
        <f>ROUNDUP(Tabla_control[[#This Row],[CANTIDAD IMPRIMIR]]/Tabla_control[[#This Row],[N TJ]],0)</f>
        <v>#VALUE!</v>
      </c>
      <c r="Q184" s="169" t="e">
        <f>IF(Tabla_control[[#This Row],[CANTIDAD TIRAJE]]&gt;10000,Tabla_control[[#This Row],[CANTIDAD TIRAJE]],Tabla_control[[#This Row],[CANTIDAD TIRAJE]]*2)</f>
        <v>#VALUE!</v>
      </c>
      <c r="R184" s="4" t="s">
        <v>172</v>
      </c>
      <c r="S184" s="4" t="s">
        <v>30</v>
      </c>
      <c r="T184" s="4"/>
      <c r="U184" s="4"/>
      <c r="V184" s="4"/>
      <c r="W184" s="138" t="s">
        <v>3223</v>
      </c>
      <c r="X184" s="138"/>
      <c r="Y184" s="138"/>
      <c r="Z184" s="138"/>
      <c r="AA184" s="4" t="s">
        <v>2031</v>
      </c>
      <c r="AB184" s="184" t="s">
        <v>2028</v>
      </c>
    </row>
    <row r="185" spans="1:28" hidden="1" x14ac:dyDescent="0.2">
      <c r="A185" s="175" t="str">
        <f>IF(COUNTIF(Tabla_imprenta[LOTE],Tabla_control[[#This Row],[LOTE]])=1,INDEX(Tabla_imprenta[FECHA EMISIÓN],MATCH(Tabla_control[[#This Row],[LOTE]],Tabla_imprenta[LOTE],0)),"REALIZADO")</f>
        <v>REALIZADO</v>
      </c>
      <c r="B185" s="142" t="str">
        <f>IF(COUNTIF(Tabla_imprenta[LOTE],Tabla_control[[#This Row],[LOTE]])=1,INDEX(Tabla_imprenta[CÓD. SOLICITUD],MATCH(Tabla_control[[#This Row],[LOTE]],Tabla_imprenta[LOTE],0)),"REALIZADO")</f>
        <v>REALIZADO</v>
      </c>
      <c r="C185" s="177" t="str">
        <f>IF(COUNTIF(Tabla_imprenta[LOTE],Tabla_control[[#This Row],[LOTE]])=1,INDEX(Tabla_imprenta[PRODUCTO],MATCH(Tabla_control[[#This Row],[LOTE]],Tabla_imprenta[LOTE],0)),"REALIZADO")</f>
        <v>REALIZADO</v>
      </c>
      <c r="D185" s="142" t="str">
        <f>IF(COUNTIF(Tabla_imprenta[LOTE],Tabla_control[[#This Row],[LOTE]])=1,INDEX(Tabla_imprenta[FORMA FARMACEUTICA],MATCH(Tabla_control[[#This Row],[LOTE]],Tabla_imprenta[LOTE],0)),"REALIZADO")</f>
        <v>REALIZADO</v>
      </c>
      <c r="E185" s="177" t="str">
        <f>IF(COUNTIF(Tabla_imprenta[LOTE],Tabla_control[[#This Row],[LOTE]])=1,INDEX(Tabla_imprenta[INSTITUCIÓN],MATCH(Tabla_control[[#This Row],[LOTE]],Tabla_imprenta[LOTE],0)),"REALIZADO")</f>
        <v>REALIZADO</v>
      </c>
      <c r="F185" s="180" t="s">
        <v>2153</v>
      </c>
      <c r="G18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85" s="139" t="str">
        <f>IF(COUNTIF(Tabla_imprenta[LOTE],Tabla_control[[#This Row],[LOTE]])=1,INDEX(Tabla_imprenta[stock sap],MATCH(Tabla_control[[#This Row],[LOTE]],Tabla_imprenta[LOTE],0)),"ENTREGADO")</f>
        <v>ENTREGADO</v>
      </c>
      <c r="I185" s="139" t="str">
        <f>IF(Tabla_control[[#This Row],[STOCK SAP]]&gt;Tabla_control[[#This Row],[CANTIDAD IMPRIMIR]],"cubre","no cubre")</f>
        <v>no cubre</v>
      </c>
      <c r="J185" s="7" t="str">
        <f>IF(COUNTIF(Tabla_imprenta[LOTE],Tabla_control[[#This Row],[LOTE]])=1,INDEX(Tabla_imprenta[STOCK],MATCH(Tabla_control[[#This Row],[LOTE]],Tabla_imprenta[LOTE],0)),"ENTREGADO")</f>
        <v>ENTREGADO</v>
      </c>
      <c r="K18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85" s="148" t="e">
        <f>INDEX(Tabla_imprenta[FECHA CAJA],MATCH(Tabla_control[[#This Row],[LOTE]],Tabla_imprenta[LOTE],0))</f>
        <v>#N/A</v>
      </c>
      <c r="M18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8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8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85" s="169" t="e">
        <f>ROUNDUP(Tabla_control[[#This Row],[CANTIDAD IMPRIMIR]]/Tabla_control[[#This Row],[N TJ]],0)</f>
        <v>#VALUE!</v>
      </c>
      <c r="Q185" s="169" t="e">
        <f>IF(Tabla_control[[#This Row],[CANTIDAD TIRAJE]]&gt;10000,Tabla_control[[#This Row],[CANTIDAD TIRAJE]],Tabla_control[[#This Row],[CANTIDAD TIRAJE]]*2)</f>
        <v>#VALUE!</v>
      </c>
      <c r="R185" s="4" t="s">
        <v>172</v>
      </c>
      <c r="S185" s="4" t="s">
        <v>30</v>
      </c>
      <c r="T185" s="4"/>
      <c r="U185" s="4"/>
      <c r="V185" s="4"/>
      <c r="W185" s="138" t="s">
        <v>3223</v>
      </c>
      <c r="X185" s="138"/>
      <c r="Y185" s="138"/>
      <c r="Z185" s="138"/>
      <c r="AA185" s="4" t="s">
        <v>2031</v>
      </c>
      <c r="AB185" s="184" t="s">
        <v>2028</v>
      </c>
    </row>
    <row r="186" spans="1:28" hidden="1" x14ac:dyDescent="0.2">
      <c r="A186" s="175" t="str">
        <f>IF(COUNTIF(Tabla_imprenta[LOTE],Tabla_control[[#This Row],[LOTE]])=1,INDEX(Tabla_imprenta[FECHA EMISIÓN],MATCH(Tabla_control[[#This Row],[LOTE]],Tabla_imprenta[LOTE],0)),"REALIZADO")</f>
        <v>REALIZADO</v>
      </c>
      <c r="B186" s="142" t="str">
        <f>IF(COUNTIF(Tabla_imprenta[LOTE],Tabla_control[[#This Row],[LOTE]])=1,INDEX(Tabla_imprenta[CÓD. SOLICITUD],MATCH(Tabla_control[[#This Row],[LOTE]],Tabla_imprenta[LOTE],0)),"REALIZADO")</f>
        <v>REALIZADO</v>
      </c>
      <c r="C186" s="177" t="str">
        <f>IF(COUNTIF(Tabla_imprenta[LOTE],Tabla_control[[#This Row],[LOTE]])=1,INDEX(Tabla_imprenta[PRODUCTO],MATCH(Tabla_control[[#This Row],[LOTE]],Tabla_imprenta[LOTE],0)),"REALIZADO")</f>
        <v>REALIZADO</v>
      </c>
      <c r="D186" s="142" t="str">
        <f>IF(COUNTIF(Tabla_imprenta[LOTE],Tabla_control[[#This Row],[LOTE]])=1,INDEX(Tabla_imprenta[FORMA FARMACEUTICA],MATCH(Tabla_control[[#This Row],[LOTE]],Tabla_imprenta[LOTE],0)),"REALIZADO")</f>
        <v>REALIZADO</v>
      </c>
      <c r="E186" s="177" t="str">
        <f>IF(COUNTIF(Tabla_imprenta[LOTE],Tabla_control[[#This Row],[LOTE]])=1,INDEX(Tabla_imprenta[INSTITUCIÓN],MATCH(Tabla_control[[#This Row],[LOTE]],Tabla_imprenta[LOTE],0)),"REALIZADO")</f>
        <v>REALIZADO</v>
      </c>
      <c r="F186" s="183" t="s">
        <v>150</v>
      </c>
      <c r="G18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86" s="139" t="str">
        <f>IF(COUNTIF(Tabla_imprenta[LOTE],Tabla_control[[#This Row],[LOTE]])=1,INDEX(Tabla_imprenta[stock sap],MATCH(Tabla_control[[#This Row],[LOTE]],Tabla_imprenta[LOTE],0)),"ENTREGADO")</f>
        <v>ENTREGADO</v>
      </c>
      <c r="I186" s="139" t="str">
        <f>IF(Tabla_control[[#This Row],[STOCK SAP]]&gt;Tabla_control[[#This Row],[CANTIDAD IMPRIMIR]],"cubre","no cubre")</f>
        <v>no cubre</v>
      </c>
      <c r="J186" s="7" t="str">
        <f>IF(COUNTIF(Tabla_imprenta[LOTE],Tabla_control[[#This Row],[LOTE]])=1,INDEX(Tabla_imprenta[STOCK],MATCH(Tabla_control[[#This Row],[LOTE]],Tabla_imprenta[LOTE],0)),"ENTREGADO")</f>
        <v>ENTREGADO</v>
      </c>
      <c r="K18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86" s="148" t="e">
        <f>INDEX(Tabla_imprenta[FECHA CAJA],MATCH(Tabla_control[[#This Row],[LOTE]],Tabla_imprenta[LOTE],0))</f>
        <v>#N/A</v>
      </c>
      <c r="M18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8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8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86" s="169" t="e">
        <f>ROUNDUP(Tabla_control[[#This Row],[CANTIDAD IMPRIMIR]]/Tabla_control[[#This Row],[N TJ]],0)</f>
        <v>#VALUE!</v>
      </c>
      <c r="Q186" s="169" t="e">
        <f>IF(Tabla_control[[#This Row],[CANTIDAD TIRAJE]]&gt;10000,Tabla_control[[#This Row],[CANTIDAD TIRAJE]],Tabla_control[[#This Row],[CANTIDAD TIRAJE]]*2)</f>
        <v>#VALUE!</v>
      </c>
      <c r="R186" s="4" t="s">
        <v>172</v>
      </c>
      <c r="S186" s="4" t="s">
        <v>30</v>
      </c>
      <c r="T186" s="4"/>
      <c r="U186" s="4"/>
      <c r="V186" s="4"/>
      <c r="W186" s="138" t="s">
        <v>3223</v>
      </c>
      <c r="X186" s="138"/>
      <c r="Y186" s="138"/>
      <c r="Z186" s="138"/>
      <c r="AA186" s="4" t="s">
        <v>2031</v>
      </c>
      <c r="AB186" s="184" t="s">
        <v>2028</v>
      </c>
    </row>
    <row r="187" spans="1:28" hidden="1" x14ac:dyDescent="0.2">
      <c r="A187" s="175" t="str">
        <f>IF(COUNTIF(Tabla_imprenta[LOTE],Tabla_control[[#This Row],[LOTE]])=1,INDEX(Tabla_imprenta[FECHA EMISIÓN],MATCH(Tabla_control[[#This Row],[LOTE]],Tabla_imprenta[LOTE],0)),"REALIZADO")</f>
        <v>REALIZADO</v>
      </c>
      <c r="B187" s="142" t="str">
        <f>IF(COUNTIF(Tabla_imprenta[LOTE],Tabla_control[[#This Row],[LOTE]])=1,INDEX(Tabla_imprenta[CÓD. SOLICITUD],MATCH(Tabla_control[[#This Row],[LOTE]],Tabla_imprenta[LOTE],0)),"REALIZADO")</f>
        <v>REALIZADO</v>
      </c>
      <c r="C187" s="177" t="str">
        <f>IF(COUNTIF(Tabla_imprenta[LOTE],Tabla_control[[#This Row],[LOTE]])=1,INDEX(Tabla_imprenta[PRODUCTO],MATCH(Tabla_control[[#This Row],[LOTE]],Tabla_imprenta[LOTE],0)),"REALIZADO")</f>
        <v>REALIZADO</v>
      </c>
      <c r="D187" s="142" t="str">
        <f>IF(COUNTIF(Tabla_imprenta[LOTE],Tabla_control[[#This Row],[LOTE]])=1,INDEX(Tabla_imprenta[FORMA FARMACEUTICA],MATCH(Tabla_control[[#This Row],[LOTE]],Tabla_imprenta[LOTE],0)),"REALIZADO")</f>
        <v>REALIZADO</v>
      </c>
      <c r="E187" s="177" t="str">
        <f>IF(COUNTIF(Tabla_imprenta[LOTE],Tabla_control[[#This Row],[LOTE]])=1,INDEX(Tabla_imprenta[INSTITUCIÓN],MATCH(Tabla_control[[#This Row],[LOTE]],Tabla_imprenta[LOTE],0)),"REALIZADO")</f>
        <v>REALIZADO</v>
      </c>
      <c r="F187" s="180" t="s">
        <v>2215</v>
      </c>
      <c r="G18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87" s="139" t="str">
        <f>IF(COUNTIF(Tabla_imprenta[LOTE],Tabla_control[[#This Row],[LOTE]])=1,INDEX(Tabla_imprenta[stock sap],MATCH(Tabla_control[[#This Row],[LOTE]],Tabla_imprenta[LOTE],0)),"ENTREGADO")</f>
        <v>ENTREGADO</v>
      </c>
      <c r="I187" s="139" t="str">
        <f>IF(Tabla_control[[#This Row],[STOCK SAP]]&gt;Tabla_control[[#This Row],[CANTIDAD IMPRIMIR]],"cubre","no cubre")</f>
        <v>no cubre</v>
      </c>
      <c r="J187" s="7" t="str">
        <f>IF(COUNTIF(Tabla_imprenta[LOTE],Tabla_control[[#This Row],[LOTE]])=1,INDEX(Tabla_imprenta[STOCK],MATCH(Tabla_control[[#This Row],[LOTE]],Tabla_imprenta[LOTE],0)),"ENTREGADO")</f>
        <v>ENTREGADO</v>
      </c>
      <c r="K18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87" s="148" t="e">
        <f>INDEX(Tabla_imprenta[FECHA CAJA],MATCH(Tabla_control[[#This Row],[LOTE]],Tabla_imprenta[LOTE],0))</f>
        <v>#N/A</v>
      </c>
      <c r="M18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8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8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87" s="169" t="e">
        <f>ROUNDUP(Tabla_control[[#This Row],[CANTIDAD IMPRIMIR]]/Tabla_control[[#This Row],[N TJ]],0)</f>
        <v>#VALUE!</v>
      </c>
      <c r="Q187" s="169" t="e">
        <f>IF(Tabla_control[[#This Row],[CANTIDAD TIRAJE]]&gt;10000,Tabla_control[[#This Row],[CANTIDAD TIRAJE]],Tabla_control[[#This Row],[CANTIDAD TIRAJE]]*2)</f>
        <v>#VALUE!</v>
      </c>
      <c r="R187" s="4" t="s">
        <v>172</v>
      </c>
      <c r="S187" s="4" t="s">
        <v>30</v>
      </c>
      <c r="T187" s="4"/>
      <c r="U187" s="4"/>
      <c r="V187" s="4"/>
      <c r="W187" s="138" t="s">
        <v>3223</v>
      </c>
      <c r="X187" s="138"/>
      <c r="Y187" s="138"/>
      <c r="Z187" s="138"/>
      <c r="AA187" s="4" t="s">
        <v>321</v>
      </c>
      <c r="AB187" s="184" t="s">
        <v>2028</v>
      </c>
    </row>
    <row r="188" spans="1:28" hidden="1" x14ac:dyDescent="0.2">
      <c r="A188" s="175" t="str">
        <f>IF(COUNTIF(Tabla_imprenta[LOTE],Tabla_control[[#This Row],[LOTE]])=1,INDEX(Tabla_imprenta[FECHA EMISIÓN],MATCH(Tabla_control[[#This Row],[LOTE]],Tabla_imprenta[LOTE],0)),"REALIZADO")</f>
        <v>REALIZADO</v>
      </c>
      <c r="B188" s="142" t="str">
        <f>IF(COUNTIF(Tabla_imprenta[LOTE],Tabla_control[[#This Row],[LOTE]])=1,INDEX(Tabla_imprenta[CÓD. SOLICITUD],MATCH(Tabla_control[[#This Row],[LOTE]],Tabla_imprenta[LOTE],0)),"REALIZADO")</f>
        <v>REALIZADO</v>
      </c>
      <c r="C188" s="177" t="str">
        <f>IF(COUNTIF(Tabla_imprenta[LOTE],Tabla_control[[#This Row],[LOTE]])=1,INDEX(Tabla_imprenta[PRODUCTO],MATCH(Tabla_control[[#This Row],[LOTE]],Tabla_imprenta[LOTE],0)),"REALIZADO")</f>
        <v>REALIZADO</v>
      </c>
      <c r="D188" s="142" t="str">
        <f>IF(COUNTIF(Tabla_imprenta[LOTE],Tabla_control[[#This Row],[LOTE]])=1,INDEX(Tabla_imprenta[FORMA FARMACEUTICA],MATCH(Tabla_control[[#This Row],[LOTE]],Tabla_imprenta[LOTE],0)),"REALIZADO")</f>
        <v>REALIZADO</v>
      </c>
      <c r="E188" s="177" t="str">
        <f>IF(COUNTIF(Tabla_imprenta[LOTE],Tabla_control[[#This Row],[LOTE]])=1,INDEX(Tabla_imprenta[INSTITUCIÓN],MATCH(Tabla_control[[#This Row],[LOTE]],Tabla_imprenta[LOTE],0)),"REALIZADO")</f>
        <v>REALIZADO</v>
      </c>
      <c r="F188" s="180" t="s">
        <v>2542</v>
      </c>
      <c r="G18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88" s="139" t="str">
        <f>IF(COUNTIF(Tabla_imprenta[LOTE],Tabla_control[[#This Row],[LOTE]])=1,INDEX(Tabla_imprenta[stock sap],MATCH(Tabla_control[[#This Row],[LOTE]],Tabla_imprenta[LOTE],0)),"ENTREGADO")</f>
        <v>ENTREGADO</v>
      </c>
      <c r="I188" s="139" t="str">
        <f>IF(Tabla_control[[#This Row],[STOCK SAP]]&gt;Tabla_control[[#This Row],[CANTIDAD IMPRIMIR]],"cubre","no cubre")</f>
        <v>no cubre</v>
      </c>
      <c r="J188" s="7" t="str">
        <f>IF(COUNTIF(Tabla_imprenta[LOTE],Tabla_control[[#This Row],[LOTE]])=1,INDEX(Tabla_imprenta[STOCK],MATCH(Tabla_control[[#This Row],[LOTE]],Tabla_imprenta[LOTE],0)),"ENTREGADO")</f>
        <v>ENTREGADO</v>
      </c>
      <c r="K18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88" s="148" t="e">
        <f>INDEX(Tabla_imprenta[FECHA CAJA],MATCH(Tabla_control[[#This Row],[LOTE]],Tabla_imprenta[LOTE],0))</f>
        <v>#N/A</v>
      </c>
      <c r="M18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8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8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88" s="169" t="e">
        <f>ROUNDUP(Tabla_control[[#This Row],[CANTIDAD IMPRIMIR]]/Tabla_control[[#This Row],[N TJ]],0)</f>
        <v>#VALUE!</v>
      </c>
      <c r="Q188" s="169" t="e">
        <f>IF(Tabla_control[[#This Row],[CANTIDAD TIRAJE]]&gt;10000,Tabla_control[[#This Row],[CANTIDAD TIRAJE]],Tabla_control[[#This Row],[CANTIDAD TIRAJE]]*2)</f>
        <v>#VALUE!</v>
      </c>
      <c r="R188" s="4" t="s">
        <v>173</v>
      </c>
      <c r="S188" s="4" t="s">
        <v>174</v>
      </c>
      <c r="T188" s="4"/>
      <c r="U188" s="4"/>
      <c r="V188" s="4"/>
      <c r="W188" s="138" t="s">
        <v>3223</v>
      </c>
      <c r="X188" s="138"/>
      <c r="Y188" s="138"/>
      <c r="Z188" s="138"/>
      <c r="AA188" s="4" t="s">
        <v>2314</v>
      </c>
      <c r="AB188" s="184" t="s">
        <v>2028</v>
      </c>
    </row>
    <row r="189" spans="1:28" hidden="1" x14ac:dyDescent="0.2">
      <c r="A189" s="175" t="str">
        <f>IF(COUNTIF(Tabla_imprenta[LOTE],Tabla_control[[#This Row],[LOTE]])=1,INDEX(Tabla_imprenta[FECHA EMISIÓN],MATCH(Tabla_control[[#This Row],[LOTE]],Tabla_imprenta[LOTE],0)),"REALIZADO")</f>
        <v>REALIZADO</v>
      </c>
      <c r="B189" s="142" t="str">
        <f>IF(COUNTIF(Tabla_imprenta[LOTE],Tabla_control[[#This Row],[LOTE]])=1,INDEX(Tabla_imprenta[CÓD. SOLICITUD],MATCH(Tabla_control[[#This Row],[LOTE]],Tabla_imprenta[LOTE],0)),"REALIZADO")</f>
        <v>REALIZADO</v>
      </c>
      <c r="C189" s="177" t="str">
        <f>IF(COUNTIF(Tabla_imprenta[LOTE],Tabla_control[[#This Row],[LOTE]])=1,INDEX(Tabla_imprenta[PRODUCTO],MATCH(Tabla_control[[#This Row],[LOTE]],Tabla_imprenta[LOTE],0)),"REALIZADO")</f>
        <v>REALIZADO</v>
      </c>
      <c r="D189" s="142" t="str">
        <f>IF(COUNTIF(Tabla_imprenta[LOTE],Tabla_control[[#This Row],[LOTE]])=1,INDEX(Tabla_imprenta[FORMA FARMACEUTICA],MATCH(Tabla_control[[#This Row],[LOTE]],Tabla_imprenta[LOTE],0)),"REALIZADO")</f>
        <v>REALIZADO</v>
      </c>
      <c r="E189" s="177" t="str">
        <f>IF(COUNTIF(Tabla_imprenta[LOTE],Tabla_control[[#This Row],[LOTE]])=1,INDEX(Tabla_imprenta[INSTITUCIÓN],MATCH(Tabla_control[[#This Row],[LOTE]],Tabla_imprenta[LOTE],0)),"REALIZADO")</f>
        <v>REALIZADO</v>
      </c>
      <c r="F189" s="180" t="s">
        <v>2145</v>
      </c>
      <c r="G18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89" s="139" t="str">
        <f>IF(COUNTIF(Tabla_imprenta[LOTE],Tabla_control[[#This Row],[LOTE]])=1,INDEX(Tabla_imprenta[stock sap],MATCH(Tabla_control[[#This Row],[LOTE]],Tabla_imprenta[LOTE],0)),"ENTREGADO")</f>
        <v>ENTREGADO</v>
      </c>
      <c r="I189" s="139" t="str">
        <f>IF(Tabla_control[[#This Row],[STOCK SAP]]&gt;Tabla_control[[#This Row],[CANTIDAD IMPRIMIR]],"cubre","no cubre")</f>
        <v>no cubre</v>
      </c>
      <c r="J189" s="7" t="str">
        <f>IF(COUNTIF(Tabla_imprenta[LOTE],Tabla_control[[#This Row],[LOTE]])=1,INDEX(Tabla_imprenta[STOCK],MATCH(Tabla_control[[#This Row],[LOTE]],Tabla_imprenta[LOTE],0)),"ENTREGADO")</f>
        <v>ENTREGADO</v>
      </c>
      <c r="K18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89" s="148" t="e">
        <f>INDEX(Tabla_imprenta[FECHA CAJA],MATCH(Tabla_control[[#This Row],[LOTE]],Tabla_imprenta[LOTE],0))</f>
        <v>#N/A</v>
      </c>
      <c r="M18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8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8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89" s="169" t="e">
        <f>ROUNDUP(Tabla_control[[#This Row],[CANTIDAD IMPRIMIR]]/Tabla_control[[#This Row],[N TJ]],0)</f>
        <v>#VALUE!</v>
      </c>
      <c r="Q189" s="169" t="e">
        <f>IF(Tabla_control[[#This Row],[CANTIDAD TIRAJE]]&gt;10000,Tabla_control[[#This Row],[CANTIDAD TIRAJE]],Tabla_control[[#This Row],[CANTIDAD TIRAJE]]*2)</f>
        <v>#VALUE!</v>
      </c>
      <c r="R189" s="4" t="s">
        <v>173</v>
      </c>
      <c r="S189" s="4" t="s">
        <v>174</v>
      </c>
      <c r="T189" s="4"/>
      <c r="U189" s="4"/>
      <c r="V189" s="4"/>
      <c r="W189" s="138" t="s">
        <v>3223</v>
      </c>
      <c r="X189" s="138"/>
      <c r="Y189" s="138"/>
      <c r="Z189" s="138"/>
      <c r="AA189" s="4" t="s">
        <v>321</v>
      </c>
      <c r="AB189" s="184" t="s">
        <v>2028</v>
      </c>
    </row>
    <row r="190" spans="1:28" hidden="1" x14ac:dyDescent="0.2">
      <c r="A190" s="175" t="str">
        <f>IF(COUNTIF(Tabla_imprenta[LOTE],Tabla_control[[#This Row],[LOTE]])=1,INDEX(Tabla_imprenta[FECHA EMISIÓN],MATCH(Tabla_control[[#This Row],[LOTE]],Tabla_imprenta[LOTE],0)),"REALIZADO")</f>
        <v>REALIZADO</v>
      </c>
      <c r="B190" s="142" t="str">
        <f>IF(COUNTIF(Tabla_imprenta[LOTE],Tabla_control[[#This Row],[LOTE]])=1,INDEX(Tabla_imprenta[CÓD. SOLICITUD],MATCH(Tabla_control[[#This Row],[LOTE]],Tabla_imprenta[LOTE],0)),"REALIZADO")</f>
        <v>REALIZADO</v>
      </c>
      <c r="C190" s="177" t="str">
        <f>IF(COUNTIF(Tabla_imprenta[LOTE],Tabla_control[[#This Row],[LOTE]])=1,INDEX(Tabla_imprenta[PRODUCTO],MATCH(Tabla_control[[#This Row],[LOTE]],Tabla_imprenta[LOTE],0)),"REALIZADO")</f>
        <v>REALIZADO</v>
      </c>
      <c r="D190" s="142" t="str">
        <f>IF(COUNTIF(Tabla_imprenta[LOTE],Tabla_control[[#This Row],[LOTE]])=1,INDEX(Tabla_imprenta[FORMA FARMACEUTICA],MATCH(Tabla_control[[#This Row],[LOTE]],Tabla_imprenta[LOTE],0)),"REALIZADO")</f>
        <v>REALIZADO</v>
      </c>
      <c r="E190" s="177" t="str">
        <f>IF(COUNTIF(Tabla_imprenta[LOTE],Tabla_control[[#This Row],[LOTE]])=1,INDEX(Tabla_imprenta[INSTITUCIÓN],MATCH(Tabla_control[[#This Row],[LOTE]],Tabla_imprenta[LOTE],0)),"REALIZADO")</f>
        <v>REALIZADO</v>
      </c>
      <c r="F190" s="180" t="s">
        <v>2137</v>
      </c>
      <c r="G19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90" s="139" t="str">
        <f>IF(COUNTIF(Tabla_imprenta[LOTE],Tabla_control[[#This Row],[LOTE]])=1,INDEX(Tabla_imprenta[stock sap],MATCH(Tabla_control[[#This Row],[LOTE]],Tabla_imprenta[LOTE],0)),"ENTREGADO")</f>
        <v>ENTREGADO</v>
      </c>
      <c r="I190" s="139" t="str">
        <f>IF(Tabla_control[[#This Row],[STOCK SAP]]&gt;Tabla_control[[#This Row],[CANTIDAD IMPRIMIR]],"cubre","no cubre")</f>
        <v>no cubre</v>
      </c>
      <c r="J190" s="7" t="str">
        <f>IF(COUNTIF(Tabla_imprenta[LOTE],Tabla_control[[#This Row],[LOTE]])=1,INDEX(Tabla_imprenta[STOCK],MATCH(Tabla_control[[#This Row],[LOTE]],Tabla_imprenta[LOTE],0)),"ENTREGADO")</f>
        <v>ENTREGADO</v>
      </c>
      <c r="K19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90" s="148" t="e">
        <f>INDEX(Tabla_imprenta[FECHA CAJA],MATCH(Tabla_control[[#This Row],[LOTE]],Tabla_imprenta[LOTE],0))</f>
        <v>#N/A</v>
      </c>
      <c r="M19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9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9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90" s="169" t="e">
        <f>ROUNDUP(Tabla_control[[#This Row],[CANTIDAD IMPRIMIR]]/Tabla_control[[#This Row],[N TJ]],0)</f>
        <v>#VALUE!</v>
      </c>
      <c r="Q190" s="169" t="e">
        <f>IF(Tabla_control[[#This Row],[CANTIDAD TIRAJE]]&gt;10000,Tabla_control[[#This Row],[CANTIDAD TIRAJE]],Tabla_control[[#This Row],[CANTIDAD TIRAJE]]*2)</f>
        <v>#VALUE!</v>
      </c>
      <c r="R190" s="4" t="s">
        <v>177</v>
      </c>
      <c r="S190" s="4" t="s">
        <v>174</v>
      </c>
      <c r="T190" s="4"/>
      <c r="U190" s="4"/>
      <c r="V190" s="4"/>
      <c r="W190" s="138" t="s">
        <v>3223</v>
      </c>
      <c r="X190" s="138"/>
      <c r="Y190" s="138"/>
      <c r="Z190" s="138"/>
      <c r="AA190" s="4" t="s">
        <v>2031</v>
      </c>
      <c r="AB190" s="184" t="s">
        <v>2028</v>
      </c>
    </row>
    <row r="191" spans="1:28" hidden="1" x14ac:dyDescent="0.2">
      <c r="A191" s="175" t="str">
        <f>IF(COUNTIF(Tabla_imprenta[LOTE],Tabla_control[[#This Row],[LOTE]])=1,INDEX(Tabla_imprenta[FECHA EMISIÓN],MATCH(Tabla_control[[#This Row],[LOTE]],Tabla_imprenta[LOTE],0)),"REALIZADO")</f>
        <v>REALIZADO</v>
      </c>
      <c r="B191" s="142" t="str">
        <f>IF(COUNTIF(Tabla_imprenta[LOTE],Tabla_control[[#This Row],[LOTE]])=1,INDEX(Tabla_imprenta[CÓD. SOLICITUD],MATCH(Tabla_control[[#This Row],[LOTE]],Tabla_imprenta[LOTE],0)),"REALIZADO")</f>
        <v>REALIZADO</v>
      </c>
      <c r="C191" s="177" t="str">
        <f>IF(COUNTIF(Tabla_imprenta[LOTE],Tabla_control[[#This Row],[LOTE]])=1,INDEX(Tabla_imprenta[PRODUCTO],MATCH(Tabla_control[[#This Row],[LOTE]],Tabla_imprenta[LOTE],0)),"REALIZADO")</f>
        <v>REALIZADO</v>
      </c>
      <c r="D191" s="142" t="str">
        <f>IF(COUNTIF(Tabla_imprenta[LOTE],Tabla_control[[#This Row],[LOTE]])=1,INDEX(Tabla_imprenta[FORMA FARMACEUTICA],MATCH(Tabla_control[[#This Row],[LOTE]],Tabla_imprenta[LOTE],0)),"REALIZADO")</f>
        <v>REALIZADO</v>
      </c>
      <c r="E191" s="177" t="str">
        <f>IF(COUNTIF(Tabla_imprenta[LOTE],Tabla_control[[#This Row],[LOTE]])=1,INDEX(Tabla_imprenta[INSTITUCIÓN],MATCH(Tabla_control[[#This Row],[LOTE]],Tabla_imprenta[LOTE],0)),"REALIZADO")</f>
        <v>REALIZADO</v>
      </c>
      <c r="F191" s="180" t="s">
        <v>210</v>
      </c>
      <c r="G19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91" s="139" t="str">
        <f>IF(COUNTIF(Tabla_imprenta[LOTE],Tabla_control[[#This Row],[LOTE]])=1,INDEX(Tabla_imprenta[stock sap],MATCH(Tabla_control[[#This Row],[LOTE]],Tabla_imprenta[LOTE],0)),"ENTREGADO")</f>
        <v>ENTREGADO</v>
      </c>
      <c r="I191" s="139" t="str">
        <f>IF(Tabla_control[[#This Row],[STOCK SAP]]&gt;Tabla_control[[#This Row],[CANTIDAD IMPRIMIR]],"cubre","no cubre")</f>
        <v>no cubre</v>
      </c>
      <c r="J191" s="7" t="str">
        <f>IF(COUNTIF(Tabla_imprenta[LOTE],Tabla_control[[#This Row],[LOTE]])=1,INDEX(Tabla_imprenta[STOCK],MATCH(Tabla_control[[#This Row],[LOTE]],Tabla_imprenta[LOTE],0)),"ENTREGADO")</f>
        <v>ENTREGADO</v>
      </c>
      <c r="K19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91" s="148" t="e">
        <f>INDEX(Tabla_imprenta[FECHA CAJA],MATCH(Tabla_control[[#This Row],[LOTE]],Tabla_imprenta[LOTE],0))</f>
        <v>#N/A</v>
      </c>
      <c r="M19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9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9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91" s="169" t="e">
        <f>ROUNDUP(Tabla_control[[#This Row],[CANTIDAD IMPRIMIR]]/Tabla_control[[#This Row],[N TJ]],0)</f>
        <v>#VALUE!</v>
      </c>
      <c r="Q191" s="169" t="e">
        <f>IF(Tabla_control[[#This Row],[CANTIDAD TIRAJE]]&gt;10000,Tabla_control[[#This Row],[CANTIDAD TIRAJE]],Tabla_control[[#This Row],[CANTIDAD TIRAJE]]*2)</f>
        <v>#VALUE!</v>
      </c>
      <c r="R191" s="4" t="s">
        <v>176</v>
      </c>
      <c r="S191" s="4" t="s">
        <v>30</v>
      </c>
      <c r="T191" s="4"/>
      <c r="U191" s="4"/>
      <c r="V191" s="4"/>
      <c r="W191" s="185" t="s">
        <v>2470</v>
      </c>
      <c r="X191" s="185"/>
      <c r="Y191" s="185"/>
      <c r="Z191" s="185"/>
      <c r="AA191" s="4" t="s">
        <v>171</v>
      </c>
      <c r="AB191" s="184" t="s">
        <v>2028</v>
      </c>
    </row>
    <row r="192" spans="1:28" hidden="1" x14ac:dyDescent="0.2">
      <c r="A192" s="175" t="str">
        <f>IF(COUNTIF(Tabla_imprenta[LOTE],Tabla_control[[#This Row],[LOTE]])=1,INDEX(Tabla_imprenta[FECHA EMISIÓN],MATCH(Tabla_control[[#This Row],[LOTE]],Tabla_imprenta[LOTE],0)),"REALIZADO")</f>
        <v>REALIZADO</v>
      </c>
      <c r="B192" s="142" t="str">
        <f>IF(COUNTIF(Tabla_imprenta[LOTE],Tabla_control[[#This Row],[LOTE]])=1,INDEX(Tabla_imprenta[CÓD. SOLICITUD],MATCH(Tabla_control[[#This Row],[LOTE]],Tabla_imprenta[LOTE],0)),"REALIZADO")</f>
        <v>REALIZADO</v>
      </c>
      <c r="C192" s="177" t="str">
        <f>IF(COUNTIF(Tabla_imprenta[LOTE],Tabla_control[[#This Row],[LOTE]])=1,INDEX(Tabla_imprenta[PRODUCTO],MATCH(Tabla_control[[#This Row],[LOTE]],Tabla_imprenta[LOTE],0)),"REALIZADO")</f>
        <v>REALIZADO</v>
      </c>
      <c r="D192" s="142" t="str">
        <f>IF(COUNTIF(Tabla_imprenta[LOTE],Tabla_control[[#This Row],[LOTE]])=1,INDEX(Tabla_imprenta[FORMA FARMACEUTICA],MATCH(Tabla_control[[#This Row],[LOTE]],Tabla_imprenta[LOTE],0)),"REALIZADO")</f>
        <v>REALIZADO</v>
      </c>
      <c r="E192" s="177" t="str">
        <f>IF(COUNTIF(Tabla_imprenta[LOTE],Tabla_control[[#This Row],[LOTE]])=1,INDEX(Tabla_imprenta[INSTITUCIÓN],MATCH(Tabla_control[[#This Row],[LOTE]],Tabla_imprenta[LOTE],0)),"REALIZADO")</f>
        <v>REALIZADO</v>
      </c>
      <c r="F192" s="180" t="s">
        <v>2243</v>
      </c>
      <c r="G19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92" s="139" t="str">
        <f>IF(COUNTIF(Tabla_imprenta[LOTE],Tabla_control[[#This Row],[LOTE]])=1,INDEX(Tabla_imprenta[stock sap],MATCH(Tabla_control[[#This Row],[LOTE]],Tabla_imprenta[LOTE],0)),"ENTREGADO")</f>
        <v>ENTREGADO</v>
      </c>
      <c r="I192" s="139" t="str">
        <f>IF(Tabla_control[[#This Row],[STOCK SAP]]&gt;Tabla_control[[#This Row],[CANTIDAD IMPRIMIR]],"cubre","no cubre")</f>
        <v>no cubre</v>
      </c>
      <c r="J192" s="7" t="str">
        <f>IF(COUNTIF(Tabla_imprenta[LOTE],Tabla_control[[#This Row],[LOTE]])=1,INDEX(Tabla_imprenta[STOCK],MATCH(Tabla_control[[#This Row],[LOTE]],Tabla_imprenta[LOTE],0)),"ENTREGADO")</f>
        <v>ENTREGADO</v>
      </c>
      <c r="K19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92" s="148" t="e">
        <f>INDEX(Tabla_imprenta[FECHA CAJA],MATCH(Tabla_control[[#This Row],[LOTE]],Tabla_imprenta[LOTE],0))</f>
        <v>#N/A</v>
      </c>
      <c r="M19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9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9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92" s="169" t="e">
        <f>ROUNDUP(Tabla_control[[#This Row],[CANTIDAD IMPRIMIR]]/Tabla_control[[#This Row],[N TJ]],0)</f>
        <v>#VALUE!</v>
      </c>
      <c r="Q192" s="169" t="e">
        <f>IF(Tabla_control[[#This Row],[CANTIDAD TIRAJE]]&gt;10000,Tabla_control[[#This Row],[CANTIDAD TIRAJE]],Tabla_control[[#This Row],[CANTIDAD TIRAJE]]*2)</f>
        <v>#VALUE!</v>
      </c>
      <c r="R192" s="4" t="s">
        <v>175</v>
      </c>
      <c r="S192" s="4" t="s">
        <v>174</v>
      </c>
      <c r="T192" s="4"/>
      <c r="U192" s="4"/>
      <c r="V192" s="4"/>
      <c r="W192" s="138" t="s">
        <v>3223</v>
      </c>
      <c r="X192" s="138"/>
      <c r="Y192" s="138"/>
      <c r="Z192" s="138"/>
      <c r="AA192" s="4" t="s">
        <v>2031</v>
      </c>
      <c r="AB192" s="184" t="s">
        <v>2028</v>
      </c>
    </row>
    <row r="193" spans="1:28" hidden="1" x14ac:dyDescent="0.2">
      <c r="A193" s="175" t="str">
        <f>IF(COUNTIF(Tabla_imprenta[LOTE],Tabla_control[[#This Row],[LOTE]])=1,INDEX(Tabla_imprenta[FECHA EMISIÓN],MATCH(Tabla_control[[#This Row],[LOTE]],Tabla_imprenta[LOTE],0)),"REALIZADO")</f>
        <v>REALIZADO</v>
      </c>
      <c r="B193" s="142" t="str">
        <f>IF(COUNTIF(Tabla_imprenta[LOTE],Tabla_control[[#This Row],[LOTE]])=1,INDEX(Tabla_imprenta[CÓD. SOLICITUD],MATCH(Tabla_control[[#This Row],[LOTE]],Tabla_imprenta[LOTE],0)),"REALIZADO")</f>
        <v>REALIZADO</v>
      </c>
      <c r="C193" s="177" t="str">
        <f>IF(COUNTIF(Tabla_imprenta[LOTE],Tabla_control[[#This Row],[LOTE]])=1,INDEX(Tabla_imprenta[PRODUCTO],MATCH(Tabla_control[[#This Row],[LOTE]],Tabla_imprenta[LOTE],0)),"REALIZADO")</f>
        <v>REALIZADO</v>
      </c>
      <c r="D193" s="142" t="str">
        <f>IF(COUNTIF(Tabla_imprenta[LOTE],Tabla_control[[#This Row],[LOTE]])=1,INDEX(Tabla_imprenta[FORMA FARMACEUTICA],MATCH(Tabla_control[[#This Row],[LOTE]],Tabla_imprenta[LOTE],0)),"REALIZADO")</f>
        <v>REALIZADO</v>
      </c>
      <c r="E193" s="177" t="str">
        <f>IF(COUNTIF(Tabla_imprenta[LOTE],Tabla_control[[#This Row],[LOTE]])=1,INDEX(Tabla_imprenta[INSTITUCIÓN],MATCH(Tabla_control[[#This Row],[LOTE]],Tabla_imprenta[LOTE],0)),"REALIZADO")</f>
        <v>REALIZADO</v>
      </c>
      <c r="F193" s="180" t="s">
        <v>2469</v>
      </c>
      <c r="G19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93" s="139" t="str">
        <f>IF(COUNTIF(Tabla_imprenta[LOTE],Tabla_control[[#This Row],[LOTE]])=1,INDEX(Tabla_imprenta[stock sap],MATCH(Tabla_control[[#This Row],[LOTE]],Tabla_imprenta[LOTE],0)),"ENTREGADO")</f>
        <v>ENTREGADO</v>
      </c>
      <c r="I193" s="139" t="str">
        <f>IF(Tabla_control[[#This Row],[STOCK SAP]]&gt;Tabla_control[[#This Row],[CANTIDAD IMPRIMIR]],"cubre","no cubre")</f>
        <v>no cubre</v>
      </c>
      <c r="J193" s="7" t="str">
        <f>IF(COUNTIF(Tabla_imprenta[LOTE],Tabla_control[[#This Row],[LOTE]])=1,INDEX(Tabla_imprenta[STOCK],MATCH(Tabla_control[[#This Row],[LOTE]],Tabla_imprenta[LOTE],0)),"ENTREGADO")</f>
        <v>ENTREGADO</v>
      </c>
      <c r="K19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93" s="148" t="e">
        <f>INDEX(Tabla_imprenta[FECHA CAJA],MATCH(Tabla_control[[#This Row],[LOTE]],Tabla_imprenta[LOTE],0))</f>
        <v>#N/A</v>
      </c>
      <c r="M19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9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9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93" s="169" t="e">
        <f>ROUNDUP(Tabla_control[[#This Row],[CANTIDAD IMPRIMIR]]/Tabla_control[[#This Row],[N TJ]],0)</f>
        <v>#VALUE!</v>
      </c>
      <c r="Q193" s="169" t="e">
        <f>IF(Tabla_control[[#This Row],[CANTIDAD TIRAJE]]&gt;10000,Tabla_control[[#This Row],[CANTIDAD TIRAJE]],Tabla_control[[#This Row],[CANTIDAD TIRAJE]]*2)</f>
        <v>#VALUE!</v>
      </c>
      <c r="R193" s="4" t="s">
        <v>177</v>
      </c>
      <c r="S193" s="4" t="s">
        <v>174</v>
      </c>
      <c r="T193" s="4"/>
      <c r="U193" s="4"/>
      <c r="V193" s="4"/>
      <c r="W193" s="138" t="s">
        <v>3223</v>
      </c>
      <c r="X193" s="138"/>
      <c r="Y193" s="138"/>
      <c r="Z193" s="138"/>
      <c r="AA193" s="4" t="s">
        <v>2314</v>
      </c>
      <c r="AB193" s="184" t="s">
        <v>2028</v>
      </c>
    </row>
    <row r="194" spans="1:28" hidden="1" x14ac:dyDescent="0.2">
      <c r="A194" s="175" t="str">
        <f>IF(COUNTIF(Tabla_imprenta[LOTE],Tabla_control[[#This Row],[LOTE]])=1,INDEX(Tabla_imprenta[FECHA EMISIÓN],MATCH(Tabla_control[[#This Row],[LOTE]],Tabla_imprenta[LOTE],0)),"REALIZADO")</f>
        <v>REALIZADO</v>
      </c>
      <c r="B194" s="142" t="str">
        <f>IF(COUNTIF(Tabla_imprenta[LOTE],Tabla_control[[#This Row],[LOTE]])=1,INDEX(Tabla_imprenta[CÓD. SOLICITUD],MATCH(Tabla_control[[#This Row],[LOTE]],Tabla_imprenta[LOTE],0)),"REALIZADO")</f>
        <v>REALIZADO</v>
      </c>
      <c r="C194" s="177" t="str">
        <f>IF(COUNTIF(Tabla_imprenta[LOTE],Tabla_control[[#This Row],[LOTE]])=1,INDEX(Tabla_imprenta[PRODUCTO],MATCH(Tabla_control[[#This Row],[LOTE]],Tabla_imprenta[LOTE],0)),"REALIZADO")</f>
        <v>REALIZADO</v>
      </c>
      <c r="D194" s="142" t="str">
        <f>IF(COUNTIF(Tabla_imprenta[LOTE],Tabla_control[[#This Row],[LOTE]])=1,INDEX(Tabla_imprenta[FORMA FARMACEUTICA],MATCH(Tabla_control[[#This Row],[LOTE]],Tabla_imprenta[LOTE],0)),"REALIZADO")</f>
        <v>REALIZADO</v>
      </c>
      <c r="E194" s="177" t="str">
        <f>IF(COUNTIF(Tabla_imprenta[LOTE],Tabla_control[[#This Row],[LOTE]])=1,INDEX(Tabla_imprenta[INSTITUCIÓN],MATCH(Tabla_control[[#This Row],[LOTE]],Tabla_imprenta[LOTE],0)),"REALIZADO")</f>
        <v>REALIZADO</v>
      </c>
      <c r="F194" s="180" t="s">
        <v>2212</v>
      </c>
      <c r="G19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94" s="139" t="str">
        <f>IF(COUNTIF(Tabla_imprenta[LOTE],Tabla_control[[#This Row],[LOTE]])=1,INDEX(Tabla_imprenta[stock sap],MATCH(Tabla_control[[#This Row],[LOTE]],Tabla_imprenta[LOTE],0)),"ENTREGADO")</f>
        <v>ENTREGADO</v>
      </c>
      <c r="I194" s="139" t="str">
        <f>IF(Tabla_control[[#This Row],[STOCK SAP]]&gt;Tabla_control[[#This Row],[CANTIDAD IMPRIMIR]],"cubre","no cubre")</f>
        <v>no cubre</v>
      </c>
      <c r="J194" s="7" t="str">
        <f>IF(COUNTIF(Tabla_imprenta[LOTE],Tabla_control[[#This Row],[LOTE]])=1,INDEX(Tabla_imprenta[STOCK],MATCH(Tabla_control[[#This Row],[LOTE]],Tabla_imprenta[LOTE],0)),"ENTREGADO")</f>
        <v>ENTREGADO</v>
      </c>
      <c r="K19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94" s="148" t="e">
        <f>INDEX(Tabla_imprenta[FECHA CAJA],MATCH(Tabla_control[[#This Row],[LOTE]],Tabla_imprenta[LOTE],0))</f>
        <v>#N/A</v>
      </c>
      <c r="M19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9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9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94" s="169" t="e">
        <f>ROUNDUP(Tabla_control[[#This Row],[CANTIDAD IMPRIMIR]]/Tabla_control[[#This Row],[N TJ]],0)</f>
        <v>#VALUE!</v>
      </c>
      <c r="Q194" s="169" t="e">
        <f>IF(Tabla_control[[#This Row],[CANTIDAD TIRAJE]]&gt;10000,Tabla_control[[#This Row],[CANTIDAD TIRAJE]],Tabla_control[[#This Row],[CANTIDAD TIRAJE]]*2)</f>
        <v>#VALUE!</v>
      </c>
      <c r="R194" s="4" t="s">
        <v>172</v>
      </c>
      <c r="S194" s="4" t="s">
        <v>30</v>
      </c>
      <c r="T194" s="4"/>
      <c r="U194" s="4"/>
      <c r="V194" s="4"/>
      <c r="W194" s="138" t="s">
        <v>3223</v>
      </c>
      <c r="X194" s="138"/>
      <c r="Y194" s="138"/>
      <c r="Z194" s="138"/>
      <c r="AA194" s="4" t="s">
        <v>2314</v>
      </c>
      <c r="AB194" s="184" t="s">
        <v>2028</v>
      </c>
    </row>
    <row r="195" spans="1:28" hidden="1" x14ac:dyDescent="0.2">
      <c r="A195" s="175" t="str">
        <f>IF(COUNTIF(Tabla_imprenta[LOTE],Tabla_control[[#This Row],[LOTE]])=1,INDEX(Tabla_imprenta[FECHA EMISIÓN],MATCH(Tabla_control[[#This Row],[LOTE]],Tabla_imprenta[LOTE],0)),"REALIZADO")</f>
        <v>REALIZADO</v>
      </c>
      <c r="B195" s="142" t="str">
        <f>IF(COUNTIF(Tabla_imprenta[LOTE],Tabla_control[[#This Row],[LOTE]])=1,INDEX(Tabla_imprenta[CÓD. SOLICITUD],MATCH(Tabla_control[[#This Row],[LOTE]],Tabla_imprenta[LOTE],0)),"REALIZADO")</f>
        <v>REALIZADO</v>
      </c>
      <c r="C195" s="177" t="str">
        <f>IF(COUNTIF(Tabla_imprenta[LOTE],Tabla_control[[#This Row],[LOTE]])=1,INDEX(Tabla_imprenta[PRODUCTO],MATCH(Tabla_control[[#This Row],[LOTE]],Tabla_imprenta[LOTE],0)),"REALIZADO")</f>
        <v>REALIZADO</v>
      </c>
      <c r="D195" s="142" t="str">
        <f>IF(COUNTIF(Tabla_imprenta[LOTE],Tabla_control[[#This Row],[LOTE]])=1,INDEX(Tabla_imprenta[FORMA FARMACEUTICA],MATCH(Tabla_control[[#This Row],[LOTE]],Tabla_imprenta[LOTE],0)),"REALIZADO")</f>
        <v>REALIZADO</v>
      </c>
      <c r="E195" s="177" t="str">
        <f>IF(COUNTIF(Tabla_imprenta[LOTE],Tabla_control[[#This Row],[LOTE]])=1,INDEX(Tabla_imprenta[INSTITUCIÓN],MATCH(Tabla_control[[#This Row],[LOTE]],Tabla_imprenta[LOTE],0)),"REALIZADO")</f>
        <v>REALIZADO</v>
      </c>
      <c r="F195" s="180" t="s">
        <v>2503</v>
      </c>
      <c r="G19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95" s="139" t="str">
        <f>IF(COUNTIF(Tabla_imprenta[LOTE],Tabla_control[[#This Row],[LOTE]])=1,INDEX(Tabla_imprenta[stock sap],MATCH(Tabla_control[[#This Row],[LOTE]],Tabla_imprenta[LOTE],0)),"ENTREGADO")</f>
        <v>ENTREGADO</v>
      </c>
      <c r="I195" s="139" t="str">
        <f>IF(Tabla_control[[#This Row],[STOCK SAP]]&gt;Tabla_control[[#This Row],[CANTIDAD IMPRIMIR]],"cubre","no cubre")</f>
        <v>no cubre</v>
      </c>
      <c r="J195" s="7" t="str">
        <f>IF(COUNTIF(Tabla_imprenta[LOTE],Tabla_control[[#This Row],[LOTE]])=1,INDEX(Tabla_imprenta[STOCK],MATCH(Tabla_control[[#This Row],[LOTE]],Tabla_imprenta[LOTE],0)),"ENTREGADO")</f>
        <v>ENTREGADO</v>
      </c>
      <c r="K19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95" s="148" t="e">
        <f>INDEX(Tabla_imprenta[FECHA CAJA],MATCH(Tabla_control[[#This Row],[LOTE]],Tabla_imprenta[LOTE],0))</f>
        <v>#N/A</v>
      </c>
      <c r="M19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9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9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95" s="169" t="e">
        <f>ROUNDUP(Tabla_control[[#This Row],[CANTIDAD IMPRIMIR]]/Tabla_control[[#This Row],[N TJ]],0)</f>
        <v>#VALUE!</v>
      </c>
      <c r="Q195" s="169" t="e">
        <f>IF(Tabla_control[[#This Row],[CANTIDAD TIRAJE]]&gt;10000,Tabla_control[[#This Row],[CANTIDAD TIRAJE]],Tabla_control[[#This Row],[CANTIDAD TIRAJE]]*2)</f>
        <v>#VALUE!</v>
      </c>
      <c r="R195" s="4" t="s">
        <v>173</v>
      </c>
      <c r="S195" s="4" t="s">
        <v>174</v>
      </c>
      <c r="T195" s="4"/>
      <c r="U195" s="4"/>
      <c r="V195" s="4"/>
      <c r="W195" s="138" t="s">
        <v>3223</v>
      </c>
      <c r="X195" s="138"/>
      <c r="Y195" s="138"/>
      <c r="Z195" s="138"/>
      <c r="AA195" s="4" t="s">
        <v>2031</v>
      </c>
      <c r="AB195" s="184" t="s">
        <v>2028</v>
      </c>
    </row>
    <row r="196" spans="1:28" hidden="1" x14ac:dyDescent="0.2">
      <c r="A196" s="175" t="str">
        <f>IF(COUNTIF(Tabla_imprenta[LOTE],Tabla_control[[#This Row],[LOTE]])=1,INDEX(Tabla_imprenta[FECHA EMISIÓN],MATCH(Tabla_control[[#This Row],[LOTE]],Tabla_imprenta[LOTE],0)),"REALIZADO")</f>
        <v>REALIZADO</v>
      </c>
      <c r="B196" s="142" t="str">
        <f>IF(COUNTIF(Tabla_imprenta[LOTE],Tabla_control[[#This Row],[LOTE]])=1,INDEX(Tabla_imprenta[CÓD. SOLICITUD],MATCH(Tabla_control[[#This Row],[LOTE]],Tabla_imprenta[LOTE],0)),"REALIZADO")</f>
        <v>REALIZADO</v>
      </c>
      <c r="C196" s="177" t="str">
        <f>IF(COUNTIF(Tabla_imprenta[LOTE],Tabla_control[[#This Row],[LOTE]])=1,INDEX(Tabla_imprenta[PRODUCTO],MATCH(Tabla_control[[#This Row],[LOTE]],Tabla_imprenta[LOTE],0)),"REALIZADO")</f>
        <v>REALIZADO</v>
      </c>
      <c r="D196" s="142" t="str">
        <f>IF(COUNTIF(Tabla_imprenta[LOTE],Tabla_control[[#This Row],[LOTE]])=1,INDEX(Tabla_imprenta[FORMA FARMACEUTICA],MATCH(Tabla_control[[#This Row],[LOTE]],Tabla_imprenta[LOTE],0)),"REALIZADO")</f>
        <v>REALIZADO</v>
      </c>
      <c r="E196" s="177" t="str">
        <f>IF(COUNTIF(Tabla_imprenta[LOTE],Tabla_control[[#This Row],[LOTE]])=1,INDEX(Tabla_imprenta[INSTITUCIÓN],MATCH(Tabla_control[[#This Row],[LOTE]],Tabla_imprenta[LOTE],0)),"REALIZADO")</f>
        <v>REALIZADO</v>
      </c>
      <c r="F196" s="180" t="s">
        <v>2218</v>
      </c>
      <c r="G19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96" s="139" t="str">
        <f>IF(COUNTIF(Tabla_imprenta[LOTE],Tabla_control[[#This Row],[LOTE]])=1,INDEX(Tabla_imprenta[stock sap],MATCH(Tabla_control[[#This Row],[LOTE]],Tabla_imprenta[LOTE],0)),"ENTREGADO")</f>
        <v>ENTREGADO</v>
      </c>
      <c r="I196" s="139" t="str">
        <f>IF(Tabla_control[[#This Row],[STOCK SAP]]&gt;Tabla_control[[#This Row],[CANTIDAD IMPRIMIR]],"cubre","no cubre")</f>
        <v>no cubre</v>
      </c>
      <c r="J196" s="7" t="str">
        <f>IF(COUNTIF(Tabla_imprenta[LOTE],Tabla_control[[#This Row],[LOTE]])=1,INDEX(Tabla_imprenta[STOCK],MATCH(Tabla_control[[#This Row],[LOTE]],Tabla_imprenta[LOTE],0)),"ENTREGADO")</f>
        <v>ENTREGADO</v>
      </c>
      <c r="K19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96" s="148" t="e">
        <f>INDEX(Tabla_imprenta[FECHA CAJA],MATCH(Tabla_control[[#This Row],[LOTE]],Tabla_imprenta[LOTE],0))</f>
        <v>#N/A</v>
      </c>
      <c r="M19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9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9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96" s="169" t="e">
        <f>ROUNDUP(Tabla_control[[#This Row],[CANTIDAD IMPRIMIR]]/Tabla_control[[#This Row],[N TJ]],0)</f>
        <v>#VALUE!</v>
      </c>
      <c r="Q196" s="169" t="e">
        <f>IF(Tabla_control[[#This Row],[CANTIDAD TIRAJE]]&gt;10000,Tabla_control[[#This Row],[CANTIDAD TIRAJE]],Tabla_control[[#This Row],[CANTIDAD TIRAJE]]*2)</f>
        <v>#VALUE!</v>
      </c>
      <c r="R196" s="4" t="s">
        <v>172</v>
      </c>
      <c r="S196" s="4" t="s">
        <v>30</v>
      </c>
      <c r="T196" s="4"/>
      <c r="U196" s="4"/>
      <c r="V196" s="4"/>
      <c r="W196" s="185" t="s">
        <v>2470</v>
      </c>
      <c r="X196" s="185"/>
      <c r="Y196" s="185"/>
      <c r="Z196" s="185"/>
      <c r="AA196" s="4" t="s">
        <v>171</v>
      </c>
      <c r="AB196" s="184" t="s">
        <v>2028</v>
      </c>
    </row>
    <row r="197" spans="1:28" hidden="1" x14ac:dyDescent="0.2">
      <c r="A197" s="175" t="str">
        <f>IF(COUNTIF(Tabla_imprenta[LOTE],Tabla_control[[#This Row],[LOTE]])=1,INDEX(Tabla_imprenta[FECHA EMISIÓN],MATCH(Tabla_control[[#This Row],[LOTE]],Tabla_imprenta[LOTE],0)),"REALIZADO")</f>
        <v>REALIZADO</v>
      </c>
      <c r="B197" s="142" t="str">
        <f>IF(COUNTIF(Tabla_imprenta[LOTE],Tabla_control[[#This Row],[LOTE]])=1,INDEX(Tabla_imprenta[CÓD. SOLICITUD],MATCH(Tabla_control[[#This Row],[LOTE]],Tabla_imprenta[LOTE],0)),"REALIZADO")</f>
        <v>REALIZADO</v>
      </c>
      <c r="C197" s="177" t="str">
        <f>IF(COUNTIF(Tabla_imprenta[LOTE],Tabla_control[[#This Row],[LOTE]])=1,INDEX(Tabla_imprenta[PRODUCTO],MATCH(Tabla_control[[#This Row],[LOTE]],Tabla_imprenta[LOTE],0)),"REALIZADO")</f>
        <v>REALIZADO</v>
      </c>
      <c r="D197" s="142" t="str">
        <f>IF(COUNTIF(Tabla_imprenta[LOTE],Tabla_control[[#This Row],[LOTE]])=1,INDEX(Tabla_imprenta[FORMA FARMACEUTICA],MATCH(Tabla_control[[#This Row],[LOTE]],Tabla_imprenta[LOTE],0)),"REALIZADO")</f>
        <v>REALIZADO</v>
      </c>
      <c r="E197" s="177" t="str">
        <f>IF(COUNTIF(Tabla_imprenta[LOTE],Tabla_control[[#This Row],[LOTE]])=1,INDEX(Tabla_imprenta[INSTITUCIÓN],MATCH(Tabla_control[[#This Row],[LOTE]],Tabla_imprenta[LOTE],0)),"REALIZADO")</f>
        <v>REALIZADO</v>
      </c>
      <c r="F197" s="180" t="s">
        <v>2225</v>
      </c>
      <c r="G19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97" s="139" t="str">
        <f>IF(COUNTIF(Tabla_imprenta[LOTE],Tabla_control[[#This Row],[LOTE]])=1,INDEX(Tabla_imprenta[stock sap],MATCH(Tabla_control[[#This Row],[LOTE]],Tabla_imprenta[LOTE],0)),"ENTREGADO")</f>
        <v>ENTREGADO</v>
      </c>
      <c r="I197" s="139" t="str">
        <f>IF(Tabla_control[[#This Row],[STOCK SAP]]&gt;Tabla_control[[#This Row],[CANTIDAD IMPRIMIR]],"cubre","no cubre")</f>
        <v>no cubre</v>
      </c>
      <c r="J197" s="7" t="str">
        <f>IF(COUNTIF(Tabla_imprenta[LOTE],Tabla_control[[#This Row],[LOTE]])=1,INDEX(Tabla_imprenta[STOCK],MATCH(Tabla_control[[#This Row],[LOTE]],Tabla_imprenta[LOTE],0)),"ENTREGADO")</f>
        <v>ENTREGADO</v>
      </c>
      <c r="K19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97" s="148" t="e">
        <f>INDEX(Tabla_imprenta[FECHA CAJA],MATCH(Tabla_control[[#This Row],[LOTE]],Tabla_imprenta[LOTE],0))</f>
        <v>#N/A</v>
      </c>
      <c r="M19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9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9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97" s="169" t="e">
        <f>ROUNDUP(Tabla_control[[#This Row],[CANTIDAD IMPRIMIR]]/Tabla_control[[#This Row],[N TJ]],0)</f>
        <v>#VALUE!</v>
      </c>
      <c r="Q197" s="169" t="e">
        <f>IF(Tabla_control[[#This Row],[CANTIDAD TIRAJE]]&gt;10000,Tabla_control[[#This Row],[CANTIDAD TIRAJE]],Tabla_control[[#This Row],[CANTIDAD TIRAJE]]*2)</f>
        <v>#VALUE!</v>
      </c>
      <c r="R197" s="4" t="s">
        <v>177</v>
      </c>
      <c r="S197" s="4" t="s">
        <v>31</v>
      </c>
      <c r="T197" s="4"/>
      <c r="U197" s="4"/>
      <c r="V197" s="4"/>
      <c r="W197" s="138" t="s">
        <v>3223</v>
      </c>
      <c r="X197" s="138"/>
      <c r="Y197" s="138"/>
      <c r="Z197" s="138"/>
      <c r="AA197" s="4" t="s">
        <v>2031</v>
      </c>
      <c r="AB197" s="184" t="s">
        <v>2028</v>
      </c>
    </row>
    <row r="198" spans="1:28" hidden="1" x14ac:dyDescent="0.2">
      <c r="A198" s="175" t="str">
        <f>IF(COUNTIF(Tabla_imprenta[LOTE],Tabla_control[[#This Row],[LOTE]])=1,INDEX(Tabla_imprenta[FECHA EMISIÓN],MATCH(Tabla_control[[#This Row],[LOTE]],Tabla_imprenta[LOTE],0)),"REALIZADO")</f>
        <v>REALIZADO</v>
      </c>
      <c r="B198" s="142" t="str">
        <f>IF(COUNTIF(Tabla_imprenta[LOTE],Tabla_control[[#This Row],[LOTE]])=1,INDEX(Tabla_imprenta[CÓD. SOLICITUD],MATCH(Tabla_control[[#This Row],[LOTE]],Tabla_imprenta[LOTE],0)),"REALIZADO")</f>
        <v>REALIZADO</v>
      </c>
      <c r="C198" s="177" t="str">
        <f>IF(COUNTIF(Tabla_imprenta[LOTE],Tabla_control[[#This Row],[LOTE]])=1,INDEX(Tabla_imprenta[PRODUCTO],MATCH(Tabla_control[[#This Row],[LOTE]],Tabla_imprenta[LOTE],0)),"REALIZADO")</f>
        <v>REALIZADO</v>
      </c>
      <c r="D198" s="142" t="str">
        <f>IF(COUNTIF(Tabla_imprenta[LOTE],Tabla_control[[#This Row],[LOTE]])=1,INDEX(Tabla_imprenta[FORMA FARMACEUTICA],MATCH(Tabla_control[[#This Row],[LOTE]],Tabla_imprenta[LOTE],0)),"REALIZADO")</f>
        <v>REALIZADO</v>
      </c>
      <c r="E198" s="177" t="str">
        <f>IF(COUNTIF(Tabla_imprenta[LOTE],Tabla_control[[#This Row],[LOTE]])=1,INDEX(Tabla_imprenta[INSTITUCIÓN],MATCH(Tabla_control[[#This Row],[LOTE]],Tabla_imprenta[LOTE],0)),"REALIZADO")</f>
        <v>REALIZADO</v>
      </c>
      <c r="F198" s="180" t="s">
        <v>2510</v>
      </c>
      <c r="G19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98" s="139" t="str">
        <f>IF(COUNTIF(Tabla_imprenta[LOTE],Tabla_control[[#This Row],[LOTE]])=1,INDEX(Tabla_imprenta[stock sap],MATCH(Tabla_control[[#This Row],[LOTE]],Tabla_imprenta[LOTE],0)),"ENTREGADO")</f>
        <v>ENTREGADO</v>
      </c>
      <c r="I198" s="139" t="str">
        <f>IF(Tabla_control[[#This Row],[STOCK SAP]]&gt;Tabla_control[[#This Row],[CANTIDAD IMPRIMIR]],"cubre","no cubre")</f>
        <v>no cubre</v>
      </c>
      <c r="J198" s="7" t="str">
        <f>IF(COUNTIF(Tabla_imprenta[LOTE],Tabla_control[[#This Row],[LOTE]])=1,INDEX(Tabla_imprenta[STOCK],MATCH(Tabla_control[[#This Row],[LOTE]],Tabla_imprenta[LOTE],0)),"ENTREGADO")</f>
        <v>ENTREGADO</v>
      </c>
      <c r="K19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98" s="148" t="e">
        <f>INDEX(Tabla_imprenta[FECHA CAJA],MATCH(Tabla_control[[#This Row],[LOTE]],Tabla_imprenta[LOTE],0))</f>
        <v>#N/A</v>
      </c>
      <c r="M19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9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9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98" s="169" t="e">
        <f>ROUNDUP(Tabla_control[[#This Row],[CANTIDAD IMPRIMIR]]/Tabla_control[[#This Row],[N TJ]],0)</f>
        <v>#VALUE!</v>
      </c>
      <c r="Q198" s="169" t="e">
        <f>IF(Tabla_control[[#This Row],[CANTIDAD TIRAJE]]&gt;10000,Tabla_control[[#This Row],[CANTIDAD TIRAJE]],Tabla_control[[#This Row],[CANTIDAD TIRAJE]]*2)</f>
        <v>#VALUE!</v>
      </c>
      <c r="R198" s="4" t="s">
        <v>2206</v>
      </c>
      <c r="S198" s="4" t="s">
        <v>174</v>
      </c>
      <c r="T198" s="4"/>
      <c r="U198" s="4"/>
      <c r="V198" s="4"/>
      <c r="W198" s="138" t="s">
        <v>3223</v>
      </c>
      <c r="X198" s="138"/>
      <c r="Y198" s="138"/>
      <c r="Z198" s="138"/>
      <c r="AA198" s="4" t="s">
        <v>2031</v>
      </c>
      <c r="AB198" s="184" t="s">
        <v>2028</v>
      </c>
    </row>
    <row r="199" spans="1:28" hidden="1" x14ac:dyDescent="0.2">
      <c r="A199" s="175" t="str">
        <f>IF(COUNTIF(Tabla_imprenta[LOTE],Tabla_control[[#This Row],[LOTE]])=1,INDEX(Tabla_imprenta[FECHA EMISIÓN],MATCH(Tabla_control[[#This Row],[LOTE]],Tabla_imprenta[LOTE],0)),"REALIZADO")</f>
        <v>REALIZADO</v>
      </c>
      <c r="B199" s="142" t="str">
        <f>IF(COUNTIF(Tabla_imprenta[LOTE],Tabla_control[[#This Row],[LOTE]])=1,INDEX(Tabla_imprenta[CÓD. SOLICITUD],MATCH(Tabla_control[[#This Row],[LOTE]],Tabla_imprenta[LOTE],0)),"REALIZADO")</f>
        <v>REALIZADO</v>
      </c>
      <c r="C199" s="177" t="str">
        <f>IF(COUNTIF(Tabla_imprenta[LOTE],Tabla_control[[#This Row],[LOTE]])=1,INDEX(Tabla_imprenta[PRODUCTO],MATCH(Tabla_control[[#This Row],[LOTE]],Tabla_imprenta[LOTE],0)),"REALIZADO")</f>
        <v>REALIZADO</v>
      </c>
      <c r="D199" s="142" t="str">
        <f>IF(COUNTIF(Tabla_imprenta[LOTE],Tabla_control[[#This Row],[LOTE]])=1,INDEX(Tabla_imprenta[FORMA FARMACEUTICA],MATCH(Tabla_control[[#This Row],[LOTE]],Tabla_imprenta[LOTE],0)),"REALIZADO")</f>
        <v>REALIZADO</v>
      </c>
      <c r="E199" s="177" t="str">
        <f>IF(COUNTIF(Tabla_imprenta[LOTE],Tabla_control[[#This Row],[LOTE]])=1,INDEX(Tabla_imprenta[INSTITUCIÓN],MATCH(Tabla_control[[#This Row],[LOTE]],Tabla_imprenta[LOTE],0)),"REALIZADO")</f>
        <v>REALIZADO</v>
      </c>
      <c r="F199" s="183" t="s">
        <v>160</v>
      </c>
      <c r="G19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199" s="139" t="str">
        <f>IF(COUNTIF(Tabla_imprenta[LOTE],Tabla_control[[#This Row],[LOTE]])=1,INDEX(Tabla_imprenta[stock sap],MATCH(Tabla_control[[#This Row],[LOTE]],Tabla_imprenta[LOTE],0)),"ENTREGADO")</f>
        <v>ENTREGADO</v>
      </c>
      <c r="I199" s="139" t="str">
        <f>IF(Tabla_control[[#This Row],[STOCK SAP]]&gt;Tabla_control[[#This Row],[CANTIDAD IMPRIMIR]],"cubre","no cubre")</f>
        <v>no cubre</v>
      </c>
      <c r="J199" s="7" t="str">
        <f>IF(COUNTIF(Tabla_imprenta[LOTE],Tabla_control[[#This Row],[LOTE]])=1,INDEX(Tabla_imprenta[STOCK],MATCH(Tabla_control[[#This Row],[LOTE]],Tabla_imprenta[LOTE],0)),"ENTREGADO")</f>
        <v>ENTREGADO</v>
      </c>
      <c r="K19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199" s="148" t="e">
        <f>INDEX(Tabla_imprenta[FECHA CAJA],MATCH(Tabla_control[[#This Row],[LOTE]],Tabla_imprenta[LOTE],0))</f>
        <v>#N/A</v>
      </c>
      <c r="M19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19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19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199" s="169" t="e">
        <f>ROUNDUP(Tabla_control[[#This Row],[CANTIDAD IMPRIMIR]]/Tabla_control[[#This Row],[N TJ]],0)</f>
        <v>#VALUE!</v>
      </c>
      <c r="Q199" s="169" t="e">
        <f>IF(Tabla_control[[#This Row],[CANTIDAD TIRAJE]]&gt;10000,Tabla_control[[#This Row],[CANTIDAD TIRAJE]],Tabla_control[[#This Row],[CANTIDAD TIRAJE]]*2)</f>
        <v>#VALUE!</v>
      </c>
      <c r="R199" s="4" t="s">
        <v>172</v>
      </c>
      <c r="S199" s="4" t="s">
        <v>30</v>
      </c>
      <c r="T199" s="4"/>
      <c r="U199" s="4"/>
      <c r="V199" s="4"/>
      <c r="W199" s="138" t="s">
        <v>3223</v>
      </c>
      <c r="X199" s="138"/>
      <c r="Y199" s="138"/>
      <c r="Z199" s="138"/>
      <c r="AA199" s="4" t="s">
        <v>2031</v>
      </c>
      <c r="AB199" s="184" t="s">
        <v>2028</v>
      </c>
    </row>
    <row r="200" spans="1:28" hidden="1" x14ac:dyDescent="0.2">
      <c r="A200" s="175" t="str">
        <f>IF(COUNTIF(Tabla_imprenta[LOTE],Tabla_control[[#This Row],[LOTE]])=1,INDEX(Tabla_imprenta[FECHA EMISIÓN],MATCH(Tabla_control[[#This Row],[LOTE]],Tabla_imprenta[LOTE],0)),"REALIZADO")</f>
        <v>REALIZADO</v>
      </c>
      <c r="B200" s="142" t="str">
        <f>IF(COUNTIF(Tabla_imprenta[LOTE],Tabla_control[[#This Row],[LOTE]])=1,INDEX(Tabla_imprenta[CÓD. SOLICITUD],MATCH(Tabla_control[[#This Row],[LOTE]],Tabla_imprenta[LOTE],0)),"REALIZADO")</f>
        <v>REALIZADO</v>
      </c>
      <c r="C200" s="177" t="str">
        <f>IF(COUNTIF(Tabla_imprenta[LOTE],Tabla_control[[#This Row],[LOTE]])=1,INDEX(Tabla_imprenta[PRODUCTO],MATCH(Tabla_control[[#This Row],[LOTE]],Tabla_imprenta[LOTE],0)),"REALIZADO")</f>
        <v>REALIZADO</v>
      </c>
      <c r="D200" s="142" t="str">
        <f>IF(COUNTIF(Tabla_imprenta[LOTE],Tabla_control[[#This Row],[LOTE]])=1,INDEX(Tabla_imprenta[FORMA FARMACEUTICA],MATCH(Tabla_control[[#This Row],[LOTE]],Tabla_imprenta[LOTE],0)),"REALIZADO")</f>
        <v>REALIZADO</v>
      </c>
      <c r="E200" s="177" t="str">
        <f>IF(COUNTIF(Tabla_imprenta[LOTE],Tabla_control[[#This Row],[LOTE]])=1,INDEX(Tabla_imprenta[INSTITUCIÓN],MATCH(Tabla_control[[#This Row],[LOTE]],Tabla_imprenta[LOTE],0)),"REALIZADO")</f>
        <v>REALIZADO</v>
      </c>
      <c r="F200" s="180" t="s">
        <v>2468</v>
      </c>
      <c r="G20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00" s="139" t="str">
        <f>IF(COUNTIF(Tabla_imprenta[LOTE],Tabla_control[[#This Row],[LOTE]])=1,INDEX(Tabla_imprenta[stock sap],MATCH(Tabla_control[[#This Row],[LOTE]],Tabla_imprenta[LOTE],0)),"ENTREGADO")</f>
        <v>ENTREGADO</v>
      </c>
      <c r="I200" s="139" t="str">
        <f>IF(Tabla_control[[#This Row],[STOCK SAP]]&gt;Tabla_control[[#This Row],[CANTIDAD IMPRIMIR]],"cubre","no cubre")</f>
        <v>no cubre</v>
      </c>
      <c r="J200" s="7" t="str">
        <f>IF(COUNTIF(Tabla_imprenta[LOTE],Tabla_control[[#This Row],[LOTE]])=1,INDEX(Tabla_imprenta[STOCK],MATCH(Tabla_control[[#This Row],[LOTE]],Tabla_imprenta[LOTE],0)),"ENTREGADO")</f>
        <v>ENTREGADO</v>
      </c>
      <c r="K20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00" s="148" t="e">
        <f>INDEX(Tabla_imprenta[FECHA CAJA],MATCH(Tabla_control[[#This Row],[LOTE]],Tabla_imprenta[LOTE],0))</f>
        <v>#N/A</v>
      </c>
      <c r="M20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0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0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00" s="169" t="e">
        <f>ROUNDUP(Tabla_control[[#This Row],[CANTIDAD IMPRIMIR]]/Tabla_control[[#This Row],[N TJ]],0)</f>
        <v>#VALUE!</v>
      </c>
      <c r="Q200" s="169" t="e">
        <f>IF(Tabla_control[[#This Row],[CANTIDAD TIRAJE]]&gt;10000,Tabla_control[[#This Row],[CANTIDAD TIRAJE]],Tabla_control[[#This Row],[CANTIDAD TIRAJE]]*2)</f>
        <v>#VALUE!</v>
      </c>
      <c r="R200" s="4" t="s">
        <v>177</v>
      </c>
      <c r="S200" s="4" t="s">
        <v>174</v>
      </c>
      <c r="T200" s="4"/>
      <c r="U200" s="4"/>
      <c r="V200" s="4"/>
      <c r="W200" s="138" t="s">
        <v>3223</v>
      </c>
      <c r="X200" s="138"/>
      <c r="Y200" s="138"/>
      <c r="Z200" s="138"/>
      <c r="AA200" s="4" t="s">
        <v>2429</v>
      </c>
      <c r="AB200" s="184" t="s">
        <v>2028</v>
      </c>
    </row>
    <row r="201" spans="1:28" hidden="1" x14ac:dyDescent="0.2">
      <c r="A201" s="175" t="str">
        <f>IF(COUNTIF(Tabla_imprenta[LOTE],Tabla_control[[#This Row],[LOTE]])=1,INDEX(Tabla_imprenta[FECHA EMISIÓN],MATCH(Tabla_control[[#This Row],[LOTE]],Tabla_imprenta[LOTE],0)),"REALIZADO")</f>
        <v>REALIZADO</v>
      </c>
      <c r="B201" s="142" t="str">
        <f>IF(COUNTIF(Tabla_imprenta[LOTE],Tabla_control[[#This Row],[LOTE]])=1,INDEX(Tabla_imprenta[CÓD. SOLICITUD],MATCH(Tabla_control[[#This Row],[LOTE]],Tabla_imprenta[LOTE],0)),"REALIZADO")</f>
        <v>REALIZADO</v>
      </c>
      <c r="C201" s="177" t="str">
        <f>IF(COUNTIF(Tabla_imprenta[LOTE],Tabla_control[[#This Row],[LOTE]])=1,INDEX(Tabla_imprenta[PRODUCTO],MATCH(Tabla_control[[#This Row],[LOTE]],Tabla_imprenta[LOTE],0)),"REALIZADO")</f>
        <v>REALIZADO</v>
      </c>
      <c r="D201" s="142" t="str">
        <f>IF(COUNTIF(Tabla_imprenta[LOTE],Tabla_control[[#This Row],[LOTE]])=1,INDEX(Tabla_imprenta[FORMA FARMACEUTICA],MATCH(Tabla_control[[#This Row],[LOTE]],Tabla_imprenta[LOTE],0)),"REALIZADO")</f>
        <v>REALIZADO</v>
      </c>
      <c r="E201" s="177" t="str">
        <f>IF(COUNTIF(Tabla_imprenta[LOTE],Tabla_control[[#This Row],[LOTE]])=1,INDEX(Tabla_imprenta[INSTITUCIÓN],MATCH(Tabla_control[[#This Row],[LOTE]],Tabla_imprenta[LOTE],0)),"REALIZADO")</f>
        <v>REALIZADO</v>
      </c>
      <c r="F201" s="180" t="s">
        <v>2507</v>
      </c>
      <c r="G20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01" s="139" t="str">
        <f>IF(COUNTIF(Tabla_imprenta[LOTE],Tabla_control[[#This Row],[LOTE]])=1,INDEX(Tabla_imprenta[stock sap],MATCH(Tabla_control[[#This Row],[LOTE]],Tabla_imprenta[LOTE],0)),"ENTREGADO")</f>
        <v>ENTREGADO</v>
      </c>
      <c r="I201" s="139" t="str">
        <f>IF(Tabla_control[[#This Row],[STOCK SAP]]&gt;Tabla_control[[#This Row],[CANTIDAD IMPRIMIR]],"cubre","no cubre")</f>
        <v>no cubre</v>
      </c>
      <c r="J201" s="7" t="str">
        <f>IF(COUNTIF(Tabla_imprenta[LOTE],Tabla_control[[#This Row],[LOTE]])=1,INDEX(Tabla_imprenta[STOCK],MATCH(Tabla_control[[#This Row],[LOTE]],Tabla_imprenta[LOTE],0)),"ENTREGADO")</f>
        <v>ENTREGADO</v>
      </c>
      <c r="K20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01" s="148" t="e">
        <f>INDEX(Tabla_imprenta[FECHA CAJA],MATCH(Tabla_control[[#This Row],[LOTE]],Tabla_imprenta[LOTE],0))</f>
        <v>#N/A</v>
      </c>
      <c r="M20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0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0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01" s="169" t="e">
        <f>ROUNDUP(Tabla_control[[#This Row],[CANTIDAD IMPRIMIR]]/Tabla_control[[#This Row],[N TJ]],0)</f>
        <v>#VALUE!</v>
      </c>
      <c r="Q201" s="169" t="e">
        <f>IF(Tabla_control[[#This Row],[CANTIDAD TIRAJE]]&gt;10000,Tabla_control[[#This Row],[CANTIDAD TIRAJE]],Tabla_control[[#This Row],[CANTIDAD TIRAJE]]*2)</f>
        <v>#VALUE!</v>
      </c>
      <c r="R201" s="4" t="s">
        <v>173</v>
      </c>
      <c r="S201" s="4" t="s">
        <v>174</v>
      </c>
      <c r="T201" s="4"/>
      <c r="U201" s="4"/>
      <c r="V201" s="4"/>
      <c r="W201" s="138" t="s">
        <v>3223</v>
      </c>
      <c r="X201" s="138"/>
      <c r="Y201" s="138"/>
      <c r="Z201" s="138"/>
      <c r="AA201" s="4" t="s">
        <v>321</v>
      </c>
      <c r="AB201" s="184" t="s">
        <v>2028</v>
      </c>
    </row>
    <row r="202" spans="1:28" hidden="1" x14ac:dyDescent="0.2">
      <c r="A202" s="175" t="str">
        <f>IF(COUNTIF(Tabla_imprenta[LOTE],Tabla_control[[#This Row],[LOTE]])=1,INDEX(Tabla_imprenta[FECHA EMISIÓN],MATCH(Tabla_control[[#This Row],[LOTE]],Tabla_imprenta[LOTE],0)),"REALIZADO")</f>
        <v>REALIZADO</v>
      </c>
      <c r="B202" s="142" t="str">
        <f>IF(COUNTIF(Tabla_imprenta[LOTE],Tabla_control[[#This Row],[LOTE]])=1,INDEX(Tabla_imprenta[CÓD. SOLICITUD],MATCH(Tabla_control[[#This Row],[LOTE]],Tabla_imprenta[LOTE],0)),"REALIZADO")</f>
        <v>REALIZADO</v>
      </c>
      <c r="C202" s="177" t="str">
        <f>IF(COUNTIF(Tabla_imprenta[LOTE],Tabla_control[[#This Row],[LOTE]])=1,INDEX(Tabla_imprenta[PRODUCTO],MATCH(Tabla_control[[#This Row],[LOTE]],Tabla_imprenta[LOTE],0)),"REALIZADO")</f>
        <v>REALIZADO</v>
      </c>
      <c r="D202" s="142" t="str">
        <f>IF(COUNTIF(Tabla_imprenta[LOTE],Tabla_control[[#This Row],[LOTE]])=1,INDEX(Tabla_imprenta[FORMA FARMACEUTICA],MATCH(Tabla_control[[#This Row],[LOTE]],Tabla_imprenta[LOTE],0)),"REALIZADO")</f>
        <v>REALIZADO</v>
      </c>
      <c r="E202" s="177" t="str">
        <f>IF(COUNTIF(Tabla_imprenta[LOTE],Tabla_control[[#This Row],[LOTE]])=1,INDEX(Tabla_imprenta[INSTITUCIÓN],MATCH(Tabla_control[[#This Row],[LOTE]],Tabla_imprenta[LOTE],0)),"REALIZADO")</f>
        <v>REALIZADO</v>
      </c>
      <c r="F202" s="180" t="s">
        <v>2190</v>
      </c>
      <c r="G20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02" s="139" t="str">
        <f>IF(COUNTIF(Tabla_imprenta[LOTE],Tabla_control[[#This Row],[LOTE]])=1,INDEX(Tabla_imprenta[stock sap],MATCH(Tabla_control[[#This Row],[LOTE]],Tabla_imprenta[LOTE],0)),"ENTREGADO")</f>
        <v>ENTREGADO</v>
      </c>
      <c r="I202" s="139" t="str">
        <f>IF(Tabla_control[[#This Row],[STOCK SAP]]&gt;Tabla_control[[#This Row],[CANTIDAD IMPRIMIR]],"cubre","no cubre")</f>
        <v>no cubre</v>
      </c>
      <c r="J202" s="7" t="str">
        <f>IF(COUNTIF(Tabla_imprenta[LOTE],Tabla_control[[#This Row],[LOTE]])=1,INDEX(Tabla_imprenta[STOCK],MATCH(Tabla_control[[#This Row],[LOTE]],Tabla_imprenta[LOTE],0)),"ENTREGADO")</f>
        <v>ENTREGADO</v>
      </c>
      <c r="K20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02" s="148" t="e">
        <f>INDEX(Tabla_imprenta[FECHA CAJA],MATCH(Tabla_control[[#This Row],[LOTE]],Tabla_imprenta[LOTE],0))</f>
        <v>#N/A</v>
      </c>
      <c r="M20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0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0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02" s="169" t="e">
        <f>ROUNDUP(Tabla_control[[#This Row],[CANTIDAD IMPRIMIR]]/Tabla_control[[#This Row],[N TJ]],0)</f>
        <v>#VALUE!</v>
      </c>
      <c r="Q202" s="169" t="e">
        <f>IF(Tabla_control[[#This Row],[CANTIDAD TIRAJE]]&gt;10000,Tabla_control[[#This Row],[CANTIDAD TIRAJE]],Tabla_control[[#This Row],[CANTIDAD TIRAJE]]*2)</f>
        <v>#VALUE!</v>
      </c>
      <c r="R202" s="4" t="s">
        <v>2030</v>
      </c>
      <c r="S202" s="4" t="s">
        <v>31</v>
      </c>
      <c r="T202" s="4"/>
      <c r="U202" s="4"/>
      <c r="V202" s="4"/>
      <c r="W202" s="138" t="s">
        <v>3223</v>
      </c>
      <c r="X202" s="138"/>
      <c r="Y202" s="138"/>
      <c r="Z202" s="138"/>
      <c r="AA202" s="4" t="s">
        <v>2031</v>
      </c>
      <c r="AB202" s="184" t="s">
        <v>2028</v>
      </c>
    </row>
    <row r="203" spans="1:28" hidden="1" x14ac:dyDescent="0.2">
      <c r="A203" s="175" t="str">
        <f>IF(COUNTIF(Tabla_imprenta[LOTE],Tabla_control[[#This Row],[LOTE]])=1,INDEX(Tabla_imprenta[FECHA EMISIÓN],MATCH(Tabla_control[[#This Row],[LOTE]],Tabla_imprenta[LOTE],0)),"REALIZADO")</f>
        <v>REALIZADO</v>
      </c>
      <c r="B203" s="142" t="str">
        <f>IF(COUNTIF(Tabla_imprenta[LOTE],Tabla_control[[#This Row],[LOTE]])=1,INDEX(Tabla_imprenta[CÓD. SOLICITUD],MATCH(Tabla_control[[#This Row],[LOTE]],Tabla_imprenta[LOTE],0)),"REALIZADO")</f>
        <v>REALIZADO</v>
      </c>
      <c r="C203" s="177" t="str">
        <f>IF(COUNTIF(Tabla_imprenta[LOTE],Tabla_control[[#This Row],[LOTE]])=1,INDEX(Tabla_imprenta[PRODUCTO],MATCH(Tabla_control[[#This Row],[LOTE]],Tabla_imprenta[LOTE],0)),"REALIZADO")</f>
        <v>REALIZADO</v>
      </c>
      <c r="D203" s="142" t="str">
        <f>IF(COUNTIF(Tabla_imprenta[LOTE],Tabla_control[[#This Row],[LOTE]])=1,INDEX(Tabla_imprenta[FORMA FARMACEUTICA],MATCH(Tabla_control[[#This Row],[LOTE]],Tabla_imprenta[LOTE],0)),"REALIZADO")</f>
        <v>REALIZADO</v>
      </c>
      <c r="E203" s="177" t="str">
        <f>IF(COUNTIF(Tabla_imprenta[LOTE],Tabla_control[[#This Row],[LOTE]])=1,INDEX(Tabla_imprenta[INSTITUCIÓN],MATCH(Tabla_control[[#This Row],[LOTE]],Tabla_imprenta[LOTE],0)),"REALIZADO")</f>
        <v>REALIZADO</v>
      </c>
      <c r="F203" s="180" t="s">
        <v>2142</v>
      </c>
      <c r="G20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03" s="139" t="str">
        <f>IF(COUNTIF(Tabla_imprenta[LOTE],Tabla_control[[#This Row],[LOTE]])=1,INDEX(Tabla_imprenta[stock sap],MATCH(Tabla_control[[#This Row],[LOTE]],Tabla_imprenta[LOTE],0)),"ENTREGADO")</f>
        <v>ENTREGADO</v>
      </c>
      <c r="I203" s="139" t="str">
        <f>IF(Tabla_control[[#This Row],[STOCK SAP]]&gt;Tabla_control[[#This Row],[CANTIDAD IMPRIMIR]],"cubre","no cubre")</f>
        <v>no cubre</v>
      </c>
      <c r="J203" s="7" t="str">
        <f>IF(COUNTIF(Tabla_imprenta[LOTE],Tabla_control[[#This Row],[LOTE]])=1,INDEX(Tabla_imprenta[STOCK],MATCH(Tabla_control[[#This Row],[LOTE]],Tabla_imprenta[LOTE],0)),"ENTREGADO")</f>
        <v>ENTREGADO</v>
      </c>
      <c r="K20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03" s="148" t="e">
        <f>INDEX(Tabla_imprenta[FECHA CAJA],MATCH(Tabla_control[[#This Row],[LOTE]],Tabla_imprenta[LOTE],0))</f>
        <v>#N/A</v>
      </c>
      <c r="M20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0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0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03" s="169" t="e">
        <f>ROUNDUP(Tabla_control[[#This Row],[CANTIDAD IMPRIMIR]]/Tabla_control[[#This Row],[N TJ]],0)</f>
        <v>#VALUE!</v>
      </c>
      <c r="Q203" s="169" t="e">
        <f>IF(Tabla_control[[#This Row],[CANTIDAD TIRAJE]]&gt;10000,Tabla_control[[#This Row],[CANTIDAD TIRAJE]],Tabla_control[[#This Row],[CANTIDAD TIRAJE]]*2)</f>
        <v>#VALUE!</v>
      </c>
      <c r="R203" s="4" t="s">
        <v>175</v>
      </c>
      <c r="S203" s="4" t="s">
        <v>174</v>
      </c>
      <c r="T203" s="4"/>
      <c r="U203" s="4"/>
      <c r="V203" s="4"/>
      <c r="W203" s="138" t="s">
        <v>3223</v>
      </c>
      <c r="X203" s="138"/>
      <c r="Y203" s="138"/>
      <c r="Z203" s="138"/>
      <c r="AA203" s="4" t="s">
        <v>2031</v>
      </c>
      <c r="AB203" s="184" t="s">
        <v>2028</v>
      </c>
    </row>
    <row r="204" spans="1:28" hidden="1" x14ac:dyDescent="0.2">
      <c r="A204" s="175" t="str">
        <f>IF(COUNTIF(Tabla_imprenta[LOTE],Tabla_control[[#This Row],[LOTE]])=1,INDEX(Tabla_imprenta[FECHA EMISIÓN],MATCH(Tabla_control[[#This Row],[LOTE]],Tabla_imprenta[LOTE],0)),"REALIZADO")</f>
        <v>REALIZADO</v>
      </c>
      <c r="B204" s="142" t="str">
        <f>IF(COUNTIF(Tabla_imprenta[LOTE],Tabla_control[[#This Row],[LOTE]])=1,INDEX(Tabla_imprenta[CÓD. SOLICITUD],MATCH(Tabla_control[[#This Row],[LOTE]],Tabla_imprenta[LOTE],0)),"REALIZADO")</f>
        <v>REALIZADO</v>
      </c>
      <c r="C204" s="177" t="str">
        <f>IF(COUNTIF(Tabla_imprenta[LOTE],Tabla_control[[#This Row],[LOTE]])=1,INDEX(Tabla_imprenta[PRODUCTO],MATCH(Tabla_control[[#This Row],[LOTE]],Tabla_imprenta[LOTE],0)),"REALIZADO")</f>
        <v>REALIZADO</v>
      </c>
      <c r="D204" s="142" t="str">
        <f>IF(COUNTIF(Tabla_imprenta[LOTE],Tabla_control[[#This Row],[LOTE]])=1,INDEX(Tabla_imprenta[FORMA FARMACEUTICA],MATCH(Tabla_control[[#This Row],[LOTE]],Tabla_imprenta[LOTE],0)),"REALIZADO")</f>
        <v>REALIZADO</v>
      </c>
      <c r="E204" s="177" t="str">
        <f>IF(COUNTIF(Tabla_imprenta[LOTE],Tabla_control[[#This Row],[LOTE]])=1,INDEX(Tabla_imprenta[INSTITUCIÓN],MATCH(Tabla_control[[#This Row],[LOTE]],Tabla_imprenta[LOTE],0)),"REALIZADO")</f>
        <v>REALIZADO</v>
      </c>
      <c r="F204" s="180" t="s">
        <v>2509</v>
      </c>
      <c r="G20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04" s="139" t="str">
        <f>IF(COUNTIF(Tabla_imprenta[LOTE],Tabla_control[[#This Row],[LOTE]])=1,INDEX(Tabla_imprenta[stock sap],MATCH(Tabla_control[[#This Row],[LOTE]],Tabla_imprenta[LOTE],0)),"ENTREGADO")</f>
        <v>ENTREGADO</v>
      </c>
      <c r="I204" s="139" t="str">
        <f>IF(Tabla_control[[#This Row],[STOCK SAP]]&gt;Tabla_control[[#This Row],[CANTIDAD IMPRIMIR]],"cubre","no cubre")</f>
        <v>no cubre</v>
      </c>
      <c r="J204" s="7" t="str">
        <f>IF(COUNTIF(Tabla_imprenta[LOTE],Tabla_control[[#This Row],[LOTE]])=1,INDEX(Tabla_imprenta[STOCK],MATCH(Tabla_control[[#This Row],[LOTE]],Tabla_imprenta[LOTE],0)),"ENTREGADO")</f>
        <v>ENTREGADO</v>
      </c>
      <c r="K20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04" s="148" t="e">
        <f>INDEX(Tabla_imprenta[FECHA CAJA],MATCH(Tabla_control[[#This Row],[LOTE]],Tabla_imprenta[LOTE],0))</f>
        <v>#N/A</v>
      </c>
      <c r="M20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0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0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04" s="169" t="e">
        <f>ROUNDUP(Tabla_control[[#This Row],[CANTIDAD IMPRIMIR]]/Tabla_control[[#This Row],[N TJ]],0)</f>
        <v>#VALUE!</v>
      </c>
      <c r="Q204" s="169" t="e">
        <f>IF(Tabla_control[[#This Row],[CANTIDAD TIRAJE]]&gt;10000,Tabla_control[[#This Row],[CANTIDAD TIRAJE]],Tabla_control[[#This Row],[CANTIDAD TIRAJE]]*2)</f>
        <v>#VALUE!</v>
      </c>
      <c r="R204" s="4" t="s">
        <v>173</v>
      </c>
      <c r="S204" s="4" t="s">
        <v>174</v>
      </c>
      <c r="T204" s="4"/>
      <c r="U204" s="4"/>
      <c r="V204" s="4"/>
      <c r="W204" s="138" t="s">
        <v>3223</v>
      </c>
      <c r="X204" s="138"/>
      <c r="Y204" s="138"/>
      <c r="Z204" s="138"/>
      <c r="AA204" s="4" t="s">
        <v>2031</v>
      </c>
      <c r="AB204" s="184" t="s">
        <v>2028</v>
      </c>
    </row>
    <row r="205" spans="1:28" hidden="1" x14ac:dyDescent="0.2">
      <c r="A205" s="175" t="str">
        <f>IF(COUNTIF(Tabla_imprenta[LOTE],Tabla_control[[#This Row],[LOTE]])=1,INDEX(Tabla_imprenta[FECHA EMISIÓN],MATCH(Tabla_control[[#This Row],[LOTE]],Tabla_imprenta[LOTE],0)),"REALIZADO")</f>
        <v>REALIZADO</v>
      </c>
      <c r="B205" s="142" t="str">
        <f>IF(COUNTIF(Tabla_imprenta[LOTE],Tabla_control[[#This Row],[LOTE]])=1,INDEX(Tabla_imprenta[CÓD. SOLICITUD],MATCH(Tabla_control[[#This Row],[LOTE]],Tabla_imprenta[LOTE],0)),"REALIZADO")</f>
        <v>REALIZADO</v>
      </c>
      <c r="C205" s="177" t="str">
        <f>IF(COUNTIF(Tabla_imprenta[LOTE],Tabla_control[[#This Row],[LOTE]])=1,INDEX(Tabla_imprenta[PRODUCTO],MATCH(Tabla_control[[#This Row],[LOTE]],Tabla_imprenta[LOTE],0)),"REALIZADO")</f>
        <v>REALIZADO</v>
      </c>
      <c r="D205" s="142" t="str">
        <f>IF(COUNTIF(Tabla_imprenta[LOTE],Tabla_control[[#This Row],[LOTE]])=1,INDEX(Tabla_imprenta[FORMA FARMACEUTICA],MATCH(Tabla_control[[#This Row],[LOTE]],Tabla_imprenta[LOTE],0)),"REALIZADO")</f>
        <v>REALIZADO</v>
      </c>
      <c r="E205" s="177" t="str">
        <f>IF(COUNTIF(Tabla_imprenta[LOTE],Tabla_control[[#This Row],[LOTE]])=1,INDEX(Tabla_imprenta[INSTITUCIÓN],MATCH(Tabla_control[[#This Row],[LOTE]],Tabla_imprenta[LOTE],0)),"REALIZADO")</f>
        <v>REALIZADO</v>
      </c>
      <c r="F205" s="180" t="s">
        <v>2438</v>
      </c>
      <c r="G20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05" s="139" t="str">
        <f>IF(COUNTIF(Tabla_imprenta[LOTE],Tabla_control[[#This Row],[LOTE]])=1,INDEX(Tabla_imprenta[stock sap],MATCH(Tabla_control[[#This Row],[LOTE]],Tabla_imprenta[LOTE],0)),"ENTREGADO")</f>
        <v>ENTREGADO</v>
      </c>
      <c r="I205" s="139" t="str">
        <f>IF(Tabla_control[[#This Row],[STOCK SAP]]&gt;Tabla_control[[#This Row],[CANTIDAD IMPRIMIR]],"cubre","no cubre")</f>
        <v>no cubre</v>
      </c>
      <c r="J205" s="7" t="str">
        <f>IF(COUNTIF(Tabla_imprenta[LOTE],Tabla_control[[#This Row],[LOTE]])=1,INDEX(Tabla_imprenta[STOCK],MATCH(Tabla_control[[#This Row],[LOTE]],Tabla_imprenta[LOTE],0)),"ENTREGADO")</f>
        <v>ENTREGADO</v>
      </c>
      <c r="K20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05" s="148" t="e">
        <f>INDEX(Tabla_imprenta[FECHA CAJA],MATCH(Tabla_control[[#This Row],[LOTE]],Tabla_imprenta[LOTE],0))</f>
        <v>#N/A</v>
      </c>
      <c r="M20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0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0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05" s="169" t="e">
        <f>ROUNDUP(Tabla_control[[#This Row],[CANTIDAD IMPRIMIR]]/Tabla_control[[#This Row],[N TJ]],0)</f>
        <v>#VALUE!</v>
      </c>
      <c r="Q205" s="169" t="e">
        <f>IF(Tabla_control[[#This Row],[CANTIDAD TIRAJE]]&gt;10000,Tabla_control[[#This Row],[CANTIDAD TIRAJE]],Tabla_control[[#This Row],[CANTIDAD TIRAJE]]*2)</f>
        <v>#VALUE!</v>
      </c>
      <c r="R205" s="4" t="s">
        <v>172</v>
      </c>
      <c r="S205" s="4" t="s">
        <v>30</v>
      </c>
      <c r="T205" s="4"/>
      <c r="U205" s="4"/>
      <c r="V205" s="4"/>
      <c r="W205" s="138" t="s">
        <v>3223</v>
      </c>
      <c r="X205" s="138"/>
      <c r="Y205" s="138"/>
      <c r="Z205" s="138"/>
      <c r="AA205" s="4" t="s">
        <v>2429</v>
      </c>
      <c r="AB205" s="184" t="s">
        <v>2028</v>
      </c>
    </row>
    <row r="206" spans="1:28" hidden="1" x14ac:dyDescent="0.2">
      <c r="A206" s="175" t="str">
        <f>IF(COUNTIF(Tabla_imprenta[LOTE],Tabla_control[[#This Row],[LOTE]])=1,INDEX(Tabla_imprenta[FECHA EMISIÓN],MATCH(Tabla_control[[#This Row],[LOTE]],Tabla_imprenta[LOTE],0)),"REALIZADO")</f>
        <v>REALIZADO</v>
      </c>
      <c r="B206" s="142" t="str">
        <f>IF(COUNTIF(Tabla_imprenta[LOTE],Tabla_control[[#This Row],[LOTE]])=1,INDEX(Tabla_imprenta[CÓD. SOLICITUD],MATCH(Tabla_control[[#This Row],[LOTE]],Tabla_imprenta[LOTE],0)),"REALIZADO")</f>
        <v>REALIZADO</v>
      </c>
      <c r="C206" s="177" t="str">
        <f>IF(COUNTIF(Tabla_imprenta[LOTE],Tabla_control[[#This Row],[LOTE]])=1,INDEX(Tabla_imprenta[PRODUCTO],MATCH(Tabla_control[[#This Row],[LOTE]],Tabla_imprenta[LOTE],0)),"REALIZADO")</f>
        <v>REALIZADO</v>
      </c>
      <c r="D206" s="142" t="str">
        <f>IF(COUNTIF(Tabla_imprenta[LOTE],Tabla_control[[#This Row],[LOTE]])=1,INDEX(Tabla_imprenta[FORMA FARMACEUTICA],MATCH(Tabla_control[[#This Row],[LOTE]],Tabla_imprenta[LOTE],0)),"REALIZADO")</f>
        <v>REALIZADO</v>
      </c>
      <c r="E206" s="177" t="str">
        <f>IF(COUNTIF(Tabla_imprenta[LOTE],Tabla_control[[#This Row],[LOTE]])=1,INDEX(Tabla_imprenta[INSTITUCIÓN],MATCH(Tabla_control[[#This Row],[LOTE]],Tabla_imprenta[LOTE],0)),"REALIZADO")</f>
        <v>REALIZADO</v>
      </c>
      <c r="F206" s="180" t="s">
        <v>2563</v>
      </c>
      <c r="G20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06" s="139" t="str">
        <f>IF(COUNTIF(Tabla_imprenta[LOTE],Tabla_control[[#This Row],[LOTE]])=1,INDEX(Tabla_imprenta[stock sap],MATCH(Tabla_control[[#This Row],[LOTE]],Tabla_imprenta[LOTE],0)),"ENTREGADO")</f>
        <v>ENTREGADO</v>
      </c>
      <c r="I206" s="139" t="str">
        <f>IF(Tabla_control[[#This Row],[STOCK SAP]]&gt;Tabla_control[[#This Row],[CANTIDAD IMPRIMIR]],"cubre","no cubre")</f>
        <v>no cubre</v>
      </c>
      <c r="J206" s="7" t="str">
        <f>IF(COUNTIF(Tabla_imprenta[LOTE],Tabla_control[[#This Row],[LOTE]])=1,INDEX(Tabla_imprenta[STOCK],MATCH(Tabla_control[[#This Row],[LOTE]],Tabla_imprenta[LOTE],0)),"ENTREGADO")</f>
        <v>ENTREGADO</v>
      </c>
      <c r="K20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06" s="148" t="e">
        <f>INDEX(Tabla_imprenta[FECHA CAJA],MATCH(Tabla_control[[#This Row],[LOTE]],Tabla_imprenta[LOTE],0))</f>
        <v>#N/A</v>
      </c>
      <c r="M20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0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0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06" s="169" t="e">
        <f>ROUNDUP(Tabla_control[[#This Row],[CANTIDAD IMPRIMIR]]/Tabla_control[[#This Row],[N TJ]],0)</f>
        <v>#VALUE!</v>
      </c>
      <c r="Q206" s="169" t="e">
        <f>IF(Tabla_control[[#This Row],[CANTIDAD TIRAJE]]&gt;10000,Tabla_control[[#This Row],[CANTIDAD TIRAJE]],Tabla_control[[#This Row],[CANTIDAD TIRAJE]]*2)</f>
        <v>#VALUE!</v>
      </c>
      <c r="R206" s="4" t="s">
        <v>173</v>
      </c>
      <c r="S206" s="4" t="s">
        <v>174</v>
      </c>
      <c r="T206" s="4"/>
      <c r="U206" s="4"/>
      <c r="V206" s="4"/>
      <c r="W206" s="138" t="s">
        <v>3223</v>
      </c>
      <c r="X206" s="138"/>
      <c r="Y206" s="138"/>
      <c r="Z206" s="138"/>
      <c r="AA206" s="4" t="s">
        <v>2031</v>
      </c>
      <c r="AB206" s="184" t="s">
        <v>2028</v>
      </c>
    </row>
    <row r="207" spans="1:28" hidden="1" x14ac:dyDescent="0.2">
      <c r="A207" s="175" t="str">
        <f>IF(COUNTIF(Tabla_imprenta[LOTE],Tabla_control[[#This Row],[LOTE]])=1,INDEX(Tabla_imprenta[FECHA EMISIÓN],MATCH(Tabla_control[[#This Row],[LOTE]],Tabla_imprenta[LOTE],0)),"REALIZADO")</f>
        <v>REALIZADO</v>
      </c>
      <c r="B207" s="142" t="str">
        <f>IF(COUNTIF(Tabla_imprenta[LOTE],Tabla_control[[#This Row],[LOTE]])=1,INDEX(Tabla_imprenta[CÓD. SOLICITUD],MATCH(Tabla_control[[#This Row],[LOTE]],Tabla_imprenta[LOTE],0)),"REALIZADO")</f>
        <v>REALIZADO</v>
      </c>
      <c r="C207" s="177" t="str">
        <f>IF(COUNTIF(Tabla_imprenta[LOTE],Tabla_control[[#This Row],[LOTE]])=1,INDEX(Tabla_imprenta[PRODUCTO],MATCH(Tabla_control[[#This Row],[LOTE]],Tabla_imprenta[LOTE],0)),"REALIZADO")</f>
        <v>REALIZADO</v>
      </c>
      <c r="D207" s="142" t="str">
        <f>IF(COUNTIF(Tabla_imprenta[LOTE],Tabla_control[[#This Row],[LOTE]])=1,INDEX(Tabla_imprenta[FORMA FARMACEUTICA],MATCH(Tabla_control[[#This Row],[LOTE]],Tabla_imprenta[LOTE],0)),"REALIZADO")</f>
        <v>REALIZADO</v>
      </c>
      <c r="E207" s="177" t="str">
        <f>IF(COUNTIF(Tabla_imprenta[LOTE],Tabla_control[[#This Row],[LOTE]])=1,INDEX(Tabla_imprenta[INSTITUCIÓN],MATCH(Tabla_control[[#This Row],[LOTE]],Tabla_imprenta[LOTE],0)),"REALIZADO")</f>
        <v>REALIZADO</v>
      </c>
      <c r="F207" s="180" t="s">
        <v>2562</v>
      </c>
      <c r="G20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07" s="139" t="str">
        <f>IF(COUNTIF(Tabla_imprenta[LOTE],Tabla_control[[#This Row],[LOTE]])=1,INDEX(Tabla_imprenta[stock sap],MATCH(Tabla_control[[#This Row],[LOTE]],Tabla_imprenta[LOTE],0)),"ENTREGADO")</f>
        <v>ENTREGADO</v>
      </c>
      <c r="I207" s="139" t="str">
        <f>IF(Tabla_control[[#This Row],[STOCK SAP]]&gt;Tabla_control[[#This Row],[CANTIDAD IMPRIMIR]],"cubre","no cubre")</f>
        <v>no cubre</v>
      </c>
      <c r="J207" s="7" t="str">
        <f>IF(COUNTIF(Tabla_imprenta[LOTE],Tabla_control[[#This Row],[LOTE]])=1,INDEX(Tabla_imprenta[STOCK],MATCH(Tabla_control[[#This Row],[LOTE]],Tabla_imprenta[LOTE],0)),"ENTREGADO")</f>
        <v>ENTREGADO</v>
      </c>
      <c r="K20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07" s="148" t="e">
        <f>INDEX(Tabla_imprenta[FECHA CAJA],MATCH(Tabla_control[[#This Row],[LOTE]],Tabla_imprenta[LOTE],0))</f>
        <v>#N/A</v>
      </c>
      <c r="M20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0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0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07" s="169" t="e">
        <f>ROUNDUP(Tabla_control[[#This Row],[CANTIDAD IMPRIMIR]]/Tabla_control[[#This Row],[N TJ]],0)</f>
        <v>#VALUE!</v>
      </c>
      <c r="Q207" s="169" t="e">
        <f>IF(Tabla_control[[#This Row],[CANTIDAD TIRAJE]]&gt;10000,Tabla_control[[#This Row],[CANTIDAD TIRAJE]],Tabla_control[[#This Row],[CANTIDAD TIRAJE]]*2)</f>
        <v>#VALUE!</v>
      </c>
      <c r="R207" s="4" t="s">
        <v>173</v>
      </c>
      <c r="S207" s="4" t="s">
        <v>174</v>
      </c>
      <c r="T207" s="4"/>
      <c r="U207" s="4"/>
      <c r="V207" s="4"/>
      <c r="W207" s="138" t="s">
        <v>3223</v>
      </c>
      <c r="X207" s="138"/>
      <c r="Y207" s="138"/>
      <c r="Z207" s="138"/>
      <c r="AA207" s="4" t="s">
        <v>2031</v>
      </c>
      <c r="AB207" s="184" t="s">
        <v>2028</v>
      </c>
    </row>
    <row r="208" spans="1:28" hidden="1" x14ac:dyDescent="0.2">
      <c r="A208" s="175" t="str">
        <f>IF(COUNTIF(Tabla_imprenta[LOTE],Tabla_control[[#This Row],[LOTE]])=1,INDEX(Tabla_imprenta[FECHA EMISIÓN],MATCH(Tabla_control[[#This Row],[LOTE]],Tabla_imprenta[LOTE],0)),"REALIZADO")</f>
        <v>REALIZADO</v>
      </c>
      <c r="B208" s="142" t="str">
        <f>IF(COUNTIF(Tabla_imprenta[LOTE],Tabla_control[[#This Row],[LOTE]])=1,INDEX(Tabla_imprenta[CÓD. SOLICITUD],MATCH(Tabla_control[[#This Row],[LOTE]],Tabla_imprenta[LOTE],0)),"REALIZADO")</f>
        <v>REALIZADO</v>
      </c>
      <c r="C208" s="177" t="str">
        <f>IF(COUNTIF(Tabla_imprenta[LOTE],Tabla_control[[#This Row],[LOTE]])=1,INDEX(Tabla_imprenta[PRODUCTO],MATCH(Tabla_control[[#This Row],[LOTE]],Tabla_imprenta[LOTE],0)),"REALIZADO")</f>
        <v>REALIZADO</v>
      </c>
      <c r="D208" s="142" t="str">
        <f>IF(COUNTIF(Tabla_imprenta[LOTE],Tabla_control[[#This Row],[LOTE]])=1,INDEX(Tabla_imprenta[FORMA FARMACEUTICA],MATCH(Tabla_control[[#This Row],[LOTE]],Tabla_imprenta[LOTE],0)),"REALIZADO")</f>
        <v>REALIZADO</v>
      </c>
      <c r="E208" s="177" t="str">
        <f>IF(COUNTIF(Tabla_imprenta[LOTE],Tabla_control[[#This Row],[LOTE]])=1,INDEX(Tabla_imprenta[INSTITUCIÓN],MATCH(Tabla_control[[#This Row],[LOTE]],Tabla_imprenta[LOTE],0)),"REALIZADO")</f>
        <v>REALIZADO</v>
      </c>
      <c r="F208" s="180" t="s">
        <v>2207</v>
      </c>
      <c r="G20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08" s="139" t="str">
        <f>IF(COUNTIF(Tabla_imprenta[LOTE],Tabla_control[[#This Row],[LOTE]])=1,INDEX(Tabla_imprenta[stock sap],MATCH(Tabla_control[[#This Row],[LOTE]],Tabla_imprenta[LOTE],0)),"ENTREGADO")</f>
        <v>ENTREGADO</v>
      </c>
      <c r="I208" s="139" t="str">
        <f>IF(Tabla_control[[#This Row],[STOCK SAP]]&gt;Tabla_control[[#This Row],[CANTIDAD IMPRIMIR]],"cubre","no cubre")</f>
        <v>no cubre</v>
      </c>
      <c r="J208" s="7" t="str">
        <f>IF(COUNTIF(Tabla_imprenta[LOTE],Tabla_control[[#This Row],[LOTE]])=1,INDEX(Tabla_imprenta[STOCK],MATCH(Tabla_control[[#This Row],[LOTE]],Tabla_imprenta[LOTE],0)),"ENTREGADO")</f>
        <v>ENTREGADO</v>
      </c>
      <c r="K20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08" s="148" t="e">
        <f>INDEX(Tabla_imprenta[FECHA CAJA],MATCH(Tabla_control[[#This Row],[LOTE]],Tabla_imprenta[LOTE],0))</f>
        <v>#N/A</v>
      </c>
      <c r="M20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0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0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08" s="169" t="e">
        <f>ROUNDUP(Tabla_control[[#This Row],[CANTIDAD IMPRIMIR]]/Tabla_control[[#This Row],[N TJ]],0)</f>
        <v>#VALUE!</v>
      </c>
      <c r="Q208" s="169" t="e">
        <f>IF(Tabla_control[[#This Row],[CANTIDAD TIRAJE]]&gt;10000,Tabla_control[[#This Row],[CANTIDAD TIRAJE]],Tabla_control[[#This Row],[CANTIDAD TIRAJE]]*2)</f>
        <v>#VALUE!</v>
      </c>
      <c r="R208" s="4" t="s">
        <v>173</v>
      </c>
      <c r="S208" s="4" t="s">
        <v>174</v>
      </c>
      <c r="T208" s="4"/>
      <c r="U208" s="4"/>
      <c r="V208" s="4"/>
      <c r="W208" s="138" t="s">
        <v>3223</v>
      </c>
      <c r="X208" s="138"/>
      <c r="Y208" s="138"/>
      <c r="Z208" s="138"/>
      <c r="AA208" s="4" t="s">
        <v>321</v>
      </c>
      <c r="AB208" s="184" t="s">
        <v>2028</v>
      </c>
    </row>
    <row r="209" spans="1:32" hidden="1" x14ac:dyDescent="0.2">
      <c r="A209" s="175" t="str">
        <f>IF(COUNTIF(Tabla_imprenta[LOTE],Tabla_control[[#This Row],[LOTE]])=1,INDEX(Tabla_imprenta[FECHA EMISIÓN],MATCH(Tabla_control[[#This Row],[LOTE]],Tabla_imprenta[LOTE],0)),"REALIZADO")</f>
        <v>REALIZADO</v>
      </c>
      <c r="B209" s="142" t="str">
        <f>IF(COUNTIF(Tabla_imprenta[LOTE],Tabla_control[[#This Row],[LOTE]])=1,INDEX(Tabla_imprenta[CÓD. SOLICITUD],MATCH(Tabla_control[[#This Row],[LOTE]],Tabla_imprenta[LOTE],0)),"REALIZADO")</f>
        <v>REALIZADO</v>
      </c>
      <c r="C209" s="177" t="str">
        <f>IF(COUNTIF(Tabla_imprenta[LOTE],Tabla_control[[#This Row],[LOTE]])=1,INDEX(Tabla_imprenta[PRODUCTO],MATCH(Tabla_control[[#This Row],[LOTE]],Tabla_imprenta[LOTE],0)),"REALIZADO")</f>
        <v>REALIZADO</v>
      </c>
      <c r="D209" s="142" t="str">
        <f>IF(COUNTIF(Tabla_imprenta[LOTE],Tabla_control[[#This Row],[LOTE]])=1,INDEX(Tabla_imprenta[FORMA FARMACEUTICA],MATCH(Tabla_control[[#This Row],[LOTE]],Tabla_imprenta[LOTE],0)),"REALIZADO")</f>
        <v>REALIZADO</v>
      </c>
      <c r="E209" s="177" t="str">
        <f>IF(COUNTIF(Tabla_imprenta[LOTE],Tabla_control[[#This Row],[LOTE]])=1,INDEX(Tabla_imprenta[INSTITUCIÓN],MATCH(Tabla_control[[#This Row],[LOTE]],Tabla_imprenta[LOTE],0)),"REALIZADO")</f>
        <v>REALIZADO</v>
      </c>
      <c r="F209" s="180" t="s">
        <v>2539</v>
      </c>
      <c r="G20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09" s="139" t="str">
        <f>IF(COUNTIF(Tabla_imprenta[LOTE],Tabla_control[[#This Row],[LOTE]])=1,INDEX(Tabla_imprenta[stock sap],MATCH(Tabla_control[[#This Row],[LOTE]],Tabla_imprenta[LOTE],0)),"ENTREGADO")</f>
        <v>ENTREGADO</v>
      </c>
      <c r="I209" s="139" t="str">
        <f>IF(Tabla_control[[#This Row],[STOCK SAP]]&gt;Tabla_control[[#This Row],[CANTIDAD IMPRIMIR]],"cubre","no cubre")</f>
        <v>no cubre</v>
      </c>
      <c r="J209" s="7" t="str">
        <f>IF(COUNTIF(Tabla_imprenta[LOTE],Tabla_control[[#This Row],[LOTE]])=1,INDEX(Tabla_imprenta[STOCK],MATCH(Tabla_control[[#This Row],[LOTE]],Tabla_imprenta[LOTE],0)),"ENTREGADO")</f>
        <v>ENTREGADO</v>
      </c>
      <c r="K20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09" s="148" t="e">
        <f>INDEX(Tabla_imprenta[FECHA CAJA],MATCH(Tabla_control[[#This Row],[LOTE]],Tabla_imprenta[LOTE],0))</f>
        <v>#N/A</v>
      </c>
      <c r="M20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0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0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09" s="169" t="e">
        <f>ROUNDUP(Tabla_control[[#This Row],[CANTIDAD IMPRIMIR]]/Tabla_control[[#This Row],[N TJ]],0)</f>
        <v>#VALUE!</v>
      </c>
      <c r="Q209" s="169" t="e">
        <f>IF(Tabla_control[[#This Row],[CANTIDAD TIRAJE]]&gt;10000,Tabla_control[[#This Row],[CANTIDAD TIRAJE]],Tabla_control[[#This Row],[CANTIDAD TIRAJE]]*2)</f>
        <v>#VALUE!</v>
      </c>
      <c r="R209" s="4" t="s">
        <v>175</v>
      </c>
      <c r="S209" s="4" t="s">
        <v>174</v>
      </c>
      <c r="T209" s="4"/>
      <c r="U209" s="4"/>
      <c r="V209" s="4"/>
      <c r="W209" s="185" t="s">
        <v>3223</v>
      </c>
      <c r="X209" s="185"/>
      <c r="Y209" s="185"/>
      <c r="Z209" s="185"/>
      <c r="AA209" s="4" t="s">
        <v>2429</v>
      </c>
      <c r="AB209" s="184" t="s">
        <v>2028</v>
      </c>
      <c r="AF209" s="188"/>
    </row>
    <row r="210" spans="1:32" hidden="1" x14ac:dyDescent="0.2">
      <c r="A210" s="175" t="str">
        <f>IF(COUNTIF(Tabla_imprenta[LOTE],Tabla_control[[#This Row],[LOTE]])=1,INDEX(Tabla_imprenta[FECHA EMISIÓN],MATCH(Tabla_control[[#This Row],[LOTE]],Tabla_imprenta[LOTE],0)),"REALIZADO")</f>
        <v>REALIZADO</v>
      </c>
      <c r="B210" s="142" t="str">
        <f>IF(COUNTIF(Tabla_imprenta[LOTE],Tabla_control[[#This Row],[LOTE]])=1,INDEX(Tabla_imprenta[CÓD. SOLICITUD],MATCH(Tabla_control[[#This Row],[LOTE]],Tabla_imprenta[LOTE],0)),"REALIZADO")</f>
        <v>REALIZADO</v>
      </c>
      <c r="C210" s="177" t="str">
        <f>IF(COUNTIF(Tabla_imprenta[LOTE],Tabla_control[[#This Row],[LOTE]])=1,INDEX(Tabla_imprenta[PRODUCTO],MATCH(Tabla_control[[#This Row],[LOTE]],Tabla_imprenta[LOTE],0)),"REALIZADO")</f>
        <v>REALIZADO</v>
      </c>
      <c r="D210" s="142" t="str">
        <f>IF(COUNTIF(Tabla_imprenta[LOTE],Tabla_control[[#This Row],[LOTE]])=1,INDEX(Tabla_imprenta[FORMA FARMACEUTICA],MATCH(Tabla_control[[#This Row],[LOTE]],Tabla_imprenta[LOTE],0)),"REALIZADO")</f>
        <v>REALIZADO</v>
      </c>
      <c r="E210" s="177" t="str">
        <f>IF(COUNTIF(Tabla_imprenta[LOTE],Tabla_control[[#This Row],[LOTE]])=1,INDEX(Tabla_imprenta[INSTITUCIÓN],MATCH(Tabla_control[[#This Row],[LOTE]],Tabla_imprenta[LOTE],0)),"REALIZADO")</f>
        <v>REALIZADO</v>
      </c>
      <c r="F210" s="180" t="s">
        <v>2216</v>
      </c>
      <c r="G21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10" s="139" t="str">
        <f>IF(COUNTIF(Tabla_imprenta[LOTE],Tabla_control[[#This Row],[LOTE]])=1,INDEX(Tabla_imprenta[stock sap],MATCH(Tabla_control[[#This Row],[LOTE]],Tabla_imprenta[LOTE],0)),"ENTREGADO")</f>
        <v>ENTREGADO</v>
      </c>
      <c r="I210" s="139" t="str">
        <f>IF(Tabla_control[[#This Row],[STOCK SAP]]&gt;Tabla_control[[#This Row],[CANTIDAD IMPRIMIR]],"cubre","no cubre")</f>
        <v>no cubre</v>
      </c>
      <c r="J210" s="7" t="str">
        <f>IF(COUNTIF(Tabla_imprenta[LOTE],Tabla_control[[#This Row],[LOTE]])=1,INDEX(Tabla_imprenta[STOCK],MATCH(Tabla_control[[#This Row],[LOTE]],Tabla_imprenta[LOTE],0)),"ENTREGADO")</f>
        <v>ENTREGADO</v>
      </c>
      <c r="K21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10" s="148" t="e">
        <f>INDEX(Tabla_imprenta[FECHA CAJA],MATCH(Tabla_control[[#This Row],[LOTE]],Tabla_imprenta[LOTE],0))</f>
        <v>#N/A</v>
      </c>
      <c r="M21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1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1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10" s="169" t="e">
        <f>ROUNDUP(Tabla_control[[#This Row],[CANTIDAD IMPRIMIR]]/Tabla_control[[#This Row],[N TJ]],0)</f>
        <v>#VALUE!</v>
      </c>
      <c r="Q210" s="169" t="e">
        <f>IF(Tabla_control[[#This Row],[CANTIDAD TIRAJE]]&gt;10000,Tabla_control[[#This Row],[CANTIDAD TIRAJE]],Tabla_control[[#This Row],[CANTIDAD TIRAJE]]*2)</f>
        <v>#VALUE!</v>
      </c>
      <c r="R210" s="4" t="s">
        <v>177</v>
      </c>
      <c r="S210" s="4" t="s">
        <v>31</v>
      </c>
      <c r="T210" s="4"/>
      <c r="U210" s="4"/>
      <c r="V210" s="4"/>
      <c r="W210" s="138" t="s">
        <v>3223</v>
      </c>
      <c r="X210" s="138"/>
      <c r="Y210" s="138"/>
      <c r="Z210" s="138"/>
      <c r="AA210" s="4" t="s">
        <v>2314</v>
      </c>
      <c r="AB210" s="184" t="s">
        <v>2028</v>
      </c>
    </row>
    <row r="211" spans="1:32" hidden="1" x14ac:dyDescent="0.2">
      <c r="A211" s="175" t="str">
        <f>IF(COUNTIF(Tabla_imprenta[LOTE],Tabla_control[[#This Row],[LOTE]])=1,INDEX(Tabla_imprenta[FECHA EMISIÓN],MATCH(Tabla_control[[#This Row],[LOTE]],Tabla_imprenta[LOTE],0)),"REALIZADO")</f>
        <v>REALIZADO</v>
      </c>
      <c r="B211" s="142" t="str">
        <f>IF(COUNTIF(Tabla_imprenta[LOTE],Tabla_control[[#This Row],[LOTE]])=1,INDEX(Tabla_imprenta[CÓD. SOLICITUD],MATCH(Tabla_control[[#This Row],[LOTE]],Tabla_imprenta[LOTE],0)),"REALIZADO")</f>
        <v>REALIZADO</v>
      </c>
      <c r="C211" s="177" t="str">
        <f>IF(COUNTIF(Tabla_imprenta[LOTE],Tabla_control[[#This Row],[LOTE]])=1,INDEX(Tabla_imprenta[PRODUCTO],MATCH(Tabla_control[[#This Row],[LOTE]],Tabla_imprenta[LOTE],0)),"REALIZADO")</f>
        <v>REALIZADO</v>
      </c>
      <c r="D211" s="142" t="str">
        <f>IF(COUNTIF(Tabla_imprenta[LOTE],Tabla_control[[#This Row],[LOTE]])=1,INDEX(Tabla_imprenta[FORMA FARMACEUTICA],MATCH(Tabla_control[[#This Row],[LOTE]],Tabla_imprenta[LOTE],0)),"REALIZADO")</f>
        <v>REALIZADO</v>
      </c>
      <c r="E211" s="177" t="str">
        <f>IF(COUNTIF(Tabla_imprenta[LOTE],Tabla_control[[#This Row],[LOTE]])=1,INDEX(Tabla_imprenta[INSTITUCIÓN],MATCH(Tabla_control[[#This Row],[LOTE]],Tabla_imprenta[LOTE],0)),"REALIZADO")</f>
        <v>REALIZADO</v>
      </c>
      <c r="F211" s="180" t="s">
        <v>2517</v>
      </c>
      <c r="G21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11" s="139" t="str">
        <f>IF(COUNTIF(Tabla_imprenta[LOTE],Tabla_control[[#This Row],[LOTE]])=1,INDEX(Tabla_imprenta[stock sap],MATCH(Tabla_control[[#This Row],[LOTE]],Tabla_imprenta[LOTE],0)),"ENTREGADO")</f>
        <v>ENTREGADO</v>
      </c>
      <c r="I211" s="139" t="str">
        <f>IF(Tabla_control[[#This Row],[STOCK SAP]]&gt;Tabla_control[[#This Row],[CANTIDAD IMPRIMIR]],"cubre","no cubre")</f>
        <v>no cubre</v>
      </c>
      <c r="J211" s="7" t="str">
        <f>IF(COUNTIF(Tabla_imprenta[LOTE],Tabla_control[[#This Row],[LOTE]])=1,INDEX(Tabla_imprenta[STOCK],MATCH(Tabla_control[[#This Row],[LOTE]],Tabla_imprenta[LOTE],0)),"ENTREGADO")</f>
        <v>ENTREGADO</v>
      </c>
      <c r="K21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11" s="148" t="e">
        <f>INDEX(Tabla_imprenta[FECHA CAJA],MATCH(Tabla_control[[#This Row],[LOTE]],Tabla_imprenta[LOTE],0))</f>
        <v>#N/A</v>
      </c>
      <c r="M21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1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1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11" s="169" t="e">
        <f>ROUNDUP(Tabla_control[[#This Row],[CANTIDAD IMPRIMIR]]/Tabla_control[[#This Row],[N TJ]],0)</f>
        <v>#VALUE!</v>
      </c>
      <c r="Q211" s="169" t="e">
        <f>IF(Tabla_control[[#This Row],[CANTIDAD TIRAJE]]&gt;10000,Tabla_control[[#This Row],[CANTIDAD TIRAJE]],Tabla_control[[#This Row],[CANTIDAD TIRAJE]]*2)</f>
        <v>#VALUE!</v>
      </c>
      <c r="R211" s="4" t="s">
        <v>172</v>
      </c>
      <c r="S211" s="4" t="s">
        <v>31</v>
      </c>
      <c r="T211" s="4"/>
      <c r="U211" s="4"/>
      <c r="V211" s="4"/>
      <c r="W211" s="138" t="s">
        <v>3223</v>
      </c>
      <c r="X211" s="138"/>
      <c r="Y211" s="138"/>
      <c r="Z211" s="138"/>
      <c r="AA211" s="4" t="s">
        <v>2031</v>
      </c>
      <c r="AB211" s="184" t="s">
        <v>2028</v>
      </c>
    </row>
    <row r="212" spans="1:32" hidden="1" x14ac:dyDescent="0.2">
      <c r="A212" s="175" t="str">
        <f>IF(COUNTIF(Tabla_imprenta[LOTE],Tabla_control[[#This Row],[LOTE]])=1,INDEX(Tabla_imprenta[FECHA EMISIÓN],MATCH(Tabla_control[[#This Row],[LOTE]],Tabla_imprenta[LOTE],0)),"REALIZADO")</f>
        <v>REALIZADO</v>
      </c>
      <c r="B212" s="142" t="str">
        <f>IF(COUNTIF(Tabla_imprenta[LOTE],Tabla_control[[#This Row],[LOTE]])=1,INDEX(Tabla_imprenta[CÓD. SOLICITUD],MATCH(Tabla_control[[#This Row],[LOTE]],Tabla_imprenta[LOTE],0)),"REALIZADO")</f>
        <v>REALIZADO</v>
      </c>
      <c r="C212" s="177" t="str">
        <f>IF(COUNTIF(Tabla_imprenta[LOTE],Tabla_control[[#This Row],[LOTE]])=1,INDEX(Tabla_imprenta[PRODUCTO],MATCH(Tabla_control[[#This Row],[LOTE]],Tabla_imprenta[LOTE],0)),"REALIZADO")</f>
        <v>REALIZADO</v>
      </c>
      <c r="D212" s="142" t="str">
        <f>IF(COUNTIF(Tabla_imprenta[LOTE],Tabla_control[[#This Row],[LOTE]])=1,INDEX(Tabla_imprenta[FORMA FARMACEUTICA],MATCH(Tabla_control[[#This Row],[LOTE]],Tabla_imprenta[LOTE],0)),"REALIZADO")</f>
        <v>REALIZADO</v>
      </c>
      <c r="E212" s="177" t="str">
        <f>IF(COUNTIF(Tabla_imprenta[LOTE],Tabla_control[[#This Row],[LOTE]])=1,INDEX(Tabla_imprenta[INSTITUCIÓN],MATCH(Tabla_control[[#This Row],[LOTE]],Tabla_imprenta[LOTE],0)),"REALIZADO")</f>
        <v>REALIZADO</v>
      </c>
      <c r="F212" s="180" t="s">
        <v>2250</v>
      </c>
      <c r="G21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12" s="139" t="str">
        <f>IF(COUNTIF(Tabla_imprenta[LOTE],Tabla_control[[#This Row],[LOTE]])=1,INDEX(Tabla_imprenta[stock sap],MATCH(Tabla_control[[#This Row],[LOTE]],Tabla_imprenta[LOTE],0)),"ENTREGADO")</f>
        <v>ENTREGADO</v>
      </c>
      <c r="I212" s="139" t="str">
        <f>IF(Tabla_control[[#This Row],[STOCK SAP]]&gt;Tabla_control[[#This Row],[CANTIDAD IMPRIMIR]],"cubre","no cubre")</f>
        <v>no cubre</v>
      </c>
      <c r="J212" s="7" t="str">
        <f>IF(COUNTIF(Tabla_imprenta[LOTE],Tabla_control[[#This Row],[LOTE]])=1,INDEX(Tabla_imprenta[STOCK],MATCH(Tabla_control[[#This Row],[LOTE]],Tabla_imprenta[LOTE],0)),"ENTREGADO")</f>
        <v>ENTREGADO</v>
      </c>
      <c r="K21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12" s="148" t="e">
        <f>INDEX(Tabla_imprenta[FECHA CAJA],MATCH(Tabla_control[[#This Row],[LOTE]],Tabla_imprenta[LOTE],0))</f>
        <v>#N/A</v>
      </c>
      <c r="M21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1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1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12" s="169" t="e">
        <f>ROUNDUP(Tabla_control[[#This Row],[CANTIDAD IMPRIMIR]]/Tabla_control[[#This Row],[N TJ]],0)</f>
        <v>#VALUE!</v>
      </c>
      <c r="Q212" s="169" t="e">
        <f>IF(Tabla_control[[#This Row],[CANTIDAD TIRAJE]]&gt;10000,Tabla_control[[#This Row],[CANTIDAD TIRAJE]],Tabla_control[[#This Row],[CANTIDAD TIRAJE]]*2)</f>
        <v>#VALUE!</v>
      </c>
      <c r="R212" s="4" t="s">
        <v>173</v>
      </c>
      <c r="S212" s="4" t="s">
        <v>174</v>
      </c>
      <c r="T212" s="4"/>
      <c r="U212" s="4"/>
      <c r="V212" s="4"/>
      <c r="W212" s="138" t="s">
        <v>3223</v>
      </c>
      <c r="X212" s="138"/>
      <c r="Y212" s="138"/>
      <c r="Z212" s="138"/>
      <c r="AA212" s="4" t="s">
        <v>321</v>
      </c>
      <c r="AB212" s="184" t="s">
        <v>2028</v>
      </c>
    </row>
    <row r="213" spans="1:32" hidden="1" x14ac:dyDescent="0.2">
      <c r="A213" s="175" t="str">
        <f>IF(COUNTIF(Tabla_imprenta[LOTE],Tabla_control[[#This Row],[LOTE]])=1,INDEX(Tabla_imprenta[FECHA EMISIÓN],MATCH(Tabla_control[[#This Row],[LOTE]],Tabla_imprenta[LOTE],0)),"REALIZADO")</f>
        <v>REALIZADO</v>
      </c>
      <c r="B213" s="142" t="str">
        <f>IF(COUNTIF(Tabla_imprenta[LOTE],Tabla_control[[#This Row],[LOTE]])=1,INDEX(Tabla_imprenta[CÓD. SOLICITUD],MATCH(Tabla_control[[#This Row],[LOTE]],Tabla_imprenta[LOTE],0)),"REALIZADO")</f>
        <v>REALIZADO</v>
      </c>
      <c r="C213" s="177" t="str">
        <f>IF(COUNTIF(Tabla_imprenta[LOTE],Tabla_control[[#This Row],[LOTE]])=1,INDEX(Tabla_imprenta[PRODUCTO],MATCH(Tabla_control[[#This Row],[LOTE]],Tabla_imprenta[LOTE],0)),"REALIZADO")</f>
        <v>REALIZADO</v>
      </c>
      <c r="D213" s="142" t="str">
        <f>IF(COUNTIF(Tabla_imprenta[LOTE],Tabla_control[[#This Row],[LOTE]])=1,INDEX(Tabla_imprenta[FORMA FARMACEUTICA],MATCH(Tabla_control[[#This Row],[LOTE]],Tabla_imprenta[LOTE],0)),"REALIZADO")</f>
        <v>REALIZADO</v>
      </c>
      <c r="E213" s="177" t="str">
        <f>IF(COUNTIF(Tabla_imprenta[LOTE],Tabla_control[[#This Row],[LOTE]])=1,INDEX(Tabla_imprenta[INSTITUCIÓN],MATCH(Tabla_control[[#This Row],[LOTE]],Tabla_imprenta[LOTE],0)),"REALIZADO")</f>
        <v>REALIZADO</v>
      </c>
      <c r="F213" s="180" t="s">
        <v>2188</v>
      </c>
      <c r="G21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13" s="139" t="str">
        <f>IF(COUNTIF(Tabla_imprenta[LOTE],Tabla_control[[#This Row],[LOTE]])=1,INDEX(Tabla_imprenta[stock sap],MATCH(Tabla_control[[#This Row],[LOTE]],Tabla_imprenta[LOTE],0)),"ENTREGADO")</f>
        <v>ENTREGADO</v>
      </c>
      <c r="I213" s="139" t="str">
        <f>IF(Tabla_control[[#This Row],[STOCK SAP]]&gt;Tabla_control[[#This Row],[CANTIDAD IMPRIMIR]],"cubre","no cubre")</f>
        <v>no cubre</v>
      </c>
      <c r="J213" s="7" t="str">
        <f>IF(COUNTIF(Tabla_imprenta[LOTE],Tabla_control[[#This Row],[LOTE]])=1,INDEX(Tabla_imprenta[STOCK],MATCH(Tabla_control[[#This Row],[LOTE]],Tabla_imprenta[LOTE],0)),"ENTREGADO")</f>
        <v>ENTREGADO</v>
      </c>
      <c r="K21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13" s="148" t="e">
        <f>INDEX(Tabla_imprenta[FECHA CAJA],MATCH(Tabla_control[[#This Row],[LOTE]],Tabla_imprenta[LOTE],0))</f>
        <v>#N/A</v>
      </c>
      <c r="M21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1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1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13" s="169" t="e">
        <f>ROUNDUP(Tabla_control[[#This Row],[CANTIDAD IMPRIMIR]]/Tabla_control[[#This Row],[N TJ]],0)</f>
        <v>#VALUE!</v>
      </c>
      <c r="Q213" s="169" t="e">
        <f>IF(Tabla_control[[#This Row],[CANTIDAD TIRAJE]]&gt;10000,Tabla_control[[#This Row],[CANTIDAD TIRAJE]],Tabla_control[[#This Row],[CANTIDAD TIRAJE]]*2)</f>
        <v>#VALUE!</v>
      </c>
      <c r="R213" s="4" t="s">
        <v>173</v>
      </c>
      <c r="S213" s="4" t="s">
        <v>174</v>
      </c>
      <c r="T213" s="4"/>
      <c r="U213" s="4"/>
      <c r="V213" s="4"/>
      <c r="W213" s="138" t="s">
        <v>3223</v>
      </c>
      <c r="X213" s="138"/>
      <c r="Y213" s="138"/>
      <c r="Z213" s="138"/>
      <c r="AA213" s="4" t="s">
        <v>2031</v>
      </c>
      <c r="AB213" s="184" t="s">
        <v>2028</v>
      </c>
    </row>
    <row r="214" spans="1:32" hidden="1" x14ac:dyDescent="0.2">
      <c r="A214" s="175" t="str">
        <f>IF(COUNTIF(Tabla_imprenta[LOTE],Tabla_control[[#This Row],[LOTE]])=1,INDEX(Tabla_imprenta[FECHA EMISIÓN],MATCH(Tabla_control[[#This Row],[LOTE]],Tabla_imprenta[LOTE],0)),"REALIZADO")</f>
        <v>REALIZADO</v>
      </c>
      <c r="B214" s="142" t="str">
        <f>IF(COUNTIF(Tabla_imprenta[LOTE],Tabla_control[[#This Row],[LOTE]])=1,INDEX(Tabla_imprenta[CÓD. SOLICITUD],MATCH(Tabla_control[[#This Row],[LOTE]],Tabla_imprenta[LOTE],0)),"REALIZADO")</f>
        <v>REALIZADO</v>
      </c>
      <c r="C214" s="177" t="str">
        <f>IF(COUNTIF(Tabla_imprenta[LOTE],Tabla_control[[#This Row],[LOTE]])=1,INDEX(Tabla_imprenta[PRODUCTO],MATCH(Tabla_control[[#This Row],[LOTE]],Tabla_imprenta[LOTE],0)),"REALIZADO")</f>
        <v>REALIZADO</v>
      </c>
      <c r="D214" s="142" t="str">
        <f>IF(COUNTIF(Tabla_imprenta[LOTE],Tabla_control[[#This Row],[LOTE]])=1,INDEX(Tabla_imprenta[FORMA FARMACEUTICA],MATCH(Tabla_control[[#This Row],[LOTE]],Tabla_imprenta[LOTE],0)),"REALIZADO")</f>
        <v>REALIZADO</v>
      </c>
      <c r="E214" s="177" t="str">
        <f>IF(COUNTIF(Tabla_imprenta[LOTE],Tabla_control[[#This Row],[LOTE]])=1,INDEX(Tabla_imprenta[INSTITUCIÓN],MATCH(Tabla_control[[#This Row],[LOTE]],Tabla_imprenta[LOTE],0)),"REALIZADO")</f>
        <v>REALIZADO</v>
      </c>
      <c r="F214" s="180" t="s">
        <v>220</v>
      </c>
      <c r="G21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14" s="139" t="str">
        <f>IF(COUNTIF(Tabla_imprenta[LOTE],Tabla_control[[#This Row],[LOTE]])=1,INDEX(Tabla_imprenta[stock sap],MATCH(Tabla_control[[#This Row],[LOTE]],Tabla_imprenta[LOTE],0)),"ENTREGADO")</f>
        <v>ENTREGADO</v>
      </c>
      <c r="I214" s="139" t="str">
        <f>IF(Tabla_control[[#This Row],[STOCK SAP]]&gt;Tabla_control[[#This Row],[CANTIDAD IMPRIMIR]],"cubre","no cubre")</f>
        <v>no cubre</v>
      </c>
      <c r="J214" s="7" t="str">
        <f>IF(COUNTIF(Tabla_imprenta[LOTE],Tabla_control[[#This Row],[LOTE]])=1,INDEX(Tabla_imprenta[STOCK],MATCH(Tabla_control[[#This Row],[LOTE]],Tabla_imprenta[LOTE],0)),"ENTREGADO")</f>
        <v>ENTREGADO</v>
      </c>
      <c r="K21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14" s="148" t="e">
        <f>INDEX(Tabla_imprenta[FECHA CAJA],MATCH(Tabla_control[[#This Row],[LOTE]],Tabla_imprenta[LOTE],0))</f>
        <v>#N/A</v>
      </c>
      <c r="M21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1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1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14" s="169" t="e">
        <f>ROUNDUP(Tabla_control[[#This Row],[CANTIDAD IMPRIMIR]]/Tabla_control[[#This Row],[N TJ]],0)</f>
        <v>#VALUE!</v>
      </c>
      <c r="Q214" s="169" t="e">
        <f>IF(Tabla_control[[#This Row],[CANTIDAD TIRAJE]]&gt;10000,Tabla_control[[#This Row],[CANTIDAD TIRAJE]],Tabla_control[[#This Row],[CANTIDAD TIRAJE]]*2)</f>
        <v>#VALUE!</v>
      </c>
      <c r="R214" s="4" t="s">
        <v>173</v>
      </c>
      <c r="S214" s="4" t="s">
        <v>174</v>
      </c>
      <c r="T214" s="4"/>
      <c r="U214" s="4"/>
      <c r="V214" s="4"/>
      <c r="W214" s="138" t="s">
        <v>3223</v>
      </c>
      <c r="X214" s="138"/>
      <c r="Y214" s="138"/>
      <c r="Z214" s="138"/>
      <c r="AA214" s="4" t="s">
        <v>321</v>
      </c>
      <c r="AB214" s="184" t="s">
        <v>2028</v>
      </c>
    </row>
    <row r="215" spans="1:32" hidden="1" x14ac:dyDescent="0.2">
      <c r="A215" s="175" t="str">
        <f>IF(COUNTIF(Tabla_imprenta[LOTE],Tabla_control[[#This Row],[LOTE]])=1,INDEX(Tabla_imprenta[FECHA EMISIÓN],MATCH(Tabla_control[[#This Row],[LOTE]],Tabla_imprenta[LOTE],0)),"REALIZADO")</f>
        <v>REALIZADO</v>
      </c>
      <c r="B215" s="142" t="str">
        <f>IF(COUNTIF(Tabla_imprenta[LOTE],Tabla_control[[#This Row],[LOTE]])=1,INDEX(Tabla_imprenta[CÓD. SOLICITUD],MATCH(Tabla_control[[#This Row],[LOTE]],Tabla_imprenta[LOTE],0)),"REALIZADO")</f>
        <v>REALIZADO</v>
      </c>
      <c r="C215" s="177" t="str">
        <f>IF(COUNTIF(Tabla_imprenta[LOTE],Tabla_control[[#This Row],[LOTE]])=1,INDEX(Tabla_imprenta[PRODUCTO],MATCH(Tabla_control[[#This Row],[LOTE]],Tabla_imprenta[LOTE],0)),"REALIZADO")</f>
        <v>REALIZADO</v>
      </c>
      <c r="D215" s="142" t="str">
        <f>IF(COUNTIF(Tabla_imprenta[LOTE],Tabla_control[[#This Row],[LOTE]])=1,INDEX(Tabla_imprenta[FORMA FARMACEUTICA],MATCH(Tabla_control[[#This Row],[LOTE]],Tabla_imprenta[LOTE],0)),"REALIZADO")</f>
        <v>REALIZADO</v>
      </c>
      <c r="E215" s="177" t="str">
        <f>IF(COUNTIF(Tabla_imprenta[LOTE],Tabla_control[[#This Row],[LOTE]])=1,INDEX(Tabla_imprenta[INSTITUCIÓN],MATCH(Tabla_control[[#This Row],[LOTE]],Tabla_imprenta[LOTE],0)),"REALIZADO")</f>
        <v>REALIZADO</v>
      </c>
      <c r="F215" s="180" t="s">
        <v>2246</v>
      </c>
      <c r="G21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15" s="139" t="str">
        <f>IF(COUNTIF(Tabla_imprenta[LOTE],Tabla_control[[#This Row],[LOTE]])=1,INDEX(Tabla_imprenta[stock sap],MATCH(Tabla_control[[#This Row],[LOTE]],Tabla_imprenta[LOTE],0)),"ENTREGADO")</f>
        <v>ENTREGADO</v>
      </c>
      <c r="I215" s="139" t="str">
        <f>IF(Tabla_control[[#This Row],[STOCK SAP]]&gt;Tabla_control[[#This Row],[CANTIDAD IMPRIMIR]],"cubre","no cubre")</f>
        <v>no cubre</v>
      </c>
      <c r="J215" s="7" t="str">
        <f>IF(COUNTIF(Tabla_imprenta[LOTE],Tabla_control[[#This Row],[LOTE]])=1,INDEX(Tabla_imprenta[STOCK],MATCH(Tabla_control[[#This Row],[LOTE]],Tabla_imprenta[LOTE],0)),"ENTREGADO")</f>
        <v>ENTREGADO</v>
      </c>
      <c r="K21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15" s="148" t="e">
        <f>INDEX(Tabla_imprenta[FECHA CAJA],MATCH(Tabla_control[[#This Row],[LOTE]],Tabla_imprenta[LOTE],0))</f>
        <v>#N/A</v>
      </c>
      <c r="M21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1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1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15" s="169" t="e">
        <f>ROUNDUP(Tabla_control[[#This Row],[CANTIDAD IMPRIMIR]]/Tabla_control[[#This Row],[N TJ]],0)</f>
        <v>#VALUE!</v>
      </c>
      <c r="Q215" s="169" t="e">
        <f>IF(Tabla_control[[#This Row],[CANTIDAD TIRAJE]]&gt;10000,Tabla_control[[#This Row],[CANTIDAD TIRAJE]],Tabla_control[[#This Row],[CANTIDAD TIRAJE]]*2)</f>
        <v>#VALUE!</v>
      </c>
      <c r="R215" s="4" t="s">
        <v>173</v>
      </c>
      <c r="S215" s="4" t="s">
        <v>174</v>
      </c>
      <c r="T215" s="4"/>
      <c r="U215" s="4"/>
      <c r="V215" s="4"/>
      <c r="W215" s="185" t="s">
        <v>2470</v>
      </c>
      <c r="X215" s="185"/>
      <c r="Y215" s="185"/>
      <c r="Z215" s="185"/>
      <c r="AA215" s="4" t="s">
        <v>171</v>
      </c>
      <c r="AB215" s="184" t="s">
        <v>2028</v>
      </c>
    </row>
    <row r="216" spans="1:32" hidden="1" x14ac:dyDescent="0.2">
      <c r="A216" s="175" t="str">
        <f>IF(COUNTIF(Tabla_imprenta[LOTE],Tabla_control[[#This Row],[LOTE]])=1,INDEX(Tabla_imprenta[FECHA EMISIÓN],MATCH(Tabla_control[[#This Row],[LOTE]],Tabla_imprenta[LOTE],0)),"REALIZADO")</f>
        <v>REALIZADO</v>
      </c>
      <c r="B216" s="142" t="str">
        <f>IF(COUNTIF(Tabla_imprenta[LOTE],Tabla_control[[#This Row],[LOTE]])=1,INDEX(Tabla_imprenta[CÓD. SOLICITUD],MATCH(Tabla_control[[#This Row],[LOTE]],Tabla_imprenta[LOTE],0)),"REALIZADO")</f>
        <v>REALIZADO</v>
      </c>
      <c r="C216" s="177" t="str">
        <f>IF(COUNTIF(Tabla_imprenta[LOTE],Tabla_control[[#This Row],[LOTE]])=1,INDEX(Tabla_imprenta[PRODUCTO],MATCH(Tabla_control[[#This Row],[LOTE]],Tabla_imprenta[LOTE],0)),"REALIZADO")</f>
        <v>REALIZADO</v>
      </c>
      <c r="D216" s="142" t="str">
        <f>IF(COUNTIF(Tabla_imprenta[LOTE],Tabla_control[[#This Row],[LOTE]])=1,INDEX(Tabla_imprenta[FORMA FARMACEUTICA],MATCH(Tabla_control[[#This Row],[LOTE]],Tabla_imprenta[LOTE],0)),"REALIZADO")</f>
        <v>REALIZADO</v>
      </c>
      <c r="E216" s="177" t="str">
        <f>IF(COUNTIF(Tabla_imprenta[LOTE],Tabla_control[[#This Row],[LOTE]])=1,INDEX(Tabla_imprenta[INSTITUCIÓN],MATCH(Tabla_control[[#This Row],[LOTE]],Tabla_imprenta[LOTE],0)),"REALIZADO")</f>
        <v>REALIZADO</v>
      </c>
      <c r="F216" s="180" t="s">
        <v>2154</v>
      </c>
      <c r="G21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16" s="139" t="str">
        <f>IF(COUNTIF(Tabla_imprenta[LOTE],Tabla_control[[#This Row],[LOTE]])=1,INDEX(Tabla_imprenta[stock sap],MATCH(Tabla_control[[#This Row],[LOTE]],Tabla_imprenta[LOTE],0)),"ENTREGADO")</f>
        <v>ENTREGADO</v>
      </c>
      <c r="I216" s="139" t="str">
        <f>IF(Tabla_control[[#This Row],[STOCK SAP]]&gt;Tabla_control[[#This Row],[CANTIDAD IMPRIMIR]],"cubre","no cubre")</f>
        <v>no cubre</v>
      </c>
      <c r="J216" s="7" t="str">
        <f>IF(COUNTIF(Tabla_imprenta[LOTE],Tabla_control[[#This Row],[LOTE]])=1,INDEX(Tabla_imprenta[STOCK],MATCH(Tabla_control[[#This Row],[LOTE]],Tabla_imprenta[LOTE],0)),"ENTREGADO")</f>
        <v>ENTREGADO</v>
      </c>
      <c r="K21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16" s="148" t="e">
        <f>INDEX(Tabla_imprenta[FECHA CAJA],MATCH(Tabla_control[[#This Row],[LOTE]],Tabla_imprenta[LOTE],0))</f>
        <v>#N/A</v>
      </c>
      <c r="M21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1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1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16" s="169" t="e">
        <f>ROUNDUP(Tabla_control[[#This Row],[CANTIDAD IMPRIMIR]]/Tabla_control[[#This Row],[N TJ]],0)</f>
        <v>#VALUE!</v>
      </c>
      <c r="Q216" s="169" t="e">
        <f>IF(Tabla_control[[#This Row],[CANTIDAD TIRAJE]]&gt;10000,Tabla_control[[#This Row],[CANTIDAD TIRAJE]],Tabla_control[[#This Row],[CANTIDAD TIRAJE]]*2)</f>
        <v>#VALUE!</v>
      </c>
      <c r="R216" s="4" t="s">
        <v>173</v>
      </c>
      <c r="S216" s="4" t="s">
        <v>174</v>
      </c>
      <c r="T216" s="4"/>
      <c r="U216" s="4"/>
      <c r="V216" s="4"/>
      <c r="W216" s="138" t="s">
        <v>3223</v>
      </c>
      <c r="X216" s="138"/>
      <c r="Y216" s="138"/>
      <c r="Z216" s="138"/>
      <c r="AA216" s="4" t="s">
        <v>2031</v>
      </c>
      <c r="AB216" s="184" t="s">
        <v>2028</v>
      </c>
    </row>
    <row r="217" spans="1:32" hidden="1" x14ac:dyDescent="0.2">
      <c r="A217" s="175" t="str">
        <f>IF(COUNTIF(Tabla_imprenta[LOTE],Tabla_control[[#This Row],[LOTE]])=1,INDEX(Tabla_imprenta[FECHA EMISIÓN],MATCH(Tabla_control[[#This Row],[LOTE]],Tabla_imprenta[LOTE],0)),"REALIZADO")</f>
        <v>REALIZADO</v>
      </c>
      <c r="B217" s="142" t="str">
        <f>IF(COUNTIF(Tabla_imprenta[LOTE],Tabla_control[[#This Row],[LOTE]])=1,INDEX(Tabla_imprenta[CÓD. SOLICITUD],MATCH(Tabla_control[[#This Row],[LOTE]],Tabla_imprenta[LOTE],0)),"REALIZADO")</f>
        <v>REALIZADO</v>
      </c>
      <c r="C217" s="177" t="str">
        <f>IF(COUNTIF(Tabla_imprenta[LOTE],Tabla_control[[#This Row],[LOTE]])=1,INDEX(Tabla_imprenta[PRODUCTO],MATCH(Tabla_control[[#This Row],[LOTE]],Tabla_imprenta[LOTE],0)),"REALIZADO")</f>
        <v>REALIZADO</v>
      </c>
      <c r="D217" s="142" t="str">
        <f>IF(COUNTIF(Tabla_imprenta[LOTE],Tabla_control[[#This Row],[LOTE]])=1,INDEX(Tabla_imprenta[FORMA FARMACEUTICA],MATCH(Tabla_control[[#This Row],[LOTE]],Tabla_imprenta[LOTE],0)),"REALIZADO")</f>
        <v>REALIZADO</v>
      </c>
      <c r="E217" s="177" t="str">
        <f>IF(COUNTIF(Tabla_imprenta[LOTE],Tabla_control[[#This Row],[LOTE]])=1,INDEX(Tabla_imprenta[INSTITUCIÓN],MATCH(Tabla_control[[#This Row],[LOTE]],Tabla_imprenta[LOTE],0)),"REALIZADO")</f>
        <v>REALIZADO</v>
      </c>
      <c r="F217" s="180" t="s">
        <v>222</v>
      </c>
      <c r="G21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17" s="139" t="str">
        <f>IF(COUNTIF(Tabla_imprenta[LOTE],Tabla_control[[#This Row],[LOTE]])=1,INDEX(Tabla_imprenta[stock sap],MATCH(Tabla_control[[#This Row],[LOTE]],Tabla_imprenta[LOTE],0)),"ENTREGADO")</f>
        <v>ENTREGADO</v>
      </c>
      <c r="I217" s="139" t="str">
        <f>IF(Tabla_control[[#This Row],[STOCK SAP]]&gt;Tabla_control[[#This Row],[CANTIDAD IMPRIMIR]],"cubre","no cubre")</f>
        <v>no cubre</v>
      </c>
      <c r="J217" s="7" t="str">
        <f>IF(COUNTIF(Tabla_imprenta[LOTE],Tabla_control[[#This Row],[LOTE]])=1,INDEX(Tabla_imprenta[STOCK],MATCH(Tabla_control[[#This Row],[LOTE]],Tabla_imprenta[LOTE],0)),"ENTREGADO")</f>
        <v>ENTREGADO</v>
      </c>
      <c r="K21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17" s="148" t="e">
        <f>INDEX(Tabla_imprenta[FECHA CAJA],MATCH(Tabla_control[[#This Row],[LOTE]],Tabla_imprenta[LOTE],0))</f>
        <v>#N/A</v>
      </c>
      <c r="M21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1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1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17" s="169" t="e">
        <f>ROUNDUP(Tabla_control[[#This Row],[CANTIDAD IMPRIMIR]]/Tabla_control[[#This Row],[N TJ]],0)</f>
        <v>#VALUE!</v>
      </c>
      <c r="Q217" s="169" t="e">
        <f>IF(Tabla_control[[#This Row],[CANTIDAD TIRAJE]]&gt;10000,Tabla_control[[#This Row],[CANTIDAD TIRAJE]],Tabla_control[[#This Row],[CANTIDAD TIRAJE]]*2)</f>
        <v>#VALUE!</v>
      </c>
      <c r="R217" s="4" t="s">
        <v>173</v>
      </c>
      <c r="S217" s="4" t="s">
        <v>174</v>
      </c>
      <c r="T217" s="4"/>
      <c r="U217" s="4"/>
      <c r="V217" s="4"/>
      <c r="W217" s="138" t="s">
        <v>3223</v>
      </c>
      <c r="X217" s="138"/>
      <c r="Y217" s="138"/>
      <c r="Z217" s="138"/>
      <c r="AA217" s="4" t="s">
        <v>2429</v>
      </c>
      <c r="AB217" s="184" t="s">
        <v>2028</v>
      </c>
    </row>
    <row r="218" spans="1:32" hidden="1" x14ac:dyDescent="0.2">
      <c r="A218" s="175" t="str">
        <f>IF(COUNTIF(Tabla_imprenta[LOTE],Tabla_control[[#This Row],[LOTE]])=1,INDEX(Tabla_imprenta[FECHA EMISIÓN],MATCH(Tabla_control[[#This Row],[LOTE]],Tabla_imprenta[LOTE],0)),"REALIZADO")</f>
        <v>REALIZADO</v>
      </c>
      <c r="B218" s="142" t="str">
        <f>IF(COUNTIF(Tabla_imprenta[LOTE],Tabla_control[[#This Row],[LOTE]])=1,INDEX(Tabla_imprenta[CÓD. SOLICITUD],MATCH(Tabla_control[[#This Row],[LOTE]],Tabla_imprenta[LOTE],0)),"REALIZADO")</f>
        <v>REALIZADO</v>
      </c>
      <c r="C218" s="177" t="str">
        <f>IF(COUNTIF(Tabla_imprenta[LOTE],Tabla_control[[#This Row],[LOTE]])=1,INDEX(Tabla_imprenta[PRODUCTO],MATCH(Tabla_control[[#This Row],[LOTE]],Tabla_imprenta[LOTE],0)),"REALIZADO")</f>
        <v>REALIZADO</v>
      </c>
      <c r="D218" s="142" t="str">
        <f>IF(COUNTIF(Tabla_imprenta[LOTE],Tabla_control[[#This Row],[LOTE]])=1,INDEX(Tabla_imprenta[FORMA FARMACEUTICA],MATCH(Tabla_control[[#This Row],[LOTE]],Tabla_imprenta[LOTE],0)),"REALIZADO")</f>
        <v>REALIZADO</v>
      </c>
      <c r="E218" s="177" t="str">
        <f>IF(COUNTIF(Tabla_imprenta[LOTE],Tabla_control[[#This Row],[LOTE]])=1,INDEX(Tabla_imprenta[INSTITUCIÓN],MATCH(Tabla_control[[#This Row],[LOTE]],Tabla_imprenta[LOTE],0)),"REALIZADO")</f>
        <v>REALIZADO</v>
      </c>
      <c r="F218" s="180" t="s">
        <v>216</v>
      </c>
      <c r="G21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18" s="139" t="str">
        <f>IF(COUNTIF(Tabla_imprenta[LOTE],Tabla_control[[#This Row],[LOTE]])=1,INDEX(Tabla_imprenta[stock sap],MATCH(Tabla_control[[#This Row],[LOTE]],Tabla_imprenta[LOTE],0)),"ENTREGADO")</f>
        <v>ENTREGADO</v>
      </c>
      <c r="I218" s="139" t="str">
        <f>IF(Tabla_control[[#This Row],[STOCK SAP]]&gt;Tabla_control[[#This Row],[CANTIDAD IMPRIMIR]],"cubre","no cubre")</f>
        <v>no cubre</v>
      </c>
      <c r="J218" s="7" t="str">
        <f>IF(COUNTIF(Tabla_imprenta[LOTE],Tabla_control[[#This Row],[LOTE]])=1,INDEX(Tabla_imprenta[STOCK],MATCH(Tabla_control[[#This Row],[LOTE]],Tabla_imprenta[LOTE],0)),"ENTREGADO")</f>
        <v>ENTREGADO</v>
      </c>
      <c r="K21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18" s="148" t="e">
        <f>INDEX(Tabla_imprenta[FECHA CAJA],MATCH(Tabla_control[[#This Row],[LOTE]],Tabla_imprenta[LOTE],0))</f>
        <v>#N/A</v>
      </c>
      <c r="M21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1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1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18" s="169" t="e">
        <f>ROUNDUP(Tabla_control[[#This Row],[CANTIDAD IMPRIMIR]]/Tabla_control[[#This Row],[N TJ]],0)</f>
        <v>#VALUE!</v>
      </c>
      <c r="Q218" s="169" t="e">
        <f>IF(Tabla_control[[#This Row],[CANTIDAD TIRAJE]]&gt;10000,Tabla_control[[#This Row],[CANTIDAD TIRAJE]],Tabla_control[[#This Row],[CANTIDAD TIRAJE]]*2)</f>
        <v>#VALUE!</v>
      </c>
      <c r="R218" s="4" t="s">
        <v>173</v>
      </c>
      <c r="S218" s="4" t="s">
        <v>174</v>
      </c>
      <c r="T218" s="4"/>
      <c r="U218" s="4"/>
      <c r="V218" s="4"/>
      <c r="W218" s="138" t="s">
        <v>3223</v>
      </c>
      <c r="X218" s="138"/>
      <c r="Y218" s="138"/>
      <c r="Z218" s="138"/>
      <c r="AA218" s="4" t="s">
        <v>2429</v>
      </c>
      <c r="AB218" s="184" t="s">
        <v>2028</v>
      </c>
    </row>
    <row r="219" spans="1:32" hidden="1" x14ac:dyDescent="0.2">
      <c r="A219" s="175" t="str">
        <f>IF(COUNTIF(Tabla_imprenta[LOTE],Tabla_control[[#This Row],[LOTE]])=1,INDEX(Tabla_imprenta[FECHA EMISIÓN],MATCH(Tabla_control[[#This Row],[LOTE]],Tabla_imprenta[LOTE],0)),"REALIZADO")</f>
        <v>REALIZADO</v>
      </c>
      <c r="B219" s="142" t="str">
        <f>IF(COUNTIF(Tabla_imprenta[LOTE],Tabla_control[[#This Row],[LOTE]])=1,INDEX(Tabla_imprenta[CÓD. SOLICITUD],MATCH(Tabla_control[[#This Row],[LOTE]],Tabla_imprenta[LOTE],0)),"REALIZADO")</f>
        <v>REALIZADO</v>
      </c>
      <c r="C219" s="177" t="str">
        <f>IF(COUNTIF(Tabla_imprenta[LOTE],Tabla_control[[#This Row],[LOTE]])=1,INDEX(Tabla_imprenta[PRODUCTO],MATCH(Tabla_control[[#This Row],[LOTE]],Tabla_imprenta[LOTE],0)),"REALIZADO")</f>
        <v>REALIZADO</v>
      </c>
      <c r="D219" s="142" t="str">
        <f>IF(COUNTIF(Tabla_imprenta[LOTE],Tabla_control[[#This Row],[LOTE]])=1,INDEX(Tabla_imprenta[FORMA FARMACEUTICA],MATCH(Tabla_control[[#This Row],[LOTE]],Tabla_imprenta[LOTE],0)),"REALIZADO")</f>
        <v>REALIZADO</v>
      </c>
      <c r="E219" s="177" t="str">
        <f>IF(COUNTIF(Tabla_imprenta[LOTE],Tabla_control[[#This Row],[LOTE]])=1,INDEX(Tabla_imprenta[INSTITUCIÓN],MATCH(Tabla_control[[#This Row],[LOTE]],Tabla_imprenta[LOTE],0)),"REALIZADO")</f>
        <v>REALIZADO</v>
      </c>
      <c r="F219" s="180" t="s">
        <v>218</v>
      </c>
      <c r="G21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19" s="139" t="str">
        <f>IF(COUNTIF(Tabla_imprenta[LOTE],Tabla_control[[#This Row],[LOTE]])=1,INDEX(Tabla_imprenta[stock sap],MATCH(Tabla_control[[#This Row],[LOTE]],Tabla_imprenta[LOTE],0)),"ENTREGADO")</f>
        <v>ENTREGADO</v>
      </c>
      <c r="I219" s="139" t="str">
        <f>IF(Tabla_control[[#This Row],[STOCK SAP]]&gt;Tabla_control[[#This Row],[CANTIDAD IMPRIMIR]],"cubre","no cubre")</f>
        <v>no cubre</v>
      </c>
      <c r="J219" s="7" t="str">
        <f>IF(COUNTIF(Tabla_imprenta[LOTE],Tabla_control[[#This Row],[LOTE]])=1,INDEX(Tabla_imprenta[STOCK],MATCH(Tabla_control[[#This Row],[LOTE]],Tabla_imprenta[LOTE],0)),"ENTREGADO")</f>
        <v>ENTREGADO</v>
      </c>
      <c r="K21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19" s="148" t="e">
        <f>INDEX(Tabla_imprenta[FECHA CAJA],MATCH(Tabla_control[[#This Row],[LOTE]],Tabla_imprenta[LOTE],0))</f>
        <v>#N/A</v>
      </c>
      <c r="M21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1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1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19" s="169" t="e">
        <f>ROUNDUP(Tabla_control[[#This Row],[CANTIDAD IMPRIMIR]]/Tabla_control[[#This Row],[N TJ]],0)</f>
        <v>#VALUE!</v>
      </c>
      <c r="Q219" s="169" t="e">
        <f>IF(Tabla_control[[#This Row],[CANTIDAD TIRAJE]]&gt;10000,Tabla_control[[#This Row],[CANTIDAD TIRAJE]],Tabla_control[[#This Row],[CANTIDAD TIRAJE]]*2)</f>
        <v>#VALUE!</v>
      </c>
      <c r="R219" s="4" t="s">
        <v>173</v>
      </c>
      <c r="S219" s="4" t="s">
        <v>174</v>
      </c>
      <c r="T219" s="4"/>
      <c r="U219" s="4"/>
      <c r="V219" s="4"/>
      <c r="W219" s="138" t="s">
        <v>3223</v>
      </c>
      <c r="X219" s="138"/>
      <c r="Y219" s="138"/>
      <c r="Z219" s="138"/>
      <c r="AA219" s="4" t="s">
        <v>2429</v>
      </c>
      <c r="AB219" s="184" t="s">
        <v>2028</v>
      </c>
    </row>
    <row r="220" spans="1:32" hidden="1" x14ac:dyDescent="0.2">
      <c r="A220" s="175" t="str">
        <f>IF(COUNTIF(Tabla_imprenta[LOTE],Tabla_control[[#This Row],[LOTE]])=1,INDEX(Tabla_imprenta[FECHA EMISIÓN],MATCH(Tabla_control[[#This Row],[LOTE]],Tabla_imprenta[LOTE],0)),"REALIZADO")</f>
        <v>REALIZADO</v>
      </c>
      <c r="B220" s="142" t="str">
        <f>IF(COUNTIF(Tabla_imprenta[LOTE],Tabla_control[[#This Row],[LOTE]])=1,INDEX(Tabla_imprenta[CÓD. SOLICITUD],MATCH(Tabla_control[[#This Row],[LOTE]],Tabla_imprenta[LOTE],0)),"REALIZADO")</f>
        <v>REALIZADO</v>
      </c>
      <c r="C220" s="177" t="str">
        <f>IF(COUNTIF(Tabla_imprenta[LOTE],Tabla_control[[#This Row],[LOTE]])=1,INDEX(Tabla_imprenta[PRODUCTO],MATCH(Tabla_control[[#This Row],[LOTE]],Tabla_imprenta[LOTE],0)),"REALIZADO")</f>
        <v>REALIZADO</v>
      </c>
      <c r="D220" s="142" t="str">
        <f>IF(COUNTIF(Tabla_imprenta[LOTE],Tabla_control[[#This Row],[LOTE]])=1,INDEX(Tabla_imprenta[FORMA FARMACEUTICA],MATCH(Tabla_control[[#This Row],[LOTE]],Tabla_imprenta[LOTE],0)),"REALIZADO")</f>
        <v>REALIZADO</v>
      </c>
      <c r="E220" s="177" t="str">
        <f>IF(COUNTIF(Tabla_imprenta[LOTE],Tabla_control[[#This Row],[LOTE]])=1,INDEX(Tabla_imprenta[INSTITUCIÓN],MATCH(Tabla_control[[#This Row],[LOTE]],Tabla_imprenta[LOTE],0)),"REALIZADO")</f>
        <v>REALIZADO</v>
      </c>
      <c r="F220" s="180" t="s">
        <v>2117</v>
      </c>
      <c r="G22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20" s="139" t="str">
        <f>IF(COUNTIF(Tabla_imprenta[LOTE],Tabla_control[[#This Row],[LOTE]])=1,INDEX(Tabla_imprenta[stock sap],MATCH(Tabla_control[[#This Row],[LOTE]],Tabla_imprenta[LOTE],0)),"ENTREGADO")</f>
        <v>ENTREGADO</v>
      </c>
      <c r="I220" s="139" t="str">
        <f>IF(Tabla_control[[#This Row],[STOCK SAP]]&gt;Tabla_control[[#This Row],[CANTIDAD IMPRIMIR]],"cubre","no cubre")</f>
        <v>no cubre</v>
      </c>
      <c r="J220" s="7" t="str">
        <f>IF(COUNTIF(Tabla_imprenta[LOTE],Tabla_control[[#This Row],[LOTE]])=1,INDEX(Tabla_imprenta[STOCK],MATCH(Tabla_control[[#This Row],[LOTE]],Tabla_imprenta[LOTE],0)),"ENTREGADO")</f>
        <v>ENTREGADO</v>
      </c>
      <c r="K22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20" s="148" t="e">
        <f>INDEX(Tabla_imprenta[FECHA CAJA],MATCH(Tabla_control[[#This Row],[LOTE]],Tabla_imprenta[LOTE],0))</f>
        <v>#N/A</v>
      </c>
      <c r="M22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2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2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20" s="169" t="e">
        <f>ROUNDUP(Tabla_control[[#This Row],[CANTIDAD IMPRIMIR]]/Tabla_control[[#This Row],[N TJ]],0)</f>
        <v>#VALUE!</v>
      </c>
      <c r="Q220" s="169" t="e">
        <f>IF(Tabla_control[[#This Row],[CANTIDAD TIRAJE]]&gt;10000,Tabla_control[[#This Row],[CANTIDAD TIRAJE]],Tabla_control[[#This Row],[CANTIDAD TIRAJE]]*2)</f>
        <v>#VALUE!</v>
      </c>
      <c r="R220" s="4" t="s">
        <v>172</v>
      </c>
      <c r="S220" s="4" t="s">
        <v>30</v>
      </c>
      <c r="T220" s="4"/>
      <c r="U220" s="4"/>
      <c r="V220" s="4"/>
      <c r="W220" s="138" t="s">
        <v>3223</v>
      </c>
      <c r="X220" s="138"/>
      <c r="Y220" s="138"/>
      <c r="Z220" s="138"/>
      <c r="AA220" s="4" t="s">
        <v>2429</v>
      </c>
      <c r="AB220" s="184" t="s">
        <v>2028</v>
      </c>
    </row>
    <row r="221" spans="1:32" hidden="1" x14ac:dyDescent="0.2">
      <c r="A221" s="175" t="str">
        <f>IF(COUNTIF(Tabla_imprenta[LOTE],Tabla_control[[#This Row],[LOTE]])=1,INDEX(Tabla_imprenta[FECHA EMISIÓN],MATCH(Tabla_control[[#This Row],[LOTE]],Tabla_imprenta[LOTE],0)),"REALIZADO")</f>
        <v>REALIZADO</v>
      </c>
      <c r="B221" s="142" t="str">
        <f>IF(COUNTIF(Tabla_imprenta[LOTE],Tabla_control[[#This Row],[LOTE]])=1,INDEX(Tabla_imprenta[CÓD. SOLICITUD],MATCH(Tabla_control[[#This Row],[LOTE]],Tabla_imprenta[LOTE],0)),"REALIZADO")</f>
        <v>REALIZADO</v>
      </c>
      <c r="C221" s="177" t="str">
        <f>IF(COUNTIF(Tabla_imprenta[LOTE],Tabla_control[[#This Row],[LOTE]])=1,INDEX(Tabla_imprenta[PRODUCTO],MATCH(Tabla_control[[#This Row],[LOTE]],Tabla_imprenta[LOTE],0)),"REALIZADO")</f>
        <v>REALIZADO</v>
      </c>
      <c r="D221" s="142" t="str">
        <f>IF(COUNTIF(Tabla_imprenta[LOTE],Tabla_control[[#This Row],[LOTE]])=1,INDEX(Tabla_imprenta[FORMA FARMACEUTICA],MATCH(Tabla_control[[#This Row],[LOTE]],Tabla_imprenta[LOTE],0)),"REALIZADO")</f>
        <v>REALIZADO</v>
      </c>
      <c r="E221" s="177" t="str">
        <f>IF(COUNTIF(Tabla_imprenta[LOTE],Tabla_control[[#This Row],[LOTE]])=1,INDEX(Tabla_imprenta[INSTITUCIÓN],MATCH(Tabla_control[[#This Row],[LOTE]],Tabla_imprenta[LOTE],0)),"REALIZADO")</f>
        <v>REALIZADO</v>
      </c>
      <c r="F221" s="180" t="s">
        <v>2133</v>
      </c>
      <c r="G22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21" s="139" t="str">
        <f>IF(COUNTIF(Tabla_imprenta[LOTE],Tabla_control[[#This Row],[LOTE]])=1,INDEX(Tabla_imprenta[stock sap],MATCH(Tabla_control[[#This Row],[LOTE]],Tabla_imprenta[LOTE],0)),"ENTREGADO")</f>
        <v>ENTREGADO</v>
      </c>
      <c r="I221" s="139" t="str">
        <f>IF(Tabla_control[[#This Row],[STOCK SAP]]&gt;Tabla_control[[#This Row],[CANTIDAD IMPRIMIR]],"cubre","no cubre")</f>
        <v>no cubre</v>
      </c>
      <c r="J221" s="7" t="str">
        <f>IF(COUNTIF(Tabla_imprenta[LOTE],Tabla_control[[#This Row],[LOTE]])=1,INDEX(Tabla_imprenta[STOCK],MATCH(Tabla_control[[#This Row],[LOTE]],Tabla_imprenta[LOTE],0)),"ENTREGADO")</f>
        <v>ENTREGADO</v>
      </c>
      <c r="K22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21" s="148" t="e">
        <f>INDEX(Tabla_imprenta[FECHA CAJA],MATCH(Tabla_control[[#This Row],[LOTE]],Tabla_imprenta[LOTE],0))</f>
        <v>#N/A</v>
      </c>
      <c r="M22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2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2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21" s="169" t="e">
        <f>ROUNDUP(Tabla_control[[#This Row],[CANTIDAD IMPRIMIR]]/Tabla_control[[#This Row],[N TJ]],0)</f>
        <v>#VALUE!</v>
      </c>
      <c r="Q221" s="169" t="e">
        <f>IF(Tabla_control[[#This Row],[CANTIDAD TIRAJE]]&gt;10000,Tabla_control[[#This Row],[CANTIDAD TIRAJE]],Tabla_control[[#This Row],[CANTIDAD TIRAJE]]*2)</f>
        <v>#VALUE!</v>
      </c>
      <c r="R221" s="4" t="s">
        <v>173</v>
      </c>
      <c r="S221" s="4" t="s">
        <v>174</v>
      </c>
      <c r="T221" s="4"/>
      <c r="U221" s="4"/>
      <c r="V221" s="4"/>
      <c r="W221" s="138" t="s">
        <v>3223</v>
      </c>
      <c r="X221" s="138"/>
      <c r="Y221" s="138"/>
      <c r="Z221" s="138"/>
      <c r="AA221" s="4" t="s">
        <v>2429</v>
      </c>
      <c r="AB221" s="184" t="s">
        <v>2028</v>
      </c>
    </row>
    <row r="222" spans="1:32" hidden="1" x14ac:dyDescent="0.2">
      <c r="A222" s="175" t="str">
        <f>IF(COUNTIF(Tabla_imprenta[LOTE],Tabla_control[[#This Row],[LOTE]])=1,INDEX(Tabla_imprenta[FECHA EMISIÓN],MATCH(Tabla_control[[#This Row],[LOTE]],Tabla_imprenta[LOTE],0)),"REALIZADO")</f>
        <v>REALIZADO</v>
      </c>
      <c r="B222" s="142" t="str">
        <f>IF(COUNTIF(Tabla_imprenta[LOTE],Tabla_control[[#This Row],[LOTE]])=1,INDEX(Tabla_imprenta[CÓD. SOLICITUD],MATCH(Tabla_control[[#This Row],[LOTE]],Tabla_imprenta[LOTE],0)),"REALIZADO")</f>
        <v>REALIZADO</v>
      </c>
      <c r="C222" s="177" t="str">
        <f>IF(COUNTIF(Tabla_imprenta[LOTE],Tabla_control[[#This Row],[LOTE]])=1,INDEX(Tabla_imprenta[PRODUCTO],MATCH(Tabla_control[[#This Row],[LOTE]],Tabla_imprenta[LOTE],0)),"REALIZADO")</f>
        <v>REALIZADO</v>
      </c>
      <c r="D222" s="142" t="str">
        <f>IF(COUNTIF(Tabla_imprenta[LOTE],Tabla_control[[#This Row],[LOTE]])=1,INDEX(Tabla_imprenta[FORMA FARMACEUTICA],MATCH(Tabla_control[[#This Row],[LOTE]],Tabla_imprenta[LOTE],0)),"REALIZADO")</f>
        <v>REALIZADO</v>
      </c>
      <c r="E222" s="177" t="str">
        <f>IF(COUNTIF(Tabla_imprenta[LOTE],Tabla_control[[#This Row],[LOTE]])=1,INDEX(Tabla_imprenta[INSTITUCIÓN],MATCH(Tabla_control[[#This Row],[LOTE]],Tabla_imprenta[LOTE],0)),"REALIZADO")</f>
        <v>REALIZADO</v>
      </c>
      <c r="F222" s="180" t="s">
        <v>2550</v>
      </c>
      <c r="G22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22" s="139" t="str">
        <f>IF(COUNTIF(Tabla_imprenta[LOTE],Tabla_control[[#This Row],[LOTE]])=1,INDEX(Tabla_imprenta[stock sap],MATCH(Tabla_control[[#This Row],[LOTE]],Tabla_imprenta[LOTE],0)),"ENTREGADO")</f>
        <v>ENTREGADO</v>
      </c>
      <c r="I222" s="139" t="str">
        <f>IF(Tabla_control[[#This Row],[STOCK SAP]]&gt;Tabla_control[[#This Row],[CANTIDAD IMPRIMIR]],"cubre","no cubre")</f>
        <v>no cubre</v>
      </c>
      <c r="J222" s="7" t="str">
        <f>IF(COUNTIF(Tabla_imprenta[LOTE],Tabla_control[[#This Row],[LOTE]])=1,INDEX(Tabla_imprenta[STOCK],MATCH(Tabla_control[[#This Row],[LOTE]],Tabla_imprenta[LOTE],0)),"ENTREGADO")</f>
        <v>ENTREGADO</v>
      </c>
      <c r="K22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22" s="148" t="e">
        <f>INDEX(Tabla_imprenta[FECHA CAJA],MATCH(Tabla_control[[#This Row],[LOTE]],Tabla_imprenta[LOTE],0))</f>
        <v>#N/A</v>
      </c>
      <c r="M22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2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2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22" s="169" t="e">
        <f>ROUNDUP(Tabla_control[[#This Row],[CANTIDAD IMPRIMIR]]/Tabla_control[[#This Row],[N TJ]],0)</f>
        <v>#VALUE!</v>
      </c>
      <c r="Q222" s="169" t="e">
        <f>IF(Tabla_control[[#This Row],[CANTIDAD TIRAJE]]&gt;10000,Tabla_control[[#This Row],[CANTIDAD TIRAJE]],Tabla_control[[#This Row],[CANTIDAD TIRAJE]]*2)</f>
        <v>#VALUE!</v>
      </c>
      <c r="R222" s="4" t="s">
        <v>172</v>
      </c>
      <c r="S222" s="4" t="s">
        <v>30</v>
      </c>
      <c r="T222" s="4"/>
      <c r="U222" s="4"/>
      <c r="V222" s="4"/>
      <c r="W222" s="138" t="s">
        <v>3223</v>
      </c>
      <c r="X222" s="138"/>
      <c r="Y222" s="138"/>
      <c r="Z222" s="138"/>
      <c r="AA222" s="4" t="s">
        <v>321</v>
      </c>
      <c r="AB222" s="184" t="s">
        <v>2028</v>
      </c>
    </row>
    <row r="223" spans="1:32" hidden="1" x14ac:dyDescent="0.2">
      <c r="A223" s="175" t="str">
        <f>IF(COUNTIF(Tabla_imprenta[LOTE],Tabla_control[[#This Row],[LOTE]])=1,INDEX(Tabla_imprenta[FECHA EMISIÓN],MATCH(Tabla_control[[#This Row],[LOTE]],Tabla_imprenta[LOTE],0)),"REALIZADO")</f>
        <v>REALIZADO</v>
      </c>
      <c r="B223" s="142" t="str">
        <f>IF(COUNTIF(Tabla_imprenta[LOTE],Tabla_control[[#This Row],[LOTE]])=1,INDEX(Tabla_imprenta[CÓD. SOLICITUD],MATCH(Tabla_control[[#This Row],[LOTE]],Tabla_imprenta[LOTE],0)),"REALIZADO")</f>
        <v>REALIZADO</v>
      </c>
      <c r="C223" s="177" t="str">
        <f>IF(COUNTIF(Tabla_imprenta[LOTE],Tabla_control[[#This Row],[LOTE]])=1,INDEX(Tabla_imprenta[PRODUCTO],MATCH(Tabla_control[[#This Row],[LOTE]],Tabla_imprenta[LOTE],0)),"REALIZADO")</f>
        <v>REALIZADO</v>
      </c>
      <c r="D223" s="142" t="str">
        <f>IF(COUNTIF(Tabla_imprenta[LOTE],Tabla_control[[#This Row],[LOTE]])=1,INDEX(Tabla_imprenta[FORMA FARMACEUTICA],MATCH(Tabla_control[[#This Row],[LOTE]],Tabla_imprenta[LOTE],0)),"REALIZADO")</f>
        <v>REALIZADO</v>
      </c>
      <c r="E223" s="177" t="str">
        <f>IF(COUNTIF(Tabla_imprenta[LOTE],Tabla_control[[#This Row],[LOTE]])=1,INDEX(Tabla_imprenta[INSTITUCIÓN],MATCH(Tabla_control[[#This Row],[LOTE]],Tabla_imprenta[LOTE],0)),"REALIZADO")</f>
        <v>REALIZADO</v>
      </c>
      <c r="F223" s="180" t="s">
        <v>2439</v>
      </c>
      <c r="G22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23" s="139" t="str">
        <f>IF(COUNTIF(Tabla_imprenta[LOTE],Tabla_control[[#This Row],[LOTE]])=1,INDEX(Tabla_imprenta[stock sap],MATCH(Tabla_control[[#This Row],[LOTE]],Tabla_imprenta[LOTE],0)),"ENTREGADO")</f>
        <v>ENTREGADO</v>
      </c>
      <c r="I223" s="139" t="str">
        <f>IF(Tabla_control[[#This Row],[STOCK SAP]]&gt;Tabla_control[[#This Row],[CANTIDAD IMPRIMIR]],"cubre","no cubre")</f>
        <v>no cubre</v>
      </c>
      <c r="J223" s="7" t="str">
        <f>IF(COUNTIF(Tabla_imprenta[LOTE],Tabla_control[[#This Row],[LOTE]])=1,INDEX(Tabla_imprenta[STOCK],MATCH(Tabla_control[[#This Row],[LOTE]],Tabla_imprenta[LOTE],0)),"ENTREGADO")</f>
        <v>ENTREGADO</v>
      </c>
      <c r="K22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23" s="148" t="e">
        <f>INDEX(Tabla_imprenta[FECHA CAJA],MATCH(Tabla_control[[#This Row],[LOTE]],Tabla_imprenta[LOTE],0))</f>
        <v>#N/A</v>
      </c>
      <c r="M22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2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2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23" s="169" t="e">
        <f>ROUNDUP(Tabla_control[[#This Row],[CANTIDAD IMPRIMIR]]/Tabla_control[[#This Row],[N TJ]],0)</f>
        <v>#VALUE!</v>
      </c>
      <c r="Q223" s="169" t="e">
        <f>IF(Tabla_control[[#This Row],[CANTIDAD TIRAJE]]&gt;10000,Tabla_control[[#This Row],[CANTIDAD TIRAJE]],Tabla_control[[#This Row],[CANTIDAD TIRAJE]]*2)</f>
        <v>#VALUE!</v>
      </c>
      <c r="R223" s="4" t="s">
        <v>173</v>
      </c>
      <c r="S223" s="4" t="s">
        <v>174</v>
      </c>
      <c r="T223" s="4"/>
      <c r="U223" s="4"/>
      <c r="V223" s="4"/>
      <c r="W223" s="138" t="s">
        <v>3223</v>
      </c>
      <c r="X223" s="138"/>
      <c r="Y223" s="138"/>
      <c r="Z223" s="138"/>
      <c r="AA223" s="4" t="s">
        <v>2429</v>
      </c>
      <c r="AB223" s="184" t="s">
        <v>2028</v>
      </c>
    </row>
    <row r="224" spans="1:32" hidden="1" x14ac:dyDescent="0.2">
      <c r="A224" s="175" t="str">
        <f>IF(COUNTIF(Tabla_imprenta[LOTE],Tabla_control[[#This Row],[LOTE]])=1,INDEX(Tabla_imprenta[FECHA EMISIÓN],MATCH(Tabla_control[[#This Row],[LOTE]],Tabla_imprenta[LOTE],0)),"REALIZADO")</f>
        <v>REALIZADO</v>
      </c>
      <c r="B224" s="142" t="str">
        <f>IF(COUNTIF(Tabla_imprenta[LOTE],Tabla_control[[#This Row],[LOTE]])=1,INDEX(Tabla_imprenta[CÓD. SOLICITUD],MATCH(Tabla_control[[#This Row],[LOTE]],Tabla_imprenta[LOTE],0)),"REALIZADO")</f>
        <v>REALIZADO</v>
      </c>
      <c r="C224" s="177" t="str">
        <f>IF(COUNTIF(Tabla_imprenta[LOTE],Tabla_control[[#This Row],[LOTE]])=1,INDEX(Tabla_imprenta[PRODUCTO],MATCH(Tabla_control[[#This Row],[LOTE]],Tabla_imprenta[LOTE],0)),"REALIZADO")</f>
        <v>REALIZADO</v>
      </c>
      <c r="D224" s="142" t="str">
        <f>IF(COUNTIF(Tabla_imprenta[LOTE],Tabla_control[[#This Row],[LOTE]])=1,INDEX(Tabla_imprenta[FORMA FARMACEUTICA],MATCH(Tabla_control[[#This Row],[LOTE]],Tabla_imprenta[LOTE],0)),"REALIZADO")</f>
        <v>REALIZADO</v>
      </c>
      <c r="E224" s="177" t="str">
        <f>IF(COUNTIF(Tabla_imprenta[LOTE],Tabla_control[[#This Row],[LOTE]])=1,INDEX(Tabla_imprenta[INSTITUCIÓN],MATCH(Tabla_control[[#This Row],[LOTE]],Tabla_imprenta[LOTE],0)),"REALIZADO")</f>
        <v>REALIZADO</v>
      </c>
      <c r="F224" s="180" t="s">
        <v>2431</v>
      </c>
      <c r="G22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24" s="139" t="str">
        <f>IF(COUNTIF(Tabla_imprenta[LOTE],Tabla_control[[#This Row],[LOTE]])=1,INDEX(Tabla_imprenta[stock sap],MATCH(Tabla_control[[#This Row],[LOTE]],Tabla_imprenta[LOTE],0)),"ENTREGADO")</f>
        <v>ENTREGADO</v>
      </c>
      <c r="I224" s="139" t="str">
        <f>IF(Tabla_control[[#This Row],[STOCK SAP]]&gt;Tabla_control[[#This Row],[CANTIDAD IMPRIMIR]],"cubre","no cubre")</f>
        <v>no cubre</v>
      </c>
      <c r="J224" s="7" t="str">
        <f>IF(COUNTIF(Tabla_imprenta[LOTE],Tabla_control[[#This Row],[LOTE]])=1,INDEX(Tabla_imprenta[STOCK],MATCH(Tabla_control[[#This Row],[LOTE]],Tabla_imprenta[LOTE],0)),"ENTREGADO")</f>
        <v>ENTREGADO</v>
      </c>
      <c r="K22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24" s="148" t="e">
        <f>INDEX(Tabla_imprenta[FECHA CAJA],MATCH(Tabla_control[[#This Row],[LOTE]],Tabla_imprenta[LOTE],0))</f>
        <v>#N/A</v>
      </c>
      <c r="M22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2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2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24" s="169" t="e">
        <f>ROUNDUP(Tabla_control[[#This Row],[CANTIDAD IMPRIMIR]]/Tabla_control[[#This Row],[N TJ]],0)</f>
        <v>#VALUE!</v>
      </c>
      <c r="Q224" s="169" t="e">
        <f>IF(Tabla_control[[#This Row],[CANTIDAD TIRAJE]]&gt;10000,Tabla_control[[#This Row],[CANTIDAD TIRAJE]],Tabla_control[[#This Row],[CANTIDAD TIRAJE]]*2)</f>
        <v>#VALUE!</v>
      </c>
      <c r="R224" s="4" t="s">
        <v>172</v>
      </c>
      <c r="S224" s="4" t="s">
        <v>30</v>
      </c>
      <c r="T224" s="4"/>
      <c r="U224" s="4"/>
      <c r="V224" s="4"/>
      <c r="W224" s="138" t="s">
        <v>3223</v>
      </c>
      <c r="X224" s="138"/>
      <c r="Y224" s="138"/>
      <c r="Z224" s="138"/>
      <c r="AA224" s="4" t="s">
        <v>2429</v>
      </c>
      <c r="AB224" s="184" t="s">
        <v>2028</v>
      </c>
    </row>
    <row r="225" spans="1:28" hidden="1" x14ac:dyDescent="0.2">
      <c r="A225" s="175" t="str">
        <f>IF(COUNTIF(Tabla_imprenta[LOTE],Tabla_control[[#This Row],[LOTE]])=1,INDEX(Tabla_imprenta[FECHA EMISIÓN],MATCH(Tabla_control[[#This Row],[LOTE]],Tabla_imprenta[LOTE],0)),"REALIZADO")</f>
        <v>REALIZADO</v>
      </c>
      <c r="B225" s="142" t="str">
        <f>IF(COUNTIF(Tabla_imprenta[LOTE],Tabla_control[[#This Row],[LOTE]])=1,INDEX(Tabla_imprenta[CÓD. SOLICITUD],MATCH(Tabla_control[[#This Row],[LOTE]],Tabla_imprenta[LOTE],0)),"REALIZADO")</f>
        <v>REALIZADO</v>
      </c>
      <c r="C225" s="177" t="str">
        <f>IF(COUNTIF(Tabla_imprenta[LOTE],Tabla_control[[#This Row],[LOTE]])=1,INDEX(Tabla_imprenta[PRODUCTO],MATCH(Tabla_control[[#This Row],[LOTE]],Tabla_imprenta[LOTE],0)),"REALIZADO")</f>
        <v>REALIZADO</v>
      </c>
      <c r="D225" s="142" t="str">
        <f>IF(COUNTIF(Tabla_imprenta[LOTE],Tabla_control[[#This Row],[LOTE]])=1,INDEX(Tabla_imprenta[FORMA FARMACEUTICA],MATCH(Tabla_control[[#This Row],[LOTE]],Tabla_imprenta[LOTE],0)),"REALIZADO")</f>
        <v>REALIZADO</v>
      </c>
      <c r="E225" s="177" t="str">
        <f>IF(COUNTIF(Tabla_imprenta[LOTE],Tabla_control[[#This Row],[LOTE]])=1,INDEX(Tabla_imprenta[INSTITUCIÓN],MATCH(Tabla_control[[#This Row],[LOTE]],Tabla_imprenta[LOTE],0)),"REALIZADO")</f>
        <v>REALIZADO</v>
      </c>
      <c r="F225" s="180" t="s">
        <v>2248</v>
      </c>
      <c r="G22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25" s="139" t="str">
        <f>IF(COUNTIF(Tabla_imprenta[LOTE],Tabla_control[[#This Row],[LOTE]])=1,INDEX(Tabla_imprenta[stock sap],MATCH(Tabla_control[[#This Row],[LOTE]],Tabla_imprenta[LOTE],0)),"ENTREGADO")</f>
        <v>ENTREGADO</v>
      </c>
      <c r="I225" s="139" t="str">
        <f>IF(Tabla_control[[#This Row],[STOCK SAP]]&gt;Tabla_control[[#This Row],[CANTIDAD IMPRIMIR]],"cubre","no cubre")</f>
        <v>no cubre</v>
      </c>
      <c r="J225" s="7" t="str">
        <f>IF(COUNTIF(Tabla_imprenta[LOTE],Tabla_control[[#This Row],[LOTE]])=1,INDEX(Tabla_imprenta[STOCK],MATCH(Tabla_control[[#This Row],[LOTE]],Tabla_imprenta[LOTE],0)),"ENTREGADO")</f>
        <v>ENTREGADO</v>
      </c>
      <c r="K22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25" s="148" t="e">
        <f>INDEX(Tabla_imprenta[FECHA CAJA],MATCH(Tabla_control[[#This Row],[LOTE]],Tabla_imprenta[LOTE],0))</f>
        <v>#N/A</v>
      </c>
      <c r="M22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2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2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25" s="169" t="e">
        <f>ROUNDUP(Tabla_control[[#This Row],[CANTIDAD IMPRIMIR]]/Tabla_control[[#This Row],[N TJ]],0)</f>
        <v>#VALUE!</v>
      </c>
      <c r="Q225" s="169" t="e">
        <f>IF(Tabla_control[[#This Row],[CANTIDAD TIRAJE]]&gt;10000,Tabla_control[[#This Row],[CANTIDAD TIRAJE]],Tabla_control[[#This Row],[CANTIDAD TIRAJE]]*2)</f>
        <v>#VALUE!</v>
      </c>
      <c r="R225" s="4" t="s">
        <v>172</v>
      </c>
      <c r="S225" s="4" t="s">
        <v>30</v>
      </c>
      <c r="T225" s="4"/>
      <c r="U225" s="4"/>
      <c r="V225" s="4"/>
      <c r="W225" s="138" t="s">
        <v>3223</v>
      </c>
      <c r="X225" s="138"/>
      <c r="Y225" s="138"/>
      <c r="Z225" s="138"/>
      <c r="AA225" s="4" t="s">
        <v>2429</v>
      </c>
      <c r="AB225" s="184" t="s">
        <v>2028</v>
      </c>
    </row>
    <row r="226" spans="1:28" hidden="1" x14ac:dyDescent="0.2">
      <c r="A226" s="175" t="str">
        <f>IF(COUNTIF(Tabla_imprenta[LOTE],Tabla_control[[#This Row],[LOTE]])=1,INDEX(Tabla_imprenta[FECHA EMISIÓN],MATCH(Tabla_control[[#This Row],[LOTE]],Tabla_imprenta[LOTE],0)),"REALIZADO")</f>
        <v>REALIZADO</v>
      </c>
      <c r="B226" s="142" t="str">
        <f>IF(COUNTIF(Tabla_imprenta[LOTE],Tabla_control[[#This Row],[LOTE]])=1,INDEX(Tabla_imprenta[CÓD. SOLICITUD],MATCH(Tabla_control[[#This Row],[LOTE]],Tabla_imprenta[LOTE],0)),"REALIZADO")</f>
        <v>REALIZADO</v>
      </c>
      <c r="C226" s="177" t="str">
        <f>IF(COUNTIF(Tabla_imprenta[LOTE],Tabla_control[[#This Row],[LOTE]])=1,INDEX(Tabla_imprenta[PRODUCTO],MATCH(Tabla_control[[#This Row],[LOTE]],Tabla_imprenta[LOTE],0)),"REALIZADO")</f>
        <v>REALIZADO</v>
      </c>
      <c r="D226" s="142" t="str">
        <f>IF(COUNTIF(Tabla_imprenta[LOTE],Tabla_control[[#This Row],[LOTE]])=1,INDEX(Tabla_imprenta[FORMA FARMACEUTICA],MATCH(Tabla_control[[#This Row],[LOTE]],Tabla_imprenta[LOTE],0)),"REALIZADO")</f>
        <v>REALIZADO</v>
      </c>
      <c r="E226" s="177" t="str">
        <f>IF(COUNTIF(Tabla_imprenta[LOTE],Tabla_control[[#This Row],[LOTE]])=1,INDEX(Tabla_imprenta[INSTITUCIÓN],MATCH(Tabla_control[[#This Row],[LOTE]],Tabla_imprenta[LOTE],0)),"REALIZADO")</f>
        <v>REALIZADO</v>
      </c>
      <c r="F226" s="180" t="s">
        <v>209</v>
      </c>
      <c r="G22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26" s="139" t="str">
        <f>IF(COUNTIF(Tabla_imprenta[LOTE],Tabla_control[[#This Row],[LOTE]])=1,INDEX(Tabla_imprenta[stock sap],MATCH(Tabla_control[[#This Row],[LOTE]],Tabla_imprenta[LOTE],0)),"ENTREGADO")</f>
        <v>ENTREGADO</v>
      </c>
      <c r="I226" s="139" t="str">
        <f>IF(Tabla_control[[#This Row],[STOCK SAP]]&gt;Tabla_control[[#This Row],[CANTIDAD IMPRIMIR]],"cubre","no cubre")</f>
        <v>no cubre</v>
      </c>
      <c r="J226" s="7" t="str">
        <f>IF(COUNTIF(Tabla_imprenta[LOTE],Tabla_control[[#This Row],[LOTE]])=1,INDEX(Tabla_imprenta[STOCK],MATCH(Tabla_control[[#This Row],[LOTE]],Tabla_imprenta[LOTE],0)),"ENTREGADO")</f>
        <v>ENTREGADO</v>
      </c>
      <c r="K22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26" s="148" t="e">
        <f>INDEX(Tabla_imprenta[FECHA CAJA],MATCH(Tabla_control[[#This Row],[LOTE]],Tabla_imprenta[LOTE],0))</f>
        <v>#N/A</v>
      </c>
      <c r="M22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2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2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26" s="169" t="e">
        <f>ROUNDUP(Tabla_control[[#This Row],[CANTIDAD IMPRIMIR]]/Tabla_control[[#This Row],[N TJ]],0)</f>
        <v>#VALUE!</v>
      </c>
      <c r="Q226" s="169" t="e">
        <f>IF(Tabla_control[[#This Row],[CANTIDAD TIRAJE]]&gt;10000,Tabla_control[[#This Row],[CANTIDAD TIRAJE]],Tabla_control[[#This Row],[CANTIDAD TIRAJE]]*2)</f>
        <v>#VALUE!</v>
      </c>
      <c r="R226" s="4" t="s">
        <v>172</v>
      </c>
      <c r="S226" s="4" t="s">
        <v>30</v>
      </c>
      <c r="T226" s="4"/>
      <c r="U226" s="4"/>
      <c r="V226" s="4"/>
      <c r="W226" s="138" t="s">
        <v>3223</v>
      </c>
      <c r="X226" s="138"/>
      <c r="Y226" s="138"/>
      <c r="Z226" s="138"/>
      <c r="AA226" s="4" t="s">
        <v>2031</v>
      </c>
      <c r="AB226" s="184" t="s">
        <v>2028</v>
      </c>
    </row>
    <row r="227" spans="1:28" hidden="1" x14ac:dyDescent="0.2">
      <c r="A227" s="175" t="str">
        <f>IF(COUNTIF(Tabla_imprenta[LOTE],Tabla_control[[#This Row],[LOTE]])=1,INDEX(Tabla_imprenta[FECHA EMISIÓN],MATCH(Tabla_control[[#This Row],[LOTE]],Tabla_imprenta[LOTE],0)),"REALIZADO")</f>
        <v>REALIZADO</v>
      </c>
      <c r="B227" s="142" t="str">
        <f>IF(COUNTIF(Tabla_imprenta[LOTE],Tabla_control[[#This Row],[LOTE]])=1,INDEX(Tabla_imprenta[CÓD. SOLICITUD],MATCH(Tabla_control[[#This Row],[LOTE]],Tabla_imprenta[LOTE],0)),"REALIZADO")</f>
        <v>REALIZADO</v>
      </c>
      <c r="C227" s="177" t="str">
        <f>IF(COUNTIF(Tabla_imprenta[LOTE],Tabla_control[[#This Row],[LOTE]])=1,INDEX(Tabla_imprenta[PRODUCTO],MATCH(Tabla_control[[#This Row],[LOTE]],Tabla_imprenta[LOTE],0)),"REALIZADO")</f>
        <v>REALIZADO</v>
      </c>
      <c r="D227" s="142" t="str">
        <f>IF(COUNTIF(Tabla_imprenta[LOTE],Tabla_control[[#This Row],[LOTE]])=1,INDEX(Tabla_imprenta[FORMA FARMACEUTICA],MATCH(Tabla_control[[#This Row],[LOTE]],Tabla_imprenta[LOTE],0)),"REALIZADO")</f>
        <v>REALIZADO</v>
      </c>
      <c r="E227" s="177" t="str">
        <f>IF(COUNTIF(Tabla_imprenta[LOTE],Tabla_control[[#This Row],[LOTE]])=1,INDEX(Tabla_imprenta[INSTITUCIÓN],MATCH(Tabla_control[[#This Row],[LOTE]],Tabla_imprenta[LOTE],0)),"REALIZADO")</f>
        <v>REALIZADO</v>
      </c>
      <c r="F227" s="180" t="s">
        <v>2249</v>
      </c>
      <c r="G22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27" s="139" t="str">
        <f>IF(COUNTIF(Tabla_imprenta[LOTE],Tabla_control[[#This Row],[LOTE]])=1,INDEX(Tabla_imprenta[stock sap],MATCH(Tabla_control[[#This Row],[LOTE]],Tabla_imprenta[LOTE],0)),"ENTREGADO")</f>
        <v>ENTREGADO</v>
      </c>
      <c r="I227" s="139" t="str">
        <f>IF(Tabla_control[[#This Row],[STOCK SAP]]&gt;Tabla_control[[#This Row],[CANTIDAD IMPRIMIR]],"cubre","no cubre")</f>
        <v>no cubre</v>
      </c>
      <c r="J227" s="7" t="str">
        <f>IF(COUNTIF(Tabla_imprenta[LOTE],Tabla_control[[#This Row],[LOTE]])=1,INDEX(Tabla_imprenta[STOCK],MATCH(Tabla_control[[#This Row],[LOTE]],Tabla_imprenta[LOTE],0)),"ENTREGADO")</f>
        <v>ENTREGADO</v>
      </c>
      <c r="K22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27" s="148" t="e">
        <f>INDEX(Tabla_imprenta[FECHA CAJA],MATCH(Tabla_control[[#This Row],[LOTE]],Tabla_imprenta[LOTE],0))</f>
        <v>#N/A</v>
      </c>
      <c r="M22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2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2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27" s="169" t="e">
        <f>ROUNDUP(Tabla_control[[#This Row],[CANTIDAD IMPRIMIR]]/Tabla_control[[#This Row],[N TJ]],0)</f>
        <v>#VALUE!</v>
      </c>
      <c r="Q227" s="169" t="e">
        <f>IF(Tabla_control[[#This Row],[CANTIDAD TIRAJE]]&gt;10000,Tabla_control[[#This Row],[CANTIDAD TIRAJE]],Tabla_control[[#This Row],[CANTIDAD TIRAJE]]*2)</f>
        <v>#VALUE!</v>
      </c>
      <c r="R227" s="4" t="s">
        <v>176</v>
      </c>
      <c r="S227" s="4" t="s">
        <v>30</v>
      </c>
      <c r="T227" s="4"/>
      <c r="U227" s="4"/>
      <c r="V227" s="4"/>
      <c r="W227" s="138" t="s">
        <v>3223</v>
      </c>
      <c r="X227" s="138"/>
      <c r="Y227" s="138"/>
      <c r="Z227" s="138"/>
      <c r="AA227" s="4" t="s">
        <v>2182</v>
      </c>
      <c r="AB227" s="184" t="s">
        <v>2028</v>
      </c>
    </row>
    <row r="228" spans="1:28" hidden="1" x14ac:dyDescent="0.2">
      <c r="A228" s="175" t="str">
        <f>IF(COUNTIF(Tabla_imprenta[LOTE],Tabla_control[[#This Row],[LOTE]])=1,INDEX(Tabla_imprenta[FECHA EMISIÓN],MATCH(Tabla_control[[#This Row],[LOTE]],Tabla_imprenta[LOTE],0)),"REALIZADO")</f>
        <v>REALIZADO</v>
      </c>
      <c r="B228" s="142" t="str">
        <f>IF(COUNTIF(Tabla_imprenta[LOTE],Tabla_control[[#This Row],[LOTE]])=1,INDEX(Tabla_imprenta[CÓD. SOLICITUD],MATCH(Tabla_control[[#This Row],[LOTE]],Tabla_imprenta[LOTE],0)),"REALIZADO")</f>
        <v>REALIZADO</v>
      </c>
      <c r="C228" s="177" t="str">
        <f>IF(COUNTIF(Tabla_imprenta[LOTE],Tabla_control[[#This Row],[LOTE]])=1,INDEX(Tabla_imprenta[PRODUCTO],MATCH(Tabla_control[[#This Row],[LOTE]],Tabla_imprenta[LOTE],0)),"REALIZADO")</f>
        <v>REALIZADO</v>
      </c>
      <c r="D228" s="142" t="str">
        <f>IF(COUNTIF(Tabla_imprenta[LOTE],Tabla_control[[#This Row],[LOTE]])=1,INDEX(Tabla_imprenta[FORMA FARMACEUTICA],MATCH(Tabla_control[[#This Row],[LOTE]],Tabla_imprenta[LOTE],0)),"REALIZADO")</f>
        <v>REALIZADO</v>
      </c>
      <c r="E228" s="177" t="str">
        <f>IF(COUNTIF(Tabla_imprenta[LOTE],Tabla_control[[#This Row],[LOTE]])=1,INDEX(Tabla_imprenta[INSTITUCIÓN],MATCH(Tabla_control[[#This Row],[LOTE]],Tabla_imprenta[LOTE],0)),"REALIZADO")</f>
        <v>REALIZADO</v>
      </c>
      <c r="F228" s="180" t="s">
        <v>2480</v>
      </c>
      <c r="G22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28" s="139" t="str">
        <f>IF(COUNTIF(Tabla_imprenta[LOTE],Tabla_control[[#This Row],[LOTE]])=1,INDEX(Tabla_imprenta[stock sap],MATCH(Tabla_control[[#This Row],[LOTE]],Tabla_imprenta[LOTE],0)),"ENTREGADO")</f>
        <v>ENTREGADO</v>
      </c>
      <c r="I228" s="139" t="str">
        <f>IF(Tabla_control[[#This Row],[STOCK SAP]]&gt;Tabla_control[[#This Row],[CANTIDAD IMPRIMIR]],"cubre","no cubre")</f>
        <v>no cubre</v>
      </c>
      <c r="J228" s="7" t="str">
        <f>IF(COUNTIF(Tabla_imprenta[LOTE],Tabla_control[[#This Row],[LOTE]])=1,INDEX(Tabla_imprenta[STOCK],MATCH(Tabla_control[[#This Row],[LOTE]],Tabla_imprenta[LOTE],0)),"ENTREGADO")</f>
        <v>ENTREGADO</v>
      </c>
      <c r="K22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28" s="148" t="e">
        <f>INDEX(Tabla_imprenta[FECHA CAJA],MATCH(Tabla_control[[#This Row],[LOTE]],Tabla_imprenta[LOTE],0))</f>
        <v>#N/A</v>
      </c>
      <c r="M22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2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2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28" s="169" t="e">
        <f>ROUNDUP(Tabla_control[[#This Row],[CANTIDAD IMPRIMIR]]/Tabla_control[[#This Row],[N TJ]],0)</f>
        <v>#VALUE!</v>
      </c>
      <c r="Q228" s="169" t="e">
        <f>IF(Tabla_control[[#This Row],[CANTIDAD TIRAJE]]&gt;10000,Tabla_control[[#This Row],[CANTIDAD TIRAJE]],Tabla_control[[#This Row],[CANTIDAD TIRAJE]]*2)</f>
        <v>#VALUE!</v>
      </c>
      <c r="R228" s="4" t="s">
        <v>177</v>
      </c>
      <c r="S228" s="4" t="s">
        <v>31</v>
      </c>
      <c r="T228" s="4"/>
      <c r="U228" s="4"/>
      <c r="V228" s="4"/>
      <c r="W228" s="138" t="s">
        <v>3223</v>
      </c>
      <c r="X228" s="138"/>
      <c r="Y228" s="138"/>
      <c r="Z228" s="138"/>
      <c r="AA228" s="4" t="s">
        <v>2031</v>
      </c>
      <c r="AB228" s="184" t="s">
        <v>2028</v>
      </c>
    </row>
    <row r="229" spans="1:28" hidden="1" x14ac:dyDescent="0.2">
      <c r="A229" s="175" t="str">
        <f>IF(COUNTIF(Tabla_imprenta[LOTE],Tabla_control[[#This Row],[LOTE]])=1,INDEX(Tabla_imprenta[FECHA EMISIÓN],MATCH(Tabla_control[[#This Row],[LOTE]],Tabla_imprenta[LOTE],0)),"REALIZADO")</f>
        <v>REALIZADO</v>
      </c>
      <c r="B229" s="142" t="str">
        <f>IF(COUNTIF(Tabla_imprenta[LOTE],Tabla_control[[#This Row],[LOTE]])=1,INDEX(Tabla_imprenta[CÓD. SOLICITUD],MATCH(Tabla_control[[#This Row],[LOTE]],Tabla_imprenta[LOTE],0)),"REALIZADO")</f>
        <v>REALIZADO</v>
      </c>
      <c r="C229" s="177" t="str">
        <f>IF(COUNTIF(Tabla_imprenta[LOTE],Tabla_control[[#This Row],[LOTE]])=1,INDEX(Tabla_imprenta[PRODUCTO],MATCH(Tabla_control[[#This Row],[LOTE]],Tabla_imprenta[LOTE],0)),"REALIZADO")</f>
        <v>REALIZADO</v>
      </c>
      <c r="D229" s="142" t="str">
        <f>IF(COUNTIF(Tabla_imprenta[LOTE],Tabla_control[[#This Row],[LOTE]])=1,INDEX(Tabla_imprenta[FORMA FARMACEUTICA],MATCH(Tabla_control[[#This Row],[LOTE]],Tabla_imprenta[LOTE],0)),"REALIZADO")</f>
        <v>REALIZADO</v>
      </c>
      <c r="E229" s="177" t="str">
        <f>IF(COUNTIF(Tabla_imprenta[LOTE],Tabla_control[[#This Row],[LOTE]])=1,INDEX(Tabla_imprenta[INSTITUCIÓN],MATCH(Tabla_control[[#This Row],[LOTE]],Tabla_imprenta[LOTE],0)),"REALIZADO")</f>
        <v>REALIZADO</v>
      </c>
      <c r="F229" s="180" t="s">
        <v>2247</v>
      </c>
      <c r="G22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29" s="139" t="str">
        <f>IF(COUNTIF(Tabla_imprenta[LOTE],Tabla_control[[#This Row],[LOTE]])=1,INDEX(Tabla_imprenta[stock sap],MATCH(Tabla_control[[#This Row],[LOTE]],Tabla_imprenta[LOTE],0)),"ENTREGADO")</f>
        <v>ENTREGADO</v>
      </c>
      <c r="I229" s="139" t="str">
        <f>IF(Tabla_control[[#This Row],[STOCK SAP]]&gt;Tabla_control[[#This Row],[CANTIDAD IMPRIMIR]],"cubre","no cubre")</f>
        <v>no cubre</v>
      </c>
      <c r="J229" s="7" t="str">
        <f>IF(COUNTIF(Tabla_imprenta[LOTE],Tabla_control[[#This Row],[LOTE]])=1,INDEX(Tabla_imprenta[STOCK],MATCH(Tabla_control[[#This Row],[LOTE]],Tabla_imprenta[LOTE],0)),"ENTREGADO")</f>
        <v>ENTREGADO</v>
      </c>
      <c r="K22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29" s="148" t="e">
        <f>INDEX(Tabla_imprenta[FECHA CAJA],MATCH(Tabla_control[[#This Row],[LOTE]],Tabla_imprenta[LOTE],0))</f>
        <v>#N/A</v>
      </c>
      <c r="M22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2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2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29" s="169" t="e">
        <f>ROUNDUP(Tabla_control[[#This Row],[CANTIDAD IMPRIMIR]]/Tabla_control[[#This Row],[N TJ]],0)</f>
        <v>#VALUE!</v>
      </c>
      <c r="Q229" s="169" t="e">
        <f>IF(Tabla_control[[#This Row],[CANTIDAD TIRAJE]]&gt;10000,Tabla_control[[#This Row],[CANTIDAD TIRAJE]],Tabla_control[[#This Row],[CANTIDAD TIRAJE]]*2)</f>
        <v>#VALUE!</v>
      </c>
      <c r="R229" s="4" t="s">
        <v>172</v>
      </c>
      <c r="S229" s="4" t="s">
        <v>30</v>
      </c>
      <c r="T229" s="4"/>
      <c r="U229" s="4"/>
      <c r="V229" s="4"/>
      <c r="W229" s="138" t="s">
        <v>3223</v>
      </c>
      <c r="X229" s="138"/>
      <c r="Y229" s="138"/>
      <c r="Z229" s="138"/>
      <c r="AA229" s="4" t="s">
        <v>2429</v>
      </c>
      <c r="AB229" s="184" t="s">
        <v>2028</v>
      </c>
    </row>
    <row r="230" spans="1:28" hidden="1" x14ac:dyDescent="0.2">
      <c r="A230" s="175" t="str">
        <f>IF(COUNTIF(Tabla_imprenta[LOTE],Tabla_control[[#This Row],[LOTE]])=1,INDEX(Tabla_imprenta[FECHA EMISIÓN],MATCH(Tabla_control[[#This Row],[LOTE]],Tabla_imprenta[LOTE],0)),"REALIZADO")</f>
        <v>REALIZADO</v>
      </c>
      <c r="B230" s="142" t="str">
        <f>IF(COUNTIF(Tabla_imprenta[LOTE],Tabla_control[[#This Row],[LOTE]])=1,INDEX(Tabla_imprenta[CÓD. SOLICITUD],MATCH(Tabla_control[[#This Row],[LOTE]],Tabla_imprenta[LOTE],0)),"REALIZADO")</f>
        <v>REALIZADO</v>
      </c>
      <c r="C230" s="177" t="str">
        <f>IF(COUNTIF(Tabla_imprenta[LOTE],Tabla_control[[#This Row],[LOTE]])=1,INDEX(Tabla_imprenta[PRODUCTO],MATCH(Tabla_control[[#This Row],[LOTE]],Tabla_imprenta[LOTE],0)),"REALIZADO")</f>
        <v>REALIZADO</v>
      </c>
      <c r="D230" s="142" t="str">
        <f>IF(COUNTIF(Tabla_imprenta[LOTE],Tabla_control[[#This Row],[LOTE]])=1,INDEX(Tabla_imprenta[FORMA FARMACEUTICA],MATCH(Tabla_control[[#This Row],[LOTE]],Tabla_imprenta[LOTE],0)),"REALIZADO")</f>
        <v>REALIZADO</v>
      </c>
      <c r="E230" s="177" t="str">
        <f>IF(COUNTIF(Tabla_imprenta[LOTE],Tabla_control[[#This Row],[LOTE]])=1,INDEX(Tabla_imprenta[INSTITUCIÓN],MATCH(Tabla_control[[#This Row],[LOTE]],Tabla_imprenta[LOTE],0)),"REALIZADO")</f>
        <v>REALIZADO</v>
      </c>
      <c r="F230" s="180" t="s">
        <v>2487</v>
      </c>
      <c r="G23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30" s="139" t="str">
        <f>IF(COUNTIF(Tabla_imprenta[LOTE],Tabla_control[[#This Row],[LOTE]])=1,INDEX(Tabla_imprenta[stock sap],MATCH(Tabla_control[[#This Row],[LOTE]],Tabla_imprenta[LOTE],0)),"ENTREGADO")</f>
        <v>ENTREGADO</v>
      </c>
      <c r="I230" s="139" t="str">
        <f>IF(Tabla_control[[#This Row],[STOCK SAP]]&gt;Tabla_control[[#This Row],[CANTIDAD IMPRIMIR]],"cubre","no cubre")</f>
        <v>no cubre</v>
      </c>
      <c r="J230" s="7" t="str">
        <f>IF(COUNTIF(Tabla_imprenta[LOTE],Tabla_control[[#This Row],[LOTE]])=1,INDEX(Tabla_imprenta[STOCK],MATCH(Tabla_control[[#This Row],[LOTE]],Tabla_imprenta[LOTE],0)),"ENTREGADO")</f>
        <v>ENTREGADO</v>
      </c>
      <c r="K23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30" s="148" t="e">
        <f>INDEX(Tabla_imprenta[FECHA CAJA],MATCH(Tabla_control[[#This Row],[LOTE]],Tabla_imprenta[LOTE],0))</f>
        <v>#N/A</v>
      </c>
      <c r="M23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3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3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30" s="169" t="e">
        <f>ROUNDUP(Tabla_control[[#This Row],[CANTIDAD IMPRIMIR]]/Tabla_control[[#This Row],[N TJ]],0)</f>
        <v>#VALUE!</v>
      </c>
      <c r="Q230" s="169" t="e">
        <f>IF(Tabla_control[[#This Row],[CANTIDAD TIRAJE]]&gt;10000,Tabla_control[[#This Row],[CANTIDAD TIRAJE]],Tabla_control[[#This Row],[CANTIDAD TIRAJE]]*2)</f>
        <v>#VALUE!</v>
      </c>
      <c r="R230" s="4" t="s">
        <v>176</v>
      </c>
      <c r="S230" s="4" t="s">
        <v>30</v>
      </c>
      <c r="T230" s="4"/>
      <c r="U230" s="4"/>
      <c r="V230" s="4"/>
      <c r="W230" s="138" t="s">
        <v>3223</v>
      </c>
      <c r="X230" s="138"/>
      <c r="Y230" s="138"/>
      <c r="Z230" s="138"/>
      <c r="AA230" s="4" t="s">
        <v>321</v>
      </c>
      <c r="AB230" s="184" t="s">
        <v>2028</v>
      </c>
    </row>
    <row r="231" spans="1:28" hidden="1" x14ac:dyDescent="0.2">
      <c r="A231" s="175" t="str">
        <f>IF(COUNTIF(Tabla_imprenta[LOTE],Tabla_control[[#This Row],[LOTE]])=1,INDEX(Tabla_imprenta[FECHA EMISIÓN],MATCH(Tabla_control[[#This Row],[LOTE]],Tabla_imprenta[LOTE],0)),"REALIZADO")</f>
        <v>REALIZADO</v>
      </c>
      <c r="B231" s="142" t="str">
        <f>IF(COUNTIF(Tabla_imprenta[LOTE],Tabla_control[[#This Row],[LOTE]])=1,INDEX(Tabla_imprenta[CÓD. SOLICITUD],MATCH(Tabla_control[[#This Row],[LOTE]],Tabla_imprenta[LOTE],0)),"REALIZADO")</f>
        <v>REALIZADO</v>
      </c>
      <c r="C231" s="177" t="str">
        <f>IF(COUNTIF(Tabla_imprenta[LOTE],Tabla_control[[#This Row],[LOTE]])=1,INDEX(Tabla_imprenta[PRODUCTO],MATCH(Tabla_control[[#This Row],[LOTE]],Tabla_imprenta[LOTE],0)),"REALIZADO")</f>
        <v>REALIZADO</v>
      </c>
      <c r="D231" s="142" t="str">
        <f>IF(COUNTIF(Tabla_imprenta[LOTE],Tabla_control[[#This Row],[LOTE]])=1,INDEX(Tabla_imprenta[FORMA FARMACEUTICA],MATCH(Tabla_control[[#This Row],[LOTE]],Tabla_imprenta[LOTE],0)),"REALIZADO")</f>
        <v>REALIZADO</v>
      </c>
      <c r="E231" s="177" t="str">
        <f>IF(COUNTIF(Tabla_imprenta[LOTE],Tabla_control[[#This Row],[LOTE]])=1,INDEX(Tabla_imprenta[INSTITUCIÓN],MATCH(Tabla_control[[#This Row],[LOTE]],Tabla_imprenta[LOTE],0)),"REALIZADO")</f>
        <v>REALIZADO</v>
      </c>
      <c r="F231" s="180" t="s">
        <v>2132</v>
      </c>
      <c r="G23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31" s="139" t="str">
        <f>IF(COUNTIF(Tabla_imprenta[LOTE],Tabla_control[[#This Row],[LOTE]])=1,INDEX(Tabla_imprenta[stock sap],MATCH(Tabla_control[[#This Row],[LOTE]],Tabla_imprenta[LOTE],0)),"ENTREGADO")</f>
        <v>ENTREGADO</v>
      </c>
      <c r="I231" s="139" t="str">
        <f>IF(Tabla_control[[#This Row],[STOCK SAP]]&gt;Tabla_control[[#This Row],[CANTIDAD IMPRIMIR]],"cubre","no cubre")</f>
        <v>no cubre</v>
      </c>
      <c r="J231" s="7" t="str">
        <f>IF(COUNTIF(Tabla_imprenta[LOTE],Tabla_control[[#This Row],[LOTE]])=1,INDEX(Tabla_imprenta[STOCK],MATCH(Tabla_control[[#This Row],[LOTE]],Tabla_imprenta[LOTE],0)),"ENTREGADO")</f>
        <v>ENTREGADO</v>
      </c>
      <c r="K23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31" s="148" t="e">
        <f>INDEX(Tabla_imprenta[FECHA CAJA],MATCH(Tabla_control[[#This Row],[LOTE]],Tabla_imprenta[LOTE],0))</f>
        <v>#N/A</v>
      </c>
      <c r="M23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3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3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31" s="169" t="e">
        <f>ROUNDUP(Tabla_control[[#This Row],[CANTIDAD IMPRIMIR]]/Tabla_control[[#This Row],[N TJ]],0)</f>
        <v>#VALUE!</v>
      </c>
      <c r="Q231" s="169" t="e">
        <f>IF(Tabla_control[[#This Row],[CANTIDAD TIRAJE]]&gt;10000,Tabla_control[[#This Row],[CANTIDAD TIRAJE]],Tabla_control[[#This Row],[CANTIDAD TIRAJE]]*2)</f>
        <v>#VALUE!</v>
      </c>
      <c r="R231" s="4" t="s">
        <v>176</v>
      </c>
      <c r="S231" s="4" t="s">
        <v>30</v>
      </c>
      <c r="T231" s="4"/>
      <c r="U231" s="4"/>
      <c r="V231" s="4"/>
      <c r="W231" s="138" t="s">
        <v>3223</v>
      </c>
      <c r="X231" s="138"/>
      <c r="Y231" s="138"/>
      <c r="Z231" s="138"/>
      <c r="AA231" s="4" t="s">
        <v>2429</v>
      </c>
      <c r="AB231" s="184" t="s">
        <v>2028</v>
      </c>
    </row>
    <row r="232" spans="1:28" s="1" customFormat="1" hidden="1" x14ac:dyDescent="0.2">
      <c r="A232" s="141" t="str">
        <f>IF(COUNTIF(Tabla_imprenta[LOTE],Tabla_control[[#This Row],[LOTE]])=1,INDEX(Tabla_imprenta[FECHA EMISIÓN],MATCH(Tabla_control[[#This Row],[LOTE]],Tabla_imprenta[LOTE],0)),"REALIZADO")</f>
        <v>REALIZADO</v>
      </c>
      <c r="B232" s="142" t="str">
        <f>IF(COUNTIF(Tabla_imprenta[LOTE],Tabla_control[[#This Row],[LOTE]])=1,INDEX(Tabla_imprenta[CÓD. SOLICITUD],MATCH(Tabla_control[[#This Row],[LOTE]],Tabla_imprenta[LOTE],0)),"REALIZADO")</f>
        <v>REALIZADO</v>
      </c>
      <c r="C232" s="142" t="str">
        <f>IF(COUNTIF(Tabla_imprenta[LOTE],Tabla_control[[#This Row],[LOTE]])=1,INDEX(Tabla_imprenta[PRODUCTO],MATCH(Tabla_control[[#This Row],[LOTE]],Tabla_imprenta[LOTE],0)),"REALIZADO")</f>
        <v>REALIZADO</v>
      </c>
      <c r="D232" s="142" t="str">
        <f>IF(COUNTIF(Tabla_imprenta[LOTE],Tabla_control[[#This Row],[LOTE]])=1,INDEX(Tabla_imprenta[FORMA FARMACEUTICA],MATCH(Tabla_control[[#This Row],[LOTE]],Tabla_imprenta[LOTE],0)),"REALIZADO")</f>
        <v>REALIZADO</v>
      </c>
      <c r="E232" s="142" t="str">
        <f>IF(COUNTIF(Tabla_imprenta[LOTE],Tabla_control[[#This Row],[LOTE]])=1,INDEX(Tabla_imprenta[INSTITUCIÓN],MATCH(Tabla_control[[#This Row],[LOTE]],Tabla_imprenta[LOTE],0)),"REALIZADO")</f>
        <v>REALIZADO</v>
      </c>
      <c r="F232" s="6" t="s">
        <v>2143</v>
      </c>
      <c r="G232" s="140" t="str">
        <f>IF(COUNTIF(Tabla_imprenta[LOTE],Tabla_control[[#This Row],[LOTE]])=1,INDEX(Tabla_imprenta[CANTIDAD ENVASE SECUNDARIO],MATCH(Tabla_control[[#This Row],[LOTE]],Tabla_imprenta[LOTE],0)),"ENTREGADO")</f>
        <v>ENTREGADO</v>
      </c>
      <c r="H232" s="140" t="str">
        <f>IF(COUNTIF(Tabla_imprenta[LOTE],Tabla_control[[#This Row],[LOTE]])=1,INDEX(Tabla_imprenta[stock sap],MATCH(Tabla_control[[#This Row],[LOTE]],Tabla_imprenta[LOTE],0)),"ENTREGADO")</f>
        <v>ENTREGADO</v>
      </c>
      <c r="I232" s="140" t="str">
        <f>IF(Tabla_control[[#This Row],[STOCK SAP]]&gt;Tabla_control[[#This Row],[CANTIDAD IMPRIMIR]],"cubre","no cubre")</f>
        <v>no cubre</v>
      </c>
      <c r="J232" s="136" t="str">
        <f>IF(COUNTIF(Tabla_imprenta[LOTE],Tabla_control[[#This Row],[LOTE]])=1,INDEX(Tabla_imprenta[STOCK],MATCH(Tabla_control[[#This Row],[LOTE]],Tabla_imprenta[LOTE],0)),"ENTREGADO")</f>
        <v>ENTREGADO</v>
      </c>
      <c r="K232" s="148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32" s="148" t="e">
        <f>INDEX(Tabla_imprenta[FECHA CAJA],MATCH(Tabla_control[[#This Row],[LOTE]],Tabla_imprenta[LOTE],0))</f>
        <v>#N/A</v>
      </c>
      <c r="M232" s="164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3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3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32" s="169" t="e">
        <f>ROUNDUP(Tabla_control[[#This Row],[CANTIDAD IMPRIMIR]]/Tabla_control[[#This Row],[N TJ]],0)</f>
        <v>#VALUE!</v>
      </c>
      <c r="Q232" s="169" t="e">
        <f>IF(Tabla_control[[#This Row],[CANTIDAD TIRAJE]]&gt;10000,Tabla_control[[#This Row],[CANTIDAD TIRAJE]],Tabla_control[[#This Row],[CANTIDAD TIRAJE]]*2)</f>
        <v>#VALUE!</v>
      </c>
      <c r="R232" s="137" t="s">
        <v>176</v>
      </c>
      <c r="S232" s="137" t="s">
        <v>30</v>
      </c>
      <c r="T232" s="137"/>
      <c r="U232" s="137"/>
      <c r="V232" s="137"/>
      <c r="W232" s="134" t="s">
        <v>3223</v>
      </c>
      <c r="X232" s="134"/>
      <c r="Y232" s="134"/>
      <c r="Z232" s="134"/>
      <c r="AA232" s="137" t="s">
        <v>2516</v>
      </c>
      <c r="AB232" s="143" t="s">
        <v>2958</v>
      </c>
    </row>
    <row r="233" spans="1:28" hidden="1" x14ac:dyDescent="0.2">
      <c r="A233" s="175" t="str">
        <f>IF(COUNTIF(Tabla_imprenta[LOTE],Tabla_control[[#This Row],[LOTE]])=1,INDEX(Tabla_imprenta[FECHA EMISIÓN],MATCH(Tabla_control[[#This Row],[LOTE]],Tabla_imprenta[LOTE],0)),"REALIZADO")</f>
        <v>REALIZADO</v>
      </c>
      <c r="B233" s="142" t="str">
        <f>IF(COUNTIF(Tabla_imprenta[LOTE],Tabla_control[[#This Row],[LOTE]])=1,INDEX(Tabla_imprenta[CÓD. SOLICITUD],MATCH(Tabla_control[[#This Row],[LOTE]],Tabla_imprenta[LOTE],0)),"REALIZADO")</f>
        <v>REALIZADO</v>
      </c>
      <c r="C233" s="177" t="str">
        <f>IF(COUNTIF(Tabla_imprenta[LOTE],Tabla_control[[#This Row],[LOTE]])=1,INDEX(Tabla_imprenta[PRODUCTO],MATCH(Tabla_control[[#This Row],[LOTE]],Tabla_imprenta[LOTE],0)),"REALIZADO")</f>
        <v>REALIZADO</v>
      </c>
      <c r="D233" s="142" t="str">
        <f>IF(COUNTIF(Tabla_imprenta[LOTE],Tabla_control[[#This Row],[LOTE]])=1,INDEX(Tabla_imprenta[FORMA FARMACEUTICA],MATCH(Tabla_control[[#This Row],[LOTE]],Tabla_imprenta[LOTE],0)),"REALIZADO")</f>
        <v>REALIZADO</v>
      </c>
      <c r="E233" s="177" t="str">
        <f>IF(COUNTIF(Tabla_imprenta[LOTE],Tabla_control[[#This Row],[LOTE]])=1,INDEX(Tabla_imprenta[INSTITUCIÓN],MATCH(Tabla_control[[#This Row],[LOTE]],Tabla_imprenta[LOTE],0)),"REALIZADO")</f>
        <v>REALIZADO</v>
      </c>
      <c r="F233" s="180" t="s">
        <v>2127</v>
      </c>
      <c r="G23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33" s="139" t="str">
        <f>IF(COUNTIF(Tabla_imprenta[LOTE],Tabla_control[[#This Row],[LOTE]])=1,INDEX(Tabla_imprenta[stock sap],MATCH(Tabla_control[[#This Row],[LOTE]],Tabla_imprenta[LOTE],0)),"ENTREGADO")</f>
        <v>ENTREGADO</v>
      </c>
      <c r="I233" s="139" t="str">
        <f>IF(Tabla_control[[#This Row],[STOCK SAP]]&gt;Tabla_control[[#This Row],[CANTIDAD IMPRIMIR]],"cubre","no cubre")</f>
        <v>no cubre</v>
      </c>
      <c r="J233" s="7" t="str">
        <f>IF(COUNTIF(Tabla_imprenta[LOTE],Tabla_control[[#This Row],[LOTE]])=1,INDEX(Tabla_imprenta[STOCK],MATCH(Tabla_control[[#This Row],[LOTE]],Tabla_imprenta[LOTE],0)),"ENTREGADO")</f>
        <v>ENTREGADO</v>
      </c>
      <c r="K23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33" s="148" t="e">
        <f>INDEX(Tabla_imprenta[FECHA CAJA],MATCH(Tabla_control[[#This Row],[LOTE]],Tabla_imprenta[LOTE],0))</f>
        <v>#N/A</v>
      </c>
      <c r="M23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3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3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33" s="169" t="e">
        <f>ROUNDUP(Tabla_control[[#This Row],[CANTIDAD IMPRIMIR]]/Tabla_control[[#This Row],[N TJ]],0)</f>
        <v>#VALUE!</v>
      </c>
      <c r="Q233" s="169" t="e">
        <f>IF(Tabla_control[[#This Row],[CANTIDAD TIRAJE]]&gt;10000,Tabla_control[[#This Row],[CANTIDAD TIRAJE]],Tabla_control[[#This Row],[CANTIDAD TIRAJE]]*2)</f>
        <v>#VALUE!</v>
      </c>
      <c r="R233" s="4" t="s">
        <v>176</v>
      </c>
      <c r="S233" s="4" t="s">
        <v>30</v>
      </c>
      <c r="T233" s="4"/>
      <c r="U233" s="4"/>
      <c r="V233" s="4"/>
      <c r="W233" s="138" t="s">
        <v>3223</v>
      </c>
      <c r="X233" s="138"/>
      <c r="Y233" s="138"/>
      <c r="Z233" s="138"/>
      <c r="AA233" s="4" t="s">
        <v>2429</v>
      </c>
      <c r="AB233" s="184" t="s">
        <v>2028</v>
      </c>
    </row>
    <row r="234" spans="1:28" hidden="1" x14ac:dyDescent="0.2">
      <c r="A234" s="175" t="str">
        <f>IF(COUNTIF(Tabla_imprenta[LOTE],Tabla_control[[#This Row],[LOTE]])=1,INDEX(Tabla_imprenta[FECHA EMISIÓN],MATCH(Tabla_control[[#This Row],[LOTE]],Tabla_imprenta[LOTE],0)),"REALIZADO")</f>
        <v>REALIZADO</v>
      </c>
      <c r="B234" s="142" t="str">
        <f>IF(COUNTIF(Tabla_imprenta[LOTE],Tabla_control[[#This Row],[LOTE]])=1,INDEX(Tabla_imprenta[CÓD. SOLICITUD],MATCH(Tabla_control[[#This Row],[LOTE]],Tabla_imprenta[LOTE],0)),"REALIZADO")</f>
        <v>REALIZADO</v>
      </c>
      <c r="C234" s="177" t="str">
        <f>IF(COUNTIF(Tabla_imprenta[LOTE],Tabla_control[[#This Row],[LOTE]])=1,INDEX(Tabla_imprenta[PRODUCTO],MATCH(Tabla_control[[#This Row],[LOTE]],Tabla_imprenta[LOTE],0)),"REALIZADO")</f>
        <v>REALIZADO</v>
      </c>
      <c r="D234" s="142" t="str">
        <f>IF(COUNTIF(Tabla_imprenta[LOTE],Tabla_control[[#This Row],[LOTE]])=1,INDEX(Tabla_imprenta[FORMA FARMACEUTICA],MATCH(Tabla_control[[#This Row],[LOTE]],Tabla_imprenta[LOTE],0)),"REALIZADO")</f>
        <v>REALIZADO</v>
      </c>
      <c r="E234" s="177" t="str">
        <f>IF(COUNTIF(Tabla_imprenta[LOTE],Tabla_control[[#This Row],[LOTE]])=1,INDEX(Tabla_imprenta[INSTITUCIÓN],MATCH(Tabla_control[[#This Row],[LOTE]],Tabla_imprenta[LOTE],0)),"REALIZADO")</f>
        <v>REALIZADO</v>
      </c>
      <c r="F234" s="180" t="s">
        <v>198</v>
      </c>
      <c r="G23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34" s="139" t="str">
        <f>IF(COUNTIF(Tabla_imprenta[LOTE],Tabla_control[[#This Row],[LOTE]])=1,INDEX(Tabla_imprenta[stock sap],MATCH(Tabla_control[[#This Row],[LOTE]],Tabla_imprenta[LOTE],0)),"ENTREGADO")</f>
        <v>ENTREGADO</v>
      </c>
      <c r="I234" s="139" t="str">
        <f>IF(Tabla_control[[#This Row],[STOCK SAP]]&gt;Tabla_control[[#This Row],[CANTIDAD IMPRIMIR]],"cubre","no cubre")</f>
        <v>no cubre</v>
      </c>
      <c r="J234" s="7" t="str">
        <f>IF(COUNTIF(Tabla_imprenta[LOTE],Tabla_control[[#This Row],[LOTE]])=1,INDEX(Tabla_imprenta[STOCK],MATCH(Tabla_control[[#This Row],[LOTE]],Tabla_imprenta[LOTE],0)),"ENTREGADO")</f>
        <v>ENTREGADO</v>
      </c>
      <c r="K23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34" s="148" t="e">
        <f>INDEX(Tabla_imprenta[FECHA CAJA],MATCH(Tabla_control[[#This Row],[LOTE]],Tabla_imprenta[LOTE],0))</f>
        <v>#N/A</v>
      </c>
      <c r="M23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3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3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34" s="169" t="e">
        <f>ROUNDUP(Tabla_control[[#This Row],[CANTIDAD IMPRIMIR]]/Tabla_control[[#This Row],[N TJ]],0)</f>
        <v>#VALUE!</v>
      </c>
      <c r="Q234" s="169" t="e">
        <f>IF(Tabla_control[[#This Row],[CANTIDAD TIRAJE]]&gt;10000,Tabla_control[[#This Row],[CANTIDAD TIRAJE]],Tabla_control[[#This Row],[CANTIDAD TIRAJE]]*2)</f>
        <v>#VALUE!</v>
      </c>
      <c r="R234" s="4" t="s">
        <v>172</v>
      </c>
      <c r="S234" s="4" t="s">
        <v>30</v>
      </c>
      <c r="T234" s="4"/>
      <c r="U234" s="4"/>
      <c r="V234" s="4"/>
      <c r="W234" s="138" t="s">
        <v>3223</v>
      </c>
      <c r="X234" s="138"/>
      <c r="Y234" s="138"/>
      <c r="Z234" s="138"/>
      <c r="AA234" s="4" t="s">
        <v>2031</v>
      </c>
      <c r="AB234" s="184" t="s">
        <v>2028</v>
      </c>
    </row>
    <row r="235" spans="1:28" hidden="1" x14ac:dyDescent="0.2">
      <c r="A235" s="175" t="str">
        <f>IF(COUNTIF(Tabla_imprenta[LOTE],Tabla_control[[#This Row],[LOTE]])=1,INDEX(Tabla_imprenta[FECHA EMISIÓN],MATCH(Tabla_control[[#This Row],[LOTE]],Tabla_imprenta[LOTE],0)),"REALIZADO")</f>
        <v>REALIZADO</v>
      </c>
      <c r="B235" s="142" t="str">
        <f>IF(COUNTIF(Tabla_imprenta[LOTE],Tabla_control[[#This Row],[LOTE]])=1,INDEX(Tabla_imprenta[CÓD. SOLICITUD],MATCH(Tabla_control[[#This Row],[LOTE]],Tabla_imprenta[LOTE],0)),"REALIZADO")</f>
        <v>REALIZADO</v>
      </c>
      <c r="C235" s="177" t="str">
        <f>IF(COUNTIF(Tabla_imprenta[LOTE],Tabla_control[[#This Row],[LOTE]])=1,INDEX(Tabla_imprenta[PRODUCTO],MATCH(Tabla_control[[#This Row],[LOTE]],Tabla_imprenta[LOTE],0)),"REALIZADO")</f>
        <v>REALIZADO</v>
      </c>
      <c r="D235" s="142" t="str">
        <f>IF(COUNTIF(Tabla_imprenta[LOTE],Tabla_control[[#This Row],[LOTE]])=1,INDEX(Tabla_imprenta[FORMA FARMACEUTICA],MATCH(Tabla_control[[#This Row],[LOTE]],Tabla_imprenta[LOTE],0)),"REALIZADO")</f>
        <v>REALIZADO</v>
      </c>
      <c r="E235" s="177" t="str">
        <f>IF(COUNTIF(Tabla_imprenta[LOTE],Tabla_control[[#This Row],[LOTE]])=1,INDEX(Tabla_imprenta[INSTITUCIÓN],MATCH(Tabla_control[[#This Row],[LOTE]],Tabla_imprenta[LOTE],0)),"REALIZADO")</f>
        <v>REALIZADO</v>
      </c>
      <c r="F235" s="180" t="s">
        <v>2925</v>
      </c>
      <c r="G23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35" s="139" t="str">
        <f>IF(COUNTIF(Tabla_imprenta[LOTE],Tabla_control[[#This Row],[LOTE]])=1,INDEX(Tabla_imprenta[stock sap],MATCH(Tabla_control[[#This Row],[LOTE]],Tabla_imprenta[LOTE],0)),"ENTREGADO")</f>
        <v>ENTREGADO</v>
      </c>
      <c r="I235" s="139" t="str">
        <f>IF(Tabla_control[[#This Row],[STOCK SAP]]&gt;Tabla_control[[#This Row],[CANTIDAD IMPRIMIR]],"cubre","no cubre")</f>
        <v>no cubre</v>
      </c>
      <c r="J235" s="7" t="str">
        <f>IF(COUNTIF(Tabla_imprenta[LOTE],Tabla_control[[#This Row],[LOTE]])=1,INDEX(Tabla_imprenta[STOCK],MATCH(Tabla_control[[#This Row],[LOTE]],Tabla_imprenta[LOTE],0)),"ENTREGADO")</f>
        <v>ENTREGADO</v>
      </c>
      <c r="K23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35" s="148" t="e">
        <f>INDEX(Tabla_imprenta[FECHA CAJA],MATCH(Tabla_control[[#This Row],[LOTE]],Tabla_imprenta[LOTE],0))</f>
        <v>#N/A</v>
      </c>
      <c r="M23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3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3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35" s="169" t="e">
        <f>ROUNDUP(Tabla_control[[#This Row],[CANTIDAD IMPRIMIR]]/Tabla_control[[#This Row],[N TJ]],0)</f>
        <v>#VALUE!</v>
      </c>
      <c r="Q235" s="169" t="e">
        <f>IF(Tabla_control[[#This Row],[CANTIDAD TIRAJE]]&gt;10000,Tabla_control[[#This Row],[CANTIDAD TIRAJE]],Tabla_control[[#This Row],[CANTIDAD TIRAJE]]*2)</f>
        <v>#VALUE!</v>
      </c>
      <c r="R235" s="4" t="s">
        <v>176</v>
      </c>
      <c r="S235" s="4" t="s">
        <v>30</v>
      </c>
      <c r="T235" s="4"/>
      <c r="U235" s="4"/>
      <c r="V235" s="4"/>
      <c r="W235" s="185" t="s">
        <v>2470</v>
      </c>
      <c r="X235" s="185"/>
      <c r="Y235" s="185"/>
      <c r="Z235" s="185"/>
      <c r="AA235" s="4" t="s">
        <v>171</v>
      </c>
      <c r="AB235" s="184" t="s">
        <v>2028</v>
      </c>
    </row>
    <row r="236" spans="1:28" hidden="1" x14ac:dyDescent="0.2">
      <c r="A236" s="175" t="str">
        <f>IF(COUNTIF(Tabla_imprenta[LOTE],Tabla_control[[#This Row],[LOTE]])=1,INDEX(Tabla_imprenta[FECHA EMISIÓN],MATCH(Tabla_control[[#This Row],[LOTE]],Tabla_imprenta[LOTE],0)),"REALIZADO")</f>
        <v>REALIZADO</v>
      </c>
      <c r="B236" s="142" t="str">
        <f>IF(COUNTIF(Tabla_imprenta[LOTE],Tabla_control[[#This Row],[LOTE]])=1,INDEX(Tabla_imprenta[CÓD. SOLICITUD],MATCH(Tabla_control[[#This Row],[LOTE]],Tabla_imprenta[LOTE],0)),"REALIZADO")</f>
        <v>REALIZADO</v>
      </c>
      <c r="C236" s="177" t="str">
        <f>IF(COUNTIF(Tabla_imprenta[LOTE],Tabla_control[[#This Row],[LOTE]])=1,INDEX(Tabla_imprenta[PRODUCTO],MATCH(Tabla_control[[#This Row],[LOTE]],Tabla_imprenta[LOTE],0)),"REALIZADO")</f>
        <v>REALIZADO</v>
      </c>
      <c r="D236" s="142" t="str">
        <f>IF(COUNTIF(Tabla_imprenta[LOTE],Tabla_control[[#This Row],[LOTE]])=1,INDEX(Tabla_imprenta[FORMA FARMACEUTICA],MATCH(Tabla_control[[#This Row],[LOTE]],Tabla_imprenta[LOTE],0)),"REALIZADO")</f>
        <v>REALIZADO</v>
      </c>
      <c r="E236" s="177" t="str">
        <f>IF(COUNTIF(Tabla_imprenta[LOTE],Tabla_control[[#This Row],[LOTE]])=1,INDEX(Tabla_imprenta[INSTITUCIÓN],MATCH(Tabla_control[[#This Row],[LOTE]],Tabla_imprenta[LOTE],0)),"REALIZADO")</f>
        <v>REALIZADO</v>
      </c>
      <c r="F236" s="180" t="s">
        <v>2232</v>
      </c>
      <c r="G23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36" s="139" t="str">
        <f>IF(COUNTIF(Tabla_imprenta[LOTE],Tabla_control[[#This Row],[LOTE]])=1,INDEX(Tabla_imprenta[stock sap],MATCH(Tabla_control[[#This Row],[LOTE]],Tabla_imprenta[LOTE],0)),"ENTREGADO")</f>
        <v>ENTREGADO</v>
      </c>
      <c r="I236" s="139" t="str">
        <f>IF(Tabla_control[[#This Row],[STOCK SAP]]&gt;Tabla_control[[#This Row],[CANTIDAD IMPRIMIR]],"cubre","no cubre")</f>
        <v>no cubre</v>
      </c>
      <c r="J236" s="7" t="str">
        <f>IF(COUNTIF(Tabla_imprenta[LOTE],Tabla_control[[#This Row],[LOTE]])=1,INDEX(Tabla_imprenta[STOCK],MATCH(Tabla_control[[#This Row],[LOTE]],Tabla_imprenta[LOTE],0)),"ENTREGADO")</f>
        <v>ENTREGADO</v>
      </c>
      <c r="K23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36" s="148" t="e">
        <f>INDEX(Tabla_imprenta[FECHA CAJA],MATCH(Tabla_control[[#This Row],[LOTE]],Tabla_imprenta[LOTE],0))</f>
        <v>#N/A</v>
      </c>
      <c r="M23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3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3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36" s="169" t="e">
        <f>ROUNDUP(Tabla_control[[#This Row],[CANTIDAD IMPRIMIR]]/Tabla_control[[#This Row],[N TJ]],0)</f>
        <v>#VALUE!</v>
      </c>
      <c r="Q236" s="169" t="e">
        <f>IF(Tabla_control[[#This Row],[CANTIDAD TIRAJE]]&gt;10000,Tabla_control[[#This Row],[CANTIDAD TIRAJE]],Tabla_control[[#This Row],[CANTIDAD TIRAJE]]*2)</f>
        <v>#VALUE!</v>
      </c>
      <c r="R236" s="4" t="s">
        <v>172</v>
      </c>
      <c r="S236" s="4" t="s">
        <v>30</v>
      </c>
      <c r="T236" s="4"/>
      <c r="U236" s="4"/>
      <c r="V236" s="4"/>
      <c r="W236" s="138" t="s">
        <v>3223</v>
      </c>
      <c r="X236" s="138"/>
      <c r="Y236" s="138"/>
      <c r="Z236" s="138"/>
      <c r="AA236" s="4" t="s">
        <v>2429</v>
      </c>
      <c r="AB236" s="184" t="s">
        <v>2028</v>
      </c>
    </row>
    <row r="237" spans="1:28" hidden="1" x14ac:dyDescent="0.2">
      <c r="A237" s="175" t="str">
        <f>IF(COUNTIF(Tabla_imprenta[LOTE],Tabla_control[[#This Row],[LOTE]])=1,INDEX(Tabla_imprenta[FECHA EMISIÓN],MATCH(Tabla_control[[#This Row],[LOTE]],Tabla_imprenta[LOTE],0)),"REALIZADO")</f>
        <v>REALIZADO</v>
      </c>
      <c r="B237" s="142" t="str">
        <f>IF(COUNTIF(Tabla_imprenta[LOTE],Tabla_control[[#This Row],[LOTE]])=1,INDEX(Tabla_imprenta[CÓD. SOLICITUD],MATCH(Tabla_control[[#This Row],[LOTE]],Tabla_imprenta[LOTE],0)),"REALIZADO")</f>
        <v>REALIZADO</v>
      </c>
      <c r="C237" s="177" t="str">
        <f>IF(COUNTIF(Tabla_imprenta[LOTE],Tabla_control[[#This Row],[LOTE]])=1,INDEX(Tabla_imprenta[PRODUCTO],MATCH(Tabla_control[[#This Row],[LOTE]],Tabla_imprenta[LOTE],0)),"REALIZADO")</f>
        <v>REALIZADO</v>
      </c>
      <c r="D237" s="142" t="str">
        <f>IF(COUNTIF(Tabla_imprenta[LOTE],Tabla_control[[#This Row],[LOTE]])=1,INDEX(Tabla_imprenta[FORMA FARMACEUTICA],MATCH(Tabla_control[[#This Row],[LOTE]],Tabla_imprenta[LOTE],0)),"REALIZADO")</f>
        <v>REALIZADO</v>
      </c>
      <c r="E237" s="177" t="str">
        <f>IF(COUNTIF(Tabla_imprenta[LOTE],Tabla_control[[#This Row],[LOTE]])=1,INDEX(Tabla_imprenta[INSTITUCIÓN],MATCH(Tabla_control[[#This Row],[LOTE]],Tabla_imprenta[LOTE],0)),"REALIZADO")</f>
        <v>REALIZADO</v>
      </c>
      <c r="F237" s="180" t="s">
        <v>2173</v>
      </c>
      <c r="G23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37" s="139" t="str">
        <f>IF(COUNTIF(Tabla_imprenta[LOTE],Tabla_control[[#This Row],[LOTE]])=1,INDEX(Tabla_imprenta[stock sap],MATCH(Tabla_control[[#This Row],[LOTE]],Tabla_imprenta[LOTE],0)),"ENTREGADO")</f>
        <v>ENTREGADO</v>
      </c>
      <c r="I237" s="139" t="str">
        <f>IF(Tabla_control[[#This Row],[STOCK SAP]]&gt;Tabla_control[[#This Row],[CANTIDAD IMPRIMIR]],"cubre","no cubre")</f>
        <v>no cubre</v>
      </c>
      <c r="J237" s="7" t="str">
        <f>IF(COUNTIF(Tabla_imprenta[LOTE],Tabla_control[[#This Row],[LOTE]])=1,INDEX(Tabla_imprenta[STOCK],MATCH(Tabla_control[[#This Row],[LOTE]],Tabla_imprenta[LOTE],0)),"ENTREGADO")</f>
        <v>ENTREGADO</v>
      </c>
      <c r="K23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37" s="148" t="e">
        <f>INDEX(Tabla_imprenta[FECHA CAJA],MATCH(Tabla_control[[#This Row],[LOTE]],Tabla_imprenta[LOTE],0))</f>
        <v>#N/A</v>
      </c>
      <c r="M23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3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3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37" s="169" t="e">
        <f>ROUNDUP(Tabla_control[[#This Row],[CANTIDAD IMPRIMIR]]/Tabla_control[[#This Row],[N TJ]],0)</f>
        <v>#VALUE!</v>
      </c>
      <c r="Q237" s="169" t="e">
        <f>IF(Tabla_control[[#This Row],[CANTIDAD TIRAJE]]&gt;10000,Tabla_control[[#This Row],[CANTIDAD TIRAJE]],Tabla_control[[#This Row],[CANTIDAD TIRAJE]]*2)</f>
        <v>#VALUE!</v>
      </c>
      <c r="R237" s="4" t="s">
        <v>173</v>
      </c>
      <c r="S237" s="4" t="s">
        <v>174</v>
      </c>
      <c r="T237" s="4"/>
      <c r="U237" s="4"/>
      <c r="V237" s="4"/>
      <c r="W237" s="138" t="s">
        <v>3223</v>
      </c>
      <c r="X237" s="138"/>
      <c r="Y237" s="138"/>
      <c r="Z237" s="138"/>
      <c r="AA237" s="4" t="s">
        <v>2429</v>
      </c>
      <c r="AB237" s="184" t="s">
        <v>2028</v>
      </c>
    </row>
    <row r="238" spans="1:28" hidden="1" x14ac:dyDescent="0.2">
      <c r="A238" s="175" t="str">
        <f>IF(COUNTIF(Tabla_imprenta[LOTE],Tabla_control[[#This Row],[LOTE]])=1,INDEX(Tabla_imprenta[FECHA EMISIÓN],MATCH(Tabla_control[[#This Row],[LOTE]],Tabla_imprenta[LOTE],0)),"REALIZADO")</f>
        <v>REALIZADO</v>
      </c>
      <c r="B238" s="142" t="str">
        <f>IF(COUNTIF(Tabla_imprenta[LOTE],Tabla_control[[#This Row],[LOTE]])=1,INDEX(Tabla_imprenta[CÓD. SOLICITUD],MATCH(Tabla_control[[#This Row],[LOTE]],Tabla_imprenta[LOTE],0)),"REALIZADO")</f>
        <v>REALIZADO</v>
      </c>
      <c r="C238" s="177" t="str">
        <f>IF(COUNTIF(Tabla_imprenta[LOTE],Tabla_control[[#This Row],[LOTE]])=1,INDEX(Tabla_imprenta[PRODUCTO],MATCH(Tabla_control[[#This Row],[LOTE]],Tabla_imprenta[LOTE],0)),"REALIZADO")</f>
        <v>REALIZADO</v>
      </c>
      <c r="D238" s="142" t="str">
        <f>IF(COUNTIF(Tabla_imprenta[LOTE],Tabla_control[[#This Row],[LOTE]])=1,INDEX(Tabla_imprenta[FORMA FARMACEUTICA],MATCH(Tabla_control[[#This Row],[LOTE]],Tabla_imprenta[LOTE],0)),"REALIZADO")</f>
        <v>REALIZADO</v>
      </c>
      <c r="E238" s="177" t="str">
        <f>IF(COUNTIF(Tabla_imprenta[LOTE],Tabla_control[[#This Row],[LOTE]])=1,INDEX(Tabla_imprenta[INSTITUCIÓN],MATCH(Tabla_control[[#This Row],[LOTE]],Tabla_imprenta[LOTE],0)),"REALIZADO")</f>
        <v>REALIZADO</v>
      </c>
      <c r="F238" s="180" t="s">
        <v>2151</v>
      </c>
      <c r="G23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38" s="139" t="str">
        <f>IF(COUNTIF(Tabla_imprenta[LOTE],Tabla_control[[#This Row],[LOTE]])=1,INDEX(Tabla_imprenta[stock sap],MATCH(Tabla_control[[#This Row],[LOTE]],Tabla_imprenta[LOTE],0)),"ENTREGADO")</f>
        <v>ENTREGADO</v>
      </c>
      <c r="I238" s="139" t="str">
        <f>IF(Tabla_control[[#This Row],[STOCK SAP]]&gt;Tabla_control[[#This Row],[CANTIDAD IMPRIMIR]],"cubre","no cubre")</f>
        <v>no cubre</v>
      </c>
      <c r="J238" s="7" t="str">
        <f>IF(COUNTIF(Tabla_imprenta[LOTE],Tabla_control[[#This Row],[LOTE]])=1,INDEX(Tabla_imprenta[STOCK],MATCH(Tabla_control[[#This Row],[LOTE]],Tabla_imprenta[LOTE],0)),"ENTREGADO")</f>
        <v>ENTREGADO</v>
      </c>
      <c r="K23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38" s="148" t="e">
        <f>INDEX(Tabla_imprenta[FECHA CAJA],MATCH(Tabla_control[[#This Row],[LOTE]],Tabla_imprenta[LOTE],0))</f>
        <v>#N/A</v>
      </c>
      <c r="M23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3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3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38" s="169" t="e">
        <f>ROUNDUP(Tabla_control[[#This Row],[CANTIDAD IMPRIMIR]]/Tabla_control[[#This Row],[N TJ]],0)</f>
        <v>#VALUE!</v>
      </c>
      <c r="Q238" s="169" t="e">
        <f>IF(Tabla_control[[#This Row],[CANTIDAD TIRAJE]]&gt;10000,Tabla_control[[#This Row],[CANTIDAD TIRAJE]],Tabla_control[[#This Row],[CANTIDAD TIRAJE]]*2)</f>
        <v>#VALUE!</v>
      </c>
      <c r="R238" s="4" t="s">
        <v>172</v>
      </c>
      <c r="S238" s="4" t="s">
        <v>30</v>
      </c>
      <c r="T238" s="4"/>
      <c r="U238" s="4"/>
      <c r="V238" s="4"/>
      <c r="W238" s="138" t="s">
        <v>3223</v>
      </c>
      <c r="X238" s="138"/>
      <c r="Y238" s="138"/>
      <c r="Z238" s="138"/>
      <c r="AA238" s="4" t="s">
        <v>2182</v>
      </c>
      <c r="AB238" s="184" t="s">
        <v>2028</v>
      </c>
    </row>
    <row r="239" spans="1:28" hidden="1" x14ac:dyDescent="0.2">
      <c r="A239" s="175" t="str">
        <f>IF(COUNTIF(Tabla_imprenta[LOTE],Tabla_control[[#This Row],[LOTE]])=1,INDEX(Tabla_imprenta[FECHA EMISIÓN],MATCH(Tabla_control[[#This Row],[LOTE]],Tabla_imprenta[LOTE],0)),"REALIZADO")</f>
        <v>REALIZADO</v>
      </c>
      <c r="B239" s="142" t="str">
        <f>IF(COUNTIF(Tabla_imprenta[LOTE],Tabla_control[[#This Row],[LOTE]])=1,INDEX(Tabla_imprenta[CÓD. SOLICITUD],MATCH(Tabla_control[[#This Row],[LOTE]],Tabla_imprenta[LOTE],0)),"REALIZADO")</f>
        <v>REALIZADO</v>
      </c>
      <c r="C239" s="177" t="str">
        <f>IF(COUNTIF(Tabla_imprenta[LOTE],Tabla_control[[#This Row],[LOTE]])=1,INDEX(Tabla_imprenta[PRODUCTO],MATCH(Tabla_control[[#This Row],[LOTE]],Tabla_imprenta[LOTE],0)),"REALIZADO")</f>
        <v>REALIZADO</v>
      </c>
      <c r="D239" s="142" t="str">
        <f>IF(COUNTIF(Tabla_imprenta[LOTE],Tabla_control[[#This Row],[LOTE]])=1,INDEX(Tabla_imprenta[FORMA FARMACEUTICA],MATCH(Tabla_control[[#This Row],[LOTE]],Tabla_imprenta[LOTE],0)),"REALIZADO")</f>
        <v>REALIZADO</v>
      </c>
      <c r="E239" s="177" t="str">
        <f>IF(COUNTIF(Tabla_imprenta[LOTE],Tabla_control[[#This Row],[LOTE]])=1,INDEX(Tabla_imprenta[INSTITUCIÓN],MATCH(Tabla_control[[#This Row],[LOTE]],Tabla_imprenta[LOTE],0)),"REALIZADO")</f>
        <v>REALIZADO</v>
      </c>
      <c r="F239" s="180" t="s">
        <v>2432</v>
      </c>
      <c r="G23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39" s="139" t="str">
        <f>IF(COUNTIF(Tabla_imprenta[LOTE],Tabla_control[[#This Row],[LOTE]])=1,INDEX(Tabla_imprenta[stock sap],MATCH(Tabla_control[[#This Row],[LOTE]],Tabla_imprenta[LOTE],0)),"ENTREGADO")</f>
        <v>ENTREGADO</v>
      </c>
      <c r="I239" s="139" t="str">
        <f>IF(Tabla_control[[#This Row],[STOCK SAP]]&gt;Tabla_control[[#This Row],[CANTIDAD IMPRIMIR]],"cubre","no cubre")</f>
        <v>no cubre</v>
      </c>
      <c r="J239" s="7" t="str">
        <f>IF(COUNTIF(Tabla_imprenta[LOTE],Tabla_control[[#This Row],[LOTE]])=1,INDEX(Tabla_imprenta[STOCK],MATCH(Tabla_control[[#This Row],[LOTE]],Tabla_imprenta[LOTE],0)),"ENTREGADO")</f>
        <v>ENTREGADO</v>
      </c>
      <c r="K23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39" s="148" t="e">
        <f>INDEX(Tabla_imprenta[FECHA CAJA],MATCH(Tabla_control[[#This Row],[LOTE]],Tabla_imprenta[LOTE],0))</f>
        <v>#N/A</v>
      </c>
      <c r="M23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3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3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39" s="169" t="e">
        <f>ROUNDUP(Tabla_control[[#This Row],[CANTIDAD IMPRIMIR]]/Tabla_control[[#This Row],[N TJ]],0)</f>
        <v>#VALUE!</v>
      </c>
      <c r="Q239" s="169" t="e">
        <f>IF(Tabla_control[[#This Row],[CANTIDAD TIRAJE]]&gt;10000,Tabla_control[[#This Row],[CANTIDAD TIRAJE]],Tabla_control[[#This Row],[CANTIDAD TIRAJE]]*2)</f>
        <v>#VALUE!</v>
      </c>
      <c r="R239" s="4" t="s">
        <v>176</v>
      </c>
      <c r="S239" s="4" t="s">
        <v>30</v>
      </c>
      <c r="T239" s="4"/>
      <c r="U239" s="4"/>
      <c r="V239" s="4"/>
      <c r="W239" s="138" t="s">
        <v>3223</v>
      </c>
      <c r="X239" s="138"/>
      <c r="Y239" s="138"/>
      <c r="Z239" s="138"/>
      <c r="AA239" s="4" t="s">
        <v>321</v>
      </c>
      <c r="AB239" s="184" t="s">
        <v>2028</v>
      </c>
    </row>
    <row r="240" spans="1:28" hidden="1" x14ac:dyDescent="0.2">
      <c r="A240" s="175" t="str">
        <f>IF(COUNTIF(Tabla_imprenta[LOTE],Tabla_control[[#This Row],[LOTE]])=1,INDEX(Tabla_imprenta[FECHA EMISIÓN],MATCH(Tabla_control[[#This Row],[LOTE]],Tabla_imprenta[LOTE],0)),"REALIZADO")</f>
        <v>REALIZADO</v>
      </c>
      <c r="B240" s="142" t="str">
        <f>IF(COUNTIF(Tabla_imprenta[LOTE],Tabla_control[[#This Row],[LOTE]])=1,INDEX(Tabla_imprenta[CÓD. SOLICITUD],MATCH(Tabla_control[[#This Row],[LOTE]],Tabla_imprenta[LOTE],0)),"REALIZADO")</f>
        <v>REALIZADO</v>
      </c>
      <c r="C240" s="177" t="str">
        <f>IF(COUNTIF(Tabla_imprenta[LOTE],Tabla_control[[#This Row],[LOTE]])=1,INDEX(Tabla_imprenta[PRODUCTO],MATCH(Tabla_control[[#This Row],[LOTE]],Tabla_imprenta[LOTE],0)),"REALIZADO")</f>
        <v>REALIZADO</v>
      </c>
      <c r="D240" s="142" t="str">
        <f>IF(COUNTIF(Tabla_imprenta[LOTE],Tabla_control[[#This Row],[LOTE]])=1,INDEX(Tabla_imprenta[FORMA FARMACEUTICA],MATCH(Tabla_control[[#This Row],[LOTE]],Tabla_imprenta[LOTE],0)),"REALIZADO")</f>
        <v>REALIZADO</v>
      </c>
      <c r="E240" s="177" t="str">
        <f>IF(COUNTIF(Tabla_imprenta[LOTE],Tabla_control[[#This Row],[LOTE]])=1,INDEX(Tabla_imprenta[INSTITUCIÓN],MATCH(Tabla_control[[#This Row],[LOTE]],Tabla_imprenta[LOTE],0)),"REALIZADO")</f>
        <v>REALIZADO</v>
      </c>
      <c r="F240" s="180" t="s">
        <v>2558</v>
      </c>
      <c r="G24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40" s="139" t="str">
        <f>IF(COUNTIF(Tabla_imprenta[LOTE],Tabla_control[[#This Row],[LOTE]])=1,INDEX(Tabla_imprenta[stock sap],MATCH(Tabla_control[[#This Row],[LOTE]],Tabla_imprenta[LOTE],0)),"ENTREGADO")</f>
        <v>ENTREGADO</v>
      </c>
      <c r="I240" s="139" t="str">
        <f>IF(Tabla_control[[#This Row],[STOCK SAP]]&gt;Tabla_control[[#This Row],[CANTIDAD IMPRIMIR]],"cubre","no cubre")</f>
        <v>no cubre</v>
      </c>
      <c r="J240" s="7" t="str">
        <f>IF(COUNTIF(Tabla_imprenta[LOTE],Tabla_control[[#This Row],[LOTE]])=1,INDEX(Tabla_imprenta[STOCK],MATCH(Tabla_control[[#This Row],[LOTE]],Tabla_imprenta[LOTE],0)),"ENTREGADO")</f>
        <v>ENTREGADO</v>
      </c>
      <c r="K24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40" s="148" t="e">
        <f>INDEX(Tabla_imprenta[FECHA CAJA],MATCH(Tabla_control[[#This Row],[LOTE]],Tabla_imprenta[LOTE],0))</f>
        <v>#N/A</v>
      </c>
      <c r="M24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4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4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40" s="169" t="e">
        <f>ROUNDUP(Tabla_control[[#This Row],[CANTIDAD IMPRIMIR]]/Tabla_control[[#This Row],[N TJ]],0)</f>
        <v>#VALUE!</v>
      </c>
      <c r="Q240" s="169" t="e">
        <f>IF(Tabla_control[[#This Row],[CANTIDAD TIRAJE]]&gt;10000,Tabla_control[[#This Row],[CANTIDAD TIRAJE]],Tabla_control[[#This Row],[CANTIDAD TIRAJE]]*2)</f>
        <v>#VALUE!</v>
      </c>
      <c r="R240" s="4" t="s">
        <v>173</v>
      </c>
      <c r="S240" s="4" t="s">
        <v>174</v>
      </c>
      <c r="T240" s="4"/>
      <c r="U240" s="4"/>
      <c r="V240" s="4"/>
      <c r="W240" s="138" t="s">
        <v>3223</v>
      </c>
      <c r="X240" s="138"/>
      <c r="Y240" s="138"/>
      <c r="Z240" s="138"/>
      <c r="AA240" s="4" t="s">
        <v>2314</v>
      </c>
      <c r="AB240" s="184" t="s">
        <v>2028</v>
      </c>
    </row>
    <row r="241" spans="1:28" hidden="1" x14ac:dyDescent="0.2">
      <c r="A241" s="175" t="str">
        <f>IF(COUNTIF(Tabla_imprenta[LOTE],Tabla_control[[#This Row],[LOTE]])=1,INDEX(Tabla_imprenta[FECHA EMISIÓN],MATCH(Tabla_control[[#This Row],[LOTE]],Tabla_imprenta[LOTE],0)),"REALIZADO")</f>
        <v>REALIZADO</v>
      </c>
      <c r="B241" s="142" t="str">
        <f>IF(COUNTIF(Tabla_imprenta[LOTE],Tabla_control[[#This Row],[LOTE]])=1,INDEX(Tabla_imprenta[CÓD. SOLICITUD],MATCH(Tabla_control[[#This Row],[LOTE]],Tabla_imprenta[LOTE],0)),"REALIZADO")</f>
        <v>REALIZADO</v>
      </c>
      <c r="C241" s="177" t="str">
        <f>IF(COUNTIF(Tabla_imprenta[LOTE],Tabla_control[[#This Row],[LOTE]])=1,INDEX(Tabla_imprenta[PRODUCTO],MATCH(Tabla_control[[#This Row],[LOTE]],Tabla_imprenta[LOTE],0)),"REALIZADO")</f>
        <v>REALIZADO</v>
      </c>
      <c r="D241" s="142" t="str">
        <f>IF(COUNTIF(Tabla_imprenta[LOTE],Tabla_control[[#This Row],[LOTE]])=1,INDEX(Tabla_imprenta[FORMA FARMACEUTICA],MATCH(Tabla_control[[#This Row],[LOTE]],Tabla_imprenta[LOTE],0)),"REALIZADO")</f>
        <v>REALIZADO</v>
      </c>
      <c r="E241" s="177" t="str">
        <f>IF(COUNTIF(Tabla_imprenta[LOTE],Tabla_control[[#This Row],[LOTE]])=1,INDEX(Tabla_imprenta[INSTITUCIÓN],MATCH(Tabla_control[[#This Row],[LOTE]],Tabla_imprenta[LOTE],0)),"REALIZADO")</f>
        <v>REALIZADO</v>
      </c>
      <c r="F241" s="180" t="s">
        <v>2479</v>
      </c>
      <c r="G24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41" s="139" t="str">
        <f>IF(COUNTIF(Tabla_imprenta[LOTE],Tabla_control[[#This Row],[LOTE]])=1,INDEX(Tabla_imprenta[stock sap],MATCH(Tabla_control[[#This Row],[LOTE]],Tabla_imprenta[LOTE],0)),"ENTREGADO")</f>
        <v>ENTREGADO</v>
      </c>
      <c r="I241" s="139" t="str">
        <f>IF(Tabla_control[[#This Row],[STOCK SAP]]&gt;Tabla_control[[#This Row],[CANTIDAD IMPRIMIR]],"cubre","no cubre")</f>
        <v>no cubre</v>
      </c>
      <c r="J241" s="7" t="str">
        <f>IF(COUNTIF(Tabla_imprenta[LOTE],Tabla_control[[#This Row],[LOTE]])=1,INDEX(Tabla_imprenta[STOCK],MATCH(Tabla_control[[#This Row],[LOTE]],Tabla_imprenta[LOTE],0)),"ENTREGADO")</f>
        <v>ENTREGADO</v>
      </c>
      <c r="K24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41" s="148" t="e">
        <f>INDEX(Tabla_imprenta[FECHA CAJA],MATCH(Tabla_control[[#This Row],[LOTE]],Tabla_imprenta[LOTE],0))</f>
        <v>#N/A</v>
      </c>
      <c r="M24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4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4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41" s="169" t="e">
        <f>ROUNDUP(Tabla_control[[#This Row],[CANTIDAD IMPRIMIR]]/Tabla_control[[#This Row],[N TJ]],0)</f>
        <v>#VALUE!</v>
      </c>
      <c r="Q241" s="169" t="e">
        <f>IF(Tabla_control[[#This Row],[CANTIDAD TIRAJE]]&gt;10000,Tabla_control[[#This Row],[CANTIDAD TIRAJE]],Tabla_control[[#This Row],[CANTIDAD TIRAJE]]*2)</f>
        <v>#VALUE!</v>
      </c>
      <c r="R241" s="4" t="s">
        <v>172</v>
      </c>
      <c r="S241" s="4" t="s">
        <v>30</v>
      </c>
      <c r="T241" s="4"/>
      <c r="U241" s="4"/>
      <c r="V241" s="4"/>
      <c r="W241" s="155" t="s">
        <v>3223</v>
      </c>
      <c r="X241" s="155"/>
      <c r="Y241" s="155"/>
      <c r="Z241" s="155"/>
      <c r="AA241" s="4" t="s">
        <v>2429</v>
      </c>
      <c r="AB241" s="184" t="s">
        <v>2028</v>
      </c>
    </row>
    <row r="242" spans="1:28" hidden="1" x14ac:dyDescent="0.2">
      <c r="A242" s="175" t="str">
        <f>IF(COUNTIF(Tabla_imprenta[LOTE],Tabla_control[[#This Row],[LOTE]])=1,INDEX(Tabla_imprenta[FECHA EMISIÓN],MATCH(Tabla_control[[#This Row],[LOTE]],Tabla_imprenta[LOTE],0)),"REALIZADO")</f>
        <v>REALIZADO</v>
      </c>
      <c r="B242" s="142" t="str">
        <f>IF(COUNTIF(Tabla_imprenta[LOTE],Tabla_control[[#This Row],[LOTE]])=1,INDEX(Tabla_imprenta[CÓD. SOLICITUD],MATCH(Tabla_control[[#This Row],[LOTE]],Tabla_imprenta[LOTE],0)),"REALIZADO")</f>
        <v>REALIZADO</v>
      </c>
      <c r="C242" s="177" t="str">
        <f>IF(COUNTIF(Tabla_imprenta[LOTE],Tabla_control[[#This Row],[LOTE]])=1,INDEX(Tabla_imprenta[PRODUCTO],MATCH(Tabla_control[[#This Row],[LOTE]],Tabla_imprenta[LOTE],0)),"REALIZADO")</f>
        <v>REALIZADO</v>
      </c>
      <c r="D242" s="142" t="str">
        <f>IF(COUNTIF(Tabla_imprenta[LOTE],Tabla_control[[#This Row],[LOTE]])=1,INDEX(Tabla_imprenta[FORMA FARMACEUTICA],MATCH(Tabla_control[[#This Row],[LOTE]],Tabla_imprenta[LOTE],0)),"REALIZADO")</f>
        <v>REALIZADO</v>
      </c>
      <c r="E242" s="177" t="str">
        <f>IF(COUNTIF(Tabla_imprenta[LOTE],Tabla_control[[#This Row],[LOTE]])=1,INDEX(Tabla_imprenta[INSTITUCIÓN],MATCH(Tabla_control[[#This Row],[LOTE]],Tabla_imprenta[LOTE],0)),"REALIZADO")</f>
        <v>REALIZADO</v>
      </c>
      <c r="F242" s="180" t="s">
        <v>2159</v>
      </c>
      <c r="G24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42" s="139" t="str">
        <f>IF(COUNTIF(Tabla_imprenta[LOTE],Tabla_control[[#This Row],[LOTE]])=1,INDEX(Tabla_imprenta[stock sap],MATCH(Tabla_control[[#This Row],[LOTE]],Tabla_imprenta[LOTE],0)),"ENTREGADO")</f>
        <v>ENTREGADO</v>
      </c>
      <c r="I242" s="139" t="str">
        <f>IF(Tabla_control[[#This Row],[STOCK SAP]]&gt;Tabla_control[[#This Row],[CANTIDAD IMPRIMIR]],"cubre","no cubre")</f>
        <v>no cubre</v>
      </c>
      <c r="J242" s="7" t="str">
        <f>IF(COUNTIF(Tabla_imprenta[LOTE],Tabla_control[[#This Row],[LOTE]])=1,INDEX(Tabla_imprenta[STOCK],MATCH(Tabla_control[[#This Row],[LOTE]],Tabla_imprenta[LOTE],0)),"ENTREGADO")</f>
        <v>ENTREGADO</v>
      </c>
      <c r="K24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42" s="148" t="e">
        <f>INDEX(Tabla_imprenta[FECHA CAJA],MATCH(Tabla_control[[#This Row],[LOTE]],Tabla_imprenta[LOTE],0))</f>
        <v>#N/A</v>
      </c>
      <c r="M24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4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4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42" s="169" t="e">
        <f>ROUNDUP(Tabla_control[[#This Row],[CANTIDAD IMPRIMIR]]/Tabla_control[[#This Row],[N TJ]],0)</f>
        <v>#VALUE!</v>
      </c>
      <c r="Q242" s="169" t="e">
        <f>IF(Tabla_control[[#This Row],[CANTIDAD TIRAJE]]&gt;10000,Tabla_control[[#This Row],[CANTIDAD TIRAJE]],Tabla_control[[#This Row],[CANTIDAD TIRAJE]]*2)</f>
        <v>#VALUE!</v>
      </c>
      <c r="R242" s="4" t="s">
        <v>173</v>
      </c>
      <c r="S242" s="4" t="s">
        <v>174</v>
      </c>
      <c r="T242" s="4"/>
      <c r="U242" s="4"/>
      <c r="V242" s="4"/>
      <c r="W242" s="138" t="s">
        <v>3223</v>
      </c>
      <c r="X242" s="138"/>
      <c r="Y242" s="138"/>
      <c r="Z242" s="138"/>
      <c r="AA242" s="4" t="s">
        <v>2429</v>
      </c>
      <c r="AB242" s="184" t="s">
        <v>2028</v>
      </c>
    </row>
    <row r="243" spans="1:28" hidden="1" x14ac:dyDescent="0.2">
      <c r="A243" s="175" t="str">
        <f>IF(COUNTIF(Tabla_imprenta[LOTE],Tabla_control[[#This Row],[LOTE]])=1,INDEX(Tabla_imprenta[FECHA EMISIÓN],MATCH(Tabla_control[[#This Row],[LOTE]],Tabla_imprenta[LOTE],0)),"REALIZADO")</f>
        <v>REALIZADO</v>
      </c>
      <c r="B243" s="142" t="str">
        <f>IF(COUNTIF(Tabla_imprenta[LOTE],Tabla_control[[#This Row],[LOTE]])=1,INDEX(Tabla_imprenta[CÓD. SOLICITUD],MATCH(Tabla_control[[#This Row],[LOTE]],Tabla_imprenta[LOTE],0)),"REALIZADO")</f>
        <v>REALIZADO</v>
      </c>
      <c r="C243" s="177" t="str">
        <f>IF(COUNTIF(Tabla_imprenta[LOTE],Tabla_control[[#This Row],[LOTE]])=1,INDEX(Tabla_imprenta[PRODUCTO],MATCH(Tabla_control[[#This Row],[LOTE]],Tabla_imprenta[LOTE],0)),"REALIZADO")</f>
        <v>REALIZADO</v>
      </c>
      <c r="D243" s="142" t="str">
        <f>IF(COUNTIF(Tabla_imprenta[LOTE],Tabla_control[[#This Row],[LOTE]])=1,INDEX(Tabla_imprenta[FORMA FARMACEUTICA],MATCH(Tabla_control[[#This Row],[LOTE]],Tabla_imprenta[LOTE],0)),"REALIZADO")</f>
        <v>REALIZADO</v>
      </c>
      <c r="E243" s="177" t="str">
        <f>IF(COUNTIF(Tabla_imprenta[LOTE],Tabla_control[[#This Row],[LOTE]])=1,INDEX(Tabla_imprenta[INSTITUCIÓN],MATCH(Tabla_control[[#This Row],[LOTE]],Tabla_imprenta[LOTE],0)),"REALIZADO")</f>
        <v>REALIZADO</v>
      </c>
      <c r="F243" s="180" t="s">
        <v>2540</v>
      </c>
      <c r="G24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43" s="139" t="str">
        <f>IF(COUNTIF(Tabla_imprenta[LOTE],Tabla_control[[#This Row],[LOTE]])=1,INDEX(Tabla_imprenta[stock sap],MATCH(Tabla_control[[#This Row],[LOTE]],Tabla_imprenta[LOTE],0)),"ENTREGADO")</f>
        <v>ENTREGADO</v>
      </c>
      <c r="I243" s="139" t="str">
        <f>IF(Tabla_control[[#This Row],[STOCK SAP]]&gt;Tabla_control[[#This Row],[CANTIDAD IMPRIMIR]],"cubre","no cubre")</f>
        <v>no cubre</v>
      </c>
      <c r="J243" s="7" t="str">
        <f>IF(COUNTIF(Tabla_imprenta[LOTE],Tabla_control[[#This Row],[LOTE]])=1,INDEX(Tabla_imprenta[STOCK],MATCH(Tabla_control[[#This Row],[LOTE]],Tabla_imprenta[LOTE],0)),"ENTREGADO")</f>
        <v>ENTREGADO</v>
      </c>
      <c r="K24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43" s="148" t="e">
        <f>INDEX(Tabla_imprenta[FECHA CAJA],MATCH(Tabla_control[[#This Row],[LOTE]],Tabla_imprenta[LOTE],0))</f>
        <v>#N/A</v>
      </c>
      <c r="M24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4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4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43" s="169" t="e">
        <f>ROUNDUP(Tabla_control[[#This Row],[CANTIDAD IMPRIMIR]]/Tabla_control[[#This Row],[N TJ]],0)</f>
        <v>#VALUE!</v>
      </c>
      <c r="Q243" s="169" t="e">
        <f>IF(Tabla_control[[#This Row],[CANTIDAD TIRAJE]]&gt;10000,Tabla_control[[#This Row],[CANTIDAD TIRAJE]],Tabla_control[[#This Row],[CANTIDAD TIRAJE]]*2)</f>
        <v>#VALUE!</v>
      </c>
      <c r="R243" s="4" t="s">
        <v>177</v>
      </c>
      <c r="S243" s="4" t="s">
        <v>31</v>
      </c>
      <c r="T243" s="4"/>
      <c r="U243" s="4"/>
      <c r="V243" s="4"/>
      <c r="W243" s="138" t="s">
        <v>3223</v>
      </c>
      <c r="X243" s="138"/>
      <c r="Y243" s="138"/>
      <c r="Z243" s="138"/>
      <c r="AA243" s="4" t="s">
        <v>2031</v>
      </c>
      <c r="AB243" s="184" t="s">
        <v>2028</v>
      </c>
    </row>
    <row r="244" spans="1:28" hidden="1" x14ac:dyDescent="0.2">
      <c r="A244" s="175" t="str">
        <f>IF(COUNTIF(Tabla_imprenta[LOTE],Tabla_control[[#This Row],[LOTE]])=1,INDEX(Tabla_imprenta[FECHA EMISIÓN],MATCH(Tabla_control[[#This Row],[LOTE]],Tabla_imprenta[LOTE],0)),"REALIZADO")</f>
        <v>REALIZADO</v>
      </c>
      <c r="B244" s="142" t="str">
        <f>IF(COUNTIF(Tabla_imprenta[LOTE],Tabla_control[[#This Row],[LOTE]])=1,INDEX(Tabla_imprenta[CÓD. SOLICITUD],MATCH(Tabla_control[[#This Row],[LOTE]],Tabla_imprenta[LOTE],0)),"REALIZADO")</f>
        <v>REALIZADO</v>
      </c>
      <c r="C244" s="177" t="str">
        <f>IF(COUNTIF(Tabla_imprenta[LOTE],Tabla_control[[#This Row],[LOTE]])=1,INDEX(Tabla_imprenta[PRODUCTO],MATCH(Tabla_control[[#This Row],[LOTE]],Tabla_imprenta[LOTE],0)),"REALIZADO")</f>
        <v>REALIZADO</v>
      </c>
      <c r="D244" s="142" t="str">
        <f>IF(COUNTIF(Tabla_imprenta[LOTE],Tabla_control[[#This Row],[LOTE]])=1,INDEX(Tabla_imprenta[FORMA FARMACEUTICA],MATCH(Tabla_control[[#This Row],[LOTE]],Tabla_imprenta[LOTE],0)),"REALIZADO")</f>
        <v>REALIZADO</v>
      </c>
      <c r="E244" s="177" t="str">
        <f>IF(COUNTIF(Tabla_imprenta[LOTE],Tabla_control[[#This Row],[LOTE]])=1,INDEX(Tabla_imprenta[INSTITUCIÓN],MATCH(Tabla_control[[#This Row],[LOTE]],Tabla_imprenta[LOTE],0)),"REALIZADO")</f>
        <v>REALIZADO</v>
      </c>
      <c r="F244" s="180" t="s">
        <v>2196</v>
      </c>
      <c r="G24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44" s="139" t="str">
        <f>IF(COUNTIF(Tabla_imprenta[LOTE],Tabla_control[[#This Row],[LOTE]])=1,INDEX(Tabla_imprenta[stock sap],MATCH(Tabla_control[[#This Row],[LOTE]],Tabla_imprenta[LOTE],0)),"ENTREGADO")</f>
        <v>ENTREGADO</v>
      </c>
      <c r="I244" s="139" t="str">
        <f>IF(Tabla_control[[#This Row],[STOCK SAP]]&gt;Tabla_control[[#This Row],[CANTIDAD IMPRIMIR]],"cubre","no cubre")</f>
        <v>no cubre</v>
      </c>
      <c r="J244" s="7" t="str">
        <f>IF(COUNTIF(Tabla_imprenta[LOTE],Tabla_control[[#This Row],[LOTE]])=1,INDEX(Tabla_imprenta[STOCK],MATCH(Tabla_control[[#This Row],[LOTE]],Tabla_imprenta[LOTE],0)),"ENTREGADO")</f>
        <v>ENTREGADO</v>
      </c>
      <c r="K24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44" s="148" t="e">
        <f>INDEX(Tabla_imprenta[FECHA CAJA],MATCH(Tabla_control[[#This Row],[LOTE]],Tabla_imprenta[LOTE],0))</f>
        <v>#N/A</v>
      </c>
      <c r="M24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4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4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44" s="169" t="e">
        <f>ROUNDUP(Tabla_control[[#This Row],[CANTIDAD IMPRIMIR]]/Tabla_control[[#This Row],[N TJ]],0)</f>
        <v>#VALUE!</v>
      </c>
      <c r="Q244" s="169" t="e">
        <f>IF(Tabla_control[[#This Row],[CANTIDAD TIRAJE]]&gt;10000,Tabla_control[[#This Row],[CANTIDAD TIRAJE]],Tabla_control[[#This Row],[CANTIDAD TIRAJE]]*2)</f>
        <v>#VALUE!</v>
      </c>
      <c r="R244" s="4" t="s">
        <v>172</v>
      </c>
      <c r="S244" s="4" t="s">
        <v>30</v>
      </c>
      <c r="T244" s="4"/>
      <c r="U244" s="4"/>
      <c r="V244" s="4"/>
      <c r="W244" s="138" t="s">
        <v>3223</v>
      </c>
      <c r="X244" s="138"/>
      <c r="Y244" s="138"/>
      <c r="Z244" s="138"/>
      <c r="AA244" s="4" t="s">
        <v>2031</v>
      </c>
      <c r="AB244" s="184" t="s">
        <v>2028</v>
      </c>
    </row>
    <row r="245" spans="1:28" hidden="1" x14ac:dyDescent="0.2">
      <c r="A245" s="175" t="str">
        <f>IF(COUNTIF(Tabla_imprenta[LOTE],Tabla_control[[#This Row],[LOTE]])=1,INDEX(Tabla_imprenta[FECHA EMISIÓN],MATCH(Tabla_control[[#This Row],[LOTE]],Tabla_imprenta[LOTE],0)),"REALIZADO")</f>
        <v>REALIZADO</v>
      </c>
      <c r="B245" s="142" t="str">
        <f>IF(COUNTIF(Tabla_imprenta[LOTE],Tabla_control[[#This Row],[LOTE]])=1,INDEX(Tabla_imprenta[CÓD. SOLICITUD],MATCH(Tabla_control[[#This Row],[LOTE]],Tabla_imprenta[LOTE],0)),"REALIZADO")</f>
        <v>REALIZADO</v>
      </c>
      <c r="C245" s="177" t="str">
        <f>IF(COUNTIF(Tabla_imprenta[LOTE],Tabla_control[[#This Row],[LOTE]])=1,INDEX(Tabla_imprenta[PRODUCTO],MATCH(Tabla_control[[#This Row],[LOTE]],Tabla_imprenta[LOTE],0)),"REALIZADO")</f>
        <v>REALIZADO</v>
      </c>
      <c r="D245" s="142" t="str">
        <f>IF(COUNTIF(Tabla_imprenta[LOTE],Tabla_control[[#This Row],[LOTE]])=1,INDEX(Tabla_imprenta[FORMA FARMACEUTICA],MATCH(Tabla_control[[#This Row],[LOTE]],Tabla_imprenta[LOTE],0)),"REALIZADO")</f>
        <v>REALIZADO</v>
      </c>
      <c r="E245" s="177" t="str">
        <f>IF(COUNTIF(Tabla_imprenta[LOTE],Tabla_control[[#This Row],[LOTE]])=1,INDEX(Tabla_imprenta[INSTITUCIÓN],MATCH(Tabla_control[[#This Row],[LOTE]],Tabla_imprenta[LOTE],0)),"REALIZADO")</f>
        <v>REALIZADO</v>
      </c>
      <c r="F245" s="180" t="s">
        <v>2147</v>
      </c>
      <c r="G24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45" s="139" t="str">
        <f>IF(COUNTIF(Tabla_imprenta[LOTE],Tabla_control[[#This Row],[LOTE]])=1,INDEX(Tabla_imprenta[stock sap],MATCH(Tabla_control[[#This Row],[LOTE]],Tabla_imprenta[LOTE],0)),"ENTREGADO")</f>
        <v>ENTREGADO</v>
      </c>
      <c r="I245" s="139" t="str">
        <f>IF(Tabla_control[[#This Row],[STOCK SAP]]&gt;Tabla_control[[#This Row],[CANTIDAD IMPRIMIR]],"cubre","no cubre")</f>
        <v>no cubre</v>
      </c>
      <c r="J245" s="7" t="str">
        <f>IF(COUNTIF(Tabla_imprenta[LOTE],Tabla_control[[#This Row],[LOTE]])=1,INDEX(Tabla_imprenta[STOCK],MATCH(Tabla_control[[#This Row],[LOTE]],Tabla_imprenta[LOTE],0)),"ENTREGADO")</f>
        <v>ENTREGADO</v>
      </c>
      <c r="K24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45" s="148" t="e">
        <f>INDEX(Tabla_imprenta[FECHA CAJA],MATCH(Tabla_control[[#This Row],[LOTE]],Tabla_imprenta[LOTE],0))</f>
        <v>#N/A</v>
      </c>
      <c r="M24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4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4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45" s="169" t="e">
        <f>ROUNDUP(Tabla_control[[#This Row],[CANTIDAD IMPRIMIR]]/Tabla_control[[#This Row],[N TJ]],0)</f>
        <v>#VALUE!</v>
      </c>
      <c r="Q245" s="169" t="e">
        <f>IF(Tabla_control[[#This Row],[CANTIDAD TIRAJE]]&gt;10000,Tabla_control[[#This Row],[CANTIDAD TIRAJE]],Tabla_control[[#This Row],[CANTIDAD TIRAJE]]*2)</f>
        <v>#VALUE!</v>
      </c>
      <c r="R245" s="4" t="s">
        <v>176</v>
      </c>
      <c r="S245" s="4" t="s">
        <v>30</v>
      </c>
      <c r="T245" s="4"/>
      <c r="U245" s="4"/>
      <c r="V245" s="4"/>
      <c r="W245" s="138" t="s">
        <v>3223</v>
      </c>
      <c r="X245" s="138"/>
      <c r="Y245" s="138"/>
      <c r="Z245" s="138"/>
      <c r="AA245" s="4" t="s">
        <v>2182</v>
      </c>
      <c r="AB245" s="184" t="s">
        <v>2028</v>
      </c>
    </row>
    <row r="246" spans="1:28" hidden="1" x14ac:dyDescent="0.2">
      <c r="A246" s="175" t="str">
        <f>IF(COUNTIF(Tabla_imprenta[LOTE],Tabla_control[[#This Row],[LOTE]])=1,INDEX(Tabla_imprenta[FECHA EMISIÓN],MATCH(Tabla_control[[#This Row],[LOTE]],Tabla_imprenta[LOTE],0)),"REALIZADO")</f>
        <v>REALIZADO</v>
      </c>
      <c r="B246" s="142" t="str">
        <f>IF(COUNTIF(Tabla_imprenta[LOTE],Tabla_control[[#This Row],[LOTE]])=1,INDEX(Tabla_imprenta[CÓD. SOLICITUD],MATCH(Tabla_control[[#This Row],[LOTE]],Tabla_imprenta[LOTE],0)),"REALIZADO")</f>
        <v>REALIZADO</v>
      </c>
      <c r="C246" s="177" t="str">
        <f>IF(COUNTIF(Tabla_imprenta[LOTE],Tabla_control[[#This Row],[LOTE]])=1,INDEX(Tabla_imprenta[PRODUCTO],MATCH(Tabla_control[[#This Row],[LOTE]],Tabla_imprenta[LOTE],0)),"REALIZADO")</f>
        <v>REALIZADO</v>
      </c>
      <c r="D246" s="142" t="str">
        <f>IF(COUNTIF(Tabla_imprenta[LOTE],Tabla_control[[#This Row],[LOTE]])=1,INDEX(Tabla_imprenta[FORMA FARMACEUTICA],MATCH(Tabla_control[[#This Row],[LOTE]],Tabla_imprenta[LOTE],0)),"REALIZADO")</f>
        <v>REALIZADO</v>
      </c>
      <c r="E246" s="177" t="str">
        <f>IF(COUNTIF(Tabla_imprenta[LOTE],Tabla_control[[#This Row],[LOTE]])=1,INDEX(Tabla_imprenta[INSTITUCIÓN],MATCH(Tabla_control[[#This Row],[LOTE]],Tabla_imprenta[LOTE],0)),"REALIZADO")</f>
        <v>REALIZADO</v>
      </c>
      <c r="F246" s="180" t="s">
        <v>2195</v>
      </c>
      <c r="G24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46" s="139" t="str">
        <f>IF(COUNTIF(Tabla_imprenta[LOTE],Tabla_control[[#This Row],[LOTE]])=1,INDEX(Tabla_imprenta[stock sap],MATCH(Tabla_control[[#This Row],[LOTE]],Tabla_imprenta[LOTE],0)),"ENTREGADO")</f>
        <v>ENTREGADO</v>
      </c>
      <c r="I246" s="139" t="str">
        <f>IF(Tabla_control[[#This Row],[STOCK SAP]]&gt;Tabla_control[[#This Row],[CANTIDAD IMPRIMIR]],"cubre","no cubre")</f>
        <v>no cubre</v>
      </c>
      <c r="J246" s="7" t="str">
        <f>IF(COUNTIF(Tabla_imprenta[LOTE],Tabla_control[[#This Row],[LOTE]])=1,INDEX(Tabla_imprenta[STOCK],MATCH(Tabla_control[[#This Row],[LOTE]],Tabla_imprenta[LOTE],0)),"ENTREGADO")</f>
        <v>ENTREGADO</v>
      </c>
      <c r="K24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46" s="148" t="e">
        <f>INDEX(Tabla_imprenta[FECHA CAJA],MATCH(Tabla_control[[#This Row],[LOTE]],Tabla_imprenta[LOTE],0))</f>
        <v>#N/A</v>
      </c>
      <c r="M24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4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4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46" s="169" t="e">
        <f>ROUNDUP(Tabla_control[[#This Row],[CANTIDAD IMPRIMIR]]/Tabla_control[[#This Row],[N TJ]],0)</f>
        <v>#VALUE!</v>
      </c>
      <c r="Q246" s="169" t="e">
        <f>IF(Tabla_control[[#This Row],[CANTIDAD TIRAJE]]&gt;10000,Tabla_control[[#This Row],[CANTIDAD TIRAJE]],Tabla_control[[#This Row],[CANTIDAD TIRAJE]]*2)</f>
        <v>#VALUE!</v>
      </c>
      <c r="R246" s="4" t="s">
        <v>172</v>
      </c>
      <c r="S246" s="4" t="s">
        <v>30</v>
      </c>
      <c r="T246" s="4"/>
      <c r="U246" s="4"/>
      <c r="V246" s="4"/>
      <c r="W246" s="138" t="s">
        <v>3223</v>
      </c>
      <c r="X246" s="138"/>
      <c r="Y246" s="138"/>
      <c r="Z246" s="138"/>
      <c r="AA246" s="4" t="s">
        <v>2031</v>
      </c>
      <c r="AB246" s="184" t="s">
        <v>2028</v>
      </c>
    </row>
    <row r="247" spans="1:28" hidden="1" x14ac:dyDescent="0.2">
      <c r="A247" s="175" t="str">
        <f>IF(COUNTIF(Tabla_imprenta[LOTE],Tabla_control[[#This Row],[LOTE]])=1,INDEX(Tabla_imprenta[FECHA EMISIÓN],MATCH(Tabla_control[[#This Row],[LOTE]],Tabla_imprenta[LOTE],0)),"REALIZADO")</f>
        <v>REALIZADO</v>
      </c>
      <c r="B247" s="142" t="str">
        <f>IF(COUNTIF(Tabla_imprenta[LOTE],Tabla_control[[#This Row],[LOTE]])=1,INDEX(Tabla_imprenta[CÓD. SOLICITUD],MATCH(Tabla_control[[#This Row],[LOTE]],Tabla_imprenta[LOTE],0)),"REALIZADO")</f>
        <v>REALIZADO</v>
      </c>
      <c r="C247" s="177" t="str">
        <f>IF(COUNTIF(Tabla_imprenta[LOTE],Tabla_control[[#This Row],[LOTE]])=1,INDEX(Tabla_imprenta[PRODUCTO],MATCH(Tabla_control[[#This Row],[LOTE]],Tabla_imprenta[LOTE],0)),"REALIZADO")</f>
        <v>REALIZADO</v>
      </c>
      <c r="D247" s="142" t="str">
        <f>IF(COUNTIF(Tabla_imprenta[LOTE],Tabla_control[[#This Row],[LOTE]])=1,INDEX(Tabla_imprenta[FORMA FARMACEUTICA],MATCH(Tabla_control[[#This Row],[LOTE]],Tabla_imprenta[LOTE],0)),"REALIZADO")</f>
        <v>REALIZADO</v>
      </c>
      <c r="E247" s="177" t="str">
        <f>IF(COUNTIF(Tabla_imprenta[LOTE],Tabla_control[[#This Row],[LOTE]])=1,INDEX(Tabla_imprenta[INSTITUCIÓN],MATCH(Tabla_control[[#This Row],[LOTE]],Tabla_imprenta[LOTE],0)),"REALIZADO")</f>
        <v>REALIZADO</v>
      </c>
      <c r="F247" s="180" t="s">
        <v>2223</v>
      </c>
      <c r="G24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47" s="139" t="str">
        <f>IF(COUNTIF(Tabla_imprenta[LOTE],Tabla_control[[#This Row],[LOTE]])=1,INDEX(Tabla_imprenta[stock sap],MATCH(Tabla_control[[#This Row],[LOTE]],Tabla_imprenta[LOTE],0)),"ENTREGADO")</f>
        <v>ENTREGADO</v>
      </c>
      <c r="I247" s="139" t="str">
        <f>IF(Tabla_control[[#This Row],[STOCK SAP]]&gt;Tabla_control[[#This Row],[CANTIDAD IMPRIMIR]],"cubre","no cubre")</f>
        <v>no cubre</v>
      </c>
      <c r="J247" s="7" t="str">
        <f>IF(COUNTIF(Tabla_imprenta[LOTE],Tabla_control[[#This Row],[LOTE]])=1,INDEX(Tabla_imprenta[STOCK],MATCH(Tabla_control[[#This Row],[LOTE]],Tabla_imprenta[LOTE],0)),"ENTREGADO")</f>
        <v>ENTREGADO</v>
      </c>
      <c r="K24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47" s="148" t="e">
        <f>INDEX(Tabla_imprenta[FECHA CAJA],MATCH(Tabla_control[[#This Row],[LOTE]],Tabla_imprenta[LOTE],0))</f>
        <v>#N/A</v>
      </c>
      <c r="M24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4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4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47" s="169" t="e">
        <f>ROUNDUP(Tabla_control[[#This Row],[CANTIDAD IMPRIMIR]]/Tabla_control[[#This Row],[N TJ]],0)</f>
        <v>#VALUE!</v>
      </c>
      <c r="Q247" s="169" t="e">
        <f>IF(Tabla_control[[#This Row],[CANTIDAD TIRAJE]]&gt;10000,Tabla_control[[#This Row],[CANTIDAD TIRAJE]],Tabla_control[[#This Row],[CANTIDAD TIRAJE]]*2)</f>
        <v>#VALUE!</v>
      </c>
      <c r="R247" s="4" t="s">
        <v>172</v>
      </c>
      <c r="S247" s="4" t="s">
        <v>30</v>
      </c>
      <c r="T247" s="4"/>
      <c r="U247" s="4"/>
      <c r="V247" s="4"/>
      <c r="W247" s="138" t="s">
        <v>3223</v>
      </c>
      <c r="X247" s="138"/>
      <c r="Y247" s="138"/>
      <c r="Z247" s="138"/>
      <c r="AA247" s="4" t="s">
        <v>2031</v>
      </c>
      <c r="AB247" s="184" t="s">
        <v>2028</v>
      </c>
    </row>
    <row r="248" spans="1:28" hidden="1" x14ac:dyDescent="0.2">
      <c r="A248" s="175" t="str">
        <f>IF(COUNTIF(Tabla_imprenta[LOTE],Tabla_control[[#This Row],[LOTE]])=1,INDEX(Tabla_imprenta[FECHA EMISIÓN],MATCH(Tabla_control[[#This Row],[LOTE]],Tabla_imprenta[LOTE],0)),"REALIZADO")</f>
        <v>REALIZADO</v>
      </c>
      <c r="B248" s="142" t="str">
        <f>IF(COUNTIF(Tabla_imprenta[LOTE],Tabla_control[[#This Row],[LOTE]])=1,INDEX(Tabla_imprenta[CÓD. SOLICITUD],MATCH(Tabla_control[[#This Row],[LOTE]],Tabla_imprenta[LOTE],0)),"REALIZADO")</f>
        <v>REALIZADO</v>
      </c>
      <c r="C248" s="177" t="str">
        <f>IF(COUNTIF(Tabla_imprenta[LOTE],Tabla_control[[#This Row],[LOTE]])=1,INDEX(Tabla_imprenta[PRODUCTO],MATCH(Tabla_control[[#This Row],[LOTE]],Tabla_imprenta[LOTE],0)),"REALIZADO")</f>
        <v>REALIZADO</v>
      </c>
      <c r="D248" s="142" t="str">
        <f>IF(COUNTIF(Tabla_imprenta[LOTE],Tabla_control[[#This Row],[LOTE]])=1,INDEX(Tabla_imprenta[FORMA FARMACEUTICA],MATCH(Tabla_control[[#This Row],[LOTE]],Tabla_imprenta[LOTE],0)),"REALIZADO")</f>
        <v>REALIZADO</v>
      </c>
      <c r="E248" s="177" t="str">
        <f>IF(COUNTIF(Tabla_imprenta[LOTE],Tabla_control[[#This Row],[LOTE]])=1,INDEX(Tabla_imprenta[INSTITUCIÓN],MATCH(Tabla_control[[#This Row],[LOTE]],Tabla_imprenta[LOTE],0)),"REALIZADO")</f>
        <v>REALIZADO</v>
      </c>
      <c r="F248" s="180" t="s">
        <v>2220</v>
      </c>
      <c r="G24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48" s="139" t="str">
        <f>IF(COUNTIF(Tabla_imprenta[LOTE],Tabla_control[[#This Row],[LOTE]])=1,INDEX(Tabla_imprenta[stock sap],MATCH(Tabla_control[[#This Row],[LOTE]],Tabla_imprenta[LOTE],0)),"ENTREGADO")</f>
        <v>ENTREGADO</v>
      </c>
      <c r="I248" s="139" t="str">
        <f>IF(Tabla_control[[#This Row],[STOCK SAP]]&gt;Tabla_control[[#This Row],[CANTIDAD IMPRIMIR]],"cubre","no cubre")</f>
        <v>no cubre</v>
      </c>
      <c r="J248" s="7" t="str">
        <f>IF(COUNTIF(Tabla_imprenta[LOTE],Tabla_control[[#This Row],[LOTE]])=1,INDEX(Tabla_imprenta[STOCK],MATCH(Tabla_control[[#This Row],[LOTE]],Tabla_imprenta[LOTE],0)),"ENTREGADO")</f>
        <v>ENTREGADO</v>
      </c>
      <c r="K24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48" s="148" t="e">
        <f>INDEX(Tabla_imprenta[FECHA CAJA],MATCH(Tabla_control[[#This Row],[LOTE]],Tabla_imprenta[LOTE],0))</f>
        <v>#N/A</v>
      </c>
      <c r="M24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4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4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48" s="169" t="e">
        <f>ROUNDUP(Tabla_control[[#This Row],[CANTIDAD IMPRIMIR]]/Tabla_control[[#This Row],[N TJ]],0)</f>
        <v>#VALUE!</v>
      </c>
      <c r="Q248" s="169" t="e">
        <f>IF(Tabla_control[[#This Row],[CANTIDAD TIRAJE]]&gt;10000,Tabla_control[[#This Row],[CANTIDAD TIRAJE]],Tabla_control[[#This Row],[CANTIDAD TIRAJE]]*2)</f>
        <v>#VALUE!</v>
      </c>
      <c r="R248" s="4" t="s">
        <v>177</v>
      </c>
      <c r="S248" s="4" t="s">
        <v>31</v>
      </c>
      <c r="T248" s="4"/>
      <c r="U248" s="4"/>
      <c r="V248" s="4"/>
      <c r="W248" s="138" t="s">
        <v>3223</v>
      </c>
      <c r="X248" s="138"/>
      <c r="Y248" s="138"/>
      <c r="Z248" s="138"/>
      <c r="AA248" s="4" t="s">
        <v>2429</v>
      </c>
      <c r="AB248" s="184" t="s">
        <v>2028</v>
      </c>
    </row>
    <row r="249" spans="1:28" hidden="1" x14ac:dyDescent="0.2">
      <c r="A249" s="175" t="str">
        <f>IF(COUNTIF(Tabla_imprenta[LOTE],Tabla_control[[#This Row],[LOTE]])=1,INDEX(Tabla_imprenta[FECHA EMISIÓN],MATCH(Tabla_control[[#This Row],[LOTE]],Tabla_imprenta[LOTE],0)),"REALIZADO")</f>
        <v>REALIZADO</v>
      </c>
      <c r="B249" s="142" t="str">
        <f>IF(COUNTIF(Tabla_imprenta[LOTE],Tabla_control[[#This Row],[LOTE]])=1,INDEX(Tabla_imprenta[CÓD. SOLICITUD],MATCH(Tabla_control[[#This Row],[LOTE]],Tabla_imprenta[LOTE],0)),"REALIZADO")</f>
        <v>REALIZADO</v>
      </c>
      <c r="C249" s="177" t="str">
        <f>IF(COUNTIF(Tabla_imprenta[LOTE],Tabla_control[[#This Row],[LOTE]])=1,INDEX(Tabla_imprenta[PRODUCTO],MATCH(Tabla_control[[#This Row],[LOTE]],Tabla_imprenta[LOTE],0)),"REALIZADO")</f>
        <v>REALIZADO</v>
      </c>
      <c r="D249" s="142" t="str">
        <f>IF(COUNTIF(Tabla_imprenta[LOTE],Tabla_control[[#This Row],[LOTE]])=1,INDEX(Tabla_imprenta[FORMA FARMACEUTICA],MATCH(Tabla_control[[#This Row],[LOTE]],Tabla_imprenta[LOTE],0)),"REALIZADO")</f>
        <v>REALIZADO</v>
      </c>
      <c r="E249" s="177" t="str">
        <f>IF(COUNTIF(Tabla_imprenta[LOTE],Tabla_control[[#This Row],[LOTE]])=1,INDEX(Tabla_imprenta[INSTITUCIÓN],MATCH(Tabla_control[[#This Row],[LOTE]],Tabla_imprenta[LOTE],0)),"REALIZADO")</f>
        <v>REALIZADO</v>
      </c>
      <c r="F249" s="180" t="s">
        <v>2178</v>
      </c>
      <c r="G24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49" s="139" t="str">
        <f>IF(COUNTIF(Tabla_imprenta[LOTE],Tabla_control[[#This Row],[LOTE]])=1,INDEX(Tabla_imprenta[stock sap],MATCH(Tabla_control[[#This Row],[LOTE]],Tabla_imprenta[LOTE],0)),"ENTREGADO")</f>
        <v>ENTREGADO</v>
      </c>
      <c r="I249" s="139" t="str">
        <f>IF(Tabla_control[[#This Row],[STOCK SAP]]&gt;Tabla_control[[#This Row],[CANTIDAD IMPRIMIR]],"cubre","no cubre")</f>
        <v>no cubre</v>
      </c>
      <c r="J249" s="7" t="str">
        <f>IF(COUNTIF(Tabla_imprenta[LOTE],Tabla_control[[#This Row],[LOTE]])=1,INDEX(Tabla_imprenta[STOCK],MATCH(Tabla_control[[#This Row],[LOTE]],Tabla_imprenta[LOTE],0)),"ENTREGADO")</f>
        <v>ENTREGADO</v>
      </c>
      <c r="K24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49" s="148" t="e">
        <f>INDEX(Tabla_imprenta[FECHA CAJA],MATCH(Tabla_control[[#This Row],[LOTE]],Tabla_imprenta[LOTE],0))</f>
        <v>#N/A</v>
      </c>
      <c r="M24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4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4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49" s="169" t="e">
        <f>ROUNDUP(Tabla_control[[#This Row],[CANTIDAD IMPRIMIR]]/Tabla_control[[#This Row],[N TJ]],0)</f>
        <v>#VALUE!</v>
      </c>
      <c r="Q249" s="169" t="e">
        <f>IF(Tabla_control[[#This Row],[CANTIDAD TIRAJE]]&gt;10000,Tabla_control[[#This Row],[CANTIDAD TIRAJE]],Tabla_control[[#This Row],[CANTIDAD TIRAJE]]*2)</f>
        <v>#VALUE!</v>
      </c>
      <c r="R249" s="4" t="s">
        <v>172</v>
      </c>
      <c r="S249" s="4" t="s">
        <v>30</v>
      </c>
      <c r="T249" s="4"/>
      <c r="U249" s="4"/>
      <c r="V249" s="4"/>
      <c r="W249" s="185" t="s">
        <v>2470</v>
      </c>
      <c r="X249" s="185"/>
      <c r="Y249" s="185"/>
      <c r="Z249" s="185"/>
      <c r="AA249" s="4" t="s">
        <v>171</v>
      </c>
      <c r="AB249" s="184" t="s">
        <v>2028</v>
      </c>
    </row>
    <row r="250" spans="1:28" hidden="1" x14ac:dyDescent="0.2">
      <c r="A250" s="175" t="str">
        <f>IF(COUNTIF(Tabla_imprenta[LOTE],Tabla_control[[#This Row],[LOTE]])=1,INDEX(Tabla_imprenta[FECHA EMISIÓN],MATCH(Tabla_control[[#This Row],[LOTE]],Tabla_imprenta[LOTE],0)),"REALIZADO")</f>
        <v>REALIZADO</v>
      </c>
      <c r="B250" s="142" t="str">
        <f>IF(COUNTIF(Tabla_imprenta[LOTE],Tabla_control[[#This Row],[LOTE]])=1,INDEX(Tabla_imprenta[CÓD. SOLICITUD],MATCH(Tabla_control[[#This Row],[LOTE]],Tabla_imprenta[LOTE],0)),"REALIZADO")</f>
        <v>REALIZADO</v>
      </c>
      <c r="C250" s="177" t="str">
        <f>IF(COUNTIF(Tabla_imprenta[LOTE],Tabla_control[[#This Row],[LOTE]])=1,INDEX(Tabla_imprenta[PRODUCTO],MATCH(Tabla_control[[#This Row],[LOTE]],Tabla_imprenta[LOTE],0)),"REALIZADO")</f>
        <v>REALIZADO</v>
      </c>
      <c r="D250" s="142" t="str">
        <f>IF(COUNTIF(Tabla_imprenta[LOTE],Tabla_control[[#This Row],[LOTE]])=1,INDEX(Tabla_imprenta[FORMA FARMACEUTICA],MATCH(Tabla_control[[#This Row],[LOTE]],Tabla_imprenta[LOTE],0)),"REALIZADO")</f>
        <v>REALIZADO</v>
      </c>
      <c r="E250" s="177" t="str">
        <f>IF(COUNTIF(Tabla_imprenta[LOTE],Tabla_control[[#This Row],[LOTE]])=1,INDEX(Tabla_imprenta[INSTITUCIÓN],MATCH(Tabla_control[[#This Row],[LOTE]],Tabla_imprenta[LOTE],0)),"REALIZADO")</f>
        <v>REALIZADO</v>
      </c>
      <c r="F250" s="180" t="s">
        <v>2482</v>
      </c>
      <c r="G25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50" s="139" t="str">
        <f>IF(COUNTIF(Tabla_imprenta[LOTE],Tabla_control[[#This Row],[LOTE]])=1,INDEX(Tabla_imprenta[stock sap],MATCH(Tabla_control[[#This Row],[LOTE]],Tabla_imprenta[LOTE],0)),"ENTREGADO")</f>
        <v>ENTREGADO</v>
      </c>
      <c r="I250" s="139" t="str">
        <f>IF(Tabla_control[[#This Row],[STOCK SAP]]&gt;Tabla_control[[#This Row],[CANTIDAD IMPRIMIR]],"cubre","no cubre")</f>
        <v>no cubre</v>
      </c>
      <c r="J250" s="7" t="str">
        <f>IF(COUNTIF(Tabla_imprenta[LOTE],Tabla_control[[#This Row],[LOTE]])=1,INDEX(Tabla_imprenta[STOCK],MATCH(Tabla_control[[#This Row],[LOTE]],Tabla_imprenta[LOTE],0)),"ENTREGADO")</f>
        <v>ENTREGADO</v>
      </c>
      <c r="K25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50" s="148" t="e">
        <f>INDEX(Tabla_imprenta[FECHA CAJA],MATCH(Tabla_control[[#This Row],[LOTE]],Tabla_imprenta[LOTE],0))</f>
        <v>#N/A</v>
      </c>
      <c r="M25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5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5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50" s="169" t="e">
        <f>ROUNDUP(Tabla_control[[#This Row],[CANTIDAD IMPRIMIR]]/Tabla_control[[#This Row],[N TJ]],0)</f>
        <v>#VALUE!</v>
      </c>
      <c r="Q250" s="169" t="e">
        <f>IF(Tabla_control[[#This Row],[CANTIDAD TIRAJE]]&gt;10000,Tabla_control[[#This Row],[CANTIDAD TIRAJE]],Tabla_control[[#This Row],[CANTIDAD TIRAJE]]*2)</f>
        <v>#VALUE!</v>
      </c>
      <c r="R250" s="4" t="s">
        <v>177</v>
      </c>
      <c r="S250" s="4" t="s">
        <v>31</v>
      </c>
      <c r="T250" s="4"/>
      <c r="U250" s="4"/>
      <c r="V250" s="4"/>
      <c r="W250" s="138" t="s">
        <v>3223</v>
      </c>
      <c r="X250" s="138"/>
      <c r="Y250" s="138"/>
      <c r="Z250" s="138"/>
      <c r="AA250" s="4" t="s">
        <v>2031</v>
      </c>
      <c r="AB250" s="184" t="s">
        <v>2028</v>
      </c>
    </row>
    <row r="251" spans="1:28" hidden="1" x14ac:dyDescent="0.2">
      <c r="A251" s="175" t="str">
        <f>IF(COUNTIF(Tabla_imprenta[LOTE],Tabla_control[[#This Row],[LOTE]])=1,INDEX(Tabla_imprenta[FECHA EMISIÓN],MATCH(Tabla_control[[#This Row],[LOTE]],Tabla_imprenta[LOTE],0)),"REALIZADO")</f>
        <v>REALIZADO</v>
      </c>
      <c r="B251" s="142" t="str">
        <f>IF(COUNTIF(Tabla_imprenta[LOTE],Tabla_control[[#This Row],[LOTE]])=1,INDEX(Tabla_imprenta[CÓD. SOLICITUD],MATCH(Tabla_control[[#This Row],[LOTE]],Tabla_imprenta[LOTE],0)),"REALIZADO")</f>
        <v>REALIZADO</v>
      </c>
      <c r="C251" s="177" t="str">
        <f>IF(COUNTIF(Tabla_imprenta[LOTE],Tabla_control[[#This Row],[LOTE]])=1,INDEX(Tabla_imprenta[PRODUCTO],MATCH(Tabla_control[[#This Row],[LOTE]],Tabla_imprenta[LOTE],0)),"REALIZADO")</f>
        <v>REALIZADO</v>
      </c>
      <c r="D251" s="142" t="str">
        <f>IF(COUNTIF(Tabla_imprenta[LOTE],Tabla_control[[#This Row],[LOTE]])=1,INDEX(Tabla_imprenta[FORMA FARMACEUTICA],MATCH(Tabla_control[[#This Row],[LOTE]],Tabla_imprenta[LOTE],0)),"REALIZADO")</f>
        <v>REALIZADO</v>
      </c>
      <c r="E251" s="177" t="str">
        <f>IF(COUNTIF(Tabla_imprenta[LOTE],Tabla_control[[#This Row],[LOTE]])=1,INDEX(Tabla_imprenta[INSTITUCIÓN],MATCH(Tabla_control[[#This Row],[LOTE]],Tabla_imprenta[LOTE],0)),"REALIZADO")</f>
        <v>REALIZADO</v>
      </c>
      <c r="F251" s="180" t="s">
        <v>2486</v>
      </c>
      <c r="G25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51" s="139" t="str">
        <f>IF(COUNTIF(Tabla_imprenta[LOTE],Tabla_control[[#This Row],[LOTE]])=1,INDEX(Tabla_imprenta[stock sap],MATCH(Tabla_control[[#This Row],[LOTE]],Tabla_imprenta[LOTE],0)),"ENTREGADO")</f>
        <v>ENTREGADO</v>
      </c>
      <c r="I251" s="139" t="str">
        <f>IF(Tabla_control[[#This Row],[STOCK SAP]]&gt;Tabla_control[[#This Row],[CANTIDAD IMPRIMIR]],"cubre","no cubre")</f>
        <v>no cubre</v>
      </c>
      <c r="J251" s="7" t="str">
        <f>IF(COUNTIF(Tabla_imprenta[LOTE],Tabla_control[[#This Row],[LOTE]])=1,INDEX(Tabla_imprenta[STOCK],MATCH(Tabla_control[[#This Row],[LOTE]],Tabla_imprenta[LOTE],0)),"ENTREGADO")</f>
        <v>ENTREGADO</v>
      </c>
      <c r="K25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51" s="148" t="e">
        <f>INDEX(Tabla_imprenta[FECHA CAJA],MATCH(Tabla_control[[#This Row],[LOTE]],Tabla_imprenta[LOTE],0))</f>
        <v>#N/A</v>
      </c>
      <c r="M25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5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5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51" s="169" t="e">
        <f>ROUNDUP(Tabla_control[[#This Row],[CANTIDAD IMPRIMIR]]/Tabla_control[[#This Row],[N TJ]],0)</f>
        <v>#VALUE!</v>
      </c>
      <c r="Q251" s="169" t="e">
        <f>IF(Tabla_control[[#This Row],[CANTIDAD TIRAJE]]&gt;10000,Tabla_control[[#This Row],[CANTIDAD TIRAJE]],Tabla_control[[#This Row],[CANTIDAD TIRAJE]]*2)</f>
        <v>#VALUE!</v>
      </c>
      <c r="R251" s="4" t="s">
        <v>177</v>
      </c>
      <c r="S251" s="4" t="s">
        <v>31</v>
      </c>
      <c r="T251" s="4"/>
      <c r="U251" s="4"/>
      <c r="V251" s="4"/>
      <c r="W251" s="138" t="s">
        <v>3223</v>
      </c>
      <c r="X251" s="138"/>
      <c r="Y251" s="138"/>
      <c r="Z251" s="138"/>
      <c r="AA251" s="4" t="s">
        <v>2031</v>
      </c>
      <c r="AB251" s="184" t="s">
        <v>2028</v>
      </c>
    </row>
    <row r="252" spans="1:28" hidden="1" x14ac:dyDescent="0.2">
      <c r="A252" s="175" t="str">
        <f>IF(COUNTIF(Tabla_imprenta[LOTE],Tabla_control[[#This Row],[LOTE]])=1,INDEX(Tabla_imprenta[FECHA EMISIÓN],MATCH(Tabla_control[[#This Row],[LOTE]],Tabla_imprenta[LOTE],0)),"REALIZADO")</f>
        <v>REALIZADO</v>
      </c>
      <c r="B252" s="142" t="str">
        <f>IF(COUNTIF(Tabla_imprenta[LOTE],Tabla_control[[#This Row],[LOTE]])=1,INDEX(Tabla_imprenta[CÓD. SOLICITUD],MATCH(Tabla_control[[#This Row],[LOTE]],Tabla_imprenta[LOTE],0)),"REALIZADO")</f>
        <v>REALIZADO</v>
      </c>
      <c r="C252" s="177" t="str">
        <f>IF(COUNTIF(Tabla_imprenta[LOTE],Tabla_control[[#This Row],[LOTE]])=1,INDEX(Tabla_imprenta[PRODUCTO],MATCH(Tabla_control[[#This Row],[LOTE]],Tabla_imprenta[LOTE],0)),"REALIZADO")</f>
        <v>REALIZADO</v>
      </c>
      <c r="D252" s="142" t="str">
        <f>IF(COUNTIF(Tabla_imprenta[LOTE],Tabla_control[[#This Row],[LOTE]])=1,INDEX(Tabla_imprenta[FORMA FARMACEUTICA],MATCH(Tabla_control[[#This Row],[LOTE]],Tabla_imprenta[LOTE],0)),"REALIZADO")</f>
        <v>REALIZADO</v>
      </c>
      <c r="E252" s="177" t="str">
        <f>IF(COUNTIF(Tabla_imprenta[LOTE],Tabla_control[[#This Row],[LOTE]])=1,INDEX(Tabla_imprenta[INSTITUCIÓN],MATCH(Tabla_control[[#This Row],[LOTE]],Tabla_imprenta[LOTE],0)),"REALIZADO")</f>
        <v>REALIZADO</v>
      </c>
      <c r="F252" s="180" t="s">
        <v>2536</v>
      </c>
      <c r="G25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52" s="139" t="str">
        <f>IF(COUNTIF(Tabla_imprenta[LOTE],Tabla_control[[#This Row],[LOTE]])=1,INDEX(Tabla_imprenta[stock sap],MATCH(Tabla_control[[#This Row],[LOTE]],Tabla_imprenta[LOTE],0)),"ENTREGADO")</f>
        <v>ENTREGADO</v>
      </c>
      <c r="I252" s="139" t="str">
        <f>IF(Tabla_control[[#This Row],[STOCK SAP]]&gt;Tabla_control[[#This Row],[CANTIDAD IMPRIMIR]],"cubre","no cubre")</f>
        <v>no cubre</v>
      </c>
      <c r="J252" s="7" t="str">
        <f>IF(COUNTIF(Tabla_imprenta[LOTE],Tabla_control[[#This Row],[LOTE]])=1,INDEX(Tabla_imprenta[STOCK],MATCH(Tabla_control[[#This Row],[LOTE]],Tabla_imprenta[LOTE],0)),"ENTREGADO")</f>
        <v>ENTREGADO</v>
      </c>
      <c r="K25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52" s="148" t="e">
        <f>INDEX(Tabla_imprenta[FECHA CAJA],MATCH(Tabla_control[[#This Row],[LOTE]],Tabla_imprenta[LOTE],0))</f>
        <v>#N/A</v>
      </c>
      <c r="M25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5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5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52" s="169" t="e">
        <f>ROUNDUP(Tabla_control[[#This Row],[CANTIDAD IMPRIMIR]]/Tabla_control[[#This Row],[N TJ]],0)</f>
        <v>#VALUE!</v>
      </c>
      <c r="Q252" s="169" t="e">
        <f>IF(Tabla_control[[#This Row],[CANTIDAD TIRAJE]]&gt;10000,Tabla_control[[#This Row],[CANTIDAD TIRAJE]],Tabla_control[[#This Row],[CANTIDAD TIRAJE]]*2)</f>
        <v>#VALUE!</v>
      </c>
      <c r="R252" s="4" t="s">
        <v>172</v>
      </c>
      <c r="S252" s="4" t="s">
        <v>2987</v>
      </c>
      <c r="T252" s="4"/>
      <c r="U252" s="4"/>
      <c r="V252" s="4"/>
      <c r="W252" s="155" t="s">
        <v>3223</v>
      </c>
      <c r="X252" s="155"/>
      <c r="Y252" s="155"/>
      <c r="Z252" s="155"/>
      <c r="AA252" s="4" t="s">
        <v>2429</v>
      </c>
      <c r="AB252" s="184" t="s">
        <v>2028</v>
      </c>
    </row>
    <row r="253" spans="1:28" s="1" customFormat="1" hidden="1" x14ac:dyDescent="0.2">
      <c r="A253" s="141" t="str">
        <f>IF(COUNTIF(Tabla_imprenta[LOTE],Tabla_control[[#This Row],[LOTE]])=1,INDEX(Tabla_imprenta[FECHA EMISIÓN],MATCH(Tabla_control[[#This Row],[LOTE]],Tabla_imprenta[LOTE],0)),"REALIZADO")</f>
        <v>REALIZADO</v>
      </c>
      <c r="B253" s="142" t="str">
        <f>IF(COUNTIF(Tabla_imprenta[LOTE],Tabla_control[[#This Row],[LOTE]])=1,INDEX(Tabla_imprenta[CÓD. SOLICITUD],MATCH(Tabla_control[[#This Row],[LOTE]],Tabla_imprenta[LOTE],0)),"REALIZADO")</f>
        <v>REALIZADO</v>
      </c>
      <c r="C253" s="142" t="str">
        <f>IF(COUNTIF(Tabla_imprenta[LOTE],Tabla_control[[#This Row],[LOTE]])=1,INDEX(Tabla_imprenta[PRODUCTO],MATCH(Tabla_control[[#This Row],[LOTE]],Tabla_imprenta[LOTE],0)),"REALIZADO")</f>
        <v>REALIZADO</v>
      </c>
      <c r="D253" s="142" t="str">
        <f>IF(COUNTIF(Tabla_imprenta[LOTE],Tabla_control[[#This Row],[LOTE]])=1,INDEX(Tabla_imprenta[FORMA FARMACEUTICA],MATCH(Tabla_control[[#This Row],[LOTE]],Tabla_imprenta[LOTE],0)),"REALIZADO")</f>
        <v>REALIZADO</v>
      </c>
      <c r="E253" s="142" t="str">
        <f>IF(COUNTIF(Tabla_imprenta[LOTE],Tabla_control[[#This Row],[LOTE]])=1,INDEX(Tabla_imprenta[INSTITUCIÓN],MATCH(Tabla_control[[#This Row],[LOTE]],Tabla_imprenta[LOTE],0)),"REALIZADO")</f>
        <v>REALIZADO</v>
      </c>
      <c r="F253" s="6" t="s">
        <v>2565</v>
      </c>
      <c r="G253" s="140" t="str">
        <f>IF(COUNTIF(Tabla_imprenta[LOTE],Tabla_control[[#This Row],[LOTE]])=1,INDEX(Tabla_imprenta[CANTIDAD ENVASE SECUNDARIO],MATCH(Tabla_control[[#This Row],[LOTE]],Tabla_imprenta[LOTE],0)),"ENTREGADO")</f>
        <v>ENTREGADO</v>
      </c>
      <c r="H253" s="140" t="str">
        <f>IF(COUNTIF(Tabla_imprenta[LOTE],Tabla_control[[#This Row],[LOTE]])=1,INDEX(Tabla_imprenta[stock sap],MATCH(Tabla_control[[#This Row],[LOTE]],Tabla_imprenta[LOTE],0)),"ENTREGADO")</f>
        <v>ENTREGADO</v>
      </c>
      <c r="I253" s="140" t="str">
        <f>IF(Tabla_control[[#This Row],[STOCK SAP]]&gt;Tabla_control[[#This Row],[CANTIDAD IMPRIMIR]],"cubre","no cubre")</f>
        <v>no cubre</v>
      </c>
      <c r="J253" s="136" t="str">
        <f>IF(COUNTIF(Tabla_imprenta[LOTE],Tabla_control[[#This Row],[LOTE]])=1,INDEX(Tabla_imprenta[STOCK],MATCH(Tabla_control[[#This Row],[LOTE]],Tabla_imprenta[LOTE],0)),"ENTREGADO")</f>
        <v>ENTREGADO</v>
      </c>
      <c r="K253" s="148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53" s="148" t="e">
        <f>INDEX(Tabla_imprenta[FECHA CAJA],MATCH(Tabla_control[[#This Row],[LOTE]],Tabla_imprenta[LOTE],0))</f>
        <v>#N/A</v>
      </c>
      <c r="M253" s="164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5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5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53" s="169" t="e">
        <f>ROUNDUP(Tabla_control[[#This Row],[CANTIDAD IMPRIMIR]]/Tabla_control[[#This Row],[N TJ]],0)</f>
        <v>#VALUE!</v>
      </c>
      <c r="Q253" s="169" t="e">
        <f>IF(Tabla_control[[#This Row],[CANTIDAD TIRAJE]]&gt;10000,Tabla_control[[#This Row],[CANTIDAD TIRAJE]],Tabla_control[[#This Row],[CANTIDAD TIRAJE]]*2)</f>
        <v>#VALUE!</v>
      </c>
      <c r="R253" s="137" t="s">
        <v>172</v>
      </c>
      <c r="S253" s="137" t="s">
        <v>31</v>
      </c>
      <c r="T253" s="137"/>
      <c r="U253" s="137"/>
      <c r="V253" s="137"/>
      <c r="W253" s="113" t="s">
        <v>2470</v>
      </c>
      <c r="X253" s="113"/>
      <c r="Y253" s="113"/>
      <c r="Z253" s="113"/>
      <c r="AA253" s="137" t="s">
        <v>171</v>
      </c>
      <c r="AB253" s="143" t="s">
        <v>2958</v>
      </c>
    </row>
    <row r="254" spans="1:28" hidden="1" x14ac:dyDescent="0.2">
      <c r="A254" s="175" t="str">
        <f>IF(COUNTIF(Tabla_imprenta[LOTE],Tabla_control[[#This Row],[LOTE]])=1,INDEX(Tabla_imprenta[FECHA EMISIÓN],MATCH(Tabla_control[[#This Row],[LOTE]],Tabla_imprenta[LOTE],0)),"REALIZADO")</f>
        <v>REALIZADO</v>
      </c>
      <c r="B254" s="142" t="str">
        <f>IF(COUNTIF(Tabla_imprenta[LOTE],Tabla_control[[#This Row],[LOTE]])=1,INDEX(Tabla_imprenta[CÓD. SOLICITUD],MATCH(Tabla_control[[#This Row],[LOTE]],Tabla_imprenta[LOTE],0)),"REALIZADO")</f>
        <v>REALIZADO</v>
      </c>
      <c r="C254" s="177" t="str">
        <f>IF(COUNTIF(Tabla_imprenta[LOTE],Tabla_control[[#This Row],[LOTE]])=1,INDEX(Tabla_imprenta[PRODUCTO],MATCH(Tabla_control[[#This Row],[LOTE]],Tabla_imprenta[LOTE],0)),"REALIZADO")</f>
        <v>REALIZADO</v>
      </c>
      <c r="D254" s="142" t="str">
        <f>IF(COUNTIF(Tabla_imprenta[LOTE],Tabla_control[[#This Row],[LOTE]])=1,INDEX(Tabla_imprenta[FORMA FARMACEUTICA],MATCH(Tabla_control[[#This Row],[LOTE]],Tabla_imprenta[LOTE],0)),"REALIZADO")</f>
        <v>REALIZADO</v>
      </c>
      <c r="E254" s="177" t="str">
        <f>IF(COUNTIF(Tabla_imprenta[LOTE],Tabla_control[[#This Row],[LOTE]])=1,INDEX(Tabla_imprenta[INSTITUCIÓN],MATCH(Tabla_control[[#This Row],[LOTE]],Tabla_imprenta[LOTE],0)),"REALIZADO")</f>
        <v>REALIZADO</v>
      </c>
      <c r="F254" s="180" t="s">
        <v>2568</v>
      </c>
      <c r="G25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54" s="139" t="str">
        <f>IF(COUNTIF(Tabla_imprenta[LOTE],Tabla_control[[#This Row],[LOTE]])=1,INDEX(Tabla_imprenta[stock sap],MATCH(Tabla_control[[#This Row],[LOTE]],Tabla_imprenta[LOTE],0)),"ENTREGADO")</f>
        <v>ENTREGADO</v>
      </c>
      <c r="I254" s="139" t="str">
        <f>IF(Tabla_control[[#This Row],[STOCK SAP]]&gt;Tabla_control[[#This Row],[CANTIDAD IMPRIMIR]],"cubre","no cubre")</f>
        <v>no cubre</v>
      </c>
      <c r="J254" s="7" t="str">
        <f>IF(COUNTIF(Tabla_imprenta[LOTE],Tabla_control[[#This Row],[LOTE]])=1,INDEX(Tabla_imprenta[STOCK],MATCH(Tabla_control[[#This Row],[LOTE]],Tabla_imprenta[LOTE],0)),"ENTREGADO")</f>
        <v>ENTREGADO</v>
      </c>
      <c r="K25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54" s="148" t="e">
        <f>INDEX(Tabla_imprenta[FECHA CAJA],MATCH(Tabla_control[[#This Row],[LOTE]],Tabla_imprenta[LOTE],0))</f>
        <v>#N/A</v>
      </c>
      <c r="M25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5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5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54" s="169" t="e">
        <f>ROUNDUP(Tabla_control[[#This Row],[CANTIDAD IMPRIMIR]]/Tabla_control[[#This Row],[N TJ]],0)</f>
        <v>#VALUE!</v>
      </c>
      <c r="Q254" s="169" t="e">
        <f>IF(Tabla_control[[#This Row],[CANTIDAD TIRAJE]]&gt;10000,Tabla_control[[#This Row],[CANTIDAD TIRAJE]],Tabla_control[[#This Row],[CANTIDAD TIRAJE]]*2)</f>
        <v>#VALUE!</v>
      </c>
      <c r="R254" s="4" t="s">
        <v>2030</v>
      </c>
      <c r="S254" s="4" t="s">
        <v>31</v>
      </c>
      <c r="T254" s="4"/>
      <c r="U254" s="4"/>
      <c r="V254" s="4"/>
      <c r="W254" s="187" t="s">
        <v>3223</v>
      </c>
      <c r="X254" s="187"/>
      <c r="Y254" s="187"/>
      <c r="Z254" s="187"/>
      <c r="AA254" s="4" t="s">
        <v>2429</v>
      </c>
      <c r="AB254" s="184" t="s">
        <v>2028</v>
      </c>
    </row>
    <row r="255" spans="1:28" hidden="1" x14ac:dyDescent="0.2">
      <c r="A255" s="175" t="str">
        <f>IF(COUNTIF(Tabla_imprenta[LOTE],Tabla_control[[#This Row],[LOTE]])=1,INDEX(Tabla_imprenta[FECHA EMISIÓN],MATCH(Tabla_control[[#This Row],[LOTE]],Tabla_imprenta[LOTE],0)),"REALIZADO")</f>
        <v>REALIZADO</v>
      </c>
      <c r="B255" s="142" t="str">
        <f>IF(COUNTIF(Tabla_imprenta[LOTE],Tabla_control[[#This Row],[LOTE]])=1,INDEX(Tabla_imprenta[CÓD. SOLICITUD],MATCH(Tabla_control[[#This Row],[LOTE]],Tabla_imprenta[LOTE],0)),"REALIZADO")</f>
        <v>REALIZADO</v>
      </c>
      <c r="C255" s="177" t="str">
        <f>IF(COUNTIF(Tabla_imprenta[LOTE],Tabla_control[[#This Row],[LOTE]])=1,INDEX(Tabla_imprenta[PRODUCTO],MATCH(Tabla_control[[#This Row],[LOTE]],Tabla_imprenta[LOTE],0)),"REALIZADO")</f>
        <v>REALIZADO</v>
      </c>
      <c r="D255" s="142" t="str">
        <f>IF(COUNTIF(Tabla_imprenta[LOTE],Tabla_control[[#This Row],[LOTE]])=1,INDEX(Tabla_imprenta[FORMA FARMACEUTICA],MATCH(Tabla_control[[#This Row],[LOTE]],Tabla_imprenta[LOTE],0)),"REALIZADO")</f>
        <v>REALIZADO</v>
      </c>
      <c r="E255" s="177" t="str">
        <f>IF(COUNTIF(Tabla_imprenta[LOTE],Tabla_control[[#This Row],[LOTE]])=1,INDEX(Tabla_imprenta[INSTITUCIÓN],MATCH(Tabla_control[[#This Row],[LOTE]],Tabla_imprenta[LOTE],0)),"REALIZADO")</f>
        <v>REALIZADO</v>
      </c>
      <c r="F255" s="180" t="s">
        <v>2443</v>
      </c>
      <c r="G25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55" s="139" t="str">
        <f>IF(COUNTIF(Tabla_imprenta[LOTE],Tabla_control[[#This Row],[LOTE]])=1,INDEX(Tabla_imprenta[stock sap],MATCH(Tabla_control[[#This Row],[LOTE]],Tabla_imprenta[LOTE],0)),"ENTREGADO")</f>
        <v>ENTREGADO</v>
      </c>
      <c r="I255" s="139" t="str">
        <f>IF(Tabla_control[[#This Row],[STOCK SAP]]&gt;Tabla_control[[#This Row],[CANTIDAD IMPRIMIR]],"cubre","no cubre")</f>
        <v>no cubre</v>
      </c>
      <c r="J255" s="7" t="str">
        <f>IF(COUNTIF(Tabla_imprenta[LOTE],Tabla_control[[#This Row],[LOTE]])=1,INDEX(Tabla_imprenta[STOCK],MATCH(Tabla_control[[#This Row],[LOTE]],Tabla_imprenta[LOTE],0)),"ENTREGADO")</f>
        <v>ENTREGADO</v>
      </c>
      <c r="K25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55" s="148" t="e">
        <f>INDEX(Tabla_imprenta[FECHA CAJA],MATCH(Tabla_control[[#This Row],[LOTE]],Tabla_imprenta[LOTE],0))</f>
        <v>#N/A</v>
      </c>
      <c r="M25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5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5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55" s="169" t="e">
        <f>ROUNDUP(Tabla_control[[#This Row],[CANTIDAD IMPRIMIR]]/Tabla_control[[#This Row],[N TJ]],0)</f>
        <v>#VALUE!</v>
      </c>
      <c r="Q255" s="169" t="e">
        <f>IF(Tabla_control[[#This Row],[CANTIDAD TIRAJE]]&gt;10000,Tabla_control[[#This Row],[CANTIDAD TIRAJE]],Tabla_control[[#This Row],[CANTIDAD TIRAJE]]*2)</f>
        <v>#VALUE!</v>
      </c>
      <c r="R255" s="4" t="s">
        <v>172</v>
      </c>
      <c r="S255" s="4" t="s">
        <v>30</v>
      </c>
      <c r="T255" s="4"/>
      <c r="U255" s="4"/>
      <c r="V255" s="4"/>
      <c r="W255" s="138" t="s">
        <v>3223</v>
      </c>
      <c r="X255" s="138"/>
      <c r="Y255" s="138"/>
      <c r="Z255" s="138"/>
      <c r="AA255" s="4" t="s">
        <v>2314</v>
      </c>
      <c r="AB255" s="184" t="s">
        <v>2028</v>
      </c>
    </row>
    <row r="256" spans="1:28" hidden="1" x14ac:dyDescent="0.2">
      <c r="A256" s="175" t="str">
        <f>IF(COUNTIF(Tabla_imprenta[LOTE],Tabla_control[[#This Row],[LOTE]])=1,INDEX(Tabla_imprenta[FECHA EMISIÓN],MATCH(Tabla_control[[#This Row],[LOTE]],Tabla_imprenta[LOTE],0)),"REALIZADO")</f>
        <v>REALIZADO</v>
      </c>
      <c r="B256" s="142" t="str">
        <f>IF(COUNTIF(Tabla_imprenta[LOTE],Tabla_control[[#This Row],[LOTE]])=1,INDEX(Tabla_imprenta[CÓD. SOLICITUD],MATCH(Tabla_control[[#This Row],[LOTE]],Tabla_imprenta[LOTE],0)),"REALIZADO")</f>
        <v>REALIZADO</v>
      </c>
      <c r="C256" s="177" t="str">
        <f>IF(COUNTIF(Tabla_imprenta[LOTE],Tabla_control[[#This Row],[LOTE]])=1,INDEX(Tabla_imprenta[PRODUCTO],MATCH(Tabla_control[[#This Row],[LOTE]],Tabla_imprenta[LOTE],0)),"REALIZADO")</f>
        <v>REALIZADO</v>
      </c>
      <c r="D256" s="142" t="str">
        <f>IF(COUNTIF(Tabla_imprenta[LOTE],Tabla_control[[#This Row],[LOTE]])=1,INDEX(Tabla_imprenta[FORMA FARMACEUTICA],MATCH(Tabla_control[[#This Row],[LOTE]],Tabla_imprenta[LOTE],0)),"REALIZADO")</f>
        <v>REALIZADO</v>
      </c>
      <c r="E256" s="177" t="str">
        <f>IF(COUNTIF(Tabla_imprenta[LOTE],Tabla_control[[#This Row],[LOTE]])=1,INDEX(Tabla_imprenta[INSTITUCIÓN],MATCH(Tabla_control[[#This Row],[LOTE]],Tabla_imprenta[LOTE],0)),"REALIZADO")</f>
        <v>REALIZADO</v>
      </c>
      <c r="F256" s="180" t="s">
        <v>2924</v>
      </c>
      <c r="G25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56" s="139" t="str">
        <f>IF(COUNTIF(Tabla_imprenta[LOTE],Tabla_control[[#This Row],[LOTE]])=1,INDEX(Tabla_imprenta[stock sap],MATCH(Tabla_control[[#This Row],[LOTE]],Tabla_imprenta[LOTE],0)),"ENTREGADO")</f>
        <v>ENTREGADO</v>
      </c>
      <c r="I256" s="139" t="str">
        <f>IF(Tabla_control[[#This Row],[STOCK SAP]]&gt;Tabla_control[[#This Row],[CANTIDAD IMPRIMIR]],"cubre","no cubre")</f>
        <v>no cubre</v>
      </c>
      <c r="J256" s="7" t="str">
        <f>IF(COUNTIF(Tabla_imprenta[LOTE],Tabla_control[[#This Row],[LOTE]])=1,INDEX(Tabla_imprenta[STOCK],MATCH(Tabla_control[[#This Row],[LOTE]],Tabla_imprenta[LOTE],0)),"ENTREGADO")</f>
        <v>ENTREGADO</v>
      </c>
      <c r="K25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56" s="148" t="e">
        <f>INDEX(Tabla_imprenta[FECHA CAJA],MATCH(Tabla_control[[#This Row],[LOTE]],Tabla_imprenta[LOTE],0))</f>
        <v>#N/A</v>
      </c>
      <c r="M25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5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5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56" s="169" t="e">
        <f>ROUNDUP(Tabla_control[[#This Row],[CANTIDAD IMPRIMIR]]/Tabla_control[[#This Row],[N TJ]],0)</f>
        <v>#VALUE!</v>
      </c>
      <c r="Q256" s="169" t="e">
        <f>IF(Tabla_control[[#This Row],[CANTIDAD TIRAJE]]&gt;10000,Tabla_control[[#This Row],[CANTIDAD TIRAJE]],Tabla_control[[#This Row],[CANTIDAD TIRAJE]]*2)</f>
        <v>#VALUE!</v>
      </c>
      <c r="R256" s="4" t="s">
        <v>172</v>
      </c>
      <c r="S256" s="4" t="s">
        <v>30</v>
      </c>
      <c r="T256" s="4"/>
      <c r="U256" s="4"/>
      <c r="V256" s="4"/>
      <c r="W256" s="185" t="s">
        <v>2470</v>
      </c>
      <c r="X256" s="185"/>
      <c r="Y256" s="185"/>
      <c r="Z256" s="185"/>
      <c r="AA256" s="4" t="s">
        <v>171</v>
      </c>
      <c r="AB256" s="184" t="s">
        <v>2028</v>
      </c>
    </row>
    <row r="257" spans="1:28" hidden="1" x14ac:dyDescent="0.2">
      <c r="A257" s="175" t="str">
        <f>IF(COUNTIF(Tabla_imprenta[LOTE],Tabla_control[[#This Row],[LOTE]])=1,INDEX(Tabla_imprenta[FECHA EMISIÓN],MATCH(Tabla_control[[#This Row],[LOTE]],Tabla_imprenta[LOTE],0)),"REALIZADO")</f>
        <v>REALIZADO</v>
      </c>
      <c r="B257" s="142" t="str">
        <f>IF(COUNTIF(Tabla_imprenta[LOTE],Tabla_control[[#This Row],[LOTE]])=1,INDEX(Tabla_imprenta[CÓD. SOLICITUD],MATCH(Tabla_control[[#This Row],[LOTE]],Tabla_imprenta[LOTE],0)),"REALIZADO")</f>
        <v>REALIZADO</v>
      </c>
      <c r="C257" s="177" t="str">
        <f>IF(COUNTIF(Tabla_imprenta[LOTE],Tabla_control[[#This Row],[LOTE]])=1,INDEX(Tabla_imprenta[PRODUCTO],MATCH(Tabla_control[[#This Row],[LOTE]],Tabla_imprenta[LOTE],0)),"REALIZADO")</f>
        <v>REALIZADO</v>
      </c>
      <c r="D257" s="142" t="str">
        <f>IF(COUNTIF(Tabla_imprenta[LOTE],Tabla_control[[#This Row],[LOTE]])=1,INDEX(Tabla_imprenta[FORMA FARMACEUTICA],MATCH(Tabla_control[[#This Row],[LOTE]],Tabla_imprenta[LOTE],0)),"REALIZADO")</f>
        <v>REALIZADO</v>
      </c>
      <c r="E257" s="177" t="str">
        <f>IF(COUNTIF(Tabla_imprenta[LOTE],Tabla_control[[#This Row],[LOTE]])=1,INDEX(Tabla_imprenta[INSTITUCIÓN],MATCH(Tabla_control[[#This Row],[LOTE]],Tabla_imprenta[LOTE],0)),"REALIZADO")</f>
        <v>REALIZADO</v>
      </c>
      <c r="F257" s="180" t="s">
        <v>2936</v>
      </c>
      <c r="G25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57" s="139" t="str">
        <f>IF(COUNTIF(Tabla_imprenta[LOTE],Tabla_control[[#This Row],[LOTE]])=1,INDEX(Tabla_imprenta[stock sap],MATCH(Tabla_control[[#This Row],[LOTE]],Tabla_imprenta[LOTE],0)),"ENTREGADO")</f>
        <v>ENTREGADO</v>
      </c>
      <c r="I257" s="139" t="str">
        <f>IF(Tabla_control[[#This Row],[STOCK SAP]]&gt;Tabla_control[[#This Row],[CANTIDAD IMPRIMIR]],"cubre","no cubre")</f>
        <v>no cubre</v>
      </c>
      <c r="J257" s="7" t="str">
        <f>IF(COUNTIF(Tabla_imprenta[LOTE],Tabla_control[[#This Row],[LOTE]])=1,INDEX(Tabla_imprenta[STOCK],MATCH(Tabla_control[[#This Row],[LOTE]],Tabla_imprenta[LOTE],0)),"ENTREGADO")</f>
        <v>ENTREGADO</v>
      </c>
      <c r="K25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57" s="148" t="e">
        <f>INDEX(Tabla_imprenta[FECHA CAJA],MATCH(Tabla_control[[#This Row],[LOTE]],Tabla_imprenta[LOTE],0))</f>
        <v>#N/A</v>
      </c>
      <c r="M25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5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5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57" s="169" t="e">
        <f>ROUNDUP(Tabla_control[[#This Row],[CANTIDAD IMPRIMIR]]/Tabla_control[[#This Row],[N TJ]],0)</f>
        <v>#VALUE!</v>
      </c>
      <c r="Q257" s="169" t="e">
        <f>IF(Tabla_control[[#This Row],[CANTIDAD TIRAJE]]&gt;10000,Tabla_control[[#This Row],[CANTIDAD TIRAJE]],Tabla_control[[#This Row],[CANTIDAD TIRAJE]]*2)</f>
        <v>#VALUE!</v>
      </c>
      <c r="R257" s="4" t="s">
        <v>176</v>
      </c>
      <c r="S257" s="4" t="s">
        <v>30</v>
      </c>
      <c r="T257" s="4"/>
      <c r="U257" s="4"/>
      <c r="V257" s="4"/>
      <c r="W257" s="138" t="s">
        <v>3223</v>
      </c>
      <c r="X257" s="138"/>
      <c r="Y257" s="138"/>
      <c r="Z257" s="138"/>
      <c r="AA257" s="4" t="s">
        <v>2031</v>
      </c>
      <c r="AB257" s="184" t="s">
        <v>2028</v>
      </c>
    </row>
    <row r="258" spans="1:28" hidden="1" x14ac:dyDescent="0.2">
      <c r="A258" s="175" t="str">
        <f>IF(COUNTIF(Tabla_imprenta[LOTE],Tabla_control[[#This Row],[LOTE]])=1,INDEX(Tabla_imprenta[FECHA EMISIÓN],MATCH(Tabla_control[[#This Row],[LOTE]],Tabla_imprenta[LOTE],0)),"REALIZADO")</f>
        <v>REALIZADO</v>
      </c>
      <c r="B258" s="142" t="str">
        <f>IF(COUNTIF(Tabla_imprenta[LOTE],Tabla_control[[#This Row],[LOTE]])=1,INDEX(Tabla_imprenta[CÓD. SOLICITUD],MATCH(Tabla_control[[#This Row],[LOTE]],Tabla_imprenta[LOTE],0)),"REALIZADO")</f>
        <v>REALIZADO</v>
      </c>
      <c r="C258" s="177" t="str">
        <f>IF(COUNTIF(Tabla_imprenta[LOTE],Tabla_control[[#This Row],[LOTE]])=1,INDEX(Tabla_imprenta[PRODUCTO],MATCH(Tabla_control[[#This Row],[LOTE]],Tabla_imprenta[LOTE],0)),"REALIZADO")</f>
        <v>REALIZADO</v>
      </c>
      <c r="D258" s="142" t="str">
        <f>IF(COUNTIF(Tabla_imprenta[LOTE],Tabla_control[[#This Row],[LOTE]])=1,INDEX(Tabla_imprenta[FORMA FARMACEUTICA],MATCH(Tabla_control[[#This Row],[LOTE]],Tabla_imprenta[LOTE],0)),"REALIZADO")</f>
        <v>REALIZADO</v>
      </c>
      <c r="E258" s="177" t="str">
        <f>IF(COUNTIF(Tabla_imprenta[LOTE],Tabla_control[[#This Row],[LOTE]])=1,INDEX(Tabla_imprenta[INSTITUCIÓN],MATCH(Tabla_control[[#This Row],[LOTE]],Tabla_imprenta[LOTE],0)),"REALIZADO")</f>
        <v>REALIZADO</v>
      </c>
      <c r="F258" s="180" t="s">
        <v>2535</v>
      </c>
      <c r="G25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58" s="139" t="str">
        <f>IF(COUNTIF(Tabla_imprenta[LOTE],Tabla_control[[#This Row],[LOTE]])=1,INDEX(Tabla_imprenta[stock sap],MATCH(Tabla_control[[#This Row],[LOTE]],Tabla_imprenta[LOTE],0)),"ENTREGADO")</f>
        <v>ENTREGADO</v>
      </c>
      <c r="I258" s="139" t="str">
        <f>IF(Tabla_control[[#This Row],[STOCK SAP]]&gt;Tabla_control[[#This Row],[CANTIDAD IMPRIMIR]],"cubre","no cubre")</f>
        <v>no cubre</v>
      </c>
      <c r="J258" s="7" t="str">
        <f>IF(COUNTIF(Tabla_imprenta[LOTE],Tabla_control[[#This Row],[LOTE]])=1,INDEX(Tabla_imprenta[STOCK],MATCH(Tabla_control[[#This Row],[LOTE]],Tabla_imprenta[LOTE],0)),"ENTREGADO")</f>
        <v>ENTREGADO</v>
      </c>
      <c r="K25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58" s="148" t="e">
        <f>INDEX(Tabla_imprenta[FECHA CAJA],MATCH(Tabla_control[[#This Row],[LOTE]],Tabla_imprenta[LOTE],0))</f>
        <v>#N/A</v>
      </c>
      <c r="M25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5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5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58" s="169" t="e">
        <f>ROUNDUP(Tabla_control[[#This Row],[CANTIDAD IMPRIMIR]]/Tabla_control[[#This Row],[N TJ]],0)</f>
        <v>#VALUE!</v>
      </c>
      <c r="Q258" s="169" t="e">
        <f>IF(Tabla_control[[#This Row],[CANTIDAD TIRAJE]]&gt;10000,Tabla_control[[#This Row],[CANTIDAD TIRAJE]],Tabla_control[[#This Row],[CANTIDAD TIRAJE]]*2)</f>
        <v>#VALUE!</v>
      </c>
      <c r="R258" s="4" t="s">
        <v>173</v>
      </c>
      <c r="S258" s="4" t="s">
        <v>174</v>
      </c>
      <c r="T258" s="4"/>
      <c r="U258" s="4"/>
      <c r="V258" s="4"/>
      <c r="W258" s="185" t="s">
        <v>2470</v>
      </c>
      <c r="X258" s="185"/>
      <c r="Y258" s="185"/>
      <c r="Z258" s="185"/>
      <c r="AA258" s="4" t="s">
        <v>171</v>
      </c>
      <c r="AB258" s="184" t="s">
        <v>2028</v>
      </c>
    </row>
    <row r="259" spans="1:28" hidden="1" x14ac:dyDescent="0.2">
      <c r="A259" s="175" t="str">
        <f>IF(COUNTIF(Tabla_imprenta[LOTE],Tabla_control[[#This Row],[LOTE]])=1,INDEX(Tabla_imprenta[FECHA EMISIÓN],MATCH(Tabla_control[[#This Row],[LOTE]],Tabla_imprenta[LOTE],0)),"REALIZADO")</f>
        <v>REALIZADO</v>
      </c>
      <c r="B259" s="142" t="str">
        <f>IF(COUNTIF(Tabla_imprenta[LOTE],Tabla_control[[#This Row],[LOTE]])=1,INDEX(Tabla_imprenta[CÓD. SOLICITUD],MATCH(Tabla_control[[#This Row],[LOTE]],Tabla_imprenta[LOTE],0)),"REALIZADO")</f>
        <v>REALIZADO</v>
      </c>
      <c r="C259" s="177" t="str">
        <f>IF(COUNTIF(Tabla_imprenta[LOTE],Tabla_control[[#This Row],[LOTE]])=1,INDEX(Tabla_imprenta[PRODUCTO],MATCH(Tabla_control[[#This Row],[LOTE]],Tabla_imprenta[LOTE],0)),"REALIZADO")</f>
        <v>REALIZADO</v>
      </c>
      <c r="D259" s="142" t="str">
        <f>IF(COUNTIF(Tabla_imprenta[LOTE],Tabla_control[[#This Row],[LOTE]])=1,INDEX(Tabla_imprenta[FORMA FARMACEUTICA],MATCH(Tabla_control[[#This Row],[LOTE]],Tabla_imprenta[LOTE],0)),"REALIZADO")</f>
        <v>REALIZADO</v>
      </c>
      <c r="E259" s="177" t="str">
        <f>IF(COUNTIF(Tabla_imprenta[LOTE],Tabla_control[[#This Row],[LOTE]])=1,INDEX(Tabla_imprenta[INSTITUCIÓN],MATCH(Tabla_control[[#This Row],[LOTE]],Tabla_imprenta[LOTE],0)),"REALIZADO")</f>
        <v>REALIZADO</v>
      </c>
      <c r="F259" s="189" t="s">
        <v>2964</v>
      </c>
      <c r="G25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59" s="139" t="str">
        <f>IF(COUNTIF(Tabla_imprenta[LOTE],Tabla_control[[#This Row],[LOTE]])=1,INDEX(Tabla_imprenta[stock sap],MATCH(Tabla_control[[#This Row],[LOTE]],Tabla_imprenta[LOTE],0)),"ENTREGADO")</f>
        <v>ENTREGADO</v>
      </c>
      <c r="I259" s="139" t="str">
        <f>IF(Tabla_control[[#This Row],[STOCK SAP]]&gt;Tabla_control[[#This Row],[CANTIDAD IMPRIMIR]],"cubre","no cubre")</f>
        <v>no cubre</v>
      </c>
      <c r="J259" s="182" t="str">
        <f>IF(COUNTIF(Tabla_imprenta[LOTE],Tabla_control[[#This Row],[LOTE]])=1,INDEX(Tabla_imprenta[STOCK],MATCH(Tabla_control[[#This Row],[LOTE]],Tabla_imprenta[LOTE],0)),"ENTREGADO")</f>
        <v>ENTREGADO</v>
      </c>
      <c r="K25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59" s="148" t="e">
        <f>INDEX(Tabla_imprenta[FECHA CAJA],MATCH(Tabla_control[[#This Row],[LOTE]],Tabla_imprenta[LOTE],0))</f>
        <v>#N/A</v>
      </c>
      <c r="M25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5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5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59" s="170" t="e">
        <f>ROUNDUP(Tabla_control[[#This Row],[CANTIDAD IMPRIMIR]]/Tabla_control[[#This Row],[N TJ]],0)</f>
        <v>#VALUE!</v>
      </c>
      <c r="Q259" s="170" t="e">
        <f>IF(Tabla_control[[#This Row],[CANTIDAD TIRAJE]]&gt;10000,Tabla_control[[#This Row],[CANTIDAD TIRAJE]],Tabla_control[[#This Row],[CANTIDAD TIRAJE]]*2)</f>
        <v>#VALUE!</v>
      </c>
      <c r="R259" s="186" t="s">
        <v>177</v>
      </c>
      <c r="S259" s="4" t="s">
        <v>54</v>
      </c>
      <c r="T259" s="4"/>
      <c r="U259" s="4"/>
      <c r="V259" s="4"/>
      <c r="W259" s="185">
        <v>57</v>
      </c>
      <c r="X259" s="185"/>
      <c r="Y259" s="185"/>
      <c r="Z259" s="185"/>
      <c r="AA259" s="4" t="s">
        <v>2314</v>
      </c>
      <c r="AB259" s="184" t="s">
        <v>2028</v>
      </c>
    </row>
    <row r="260" spans="1:28" hidden="1" x14ac:dyDescent="0.2">
      <c r="A260" s="175" t="str">
        <f>IF(COUNTIF(Tabla_imprenta[LOTE],Tabla_control[[#This Row],[LOTE]])=1,INDEX(Tabla_imprenta[FECHA EMISIÓN],MATCH(Tabla_control[[#This Row],[LOTE]],Tabla_imprenta[LOTE],0)),"REALIZADO")</f>
        <v>REALIZADO</v>
      </c>
      <c r="B260" s="142" t="str">
        <f>IF(COUNTIF(Tabla_imprenta[LOTE],Tabla_control[[#This Row],[LOTE]])=1,INDEX(Tabla_imprenta[CÓD. SOLICITUD],MATCH(Tabla_control[[#This Row],[LOTE]],Tabla_imprenta[LOTE],0)),"REALIZADO")</f>
        <v>REALIZADO</v>
      </c>
      <c r="C260" s="177" t="str">
        <f>IF(COUNTIF(Tabla_imprenta[LOTE],Tabla_control[[#This Row],[LOTE]])=1,INDEX(Tabla_imprenta[PRODUCTO],MATCH(Tabla_control[[#This Row],[LOTE]],Tabla_imprenta[LOTE],0)),"REALIZADO")</f>
        <v>REALIZADO</v>
      </c>
      <c r="D260" s="142" t="str">
        <f>IF(COUNTIF(Tabla_imprenta[LOTE],Tabla_control[[#This Row],[LOTE]])=1,INDEX(Tabla_imprenta[FORMA FARMACEUTICA],MATCH(Tabla_control[[#This Row],[LOTE]],Tabla_imprenta[LOTE],0)),"REALIZADO")</f>
        <v>REALIZADO</v>
      </c>
      <c r="E260" s="177" t="str">
        <f>IF(COUNTIF(Tabla_imprenta[LOTE],Tabla_control[[#This Row],[LOTE]])=1,INDEX(Tabla_imprenta[INSTITUCIÓN],MATCH(Tabla_control[[#This Row],[LOTE]],Tabla_imprenta[LOTE],0)),"REALIZADO")</f>
        <v>REALIZADO</v>
      </c>
      <c r="F260" s="180" t="s">
        <v>2547</v>
      </c>
      <c r="G26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60" s="139" t="str">
        <f>IF(COUNTIF(Tabla_imprenta[LOTE],Tabla_control[[#This Row],[LOTE]])=1,INDEX(Tabla_imprenta[stock sap],MATCH(Tabla_control[[#This Row],[LOTE]],Tabla_imprenta[LOTE],0)),"ENTREGADO")</f>
        <v>ENTREGADO</v>
      </c>
      <c r="I260" s="139" t="str">
        <f>IF(Tabla_control[[#This Row],[STOCK SAP]]&gt;Tabla_control[[#This Row],[CANTIDAD IMPRIMIR]],"cubre","no cubre")</f>
        <v>no cubre</v>
      </c>
      <c r="J260" s="7" t="str">
        <f>IF(COUNTIF(Tabla_imprenta[LOTE],Tabla_control[[#This Row],[LOTE]])=1,INDEX(Tabla_imprenta[STOCK],MATCH(Tabla_control[[#This Row],[LOTE]],Tabla_imprenta[LOTE],0)),"ENTREGADO")</f>
        <v>ENTREGADO</v>
      </c>
      <c r="K26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60" s="148" t="e">
        <f>INDEX(Tabla_imprenta[FECHA CAJA],MATCH(Tabla_control[[#This Row],[LOTE]],Tabla_imprenta[LOTE],0))</f>
        <v>#N/A</v>
      </c>
      <c r="M26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6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6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60" s="169" t="e">
        <f>ROUNDUP(Tabla_control[[#This Row],[CANTIDAD IMPRIMIR]]/Tabla_control[[#This Row],[N TJ]],0)</f>
        <v>#VALUE!</v>
      </c>
      <c r="Q260" s="169" t="e">
        <f>IF(Tabla_control[[#This Row],[CANTIDAD TIRAJE]]&gt;10000,Tabla_control[[#This Row],[CANTIDAD TIRAJE]],Tabla_control[[#This Row],[CANTIDAD TIRAJE]]*2)</f>
        <v>#VALUE!</v>
      </c>
      <c r="R260" s="4" t="s">
        <v>2030</v>
      </c>
      <c r="S260" s="4" t="s">
        <v>174</v>
      </c>
      <c r="T260" s="4"/>
      <c r="U260" s="4"/>
      <c r="V260" s="4"/>
      <c r="W260" s="138" t="s">
        <v>3223</v>
      </c>
      <c r="X260" s="138"/>
      <c r="Y260" s="138"/>
      <c r="Z260" s="138"/>
      <c r="AA260" s="4" t="s">
        <v>321</v>
      </c>
      <c r="AB260" s="184" t="s">
        <v>2028</v>
      </c>
    </row>
    <row r="261" spans="1:28" hidden="1" x14ac:dyDescent="0.2">
      <c r="A261" s="175" t="str">
        <f>IF(COUNTIF(Tabla_imprenta[LOTE],Tabla_control[[#This Row],[LOTE]])=1,INDEX(Tabla_imprenta[FECHA EMISIÓN],MATCH(Tabla_control[[#This Row],[LOTE]],Tabla_imprenta[LOTE],0)),"REALIZADO")</f>
        <v>REALIZADO</v>
      </c>
      <c r="B261" s="142" t="str">
        <f>IF(COUNTIF(Tabla_imprenta[LOTE],Tabla_control[[#This Row],[LOTE]])=1,INDEX(Tabla_imprenta[CÓD. SOLICITUD],MATCH(Tabla_control[[#This Row],[LOTE]],Tabla_imprenta[LOTE],0)),"REALIZADO")</f>
        <v>REALIZADO</v>
      </c>
      <c r="C261" s="177" t="str">
        <f>IF(COUNTIF(Tabla_imprenta[LOTE],Tabla_control[[#This Row],[LOTE]])=1,INDEX(Tabla_imprenta[PRODUCTO],MATCH(Tabla_control[[#This Row],[LOTE]],Tabla_imprenta[LOTE],0)),"REALIZADO")</f>
        <v>REALIZADO</v>
      </c>
      <c r="D261" s="142" t="str">
        <f>IF(COUNTIF(Tabla_imprenta[LOTE],Tabla_control[[#This Row],[LOTE]])=1,INDEX(Tabla_imprenta[FORMA FARMACEUTICA],MATCH(Tabla_control[[#This Row],[LOTE]],Tabla_imprenta[LOTE],0)),"REALIZADO")</f>
        <v>REALIZADO</v>
      </c>
      <c r="E261" s="177" t="str">
        <f>IF(COUNTIF(Tabla_imprenta[LOTE],Tabla_control[[#This Row],[LOTE]])=1,INDEX(Tabla_imprenta[INSTITUCIÓN],MATCH(Tabla_control[[#This Row],[LOTE]],Tabla_imprenta[LOTE],0)),"REALIZADO")</f>
        <v>REALIZADO</v>
      </c>
      <c r="F261" s="180" t="s">
        <v>2548</v>
      </c>
      <c r="G26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61" s="139" t="str">
        <f>IF(COUNTIF(Tabla_imprenta[LOTE],Tabla_control[[#This Row],[LOTE]])=1,INDEX(Tabla_imprenta[stock sap],MATCH(Tabla_control[[#This Row],[LOTE]],Tabla_imprenta[LOTE],0)),"ENTREGADO")</f>
        <v>ENTREGADO</v>
      </c>
      <c r="I261" s="139" t="str">
        <f>IF(Tabla_control[[#This Row],[STOCK SAP]]&gt;Tabla_control[[#This Row],[CANTIDAD IMPRIMIR]],"cubre","no cubre")</f>
        <v>no cubre</v>
      </c>
      <c r="J261" s="7" t="str">
        <f>IF(COUNTIF(Tabla_imprenta[LOTE],Tabla_control[[#This Row],[LOTE]])=1,INDEX(Tabla_imprenta[STOCK],MATCH(Tabla_control[[#This Row],[LOTE]],Tabla_imprenta[LOTE],0)),"ENTREGADO")</f>
        <v>ENTREGADO</v>
      </c>
      <c r="K26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61" s="148" t="e">
        <f>INDEX(Tabla_imprenta[FECHA CAJA],MATCH(Tabla_control[[#This Row],[LOTE]],Tabla_imprenta[LOTE],0))</f>
        <v>#N/A</v>
      </c>
      <c r="M26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6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6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61" s="169" t="e">
        <f>ROUNDUP(Tabla_control[[#This Row],[CANTIDAD IMPRIMIR]]/Tabla_control[[#This Row],[N TJ]],0)</f>
        <v>#VALUE!</v>
      </c>
      <c r="Q261" s="169" t="e">
        <f>IF(Tabla_control[[#This Row],[CANTIDAD TIRAJE]]&gt;10000,Tabla_control[[#This Row],[CANTIDAD TIRAJE]],Tabla_control[[#This Row],[CANTIDAD TIRAJE]]*2)</f>
        <v>#VALUE!</v>
      </c>
      <c r="R261" s="4" t="s">
        <v>2030</v>
      </c>
      <c r="S261" s="4" t="s">
        <v>174</v>
      </c>
      <c r="T261" s="4"/>
      <c r="U261" s="4"/>
      <c r="V261" s="4"/>
      <c r="W261" s="138" t="s">
        <v>3223</v>
      </c>
      <c r="X261" s="138"/>
      <c r="Y261" s="138"/>
      <c r="Z261" s="138"/>
      <c r="AA261" s="4" t="s">
        <v>321</v>
      </c>
      <c r="AB261" s="184" t="s">
        <v>2028</v>
      </c>
    </row>
    <row r="262" spans="1:28" hidden="1" x14ac:dyDescent="0.2">
      <c r="A262" s="175" t="str">
        <f>IF(COUNTIF(Tabla_imprenta[LOTE],Tabla_control[[#This Row],[LOTE]])=1,INDEX(Tabla_imprenta[FECHA EMISIÓN],MATCH(Tabla_control[[#This Row],[LOTE]],Tabla_imprenta[LOTE],0)),"REALIZADO")</f>
        <v>REALIZADO</v>
      </c>
      <c r="B262" s="142" t="str">
        <f>IF(COUNTIF(Tabla_imprenta[LOTE],Tabla_control[[#This Row],[LOTE]])=1,INDEX(Tabla_imprenta[CÓD. SOLICITUD],MATCH(Tabla_control[[#This Row],[LOTE]],Tabla_imprenta[LOTE],0)),"REALIZADO")</f>
        <v>REALIZADO</v>
      </c>
      <c r="C262" s="177" t="str">
        <f>IF(COUNTIF(Tabla_imprenta[LOTE],Tabla_control[[#This Row],[LOTE]])=1,INDEX(Tabla_imprenta[PRODUCTO],MATCH(Tabla_control[[#This Row],[LOTE]],Tabla_imprenta[LOTE],0)),"REALIZADO")</f>
        <v>REALIZADO</v>
      </c>
      <c r="D262" s="142" t="str">
        <f>IF(COUNTIF(Tabla_imprenta[LOTE],Tabla_control[[#This Row],[LOTE]])=1,INDEX(Tabla_imprenta[FORMA FARMACEUTICA],MATCH(Tabla_control[[#This Row],[LOTE]],Tabla_imprenta[LOTE],0)),"REALIZADO")</f>
        <v>REALIZADO</v>
      </c>
      <c r="E262" s="177" t="str">
        <f>IF(COUNTIF(Tabla_imprenta[LOTE],Tabla_control[[#This Row],[LOTE]])=1,INDEX(Tabla_imprenta[INSTITUCIÓN],MATCH(Tabla_control[[#This Row],[LOTE]],Tabla_imprenta[LOTE],0)),"REALIZADO")</f>
        <v>REALIZADO</v>
      </c>
      <c r="F262" s="180" t="s">
        <v>2508</v>
      </c>
      <c r="G26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62" s="139" t="str">
        <f>IF(COUNTIF(Tabla_imprenta[LOTE],Tabla_control[[#This Row],[LOTE]])=1,INDEX(Tabla_imprenta[stock sap],MATCH(Tabla_control[[#This Row],[LOTE]],Tabla_imprenta[LOTE],0)),"ENTREGADO")</f>
        <v>ENTREGADO</v>
      </c>
      <c r="I262" s="139" t="str">
        <f>IF(Tabla_control[[#This Row],[STOCK SAP]]&gt;Tabla_control[[#This Row],[CANTIDAD IMPRIMIR]],"cubre","no cubre")</f>
        <v>no cubre</v>
      </c>
      <c r="J262" s="7" t="str">
        <f>IF(COUNTIF(Tabla_imprenta[LOTE],Tabla_control[[#This Row],[LOTE]])=1,INDEX(Tabla_imprenta[STOCK],MATCH(Tabla_control[[#This Row],[LOTE]],Tabla_imprenta[LOTE],0)),"ENTREGADO")</f>
        <v>ENTREGADO</v>
      </c>
      <c r="K26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62" s="148" t="e">
        <f>INDEX(Tabla_imprenta[FECHA CAJA],MATCH(Tabla_control[[#This Row],[LOTE]],Tabla_imprenta[LOTE],0))</f>
        <v>#N/A</v>
      </c>
      <c r="M26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6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6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62" s="169" t="e">
        <f>ROUNDUP(Tabla_control[[#This Row],[CANTIDAD IMPRIMIR]]/Tabla_control[[#This Row],[N TJ]],0)</f>
        <v>#VALUE!</v>
      </c>
      <c r="Q262" s="169" t="e">
        <f>IF(Tabla_control[[#This Row],[CANTIDAD TIRAJE]]&gt;10000,Tabla_control[[#This Row],[CANTIDAD TIRAJE]],Tabla_control[[#This Row],[CANTIDAD TIRAJE]]*2)</f>
        <v>#VALUE!</v>
      </c>
      <c r="R262" s="4" t="s">
        <v>2206</v>
      </c>
      <c r="S262" s="4" t="s">
        <v>174</v>
      </c>
      <c r="T262" s="4"/>
      <c r="U262" s="4"/>
      <c r="V262" s="4"/>
      <c r="W262" s="185" t="s">
        <v>2470</v>
      </c>
      <c r="X262" s="185"/>
      <c r="Y262" s="185"/>
      <c r="Z262" s="185"/>
      <c r="AA262" s="4" t="s">
        <v>171</v>
      </c>
      <c r="AB262" s="184" t="s">
        <v>2028</v>
      </c>
    </row>
    <row r="263" spans="1:28" hidden="1" x14ac:dyDescent="0.2">
      <c r="A263" s="175" t="str">
        <f>IF(COUNTIF(Tabla_imprenta[LOTE],Tabla_control[[#This Row],[LOTE]])=1,INDEX(Tabla_imprenta[FECHA EMISIÓN],MATCH(Tabla_control[[#This Row],[LOTE]],Tabla_imprenta[LOTE],0)),"REALIZADO")</f>
        <v>REALIZADO</v>
      </c>
      <c r="B263" s="142" t="str">
        <f>IF(COUNTIF(Tabla_imprenta[LOTE],Tabla_control[[#This Row],[LOTE]])=1,INDEX(Tabla_imprenta[CÓD. SOLICITUD],MATCH(Tabla_control[[#This Row],[LOTE]],Tabla_imprenta[LOTE],0)),"REALIZADO")</f>
        <v>REALIZADO</v>
      </c>
      <c r="C263" s="177" t="str">
        <f>IF(COUNTIF(Tabla_imprenta[LOTE],Tabla_control[[#This Row],[LOTE]])=1,INDEX(Tabla_imprenta[PRODUCTO],MATCH(Tabla_control[[#This Row],[LOTE]],Tabla_imprenta[LOTE],0)),"REALIZADO")</f>
        <v>REALIZADO</v>
      </c>
      <c r="D263" s="142" t="str">
        <f>IF(COUNTIF(Tabla_imprenta[LOTE],Tabla_control[[#This Row],[LOTE]])=1,INDEX(Tabla_imprenta[FORMA FARMACEUTICA],MATCH(Tabla_control[[#This Row],[LOTE]],Tabla_imprenta[LOTE],0)),"REALIZADO")</f>
        <v>REALIZADO</v>
      </c>
      <c r="E263" s="177" t="str">
        <f>IF(COUNTIF(Tabla_imprenta[LOTE],Tabla_control[[#This Row],[LOTE]])=1,INDEX(Tabla_imprenta[INSTITUCIÓN],MATCH(Tabla_control[[#This Row],[LOTE]],Tabla_imprenta[LOTE],0)),"REALIZADO")</f>
        <v>REALIZADO</v>
      </c>
      <c r="F263" s="189" t="s">
        <v>124</v>
      </c>
      <c r="G26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63" s="139" t="str">
        <f>IF(COUNTIF(Tabla_imprenta[LOTE],Tabla_control[[#This Row],[LOTE]])=1,INDEX(Tabla_imprenta[stock sap],MATCH(Tabla_control[[#This Row],[LOTE]],Tabla_imprenta[LOTE],0)),"ENTREGADO")</f>
        <v>ENTREGADO</v>
      </c>
      <c r="I263" s="139" t="str">
        <f>IF(Tabla_control[[#This Row],[STOCK SAP]]&gt;Tabla_control[[#This Row],[CANTIDAD IMPRIMIR]],"cubre","no cubre")</f>
        <v>no cubre</v>
      </c>
      <c r="J263" s="182" t="str">
        <f>IF(COUNTIF(Tabla_imprenta[LOTE],Tabla_control[[#This Row],[LOTE]])=1,INDEX(Tabla_imprenta[STOCK],MATCH(Tabla_control[[#This Row],[LOTE]],Tabla_imprenta[LOTE],0)),"ENTREGADO")</f>
        <v>ENTREGADO</v>
      </c>
      <c r="K26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63" s="148" t="e">
        <f>INDEX(Tabla_imprenta[FECHA CAJA],MATCH(Tabla_control[[#This Row],[LOTE]],Tabla_imprenta[LOTE],0))</f>
        <v>#N/A</v>
      </c>
      <c r="M26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6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6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63" s="169" t="e">
        <f>ROUNDUP(Tabla_control[[#This Row],[CANTIDAD IMPRIMIR]]/Tabla_control[[#This Row],[N TJ]],0)</f>
        <v>#VALUE!</v>
      </c>
      <c r="Q263" s="169" t="e">
        <f>IF(Tabla_control[[#This Row],[CANTIDAD TIRAJE]]&gt;10000,Tabla_control[[#This Row],[CANTIDAD TIRAJE]],Tabla_control[[#This Row],[CANTIDAD TIRAJE]]*2)</f>
        <v>#VALUE!</v>
      </c>
      <c r="R263" s="186"/>
      <c r="S263" s="4"/>
      <c r="T263" s="4"/>
      <c r="U263" s="4"/>
      <c r="V263" s="4"/>
      <c r="W263" s="138" t="s">
        <v>3223</v>
      </c>
      <c r="X263" s="138"/>
      <c r="Y263" s="138"/>
      <c r="Z263" s="138"/>
      <c r="AA263" s="186"/>
      <c r="AB263" s="184" t="s">
        <v>2028</v>
      </c>
    </row>
    <row r="264" spans="1:28" hidden="1" x14ac:dyDescent="0.2">
      <c r="A264" s="175" t="str">
        <f>IF(COUNTIF(Tabla_imprenta[LOTE],Tabla_control[[#This Row],[LOTE]])=1,INDEX(Tabla_imprenta[FECHA EMISIÓN],MATCH(Tabla_control[[#This Row],[LOTE]],Tabla_imprenta[LOTE],0)),"REALIZADO")</f>
        <v>REALIZADO</v>
      </c>
      <c r="B264" s="142" t="str">
        <f>IF(COUNTIF(Tabla_imprenta[LOTE],Tabla_control[[#This Row],[LOTE]])=1,INDEX(Tabla_imprenta[CÓD. SOLICITUD],MATCH(Tabla_control[[#This Row],[LOTE]],Tabla_imprenta[LOTE],0)),"REALIZADO")</f>
        <v>REALIZADO</v>
      </c>
      <c r="C264" s="177" t="str">
        <f>IF(COUNTIF(Tabla_imprenta[LOTE],Tabla_control[[#This Row],[LOTE]])=1,INDEX(Tabla_imprenta[PRODUCTO],MATCH(Tabla_control[[#This Row],[LOTE]],Tabla_imprenta[LOTE],0)),"REALIZADO")</f>
        <v>REALIZADO</v>
      </c>
      <c r="D264" s="142" t="str">
        <f>IF(COUNTIF(Tabla_imprenta[LOTE],Tabla_control[[#This Row],[LOTE]])=1,INDEX(Tabla_imprenta[FORMA FARMACEUTICA],MATCH(Tabla_control[[#This Row],[LOTE]],Tabla_imprenta[LOTE],0)),"REALIZADO")</f>
        <v>REALIZADO</v>
      </c>
      <c r="E264" s="177" t="str">
        <f>IF(COUNTIF(Tabla_imprenta[LOTE],Tabla_control[[#This Row],[LOTE]])=1,INDEX(Tabla_imprenta[INSTITUCIÓN],MATCH(Tabla_control[[#This Row],[LOTE]],Tabla_imprenta[LOTE],0)),"REALIZADO")</f>
        <v>REALIZADO</v>
      </c>
      <c r="F264" s="189" t="s">
        <v>125</v>
      </c>
      <c r="G26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64" s="139" t="str">
        <f>IF(COUNTIF(Tabla_imprenta[LOTE],Tabla_control[[#This Row],[LOTE]])=1,INDEX(Tabla_imprenta[stock sap],MATCH(Tabla_control[[#This Row],[LOTE]],Tabla_imprenta[LOTE],0)),"ENTREGADO")</f>
        <v>ENTREGADO</v>
      </c>
      <c r="I264" s="139" t="str">
        <f>IF(Tabla_control[[#This Row],[STOCK SAP]]&gt;Tabla_control[[#This Row],[CANTIDAD IMPRIMIR]],"cubre","no cubre")</f>
        <v>no cubre</v>
      </c>
      <c r="J264" s="182" t="str">
        <f>IF(COUNTIF(Tabla_imprenta[LOTE],Tabla_control[[#This Row],[LOTE]])=1,INDEX(Tabla_imprenta[STOCK],MATCH(Tabla_control[[#This Row],[LOTE]],Tabla_imprenta[LOTE],0)),"ENTREGADO")</f>
        <v>ENTREGADO</v>
      </c>
      <c r="K26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64" s="148" t="e">
        <f>INDEX(Tabla_imprenta[FECHA CAJA],MATCH(Tabla_control[[#This Row],[LOTE]],Tabla_imprenta[LOTE],0))</f>
        <v>#N/A</v>
      </c>
      <c r="M26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6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6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64" s="169" t="e">
        <f>ROUNDUP(Tabla_control[[#This Row],[CANTIDAD IMPRIMIR]]/Tabla_control[[#This Row],[N TJ]],0)</f>
        <v>#VALUE!</v>
      </c>
      <c r="Q264" s="169" t="e">
        <f>IF(Tabla_control[[#This Row],[CANTIDAD TIRAJE]]&gt;10000,Tabla_control[[#This Row],[CANTIDAD TIRAJE]],Tabla_control[[#This Row],[CANTIDAD TIRAJE]]*2)</f>
        <v>#VALUE!</v>
      </c>
      <c r="R264" s="186"/>
      <c r="S264" s="4"/>
      <c r="T264" s="4"/>
      <c r="U264" s="4"/>
      <c r="V264" s="4"/>
      <c r="W264" s="138" t="s">
        <v>3223</v>
      </c>
      <c r="X264" s="138"/>
      <c r="Y264" s="138"/>
      <c r="Z264" s="138"/>
      <c r="AA264" s="186"/>
      <c r="AB264" s="184" t="s">
        <v>2028</v>
      </c>
    </row>
    <row r="265" spans="1:28" s="1" customFormat="1" hidden="1" x14ac:dyDescent="0.2">
      <c r="A265" s="141" t="str">
        <f>IF(COUNTIF(Tabla_imprenta[LOTE],Tabla_control[[#This Row],[LOTE]])=1,INDEX(Tabla_imprenta[FECHA EMISIÓN],MATCH(Tabla_control[[#This Row],[LOTE]],Tabla_imprenta[LOTE],0)),"REALIZADO")</f>
        <v>REALIZADO</v>
      </c>
      <c r="B265" s="142" t="str">
        <f>IF(COUNTIF(Tabla_imprenta[LOTE],Tabla_control[[#This Row],[LOTE]])=1,INDEX(Tabla_imprenta[CÓD. SOLICITUD],MATCH(Tabla_control[[#This Row],[LOTE]],Tabla_imprenta[LOTE],0)),"REALIZADO")</f>
        <v>REALIZADO</v>
      </c>
      <c r="C265" s="142" t="str">
        <f>IF(COUNTIF(Tabla_imprenta[LOTE],Tabla_control[[#This Row],[LOTE]])=1,INDEX(Tabla_imprenta[PRODUCTO],MATCH(Tabla_control[[#This Row],[LOTE]],Tabla_imprenta[LOTE],0)),"REALIZADO")</f>
        <v>REALIZADO</v>
      </c>
      <c r="D265" s="142" t="str">
        <f>IF(COUNTIF(Tabla_imprenta[LOTE],Tabla_control[[#This Row],[LOTE]])=1,INDEX(Tabla_imprenta[FORMA FARMACEUTICA],MATCH(Tabla_control[[#This Row],[LOTE]],Tabla_imprenta[LOTE],0)),"REALIZADO")</f>
        <v>REALIZADO</v>
      </c>
      <c r="E265" s="142" t="str">
        <f>IF(COUNTIF(Tabla_imprenta[LOTE],Tabla_control[[#This Row],[LOTE]])=1,INDEX(Tabla_imprenta[INSTITUCIÓN],MATCH(Tabla_control[[#This Row],[LOTE]],Tabla_imprenta[LOTE],0)),"REALIZADO")</f>
        <v>REALIZADO</v>
      </c>
      <c r="F265" s="151"/>
      <c r="G265" s="140" t="str">
        <f>IF(COUNTIF(Tabla_imprenta[LOTE],Tabla_control[[#This Row],[LOTE]])=1,INDEX(Tabla_imprenta[CANTIDAD ENVASE SECUNDARIO],MATCH(Tabla_control[[#This Row],[LOTE]],Tabla_imprenta[LOTE],0)),"ENTREGADO")</f>
        <v>ENTREGADO</v>
      </c>
      <c r="H265" s="140" t="str">
        <f>IF(COUNTIF(Tabla_imprenta[LOTE],Tabla_control[[#This Row],[LOTE]])=1,INDEX(Tabla_imprenta[stock sap],MATCH(Tabla_control[[#This Row],[LOTE]],Tabla_imprenta[LOTE],0)),"ENTREGADO")</f>
        <v>ENTREGADO</v>
      </c>
      <c r="I265" s="140" t="str">
        <f>IF(Tabla_control[[#This Row],[STOCK SAP]]&gt;Tabla_control[[#This Row],[CANTIDAD IMPRIMIR]],"cubre","no cubre")</f>
        <v>no cubre</v>
      </c>
      <c r="J265" s="152" t="str">
        <f>IF(COUNTIF(Tabla_imprenta[LOTE],Tabla_control[[#This Row],[LOTE]])=1,INDEX(Tabla_imprenta[STOCK],MATCH(Tabla_control[[#This Row],[LOTE]],Tabla_imprenta[LOTE],0)),"ENTREGADO")</f>
        <v>ENTREGADO</v>
      </c>
      <c r="K265" s="148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65" s="148" t="e">
        <f>INDEX(Tabla_imprenta[FECHA CAJA],MATCH(Tabla_control[[#This Row],[LOTE]],Tabla_imprenta[LOTE],0))</f>
        <v>#N/A</v>
      </c>
      <c r="M265" s="164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6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6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65" s="169" t="e">
        <f>ROUNDUP(Tabla_control[[#This Row],[CANTIDAD IMPRIMIR]]/Tabla_control[[#This Row],[N TJ]],0)</f>
        <v>#VALUE!</v>
      </c>
      <c r="Q265" s="169" t="e">
        <f>IF(Tabla_control[[#This Row],[CANTIDAD TIRAJE]]&gt;10000,Tabla_control[[#This Row],[CANTIDAD TIRAJE]],Tabla_control[[#This Row],[CANTIDAD TIRAJE]]*2)</f>
        <v>#VALUE!</v>
      </c>
      <c r="R265" s="153"/>
      <c r="S265" s="137"/>
      <c r="T265" s="137"/>
      <c r="U265" s="137"/>
      <c r="V265" s="137"/>
      <c r="W265" s="134" t="s">
        <v>3223</v>
      </c>
      <c r="X265" s="134"/>
      <c r="Y265" s="134"/>
      <c r="Z265" s="134"/>
      <c r="AA265" s="153"/>
      <c r="AB265" s="143" t="s">
        <v>2958</v>
      </c>
    </row>
    <row r="266" spans="1:28" s="1" customFormat="1" hidden="1" x14ac:dyDescent="0.2">
      <c r="A266" s="141" t="str">
        <f>IF(COUNTIF(Tabla_imprenta[LOTE],Tabla_control[[#This Row],[LOTE]])=1,INDEX(Tabla_imprenta[FECHA EMISIÓN],MATCH(Tabla_control[[#This Row],[LOTE]],Tabla_imprenta[LOTE],0)),"REALIZADO")</f>
        <v>REALIZADO</v>
      </c>
      <c r="B266" s="142" t="str">
        <f>IF(COUNTIF(Tabla_imprenta[LOTE],Tabla_control[[#This Row],[LOTE]])=1,INDEX(Tabla_imprenta[CÓD. SOLICITUD],MATCH(Tabla_control[[#This Row],[LOTE]],Tabla_imprenta[LOTE],0)),"REALIZADO")</f>
        <v>REALIZADO</v>
      </c>
      <c r="C266" s="142" t="str">
        <f>IF(COUNTIF(Tabla_imprenta[LOTE],Tabla_control[[#This Row],[LOTE]])=1,INDEX(Tabla_imprenta[PRODUCTO],MATCH(Tabla_control[[#This Row],[LOTE]],Tabla_imprenta[LOTE],0)),"REALIZADO")</f>
        <v>REALIZADO</v>
      </c>
      <c r="D266" s="142" t="str">
        <f>IF(COUNTIF(Tabla_imprenta[LOTE],Tabla_control[[#This Row],[LOTE]])=1,INDEX(Tabla_imprenta[FORMA FARMACEUTICA],MATCH(Tabla_control[[#This Row],[LOTE]],Tabla_imprenta[LOTE],0)),"REALIZADO")</f>
        <v>REALIZADO</v>
      </c>
      <c r="E266" s="142" t="str">
        <f>IF(COUNTIF(Tabla_imprenta[LOTE],Tabla_control[[#This Row],[LOTE]])=1,INDEX(Tabla_imprenta[INSTITUCIÓN],MATCH(Tabla_control[[#This Row],[LOTE]],Tabla_imprenta[LOTE],0)),"REALIZADO")</f>
        <v>REALIZADO</v>
      </c>
      <c r="F266" s="151" t="s">
        <v>133</v>
      </c>
      <c r="G266" s="140" t="str">
        <f>IF(COUNTIF(Tabla_imprenta[LOTE],Tabla_control[[#This Row],[LOTE]])=1,INDEX(Tabla_imprenta[CANTIDAD ENVASE SECUNDARIO],MATCH(Tabla_control[[#This Row],[LOTE]],Tabla_imprenta[LOTE],0)),"ENTREGADO")</f>
        <v>ENTREGADO</v>
      </c>
      <c r="H266" s="140" t="str">
        <f>IF(COUNTIF(Tabla_imprenta[LOTE],Tabla_control[[#This Row],[LOTE]])=1,INDEX(Tabla_imprenta[stock sap],MATCH(Tabla_control[[#This Row],[LOTE]],Tabla_imprenta[LOTE],0)),"ENTREGADO")</f>
        <v>ENTREGADO</v>
      </c>
      <c r="I266" s="140" t="str">
        <f>IF(Tabla_control[[#This Row],[STOCK SAP]]&gt;Tabla_control[[#This Row],[CANTIDAD IMPRIMIR]],"cubre","no cubre")</f>
        <v>no cubre</v>
      </c>
      <c r="J266" s="152" t="str">
        <f>IF(COUNTIF(Tabla_imprenta[LOTE],Tabla_control[[#This Row],[LOTE]])=1,INDEX(Tabla_imprenta[STOCK],MATCH(Tabla_control[[#This Row],[LOTE]],Tabla_imprenta[LOTE],0)),"ENTREGADO")</f>
        <v>ENTREGADO</v>
      </c>
      <c r="K266" s="148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66" s="148" t="e">
        <f>INDEX(Tabla_imprenta[FECHA CAJA],MATCH(Tabla_control[[#This Row],[LOTE]],Tabla_imprenta[LOTE],0))</f>
        <v>#N/A</v>
      </c>
      <c r="M266" s="164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6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6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66" s="169" t="e">
        <f>ROUNDUP(Tabla_control[[#This Row],[CANTIDAD IMPRIMIR]]/Tabla_control[[#This Row],[N TJ]],0)</f>
        <v>#VALUE!</v>
      </c>
      <c r="Q266" s="169" t="e">
        <f>IF(Tabla_control[[#This Row],[CANTIDAD TIRAJE]]&gt;10000,Tabla_control[[#This Row],[CANTIDAD TIRAJE]],Tabla_control[[#This Row],[CANTIDAD TIRAJE]]*2)</f>
        <v>#VALUE!</v>
      </c>
      <c r="R266" s="153"/>
      <c r="S266" s="137"/>
      <c r="T266" s="137"/>
      <c r="U266" s="137"/>
      <c r="V266" s="137"/>
      <c r="W266" s="134" t="s">
        <v>3223</v>
      </c>
      <c r="X266" s="134"/>
      <c r="Y266" s="134"/>
      <c r="Z266" s="134"/>
      <c r="AA266" s="153"/>
      <c r="AB266" s="143" t="s">
        <v>2958</v>
      </c>
    </row>
    <row r="267" spans="1:28" hidden="1" x14ac:dyDescent="0.2">
      <c r="A267" s="175" t="str">
        <f>IF(COUNTIF(Tabla_imprenta[LOTE],Tabla_control[[#This Row],[LOTE]])=1,INDEX(Tabla_imprenta[FECHA EMISIÓN],MATCH(Tabla_control[[#This Row],[LOTE]],Tabla_imprenta[LOTE],0)),"REALIZADO")</f>
        <v>REALIZADO</v>
      </c>
      <c r="B267" s="142" t="str">
        <f>IF(COUNTIF(Tabla_imprenta[LOTE],Tabla_control[[#This Row],[LOTE]])=1,INDEX(Tabla_imprenta[CÓD. SOLICITUD],MATCH(Tabla_control[[#This Row],[LOTE]],Tabla_imprenta[LOTE],0)),"REALIZADO")</f>
        <v>REALIZADO</v>
      </c>
      <c r="C267" s="177" t="str">
        <f>IF(COUNTIF(Tabla_imprenta[LOTE],Tabla_control[[#This Row],[LOTE]])=1,INDEX(Tabla_imprenta[PRODUCTO],MATCH(Tabla_control[[#This Row],[LOTE]],Tabla_imprenta[LOTE],0)),"REALIZADO")</f>
        <v>REALIZADO</v>
      </c>
      <c r="D267" s="142" t="str">
        <f>IF(COUNTIF(Tabla_imprenta[LOTE],Tabla_control[[#This Row],[LOTE]])=1,INDEX(Tabla_imprenta[FORMA FARMACEUTICA],MATCH(Tabla_control[[#This Row],[LOTE]],Tabla_imprenta[LOTE],0)),"REALIZADO")</f>
        <v>REALIZADO</v>
      </c>
      <c r="E267" s="177" t="str">
        <f>IF(COUNTIF(Tabla_imprenta[LOTE],Tabla_control[[#This Row],[LOTE]])=1,INDEX(Tabla_imprenta[INSTITUCIÓN],MATCH(Tabla_control[[#This Row],[LOTE]],Tabla_imprenta[LOTE],0)),"REALIZADO")</f>
        <v>REALIZADO</v>
      </c>
      <c r="F267" s="189" t="s">
        <v>134</v>
      </c>
      <c r="G26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67" s="139" t="str">
        <f>IF(COUNTIF(Tabla_imprenta[LOTE],Tabla_control[[#This Row],[LOTE]])=1,INDEX(Tabla_imprenta[stock sap],MATCH(Tabla_control[[#This Row],[LOTE]],Tabla_imprenta[LOTE],0)),"ENTREGADO")</f>
        <v>ENTREGADO</v>
      </c>
      <c r="I267" s="139" t="str">
        <f>IF(Tabla_control[[#This Row],[STOCK SAP]]&gt;Tabla_control[[#This Row],[CANTIDAD IMPRIMIR]],"cubre","no cubre")</f>
        <v>no cubre</v>
      </c>
      <c r="J267" s="182" t="str">
        <f>IF(COUNTIF(Tabla_imprenta[LOTE],Tabla_control[[#This Row],[LOTE]])=1,INDEX(Tabla_imprenta[STOCK],MATCH(Tabla_control[[#This Row],[LOTE]],Tabla_imprenta[LOTE],0)),"ENTREGADO")</f>
        <v>ENTREGADO</v>
      </c>
      <c r="K26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67" s="148" t="e">
        <f>INDEX(Tabla_imprenta[FECHA CAJA],MATCH(Tabla_control[[#This Row],[LOTE]],Tabla_imprenta[LOTE],0))</f>
        <v>#N/A</v>
      </c>
      <c r="M26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6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6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67" s="169" t="e">
        <f>ROUNDUP(Tabla_control[[#This Row],[CANTIDAD IMPRIMIR]]/Tabla_control[[#This Row],[N TJ]],0)</f>
        <v>#VALUE!</v>
      </c>
      <c r="Q267" s="169" t="e">
        <f>IF(Tabla_control[[#This Row],[CANTIDAD TIRAJE]]&gt;10000,Tabla_control[[#This Row],[CANTIDAD TIRAJE]],Tabla_control[[#This Row],[CANTIDAD TIRAJE]]*2)</f>
        <v>#VALUE!</v>
      </c>
      <c r="R267" s="186"/>
      <c r="S267" s="4"/>
      <c r="T267" s="4"/>
      <c r="U267" s="4"/>
      <c r="V267" s="4"/>
      <c r="W267" s="138" t="s">
        <v>3223</v>
      </c>
      <c r="X267" s="138"/>
      <c r="Y267" s="138"/>
      <c r="Z267" s="138"/>
      <c r="AA267" s="186"/>
      <c r="AB267" s="184" t="s">
        <v>2028</v>
      </c>
    </row>
    <row r="268" spans="1:28" hidden="1" x14ac:dyDescent="0.2">
      <c r="A268" s="175" t="str">
        <f>IF(COUNTIF(Tabla_imprenta[LOTE],Tabla_control[[#This Row],[LOTE]])=1,INDEX(Tabla_imprenta[FECHA EMISIÓN],MATCH(Tabla_control[[#This Row],[LOTE]],Tabla_imprenta[LOTE],0)),"REALIZADO")</f>
        <v>REALIZADO</v>
      </c>
      <c r="B268" s="142" t="str">
        <f>IF(COUNTIF(Tabla_imprenta[LOTE],Tabla_control[[#This Row],[LOTE]])=1,INDEX(Tabla_imprenta[CÓD. SOLICITUD],MATCH(Tabla_control[[#This Row],[LOTE]],Tabla_imprenta[LOTE],0)),"REALIZADO")</f>
        <v>REALIZADO</v>
      </c>
      <c r="C268" s="177" t="str">
        <f>IF(COUNTIF(Tabla_imprenta[LOTE],Tabla_control[[#This Row],[LOTE]])=1,INDEX(Tabla_imprenta[PRODUCTO],MATCH(Tabla_control[[#This Row],[LOTE]],Tabla_imprenta[LOTE],0)),"REALIZADO")</f>
        <v>REALIZADO</v>
      </c>
      <c r="D268" s="142" t="str">
        <f>IF(COUNTIF(Tabla_imprenta[LOTE],Tabla_control[[#This Row],[LOTE]])=1,INDEX(Tabla_imprenta[FORMA FARMACEUTICA],MATCH(Tabla_control[[#This Row],[LOTE]],Tabla_imprenta[LOTE],0)),"REALIZADO")</f>
        <v>REALIZADO</v>
      </c>
      <c r="E268" s="177" t="str">
        <f>IF(COUNTIF(Tabla_imprenta[LOTE],Tabla_control[[#This Row],[LOTE]])=1,INDEX(Tabla_imprenta[INSTITUCIÓN],MATCH(Tabla_control[[#This Row],[LOTE]],Tabla_imprenta[LOTE],0)),"REALIZADO")</f>
        <v>REALIZADO</v>
      </c>
      <c r="F268" s="189" t="s">
        <v>135</v>
      </c>
      <c r="G26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68" s="139" t="str">
        <f>IF(COUNTIF(Tabla_imprenta[LOTE],Tabla_control[[#This Row],[LOTE]])=1,INDEX(Tabla_imprenta[stock sap],MATCH(Tabla_control[[#This Row],[LOTE]],Tabla_imprenta[LOTE],0)),"ENTREGADO")</f>
        <v>ENTREGADO</v>
      </c>
      <c r="I268" s="139" t="str">
        <f>IF(Tabla_control[[#This Row],[STOCK SAP]]&gt;Tabla_control[[#This Row],[CANTIDAD IMPRIMIR]],"cubre","no cubre")</f>
        <v>no cubre</v>
      </c>
      <c r="J268" s="182" t="str">
        <f>IF(COUNTIF(Tabla_imprenta[LOTE],Tabla_control[[#This Row],[LOTE]])=1,INDEX(Tabla_imprenta[STOCK],MATCH(Tabla_control[[#This Row],[LOTE]],Tabla_imprenta[LOTE],0)),"ENTREGADO")</f>
        <v>ENTREGADO</v>
      </c>
      <c r="K26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68" s="148" t="e">
        <f>INDEX(Tabla_imprenta[FECHA CAJA],MATCH(Tabla_control[[#This Row],[LOTE]],Tabla_imprenta[LOTE],0))</f>
        <v>#N/A</v>
      </c>
      <c r="M26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6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6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68" s="169" t="e">
        <f>ROUNDUP(Tabla_control[[#This Row],[CANTIDAD IMPRIMIR]]/Tabla_control[[#This Row],[N TJ]],0)</f>
        <v>#VALUE!</v>
      </c>
      <c r="Q268" s="169" t="e">
        <f>IF(Tabla_control[[#This Row],[CANTIDAD TIRAJE]]&gt;10000,Tabla_control[[#This Row],[CANTIDAD TIRAJE]],Tabla_control[[#This Row],[CANTIDAD TIRAJE]]*2)</f>
        <v>#VALUE!</v>
      </c>
      <c r="R268" s="186"/>
      <c r="S268" s="4"/>
      <c r="T268" s="4"/>
      <c r="U268" s="4"/>
      <c r="V268" s="4"/>
      <c r="W268" s="138" t="s">
        <v>3223</v>
      </c>
      <c r="X268" s="138"/>
      <c r="Y268" s="138"/>
      <c r="Z268" s="138"/>
      <c r="AA268" s="186"/>
      <c r="AB268" s="184" t="s">
        <v>2028</v>
      </c>
    </row>
    <row r="269" spans="1:28" hidden="1" x14ac:dyDescent="0.2">
      <c r="A269" s="175" t="str">
        <f>IF(COUNTIF(Tabla_imprenta[LOTE],Tabla_control[[#This Row],[LOTE]])=1,INDEX(Tabla_imprenta[FECHA EMISIÓN],MATCH(Tabla_control[[#This Row],[LOTE]],Tabla_imprenta[LOTE],0)),"REALIZADO")</f>
        <v>REALIZADO</v>
      </c>
      <c r="B269" s="142" t="str">
        <f>IF(COUNTIF(Tabla_imprenta[LOTE],Tabla_control[[#This Row],[LOTE]])=1,INDEX(Tabla_imprenta[CÓD. SOLICITUD],MATCH(Tabla_control[[#This Row],[LOTE]],Tabla_imprenta[LOTE],0)),"REALIZADO")</f>
        <v>REALIZADO</v>
      </c>
      <c r="C269" s="177" t="str">
        <f>IF(COUNTIF(Tabla_imprenta[LOTE],Tabla_control[[#This Row],[LOTE]])=1,INDEX(Tabla_imprenta[PRODUCTO],MATCH(Tabla_control[[#This Row],[LOTE]],Tabla_imprenta[LOTE],0)),"REALIZADO")</f>
        <v>REALIZADO</v>
      </c>
      <c r="D269" s="142" t="str">
        <f>IF(COUNTIF(Tabla_imprenta[LOTE],Tabla_control[[#This Row],[LOTE]])=1,INDEX(Tabla_imprenta[FORMA FARMACEUTICA],MATCH(Tabla_control[[#This Row],[LOTE]],Tabla_imprenta[LOTE],0)),"REALIZADO")</f>
        <v>REALIZADO</v>
      </c>
      <c r="E269" s="177" t="str">
        <f>IF(COUNTIF(Tabla_imprenta[LOTE],Tabla_control[[#This Row],[LOTE]])=1,INDEX(Tabla_imprenta[INSTITUCIÓN],MATCH(Tabla_control[[#This Row],[LOTE]],Tabla_imprenta[LOTE],0)),"REALIZADO")</f>
        <v>REALIZADO</v>
      </c>
      <c r="F269" s="189" t="s">
        <v>136</v>
      </c>
      <c r="G26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69" s="139" t="str">
        <f>IF(COUNTIF(Tabla_imprenta[LOTE],Tabla_control[[#This Row],[LOTE]])=1,INDEX(Tabla_imprenta[stock sap],MATCH(Tabla_control[[#This Row],[LOTE]],Tabla_imprenta[LOTE],0)),"ENTREGADO")</f>
        <v>ENTREGADO</v>
      </c>
      <c r="I269" s="139" t="str">
        <f>IF(Tabla_control[[#This Row],[STOCK SAP]]&gt;Tabla_control[[#This Row],[CANTIDAD IMPRIMIR]],"cubre","no cubre")</f>
        <v>no cubre</v>
      </c>
      <c r="J269" s="182" t="str">
        <f>IF(COUNTIF(Tabla_imprenta[LOTE],Tabla_control[[#This Row],[LOTE]])=1,INDEX(Tabla_imprenta[STOCK],MATCH(Tabla_control[[#This Row],[LOTE]],Tabla_imprenta[LOTE],0)),"ENTREGADO")</f>
        <v>ENTREGADO</v>
      </c>
      <c r="K26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69" s="148" t="e">
        <f>INDEX(Tabla_imprenta[FECHA CAJA],MATCH(Tabla_control[[#This Row],[LOTE]],Tabla_imprenta[LOTE],0))</f>
        <v>#N/A</v>
      </c>
      <c r="M26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6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6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69" s="169" t="e">
        <f>ROUNDUP(Tabla_control[[#This Row],[CANTIDAD IMPRIMIR]]/Tabla_control[[#This Row],[N TJ]],0)</f>
        <v>#VALUE!</v>
      </c>
      <c r="Q269" s="169" t="e">
        <f>IF(Tabla_control[[#This Row],[CANTIDAD TIRAJE]]&gt;10000,Tabla_control[[#This Row],[CANTIDAD TIRAJE]],Tabla_control[[#This Row],[CANTIDAD TIRAJE]]*2)</f>
        <v>#VALUE!</v>
      </c>
      <c r="R269" s="186"/>
      <c r="S269" s="4"/>
      <c r="T269" s="4"/>
      <c r="U269" s="4"/>
      <c r="V269" s="4"/>
      <c r="W269" s="138" t="s">
        <v>3223</v>
      </c>
      <c r="X269" s="138"/>
      <c r="Y269" s="138"/>
      <c r="Z269" s="138"/>
      <c r="AA269" s="186"/>
      <c r="AB269" s="184" t="s">
        <v>2028</v>
      </c>
    </row>
    <row r="270" spans="1:28" s="1" customFormat="1" hidden="1" x14ac:dyDescent="0.2">
      <c r="A270" s="141" t="str">
        <f>IF(COUNTIF(Tabla_imprenta[LOTE],Tabla_control[[#This Row],[LOTE]])=1,INDEX(Tabla_imprenta[FECHA EMISIÓN],MATCH(Tabla_control[[#This Row],[LOTE]],Tabla_imprenta[LOTE],0)),"REALIZADO")</f>
        <v>REALIZADO</v>
      </c>
      <c r="B270" s="142" t="str">
        <f>IF(COUNTIF(Tabla_imprenta[LOTE],Tabla_control[[#This Row],[LOTE]])=1,INDEX(Tabla_imprenta[CÓD. SOLICITUD],MATCH(Tabla_control[[#This Row],[LOTE]],Tabla_imprenta[LOTE],0)),"REALIZADO")</f>
        <v>REALIZADO</v>
      </c>
      <c r="C270" s="142" t="str">
        <f>IF(COUNTIF(Tabla_imprenta[LOTE],Tabla_control[[#This Row],[LOTE]])=1,INDEX(Tabla_imprenta[PRODUCTO],MATCH(Tabla_control[[#This Row],[LOTE]],Tabla_imprenta[LOTE],0)),"REALIZADO")</f>
        <v>REALIZADO</v>
      </c>
      <c r="D270" s="142" t="str">
        <f>IF(COUNTIF(Tabla_imprenta[LOTE],Tabla_control[[#This Row],[LOTE]])=1,INDEX(Tabla_imprenta[FORMA FARMACEUTICA],MATCH(Tabla_control[[#This Row],[LOTE]],Tabla_imprenta[LOTE],0)),"REALIZADO")</f>
        <v>REALIZADO</v>
      </c>
      <c r="E270" s="142" t="str">
        <f>IF(COUNTIF(Tabla_imprenta[LOTE],Tabla_control[[#This Row],[LOTE]])=1,INDEX(Tabla_imprenta[INSTITUCIÓN],MATCH(Tabla_control[[#This Row],[LOTE]],Tabla_imprenta[LOTE],0)),"REALIZADO")</f>
        <v>REALIZADO</v>
      </c>
      <c r="F270" s="151" t="s">
        <v>137</v>
      </c>
      <c r="G270" s="140" t="str">
        <f>IF(COUNTIF(Tabla_imprenta[LOTE],Tabla_control[[#This Row],[LOTE]])=1,INDEX(Tabla_imprenta[CANTIDAD ENVASE SECUNDARIO],MATCH(Tabla_control[[#This Row],[LOTE]],Tabla_imprenta[LOTE],0)),"ENTREGADO")</f>
        <v>ENTREGADO</v>
      </c>
      <c r="H270" s="140" t="str">
        <f>IF(COUNTIF(Tabla_imprenta[LOTE],Tabla_control[[#This Row],[LOTE]])=1,INDEX(Tabla_imprenta[stock sap],MATCH(Tabla_control[[#This Row],[LOTE]],Tabla_imprenta[LOTE],0)),"ENTREGADO")</f>
        <v>ENTREGADO</v>
      </c>
      <c r="I270" s="140" t="str">
        <f>IF(Tabla_control[[#This Row],[STOCK SAP]]&gt;Tabla_control[[#This Row],[CANTIDAD IMPRIMIR]],"cubre","no cubre")</f>
        <v>no cubre</v>
      </c>
      <c r="J270" s="152" t="str">
        <f>IF(COUNTIF(Tabla_imprenta[LOTE],Tabla_control[[#This Row],[LOTE]])=1,INDEX(Tabla_imprenta[STOCK],MATCH(Tabla_control[[#This Row],[LOTE]],Tabla_imprenta[LOTE],0)),"ENTREGADO")</f>
        <v>ENTREGADO</v>
      </c>
      <c r="K270" s="148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70" s="148" t="e">
        <f>INDEX(Tabla_imprenta[FECHA CAJA],MATCH(Tabla_control[[#This Row],[LOTE]],Tabla_imprenta[LOTE],0))</f>
        <v>#N/A</v>
      </c>
      <c r="M270" s="164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7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7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70" s="169" t="e">
        <f>ROUNDUP(Tabla_control[[#This Row],[CANTIDAD IMPRIMIR]]/Tabla_control[[#This Row],[N TJ]],0)</f>
        <v>#VALUE!</v>
      </c>
      <c r="Q270" s="169" t="e">
        <f>IF(Tabla_control[[#This Row],[CANTIDAD TIRAJE]]&gt;10000,Tabla_control[[#This Row],[CANTIDAD TIRAJE]],Tabla_control[[#This Row],[CANTIDAD TIRAJE]]*2)</f>
        <v>#VALUE!</v>
      </c>
      <c r="R270" s="153"/>
      <c r="S270" s="137"/>
      <c r="T270" s="137"/>
      <c r="U270" s="137"/>
      <c r="V270" s="137"/>
      <c r="W270" s="134" t="s">
        <v>3223</v>
      </c>
      <c r="X270" s="134"/>
      <c r="Y270" s="134"/>
      <c r="Z270" s="134"/>
      <c r="AA270" s="153"/>
      <c r="AB270" s="143" t="s">
        <v>2958</v>
      </c>
    </row>
    <row r="271" spans="1:28" hidden="1" x14ac:dyDescent="0.2">
      <c r="A271" s="175" t="str">
        <f>IF(COUNTIF(Tabla_imprenta[LOTE],Tabla_control[[#This Row],[LOTE]])=1,INDEX(Tabla_imprenta[FECHA EMISIÓN],MATCH(Tabla_control[[#This Row],[LOTE]],Tabla_imprenta[LOTE],0)),"REALIZADO")</f>
        <v>REALIZADO</v>
      </c>
      <c r="B271" s="142" t="str">
        <f>IF(COUNTIF(Tabla_imprenta[LOTE],Tabla_control[[#This Row],[LOTE]])=1,INDEX(Tabla_imprenta[CÓD. SOLICITUD],MATCH(Tabla_control[[#This Row],[LOTE]],Tabla_imprenta[LOTE],0)),"REALIZADO")</f>
        <v>REALIZADO</v>
      </c>
      <c r="C271" s="177" t="str">
        <f>IF(COUNTIF(Tabla_imprenta[LOTE],Tabla_control[[#This Row],[LOTE]])=1,INDEX(Tabla_imprenta[PRODUCTO],MATCH(Tabla_control[[#This Row],[LOTE]],Tabla_imprenta[LOTE],0)),"REALIZADO")</f>
        <v>REALIZADO</v>
      </c>
      <c r="D271" s="142" t="str">
        <f>IF(COUNTIF(Tabla_imprenta[LOTE],Tabla_control[[#This Row],[LOTE]])=1,INDEX(Tabla_imprenta[FORMA FARMACEUTICA],MATCH(Tabla_control[[#This Row],[LOTE]],Tabla_imprenta[LOTE],0)),"REALIZADO")</f>
        <v>REALIZADO</v>
      </c>
      <c r="E271" s="177" t="str">
        <f>IF(COUNTIF(Tabla_imprenta[LOTE],Tabla_control[[#This Row],[LOTE]])=1,INDEX(Tabla_imprenta[INSTITUCIÓN],MATCH(Tabla_control[[#This Row],[LOTE]],Tabla_imprenta[LOTE],0)),"REALIZADO")</f>
        <v>REALIZADO</v>
      </c>
      <c r="F271" s="189" t="s">
        <v>150</v>
      </c>
      <c r="G27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71" s="139" t="str">
        <f>IF(COUNTIF(Tabla_imprenta[LOTE],Tabla_control[[#This Row],[LOTE]])=1,INDEX(Tabla_imprenta[stock sap],MATCH(Tabla_control[[#This Row],[LOTE]],Tabla_imprenta[LOTE],0)),"ENTREGADO")</f>
        <v>ENTREGADO</v>
      </c>
      <c r="I271" s="139" t="str">
        <f>IF(Tabla_control[[#This Row],[STOCK SAP]]&gt;Tabla_control[[#This Row],[CANTIDAD IMPRIMIR]],"cubre","no cubre")</f>
        <v>no cubre</v>
      </c>
      <c r="J271" s="182" t="str">
        <f>IF(COUNTIF(Tabla_imprenta[LOTE],Tabla_control[[#This Row],[LOTE]])=1,INDEX(Tabla_imprenta[STOCK],MATCH(Tabla_control[[#This Row],[LOTE]],Tabla_imprenta[LOTE],0)),"ENTREGADO")</f>
        <v>ENTREGADO</v>
      </c>
      <c r="K27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71" s="148" t="e">
        <f>INDEX(Tabla_imprenta[FECHA CAJA],MATCH(Tabla_control[[#This Row],[LOTE]],Tabla_imprenta[LOTE],0))</f>
        <v>#N/A</v>
      </c>
      <c r="M27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7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7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71" s="169" t="e">
        <f>ROUNDUP(Tabla_control[[#This Row],[CANTIDAD IMPRIMIR]]/Tabla_control[[#This Row],[N TJ]],0)</f>
        <v>#VALUE!</v>
      </c>
      <c r="Q271" s="169" t="e">
        <f>IF(Tabla_control[[#This Row],[CANTIDAD TIRAJE]]&gt;10000,Tabla_control[[#This Row],[CANTIDAD TIRAJE]],Tabla_control[[#This Row],[CANTIDAD TIRAJE]]*2)</f>
        <v>#VALUE!</v>
      </c>
      <c r="R271" s="186"/>
      <c r="S271" s="4"/>
      <c r="T271" s="4"/>
      <c r="U271" s="4"/>
      <c r="V271" s="4"/>
      <c r="W271" s="138" t="s">
        <v>3223</v>
      </c>
      <c r="X271" s="138"/>
      <c r="Y271" s="138"/>
      <c r="Z271" s="138"/>
      <c r="AA271" s="186"/>
      <c r="AB271" s="184" t="s">
        <v>2028</v>
      </c>
    </row>
    <row r="272" spans="1:28" hidden="1" x14ac:dyDescent="0.2">
      <c r="A272" s="175" t="str">
        <f>IF(COUNTIF(Tabla_imprenta[LOTE],Tabla_control[[#This Row],[LOTE]])=1,INDEX(Tabla_imprenta[FECHA EMISIÓN],MATCH(Tabla_control[[#This Row],[LOTE]],Tabla_imprenta[LOTE],0)),"REALIZADO")</f>
        <v>REALIZADO</v>
      </c>
      <c r="B272" s="142" t="str">
        <f>IF(COUNTIF(Tabla_imprenta[LOTE],Tabla_control[[#This Row],[LOTE]])=1,INDEX(Tabla_imprenta[CÓD. SOLICITUD],MATCH(Tabla_control[[#This Row],[LOTE]],Tabla_imprenta[LOTE],0)),"REALIZADO")</f>
        <v>REALIZADO</v>
      </c>
      <c r="C272" s="177" t="str">
        <f>IF(COUNTIF(Tabla_imprenta[LOTE],Tabla_control[[#This Row],[LOTE]])=1,INDEX(Tabla_imprenta[PRODUCTO],MATCH(Tabla_control[[#This Row],[LOTE]],Tabla_imprenta[LOTE],0)),"REALIZADO")</f>
        <v>REALIZADO</v>
      </c>
      <c r="D272" s="142" t="str">
        <f>IF(COUNTIF(Tabla_imprenta[LOTE],Tabla_control[[#This Row],[LOTE]])=1,INDEX(Tabla_imprenta[FORMA FARMACEUTICA],MATCH(Tabla_control[[#This Row],[LOTE]],Tabla_imprenta[LOTE],0)),"REALIZADO")</f>
        <v>REALIZADO</v>
      </c>
      <c r="E272" s="177" t="str">
        <f>IF(COUNTIF(Tabla_imprenta[LOTE],Tabla_control[[#This Row],[LOTE]])=1,INDEX(Tabla_imprenta[INSTITUCIÓN],MATCH(Tabla_control[[#This Row],[LOTE]],Tabla_imprenta[LOTE],0)),"REALIZADO")</f>
        <v>REALIZADO</v>
      </c>
      <c r="F272" s="189" t="s">
        <v>160</v>
      </c>
      <c r="G27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72" s="139" t="str">
        <f>IF(COUNTIF(Tabla_imprenta[LOTE],Tabla_control[[#This Row],[LOTE]])=1,INDEX(Tabla_imprenta[stock sap],MATCH(Tabla_control[[#This Row],[LOTE]],Tabla_imprenta[LOTE],0)),"ENTREGADO")</f>
        <v>ENTREGADO</v>
      </c>
      <c r="I272" s="139" t="str">
        <f>IF(Tabla_control[[#This Row],[STOCK SAP]]&gt;Tabla_control[[#This Row],[CANTIDAD IMPRIMIR]],"cubre","no cubre")</f>
        <v>no cubre</v>
      </c>
      <c r="J272" s="182" t="str">
        <f>IF(COUNTIF(Tabla_imprenta[LOTE],Tabla_control[[#This Row],[LOTE]])=1,INDEX(Tabla_imprenta[STOCK],MATCH(Tabla_control[[#This Row],[LOTE]],Tabla_imprenta[LOTE],0)),"ENTREGADO")</f>
        <v>ENTREGADO</v>
      </c>
      <c r="K27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72" s="148" t="e">
        <f>INDEX(Tabla_imprenta[FECHA CAJA],MATCH(Tabla_control[[#This Row],[LOTE]],Tabla_imprenta[LOTE],0))</f>
        <v>#N/A</v>
      </c>
      <c r="M27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7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7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72" s="169" t="e">
        <f>ROUNDUP(Tabla_control[[#This Row],[CANTIDAD IMPRIMIR]]/Tabla_control[[#This Row],[N TJ]],0)</f>
        <v>#VALUE!</v>
      </c>
      <c r="Q272" s="169" t="e">
        <f>IF(Tabla_control[[#This Row],[CANTIDAD TIRAJE]]&gt;10000,Tabla_control[[#This Row],[CANTIDAD TIRAJE]],Tabla_control[[#This Row],[CANTIDAD TIRAJE]]*2)</f>
        <v>#VALUE!</v>
      </c>
      <c r="R272" s="186"/>
      <c r="S272" s="4"/>
      <c r="T272" s="4"/>
      <c r="U272" s="4"/>
      <c r="V272" s="4"/>
      <c r="W272" s="138" t="s">
        <v>3223</v>
      </c>
      <c r="X272" s="138"/>
      <c r="Y272" s="138"/>
      <c r="Z272" s="138"/>
      <c r="AA272" s="186"/>
      <c r="AB272" s="184" t="s">
        <v>2028</v>
      </c>
    </row>
    <row r="273" spans="1:28" hidden="1" x14ac:dyDescent="0.2">
      <c r="A273" s="175" t="str">
        <f>IF(COUNTIF(Tabla_imprenta[LOTE],Tabla_control[[#This Row],[LOTE]])=1,INDEX(Tabla_imprenta[FECHA EMISIÓN],MATCH(Tabla_control[[#This Row],[LOTE]],Tabla_imprenta[LOTE],0)),"REALIZADO")</f>
        <v>REALIZADO</v>
      </c>
      <c r="B273" s="142" t="str">
        <f>IF(COUNTIF(Tabla_imprenta[LOTE],Tabla_control[[#This Row],[LOTE]])=1,INDEX(Tabla_imprenta[CÓD. SOLICITUD],MATCH(Tabla_control[[#This Row],[LOTE]],Tabla_imprenta[LOTE],0)),"REALIZADO")</f>
        <v>REALIZADO</v>
      </c>
      <c r="C273" s="177" t="str">
        <f>IF(COUNTIF(Tabla_imprenta[LOTE],Tabla_control[[#This Row],[LOTE]])=1,INDEX(Tabla_imprenta[PRODUCTO],MATCH(Tabla_control[[#This Row],[LOTE]],Tabla_imprenta[LOTE],0)),"REALIZADO")</f>
        <v>REALIZADO</v>
      </c>
      <c r="D273" s="142" t="str">
        <f>IF(COUNTIF(Tabla_imprenta[LOTE],Tabla_control[[#This Row],[LOTE]])=1,INDEX(Tabla_imprenta[FORMA FARMACEUTICA],MATCH(Tabla_control[[#This Row],[LOTE]],Tabla_imprenta[LOTE],0)),"REALIZADO")</f>
        <v>REALIZADO</v>
      </c>
      <c r="E273" s="177" t="str">
        <f>IF(COUNTIF(Tabla_imprenta[LOTE],Tabla_control[[#This Row],[LOTE]])=1,INDEX(Tabla_imprenta[INSTITUCIÓN],MATCH(Tabla_control[[#This Row],[LOTE]],Tabla_imprenta[LOTE],0)),"REALIZADO")</f>
        <v>REALIZADO</v>
      </c>
      <c r="F273" s="189" t="s">
        <v>184</v>
      </c>
      <c r="G27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73" s="139" t="str">
        <f>IF(COUNTIF(Tabla_imprenta[LOTE],Tabla_control[[#This Row],[LOTE]])=1,INDEX(Tabla_imprenta[stock sap],MATCH(Tabla_control[[#This Row],[LOTE]],Tabla_imprenta[LOTE],0)),"ENTREGADO")</f>
        <v>ENTREGADO</v>
      </c>
      <c r="I273" s="139" t="str">
        <f>IF(Tabla_control[[#This Row],[STOCK SAP]]&gt;Tabla_control[[#This Row],[CANTIDAD IMPRIMIR]],"cubre","no cubre")</f>
        <v>no cubre</v>
      </c>
      <c r="J273" s="182" t="str">
        <f>IF(COUNTIF(Tabla_imprenta[LOTE],Tabla_control[[#This Row],[LOTE]])=1,INDEX(Tabla_imprenta[STOCK],MATCH(Tabla_control[[#This Row],[LOTE]],Tabla_imprenta[LOTE],0)),"ENTREGADO")</f>
        <v>ENTREGADO</v>
      </c>
      <c r="K27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73" s="148" t="e">
        <f>INDEX(Tabla_imprenta[FECHA CAJA],MATCH(Tabla_control[[#This Row],[LOTE]],Tabla_imprenta[LOTE],0))</f>
        <v>#N/A</v>
      </c>
      <c r="M27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7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7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73" s="169" t="e">
        <f>ROUNDUP(Tabla_control[[#This Row],[CANTIDAD IMPRIMIR]]/Tabla_control[[#This Row],[N TJ]],0)</f>
        <v>#VALUE!</v>
      </c>
      <c r="Q273" s="169" t="e">
        <f>IF(Tabla_control[[#This Row],[CANTIDAD TIRAJE]]&gt;10000,Tabla_control[[#This Row],[CANTIDAD TIRAJE]],Tabla_control[[#This Row],[CANTIDAD TIRAJE]]*2)</f>
        <v>#VALUE!</v>
      </c>
      <c r="R273" s="186"/>
      <c r="S273" s="4"/>
      <c r="T273" s="4"/>
      <c r="U273" s="4"/>
      <c r="V273" s="4"/>
      <c r="W273" s="138" t="s">
        <v>3223</v>
      </c>
      <c r="X273" s="138"/>
      <c r="Y273" s="138"/>
      <c r="Z273" s="138"/>
      <c r="AA273" s="186"/>
      <c r="AB273" s="184" t="s">
        <v>2028</v>
      </c>
    </row>
    <row r="274" spans="1:28" s="1" customFormat="1" hidden="1" x14ac:dyDescent="0.2">
      <c r="A274" s="141" t="str">
        <f>IF(COUNTIF(Tabla_imprenta[LOTE],Tabla_control[[#This Row],[LOTE]])=1,INDEX(Tabla_imprenta[FECHA EMISIÓN],MATCH(Tabla_control[[#This Row],[LOTE]],Tabla_imprenta[LOTE],0)),"REALIZADO")</f>
        <v>REALIZADO</v>
      </c>
      <c r="B274" s="142" t="str">
        <f>IF(COUNTIF(Tabla_imprenta[LOTE],Tabla_control[[#This Row],[LOTE]])=1,INDEX(Tabla_imprenta[CÓD. SOLICITUD],MATCH(Tabla_control[[#This Row],[LOTE]],Tabla_imprenta[LOTE],0)),"REALIZADO")</f>
        <v>REALIZADO</v>
      </c>
      <c r="C274" s="142" t="str">
        <f>IF(COUNTIF(Tabla_imprenta[LOTE],Tabla_control[[#This Row],[LOTE]])=1,INDEX(Tabla_imprenta[PRODUCTO],MATCH(Tabla_control[[#This Row],[LOTE]],Tabla_imprenta[LOTE],0)),"REALIZADO")</f>
        <v>REALIZADO</v>
      </c>
      <c r="D274" s="142" t="str">
        <f>IF(COUNTIF(Tabla_imprenta[LOTE],Tabla_control[[#This Row],[LOTE]])=1,INDEX(Tabla_imprenta[FORMA FARMACEUTICA],MATCH(Tabla_control[[#This Row],[LOTE]],Tabla_imprenta[LOTE],0)),"REALIZADO")</f>
        <v>REALIZADO</v>
      </c>
      <c r="E274" s="142" t="str">
        <f>IF(COUNTIF(Tabla_imprenta[LOTE],Tabla_control[[#This Row],[LOTE]])=1,INDEX(Tabla_imprenta[INSTITUCIÓN],MATCH(Tabla_control[[#This Row],[LOTE]],Tabla_imprenta[LOTE],0)),"REALIZADO")</f>
        <v>REALIZADO</v>
      </c>
      <c r="F274" s="151" t="s">
        <v>198</v>
      </c>
      <c r="G274" s="140" t="str">
        <f>IF(COUNTIF(Tabla_imprenta[LOTE],Tabla_control[[#This Row],[LOTE]])=1,INDEX(Tabla_imprenta[CANTIDAD ENVASE SECUNDARIO],MATCH(Tabla_control[[#This Row],[LOTE]],Tabla_imprenta[LOTE],0)),"ENTREGADO")</f>
        <v>ENTREGADO</v>
      </c>
      <c r="H274" s="140" t="str">
        <f>IF(COUNTIF(Tabla_imprenta[LOTE],Tabla_control[[#This Row],[LOTE]])=1,INDEX(Tabla_imprenta[stock sap],MATCH(Tabla_control[[#This Row],[LOTE]],Tabla_imprenta[LOTE],0)),"ENTREGADO")</f>
        <v>ENTREGADO</v>
      </c>
      <c r="I274" s="140" t="str">
        <f>IF(Tabla_control[[#This Row],[STOCK SAP]]&gt;Tabla_control[[#This Row],[CANTIDAD IMPRIMIR]],"cubre","no cubre")</f>
        <v>no cubre</v>
      </c>
      <c r="J274" s="152" t="str">
        <f>IF(COUNTIF(Tabla_imprenta[LOTE],Tabla_control[[#This Row],[LOTE]])=1,INDEX(Tabla_imprenta[STOCK],MATCH(Tabla_control[[#This Row],[LOTE]],Tabla_imprenta[LOTE],0)),"ENTREGADO")</f>
        <v>ENTREGADO</v>
      </c>
      <c r="K274" s="148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74" s="148" t="e">
        <f>INDEX(Tabla_imprenta[FECHA CAJA],MATCH(Tabla_control[[#This Row],[LOTE]],Tabla_imprenta[LOTE],0))</f>
        <v>#N/A</v>
      </c>
      <c r="M274" s="164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7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7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74" s="169" t="e">
        <f>ROUNDUP(Tabla_control[[#This Row],[CANTIDAD IMPRIMIR]]/Tabla_control[[#This Row],[N TJ]],0)</f>
        <v>#VALUE!</v>
      </c>
      <c r="Q274" s="169" t="e">
        <f>IF(Tabla_control[[#This Row],[CANTIDAD TIRAJE]]&gt;10000,Tabla_control[[#This Row],[CANTIDAD TIRAJE]],Tabla_control[[#This Row],[CANTIDAD TIRAJE]]*2)</f>
        <v>#VALUE!</v>
      </c>
      <c r="R274" s="153"/>
      <c r="S274" s="137"/>
      <c r="T274" s="137"/>
      <c r="U274" s="137"/>
      <c r="V274" s="137"/>
      <c r="W274" s="134" t="s">
        <v>3223</v>
      </c>
      <c r="X274" s="134"/>
      <c r="Y274" s="134"/>
      <c r="Z274" s="134"/>
      <c r="AA274" s="153"/>
      <c r="AB274" s="143" t="s">
        <v>2958</v>
      </c>
    </row>
    <row r="275" spans="1:28" hidden="1" x14ac:dyDescent="0.2">
      <c r="A275" s="175" t="str">
        <f>IF(COUNTIF(Tabla_imprenta[LOTE],Tabla_control[[#This Row],[LOTE]])=1,INDEX(Tabla_imprenta[FECHA EMISIÓN],MATCH(Tabla_control[[#This Row],[LOTE]],Tabla_imprenta[LOTE],0)),"REALIZADO")</f>
        <v>REALIZADO</v>
      </c>
      <c r="B275" s="142" t="str">
        <f>IF(COUNTIF(Tabla_imprenta[LOTE],Tabla_control[[#This Row],[LOTE]])=1,INDEX(Tabla_imprenta[CÓD. SOLICITUD],MATCH(Tabla_control[[#This Row],[LOTE]],Tabla_imprenta[LOTE],0)),"REALIZADO")</f>
        <v>REALIZADO</v>
      </c>
      <c r="C275" s="177" t="str">
        <f>IF(COUNTIF(Tabla_imprenta[LOTE],Tabla_control[[#This Row],[LOTE]])=1,INDEX(Tabla_imprenta[PRODUCTO],MATCH(Tabla_control[[#This Row],[LOTE]],Tabla_imprenta[LOTE],0)),"REALIZADO")</f>
        <v>REALIZADO</v>
      </c>
      <c r="D275" s="142" t="str">
        <f>IF(COUNTIF(Tabla_imprenta[LOTE],Tabla_control[[#This Row],[LOTE]])=1,INDEX(Tabla_imprenta[FORMA FARMACEUTICA],MATCH(Tabla_control[[#This Row],[LOTE]],Tabla_imprenta[LOTE],0)),"REALIZADO")</f>
        <v>REALIZADO</v>
      </c>
      <c r="E275" s="177" t="str">
        <f>IF(COUNTIF(Tabla_imprenta[LOTE],Tabla_control[[#This Row],[LOTE]])=1,INDEX(Tabla_imprenta[INSTITUCIÓN],MATCH(Tabla_control[[#This Row],[LOTE]],Tabla_imprenta[LOTE],0)),"REALIZADO")</f>
        <v>REALIZADO</v>
      </c>
      <c r="F275" s="180" t="s">
        <v>2555</v>
      </c>
      <c r="G27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75" s="139" t="str">
        <f>IF(COUNTIF(Tabla_imprenta[LOTE],Tabla_control[[#This Row],[LOTE]])=1,INDEX(Tabla_imprenta[stock sap],MATCH(Tabla_control[[#This Row],[LOTE]],Tabla_imprenta[LOTE],0)),"ENTREGADO")</f>
        <v>ENTREGADO</v>
      </c>
      <c r="I275" s="139" t="str">
        <f>IF(Tabla_control[[#This Row],[STOCK SAP]]&gt;Tabla_control[[#This Row],[CANTIDAD IMPRIMIR]],"cubre","no cubre")</f>
        <v>no cubre</v>
      </c>
      <c r="J275" s="7" t="str">
        <f>IF(COUNTIF(Tabla_imprenta[LOTE],Tabla_control[[#This Row],[LOTE]])=1,INDEX(Tabla_imprenta[STOCK],MATCH(Tabla_control[[#This Row],[LOTE]],Tabla_imprenta[LOTE],0)),"ENTREGADO")</f>
        <v>ENTREGADO</v>
      </c>
      <c r="K27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75" s="148" t="e">
        <f>INDEX(Tabla_imprenta[FECHA CAJA],MATCH(Tabla_control[[#This Row],[LOTE]],Tabla_imprenta[LOTE],0))</f>
        <v>#N/A</v>
      </c>
      <c r="M27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7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7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75" s="169" t="e">
        <f>ROUNDUP(Tabla_control[[#This Row],[CANTIDAD IMPRIMIR]]/Tabla_control[[#This Row],[N TJ]],0)</f>
        <v>#VALUE!</v>
      </c>
      <c r="Q275" s="169" t="e">
        <f>IF(Tabla_control[[#This Row],[CANTIDAD TIRAJE]]&gt;10000,Tabla_control[[#This Row],[CANTIDAD TIRAJE]],Tabla_control[[#This Row],[CANTIDAD TIRAJE]]*2)</f>
        <v>#VALUE!</v>
      </c>
      <c r="R275" s="4" t="s">
        <v>2030</v>
      </c>
      <c r="S275" s="4" t="s">
        <v>174</v>
      </c>
      <c r="T275" s="4"/>
      <c r="U275" s="4"/>
      <c r="V275" s="4"/>
      <c r="W275" s="138" t="s">
        <v>3223</v>
      </c>
      <c r="X275" s="138"/>
      <c r="Y275" s="138"/>
      <c r="Z275" s="138"/>
      <c r="AA275" s="4" t="s">
        <v>2031</v>
      </c>
      <c r="AB275" s="184" t="s">
        <v>2028</v>
      </c>
    </row>
    <row r="276" spans="1:28" hidden="1" x14ac:dyDescent="0.2">
      <c r="A276" s="175" t="str">
        <f>IF(COUNTIF(Tabla_imprenta[LOTE],Tabla_control[[#This Row],[LOTE]])=1,INDEX(Tabla_imprenta[FECHA EMISIÓN],MATCH(Tabla_control[[#This Row],[LOTE]],Tabla_imprenta[LOTE],0)),"REALIZADO")</f>
        <v>REALIZADO</v>
      </c>
      <c r="B276" s="142" t="str">
        <f>IF(COUNTIF(Tabla_imprenta[LOTE],Tabla_control[[#This Row],[LOTE]])=1,INDEX(Tabla_imprenta[CÓD. SOLICITUD],MATCH(Tabla_control[[#This Row],[LOTE]],Tabla_imprenta[LOTE],0)),"REALIZADO")</f>
        <v>REALIZADO</v>
      </c>
      <c r="C276" s="177" t="str">
        <f>IF(COUNTIF(Tabla_imprenta[LOTE],Tabla_control[[#This Row],[LOTE]])=1,INDEX(Tabla_imprenta[PRODUCTO],MATCH(Tabla_control[[#This Row],[LOTE]],Tabla_imprenta[LOTE],0)),"REALIZADO")</f>
        <v>REALIZADO</v>
      </c>
      <c r="D276" s="142" t="str">
        <f>IF(COUNTIF(Tabla_imprenta[LOTE],Tabla_control[[#This Row],[LOTE]])=1,INDEX(Tabla_imprenta[FORMA FARMACEUTICA],MATCH(Tabla_control[[#This Row],[LOTE]],Tabla_imprenta[LOTE],0)),"REALIZADO")</f>
        <v>REALIZADO</v>
      </c>
      <c r="E276" s="177" t="str">
        <f>IF(COUNTIF(Tabla_imprenta[LOTE],Tabla_control[[#This Row],[LOTE]])=1,INDEX(Tabla_imprenta[INSTITUCIÓN],MATCH(Tabla_control[[#This Row],[LOTE]],Tabla_imprenta[LOTE],0)),"REALIZADO")</f>
        <v>REALIZADO</v>
      </c>
      <c r="F276" s="180" t="s">
        <v>2526</v>
      </c>
      <c r="G27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76" s="139" t="str">
        <f>IF(COUNTIF(Tabla_imprenta[LOTE],Tabla_control[[#This Row],[LOTE]])=1,INDEX(Tabla_imprenta[stock sap],MATCH(Tabla_control[[#This Row],[LOTE]],Tabla_imprenta[LOTE],0)),"ENTREGADO")</f>
        <v>ENTREGADO</v>
      </c>
      <c r="I276" s="139" t="str">
        <f>IF(Tabla_control[[#This Row],[STOCK SAP]]&gt;Tabla_control[[#This Row],[CANTIDAD IMPRIMIR]],"cubre","no cubre")</f>
        <v>no cubre</v>
      </c>
      <c r="J276" s="7" t="str">
        <f>IF(COUNTIF(Tabla_imprenta[LOTE],Tabla_control[[#This Row],[LOTE]])=1,INDEX(Tabla_imprenta[STOCK],MATCH(Tabla_control[[#This Row],[LOTE]],Tabla_imprenta[LOTE],0)),"ENTREGADO")</f>
        <v>ENTREGADO</v>
      </c>
      <c r="K27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76" s="148" t="e">
        <f>INDEX(Tabla_imprenta[FECHA CAJA],MATCH(Tabla_control[[#This Row],[LOTE]],Tabla_imprenta[LOTE],0))</f>
        <v>#N/A</v>
      </c>
      <c r="M27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7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7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76" s="169" t="e">
        <f>ROUNDUP(Tabla_control[[#This Row],[CANTIDAD IMPRIMIR]]/Tabla_control[[#This Row],[N TJ]],0)</f>
        <v>#VALUE!</v>
      </c>
      <c r="Q276" s="169" t="e">
        <f>IF(Tabla_control[[#This Row],[CANTIDAD TIRAJE]]&gt;10000,Tabla_control[[#This Row],[CANTIDAD TIRAJE]],Tabla_control[[#This Row],[CANTIDAD TIRAJE]]*2)</f>
        <v>#VALUE!</v>
      </c>
      <c r="R276" s="4" t="s">
        <v>2030</v>
      </c>
      <c r="S276" s="4" t="s">
        <v>174</v>
      </c>
      <c r="T276" s="4"/>
      <c r="U276" s="4"/>
      <c r="V276" s="4"/>
      <c r="W276" s="138" t="s">
        <v>3223</v>
      </c>
      <c r="X276" s="138"/>
      <c r="Y276" s="138"/>
      <c r="Z276" s="138"/>
      <c r="AA276" s="4" t="s">
        <v>2031</v>
      </c>
      <c r="AB276" s="184" t="s">
        <v>2028</v>
      </c>
    </row>
    <row r="277" spans="1:28" hidden="1" x14ac:dyDescent="0.2">
      <c r="A277" s="175" t="str">
        <f>IF(COUNTIF(Tabla_imprenta[LOTE],Tabla_control[[#This Row],[LOTE]])=1,INDEX(Tabla_imprenta[FECHA EMISIÓN],MATCH(Tabla_control[[#This Row],[LOTE]],Tabla_imprenta[LOTE],0)),"REALIZADO")</f>
        <v>REALIZADO</v>
      </c>
      <c r="B277" s="142" t="str">
        <f>IF(COUNTIF(Tabla_imprenta[LOTE],Tabla_control[[#This Row],[LOTE]])=1,INDEX(Tabla_imprenta[CÓD. SOLICITUD],MATCH(Tabla_control[[#This Row],[LOTE]],Tabla_imprenta[LOTE],0)),"REALIZADO")</f>
        <v>REALIZADO</v>
      </c>
      <c r="C277" s="177" t="str">
        <f>IF(COUNTIF(Tabla_imprenta[LOTE],Tabla_control[[#This Row],[LOTE]])=1,INDEX(Tabla_imprenta[PRODUCTO],MATCH(Tabla_control[[#This Row],[LOTE]],Tabla_imprenta[LOTE],0)),"REALIZADO")</f>
        <v>REALIZADO</v>
      </c>
      <c r="D277" s="142" t="str">
        <f>IF(COUNTIF(Tabla_imprenta[LOTE],Tabla_control[[#This Row],[LOTE]])=1,INDEX(Tabla_imprenta[FORMA FARMACEUTICA],MATCH(Tabla_control[[#This Row],[LOTE]],Tabla_imprenta[LOTE],0)),"REALIZADO")</f>
        <v>REALIZADO</v>
      </c>
      <c r="E277" s="177" t="str">
        <f>IF(COUNTIF(Tabla_imprenta[LOTE],Tabla_control[[#This Row],[LOTE]])=1,INDEX(Tabla_imprenta[INSTITUCIÓN],MATCH(Tabla_control[[#This Row],[LOTE]],Tabla_imprenta[LOTE],0)),"REALIZADO")</f>
        <v>REALIZADO</v>
      </c>
      <c r="F277" s="180" t="s">
        <v>2514</v>
      </c>
      <c r="G27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77" s="139" t="str">
        <f>IF(COUNTIF(Tabla_imprenta[LOTE],Tabla_control[[#This Row],[LOTE]])=1,INDEX(Tabla_imprenta[stock sap],MATCH(Tabla_control[[#This Row],[LOTE]],Tabla_imprenta[LOTE],0)),"ENTREGADO")</f>
        <v>ENTREGADO</v>
      </c>
      <c r="I277" s="139" t="str">
        <f>IF(Tabla_control[[#This Row],[STOCK SAP]]&gt;Tabla_control[[#This Row],[CANTIDAD IMPRIMIR]],"cubre","no cubre")</f>
        <v>no cubre</v>
      </c>
      <c r="J277" s="7" t="str">
        <f>IF(COUNTIF(Tabla_imprenta[LOTE],Tabla_control[[#This Row],[LOTE]])=1,INDEX(Tabla_imprenta[STOCK],MATCH(Tabla_control[[#This Row],[LOTE]],Tabla_imprenta[LOTE],0)),"ENTREGADO")</f>
        <v>ENTREGADO</v>
      </c>
      <c r="K27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77" s="148" t="e">
        <f>INDEX(Tabla_imprenta[FECHA CAJA],MATCH(Tabla_control[[#This Row],[LOTE]],Tabla_imprenta[LOTE],0))</f>
        <v>#N/A</v>
      </c>
      <c r="M27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7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7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77" s="170" t="e">
        <f>ROUNDUP(Tabla_control[[#This Row],[CANTIDAD IMPRIMIR]]/Tabla_control[[#This Row],[N TJ]],0)</f>
        <v>#VALUE!</v>
      </c>
      <c r="Q277" s="170" t="e">
        <f>IF(Tabla_control[[#This Row],[CANTIDAD TIRAJE]]&gt;10000,Tabla_control[[#This Row],[CANTIDAD TIRAJE]],Tabla_control[[#This Row],[CANTIDAD TIRAJE]]*2)</f>
        <v>#VALUE!</v>
      </c>
      <c r="R277" s="4" t="s">
        <v>172</v>
      </c>
      <c r="S277" s="4" t="s">
        <v>3759</v>
      </c>
      <c r="T277" s="4"/>
      <c r="U277" s="4"/>
      <c r="V277" s="4"/>
      <c r="W277" s="185" t="s">
        <v>3223</v>
      </c>
      <c r="X277" s="185"/>
      <c r="Y277" s="185"/>
      <c r="Z277" s="185"/>
      <c r="AA277" s="4" t="s">
        <v>2182</v>
      </c>
      <c r="AB277" s="184" t="s">
        <v>2028</v>
      </c>
    </row>
    <row r="278" spans="1:28" hidden="1" x14ac:dyDescent="0.2">
      <c r="A278" s="175" t="str">
        <f>IF(COUNTIF(Tabla_imprenta[LOTE],Tabla_control[[#This Row],[LOTE]])=1,INDEX(Tabla_imprenta[FECHA EMISIÓN],MATCH(Tabla_control[[#This Row],[LOTE]],Tabla_imprenta[LOTE],0)),"REALIZADO")</f>
        <v>REALIZADO</v>
      </c>
      <c r="B278" s="142" t="str">
        <f>IF(COUNTIF(Tabla_imprenta[LOTE],Tabla_control[[#This Row],[LOTE]])=1,INDEX(Tabla_imprenta[CÓD. SOLICITUD],MATCH(Tabla_control[[#This Row],[LOTE]],Tabla_imprenta[LOTE],0)),"REALIZADO")</f>
        <v>REALIZADO</v>
      </c>
      <c r="C278" s="177" t="str">
        <f>IF(COUNTIF(Tabla_imprenta[LOTE],Tabla_control[[#This Row],[LOTE]])=1,INDEX(Tabla_imprenta[PRODUCTO],MATCH(Tabla_control[[#This Row],[LOTE]],Tabla_imprenta[LOTE],0)),"REALIZADO")</f>
        <v>REALIZADO</v>
      </c>
      <c r="D278" s="142" t="str">
        <f>IF(COUNTIF(Tabla_imprenta[LOTE],Tabla_control[[#This Row],[LOTE]])=1,INDEX(Tabla_imprenta[FORMA FARMACEUTICA],MATCH(Tabla_control[[#This Row],[LOTE]],Tabla_imprenta[LOTE],0)),"REALIZADO")</f>
        <v>REALIZADO</v>
      </c>
      <c r="E278" s="177" t="str">
        <f>IF(COUNTIF(Tabla_imprenta[LOTE],Tabla_control[[#This Row],[LOTE]])=1,INDEX(Tabla_imprenta[INSTITUCIÓN],MATCH(Tabla_control[[#This Row],[LOTE]],Tabla_imprenta[LOTE],0)),"REALIZADO")</f>
        <v>REALIZADO</v>
      </c>
      <c r="F278" s="180" t="s">
        <v>2546</v>
      </c>
      <c r="G27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78" s="139" t="str">
        <f>IF(COUNTIF(Tabla_imprenta[LOTE],Tabla_control[[#This Row],[LOTE]])=1,INDEX(Tabla_imprenta[stock sap],MATCH(Tabla_control[[#This Row],[LOTE]],Tabla_imprenta[LOTE],0)),"ENTREGADO")</f>
        <v>ENTREGADO</v>
      </c>
      <c r="I278" s="139" t="str">
        <f>IF(Tabla_control[[#This Row],[STOCK SAP]]&gt;Tabla_control[[#This Row],[CANTIDAD IMPRIMIR]],"cubre","no cubre")</f>
        <v>no cubre</v>
      </c>
      <c r="J278" s="7" t="str">
        <f>IF(COUNTIF(Tabla_imprenta[LOTE],Tabla_control[[#This Row],[LOTE]])=1,INDEX(Tabla_imprenta[STOCK],MATCH(Tabla_control[[#This Row],[LOTE]],Tabla_imprenta[LOTE],0)),"ENTREGADO")</f>
        <v>ENTREGADO</v>
      </c>
      <c r="K27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78" s="148" t="e">
        <f>INDEX(Tabla_imprenta[FECHA CAJA],MATCH(Tabla_control[[#This Row],[LOTE]],Tabla_imprenta[LOTE],0))</f>
        <v>#N/A</v>
      </c>
      <c r="M27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7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7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78" s="170" t="e">
        <f>ROUNDUP(Tabla_control[[#This Row],[CANTIDAD IMPRIMIR]]/Tabla_control[[#This Row],[N TJ]],0)</f>
        <v>#VALUE!</v>
      </c>
      <c r="Q278" s="170" t="e">
        <f>IF(Tabla_control[[#This Row],[CANTIDAD TIRAJE]]&gt;10000,Tabla_control[[#This Row],[CANTIDAD TIRAJE]],Tabla_control[[#This Row],[CANTIDAD TIRAJE]]*2)</f>
        <v>#VALUE!</v>
      </c>
      <c r="R278" s="4" t="s">
        <v>172</v>
      </c>
      <c r="S278" s="4" t="s">
        <v>30</v>
      </c>
      <c r="T278" s="4"/>
      <c r="U278" s="4"/>
      <c r="V278" s="4"/>
      <c r="W278" s="185" t="s">
        <v>3238</v>
      </c>
      <c r="X278" s="185"/>
      <c r="Y278" s="185"/>
      <c r="Z278" s="185"/>
      <c r="AA278" s="4" t="s">
        <v>171</v>
      </c>
      <c r="AB278" s="184" t="s">
        <v>2028</v>
      </c>
    </row>
    <row r="279" spans="1:28" hidden="1" x14ac:dyDescent="0.2">
      <c r="A279" s="175" t="str">
        <f>IF(COUNTIF(Tabla_imprenta[LOTE],Tabla_control[[#This Row],[LOTE]])=1,INDEX(Tabla_imprenta[FECHA EMISIÓN],MATCH(Tabla_control[[#This Row],[LOTE]],Tabla_imprenta[LOTE],0)),"REALIZADO")</f>
        <v>REALIZADO</v>
      </c>
      <c r="B279" s="142" t="str">
        <f>IF(COUNTIF(Tabla_imprenta[LOTE],Tabla_control[[#This Row],[LOTE]])=1,INDEX(Tabla_imprenta[CÓD. SOLICITUD],MATCH(Tabla_control[[#This Row],[LOTE]],Tabla_imprenta[LOTE],0)),"REALIZADO")</f>
        <v>REALIZADO</v>
      </c>
      <c r="C279" s="177" t="str">
        <f>IF(COUNTIF(Tabla_imprenta[LOTE],Tabla_control[[#This Row],[LOTE]])=1,INDEX(Tabla_imprenta[PRODUCTO],MATCH(Tabla_control[[#This Row],[LOTE]],Tabla_imprenta[LOTE],0)),"REALIZADO")</f>
        <v>REALIZADO</v>
      </c>
      <c r="D279" s="142" t="str">
        <f>IF(COUNTIF(Tabla_imprenta[LOTE],Tabla_control[[#This Row],[LOTE]])=1,INDEX(Tabla_imprenta[FORMA FARMACEUTICA],MATCH(Tabla_control[[#This Row],[LOTE]],Tabla_imprenta[LOTE],0)),"REALIZADO")</f>
        <v>REALIZADO</v>
      </c>
      <c r="E279" s="177" t="str">
        <f>IF(COUNTIF(Tabla_imprenta[LOTE],Tabla_control[[#This Row],[LOTE]])=1,INDEX(Tabla_imprenta[INSTITUCIÓN],MATCH(Tabla_control[[#This Row],[LOTE]],Tabla_imprenta[LOTE],0)),"REALIZADO")</f>
        <v>REALIZADO</v>
      </c>
      <c r="F279" s="180" t="s">
        <v>2545</v>
      </c>
      <c r="G27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79" s="139" t="str">
        <f>IF(COUNTIF(Tabla_imprenta[LOTE],Tabla_control[[#This Row],[LOTE]])=1,INDEX(Tabla_imprenta[stock sap],MATCH(Tabla_control[[#This Row],[LOTE]],Tabla_imprenta[LOTE],0)),"ENTREGADO")</f>
        <v>ENTREGADO</v>
      </c>
      <c r="I279" s="139" t="str">
        <f>IF(Tabla_control[[#This Row],[STOCK SAP]]&gt;Tabla_control[[#This Row],[CANTIDAD IMPRIMIR]],"cubre","no cubre")</f>
        <v>no cubre</v>
      </c>
      <c r="J279" s="7" t="str">
        <f>IF(COUNTIF(Tabla_imprenta[LOTE],Tabla_control[[#This Row],[LOTE]])=1,INDEX(Tabla_imprenta[STOCK],MATCH(Tabla_control[[#This Row],[LOTE]],Tabla_imprenta[LOTE],0)),"ENTREGADO")</f>
        <v>ENTREGADO</v>
      </c>
      <c r="K27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79" s="148" t="e">
        <f>INDEX(Tabla_imprenta[FECHA CAJA],MATCH(Tabla_control[[#This Row],[LOTE]],Tabla_imprenta[LOTE],0))</f>
        <v>#N/A</v>
      </c>
      <c r="M27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7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7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79" s="170" t="e">
        <f>ROUNDUP(Tabla_control[[#This Row],[CANTIDAD IMPRIMIR]]/Tabla_control[[#This Row],[N TJ]],0)</f>
        <v>#VALUE!</v>
      </c>
      <c r="Q279" s="170" t="e">
        <f>IF(Tabla_control[[#This Row],[CANTIDAD TIRAJE]]&gt;10000,Tabla_control[[#This Row],[CANTIDAD TIRAJE]],Tabla_control[[#This Row],[CANTIDAD TIRAJE]]*2)</f>
        <v>#VALUE!</v>
      </c>
      <c r="R279" s="4" t="s">
        <v>172</v>
      </c>
      <c r="S279" s="4" t="s">
        <v>3759</v>
      </c>
      <c r="T279" s="4"/>
      <c r="U279" s="4"/>
      <c r="V279" s="4"/>
      <c r="W279" s="185" t="s">
        <v>3223</v>
      </c>
      <c r="X279" s="185"/>
      <c r="Y279" s="185"/>
      <c r="Z279" s="185"/>
      <c r="AA279" s="4" t="s">
        <v>2182</v>
      </c>
      <c r="AB279" s="184" t="s">
        <v>2028</v>
      </c>
    </row>
    <row r="280" spans="1:28" hidden="1" x14ac:dyDescent="0.2">
      <c r="A280" s="175" t="str">
        <f>IF(COUNTIF(Tabla_imprenta[LOTE],Tabla_control[[#This Row],[LOTE]])=1,INDEX(Tabla_imprenta[FECHA EMISIÓN],MATCH(Tabla_control[[#This Row],[LOTE]],Tabla_imprenta[LOTE],0)),"REALIZADO")</f>
        <v>REALIZADO</v>
      </c>
      <c r="B280" s="142" t="str">
        <f>IF(COUNTIF(Tabla_imprenta[LOTE],Tabla_control[[#This Row],[LOTE]])=1,INDEX(Tabla_imprenta[CÓD. SOLICITUD],MATCH(Tabla_control[[#This Row],[LOTE]],Tabla_imprenta[LOTE],0)),"REALIZADO")</f>
        <v>REALIZADO</v>
      </c>
      <c r="C280" s="178" t="str">
        <f>IF(COUNTIF(Tabla_imprenta[LOTE],Tabla_control[[#This Row],[LOTE]])=1,INDEX(Tabla_imprenta[PRODUCTO],MATCH(Tabla_control[[#This Row],[LOTE]],Tabla_imprenta[LOTE],0)),"REALIZADO")</f>
        <v>REALIZADO</v>
      </c>
      <c r="D280" s="142" t="str">
        <f>IF(COUNTIF(Tabla_imprenta[LOTE],Tabla_control[[#This Row],[LOTE]])=1,INDEX(Tabla_imprenta[FORMA FARMACEUTICA],MATCH(Tabla_control[[#This Row],[LOTE]],Tabla_imprenta[LOTE],0)),"REALIZADO")</f>
        <v>REALIZADO</v>
      </c>
      <c r="E280" s="177" t="str">
        <f>IF(COUNTIF(Tabla_imprenta[LOTE],Tabla_control[[#This Row],[LOTE]])=1,INDEX(Tabla_imprenta[INSTITUCIÓN],MATCH(Tabla_control[[#This Row],[LOTE]],Tabla_imprenta[LOTE],0)),"REALIZADO")</f>
        <v>REALIZADO</v>
      </c>
      <c r="F280" s="181" t="s">
        <v>2988</v>
      </c>
      <c r="G28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80" s="139" t="str">
        <f>IF(COUNTIF(Tabla_imprenta[LOTE],Tabla_control[[#This Row],[LOTE]])=1,INDEX(Tabla_imprenta[stock sap],MATCH(Tabla_control[[#This Row],[LOTE]],Tabla_imprenta[LOTE],0)),"ENTREGADO")</f>
        <v>ENTREGADO</v>
      </c>
      <c r="I280" s="139" t="str">
        <f>IF(Tabla_control[[#This Row],[STOCK SAP]]&gt;Tabla_control[[#This Row],[CANTIDAD IMPRIMIR]],"cubre","no cubre")</f>
        <v>no cubre</v>
      </c>
      <c r="J280" s="182" t="str">
        <f>IF(COUNTIF(Tabla_imprenta[LOTE],Tabla_control[[#This Row],[LOTE]])=1,INDEX(Tabla_imprenta[STOCK],MATCH(Tabla_control[[#This Row],[LOTE]],Tabla_imprenta[LOTE],0)),"ENTREGADO")</f>
        <v>ENTREGADO</v>
      </c>
      <c r="K28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80" s="148" t="e">
        <f>INDEX(Tabla_imprenta[FECHA CAJA],MATCH(Tabla_control[[#This Row],[LOTE]],Tabla_imprenta[LOTE],0))</f>
        <v>#N/A</v>
      </c>
      <c r="M28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8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8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80" s="170" t="e">
        <f>ROUNDUP(Tabla_control[[#This Row],[CANTIDAD IMPRIMIR]]/Tabla_control[[#This Row],[N TJ]],0)</f>
        <v>#VALUE!</v>
      </c>
      <c r="Q280" s="170" t="e">
        <f>IF(Tabla_control[[#This Row],[CANTIDAD TIRAJE]]&gt;10000,Tabla_control[[#This Row],[CANTIDAD TIRAJE]],Tabla_control[[#This Row],[CANTIDAD TIRAJE]]*2)</f>
        <v>#VALUE!</v>
      </c>
      <c r="R280" s="186" t="s">
        <v>172</v>
      </c>
      <c r="S280" s="4" t="s">
        <v>31</v>
      </c>
      <c r="T280" s="4"/>
      <c r="U280" s="4"/>
      <c r="V280" s="4"/>
      <c r="W280" s="185" t="s">
        <v>2985</v>
      </c>
      <c r="X280" s="185"/>
      <c r="Y280" s="185"/>
      <c r="Z280" s="185"/>
      <c r="AA280" s="186" t="s">
        <v>2031</v>
      </c>
      <c r="AB280" s="184" t="s">
        <v>2028</v>
      </c>
    </row>
    <row r="281" spans="1:28" hidden="1" x14ac:dyDescent="0.2">
      <c r="A281" s="175">
        <f>IF(COUNTIF(Tabla_imprenta[LOTE],Tabla_control[[#This Row],[LOTE]])=1,INDEX(Tabla_imprenta[FECHA EMISIÓN],MATCH(Tabla_control[[#This Row],[LOTE]],Tabla_imprenta[LOTE],0)),"REALIZADO")</f>
        <v>46083</v>
      </c>
      <c r="B281" s="142">
        <f>IF(COUNTIF(Tabla_imprenta[LOTE],Tabla_control[[#This Row],[LOTE]])=1,INDEX(Tabla_imprenta[CÓD. SOLICITUD],MATCH(Tabla_control[[#This Row],[LOTE]],Tabla_imprenta[LOTE],0)),"REALIZADO")</f>
        <v>0</v>
      </c>
      <c r="C281" s="177" t="str">
        <f>IF(COUNTIF(Tabla_imprenta[LOTE],Tabla_control[[#This Row],[LOTE]])=1,INDEX(Tabla_imprenta[PRODUCTO],MATCH(Tabla_control[[#This Row],[LOTE]],Tabla_imprenta[LOTE],0)),"REALIZADO")</f>
        <v>TUSSINOL X 30 ML JARABE MM</v>
      </c>
      <c r="D281" s="142" t="str">
        <f>IF(COUNTIF(Tabla_imprenta[LOTE],Tabla_control[[#This Row],[LOTE]])=1,INDEX(Tabla_imprenta[FORMA FARMACEUTICA],MATCH(Tabla_control[[#This Row],[LOTE]],Tabla_imprenta[LOTE],0)),"REALIZADO")</f>
        <v>JARABE</v>
      </c>
      <c r="E281" s="177" t="str">
        <f>IF(COUNTIF(Tabla_imprenta[LOTE],Tabla_control[[#This Row],[LOTE]])=1,INDEX(Tabla_imprenta[INSTITUCIÓN],MATCH(Tabla_control[[#This Row],[LOTE]],Tabla_imprenta[LOTE],0)),"REALIZADO")</f>
        <v>MM-2026</v>
      </c>
      <c r="F281" s="180" t="s">
        <v>2473</v>
      </c>
      <c r="G281" s="139">
        <f>IF(COUNTIF(Tabla_imprenta[LOTE],Tabla_control[[#This Row],[LOTE]])=1,INDEX(Tabla_imprenta[CANTIDAD ENVASE SECUNDARIO],MATCH(Tabla_control[[#This Row],[LOTE]],Tabla_imprenta[LOTE],0)),"ENTREGADO")</f>
        <v>15000</v>
      </c>
      <c r="H281" s="139">
        <f>IF(COUNTIF(Tabla_imprenta[LOTE],Tabla_control[[#This Row],[LOTE]])=1,INDEX(Tabla_imprenta[stock sap],MATCH(Tabla_control[[#This Row],[LOTE]],Tabla_imprenta[LOTE],0)),"ENTREGADO")</f>
        <v>1545</v>
      </c>
      <c r="I281" s="139" t="str">
        <f>IF(Tabla_control[[#This Row],[STOCK SAP]]&gt;Tabla_control[[#This Row],[CANTIDAD IMPRIMIR]],"cubre","no cubre")</f>
        <v>no cubre</v>
      </c>
      <c r="J281" s="7">
        <f>IF(COUNTIF(Tabla_imprenta[LOTE],Tabla_control[[#This Row],[LOTE]])=1,INDEX(Tabla_imprenta[STOCK],MATCH(Tabla_control[[#This Row],[LOTE]],Tabla_imprenta[LOTE],0)),"ENTREGADO")</f>
        <v>2.3265910273933672</v>
      </c>
      <c r="K28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81" s="148" t="str">
        <f>INDEX(Tabla_imprenta[FECHA CAJA],MATCH(Tabla_control[[#This Row],[LOTE]],Tabla_imprenta[LOTE],0))</f>
        <v>ENTREGADO</v>
      </c>
      <c r="M28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28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28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32</v>
      </c>
      <c r="P281" s="170">
        <f>ROUNDUP(Tabla_control[[#This Row],[CANTIDAD IMPRIMIR]]/Tabla_control[[#This Row],[N TJ]],0)</f>
        <v>7500</v>
      </c>
      <c r="Q281" s="170">
        <f>IF(Tabla_control[[#This Row],[CANTIDAD TIRAJE]]&gt;10000,Tabla_control[[#This Row],[CANTIDAD TIRAJE]],Tabla_control[[#This Row],[CANTIDAD TIRAJE]]*2)</f>
        <v>15000</v>
      </c>
      <c r="R281" s="4" t="s">
        <v>173</v>
      </c>
      <c r="S281" s="4" t="s">
        <v>3759</v>
      </c>
      <c r="T281" s="4"/>
      <c r="U281" s="4"/>
      <c r="V281" s="4"/>
      <c r="W281" s="138" t="s">
        <v>3223</v>
      </c>
      <c r="X281" s="138"/>
      <c r="Y281" s="138"/>
      <c r="Z281" s="138"/>
      <c r="AA281" s="4" t="s">
        <v>2429</v>
      </c>
      <c r="AB281" s="184" t="s">
        <v>2028</v>
      </c>
    </row>
    <row r="282" spans="1:28" hidden="1" x14ac:dyDescent="0.2">
      <c r="A282" s="175" t="str">
        <f>IF(COUNTIF(Tabla_imprenta[LOTE],Tabla_control[[#This Row],[LOTE]])=1,INDEX(Tabla_imprenta[FECHA EMISIÓN],MATCH(Tabla_control[[#This Row],[LOTE]],Tabla_imprenta[LOTE],0)),"REALIZADO")</f>
        <v>REALIZADO</v>
      </c>
      <c r="B282" s="142" t="str">
        <f>IF(COUNTIF(Tabla_imprenta[LOTE],Tabla_control[[#This Row],[LOTE]])=1,INDEX(Tabla_imprenta[CÓD. SOLICITUD],MATCH(Tabla_control[[#This Row],[LOTE]],Tabla_imprenta[LOTE],0)),"REALIZADO")</f>
        <v>REALIZADO</v>
      </c>
      <c r="C282" s="178" t="str">
        <f>IF(COUNTIF(Tabla_imprenta[LOTE],Tabla_control[[#This Row],[LOTE]])=1,INDEX(Tabla_imprenta[PRODUCTO],MATCH(Tabla_control[[#This Row],[LOTE]],Tabla_imprenta[LOTE],0)),"REALIZADO")</f>
        <v>REALIZADO</v>
      </c>
      <c r="D282" s="142" t="str">
        <f>IF(COUNTIF(Tabla_imprenta[LOTE],Tabla_control[[#This Row],[LOTE]])=1,INDEX(Tabla_imprenta[FORMA FARMACEUTICA],MATCH(Tabla_control[[#This Row],[LOTE]],Tabla_imprenta[LOTE],0)),"REALIZADO")</f>
        <v>REALIZADO</v>
      </c>
      <c r="E282" s="177" t="str">
        <f>IF(COUNTIF(Tabla_imprenta[LOTE],Tabla_control[[#This Row],[LOTE]])=1,INDEX(Tabla_imprenta[INSTITUCIÓN],MATCH(Tabla_control[[#This Row],[LOTE]],Tabla_imprenta[LOTE],0)),"REALIZADO")</f>
        <v>REALIZADO</v>
      </c>
      <c r="F282" s="181" t="s">
        <v>2561</v>
      </c>
      <c r="G28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82" s="139" t="str">
        <f>IF(COUNTIF(Tabla_imprenta[LOTE],Tabla_control[[#This Row],[LOTE]])=1,INDEX(Tabla_imprenta[stock sap],MATCH(Tabla_control[[#This Row],[LOTE]],Tabla_imprenta[LOTE],0)),"ENTREGADO")</f>
        <v>ENTREGADO</v>
      </c>
      <c r="I282" s="139" t="str">
        <f>IF(Tabla_control[[#This Row],[STOCK SAP]]&gt;Tabla_control[[#This Row],[CANTIDAD IMPRIMIR]],"cubre","no cubre")</f>
        <v>no cubre</v>
      </c>
      <c r="J282" s="182" t="str">
        <f>IF(COUNTIF(Tabla_imprenta[LOTE],Tabla_control[[#This Row],[LOTE]])=1,INDEX(Tabla_imprenta[STOCK],MATCH(Tabla_control[[#This Row],[LOTE]],Tabla_imprenta[LOTE],0)),"ENTREGADO")</f>
        <v>ENTREGADO</v>
      </c>
      <c r="K28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82" s="148" t="e">
        <f>INDEX(Tabla_imprenta[FECHA CAJA],MATCH(Tabla_control[[#This Row],[LOTE]],Tabla_imprenta[LOTE],0))</f>
        <v>#N/A</v>
      </c>
      <c r="M28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8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8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82" s="170" t="e">
        <f>ROUNDUP(Tabla_control[[#This Row],[CANTIDAD IMPRIMIR]]/Tabla_control[[#This Row],[N TJ]],0)</f>
        <v>#VALUE!</v>
      </c>
      <c r="Q282" s="170" t="e">
        <f>IF(Tabla_control[[#This Row],[CANTIDAD TIRAJE]]&gt;10000,Tabla_control[[#This Row],[CANTIDAD TIRAJE]],Tabla_control[[#This Row],[CANTIDAD TIRAJE]]*2)</f>
        <v>#VALUE!</v>
      </c>
      <c r="R282" s="186" t="s">
        <v>172</v>
      </c>
      <c r="S282" s="4" t="s">
        <v>3759</v>
      </c>
      <c r="T282" s="4"/>
      <c r="U282" s="4"/>
      <c r="V282" s="4"/>
      <c r="W282" s="185" t="s">
        <v>3223</v>
      </c>
      <c r="X282" s="185"/>
      <c r="Y282" s="185"/>
      <c r="Z282" s="185"/>
      <c r="AA282" s="4" t="s">
        <v>2429</v>
      </c>
      <c r="AB282" s="184" t="s">
        <v>2028</v>
      </c>
    </row>
    <row r="283" spans="1:28" hidden="1" x14ac:dyDescent="0.2">
      <c r="A283" s="175" t="str">
        <f>IF(COUNTIF(Tabla_imprenta[LOTE],Tabla_control[[#This Row],[LOTE]])=1,INDEX(Tabla_imprenta[FECHA EMISIÓN],MATCH(Tabla_control[[#This Row],[LOTE]],Tabla_imprenta[LOTE],0)),"REALIZADO")</f>
        <v>REALIZADO</v>
      </c>
      <c r="B283" s="142" t="str">
        <f>IF(COUNTIF(Tabla_imprenta[LOTE],Tabla_control[[#This Row],[LOTE]])=1,INDEX(Tabla_imprenta[CÓD. SOLICITUD],MATCH(Tabla_control[[#This Row],[LOTE]],Tabla_imprenta[LOTE],0)),"REALIZADO")</f>
        <v>REALIZADO</v>
      </c>
      <c r="C283" s="177" t="str">
        <f>IF(COUNTIF(Tabla_imprenta[LOTE],Tabla_control[[#This Row],[LOTE]])=1,INDEX(Tabla_imprenta[PRODUCTO],MATCH(Tabla_control[[#This Row],[LOTE]],Tabla_imprenta[LOTE],0)),"REALIZADO")</f>
        <v>REALIZADO</v>
      </c>
      <c r="D283" s="142" t="str">
        <f>IF(COUNTIF(Tabla_imprenta[LOTE],Tabla_control[[#This Row],[LOTE]])=1,INDEX(Tabla_imprenta[FORMA FARMACEUTICA],MATCH(Tabla_control[[#This Row],[LOTE]],Tabla_imprenta[LOTE],0)),"REALIZADO")</f>
        <v>REALIZADO</v>
      </c>
      <c r="E283" s="177" t="str">
        <f>IF(COUNTIF(Tabla_imprenta[LOTE],Tabla_control[[#This Row],[LOTE]])=1,INDEX(Tabla_imprenta[INSTITUCIÓN],MATCH(Tabla_control[[#This Row],[LOTE]],Tabla_imprenta[LOTE],0)),"REALIZADO")</f>
        <v>REALIZADO</v>
      </c>
      <c r="F283" s="180" t="s">
        <v>2505</v>
      </c>
      <c r="G28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83" s="139" t="str">
        <f>IF(COUNTIF(Tabla_imprenta[LOTE],Tabla_control[[#This Row],[LOTE]])=1,INDEX(Tabla_imprenta[stock sap],MATCH(Tabla_control[[#This Row],[LOTE]],Tabla_imprenta[LOTE],0)),"ENTREGADO")</f>
        <v>ENTREGADO</v>
      </c>
      <c r="I283" s="139" t="str">
        <f>IF(Tabla_control[[#This Row],[STOCK SAP]]&gt;Tabla_control[[#This Row],[CANTIDAD IMPRIMIR]],"cubre","no cubre")</f>
        <v>no cubre</v>
      </c>
      <c r="J283" s="7" t="str">
        <f>IF(COUNTIF(Tabla_imprenta[LOTE],Tabla_control[[#This Row],[LOTE]])=1,INDEX(Tabla_imprenta[STOCK],MATCH(Tabla_control[[#This Row],[LOTE]],Tabla_imprenta[LOTE],0)),"ENTREGADO")</f>
        <v>ENTREGADO</v>
      </c>
      <c r="K28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83" s="148" t="e">
        <f>INDEX(Tabla_imprenta[FECHA CAJA],MATCH(Tabla_control[[#This Row],[LOTE]],Tabla_imprenta[LOTE],0))</f>
        <v>#N/A</v>
      </c>
      <c r="M28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8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8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83" s="170" t="e">
        <f>ROUNDUP(Tabla_control[[#This Row],[CANTIDAD IMPRIMIR]]/Tabla_control[[#This Row],[N TJ]],0)</f>
        <v>#VALUE!</v>
      </c>
      <c r="Q283" s="170" t="e">
        <f>IF(Tabla_control[[#This Row],[CANTIDAD TIRAJE]]&gt;10000,Tabla_control[[#This Row],[CANTIDAD TIRAJE]],Tabla_control[[#This Row],[CANTIDAD TIRAJE]]*2)</f>
        <v>#VALUE!</v>
      </c>
      <c r="R283" s="4" t="s">
        <v>175</v>
      </c>
      <c r="S283" s="4" t="s">
        <v>3759</v>
      </c>
      <c r="T283" s="4"/>
      <c r="U283" s="4"/>
      <c r="V283" s="4"/>
      <c r="W283" s="185" t="s">
        <v>3223</v>
      </c>
      <c r="X283" s="185"/>
      <c r="Y283" s="185"/>
      <c r="Z283" s="185"/>
      <c r="AA283" s="4" t="s">
        <v>2182</v>
      </c>
      <c r="AB283" s="184" t="s">
        <v>2028</v>
      </c>
    </row>
    <row r="284" spans="1:28" hidden="1" x14ac:dyDescent="0.2">
      <c r="A284" s="175" t="str">
        <f>IF(COUNTIF(Tabla_imprenta[LOTE],Tabla_control[[#This Row],[LOTE]])=1,INDEX(Tabla_imprenta[FECHA EMISIÓN],MATCH(Tabla_control[[#This Row],[LOTE]],Tabla_imprenta[LOTE],0)),"REALIZADO")</f>
        <v>REALIZADO</v>
      </c>
      <c r="B284" s="142" t="str">
        <f>IF(COUNTIF(Tabla_imprenta[LOTE],Tabla_control[[#This Row],[LOTE]])=1,INDEX(Tabla_imprenta[CÓD. SOLICITUD],MATCH(Tabla_control[[#This Row],[LOTE]],Tabla_imprenta[LOTE],0)),"REALIZADO")</f>
        <v>REALIZADO</v>
      </c>
      <c r="C284" s="178" t="str">
        <f>IF(COUNTIF(Tabla_imprenta[LOTE],Tabla_control[[#This Row],[LOTE]])=1,INDEX(Tabla_imprenta[PRODUCTO],MATCH(Tabla_control[[#This Row],[LOTE]],Tabla_imprenta[LOTE],0)),"REALIZADO")</f>
        <v>REALIZADO</v>
      </c>
      <c r="D284" s="142" t="str">
        <f>IF(COUNTIF(Tabla_imprenta[LOTE],Tabla_control[[#This Row],[LOTE]])=1,INDEX(Tabla_imprenta[FORMA FARMACEUTICA],MATCH(Tabla_control[[#This Row],[LOTE]],Tabla_imprenta[LOTE],0)),"REALIZADO")</f>
        <v>REALIZADO</v>
      </c>
      <c r="E284" s="177" t="str">
        <f>IF(COUNTIF(Tabla_imprenta[LOTE],Tabla_control[[#This Row],[LOTE]])=1,INDEX(Tabla_imprenta[INSTITUCIÓN],MATCH(Tabla_control[[#This Row],[LOTE]],Tabla_imprenta[LOTE],0)),"REALIZADO")</f>
        <v>REALIZADO</v>
      </c>
      <c r="F284" s="181" t="s">
        <v>2556</v>
      </c>
      <c r="G28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84" s="139" t="str">
        <f>IF(COUNTIF(Tabla_imprenta[LOTE],Tabla_control[[#This Row],[LOTE]])=1,INDEX(Tabla_imprenta[stock sap],MATCH(Tabla_control[[#This Row],[LOTE]],Tabla_imprenta[LOTE],0)),"ENTREGADO")</f>
        <v>ENTREGADO</v>
      </c>
      <c r="I284" s="139" t="str">
        <f>IF(Tabla_control[[#This Row],[STOCK SAP]]&gt;Tabla_control[[#This Row],[CANTIDAD IMPRIMIR]],"cubre","no cubre")</f>
        <v>no cubre</v>
      </c>
      <c r="J284" s="182" t="str">
        <f>IF(COUNTIF(Tabla_imprenta[LOTE],Tabla_control[[#This Row],[LOTE]])=1,INDEX(Tabla_imprenta[STOCK],MATCH(Tabla_control[[#This Row],[LOTE]],Tabla_imprenta[LOTE],0)),"ENTREGADO")</f>
        <v>ENTREGADO</v>
      </c>
      <c r="K28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84" s="148" t="e">
        <f>INDEX(Tabla_imprenta[FECHA CAJA],MATCH(Tabla_control[[#This Row],[LOTE]],Tabla_imprenta[LOTE],0))</f>
        <v>#N/A</v>
      </c>
      <c r="M28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8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8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84" s="170" t="e">
        <f>ROUNDUP(Tabla_control[[#This Row],[CANTIDAD IMPRIMIR]]/Tabla_control[[#This Row],[N TJ]],0)</f>
        <v>#VALUE!</v>
      </c>
      <c r="Q284" s="170" t="e">
        <f>IF(Tabla_control[[#This Row],[CANTIDAD TIRAJE]]&gt;10000,Tabla_control[[#This Row],[CANTIDAD TIRAJE]],Tabla_control[[#This Row],[CANTIDAD TIRAJE]]*2)</f>
        <v>#VALUE!</v>
      </c>
      <c r="R284" s="186" t="s">
        <v>172</v>
      </c>
      <c r="S284" s="4" t="s">
        <v>2311</v>
      </c>
      <c r="T284" s="4"/>
      <c r="U284" s="4"/>
      <c r="V284" s="4"/>
      <c r="W284" s="185" t="s">
        <v>2985</v>
      </c>
      <c r="X284" s="185"/>
      <c r="Y284" s="185"/>
      <c r="Z284" s="185"/>
      <c r="AA284" s="4" t="s">
        <v>2429</v>
      </c>
      <c r="AB284" s="184" t="s">
        <v>2028</v>
      </c>
    </row>
    <row r="285" spans="1:28" hidden="1" x14ac:dyDescent="0.2">
      <c r="A285" s="175" t="str">
        <f>IF(COUNTIF(Tabla_imprenta[LOTE],Tabla_control[[#This Row],[LOTE]])=1,INDEX(Tabla_imprenta[FECHA EMISIÓN],MATCH(Tabla_control[[#This Row],[LOTE]],Tabla_imprenta[LOTE],0)),"REALIZADO")</f>
        <v>REALIZADO</v>
      </c>
      <c r="B285" s="142" t="str">
        <f>IF(COUNTIF(Tabla_imprenta[LOTE],Tabla_control[[#This Row],[LOTE]])=1,INDEX(Tabla_imprenta[CÓD. SOLICITUD],MATCH(Tabla_control[[#This Row],[LOTE]],Tabla_imprenta[LOTE],0)),"REALIZADO")</f>
        <v>REALIZADO</v>
      </c>
      <c r="C285" s="177" t="str">
        <f>IF(COUNTIF(Tabla_imprenta[LOTE],Tabla_control[[#This Row],[LOTE]])=1,INDEX(Tabla_imprenta[PRODUCTO],MATCH(Tabla_control[[#This Row],[LOTE]],Tabla_imprenta[LOTE],0)),"REALIZADO")</f>
        <v>REALIZADO</v>
      </c>
      <c r="D285" s="142" t="str">
        <f>IF(COUNTIF(Tabla_imprenta[LOTE],Tabla_control[[#This Row],[LOTE]])=1,INDEX(Tabla_imprenta[FORMA FARMACEUTICA],MATCH(Tabla_control[[#This Row],[LOTE]],Tabla_imprenta[LOTE],0)),"REALIZADO")</f>
        <v>REALIZADO</v>
      </c>
      <c r="E285" s="177" t="str">
        <f>IF(COUNTIF(Tabla_imprenta[LOTE],Tabla_control[[#This Row],[LOTE]])=1,INDEX(Tabla_imprenta[INSTITUCIÓN],MATCH(Tabla_control[[#This Row],[LOTE]],Tabla_imprenta[LOTE],0)),"REALIZADO")</f>
        <v>REALIZADO</v>
      </c>
      <c r="F285" s="180" t="s">
        <v>2139</v>
      </c>
      <c r="G28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85" s="139" t="str">
        <f>IF(COUNTIF(Tabla_imprenta[LOTE],Tabla_control[[#This Row],[LOTE]])=1,INDEX(Tabla_imprenta[stock sap],MATCH(Tabla_control[[#This Row],[LOTE]],Tabla_imprenta[LOTE],0)),"ENTREGADO")</f>
        <v>ENTREGADO</v>
      </c>
      <c r="I285" s="139" t="str">
        <f>IF(Tabla_control[[#This Row],[STOCK SAP]]&gt;Tabla_control[[#This Row],[CANTIDAD IMPRIMIR]],"cubre","no cubre")</f>
        <v>no cubre</v>
      </c>
      <c r="J285" s="7" t="str">
        <f>IF(COUNTIF(Tabla_imprenta[LOTE],Tabla_control[[#This Row],[LOTE]])=1,INDEX(Tabla_imprenta[STOCK],MATCH(Tabla_control[[#This Row],[LOTE]],Tabla_imprenta[LOTE],0)),"ENTREGADO")</f>
        <v>ENTREGADO</v>
      </c>
      <c r="K28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85" s="148" t="e">
        <f>INDEX(Tabla_imprenta[FECHA CAJA],MATCH(Tabla_control[[#This Row],[LOTE]],Tabla_imprenta[LOTE],0))</f>
        <v>#N/A</v>
      </c>
      <c r="M28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8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8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85" s="169" t="e">
        <f>ROUNDUP(Tabla_control[[#This Row],[CANTIDAD IMPRIMIR]]/Tabla_control[[#This Row],[N TJ]],0)</f>
        <v>#VALUE!</v>
      </c>
      <c r="Q285" s="169" t="e">
        <f>IF(Tabla_control[[#This Row],[CANTIDAD TIRAJE]]&gt;10000,Tabla_control[[#This Row],[CANTIDAD TIRAJE]],Tabla_control[[#This Row],[CANTIDAD TIRAJE]]*2)</f>
        <v>#VALUE!</v>
      </c>
      <c r="R285" s="4" t="s">
        <v>177</v>
      </c>
      <c r="S285" s="4" t="s">
        <v>174</v>
      </c>
      <c r="T285" s="4"/>
      <c r="U285" s="4"/>
      <c r="V285" s="4"/>
      <c r="W285" s="138" t="s">
        <v>3223</v>
      </c>
      <c r="X285" s="138"/>
      <c r="Y285" s="138"/>
      <c r="Z285" s="138"/>
      <c r="AA285" s="4" t="s">
        <v>2314</v>
      </c>
      <c r="AB285" s="184" t="s">
        <v>2028</v>
      </c>
    </row>
    <row r="286" spans="1:28" hidden="1" x14ac:dyDescent="0.2">
      <c r="A286" s="175" t="str">
        <f>IF(COUNTIF(Tabla_imprenta[LOTE],Tabla_control[[#This Row],[LOTE]])=1,INDEX(Tabla_imprenta[FECHA EMISIÓN],MATCH(Tabla_control[[#This Row],[LOTE]],Tabla_imprenta[LOTE],0)),"REALIZADO")</f>
        <v>REALIZADO</v>
      </c>
      <c r="B286" s="142" t="str">
        <f>IF(COUNTIF(Tabla_imprenta[LOTE],Tabla_control[[#This Row],[LOTE]])=1,INDEX(Tabla_imprenta[CÓD. SOLICITUD],MATCH(Tabla_control[[#This Row],[LOTE]],Tabla_imprenta[LOTE],0)),"REALIZADO")</f>
        <v>REALIZADO</v>
      </c>
      <c r="C286" s="177" t="str">
        <f>IF(COUNTIF(Tabla_imprenta[LOTE],Tabla_control[[#This Row],[LOTE]])=1,INDEX(Tabla_imprenta[PRODUCTO],MATCH(Tabla_control[[#This Row],[LOTE]],Tabla_imprenta[LOTE],0)),"REALIZADO")</f>
        <v>REALIZADO</v>
      </c>
      <c r="D286" s="142" t="str">
        <f>IF(COUNTIF(Tabla_imprenta[LOTE],Tabla_control[[#This Row],[LOTE]])=1,INDEX(Tabla_imprenta[FORMA FARMACEUTICA],MATCH(Tabla_control[[#This Row],[LOTE]],Tabla_imprenta[LOTE],0)),"REALIZADO")</f>
        <v>REALIZADO</v>
      </c>
      <c r="E286" s="177" t="str">
        <f>IF(COUNTIF(Tabla_imprenta[LOTE],Tabla_control[[#This Row],[LOTE]])=1,INDEX(Tabla_imprenta[INSTITUCIÓN],MATCH(Tabla_control[[#This Row],[LOTE]],Tabla_imprenta[LOTE],0)),"REALIZADO")</f>
        <v>REALIZADO</v>
      </c>
      <c r="F286" s="180" t="s">
        <v>2560</v>
      </c>
      <c r="G28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86" s="139" t="str">
        <f>IF(COUNTIF(Tabla_imprenta[LOTE],Tabla_control[[#This Row],[LOTE]])=1,INDEX(Tabla_imprenta[stock sap],MATCH(Tabla_control[[#This Row],[LOTE]],Tabla_imprenta[LOTE],0)),"ENTREGADO")</f>
        <v>ENTREGADO</v>
      </c>
      <c r="I286" s="139" t="str">
        <f>IF(Tabla_control[[#This Row],[STOCK SAP]]&gt;Tabla_control[[#This Row],[CANTIDAD IMPRIMIR]],"cubre","no cubre")</f>
        <v>no cubre</v>
      </c>
      <c r="J286" s="7" t="str">
        <f>IF(COUNTIF(Tabla_imprenta[LOTE],Tabla_control[[#This Row],[LOTE]])=1,INDEX(Tabla_imprenta[STOCK],MATCH(Tabla_control[[#This Row],[LOTE]],Tabla_imprenta[LOTE],0)),"ENTREGADO")</f>
        <v>ENTREGADO</v>
      </c>
      <c r="K28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86" s="148" t="e">
        <f>INDEX(Tabla_imprenta[FECHA CAJA],MATCH(Tabla_control[[#This Row],[LOTE]],Tabla_imprenta[LOTE],0))</f>
        <v>#N/A</v>
      </c>
      <c r="M28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8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8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86" s="170" t="e">
        <f>ROUNDUP(Tabla_control[[#This Row],[CANTIDAD IMPRIMIR]]/Tabla_control[[#This Row],[N TJ]],0)</f>
        <v>#VALUE!</v>
      </c>
      <c r="Q286" s="170" t="e">
        <f>IF(Tabla_control[[#This Row],[CANTIDAD TIRAJE]]&gt;10000,Tabla_control[[#This Row],[CANTIDAD TIRAJE]],Tabla_control[[#This Row],[CANTIDAD TIRAJE]]*2)</f>
        <v>#VALUE!</v>
      </c>
      <c r="R286" s="4" t="s">
        <v>172</v>
      </c>
      <c r="S286" s="4" t="s">
        <v>3759</v>
      </c>
      <c r="T286" s="4"/>
      <c r="U286" s="4"/>
      <c r="V286" s="4"/>
      <c r="W286" s="185" t="s">
        <v>3223</v>
      </c>
      <c r="X286" s="185"/>
      <c r="Y286" s="185"/>
      <c r="Z286" s="185"/>
      <c r="AA286" s="4" t="s">
        <v>2182</v>
      </c>
      <c r="AB286" s="184" t="s">
        <v>2028</v>
      </c>
    </row>
    <row r="287" spans="1:28" hidden="1" x14ac:dyDescent="0.2">
      <c r="A287" s="175" t="str">
        <f>IF(COUNTIF(Tabla_imprenta[LOTE],Tabla_control[[#This Row],[LOTE]])=1,INDEX(Tabla_imprenta[FECHA EMISIÓN],MATCH(Tabla_control[[#This Row],[LOTE]],Tabla_imprenta[LOTE],0)),"REALIZADO")</f>
        <v>REALIZADO</v>
      </c>
      <c r="B287" s="142" t="str">
        <f>IF(COUNTIF(Tabla_imprenta[LOTE],Tabla_control[[#This Row],[LOTE]])=1,INDEX(Tabla_imprenta[CÓD. SOLICITUD],MATCH(Tabla_control[[#This Row],[LOTE]],Tabla_imprenta[LOTE],0)),"REALIZADO")</f>
        <v>REALIZADO</v>
      </c>
      <c r="C287" s="177" t="str">
        <f>IF(COUNTIF(Tabla_imprenta[LOTE],Tabla_control[[#This Row],[LOTE]])=1,INDEX(Tabla_imprenta[PRODUCTO],MATCH(Tabla_control[[#This Row],[LOTE]],Tabla_imprenta[LOTE],0)),"REALIZADO")</f>
        <v>REALIZADO</v>
      </c>
      <c r="D287" s="142" t="str">
        <f>IF(COUNTIF(Tabla_imprenta[LOTE],Tabla_control[[#This Row],[LOTE]])=1,INDEX(Tabla_imprenta[FORMA FARMACEUTICA],MATCH(Tabla_control[[#This Row],[LOTE]],Tabla_imprenta[LOTE],0)),"REALIZADO")</f>
        <v>REALIZADO</v>
      </c>
      <c r="E287" s="177" t="str">
        <f>IF(COUNTIF(Tabla_imprenta[LOTE],Tabla_control[[#This Row],[LOTE]])=1,INDEX(Tabla_imprenta[INSTITUCIÓN],MATCH(Tabla_control[[#This Row],[LOTE]],Tabla_imprenta[LOTE],0)),"REALIZADO")</f>
        <v>REALIZADO</v>
      </c>
      <c r="F287" s="180" t="s">
        <v>2166</v>
      </c>
      <c r="G28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87" s="139" t="str">
        <f>IF(COUNTIF(Tabla_imprenta[LOTE],Tabla_control[[#This Row],[LOTE]])=1,INDEX(Tabla_imprenta[stock sap],MATCH(Tabla_control[[#This Row],[LOTE]],Tabla_imprenta[LOTE],0)),"ENTREGADO")</f>
        <v>ENTREGADO</v>
      </c>
      <c r="I287" s="139" t="str">
        <f>IF(Tabla_control[[#This Row],[STOCK SAP]]&gt;Tabla_control[[#This Row],[CANTIDAD IMPRIMIR]],"cubre","no cubre")</f>
        <v>no cubre</v>
      </c>
      <c r="J287" s="7" t="str">
        <f>IF(COUNTIF(Tabla_imprenta[LOTE],Tabla_control[[#This Row],[LOTE]])=1,INDEX(Tabla_imprenta[STOCK],MATCH(Tabla_control[[#This Row],[LOTE]],Tabla_imprenta[LOTE],0)),"ENTREGADO")</f>
        <v>ENTREGADO</v>
      </c>
      <c r="K28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87" s="148" t="e">
        <f>INDEX(Tabla_imprenta[FECHA CAJA],MATCH(Tabla_control[[#This Row],[LOTE]],Tabla_imprenta[LOTE],0))</f>
        <v>#N/A</v>
      </c>
      <c r="M28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8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8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87" s="169" t="e">
        <f>ROUNDUP(Tabla_control[[#This Row],[CANTIDAD IMPRIMIR]]/Tabla_control[[#This Row],[N TJ]],0)</f>
        <v>#VALUE!</v>
      </c>
      <c r="Q287" s="169" t="e">
        <f>IF(Tabla_control[[#This Row],[CANTIDAD TIRAJE]]&gt;10000,Tabla_control[[#This Row],[CANTIDAD TIRAJE]],Tabla_control[[#This Row],[CANTIDAD TIRAJE]]*2)</f>
        <v>#VALUE!</v>
      </c>
      <c r="R287" s="4" t="s">
        <v>172</v>
      </c>
      <c r="S287" s="4" t="s">
        <v>30</v>
      </c>
      <c r="T287" s="4"/>
      <c r="U287" s="4"/>
      <c r="V287" s="4"/>
      <c r="W287" s="138" t="s">
        <v>3223</v>
      </c>
      <c r="X287" s="138"/>
      <c r="Y287" s="138"/>
      <c r="Z287" s="138"/>
      <c r="AA287" s="4" t="s">
        <v>2031</v>
      </c>
      <c r="AB287" s="184" t="s">
        <v>2028</v>
      </c>
    </row>
    <row r="288" spans="1:28" hidden="1" x14ac:dyDescent="0.2">
      <c r="A288" s="175" t="str">
        <f>IF(COUNTIF(Tabla_imprenta[LOTE],Tabla_control[[#This Row],[LOTE]])=1,INDEX(Tabla_imprenta[FECHA EMISIÓN],MATCH(Tabla_control[[#This Row],[LOTE]],Tabla_imprenta[LOTE],0)),"REALIZADO")</f>
        <v>REALIZADO</v>
      </c>
      <c r="B288" s="142" t="str">
        <f>IF(COUNTIF(Tabla_imprenta[LOTE],Tabla_control[[#This Row],[LOTE]])=1,INDEX(Tabla_imprenta[CÓD. SOLICITUD],MATCH(Tabla_control[[#This Row],[LOTE]],Tabla_imprenta[LOTE],0)),"REALIZADO")</f>
        <v>REALIZADO</v>
      </c>
      <c r="C288" s="177" t="str">
        <f>IF(COUNTIF(Tabla_imprenta[LOTE],Tabla_control[[#This Row],[LOTE]])=1,INDEX(Tabla_imprenta[PRODUCTO],MATCH(Tabla_control[[#This Row],[LOTE]],Tabla_imprenta[LOTE],0)),"REALIZADO")</f>
        <v>REALIZADO</v>
      </c>
      <c r="D288" s="142" t="str">
        <f>IF(COUNTIF(Tabla_imprenta[LOTE],Tabla_control[[#This Row],[LOTE]])=1,INDEX(Tabla_imprenta[FORMA FARMACEUTICA],MATCH(Tabla_control[[#This Row],[LOTE]],Tabla_imprenta[LOTE],0)),"REALIZADO")</f>
        <v>REALIZADO</v>
      </c>
      <c r="E288" s="177" t="str">
        <f>IF(COUNTIF(Tabla_imprenta[LOTE],Tabla_control[[#This Row],[LOTE]])=1,INDEX(Tabla_imprenta[INSTITUCIÓN],MATCH(Tabla_control[[#This Row],[LOTE]],Tabla_imprenta[LOTE],0)),"REALIZADO")</f>
        <v>REALIZADO</v>
      </c>
      <c r="F288" s="181" t="s">
        <v>3039</v>
      </c>
      <c r="G28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88" s="139" t="str">
        <f>IF(COUNTIF(Tabla_imprenta[LOTE],Tabla_control[[#This Row],[LOTE]])=1,INDEX(Tabla_imprenta[stock sap],MATCH(Tabla_control[[#This Row],[LOTE]],Tabla_imprenta[LOTE],0)),"ENTREGADO")</f>
        <v>ENTREGADO</v>
      </c>
      <c r="I288" s="139" t="str">
        <f>IF(Tabla_control[[#This Row],[STOCK SAP]]&gt;Tabla_control[[#This Row],[CANTIDAD IMPRIMIR]],"cubre","no cubre")</f>
        <v>no cubre</v>
      </c>
      <c r="J288" s="182" t="str">
        <f>IF(COUNTIF(Tabla_imprenta[LOTE],Tabla_control[[#This Row],[LOTE]])=1,INDEX(Tabla_imprenta[STOCK],MATCH(Tabla_control[[#This Row],[LOTE]],Tabla_imprenta[LOTE],0)),"ENTREGADO")</f>
        <v>ENTREGADO</v>
      </c>
      <c r="K28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88" s="148" t="e">
        <f>INDEX(Tabla_imprenta[FECHA CAJA],MATCH(Tabla_control[[#This Row],[LOTE]],Tabla_imprenta[LOTE],0))</f>
        <v>#N/A</v>
      </c>
      <c r="M28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8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8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88" s="170" t="e">
        <f>ROUNDUP(Tabla_control[[#This Row],[CANTIDAD IMPRIMIR]]/Tabla_control[[#This Row],[N TJ]],0)</f>
        <v>#VALUE!</v>
      </c>
      <c r="Q288" s="170" t="e">
        <f>IF(Tabla_control[[#This Row],[CANTIDAD TIRAJE]]&gt;10000,Tabla_control[[#This Row],[CANTIDAD TIRAJE]],Tabla_control[[#This Row],[CANTIDAD TIRAJE]]*2)</f>
        <v>#VALUE!</v>
      </c>
      <c r="R288" s="186" t="s">
        <v>175</v>
      </c>
      <c r="S288" s="4" t="s">
        <v>174</v>
      </c>
      <c r="T288" s="4"/>
      <c r="U288" s="4"/>
      <c r="V288" s="4"/>
      <c r="W288" s="187" t="s">
        <v>3223</v>
      </c>
      <c r="X288" s="187"/>
      <c r="Y288" s="187"/>
      <c r="Z288" s="187"/>
      <c r="AA288" s="186" t="s">
        <v>321</v>
      </c>
      <c r="AB288" s="184" t="s">
        <v>2028</v>
      </c>
    </row>
    <row r="289" spans="1:28" hidden="1" x14ac:dyDescent="0.2">
      <c r="A289" s="175" t="str">
        <f>IF(COUNTIF(Tabla_imprenta[LOTE],Tabla_control[[#This Row],[LOTE]])=1,INDEX(Tabla_imprenta[FECHA EMISIÓN],MATCH(Tabla_control[[#This Row],[LOTE]],Tabla_imprenta[LOTE],0)),"REALIZADO")</f>
        <v>REALIZADO</v>
      </c>
      <c r="B289" s="142" t="str">
        <f>IF(COUNTIF(Tabla_imprenta[LOTE],Tabla_control[[#This Row],[LOTE]])=1,INDEX(Tabla_imprenta[CÓD. SOLICITUD],MATCH(Tabla_control[[#This Row],[LOTE]],Tabla_imprenta[LOTE],0)),"REALIZADO")</f>
        <v>REALIZADO</v>
      </c>
      <c r="C289" s="177" t="str">
        <f>IF(COUNTIF(Tabla_imprenta[LOTE],Tabla_control[[#This Row],[LOTE]])=1,INDEX(Tabla_imprenta[PRODUCTO],MATCH(Tabla_control[[#This Row],[LOTE]],Tabla_imprenta[LOTE],0)),"REALIZADO")</f>
        <v>REALIZADO</v>
      </c>
      <c r="D289" s="142" t="str">
        <f>IF(COUNTIF(Tabla_imprenta[LOTE],Tabla_control[[#This Row],[LOTE]])=1,INDEX(Tabla_imprenta[FORMA FARMACEUTICA],MATCH(Tabla_control[[#This Row],[LOTE]],Tabla_imprenta[LOTE],0)),"REALIZADO")</f>
        <v>REALIZADO</v>
      </c>
      <c r="E289" s="177" t="str">
        <f>IF(COUNTIF(Tabla_imprenta[LOTE],Tabla_control[[#This Row],[LOTE]])=1,INDEX(Tabla_imprenta[INSTITUCIÓN],MATCH(Tabla_control[[#This Row],[LOTE]],Tabla_imprenta[LOTE],0)),"REALIZADO")</f>
        <v>REALIZADO</v>
      </c>
      <c r="F289" s="181" t="s">
        <v>3085</v>
      </c>
      <c r="G28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89" s="139" t="str">
        <f>IF(COUNTIF(Tabla_imprenta[LOTE],Tabla_control[[#This Row],[LOTE]])=1,INDEX(Tabla_imprenta[stock sap],MATCH(Tabla_control[[#This Row],[LOTE]],Tabla_imprenta[LOTE],0)),"ENTREGADO")</f>
        <v>ENTREGADO</v>
      </c>
      <c r="I289" s="139" t="str">
        <f>IF(Tabla_control[[#This Row],[STOCK SAP]]&gt;Tabla_control[[#This Row],[CANTIDAD IMPRIMIR]],"cubre","no cubre")</f>
        <v>no cubre</v>
      </c>
      <c r="J289" s="182" t="str">
        <f>IF(COUNTIF(Tabla_imprenta[LOTE],Tabla_control[[#This Row],[LOTE]])=1,INDEX(Tabla_imprenta[STOCK],MATCH(Tabla_control[[#This Row],[LOTE]],Tabla_imprenta[LOTE],0)),"ENTREGADO")</f>
        <v>ENTREGADO</v>
      </c>
      <c r="K28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89" s="148" t="e">
        <f>INDEX(Tabla_imprenta[FECHA CAJA],MATCH(Tabla_control[[#This Row],[LOTE]],Tabla_imprenta[LOTE],0))</f>
        <v>#N/A</v>
      </c>
      <c r="M28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8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8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89" s="170" t="e">
        <f>ROUNDUP(Tabla_control[[#This Row],[CANTIDAD IMPRIMIR]]/Tabla_control[[#This Row],[N TJ]],0)</f>
        <v>#VALUE!</v>
      </c>
      <c r="Q289" s="170" t="e">
        <f>IF(Tabla_control[[#This Row],[CANTIDAD TIRAJE]]&gt;10000,Tabla_control[[#This Row],[CANTIDAD TIRAJE]],Tabla_control[[#This Row],[CANTIDAD TIRAJE]]*2)</f>
        <v>#VALUE!</v>
      </c>
      <c r="R289" s="186" t="s">
        <v>172</v>
      </c>
      <c r="S289" s="4" t="s">
        <v>30</v>
      </c>
      <c r="T289" s="4"/>
      <c r="U289" s="4"/>
      <c r="V289" s="4"/>
      <c r="W289" s="187" t="s">
        <v>3223</v>
      </c>
      <c r="X289" s="187"/>
      <c r="Y289" s="187"/>
      <c r="Z289" s="187"/>
      <c r="AA289" s="186" t="s">
        <v>321</v>
      </c>
      <c r="AB289" s="184" t="s">
        <v>2028</v>
      </c>
    </row>
    <row r="290" spans="1:28" hidden="1" x14ac:dyDescent="0.2">
      <c r="A290" s="175" t="str">
        <f>IF(COUNTIF(Tabla_imprenta[LOTE],Tabla_control[[#This Row],[LOTE]])=1,INDEX(Tabla_imprenta[FECHA EMISIÓN],MATCH(Tabla_control[[#This Row],[LOTE]],Tabla_imprenta[LOTE],0)),"REALIZADO")</f>
        <v>REALIZADO</v>
      </c>
      <c r="B290" s="142" t="str">
        <f>IF(COUNTIF(Tabla_imprenta[LOTE],Tabla_control[[#This Row],[LOTE]])=1,INDEX(Tabla_imprenta[CÓD. SOLICITUD],MATCH(Tabla_control[[#This Row],[LOTE]],Tabla_imprenta[LOTE],0)),"REALIZADO")</f>
        <v>REALIZADO</v>
      </c>
      <c r="C290" s="177" t="str">
        <f>IF(COUNTIF(Tabla_imprenta[LOTE],Tabla_control[[#This Row],[LOTE]])=1,INDEX(Tabla_imprenta[PRODUCTO],MATCH(Tabla_control[[#This Row],[LOTE]],Tabla_imprenta[LOTE],0)),"REALIZADO")</f>
        <v>REALIZADO</v>
      </c>
      <c r="D290" s="142" t="str">
        <f>IF(COUNTIF(Tabla_imprenta[LOTE],Tabla_control[[#This Row],[LOTE]])=1,INDEX(Tabla_imprenta[FORMA FARMACEUTICA],MATCH(Tabla_control[[#This Row],[LOTE]],Tabla_imprenta[LOTE],0)),"REALIZADO")</f>
        <v>REALIZADO</v>
      </c>
      <c r="E290" s="177" t="str">
        <f>IF(COUNTIF(Tabla_imprenta[LOTE],Tabla_control[[#This Row],[LOTE]])=1,INDEX(Tabla_imprenta[INSTITUCIÓN],MATCH(Tabla_control[[#This Row],[LOTE]],Tabla_imprenta[LOTE],0)),"REALIZADO")</f>
        <v>REALIZADO</v>
      </c>
      <c r="F290" s="180" t="s">
        <v>2226</v>
      </c>
      <c r="G29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90" s="139" t="str">
        <f>IF(COUNTIF(Tabla_imprenta[LOTE],Tabla_control[[#This Row],[LOTE]])=1,INDEX(Tabla_imprenta[stock sap],MATCH(Tabla_control[[#This Row],[LOTE]],Tabla_imprenta[LOTE],0)),"ENTREGADO")</f>
        <v>ENTREGADO</v>
      </c>
      <c r="I290" s="139" t="str">
        <f>IF(Tabla_control[[#This Row],[STOCK SAP]]&gt;Tabla_control[[#This Row],[CANTIDAD IMPRIMIR]],"cubre","no cubre")</f>
        <v>no cubre</v>
      </c>
      <c r="J290" s="7" t="str">
        <f>IF(COUNTIF(Tabla_imprenta[LOTE],Tabla_control[[#This Row],[LOTE]])=1,INDEX(Tabla_imprenta[STOCK],MATCH(Tabla_control[[#This Row],[LOTE]],Tabla_imprenta[LOTE],0)),"ENTREGADO")</f>
        <v>ENTREGADO</v>
      </c>
      <c r="K29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90" s="148" t="e">
        <f>INDEX(Tabla_imprenta[FECHA CAJA],MATCH(Tabla_control[[#This Row],[LOTE]],Tabla_imprenta[LOTE],0))</f>
        <v>#N/A</v>
      </c>
      <c r="M29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9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9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90" s="169" t="e">
        <f>ROUNDUP(Tabla_control[[#This Row],[CANTIDAD IMPRIMIR]]/Tabla_control[[#This Row],[N TJ]],0)</f>
        <v>#VALUE!</v>
      </c>
      <c r="Q290" s="169" t="e">
        <f>IF(Tabla_control[[#This Row],[CANTIDAD TIRAJE]]&gt;10000,Tabla_control[[#This Row],[CANTIDAD TIRAJE]],Tabla_control[[#This Row],[CANTIDAD TIRAJE]]*2)</f>
        <v>#VALUE!</v>
      </c>
      <c r="R290" s="4" t="s">
        <v>172</v>
      </c>
      <c r="S290" s="4" t="s">
        <v>30</v>
      </c>
      <c r="T290" s="4"/>
      <c r="U290" s="4"/>
      <c r="V290" s="4"/>
      <c r="W290" s="138" t="s">
        <v>3223</v>
      </c>
      <c r="X290" s="138"/>
      <c r="Y290" s="138"/>
      <c r="Z290" s="138"/>
      <c r="AA290" s="4" t="s">
        <v>2031</v>
      </c>
      <c r="AB290" s="184" t="s">
        <v>2028</v>
      </c>
    </row>
    <row r="291" spans="1:28" hidden="1" x14ac:dyDescent="0.2">
      <c r="A291" s="175" t="str">
        <f>IF(COUNTIF(Tabla_imprenta[LOTE],Tabla_control[[#This Row],[LOTE]])=1,INDEX(Tabla_imprenta[FECHA EMISIÓN],MATCH(Tabla_control[[#This Row],[LOTE]],Tabla_imprenta[LOTE],0)),"REALIZADO")</f>
        <v>REALIZADO</v>
      </c>
      <c r="B291" s="142" t="str">
        <f>IF(COUNTIF(Tabla_imprenta[LOTE],Tabla_control[[#This Row],[LOTE]])=1,INDEX(Tabla_imprenta[CÓD. SOLICITUD],MATCH(Tabla_control[[#This Row],[LOTE]],Tabla_imprenta[LOTE],0)),"REALIZADO")</f>
        <v>REALIZADO</v>
      </c>
      <c r="C291" s="177" t="str">
        <f>IF(COUNTIF(Tabla_imprenta[LOTE],Tabla_control[[#This Row],[LOTE]])=1,INDEX(Tabla_imprenta[PRODUCTO],MATCH(Tabla_control[[#This Row],[LOTE]],Tabla_imprenta[LOTE],0)),"REALIZADO")</f>
        <v>REALIZADO</v>
      </c>
      <c r="D291" s="142" t="str">
        <f>IF(COUNTIF(Tabla_imprenta[LOTE],Tabla_control[[#This Row],[LOTE]])=1,INDEX(Tabla_imprenta[FORMA FARMACEUTICA],MATCH(Tabla_control[[#This Row],[LOTE]],Tabla_imprenta[LOTE],0)),"REALIZADO")</f>
        <v>REALIZADO</v>
      </c>
      <c r="E291" s="177" t="str">
        <f>IF(COUNTIF(Tabla_imprenta[LOTE],Tabla_control[[#This Row],[LOTE]])=1,INDEX(Tabla_imprenta[INSTITUCIÓN],MATCH(Tabla_control[[#This Row],[LOTE]],Tabla_imprenta[LOTE],0)),"REALIZADO")</f>
        <v>REALIZADO</v>
      </c>
      <c r="F291" s="183" t="s">
        <v>138</v>
      </c>
      <c r="G29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91" s="139" t="str">
        <f>IF(COUNTIF(Tabla_imprenta[LOTE],Tabla_control[[#This Row],[LOTE]])=1,INDEX(Tabla_imprenta[stock sap],MATCH(Tabla_control[[#This Row],[LOTE]],Tabla_imprenta[LOTE],0)),"ENTREGADO")</f>
        <v>ENTREGADO</v>
      </c>
      <c r="I291" s="139" t="str">
        <f>IF(Tabla_control[[#This Row],[STOCK SAP]]&gt;Tabla_control[[#This Row],[CANTIDAD IMPRIMIR]],"cubre","no cubre")</f>
        <v>no cubre</v>
      </c>
      <c r="J291" s="7" t="str">
        <f>IF(COUNTIF(Tabla_imprenta[LOTE],Tabla_control[[#This Row],[LOTE]])=1,INDEX(Tabla_imprenta[STOCK],MATCH(Tabla_control[[#This Row],[LOTE]],Tabla_imprenta[LOTE],0)),"ENTREGADO")</f>
        <v>ENTREGADO</v>
      </c>
      <c r="K29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91" s="149" t="e">
        <f>INDEX(Tabla_imprenta[FECHA CAJA],MATCH(Tabla_control[[#This Row],[LOTE]],Tabla_imprenta[LOTE],0))</f>
        <v>#N/A</v>
      </c>
      <c r="M29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91" s="167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91" s="167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91" s="171" t="e">
        <f>ROUNDUP(Tabla_control[[#This Row],[CANTIDAD IMPRIMIR]]/Tabla_control[[#This Row],[N TJ]],0)</f>
        <v>#VALUE!</v>
      </c>
      <c r="Q291" s="171" t="e">
        <f>IF(Tabla_control[[#This Row],[CANTIDAD TIRAJE]]&gt;10000,Tabla_control[[#This Row],[CANTIDAD TIRAJE]],Tabla_control[[#This Row],[CANTIDAD TIRAJE]]*2)</f>
        <v>#VALUE!</v>
      </c>
      <c r="R291" s="4" t="s">
        <v>172</v>
      </c>
      <c r="S291" s="4" t="s">
        <v>3759</v>
      </c>
      <c r="T291" s="4"/>
      <c r="U291" s="4"/>
      <c r="V291" s="4"/>
      <c r="W291" s="155" t="s">
        <v>3223</v>
      </c>
      <c r="X291" s="155"/>
      <c r="Y291" s="155"/>
      <c r="Z291" s="155"/>
      <c r="AA291" s="4" t="s">
        <v>2182</v>
      </c>
      <c r="AB291" s="184" t="s">
        <v>2028</v>
      </c>
    </row>
    <row r="292" spans="1:28" hidden="1" x14ac:dyDescent="0.2">
      <c r="A292" s="175" t="str">
        <f>IF(COUNTIF(Tabla_imprenta[LOTE],Tabla_control[[#This Row],[LOTE]])=1,INDEX(Tabla_imprenta[FECHA EMISIÓN],MATCH(Tabla_control[[#This Row],[LOTE]],Tabla_imprenta[LOTE],0)),"REALIZADO")</f>
        <v>REALIZADO</v>
      </c>
      <c r="B292" s="142" t="str">
        <f>IF(COUNTIF(Tabla_imprenta[LOTE],Tabla_control[[#This Row],[LOTE]])=1,INDEX(Tabla_imprenta[CÓD. SOLICITUD],MATCH(Tabla_control[[#This Row],[LOTE]],Tabla_imprenta[LOTE],0)),"REALIZADO")</f>
        <v>REALIZADO</v>
      </c>
      <c r="C292" s="177" t="str">
        <f>IF(COUNTIF(Tabla_imprenta[LOTE],Tabla_control[[#This Row],[LOTE]])=1,INDEX(Tabla_imprenta[PRODUCTO],MATCH(Tabla_control[[#This Row],[LOTE]],Tabla_imprenta[LOTE],0)),"REALIZADO")</f>
        <v>REALIZADO</v>
      </c>
      <c r="D292" s="142" t="str">
        <f>IF(COUNTIF(Tabla_imprenta[LOTE],Tabla_control[[#This Row],[LOTE]])=1,INDEX(Tabla_imprenta[FORMA FARMACEUTICA],MATCH(Tabla_control[[#This Row],[LOTE]],Tabla_imprenta[LOTE],0)),"REALIZADO")</f>
        <v>REALIZADO</v>
      </c>
      <c r="E292" s="177" t="str">
        <f>IF(COUNTIF(Tabla_imprenta[LOTE],Tabla_control[[#This Row],[LOTE]])=1,INDEX(Tabla_imprenta[INSTITUCIÓN],MATCH(Tabla_control[[#This Row],[LOTE]],Tabla_imprenta[LOTE],0)),"REALIZADO")</f>
        <v>REALIZADO</v>
      </c>
      <c r="F292" s="180" t="s">
        <v>2948</v>
      </c>
      <c r="G29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92" s="139" t="str">
        <f>IF(COUNTIF(Tabla_imprenta[LOTE],Tabla_control[[#This Row],[LOTE]])=1,INDEX(Tabla_imprenta[stock sap],MATCH(Tabla_control[[#This Row],[LOTE]],Tabla_imprenta[LOTE],0)),"ENTREGADO")</f>
        <v>ENTREGADO</v>
      </c>
      <c r="I292" s="139" t="str">
        <f>IF(Tabla_control[[#This Row],[STOCK SAP]]&gt;Tabla_control[[#This Row],[CANTIDAD IMPRIMIR]],"cubre","no cubre")</f>
        <v>no cubre</v>
      </c>
      <c r="J292" s="7" t="str">
        <f>IF(COUNTIF(Tabla_imprenta[LOTE],Tabla_control[[#This Row],[LOTE]])=1,INDEX(Tabla_imprenta[STOCK],MATCH(Tabla_control[[#This Row],[LOTE]],Tabla_imprenta[LOTE],0)),"ENTREGADO")</f>
        <v>ENTREGADO</v>
      </c>
      <c r="K29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92" s="148" t="e">
        <f>INDEX(Tabla_imprenta[FECHA CAJA],MATCH(Tabla_control[[#This Row],[LOTE]],Tabla_imprenta[LOTE],0))</f>
        <v>#N/A</v>
      </c>
      <c r="M29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9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9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92" s="169" t="e">
        <f>ROUNDUP(Tabla_control[[#This Row],[CANTIDAD IMPRIMIR]]/Tabla_control[[#This Row],[N TJ]],0)</f>
        <v>#VALUE!</v>
      </c>
      <c r="Q292" s="169" t="e">
        <f>IF(Tabla_control[[#This Row],[CANTIDAD TIRAJE]]&gt;10000,Tabla_control[[#This Row],[CANTIDAD TIRAJE]],Tabla_control[[#This Row],[CANTIDAD TIRAJE]]*2)</f>
        <v>#VALUE!</v>
      </c>
      <c r="R292" s="4" t="s">
        <v>172</v>
      </c>
      <c r="S292" s="4" t="s">
        <v>31</v>
      </c>
      <c r="T292" s="4"/>
      <c r="U292" s="4"/>
      <c r="V292" s="4"/>
      <c r="W292" s="138" t="s">
        <v>3223</v>
      </c>
      <c r="X292" s="138"/>
      <c r="Y292" s="138"/>
      <c r="Z292" s="138"/>
      <c r="AA292" s="4" t="s">
        <v>2031</v>
      </c>
      <c r="AB292" s="184" t="s">
        <v>2028</v>
      </c>
    </row>
    <row r="293" spans="1:28" hidden="1" x14ac:dyDescent="0.2">
      <c r="A293" s="175" t="str">
        <f>IF(COUNTIF(Tabla_imprenta[LOTE],Tabla_control[[#This Row],[LOTE]])=1,INDEX(Tabla_imprenta[FECHA EMISIÓN],MATCH(Tabla_control[[#This Row],[LOTE]],Tabla_imprenta[LOTE],0)),"REALIZADO")</f>
        <v>REALIZADO</v>
      </c>
      <c r="B293" s="142" t="str">
        <f>IF(COUNTIF(Tabla_imprenta[LOTE],Tabla_control[[#This Row],[LOTE]])=1,INDEX(Tabla_imprenta[CÓD. SOLICITUD],MATCH(Tabla_control[[#This Row],[LOTE]],Tabla_imprenta[LOTE],0)),"REALIZADO")</f>
        <v>REALIZADO</v>
      </c>
      <c r="C293" s="177" t="str">
        <f>IF(COUNTIF(Tabla_imprenta[LOTE],Tabla_control[[#This Row],[LOTE]])=1,INDEX(Tabla_imprenta[PRODUCTO],MATCH(Tabla_control[[#This Row],[LOTE]],Tabla_imprenta[LOTE],0)),"REALIZADO")</f>
        <v>REALIZADO</v>
      </c>
      <c r="D293" s="142" t="str">
        <f>IF(COUNTIF(Tabla_imprenta[LOTE],Tabla_control[[#This Row],[LOTE]])=1,INDEX(Tabla_imprenta[FORMA FARMACEUTICA],MATCH(Tabla_control[[#This Row],[LOTE]],Tabla_imprenta[LOTE],0)),"REALIZADO")</f>
        <v>REALIZADO</v>
      </c>
      <c r="E293" s="177" t="str">
        <f>IF(COUNTIF(Tabla_imprenta[LOTE],Tabla_control[[#This Row],[LOTE]])=1,INDEX(Tabla_imprenta[INSTITUCIÓN],MATCH(Tabla_control[[#This Row],[LOTE]],Tabla_imprenta[LOTE],0)),"REALIZADO")</f>
        <v>REALIZADO</v>
      </c>
      <c r="F293" s="183" t="s">
        <v>108</v>
      </c>
      <c r="G29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93" s="139" t="str">
        <f>IF(COUNTIF(Tabla_imprenta[LOTE],Tabla_control[[#This Row],[LOTE]])=1,INDEX(Tabla_imprenta[stock sap],MATCH(Tabla_control[[#This Row],[LOTE]],Tabla_imprenta[LOTE],0)),"ENTREGADO")</f>
        <v>ENTREGADO</v>
      </c>
      <c r="I293" s="139" t="str">
        <f>IF(Tabla_control[[#This Row],[STOCK SAP]]&gt;Tabla_control[[#This Row],[CANTIDAD IMPRIMIR]],"cubre","no cubre")</f>
        <v>no cubre</v>
      </c>
      <c r="J293" s="7" t="str">
        <f>IF(COUNTIF(Tabla_imprenta[LOTE],Tabla_control[[#This Row],[LOTE]])=1,INDEX(Tabla_imprenta[STOCK],MATCH(Tabla_control[[#This Row],[LOTE]],Tabla_imprenta[LOTE],0)),"ENTREGADO")</f>
        <v>ENTREGADO</v>
      </c>
      <c r="K29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93" s="149" t="e">
        <f>INDEX(Tabla_imprenta[FECHA CAJA],MATCH(Tabla_control[[#This Row],[LOTE]],Tabla_imprenta[LOTE],0))</f>
        <v>#N/A</v>
      </c>
      <c r="M29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93" s="167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93" s="167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93" s="168" t="e">
        <f>ROUNDUP(Tabla_control[[#This Row],[CANTIDAD IMPRIMIR]]/Tabla_control[[#This Row],[N TJ]],0)</f>
        <v>#VALUE!</v>
      </c>
      <c r="Q293" s="168" t="e">
        <f>IF(Tabla_control[[#This Row],[CANTIDAD TIRAJE]]&gt;10000,Tabla_control[[#This Row],[CANTIDAD TIRAJE]],Tabla_control[[#This Row],[CANTIDAD TIRAJE]]*2)</f>
        <v>#VALUE!</v>
      </c>
      <c r="R293" s="4" t="s">
        <v>173</v>
      </c>
      <c r="S293" s="4" t="s">
        <v>174</v>
      </c>
      <c r="T293" s="4"/>
      <c r="U293" s="4"/>
      <c r="V293" s="4"/>
      <c r="W293" s="138" t="s">
        <v>3223</v>
      </c>
      <c r="X293" s="138"/>
      <c r="Y293" s="138"/>
      <c r="Z293" s="138"/>
      <c r="AA293" s="4" t="s">
        <v>2314</v>
      </c>
      <c r="AB293" s="184" t="s">
        <v>2028</v>
      </c>
    </row>
    <row r="294" spans="1:28" hidden="1" x14ac:dyDescent="0.2">
      <c r="A294" s="175" t="str">
        <f>IF(COUNTIF(Tabla_imprenta[LOTE],Tabla_control[[#This Row],[LOTE]])=1,INDEX(Tabla_imprenta[FECHA EMISIÓN],MATCH(Tabla_control[[#This Row],[LOTE]],Tabla_imprenta[LOTE],0)),"REALIZADO")</f>
        <v>REALIZADO</v>
      </c>
      <c r="B294" s="142" t="str">
        <f>IF(COUNTIF(Tabla_imprenta[LOTE],Tabla_control[[#This Row],[LOTE]])=1,INDEX(Tabla_imprenta[CÓD. SOLICITUD],MATCH(Tabla_control[[#This Row],[LOTE]],Tabla_imprenta[LOTE],0)),"REALIZADO")</f>
        <v>REALIZADO</v>
      </c>
      <c r="C294" s="177" t="str">
        <f>IF(COUNTIF(Tabla_imprenta[LOTE],Tabla_control[[#This Row],[LOTE]])=1,INDEX(Tabla_imprenta[PRODUCTO],MATCH(Tabla_control[[#This Row],[LOTE]],Tabla_imprenta[LOTE],0)),"REALIZADO")</f>
        <v>REALIZADO</v>
      </c>
      <c r="D294" s="142" t="str">
        <f>IF(COUNTIF(Tabla_imprenta[LOTE],Tabla_control[[#This Row],[LOTE]])=1,INDEX(Tabla_imprenta[FORMA FARMACEUTICA],MATCH(Tabla_control[[#This Row],[LOTE]],Tabla_imprenta[LOTE],0)),"REALIZADO")</f>
        <v>REALIZADO</v>
      </c>
      <c r="E294" s="177" t="str">
        <f>IF(COUNTIF(Tabla_imprenta[LOTE],Tabla_control[[#This Row],[LOTE]])=1,INDEX(Tabla_imprenta[INSTITUCIÓN],MATCH(Tabla_control[[#This Row],[LOTE]],Tabla_imprenta[LOTE],0)),"REALIZADO")</f>
        <v>REALIZADO</v>
      </c>
      <c r="F294" s="180" t="s">
        <v>2199</v>
      </c>
      <c r="G29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94" s="139" t="str">
        <f>IF(COUNTIF(Tabla_imprenta[LOTE],Tabla_control[[#This Row],[LOTE]])=1,INDEX(Tabla_imprenta[stock sap],MATCH(Tabla_control[[#This Row],[LOTE]],Tabla_imprenta[LOTE],0)),"ENTREGADO")</f>
        <v>ENTREGADO</v>
      </c>
      <c r="I294" s="139" t="str">
        <f>IF(Tabla_control[[#This Row],[STOCK SAP]]&gt;Tabla_control[[#This Row],[CANTIDAD IMPRIMIR]],"cubre","no cubre")</f>
        <v>no cubre</v>
      </c>
      <c r="J294" s="7" t="str">
        <f>IF(COUNTIF(Tabla_imprenta[LOTE],Tabla_control[[#This Row],[LOTE]])=1,INDEX(Tabla_imprenta[STOCK],MATCH(Tabla_control[[#This Row],[LOTE]],Tabla_imprenta[LOTE],0)),"ENTREGADO")</f>
        <v>ENTREGADO</v>
      </c>
      <c r="K29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94" s="148" t="e">
        <f>INDEX(Tabla_imprenta[FECHA CAJA],MATCH(Tabla_control[[#This Row],[LOTE]],Tabla_imprenta[LOTE],0))</f>
        <v>#N/A</v>
      </c>
      <c r="M29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9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9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94" s="169" t="e">
        <f>ROUNDUP(Tabla_control[[#This Row],[CANTIDAD IMPRIMIR]]/Tabla_control[[#This Row],[N TJ]],0)</f>
        <v>#VALUE!</v>
      </c>
      <c r="Q294" s="169" t="e">
        <f>IF(Tabla_control[[#This Row],[CANTIDAD TIRAJE]]&gt;10000,Tabla_control[[#This Row],[CANTIDAD TIRAJE]],Tabla_control[[#This Row],[CANTIDAD TIRAJE]]*2)</f>
        <v>#VALUE!</v>
      </c>
      <c r="R294" s="4" t="s">
        <v>172</v>
      </c>
      <c r="S294" s="4" t="s">
        <v>30</v>
      </c>
      <c r="T294" s="4"/>
      <c r="U294" s="4"/>
      <c r="V294" s="4"/>
      <c r="W294" s="138" t="s">
        <v>3223</v>
      </c>
      <c r="X294" s="138"/>
      <c r="Y294" s="138"/>
      <c r="Z294" s="138"/>
      <c r="AA294" s="4" t="s">
        <v>2031</v>
      </c>
      <c r="AB294" s="184" t="s">
        <v>2028</v>
      </c>
    </row>
    <row r="295" spans="1:28" hidden="1" x14ac:dyDescent="0.2">
      <c r="A295" s="175" t="str">
        <f>IF(COUNTIF(Tabla_imprenta[LOTE],Tabla_control[[#This Row],[LOTE]])=1,INDEX(Tabla_imprenta[FECHA EMISIÓN],MATCH(Tabla_control[[#This Row],[LOTE]],Tabla_imprenta[LOTE],0)),"REALIZADO")</f>
        <v>REALIZADO</v>
      </c>
      <c r="B295" s="142" t="str">
        <f>IF(COUNTIF(Tabla_imprenta[LOTE],Tabla_control[[#This Row],[LOTE]])=1,INDEX(Tabla_imprenta[CÓD. SOLICITUD],MATCH(Tabla_control[[#This Row],[LOTE]],Tabla_imprenta[LOTE],0)),"REALIZADO")</f>
        <v>REALIZADO</v>
      </c>
      <c r="C295" s="177" t="str">
        <f>IF(COUNTIF(Tabla_imprenta[LOTE],Tabla_control[[#This Row],[LOTE]])=1,INDEX(Tabla_imprenta[PRODUCTO],MATCH(Tabla_control[[#This Row],[LOTE]],Tabla_imprenta[LOTE],0)),"REALIZADO")</f>
        <v>REALIZADO</v>
      </c>
      <c r="D295" s="142" t="str">
        <f>IF(COUNTIF(Tabla_imprenta[LOTE],Tabla_control[[#This Row],[LOTE]])=1,INDEX(Tabla_imprenta[FORMA FARMACEUTICA],MATCH(Tabla_control[[#This Row],[LOTE]],Tabla_imprenta[LOTE],0)),"REALIZADO")</f>
        <v>REALIZADO</v>
      </c>
      <c r="E295" s="177" t="str">
        <f>IF(COUNTIF(Tabla_imprenta[LOTE],Tabla_control[[#This Row],[LOTE]])=1,INDEX(Tabla_imprenta[INSTITUCIÓN],MATCH(Tabla_control[[#This Row],[LOTE]],Tabla_imprenta[LOTE],0)),"REALIZADO")</f>
        <v>REALIZADO</v>
      </c>
      <c r="F295" s="181" t="s">
        <v>3227</v>
      </c>
      <c r="G29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95" s="139" t="str">
        <f>IF(COUNTIF(Tabla_imprenta[LOTE],Tabla_control[[#This Row],[LOTE]])=1,INDEX(Tabla_imprenta[stock sap],MATCH(Tabla_control[[#This Row],[LOTE]],Tabla_imprenta[LOTE],0)),"ENTREGADO")</f>
        <v>ENTREGADO</v>
      </c>
      <c r="I295" s="139" t="str">
        <f>IF(Tabla_control[[#This Row],[STOCK SAP]]&gt;Tabla_control[[#This Row],[CANTIDAD IMPRIMIR]],"cubre","no cubre")</f>
        <v>no cubre</v>
      </c>
      <c r="J295" s="182" t="str">
        <f>IF(COUNTIF(Tabla_imprenta[LOTE],Tabla_control[[#This Row],[LOTE]])=1,INDEX(Tabla_imprenta[STOCK],MATCH(Tabla_control[[#This Row],[LOTE]],Tabla_imprenta[LOTE],0)),"ENTREGADO")</f>
        <v>ENTREGADO</v>
      </c>
      <c r="K29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95" s="148" t="e">
        <f>INDEX(Tabla_imprenta[FECHA CAJA],MATCH(Tabla_control[[#This Row],[LOTE]],Tabla_imprenta[LOTE],0))</f>
        <v>#N/A</v>
      </c>
      <c r="M29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9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9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95" s="170" t="e">
        <f>ROUNDUP(Tabla_control[[#This Row],[CANTIDAD IMPRIMIR]]/Tabla_control[[#This Row],[N TJ]],0)</f>
        <v>#VALUE!</v>
      </c>
      <c r="Q295" s="170" t="e">
        <f>IF(Tabla_control[[#This Row],[CANTIDAD TIRAJE]]&gt;10000,Tabla_control[[#This Row],[CANTIDAD TIRAJE]],Tabla_control[[#This Row],[CANTIDAD TIRAJE]]*2)</f>
        <v>#VALUE!</v>
      </c>
      <c r="R295" s="186" t="s">
        <v>175</v>
      </c>
      <c r="S295" s="4" t="s">
        <v>3759</v>
      </c>
      <c r="T295" s="4"/>
      <c r="U295" s="4"/>
      <c r="V295" s="4"/>
      <c r="W295" s="185" t="s">
        <v>3223</v>
      </c>
      <c r="X295" s="185"/>
      <c r="Y295" s="185"/>
      <c r="Z295" s="185"/>
      <c r="AA295" s="4" t="s">
        <v>2429</v>
      </c>
      <c r="AB295" s="184" t="s">
        <v>2028</v>
      </c>
    </row>
    <row r="296" spans="1:28" hidden="1" x14ac:dyDescent="0.2">
      <c r="A296" s="175" t="str">
        <f>IF(COUNTIF(Tabla_imprenta[LOTE],Tabla_control[[#This Row],[LOTE]])=1,INDEX(Tabla_imprenta[FECHA EMISIÓN],MATCH(Tabla_control[[#This Row],[LOTE]],Tabla_imprenta[LOTE],0)),"REALIZADO")</f>
        <v>REALIZADO</v>
      </c>
      <c r="B296" s="142" t="str">
        <f>IF(COUNTIF(Tabla_imprenta[LOTE],Tabla_control[[#This Row],[LOTE]])=1,INDEX(Tabla_imprenta[CÓD. SOLICITUD],MATCH(Tabla_control[[#This Row],[LOTE]],Tabla_imprenta[LOTE],0)),"REALIZADO")</f>
        <v>REALIZADO</v>
      </c>
      <c r="C296" s="177" t="str">
        <f>IF(COUNTIF(Tabla_imprenta[LOTE],Tabla_control[[#This Row],[LOTE]])=1,INDEX(Tabla_imprenta[PRODUCTO],MATCH(Tabla_control[[#This Row],[LOTE]],Tabla_imprenta[LOTE],0)),"REALIZADO")</f>
        <v>REALIZADO</v>
      </c>
      <c r="D296" s="142" t="str">
        <f>IF(COUNTIF(Tabla_imprenta[LOTE],Tabla_control[[#This Row],[LOTE]])=1,INDEX(Tabla_imprenta[FORMA FARMACEUTICA],MATCH(Tabla_control[[#This Row],[LOTE]],Tabla_imprenta[LOTE],0)),"REALIZADO")</f>
        <v>REALIZADO</v>
      </c>
      <c r="E296" s="177" t="str">
        <f>IF(COUNTIF(Tabla_imprenta[LOTE],Tabla_control[[#This Row],[LOTE]])=1,INDEX(Tabla_imprenta[INSTITUCIÓN],MATCH(Tabla_control[[#This Row],[LOTE]],Tabla_imprenta[LOTE],0)),"REALIZADO")</f>
        <v>REALIZADO</v>
      </c>
      <c r="F296" s="181" t="s">
        <v>3093</v>
      </c>
      <c r="G29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96" s="139" t="str">
        <f>IF(COUNTIF(Tabla_imprenta[LOTE],Tabla_control[[#This Row],[LOTE]])=1,INDEX(Tabla_imprenta[stock sap],MATCH(Tabla_control[[#This Row],[LOTE]],Tabla_imprenta[LOTE],0)),"ENTREGADO")</f>
        <v>ENTREGADO</v>
      </c>
      <c r="I296" s="139" t="str">
        <f>IF(Tabla_control[[#This Row],[STOCK SAP]]&gt;Tabla_control[[#This Row],[CANTIDAD IMPRIMIR]],"cubre","no cubre")</f>
        <v>no cubre</v>
      </c>
      <c r="J296" s="182" t="str">
        <f>IF(COUNTIF(Tabla_imprenta[LOTE],Tabla_control[[#This Row],[LOTE]])=1,INDEX(Tabla_imprenta[STOCK],MATCH(Tabla_control[[#This Row],[LOTE]],Tabla_imprenta[LOTE],0)),"ENTREGADO")</f>
        <v>ENTREGADO</v>
      </c>
      <c r="K29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96" s="148" t="e">
        <f>INDEX(Tabla_imprenta[FECHA CAJA],MATCH(Tabla_control[[#This Row],[LOTE]],Tabla_imprenta[LOTE],0))</f>
        <v>#N/A</v>
      </c>
      <c r="M29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9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9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96" s="170" t="e">
        <f>ROUNDUP(Tabla_control[[#This Row],[CANTIDAD IMPRIMIR]]/Tabla_control[[#This Row],[N TJ]],0)</f>
        <v>#VALUE!</v>
      </c>
      <c r="Q296" s="170" t="e">
        <f>IF(Tabla_control[[#This Row],[CANTIDAD TIRAJE]]&gt;10000,Tabla_control[[#This Row],[CANTIDAD TIRAJE]],Tabla_control[[#This Row],[CANTIDAD TIRAJE]]*2)</f>
        <v>#VALUE!</v>
      </c>
      <c r="R296" s="186" t="s">
        <v>172</v>
      </c>
      <c r="S296" s="4" t="s">
        <v>31</v>
      </c>
      <c r="T296" s="4"/>
      <c r="U296" s="4"/>
      <c r="V296" s="4"/>
      <c r="W296" s="185" t="s">
        <v>3223</v>
      </c>
      <c r="X296" s="185"/>
      <c r="Y296" s="185"/>
      <c r="Z296" s="185"/>
      <c r="AA296" s="186" t="s">
        <v>2429</v>
      </c>
      <c r="AB296" s="184" t="s">
        <v>2028</v>
      </c>
    </row>
    <row r="297" spans="1:28" hidden="1" x14ac:dyDescent="0.2">
      <c r="A297" s="175" t="str">
        <f>IF(COUNTIF(Tabla_imprenta[LOTE],Tabla_control[[#This Row],[LOTE]])=1,INDEX(Tabla_imprenta[FECHA EMISIÓN],MATCH(Tabla_control[[#This Row],[LOTE]],Tabla_imprenta[LOTE],0)),"REALIZADO")</f>
        <v>REALIZADO</v>
      </c>
      <c r="B297" s="142" t="str">
        <f>IF(COUNTIF(Tabla_imprenta[LOTE],Tabla_control[[#This Row],[LOTE]])=1,INDEX(Tabla_imprenta[CÓD. SOLICITUD],MATCH(Tabla_control[[#This Row],[LOTE]],Tabla_imprenta[LOTE],0)),"REALIZADO")</f>
        <v>REALIZADO</v>
      </c>
      <c r="C297" s="177" t="str">
        <f>IF(COUNTIF(Tabla_imprenta[LOTE],Tabla_control[[#This Row],[LOTE]])=1,INDEX(Tabla_imprenta[PRODUCTO],MATCH(Tabla_control[[#This Row],[LOTE]],Tabla_imprenta[LOTE],0)),"REALIZADO")</f>
        <v>REALIZADO</v>
      </c>
      <c r="D297" s="142" t="str">
        <f>IF(COUNTIF(Tabla_imprenta[LOTE],Tabla_control[[#This Row],[LOTE]])=1,INDEX(Tabla_imprenta[FORMA FARMACEUTICA],MATCH(Tabla_control[[#This Row],[LOTE]],Tabla_imprenta[LOTE],0)),"REALIZADO")</f>
        <v>REALIZADO</v>
      </c>
      <c r="E297" s="177" t="str">
        <f>IF(COUNTIF(Tabla_imprenta[LOTE],Tabla_control[[#This Row],[LOTE]])=1,INDEX(Tabla_imprenta[INSTITUCIÓN],MATCH(Tabla_control[[#This Row],[LOTE]],Tabla_imprenta[LOTE],0)),"REALIZADO")</f>
        <v>REALIZADO</v>
      </c>
      <c r="F297" s="180" t="s">
        <v>2444</v>
      </c>
      <c r="G29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97" s="139" t="str">
        <f>IF(COUNTIF(Tabla_imprenta[LOTE],Tabla_control[[#This Row],[LOTE]])=1,INDEX(Tabla_imprenta[stock sap],MATCH(Tabla_control[[#This Row],[LOTE]],Tabla_imprenta[LOTE],0)),"ENTREGADO")</f>
        <v>ENTREGADO</v>
      </c>
      <c r="I297" s="139" t="str">
        <f>IF(Tabla_control[[#This Row],[STOCK SAP]]&gt;Tabla_control[[#This Row],[CANTIDAD IMPRIMIR]],"cubre","no cubre")</f>
        <v>no cubre</v>
      </c>
      <c r="J297" s="7" t="str">
        <f>IF(COUNTIF(Tabla_imprenta[LOTE],Tabla_control[[#This Row],[LOTE]])=1,INDEX(Tabla_imprenta[STOCK],MATCH(Tabla_control[[#This Row],[LOTE]],Tabla_imprenta[LOTE],0)),"ENTREGADO")</f>
        <v>ENTREGADO</v>
      </c>
      <c r="K29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97" s="148" t="e">
        <f>INDEX(Tabla_imprenta[FECHA CAJA],MATCH(Tabla_control[[#This Row],[LOTE]],Tabla_imprenta[LOTE],0))</f>
        <v>#N/A</v>
      </c>
      <c r="M29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9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9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97" s="169" t="e">
        <f>ROUNDUP(Tabla_control[[#This Row],[CANTIDAD IMPRIMIR]]/Tabla_control[[#This Row],[N TJ]],0)</f>
        <v>#VALUE!</v>
      </c>
      <c r="Q297" s="169" t="e">
        <f>IF(Tabla_control[[#This Row],[CANTIDAD TIRAJE]]&gt;10000,Tabla_control[[#This Row],[CANTIDAD TIRAJE]],Tabla_control[[#This Row],[CANTIDAD TIRAJE]]*2)</f>
        <v>#VALUE!</v>
      </c>
      <c r="R297" s="4" t="s">
        <v>173</v>
      </c>
      <c r="S297" s="4" t="s">
        <v>174</v>
      </c>
      <c r="T297" s="4"/>
      <c r="U297" s="4"/>
      <c r="V297" s="4"/>
      <c r="W297" s="138" t="s">
        <v>3223</v>
      </c>
      <c r="X297" s="138"/>
      <c r="Y297" s="138"/>
      <c r="Z297" s="138"/>
      <c r="AA297" s="4" t="s">
        <v>2031</v>
      </c>
      <c r="AB297" s="184" t="s">
        <v>2028</v>
      </c>
    </row>
    <row r="298" spans="1:28" hidden="1" x14ac:dyDescent="0.2">
      <c r="A298" s="175" t="str">
        <f>IF(COUNTIF(Tabla_imprenta[LOTE],Tabla_control[[#This Row],[LOTE]])=1,INDEX(Tabla_imprenta[FECHA EMISIÓN],MATCH(Tabla_control[[#This Row],[LOTE]],Tabla_imprenta[LOTE],0)),"REALIZADO")</f>
        <v>REALIZADO</v>
      </c>
      <c r="B298" s="142" t="str">
        <f>IF(COUNTIF(Tabla_imprenta[LOTE],Tabla_control[[#This Row],[LOTE]])=1,INDEX(Tabla_imprenta[CÓD. SOLICITUD],MATCH(Tabla_control[[#This Row],[LOTE]],Tabla_imprenta[LOTE],0)),"REALIZADO")</f>
        <v>REALIZADO</v>
      </c>
      <c r="C298" s="177" t="str">
        <f>IF(COUNTIF(Tabla_imprenta[LOTE],Tabla_control[[#This Row],[LOTE]])=1,INDEX(Tabla_imprenta[PRODUCTO],MATCH(Tabla_control[[#This Row],[LOTE]],Tabla_imprenta[LOTE],0)),"REALIZADO")</f>
        <v>REALIZADO</v>
      </c>
      <c r="D298" s="142" t="str">
        <f>IF(COUNTIF(Tabla_imprenta[LOTE],Tabla_control[[#This Row],[LOTE]])=1,INDEX(Tabla_imprenta[FORMA FARMACEUTICA],MATCH(Tabla_control[[#This Row],[LOTE]],Tabla_imprenta[LOTE],0)),"REALIZADO")</f>
        <v>REALIZADO</v>
      </c>
      <c r="E298" s="177" t="str">
        <f>IF(COUNTIF(Tabla_imprenta[LOTE],Tabla_control[[#This Row],[LOTE]])=1,INDEX(Tabla_imprenta[INSTITUCIÓN],MATCH(Tabla_control[[#This Row],[LOTE]],Tabla_imprenta[LOTE],0)),"REALIZADO")</f>
        <v>REALIZADO</v>
      </c>
      <c r="F298" s="181" t="s">
        <v>3008</v>
      </c>
      <c r="G29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298" s="139" t="str">
        <f>IF(COUNTIF(Tabla_imprenta[LOTE],Tabla_control[[#This Row],[LOTE]])=1,INDEX(Tabla_imprenta[stock sap],MATCH(Tabla_control[[#This Row],[LOTE]],Tabla_imprenta[LOTE],0)),"ENTREGADO")</f>
        <v>ENTREGADO</v>
      </c>
      <c r="I298" s="139" t="str">
        <f>IF(Tabla_control[[#This Row],[STOCK SAP]]&gt;Tabla_control[[#This Row],[CANTIDAD IMPRIMIR]],"cubre","no cubre")</f>
        <v>no cubre</v>
      </c>
      <c r="J298" s="182" t="str">
        <f>IF(COUNTIF(Tabla_imprenta[LOTE],Tabla_control[[#This Row],[LOTE]])=1,INDEX(Tabla_imprenta[STOCK],MATCH(Tabla_control[[#This Row],[LOTE]],Tabla_imprenta[LOTE],0)),"ENTREGADO")</f>
        <v>ENTREGADO</v>
      </c>
      <c r="K29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98" s="148" t="e">
        <f>INDEX(Tabla_imprenta[FECHA CAJA],MATCH(Tabla_control[[#This Row],[LOTE]],Tabla_imprenta[LOTE],0))</f>
        <v>#N/A</v>
      </c>
      <c r="M29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29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29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298" s="170" t="e">
        <f>ROUNDUP(Tabla_control[[#This Row],[CANTIDAD IMPRIMIR]]/Tabla_control[[#This Row],[N TJ]],0)</f>
        <v>#VALUE!</v>
      </c>
      <c r="Q298" s="170" t="e">
        <f>IF(Tabla_control[[#This Row],[CANTIDAD TIRAJE]]&gt;10000,Tabla_control[[#This Row],[CANTIDAD TIRAJE]],Tabla_control[[#This Row],[CANTIDAD TIRAJE]]*2)</f>
        <v>#VALUE!</v>
      </c>
      <c r="R298" s="186" t="s">
        <v>177</v>
      </c>
      <c r="S298" s="4" t="s">
        <v>174</v>
      </c>
      <c r="T298" s="4"/>
      <c r="U298" s="4"/>
      <c r="V298" s="4"/>
      <c r="W298" s="187" t="s">
        <v>3223</v>
      </c>
      <c r="X298" s="187"/>
      <c r="Y298" s="187"/>
      <c r="Z298" s="187"/>
      <c r="AA298" s="186" t="s">
        <v>321</v>
      </c>
      <c r="AB298" s="184" t="s">
        <v>2028</v>
      </c>
    </row>
    <row r="299" spans="1:28" hidden="1" x14ac:dyDescent="0.2">
      <c r="A299" s="175">
        <f>IF(COUNTIF(Tabla_imprenta[LOTE],Tabla_control[[#This Row],[LOTE]])=1,INDEX(Tabla_imprenta[FECHA EMISIÓN],MATCH(Tabla_control[[#This Row],[LOTE]],Tabla_imprenta[LOTE],0)),"REALIZADO")</f>
        <v>46113</v>
      </c>
      <c r="B299" s="142">
        <f>IF(COUNTIF(Tabla_imprenta[LOTE],Tabla_control[[#This Row],[LOTE]])=1,INDEX(Tabla_imprenta[CÓD. SOLICITUD],MATCH(Tabla_control[[#This Row],[LOTE]],Tabla_imprenta[LOTE],0)),"REALIZADO")</f>
        <v>0</v>
      </c>
      <c r="C299" s="177" t="str">
        <f>IF(COUNTIF(Tabla_imprenta[LOTE],Tabla_control[[#This Row],[LOTE]])=1,INDEX(Tabla_imprenta[PRODUCTO],MATCH(Tabla_control[[#This Row],[LOTE]],Tabla_imprenta[LOTE],0)),"REALIZADO")</f>
        <v>HIDROCORTISONA 1% X 15 G CREMA DERMICA</v>
      </c>
      <c r="D299" s="142" t="str">
        <f>IF(COUNTIF(Tabla_imprenta[LOTE],Tabla_control[[#This Row],[LOTE]])=1,INDEX(Tabla_imprenta[FORMA FARMACEUTICA],MATCH(Tabla_control[[#This Row],[LOTE]],Tabla_imprenta[LOTE],0)),"REALIZADO")</f>
        <v>CREMA DÉRMICA</v>
      </c>
      <c r="E299" s="177" t="str">
        <f>IF(COUNTIF(Tabla_imprenta[LOTE],Tabla_control[[#This Row],[LOTE]])=1,INDEX(Tabla_imprenta[INSTITUCIÓN],MATCH(Tabla_control[[#This Row],[LOTE]],Tabla_imprenta[LOTE],0)),"REALIZADO")</f>
        <v>COMERCIO</v>
      </c>
      <c r="F299" s="181" t="s">
        <v>3230</v>
      </c>
      <c r="G299" s="139">
        <f>IF(COUNTIF(Tabla_imprenta[LOTE],Tabla_control[[#This Row],[LOTE]])=1,INDEX(Tabla_imprenta[CANTIDAD ENVASE SECUNDARIO],MATCH(Tabla_control[[#This Row],[LOTE]],Tabla_imprenta[LOTE],0)),"ENTREGADO")</f>
        <v>11400</v>
      </c>
      <c r="H299" s="139">
        <f>IF(COUNTIF(Tabla_imprenta[LOTE],Tabla_control[[#This Row],[LOTE]])=1,INDEX(Tabla_imprenta[stock sap],MATCH(Tabla_control[[#This Row],[LOTE]],Tabla_imprenta[LOTE],0)),"ENTREGADO")</f>
        <v>2157</v>
      </c>
      <c r="I299" s="139" t="str">
        <f>IF(Tabla_control[[#This Row],[STOCK SAP]]&gt;Tabla_control[[#This Row],[CANTIDAD IMPRIMIR]],"cubre","no cubre")</f>
        <v>no cubre</v>
      </c>
      <c r="J299" s="182">
        <f>IF(COUNTIF(Tabla_imprenta[LOTE],Tabla_control[[#This Row],[LOTE]])=1,INDEX(Tabla_imprenta[STOCK],MATCH(Tabla_control[[#This Row],[LOTE]],Tabla_imprenta[LOTE],0)),"ENTREGADO")</f>
        <v>1.5089103092900005</v>
      </c>
      <c r="K29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299" s="148" t="str">
        <f>INDEX(Tabla_imprenta[FECHA CAJA],MATCH(Tabla_control[[#This Row],[LOTE]],Tabla_imprenta[LOTE],0))</f>
        <v>ENTREGADO</v>
      </c>
      <c r="M29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29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29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299" s="170">
        <f>ROUNDUP(Tabla_control[[#This Row],[CANTIDAD IMPRIMIR]]/Tabla_control[[#This Row],[N TJ]],0)</f>
        <v>2850</v>
      </c>
      <c r="Q299" s="170">
        <f>IF(Tabla_control[[#This Row],[CANTIDAD TIRAJE]]&gt;10000,Tabla_control[[#This Row],[CANTIDAD TIRAJE]],Tabla_control[[#This Row],[CANTIDAD TIRAJE]]*2)</f>
        <v>5700</v>
      </c>
      <c r="R299" s="186" t="s">
        <v>172</v>
      </c>
      <c r="S299" s="4" t="s">
        <v>31</v>
      </c>
      <c r="T299" s="4"/>
      <c r="U299" s="4"/>
      <c r="V299" s="4"/>
      <c r="W299" s="185" t="s">
        <v>3223</v>
      </c>
      <c r="X299" s="185"/>
      <c r="Y299" s="185"/>
      <c r="Z299" s="185"/>
      <c r="AA299" s="186" t="s">
        <v>2429</v>
      </c>
      <c r="AB299" s="184" t="s">
        <v>2028</v>
      </c>
    </row>
    <row r="300" spans="1:28" hidden="1" x14ac:dyDescent="0.2">
      <c r="A300" s="175">
        <f>IF(COUNTIF(Tabla_imprenta[LOTE],Tabla_control[[#This Row],[LOTE]])=1,INDEX(Tabla_imprenta[FECHA EMISIÓN],MATCH(Tabla_control[[#This Row],[LOTE]],Tabla_imprenta[LOTE],0)),"REALIZADO")</f>
        <v>46055</v>
      </c>
      <c r="B300" s="142">
        <f>IF(COUNTIF(Tabla_imprenta[LOTE],Tabla_control[[#This Row],[LOTE]])=1,INDEX(Tabla_imprenta[CÓD. SOLICITUD],MATCH(Tabla_control[[#This Row],[LOTE]],Tabla_imprenta[LOTE],0)),"REALIZADO")</f>
        <v>0</v>
      </c>
      <c r="C300" s="177" t="str">
        <f>IF(COUNTIF(Tabla_imprenta[LOTE],Tabla_control[[#This Row],[LOTE]])=1,INDEX(Tabla_imprenta[PRODUCTO],MATCH(Tabla_control[[#This Row],[LOTE]],Tabla_imprenta[LOTE],0)),"REALIZADO")</f>
        <v>CEFAZOLINA 1000 X 1 POLVO INY.</v>
      </c>
      <c r="D300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300" s="177" t="str">
        <f>IF(COUNTIF(Tabla_imprenta[LOTE],Tabla_control[[#This Row],[LOTE]])=1,INDEX(Tabla_imprenta[INSTITUCIÓN],MATCH(Tabla_control[[#This Row],[LOTE]],Tabla_imprenta[LOTE],0)),"REALIZADO")</f>
        <v>COMERCIO</v>
      </c>
      <c r="F300" s="180" t="s">
        <v>2167</v>
      </c>
      <c r="G300" s="139">
        <f>IF(COUNTIF(Tabla_imprenta[LOTE],Tabla_control[[#This Row],[LOTE]])=1,INDEX(Tabla_imprenta[CANTIDAD ENVASE SECUNDARIO],MATCH(Tabla_control[[#This Row],[LOTE]],Tabla_imprenta[LOTE],0)),"ENTREGADO")</f>
        <v>1440</v>
      </c>
      <c r="H300" s="139" t="e">
        <f>IF(COUNTIF(Tabla_imprenta[LOTE],Tabla_control[[#This Row],[LOTE]])=1,INDEX(Tabla_imprenta[stock sap],MATCH(Tabla_control[[#This Row],[LOTE]],Tabla_imprenta[LOTE],0)),"ENTREGADO")</f>
        <v>#N/A</v>
      </c>
      <c r="I300" s="139" t="e">
        <f>IF(Tabla_control[[#This Row],[STOCK SAP]]&gt;Tabla_control[[#This Row],[CANTIDAD IMPRIMIR]],"cubre","no cubre")</f>
        <v>#N/A</v>
      </c>
      <c r="J300" s="7">
        <f>IF(COUNTIF(Tabla_imprenta[LOTE],Tabla_control[[#This Row],[LOTE]])=1,INDEX(Tabla_imprenta[STOCK],MATCH(Tabla_control[[#This Row],[LOTE]],Tabla_imprenta[LOTE],0)),"ENTREGADO")</f>
        <v>4.01414564733148</v>
      </c>
      <c r="K30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00" s="148" t="str">
        <f>INDEX(Tabla_imprenta[FECHA CAJA],MATCH(Tabla_control[[#This Row],[LOTE]],Tabla_imprenta[LOTE],0))</f>
        <v>ENTREGADO</v>
      </c>
      <c r="M30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SF</v>
      </c>
      <c r="N30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SF</v>
      </c>
      <c r="O30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SF</v>
      </c>
      <c r="P300" s="169" t="e">
        <f>ROUNDUP(Tabla_control[[#This Row],[CANTIDAD IMPRIMIR]]/Tabla_control[[#This Row],[N TJ]],0)</f>
        <v>#VALUE!</v>
      </c>
      <c r="Q300" s="169" t="e">
        <f>IF(Tabla_control[[#This Row],[CANTIDAD TIRAJE]]&gt;10000,Tabla_control[[#This Row],[CANTIDAD TIRAJE]],Tabla_control[[#This Row],[CANTIDAD TIRAJE]]*2)</f>
        <v>#VALUE!</v>
      </c>
      <c r="R300" s="4" t="s">
        <v>172</v>
      </c>
      <c r="S300" s="4" t="s">
        <v>30</v>
      </c>
      <c r="T300" s="4"/>
      <c r="U300" s="4"/>
      <c r="V300" s="4"/>
      <c r="W300" s="138" t="s">
        <v>3223</v>
      </c>
      <c r="X300" s="138"/>
      <c r="Y300" s="138"/>
      <c r="Z300" s="138"/>
      <c r="AA300" s="4" t="s">
        <v>2031</v>
      </c>
      <c r="AB300" s="184" t="s">
        <v>2028</v>
      </c>
    </row>
    <row r="301" spans="1:28" hidden="1" x14ac:dyDescent="0.2">
      <c r="A301" s="175" t="str">
        <f>IF(COUNTIF(Tabla_imprenta[LOTE],Tabla_control[[#This Row],[LOTE]])=1,INDEX(Tabla_imprenta[FECHA EMISIÓN],MATCH(Tabla_control[[#This Row],[LOTE]],Tabla_imprenta[LOTE],0)),"REALIZADO")</f>
        <v>REALIZADO</v>
      </c>
      <c r="B301" s="142" t="str">
        <f>IF(COUNTIF(Tabla_imprenta[LOTE],Tabla_control[[#This Row],[LOTE]])=1,INDEX(Tabla_imprenta[CÓD. SOLICITUD],MATCH(Tabla_control[[#This Row],[LOTE]],Tabla_imprenta[LOTE],0)),"REALIZADO")</f>
        <v>REALIZADO</v>
      </c>
      <c r="C301" s="177" t="str">
        <f>IF(COUNTIF(Tabla_imprenta[LOTE],Tabla_control[[#This Row],[LOTE]])=1,INDEX(Tabla_imprenta[PRODUCTO],MATCH(Tabla_control[[#This Row],[LOTE]],Tabla_imprenta[LOTE],0)),"REALIZADO")</f>
        <v>REALIZADO</v>
      </c>
      <c r="D301" s="142" t="str">
        <f>IF(COUNTIF(Tabla_imprenta[LOTE],Tabla_control[[#This Row],[LOTE]])=1,INDEX(Tabla_imprenta[FORMA FARMACEUTICA],MATCH(Tabla_control[[#This Row],[LOTE]],Tabla_imprenta[LOTE],0)),"REALIZADO")</f>
        <v>REALIZADO</v>
      </c>
      <c r="E301" s="177" t="str">
        <f>IF(COUNTIF(Tabla_imprenta[LOTE],Tabla_control[[#This Row],[LOTE]])=1,INDEX(Tabla_imprenta[INSTITUCIÓN],MATCH(Tabla_control[[#This Row],[LOTE]],Tabla_imprenta[LOTE],0)),"REALIZADO")</f>
        <v>REALIZADO</v>
      </c>
      <c r="F301" s="180" t="s">
        <v>2492</v>
      </c>
      <c r="G30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01" s="139" t="str">
        <f>IF(COUNTIF(Tabla_imprenta[LOTE],Tabla_control[[#This Row],[LOTE]])=1,INDEX(Tabla_imprenta[stock sap],MATCH(Tabla_control[[#This Row],[LOTE]],Tabla_imprenta[LOTE],0)),"ENTREGADO")</f>
        <v>ENTREGADO</v>
      </c>
      <c r="I301" s="139" t="str">
        <f>IF(Tabla_control[[#This Row],[STOCK SAP]]&gt;Tabla_control[[#This Row],[CANTIDAD IMPRIMIR]],"cubre","no cubre")</f>
        <v>no cubre</v>
      </c>
      <c r="J301" s="7" t="str">
        <f>IF(COUNTIF(Tabla_imprenta[LOTE],Tabla_control[[#This Row],[LOTE]])=1,INDEX(Tabla_imprenta[STOCK],MATCH(Tabla_control[[#This Row],[LOTE]],Tabla_imprenta[LOTE],0)),"ENTREGADO")</f>
        <v>ENTREGADO</v>
      </c>
      <c r="K30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01" s="148" t="e">
        <f>INDEX(Tabla_imprenta[FECHA CAJA],MATCH(Tabla_control[[#This Row],[LOTE]],Tabla_imprenta[LOTE],0))</f>
        <v>#N/A</v>
      </c>
      <c r="M30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0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0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01" s="170" t="e">
        <f>ROUNDUP(Tabla_control[[#This Row],[CANTIDAD IMPRIMIR]]/Tabla_control[[#This Row],[N TJ]],0)</f>
        <v>#VALUE!</v>
      </c>
      <c r="Q301" s="170" t="e">
        <f>IF(Tabla_control[[#This Row],[CANTIDAD TIRAJE]]&gt;10000,Tabla_control[[#This Row],[CANTIDAD TIRAJE]],Tabla_control[[#This Row],[CANTIDAD TIRAJE]]*2)</f>
        <v>#VALUE!</v>
      </c>
      <c r="R301" s="4" t="s">
        <v>172</v>
      </c>
      <c r="S301" s="4" t="s">
        <v>30</v>
      </c>
      <c r="T301" s="4"/>
      <c r="U301" s="4"/>
      <c r="V301" s="4"/>
      <c r="W301" s="185" t="s">
        <v>3239</v>
      </c>
      <c r="X301" s="185"/>
      <c r="Y301" s="185"/>
      <c r="Z301" s="185"/>
      <c r="AA301" s="4" t="s">
        <v>2182</v>
      </c>
      <c r="AB301" s="184" t="s">
        <v>2028</v>
      </c>
    </row>
    <row r="302" spans="1:28" hidden="1" x14ac:dyDescent="0.2">
      <c r="A302" s="175">
        <f>IF(COUNTIF(Tabla_imprenta[LOTE],Tabla_control[[#This Row],[LOTE]])=1,INDEX(Tabla_imprenta[FECHA EMISIÓN],MATCH(Tabla_control[[#This Row],[LOTE]],Tabla_imprenta[LOTE],0)),"REALIZADO")</f>
        <v>46113</v>
      </c>
      <c r="B302" s="142">
        <f>IF(COUNTIF(Tabla_imprenta[LOTE],Tabla_control[[#This Row],[LOTE]])=1,INDEX(Tabla_imprenta[CÓD. SOLICITUD],MATCH(Tabla_control[[#This Row],[LOTE]],Tabla_imprenta[LOTE],0)),"REALIZADO")</f>
        <v>0</v>
      </c>
      <c r="C302" s="177" t="str">
        <f>IF(COUNTIF(Tabla_imprenta[LOTE],Tabla_control[[#This Row],[LOTE]])=1,INDEX(Tabla_imprenta[PRODUCTO],MATCH(Tabla_control[[#This Row],[LOTE]],Tabla_imprenta[LOTE],0)),"REALIZADO")</f>
        <v>CLOTRIM 1% X 30 G CREMA VAGINAL</v>
      </c>
      <c r="D302" s="142" t="str">
        <f>IF(COUNTIF(Tabla_imprenta[LOTE],Tabla_control[[#This Row],[LOTE]])=1,INDEX(Tabla_imprenta[FORMA FARMACEUTICA],MATCH(Tabla_control[[#This Row],[LOTE]],Tabla_imprenta[LOTE],0)),"REALIZADO")</f>
        <v>CREMA VAGINAL</v>
      </c>
      <c r="E302" s="177" t="str">
        <f>IF(COUNTIF(Tabla_imprenta[LOTE],Tabla_control[[#This Row],[LOTE]])=1,INDEX(Tabla_imprenta[INSTITUCIÓN],MATCH(Tabla_control[[#This Row],[LOTE]],Tabla_imprenta[LOTE],0)),"REALIZADO")</f>
        <v>COMERCIO</v>
      </c>
      <c r="F302" s="181" t="s">
        <v>3226</v>
      </c>
      <c r="G302" s="139">
        <f>IF(COUNTIF(Tabla_imprenta[LOTE],Tabla_control[[#This Row],[LOTE]])=1,INDEX(Tabla_imprenta[CANTIDAD ENVASE SECUNDARIO],MATCH(Tabla_control[[#This Row],[LOTE]],Tabla_imprenta[LOTE],0)),"ENTREGADO")</f>
        <v>8700</v>
      </c>
      <c r="H302" s="139">
        <f>IF(COUNTIF(Tabla_imprenta[LOTE],Tabla_control[[#This Row],[LOTE]])=1,INDEX(Tabla_imprenta[stock sap],MATCH(Tabla_control[[#This Row],[LOTE]],Tabla_imprenta[LOTE],0)),"ENTREGADO")</f>
        <v>7186</v>
      </c>
      <c r="I302" s="139" t="str">
        <f>IF(Tabla_control[[#This Row],[STOCK SAP]]&gt;Tabla_control[[#This Row],[CANTIDAD IMPRIMIR]],"cubre","no cubre")</f>
        <v>no cubre</v>
      </c>
      <c r="J302" s="182">
        <f>IF(COUNTIF(Tabla_imprenta[LOTE],Tabla_control[[#This Row],[LOTE]])=1,INDEX(Tabla_imprenta[STOCK],MATCH(Tabla_control[[#This Row],[LOTE]],Tabla_imprenta[LOTE],0)),"ENTREGADO")</f>
        <v>4.2492602759259919</v>
      </c>
      <c r="K30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02" s="148" t="str">
        <f>INDEX(Tabla_imprenta[FECHA CAJA],MATCH(Tabla_control[[#This Row],[LOTE]],Tabla_imprenta[LOTE],0))</f>
        <v>ENTREGADO</v>
      </c>
      <c r="M30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30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0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70</v>
      </c>
      <c r="P302" s="170">
        <f>ROUNDUP(Tabla_control[[#This Row],[CANTIDAD IMPRIMIR]]/Tabla_control[[#This Row],[N TJ]],0)</f>
        <v>4350</v>
      </c>
      <c r="Q302" s="170">
        <f>IF(Tabla_control[[#This Row],[CANTIDAD TIRAJE]]&gt;10000,Tabla_control[[#This Row],[CANTIDAD TIRAJE]],Tabla_control[[#This Row],[CANTIDAD TIRAJE]]*2)</f>
        <v>8700</v>
      </c>
      <c r="R302" s="186" t="s">
        <v>175</v>
      </c>
      <c r="S302" s="4" t="s">
        <v>3759</v>
      </c>
      <c r="T302" s="4"/>
      <c r="U302" s="4"/>
      <c r="V302" s="4"/>
      <c r="W302" s="185" t="s">
        <v>3223</v>
      </c>
      <c r="X302" s="185"/>
      <c r="Y302" s="185"/>
      <c r="Z302" s="185"/>
      <c r="AA302" s="186" t="s">
        <v>2429</v>
      </c>
      <c r="AB302" s="184" t="s">
        <v>2028</v>
      </c>
    </row>
    <row r="303" spans="1:28" hidden="1" x14ac:dyDescent="0.2">
      <c r="A303" s="175">
        <f>IF(COUNTIF(Tabla_imprenta[LOTE],Tabla_control[[#This Row],[LOTE]])=1,INDEX(Tabla_imprenta[FECHA EMISIÓN],MATCH(Tabla_control[[#This Row],[LOTE]],Tabla_imprenta[LOTE],0)),"REALIZADO")</f>
        <v>46083</v>
      </c>
      <c r="B303" s="142">
        <f>IF(COUNTIF(Tabla_imprenta[LOTE],Tabla_control[[#This Row],[LOTE]])=1,INDEX(Tabla_imprenta[CÓD. SOLICITUD],MATCH(Tabla_control[[#This Row],[LOTE]],Tabla_imprenta[LOTE],0)),"REALIZADO")</f>
        <v>0</v>
      </c>
      <c r="C303" s="177" t="str">
        <f>IF(COUNTIF(Tabla_imprenta[LOTE],Tabla_control[[#This Row],[LOTE]])=1,INDEX(Tabla_imprenta[PRODUCTO],MATCH(Tabla_control[[#This Row],[LOTE]],Tabla_imprenta[LOTE],0)),"REALIZADO")</f>
        <v>FLAMADIN PLUS X 200 CAP. BLANDAS</v>
      </c>
      <c r="D303" s="142" t="str">
        <f>IF(COUNTIF(Tabla_imprenta[LOTE],Tabla_control[[#This Row],[LOTE]])=1,INDEX(Tabla_imprenta[FORMA FARMACEUTICA],MATCH(Tabla_control[[#This Row],[LOTE]],Tabla_imprenta[LOTE],0)),"REALIZADO")</f>
        <v>CÁPSULA BLANDA</v>
      </c>
      <c r="E303" s="177" t="str">
        <f>IF(COUNTIF(Tabla_imprenta[LOTE],Tabla_control[[#This Row],[LOTE]])=1,INDEX(Tabla_imprenta[INSTITUCIÓN],MATCH(Tabla_control[[#This Row],[LOTE]],Tabla_imprenta[LOTE],0)),"REALIZADO")</f>
        <v>COMERCIO</v>
      </c>
      <c r="F303" s="180" t="s">
        <v>2519</v>
      </c>
      <c r="G303" s="139">
        <f>IF(COUNTIF(Tabla_imprenta[LOTE],Tabla_control[[#This Row],[LOTE]])=1,INDEX(Tabla_imprenta[CANTIDAD ENVASE SECUNDARIO],MATCH(Tabla_control[[#This Row],[LOTE]],Tabla_imprenta[LOTE],0)),"ENTREGADO")</f>
        <v>450</v>
      </c>
      <c r="H303" s="139">
        <f>IF(COUNTIF(Tabla_imprenta[LOTE],Tabla_control[[#This Row],[LOTE]])=1,INDEX(Tabla_imprenta[stock sap],MATCH(Tabla_control[[#This Row],[LOTE]],Tabla_imprenta[LOTE],0)),"ENTREGADO")</f>
        <v>2746</v>
      </c>
      <c r="I303" s="139" t="str">
        <f>IF(Tabla_control[[#This Row],[STOCK SAP]]&gt;Tabla_control[[#This Row],[CANTIDAD IMPRIMIR]],"cubre","no cubre")</f>
        <v>cubre</v>
      </c>
      <c r="J303" s="7">
        <f>IF(COUNTIF(Tabla_imprenta[LOTE],Tabla_control[[#This Row],[LOTE]])=1,INDEX(Tabla_imprenta[STOCK],MATCH(Tabla_control[[#This Row],[LOTE]],Tabla_imprenta[LOTE],0)),"ENTREGADO")</f>
        <v>1.0514581983149709</v>
      </c>
      <c r="K30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03" s="148" t="str">
        <f>INDEX(Tabla_imprenta[FECHA CAJA],MATCH(Tabla_control[[#This Row],[LOTE]],Tabla_imprenta[LOTE],0))</f>
        <v>ENTREGADO</v>
      </c>
      <c r="M30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NARANJA</v>
      </c>
      <c r="N30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30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103</v>
      </c>
      <c r="P303" s="169">
        <f>ROUNDUP(Tabla_control[[#This Row],[CANTIDAD IMPRIMIR]]/Tabla_control[[#This Row],[N TJ]],0)</f>
        <v>450</v>
      </c>
      <c r="Q303" s="169">
        <f>IF(Tabla_control[[#This Row],[CANTIDAD TIRAJE]]&gt;10000,Tabla_control[[#This Row],[CANTIDAD TIRAJE]],Tabla_control[[#This Row],[CANTIDAD TIRAJE]]*2)</f>
        <v>900</v>
      </c>
      <c r="R303" s="4" t="s">
        <v>2206</v>
      </c>
      <c r="S303" s="4" t="s">
        <v>174</v>
      </c>
      <c r="T303" s="4"/>
      <c r="U303" s="4"/>
      <c r="V303" s="4"/>
      <c r="W303" s="138" t="s">
        <v>3223</v>
      </c>
      <c r="X303" s="138"/>
      <c r="Y303" s="138"/>
      <c r="Z303" s="138"/>
      <c r="AA303" s="4" t="s">
        <v>321</v>
      </c>
      <c r="AB303" s="184" t="s">
        <v>2028</v>
      </c>
    </row>
    <row r="304" spans="1:28" hidden="1" x14ac:dyDescent="0.2">
      <c r="A304" s="175">
        <f>IF(COUNTIF(Tabla_imprenta[LOTE],Tabla_control[[#This Row],[LOTE]])=1,INDEX(Tabla_imprenta[FECHA EMISIÓN],MATCH(Tabla_control[[#This Row],[LOTE]],Tabla_imprenta[LOTE],0)),"REALIZADO")</f>
        <v>46113</v>
      </c>
      <c r="B304" s="142">
        <f>IF(COUNTIF(Tabla_imprenta[LOTE],Tabla_control[[#This Row],[LOTE]])=1,INDEX(Tabla_imprenta[CÓD. SOLICITUD],MATCH(Tabla_control[[#This Row],[LOTE]],Tabla_imprenta[LOTE],0)),"REALIZADO")</f>
        <v>0</v>
      </c>
      <c r="C304" s="177" t="str">
        <f>IF(COUNTIF(Tabla_imprenta[LOTE],Tabla_control[[#This Row],[LOTE]])=1,INDEX(Tabla_imprenta[PRODUCTO],MATCH(Tabla_control[[#This Row],[LOTE]],Tabla_imprenta[LOTE],0)),"REALIZADO")</f>
        <v>CEFABIOTIC X 50 ML POLVO PARA SUSP. + DILUYENTE</v>
      </c>
      <c r="D304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304" s="177" t="str">
        <f>IF(COUNTIF(Tabla_imprenta[LOTE],Tabla_control[[#This Row],[LOTE]])=1,INDEX(Tabla_imprenta[INSTITUCIÓN],MATCH(Tabla_control[[#This Row],[LOTE]],Tabla_imprenta[LOTE],0)),"REALIZADO")</f>
        <v>COMERCIO</v>
      </c>
      <c r="F304" s="181" t="s">
        <v>3141</v>
      </c>
      <c r="G304" s="139">
        <f>IF(COUNTIF(Tabla_imprenta[LOTE],Tabla_control[[#This Row],[LOTE]])=1,INDEX(Tabla_imprenta[CANTIDAD ENVASE SECUNDARIO],MATCH(Tabla_control[[#This Row],[LOTE]],Tabla_imprenta[LOTE],0)),"ENTREGADO")</f>
        <v>10500</v>
      </c>
      <c r="H304" s="139">
        <f>IF(COUNTIF(Tabla_imprenta[LOTE],Tabla_control[[#This Row],[LOTE]])=1,INDEX(Tabla_imprenta[stock sap],MATCH(Tabla_control[[#This Row],[LOTE]],Tabla_imprenta[LOTE],0)),"ENTREGADO")</f>
        <v>1050</v>
      </c>
      <c r="I304" s="139" t="str">
        <f>IF(Tabla_control[[#This Row],[STOCK SAP]]&gt;Tabla_control[[#This Row],[CANTIDAD IMPRIMIR]],"cubre","no cubre")</f>
        <v>no cubre</v>
      </c>
      <c r="J304" s="182">
        <f>IF(COUNTIF(Tabla_imprenta[LOTE],Tabla_control[[#This Row],[LOTE]])=1,INDEX(Tabla_imprenta[STOCK],MATCH(Tabla_control[[#This Row],[LOTE]],Tabla_imprenta[LOTE],0)),"ENTREGADO")</f>
        <v>2.9199067171311697</v>
      </c>
      <c r="K30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04" s="148" t="str">
        <f>INDEX(Tabla_imprenta[FECHA CAJA],MATCH(Tabla_control[[#This Row],[LOTE]],Tabla_imprenta[LOTE],0))</f>
        <v>ENTREGADO</v>
      </c>
      <c r="M30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30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0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71</v>
      </c>
      <c r="P304" s="170">
        <f>ROUNDUP(Tabla_control[[#This Row],[CANTIDAD IMPRIMIR]]/Tabla_control[[#This Row],[N TJ]],0)</f>
        <v>5250</v>
      </c>
      <c r="Q304" s="170">
        <f>IF(Tabla_control[[#This Row],[CANTIDAD TIRAJE]]&gt;10000,Tabla_control[[#This Row],[CANTIDAD TIRAJE]],Tabla_control[[#This Row],[CANTIDAD TIRAJE]]*2)</f>
        <v>10500</v>
      </c>
      <c r="R304" s="186" t="s">
        <v>177</v>
      </c>
      <c r="S304" s="4" t="s">
        <v>174</v>
      </c>
      <c r="T304" s="4"/>
      <c r="U304" s="4"/>
      <c r="V304" s="4"/>
      <c r="W304" s="187" t="s">
        <v>3223</v>
      </c>
      <c r="X304" s="187"/>
      <c r="Y304" s="187"/>
      <c r="Z304" s="187"/>
      <c r="AA304" s="186" t="s">
        <v>321</v>
      </c>
      <c r="AB304" s="184" t="s">
        <v>2028</v>
      </c>
    </row>
    <row r="305" spans="1:28" hidden="1" x14ac:dyDescent="0.2">
      <c r="A305" s="175">
        <f>IF(COUNTIF(Tabla_imprenta[LOTE],Tabla_control[[#This Row],[LOTE]])=1,INDEX(Tabla_imprenta[FECHA EMISIÓN],MATCH(Tabla_control[[#This Row],[LOTE]],Tabla_imprenta[LOTE],0)),"REALIZADO")</f>
        <v>46083</v>
      </c>
      <c r="B305" s="142">
        <f>IF(COUNTIF(Tabla_imprenta[LOTE],Tabla_control[[#This Row],[LOTE]])=1,INDEX(Tabla_imprenta[CÓD. SOLICITUD],MATCH(Tabla_control[[#This Row],[LOTE]],Tabla_imprenta[LOTE],0)),"REALIZADO")</f>
        <v>0</v>
      </c>
      <c r="C305" s="177" t="str">
        <f>IF(COUNTIF(Tabla_imprenta[LOTE],Tabla_control[[#This Row],[LOTE]])=1,INDEX(Tabla_imprenta[PRODUCTO],MATCH(Tabla_control[[#This Row],[LOTE]],Tabla_imprenta[LOTE],0)),"REALIZADO")</f>
        <v>DOMPERIDONA 10 MG X 20 ML GOTAS</v>
      </c>
      <c r="D305" s="142" t="str">
        <f>IF(COUNTIF(Tabla_imprenta[LOTE],Tabla_control[[#This Row],[LOTE]])=1,INDEX(Tabla_imprenta[FORMA FARMACEUTICA],MATCH(Tabla_control[[#This Row],[LOTE]],Tabla_imprenta[LOTE],0)),"REALIZADO")</f>
        <v>GOTAS</v>
      </c>
      <c r="E305" s="177" t="str">
        <f>IF(COUNTIF(Tabla_imprenta[LOTE],Tabla_control[[#This Row],[LOTE]])=1,INDEX(Tabla_imprenta[INSTITUCIÓN],MATCH(Tabla_control[[#This Row],[LOTE]],Tabla_imprenta[LOTE],0)),"REALIZADO")</f>
        <v>COMERCIO</v>
      </c>
      <c r="F305" s="180" t="s">
        <v>2484</v>
      </c>
      <c r="G305" s="139">
        <f>IF(COUNTIF(Tabla_imprenta[LOTE],Tabla_control[[#This Row],[LOTE]])=1,INDEX(Tabla_imprenta[CANTIDAD ENVASE SECUNDARIO],MATCH(Tabla_control[[#This Row],[LOTE]],Tabla_imprenta[LOTE],0)),"ENTREGADO")</f>
        <v>28570</v>
      </c>
      <c r="H305" s="139">
        <f>IF(COUNTIF(Tabla_imprenta[LOTE],Tabla_control[[#This Row],[LOTE]])=1,INDEX(Tabla_imprenta[stock sap],MATCH(Tabla_control[[#This Row],[LOTE]],Tabla_imprenta[LOTE],0)),"ENTREGADO")</f>
        <v>2880</v>
      </c>
      <c r="I305" s="139" t="str">
        <f>IF(Tabla_control[[#This Row],[STOCK SAP]]&gt;Tabla_control[[#This Row],[CANTIDAD IMPRIMIR]],"cubre","no cubre")</f>
        <v>no cubre</v>
      </c>
      <c r="J305" s="7">
        <f>IF(COUNTIF(Tabla_imprenta[LOTE],Tabla_control[[#This Row],[LOTE]])=1,INDEX(Tabla_imprenta[STOCK],MATCH(Tabla_control[[#This Row],[LOTE]],Tabla_imprenta[LOTE],0)),"ENTREGADO")</f>
        <v>1.3265685186801133</v>
      </c>
      <c r="K30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05" s="148" t="str">
        <f>INDEX(Tabla_imprenta[FECHA CAJA],MATCH(Tabla_control[[#This Row],[LOTE]],Tabla_imprenta[LOTE],0))</f>
        <v>ENTREGADO</v>
      </c>
      <c r="M30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0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30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25</v>
      </c>
      <c r="P305" s="170">
        <f>ROUNDUP(Tabla_control[[#This Row],[CANTIDAD IMPRIMIR]]/Tabla_control[[#This Row],[N TJ]],0)</f>
        <v>4762</v>
      </c>
      <c r="Q305" s="170">
        <f>IF(Tabla_control[[#This Row],[CANTIDAD TIRAJE]]&gt;10000,Tabla_control[[#This Row],[CANTIDAD TIRAJE]],Tabla_control[[#This Row],[CANTIDAD TIRAJE]]*2)</f>
        <v>9524</v>
      </c>
      <c r="R305" s="4" t="s">
        <v>172</v>
      </c>
      <c r="S305" s="4" t="s">
        <v>3759</v>
      </c>
      <c r="T305" s="4"/>
      <c r="U305" s="4"/>
      <c r="V305" s="4"/>
      <c r="W305" s="138" t="s">
        <v>3223</v>
      </c>
      <c r="X305" s="138"/>
      <c r="Y305" s="138"/>
      <c r="Z305" s="138"/>
      <c r="AA305" s="4" t="s">
        <v>2429</v>
      </c>
      <c r="AB305" s="184" t="s">
        <v>2028</v>
      </c>
    </row>
    <row r="306" spans="1:28" hidden="1" x14ac:dyDescent="0.2">
      <c r="A306" s="175" t="str">
        <f>IF(COUNTIF(Tabla_imprenta[LOTE],Tabla_control[[#This Row],[LOTE]])=1,INDEX(Tabla_imprenta[FECHA EMISIÓN],MATCH(Tabla_control[[#This Row],[LOTE]],Tabla_imprenta[LOTE],0)),"REALIZADO")</f>
        <v>REALIZADO</v>
      </c>
      <c r="B306" s="142" t="str">
        <f>IF(COUNTIF(Tabla_imprenta[LOTE],Tabla_control[[#This Row],[LOTE]])=1,INDEX(Tabla_imprenta[CÓD. SOLICITUD],MATCH(Tabla_control[[#This Row],[LOTE]],Tabla_imprenta[LOTE],0)),"REALIZADO")</f>
        <v>REALIZADO</v>
      </c>
      <c r="C306" s="177" t="str">
        <f>IF(COUNTIF(Tabla_imprenta[LOTE],Tabla_control[[#This Row],[LOTE]])=1,INDEX(Tabla_imprenta[PRODUCTO],MATCH(Tabla_control[[#This Row],[LOTE]],Tabla_imprenta[LOTE],0)),"REALIZADO")</f>
        <v>REALIZADO</v>
      </c>
      <c r="D306" s="142" t="str">
        <f>IF(COUNTIF(Tabla_imprenta[LOTE],Tabla_control[[#This Row],[LOTE]])=1,INDEX(Tabla_imprenta[FORMA FARMACEUTICA],MATCH(Tabla_control[[#This Row],[LOTE]],Tabla_imprenta[LOTE],0)),"REALIZADO")</f>
        <v>REALIZADO</v>
      </c>
      <c r="E306" s="177" t="str">
        <f>IF(COUNTIF(Tabla_imprenta[LOTE],Tabla_control[[#This Row],[LOTE]])=1,INDEX(Tabla_imprenta[INSTITUCIÓN],MATCH(Tabla_control[[#This Row],[LOTE]],Tabla_imprenta[LOTE],0)),"REALIZADO")</f>
        <v>REALIZADO</v>
      </c>
      <c r="F306" s="181" t="s">
        <v>3151</v>
      </c>
      <c r="G30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06" s="139" t="str">
        <f>IF(COUNTIF(Tabla_imprenta[LOTE],Tabla_control[[#This Row],[LOTE]])=1,INDEX(Tabla_imprenta[stock sap],MATCH(Tabla_control[[#This Row],[LOTE]],Tabla_imprenta[LOTE],0)),"ENTREGADO")</f>
        <v>ENTREGADO</v>
      </c>
      <c r="I306" s="139" t="str">
        <f>IF(Tabla_control[[#This Row],[STOCK SAP]]&gt;Tabla_control[[#This Row],[CANTIDAD IMPRIMIR]],"cubre","no cubre")</f>
        <v>no cubre</v>
      </c>
      <c r="J306" s="182" t="str">
        <f>IF(COUNTIF(Tabla_imprenta[LOTE],Tabla_control[[#This Row],[LOTE]])=1,INDEX(Tabla_imprenta[STOCK],MATCH(Tabla_control[[#This Row],[LOTE]],Tabla_imprenta[LOTE],0)),"ENTREGADO")</f>
        <v>ENTREGADO</v>
      </c>
      <c r="K30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06" s="148" t="e">
        <f>INDEX(Tabla_imprenta[FECHA CAJA],MATCH(Tabla_control[[#This Row],[LOTE]],Tabla_imprenta[LOTE],0))</f>
        <v>#N/A</v>
      </c>
      <c r="M30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0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0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06" s="170" t="e">
        <f>ROUNDUP(Tabla_control[[#This Row],[CANTIDAD IMPRIMIR]]/Tabla_control[[#This Row],[N TJ]],0)</f>
        <v>#VALUE!</v>
      </c>
      <c r="Q306" s="170" t="e">
        <f>IF(Tabla_control[[#This Row],[CANTIDAD TIRAJE]]&gt;10000,Tabla_control[[#This Row],[CANTIDAD TIRAJE]],Tabla_control[[#This Row],[CANTIDAD TIRAJE]]*2)</f>
        <v>#VALUE!</v>
      </c>
      <c r="R306" s="186" t="s">
        <v>173</v>
      </c>
      <c r="S306" s="4" t="s">
        <v>174</v>
      </c>
      <c r="T306" s="4"/>
      <c r="U306" s="4"/>
      <c r="V306" s="4"/>
      <c r="W306" s="185" t="s">
        <v>3223</v>
      </c>
      <c r="X306" s="185"/>
      <c r="Y306" s="185"/>
      <c r="Z306" s="185"/>
      <c r="AA306" s="186" t="s">
        <v>2182</v>
      </c>
      <c r="AB306" s="184" t="s">
        <v>2028</v>
      </c>
    </row>
    <row r="307" spans="1:28" hidden="1" x14ac:dyDescent="0.2">
      <c r="A307" s="175" t="str">
        <f>IF(COUNTIF(Tabla_imprenta[LOTE],Tabla_control[[#This Row],[LOTE]])=1,INDEX(Tabla_imprenta[FECHA EMISIÓN],MATCH(Tabla_control[[#This Row],[LOTE]],Tabla_imprenta[LOTE],0)),"REALIZADO")</f>
        <v>REALIZADO</v>
      </c>
      <c r="B307" s="142" t="str">
        <f>IF(COUNTIF(Tabla_imprenta[LOTE],Tabla_control[[#This Row],[LOTE]])=1,INDEX(Tabla_imprenta[CÓD. SOLICITUD],MATCH(Tabla_control[[#This Row],[LOTE]],Tabla_imprenta[LOTE],0)),"REALIZADO")</f>
        <v>REALIZADO</v>
      </c>
      <c r="C307" s="177" t="str">
        <f>IF(COUNTIF(Tabla_imprenta[LOTE],Tabla_control[[#This Row],[LOTE]])=1,INDEX(Tabla_imprenta[PRODUCTO],MATCH(Tabla_control[[#This Row],[LOTE]],Tabla_imprenta[LOTE],0)),"REALIZADO")</f>
        <v>REALIZADO</v>
      </c>
      <c r="D307" s="142" t="str">
        <f>IF(COUNTIF(Tabla_imprenta[LOTE],Tabla_control[[#This Row],[LOTE]])=1,INDEX(Tabla_imprenta[FORMA FARMACEUTICA],MATCH(Tabla_control[[#This Row],[LOTE]],Tabla_imprenta[LOTE],0)),"REALIZADO")</f>
        <v>REALIZADO</v>
      </c>
      <c r="E307" s="177" t="str">
        <f>IF(COUNTIF(Tabla_imprenta[LOTE],Tabla_control[[#This Row],[LOTE]])=1,INDEX(Tabla_imprenta[INSTITUCIÓN],MATCH(Tabla_control[[#This Row],[LOTE]],Tabla_imprenta[LOTE],0)),"REALIZADO")</f>
        <v>REALIZADO</v>
      </c>
      <c r="F307" s="181" t="s">
        <v>3190</v>
      </c>
      <c r="G30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07" s="139" t="str">
        <f>IF(COUNTIF(Tabla_imprenta[LOTE],Tabla_control[[#This Row],[LOTE]])=1,INDEX(Tabla_imprenta[stock sap],MATCH(Tabla_control[[#This Row],[LOTE]],Tabla_imprenta[LOTE],0)),"ENTREGADO")</f>
        <v>ENTREGADO</v>
      </c>
      <c r="I307" s="139" t="str">
        <f>IF(Tabla_control[[#This Row],[STOCK SAP]]&gt;Tabla_control[[#This Row],[CANTIDAD IMPRIMIR]],"cubre","no cubre")</f>
        <v>no cubre</v>
      </c>
      <c r="J307" s="182" t="str">
        <f>IF(COUNTIF(Tabla_imprenta[LOTE],Tabla_control[[#This Row],[LOTE]])=1,INDEX(Tabla_imprenta[STOCK],MATCH(Tabla_control[[#This Row],[LOTE]],Tabla_imprenta[LOTE],0)),"ENTREGADO")</f>
        <v>ENTREGADO</v>
      </c>
      <c r="K30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07" s="148" t="e">
        <f>INDEX(Tabla_imprenta[FECHA CAJA],MATCH(Tabla_control[[#This Row],[LOTE]],Tabla_imprenta[LOTE],0))</f>
        <v>#N/A</v>
      </c>
      <c r="M30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0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0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07" s="170" t="e">
        <f>ROUNDUP(Tabla_control[[#This Row],[CANTIDAD IMPRIMIR]]/Tabla_control[[#This Row],[N TJ]],0)</f>
        <v>#VALUE!</v>
      </c>
      <c r="Q307" s="170" t="e">
        <f>IF(Tabla_control[[#This Row],[CANTIDAD TIRAJE]]&gt;10000,Tabla_control[[#This Row],[CANTIDAD TIRAJE]],Tabla_control[[#This Row],[CANTIDAD TIRAJE]]*2)</f>
        <v>#VALUE!</v>
      </c>
      <c r="R307" s="186" t="s">
        <v>2030</v>
      </c>
      <c r="S307" s="4" t="s">
        <v>174</v>
      </c>
      <c r="T307" s="4"/>
      <c r="U307" s="4"/>
      <c r="V307" s="4"/>
      <c r="W307" s="185" t="s">
        <v>2984</v>
      </c>
      <c r="X307" s="185"/>
      <c r="Y307" s="185"/>
      <c r="Z307" s="185"/>
      <c r="AA307" s="186" t="s">
        <v>2031</v>
      </c>
      <c r="AB307" s="184" t="s">
        <v>2028</v>
      </c>
    </row>
    <row r="308" spans="1:28" hidden="1" x14ac:dyDescent="0.2">
      <c r="A308" s="175">
        <f>IF(COUNTIF(Tabla_imprenta[LOTE],Tabla_control[[#This Row],[LOTE]])=1,INDEX(Tabla_imprenta[FECHA EMISIÓN],MATCH(Tabla_control[[#This Row],[LOTE]],Tabla_imprenta[LOTE],0)),"REALIZADO")</f>
        <v>46091</v>
      </c>
      <c r="B308" s="142">
        <f>IF(COUNTIF(Tabla_imprenta[LOTE],Tabla_control[[#This Row],[LOTE]])=1,INDEX(Tabla_imprenta[CÓD. SOLICITUD],MATCH(Tabla_control[[#This Row],[LOTE]],Tabla_imprenta[LOTE],0)),"REALIZADO")</f>
        <v>0</v>
      </c>
      <c r="C308" s="177" t="str">
        <f>IF(COUNTIF(Tabla_imprenta[LOTE],Tabla_control[[#This Row],[LOTE]])=1,INDEX(Tabla_imprenta[PRODUCTO],MATCH(Tabla_control[[#This Row],[LOTE]],Tabla_imprenta[LOTE],0)),"REALIZADO")</f>
        <v>METAMIZOL 1G X 25 AMP. SOLUCION INY.</v>
      </c>
      <c r="D308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308" s="177" t="str">
        <f>IF(COUNTIF(Tabla_imprenta[LOTE],Tabla_control[[#This Row],[LOTE]])=1,INDEX(Tabla_imprenta[INSTITUCIÓN],MATCH(Tabla_control[[#This Row],[LOTE]],Tabla_imprenta[LOTE],0)),"REALIZADO")</f>
        <v>COMERCIO</v>
      </c>
      <c r="F308" s="180" t="s">
        <v>2945</v>
      </c>
      <c r="G308" s="139">
        <f>IF(COUNTIF(Tabla_imprenta[LOTE],Tabla_control[[#This Row],[LOTE]])=1,INDEX(Tabla_imprenta[CANTIDAD ENVASE SECUNDARIO],MATCH(Tabla_control[[#This Row],[LOTE]],Tabla_imprenta[LOTE],0)),"ENTREGADO")</f>
        <v>3600</v>
      </c>
      <c r="H308" s="139">
        <f>IF(COUNTIF(Tabla_imprenta[LOTE],Tabla_control[[#This Row],[LOTE]])=1,INDEX(Tabla_imprenta[stock sap],MATCH(Tabla_control[[#This Row],[LOTE]],Tabla_imprenta[LOTE],0)),"ENTREGADO")</f>
        <v>9816</v>
      </c>
      <c r="I308" s="139" t="str">
        <f>IF(Tabla_control[[#This Row],[STOCK SAP]]&gt;Tabla_control[[#This Row],[CANTIDAD IMPRIMIR]],"cubre","no cubre")</f>
        <v>cubre</v>
      </c>
      <c r="J308" s="7">
        <f>IF(COUNTIF(Tabla_imprenta[LOTE],Tabla_control[[#This Row],[LOTE]])=1,INDEX(Tabla_imprenta[STOCK],MATCH(Tabla_control[[#This Row],[LOTE]],Tabla_imprenta[LOTE],0)),"ENTREGADO")</f>
        <v>1.8397192964762128</v>
      </c>
      <c r="K30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08" s="148" t="str">
        <f>INDEX(Tabla_imprenta[FECHA CAJA],MATCH(Tabla_control[[#This Row],[LOTE]],Tabla_imprenta[LOTE],0))</f>
        <v>ENTREGADO</v>
      </c>
      <c r="M30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0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0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308" s="169">
        <f>ROUNDUP(Tabla_control[[#This Row],[CANTIDAD IMPRIMIR]]/Tabla_control[[#This Row],[N TJ]],0)</f>
        <v>1800</v>
      </c>
      <c r="Q308" s="169">
        <f>IF(Tabla_control[[#This Row],[CANTIDAD TIRAJE]]&gt;10000,Tabla_control[[#This Row],[CANTIDAD TIRAJE]],Tabla_control[[#This Row],[CANTIDAD TIRAJE]]*2)</f>
        <v>3600</v>
      </c>
      <c r="R308" s="4" t="s">
        <v>172</v>
      </c>
      <c r="S308" s="4" t="s">
        <v>31</v>
      </c>
      <c r="T308" s="4"/>
      <c r="U308" s="4"/>
      <c r="V308" s="4"/>
      <c r="W308" s="138" t="s">
        <v>3223</v>
      </c>
      <c r="X308" s="138"/>
      <c r="Y308" s="138"/>
      <c r="Z308" s="138"/>
      <c r="AA308" s="4" t="s">
        <v>2031</v>
      </c>
      <c r="AB308" s="184" t="s">
        <v>2028</v>
      </c>
    </row>
    <row r="309" spans="1:28" hidden="1" x14ac:dyDescent="0.2">
      <c r="A309" s="175">
        <f>IF(COUNTIF(Tabla_imprenta[LOTE],Tabla_control[[#This Row],[LOTE]])=1,INDEX(Tabla_imprenta[FECHA EMISIÓN],MATCH(Tabla_control[[#This Row],[LOTE]],Tabla_imprenta[LOTE],0)),"REALIZADO")</f>
        <v>46083</v>
      </c>
      <c r="B309" s="142">
        <f>IF(COUNTIF(Tabla_imprenta[LOTE],Tabla_control[[#This Row],[LOTE]])=1,INDEX(Tabla_imprenta[CÓD. SOLICITUD],MATCH(Tabla_control[[#This Row],[LOTE]],Tabla_imprenta[LOTE],0)),"REALIZADO")</f>
        <v>0</v>
      </c>
      <c r="C309" s="177" t="str">
        <f>IF(COUNTIF(Tabla_imprenta[LOTE],Tabla_control[[#This Row],[LOTE]])=1,INDEX(Tabla_imprenta[PRODUCTO],MATCH(Tabla_control[[#This Row],[LOTE]],Tabla_imprenta[LOTE],0)),"REALIZADO")</f>
        <v>DOLOGRIP INFANTIL X 30 ML JARABE MM</v>
      </c>
      <c r="D309" s="142" t="str">
        <f>IF(COUNTIF(Tabla_imprenta[LOTE],Tabla_control[[#This Row],[LOTE]])=1,INDEX(Tabla_imprenta[FORMA FARMACEUTICA],MATCH(Tabla_control[[#This Row],[LOTE]],Tabla_imprenta[LOTE],0)),"REALIZADO")</f>
        <v>JARABE</v>
      </c>
      <c r="E309" s="177" t="str">
        <f>IF(COUNTIF(Tabla_imprenta[LOTE],Tabla_control[[#This Row],[LOTE]])=1,INDEX(Tabla_imprenta[INSTITUCIÓN],MATCH(Tabla_control[[#This Row],[LOTE]],Tabla_imprenta[LOTE],0)),"REALIZADO")</f>
        <v>MM-2026</v>
      </c>
      <c r="F309" s="180" t="s">
        <v>2523</v>
      </c>
      <c r="G309" s="139">
        <f>IF(COUNTIF(Tabla_imprenta[LOTE],Tabla_control[[#This Row],[LOTE]])=1,INDEX(Tabla_imprenta[CANTIDAD ENVASE SECUNDARIO],MATCH(Tabla_control[[#This Row],[LOTE]],Tabla_imprenta[LOTE],0)),"ENTREGADO")</f>
        <v>19355</v>
      </c>
      <c r="H309" s="139">
        <f>IF(COUNTIF(Tabla_imprenta[LOTE],Tabla_control[[#This Row],[LOTE]])=1,INDEX(Tabla_imprenta[stock sap],MATCH(Tabla_control[[#This Row],[LOTE]],Tabla_imprenta[LOTE],0)),"ENTREGADO")</f>
        <v>265</v>
      </c>
      <c r="I309" s="139" t="str">
        <f>IF(Tabla_control[[#This Row],[STOCK SAP]]&gt;Tabla_control[[#This Row],[CANTIDAD IMPRIMIR]],"cubre","no cubre")</f>
        <v>no cubre</v>
      </c>
      <c r="J309" s="7">
        <f>IF(COUNTIF(Tabla_imprenta[LOTE],Tabla_control[[#This Row],[LOTE]])=1,INDEX(Tabla_imprenta[STOCK],MATCH(Tabla_control[[#This Row],[LOTE]],Tabla_imprenta[LOTE],0)),"ENTREGADO")</f>
        <v>1.2418977134581213</v>
      </c>
      <c r="K30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09" s="148" t="str">
        <f>INDEX(Tabla_imprenta[FECHA CAJA],MATCH(Tabla_control[[#This Row],[LOTE]],Tabla_imprenta[LOTE],0))</f>
        <v>ENTREGADO</v>
      </c>
      <c r="M30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30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0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77</v>
      </c>
      <c r="P309" s="170">
        <f>ROUNDUP(Tabla_control[[#This Row],[CANTIDAD IMPRIMIR]]/Tabla_control[[#This Row],[N TJ]],0)</f>
        <v>9678</v>
      </c>
      <c r="Q309" s="170">
        <f>IF(Tabla_control[[#This Row],[CANTIDAD TIRAJE]]&gt;10000,Tabla_control[[#This Row],[CANTIDAD TIRAJE]],Tabla_control[[#This Row],[CANTIDAD TIRAJE]]*2)</f>
        <v>19356</v>
      </c>
      <c r="R309" s="4" t="s">
        <v>177</v>
      </c>
      <c r="S309" s="4" t="s">
        <v>174</v>
      </c>
      <c r="T309" s="4"/>
      <c r="U309" s="4"/>
      <c r="V309" s="4"/>
      <c r="W309" s="185" t="s">
        <v>2983</v>
      </c>
      <c r="X309" s="185"/>
      <c r="Y309" s="185"/>
      <c r="Z309" s="185"/>
      <c r="AA309" s="4" t="s">
        <v>2031</v>
      </c>
      <c r="AB309" s="184" t="s">
        <v>2028</v>
      </c>
    </row>
    <row r="310" spans="1:28" hidden="1" x14ac:dyDescent="0.2">
      <c r="A310" s="175" t="str">
        <f>IF(COUNTIF(Tabla_imprenta[LOTE],Tabla_control[[#This Row],[LOTE]])=1,INDEX(Tabla_imprenta[FECHA EMISIÓN],MATCH(Tabla_control[[#This Row],[LOTE]],Tabla_imprenta[LOTE],0)),"REALIZADO")</f>
        <v>REALIZADO</v>
      </c>
      <c r="B310" s="142" t="str">
        <f>IF(COUNTIF(Tabla_imprenta[LOTE],Tabla_control[[#This Row],[LOTE]])=1,INDEX(Tabla_imprenta[CÓD. SOLICITUD],MATCH(Tabla_control[[#This Row],[LOTE]],Tabla_imprenta[LOTE],0)),"REALIZADO")</f>
        <v>REALIZADO</v>
      </c>
      <c r="C310" s="177" t="str">
        <f>IF(COUNTIF(Tabla_imprenta[LOTE],Tabla_control[[#This Row],[LOTE]])=1,INDEX(Tabla_imprenta[PRODUCTO],MATCH(Tabla_control[[#This Row],[LOTE]],Tabla_imprenta[LOTE],0)),"REALIZADO")</f>
        <v>REALIZADO</v>
      </c>
      <c r="D310" s="142" t="str">
        <f>IF(COUNTIF(Tabla_imprenta[LOTE],Tabla_control[[#This Row],[LOTE]])=1,INDEX(Tabla_imprenta[FORMA FARMACEUTICA],MATCH(Tabla_control[[#This Row],[LOTE]],Tabla_imprenta[LOTE],0)),"REALIZADO")</f>
        <v>REALIZADO</v>
      </c>
      <c r="E310" s="177" t="str">
        <f>IF(COUNTIF(Tabla_imprenta[LOTE],Tabla_control[[#This Row],[LOTE]])=1,INDEX(Tabla_imprenta[INSTITUCIÓN],MATCH(Tabla_control[[#This Row],[LOTE]],Tabla_imprenta[LOTE],0)),"REALIZADO")</f>
        <v>REALIZADO</v>
      </c>
      <c r="F310" s="180" t="s">
        <v>2430</v>
      </c>
      <c r="G31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10" s="139" t="str">
        <f>IF(COUNTIF(Tabla_imprenta[LOTE],Tabla_control[[#This Row],[LOTE]])=1,INDEX(Tabla_imprenta[stock sap],MATCH(Tabla_control[[#This Row],[LOTE]],Tabla_imprenta[LOTE],0)),"ENTREGADO")</f>
        <v>ENTREGADO</v>
      </c>
      <c r="I310" s="139" t="str">
        <f>IF(Tabla_control[[#This Row],[STOCK SAP]]&gt;Tabla_control[[#This Row],[CANTIDAD IMPRIMIR]],"cubre","no cubre")</f>
        <v>no cubre</v>
      </c>
      <c r="J310" s="7" t="str">
        <f>IF(COUNTIF(Tabla_imprenta[LOTE],Tabla_control[[#This Row],[LOTE]])=1,INDEX(Tabla_imprenta[STOCK],MATCH(Tabla_control[[#This Row],[LOTE]],Tabla_imprenta[LOTE],0)),"ENTREGADO")</f>
        <v>ENTREGADO</v>
      </c>
      <c r="K31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10" s="148" t="e">
        <f>INDEX(Tabla_imprenta[FECHA CAJA],MATCH(Tabla_control[[#This Row],[LOTE]],Tabla_imprenta[LOTE],0))</f>
        <v>#N/A</v>
      </c>
      <c r="M31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1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1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10" s="170" t="e">
        <f>ROUNDUP(Tabla_control[[#This Row],[CANTIDAD IMPRIMIR]]/Tabla_control[[#This Row],[N TJ]],0)</f>
        <v>#VALUE!</v>
      </c>
      <c r="Q310" s="170" t="e">
        <f>IF(Tabla_control[[#This Row],[CANTIDAD TIRAJE]]&gt;10000,Tabla_control[[#This Row],[CANTIDAD TIRAJE]],Tabla_control[[#This Row],[CANTIDAD TIRAJE]]*2)</f>
        <v>#VALUE!</v>
      </c>
      <c r="R310" s="4" t="s">
        <v>177</v>
      </c>
      <c r="S310" s="4" t="s">
        <v>54</v>
      </c>
      <c r="T310" s="4"/>
      <c r="U310" s="4"/>
      <c r="V310" s="4"/>
      <c r="W310" s="185" t="s">
        <v>2983</v>
      </c>
      <c r="X310" s="185"/>
      <c r="Y310" s="185"/>
      <c r="Z310" s="185"/>
      <c r="AA310" s="4" t="s">
        <v>2314</v>
      </c>
      <c r="AB310" s="184" t="s">
        <v>2028</v>
      </c>
    </row>
    <row r="311" spans="1:28" hidden="1" x14ac:dyDescent="0.2">
      <c r="A311" s="175">
        <f>IF(COUNTIF(Tabla_imprenta[LOTE],Tabla_control[[#This Row],[LOTE]])=1,INDEX(Tabla_imprenta[FECHA EMISIÓN],MATCH(Tabla_control[[#This Row],[LOTE]],Tabla_imprenta[LOTE],0)),"REALIZADO")</f>
        <v>46055</v>
      </c>
      <c r="B311" s="142">
        <f>IF(COUNTIF(Tabla_imprenta[LOTE],Tabla_control[[#This Row],[LOTE]])=1,INDEX(Tabla_imprenta[CÓD. SOLICITUD],MATCH(Tabla_control[[#This Row],[LOTE]],Tabla_imprenta[LOTE],0)),"REALIZADO")</f>
        <v>0</v>
      </c>
      <c r="C311" s="177" t="str">
        <f>IF(COUNTIF(Tabla_imprenta[LOTE],Tabla_control[[#This Row],[LOTE]])=1,INDEX(Tabla_imprenta[PRODUCTO],MATCH(Tabla_control[[#This Row],[LOTE]],Tabla_imprenta[LOTE],0)),"REALIZADO")</f>
        <v>CEFIXIMA 400 MG X 100 CAP. DURAS</v>
      </c>
      <c r="D311" s="142" t="str">
        <f>IF(COUNTIF(Tabla_imprenta[LOTE],Tabla_control[[#This Row],[LOTE]])=1,INDEX(Tabla_imprenta[FORMA FARMACEUTICA],MATCH(Tabla_control[[#This Row],[LOTE]],Tabla_imprenta[LOTE],0)),"REALIZADO")</f>
        <v>CÁPSULA</v>
      </c>
      <c r="E311" s="177" t="str">
        <f>IF(COUNTIF(Tabla_imprenta[LOTE],Tabla_control[[#This Row],[LOTE]])=1,INDEX(Tabla_imprenta[INSTITUCIÓN],MATCH(Tabla_control[[#This Row],[LOTE]],Tabla_imprenta[LOTE],0)),"REALIZADO")</f>
        <v>COMERCIO</v>
      </c>
      <c r="F311" s="180" t="s">
        <v>2201</v>
      </c>
      <c r="G311" s="139">
        <f>IF(COUNTIF(Tabla_imprenta[LOTE],Tabla_control[[#This Row],[LOTE]])=1,INDEX(Tabla_imprenta[CANTIDAD ENVASE SECUNDARIO],MATCH(Tabla_control[[#This Row],[LOTE]],Tabla_imprenta[LOTE],0)),"ENTREGADO")</f>
        <v>4200</v>
      </c>
      <c r="H311" s="139">
        <f>IF(COUNTIF(Tabla_imprenta[LOTE],Tabla_control[[#This Row],[LOTE]])=1,INDEX(Tabla_imprenta[stock sap],MATCH(Tabla_control[[#This Row],[LOTE]],Tabla_imprenta[LOTE],0)),"ENTREGADO")</f>
        <v>985</v>
      </c>
      <c r="I311" s="139" t="str">
        <f>IF(Tabla_control[[#This Row],[STOCK SAP]]&gt;Tabla_control[[#This Row],[CANTIDAD IMPRIMIR]],"cubre","no cubre")</f>
        <v>no cubre</v>
      </c>
      <c r="J311" s="7">
        <f>IF(COUNTIF(Tabla_imprenta[LOTE],Tabla_control[[#This Row],[LOTE]])=1,INDEX(Tabla_imprenta[STOCK],MATCH(Tabla_control[[#This Row],[LOTE]],Tabla_imprenta[LOTE],0)),"ENTREGADO")</f>
        <v>2.619159629904102</v>
      </c>
      <c r="K31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46149</v>
      </c>
      <c r="L311" s="148" t="str">
        <f>INDEX(Tabla_imprenta[FECHA CAJA],MATCH(Tabla_control[[#This Row],[LOTE]],Tabla_imprenta[LOTE],0))</f>
        <v>ENTREGADO</v>
      </c>
      <c r="M31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1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1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40</v>
      </c>
      <c r="P311" s="169">
        <f>ROUNDUP(Tabla_control[[#This Row],[CANTIDAD IMPRIMIR]]/Tabla_control[[#This Row],[N TJ]],0)</f>
        <v>2100</v>
      </c>
      <c r="Q311" s="169">
        <f>IF(Tabla_control[[#This Row],[CANTIDAD TIRAJE]]&gt;10000,Tabla_control[[#This Row],[CANTIDAD TIRAJE]],Tabla_control[[#This Row],[CANTIDAD TIRAJE]]*2)</f>
        <v>4200</v>
      </c>
      <c r="R311" s="4" t="s">
        <v>172</v>
      </c>
      <c r="S311" s="4" t="s">
        <v>30</v>
      </c>
      <c r="T311" s="4"/>
      <c r="U311" s="4"/>
      <c r="V311" s="4"/>
      <c r="W311" s="138" t="s">
        <v>3223</v>
      </c>
      <c r="X311" s="138"/>
      <c r="Y311" s="138"/>
      <c r="Z311" s="138"/>
      <c r="AA311" s="4" t="s">
        <v>2031</v>
      </c>
      <c r="AB311" s="184" t="s">
        <v>2028</v>
      </c>
    </row>
    <row r="312" spans="1:28" hidden="1" x14ac:dyDescent="0.2">
      <c r="A312" s="175">
        <f>IF(COUNTIF(Tabla_imprenta[LOTE],Tabla_control[[#This Row],[LOTE]])=1,INDEX(Tabla_imprenta[FECHA EMISIÓN],MATCH(Tabla_control[[#This Row],[LOTE]],Tabla_imprenta[LOTE],0)),"REALIZADO")</f>
        <v>46055</v>
      </c>
      <c r="B312" s="142">
        <f>IF(COUNTIF(Tabla_imprenta[LOTE],Tabla_control[[#This Row],[LOTE]])=1,INDEX(Tabla_imprenta[CÓD. SOLICITUD],MATCH(Tabla_control[[#This Row],[LOTE]],Tabla_imprenta[LOTE],0)),"REALIZADO")</f>
        <v>0</v>
      </c>
      <c r="C312" s="177" t="str">
        <f>IF(COUNTIF(Tabla_imprenta[LOTE],Tabla_control[[#This Row],[LOTE]])=1,INDEX(Tabla_imprenta[PRODUCTO],MATCH(Tabla_control[[#This Row],[LOTE]],Tabla_imprenta[LOTE],0)),"REALIZADO")</f>
        <v>CIFLOX F X 2 CAP. DURAS MM</v>
      </c>
      <c r="D312" s="142" t="str">
        <f>IF(COUNTIF(Tabla_imprenta[LOTE],Tabla_control[[#This Row],[LOTE]])=1,INDEX(Tabla_imprenta[FORMA FARMACEUTICA],MATCH(Tabla_control[[#This Row],[LOTE]],Tabla_imprenta[LOTE],0)),"REALIZADO")</f>
        <v>CÁPSULA</v>
      </c>
      <c r="E312" s="177" t="str">
        <f>IF(COUNTIF(Tabla_imprenta[LOTE],Tabla_control[[#This Row],[LOTE]])=1,INDEX(Tabla_imprenta[INSTITUCIÓN],MATCH(Tabla_control[[#This Row],[LOTE]],Tabla_imprenta[LOTE],0)),"REALIZADO")</f>
        <v>MM-2026</v>
      </c>
      <c r="F312" s="180" t="s">
        <v>2192</v>
      </c>
      <c r="G312" s="139">
        <f>IF(COUNTIF(Tabla_imprenta[LOTE],Tabla_control[[#This Row],[LOTE]])=1,INDEX(Tabla_imprenta[CANTIDAD ENVASE SECUNDARIO],MATCH(Tabla_control[[#This Row],[LOTE]],Tabla_imprenta[LOTE],0)),"ENTREGADO")</f>
        <v>17500</v>
      </c>
      <c r="H312" s="139">
        <f>IF(COUNTIF(Tabla_imprenta[LOTE],Tabla_control[[#This Row],[LOTE]])=1,INDEX(Tabla_imprenta[stock sap],MATCH(Tabla_control[[#This Row],[LOTE]],Tabla_imprenta[LOTE],0)),"ENTREGADO")</f>
        <v>6026</v>
      </c>
      <c r="I312" s="139" t="str">
        <f>IF(Tabla_control[[#This Row],[STOCK SAP]]&gt;Tabla_control[[#This Row],[CANTIDAD IMPRIMIR]],"cubre","no cubre")</f>
        <v>no cubre</v>
      </c>
      <c r="J312" s="7">
        <f>IF(COUNTIF(Tabla_imprenta[LOTE],Tabla_control[[#This Row],[LOTE]])=1,INDEX(Tabla_imprenta[STOCK],MATCH(Tabla_control[[#This Row],[LOTE]],Tabla_imprenta[LOTE],0)),"ENTREGADO")</f>
        <v>0.29720986511211556</v>
      </c>
      <c r="K31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312" s="148" t="str">
        <f>INDEX(Tabla_imprenta[FECHA CAJA],MATCH(Tabla_control[[#This Row],[LOTE]],Tabla_imprenta[LOTE],0))</f>
        <v>ENTREGADO</v>
      </c>
      <c r="M31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1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1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114</v>
      </c>
      <c r="P312" s="169">
        <f>ROUNDUP(Tabla_control[[#This Row],[CANTIDAD IMPRIMIR]]/Tabla_control[[#This Row],[N TJ]],0)</f>
        <v>4375</v>
      </c>
      <c r="Q312" s="169">
        <f>IF(Tabla_control[[#This Row],[CANTIDAD TIRAJE]]&gt;10000,Tabla_control[[#This Row],[CANTIDAD TIRAJE]],Tabla_control[[#This Row],[CANTIDAD TIRAJE]]*2)</f>
        <v>8750</v>
      </c>
      <c r="R312" s="4" t="s">
        <v>173</v>
      </c>
      <c r="S312" s="4" t="s">
        <v>174</v>
      </c>
      <c r="T312" s="4"/>
      <c r="U312" s="4"/>
      <c r="V312" s="4"/>
      <c r="W312" s="138" t="s">
        <v>3223</v>
      </c>
      <c r="X312" s="138"/>
      <c r="Y312" s="138"/>
      <c r="Z312" s="138"/>
      <c r="AA312" s="4" t="s">
        <v>2314</v>
      </c>
      <c r="AB312" s="184" t="s">
        <v>2028</v>
      </c>
    </row>
    <row r="313" spans="1:28" hidden="1" x14ac:dyDescent="0.2">
      <c r="A313" s="175">
        <f>IF(COUNTIF(Tabla_imprenta[LOTE],Tabla_control[[#This Row],[LOTE]])=1,INDEX(Tabla_imprenta[FECHA EMISIÓN],MATCH(Tabla_control[[#This Row],[LOTE]],Tabla_imprenta[LOTE],0)),"REALIZADO")</f>
        <v>46113</v>
      </c>
      <c r="B313" s="142">
        <f>IF(COUNTIF(Tabla_imprenta[LOTE],Tabla_control[[#This Row],[LOTE]])=1,INDEX(Tabla_imprenta[CÓD. SOLICITUD],MATCH(Tabla_control[[#This Row],[LOTE]],Tabla_imprenta[LOTE],0)),"REALIZADO")</f>
        <v>0</v>
      </c>
      <c r="C313" s="177" t="str">
        <f>IF(COUNTIF(Tabla_imprenta[LOTE],Tabla_control[[#This Row],[LOTE]])=1,INDEX(Tabla_imprenta[PRODUCTO],MATCH(Tabla_control[[#This Row],[LOTE]],Tabla_imprenta[LOTE],0)),"REALIZADO")</f>
        <v>REDUTEM X 10 ML GOTAS MM</v>
      </c>
      <c r="D313" s="142" t="str">
        <f>IF(COUNTIF(Tabla_imprenta[LOTE],Tabla_control[[#This Row],[LOTE]])=1,INDEX(Tabla_imprenta[FORMA FARMACEUTICA],MATCH(Tabla_control[[#This Row],[LOTE]],Tabla_imprenta[LOTE],0)),"REALIZADO")</f>
        <v>GOTAS</v>
      </c>
      <c r="E313" s="177" t="str">
        <f>IF(COUNTIF(Tabla_imprenta[LOTE],Tabla_control[[#This Row],[LOTE]])=1,INDEX(Tabla_imprenta[INSTITUCIÓN],MATCH(Tabla_control[[#This Row],[LOTE]],Tabla_imprenta[LOTE],0)),"REALIZADO")</f>
        <v>MM-2026</v>
      </c>
      <c r="F313" s="181" t="s">
        <v>3016</v>
      </c>
      <c r="G313" s="139">
        <f>IF(COUNTIF(Tabla_imprenta[LOTE],Tabla_control[[#This Row],[LOTE]])=1,INDEX(Tabla_imprenta[CANTIDAD ENVASE SECUNDARIO],MATCH(Tabla_control[[#This Row],[LOTE]],Tabla_imprenta[LOTE],0)),"ENTREGADO")</f>
        <v>15000</v>
      </c>
      <c r="H313" s="139">
        <f>IF(COUNTIF(Tabla_imprenta[LOTE],Tabla_control[[#This Row],[LOTE]])=1,INDEX(Tabla_imprenta[stock sap],MATCH(Tabla_control[[#This Row],[LOTE]],Tabla_imprenta[LOTE],0)),"ENTREGADO")</f>
        <v>1731</v>
      </c>
      <c r="I313" s="139" t="str">
        <f>IF(Tabla_control[[#This Row],[STOCK SAP]]&gt;Tabla_control[[#This Row],[CANTIDAD IMPRIMIR]],"cubre","no cubre")</f>
        <v>no cubre</v>
      </c>
      <c r="J313" s="182">
        <f>IF(COUNTIF(Tabla_imprenta[LOTE],Tabla_control[[#This Row],[LOTE]])=1,INDEX(Tabla_imprenta[STOCK],MATCH(Tabla_control[[#This Row],[LOTE]],Tabla_imprenta[LOTE],0)),"ENTREGADO")</f>
        <v>3.0234225131420378</v>
      </c>
      <c r="K31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13" s="148" t="str">
        <f>INDEX(Tabla_imprenta[FECHA CAJA],MATCH(Tabla_control[[#This Row],[LOTE]],Tabla_imprenta[LOTE],0))</f>
        <v>ENTREGADO</v>
      </c>
      <c r="M31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31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31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24</v>
      </c>
      <c r="P313" s="170">
        <f>ROUNDUP(Tabla_control[[#This Row],[CANTIDAD IMPRIMIR]]/Tabla_control[[#This Row],[N TJ]],0)</f>
        <v>2500</v>
      </c>
      <c r="Q313" s="170">
        <f>IF(Tabla_control[[#This Row],[CANTIDAD TIRAJE]]&gt;10000,Tabla_control[[#This Row],[CANTIDAD TIRAJE]],Tabla_control[[#This Row],[CANTIDAD TIRAJE]]*2)</f>
        <v>5000</v>
      </c>
      <c r="R313" s="186" t="s">
        <v>177</v>
      </c>
      <c r="S313" s="4" t="s">
        <v>174</v>
      </c>
      <c r="T313" s="4"/>
      <c r="U313" s="4"/>
      <c r="V313" s="4"/>
      <c r="W313" s="185" t="s">
        <v>2983</v>
      </c>
      <c r="X313" s="185"/>
      <c r="Y313" s="185"/>
      <c r="Z313" s="185"/>
      <c r="AA313" s="4" t="s">
        <v>2429</v>
      </c>
      <c r="AB313" s="184" t="s">
        <v>2028</v>
      </c>
    </row>
    <row r="314" spans="1:28" hidden="1" x14ac:dyDescent="0.2">
      <c r="A314" s="175">
        <f>IF(COUNTIF(Tabla_imprenta[LOTE],Tabla_control[[#This Row],[LOTE]])=1,INDEX(Tabla_imprenta[FECHA EMISIÓN],MATCH(Tabla_control[[#This Row],[LOTE]],Tabla_imprenta[LOTE],0)),"REALIZADO")</f>
        <v>46113</v>
      </c>
      <c r="B314" s="142">
        <f>IF(COUNTIF(Tabla_imprenta[LOTE],Tabla_control[[#This Row],[LOTE]])=1,INDEX(Tabla_imprenta[CÓD. SOLICITUD],MATCH(Tabla_control[[#This Row],[LOTE]],Tabla_imprenta[LOTE],0)),"REALIZADO")</f>
        <v>0</v>
      </c>
      <c r="C314" s="177" t="str">
        <f>IF(COUNTIF(Tabla_imprenta[LOTE],Tabla_control[[#This Row],[LOTE]])=1,INDEX(Tabla_imprenta[PRODUCTO],MATCH(Tabla_control[[#This Row],[LOTE]],Tabla_imprenta[LOTE],0)),"REALIZADO")</f>
        <v>BRONCOFLU X 30 ML JARABE MM</v>
      </c>
      <c r="D314" s="142" t="str">
        <f>IF(COUNTIF(Tabla_imprenta[LOTE],Tabla_control[[#This Row],[LOTE]])=1,INDEX(Tabla_imprenta[FORMA FARMACEUTICA],MATCH(Tabla_control[[#This Row],[LOTE]],Tabla_imprenta[LOTE],0)),"REALIZADO")</f>
        <v>JARABE</v>
      </c>
      <c r="E314" s="177" t="str">
        <f>IF(COUNTIF(Tabla_imprenta[LOTE],Tabla_control[[#This Row],[LOTE]])=1,INDEX(Tabla_imprenta[INSTITUCIÓN],MATCH(Tabla_control[[#This Row],[LOTE]],Tabla_imprenta[LOTE],0)),"REALIZADO")</f>
        <v>MM-2026</v>
      </c>
      <c r="F314" s="181" t="s">
        <v>3018</v>
      </c>
      <c r="G314" s="139">
        <f>IF(COUNTIF(Tabla_imprenta[LOTE],Tabla_control[[#This Row],[LOTE]])=1,INDEX(Tabla_imprenta[CANTIDAD ENVASE SECUNDARIO],MATCH(Tabla_control[[#This Row],[LOTE]],Tabla_imprenta[LOTE],0)),"ENTREGADO")</f>
        <v>18000</v>
      </c>
      <c r="H314" s="139">
        <f>IF(COUNTIF(Tabla_imprenta[LOTE],Tabla_control[[#This Row],[LOTE]])=1,INDEX(Tabla_imprenta[stock sap],MATCH(Tabla_control[[#This Row],[LOTE]],Tabla_imprenta[LOTE],0)),"ENTREGADO")</f>
        <v>812</v>
      </c>
      <c r="I314" s="139" t="str">
        <f>IF(Tabla_control[[#This Row],[STOCK SAP]]&gt;Tabla_control[[#This Row],[CANTIDAD IMPRIMIR]],"cubre","no cubre")</f>
        <v>no cubre</v>
      </c>
      <c r="J314" s="182">
        <f>IF(COUNTIF(Tabla_imprenta[LOTE],Tabla_control[[#This Row],[LOTE]])=1,INDEX(Tabla_imprenta[STOCK],MATCH(Tabla_control[[#This Row],[LOTE]],Tabla_imprenta[LOTE],0)),"ENTREGADO")</f>
        <v>3.1388679269527064</v>
      </c>
      <c r="K31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14" s="148" t="str">
        <f>INDEX(Tabla_imprenta[FECHA CAJA],MATCH(Tabla_control[[#This Row],[LOTE]],Tabla_imprenta[LOTE],0))</f>
        <v>ENTREGADO</v>
      </c>
      <c r="M31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31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1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77</v>
      </c>
      <c r="P314" s="170">
        <f>ROUNDUP(Tabla_control[[#This Row],[CANTIDAD IMPRIMIR]]/Tabla_control[[#This Row],[N TJ]],0)</f>
        <v>9000</v>
      </c>
      <c r="Q314" s="170">
        <f>IF(Tabla_control[[#This Row],[CANTIDAD TIRAJE]]&gt;10000,Tabla_control[[#This Row],[CANTIDAD TIRAJE]],Tabla_control[[#This Row],[CANTIDAD TIRAJE]]*2)</f>
        <v>18000</v>
      </c>
      <c r="R314" s="186" t="s">
        <v>177</v>
      </c>
      <c r="S314" s="4" t="s">
        <v>54</v>
      </c>
      <c r="T314" s="4"/>
      <c r="U314" s="4"/>
      <c r="V314" s="4"/>
      <c r="W314" s="185" t="s">
        <v>2983</v>
      </c>
      <c r="X314" s="185"/>
      <c r="Y314" s="185"/>
      <c r="Z314" s="185"/>
      <c r="AA314" s="186" t="s">
        <v>2314</v>
      </c>
      <c r="AB314" s="184" t="s">
        <v>2028</v>
      </c>
    </row>
    <row r="315" spans="1:28" hidden="1" x14ac:dyDescent="0.2">
      <c r="A315" s="175" t="str">
        <f>IF(COUNTIF(Tabla_imprenta[LOTE],Tabla_control[[#This Row],[LOTE]])=1,INDEX(Tabla_imprenta[FECHA EMISIÓN],MATCH(Tabla_control[[#This Row],[LOTE]],Tabla_imprenta[LOTE],0)),"REALIZADO")</f>
        <v>REALIZADO</v>
      </c>
      <c r="B315" s="142" t="str">
        <f>IF(COUNTIF(Tabla_imprenta[LOTE],Tabla_control[[#This Row],[LOTE]])=1,INDEX(Tabla_imprenta[CÓD. SOLICITUD],MATCH(Tabla_control[[#This Row],[LOTE]],Tabla_imprenta[LOTE],0)),"REALIZADO")</f>
        <v>REALIZADO</v>
      </c>
      <c r="C315" s="177" t="str">
        <f>IF(COUNTIF(Tabla_imprenta[LOTE],Tabla_control[[#This Row],[LOTE]])=1,INDEX(Tabla_imprenta[PRODUCTO],MATCH(Tabla_control[[#This Row],[LOTE]],Tabla_imprenta[LOTE],0)),"REALIZADO")</f>
        <v>REALIZADO</v>
      </c>
      <c r="D315" s="142" t="str">
        <f>IF(COUNTIF(Tabla_imprenta[LOTE],Tabla_control[[#This Row],[LOTE]])=1,INDEX(Tabla_imprenta[FORMA FARMACEUTICA],MATCH(Tabla_control[[#This Row],[LOTE]],Tabla_imprenta[LOTE],0)),"REALIZADO")</f>
        <v>REALIZADO</v>
      </c>
      <c r="E315" s="177" t="str">
        <f>IF(COUNTIF(Tabla_imprenta[LOTE],Tabla_control[[#This Row],[LOTE]])=1,INDEX(Tabla_imprenta[INSTITUCIÓN],MATCH(Tabla_control[[#This Row],[LOTE]],Tabla_imprenta[LOTE],0)),"REALIZADO")</f>
        <v>REALIZADO</v>
      </c>
      <c r="F315" s="180" t="s">
        <v>2571</v>
      </c>
      <c r="G31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15" s="139" t="str">
        <f>IF(COUNTIF(Tabla_imprenta[LOTE],Tabla_control[[#This Row],[LOTE]])=1,INDEX(Tabla_imprenta[stock sap],MATCH(Tabla_control[[#This Row],[LOTE]],Tabla_imprenta[LOTE],0)),"ENTREGADO")</f>
        <v>ENTREGADO</v>
      </c>
      <c r="I315" s="139" t="str">
        <f>IF(Tabla_control[[#This Row],[STOCK SAP]]&gt;Tabla_control[[#This Row],[CANTIDAD IMPRIMIR]],"cubre","no cubre")</f>
        <v>no cubre</v>
      </c>
      <c r="J315" s="7" t="str">
        <f>IF(COUNTIF(Tabla_imprenta[LOTE],Tabla_control[[#This Row],[LOTE]])=1,INDEX(Tabla_imprenta[STOCK],MATCH(Tabla_control[[#This Row],[LOTE]],Tabla_imprenta[LOTE],0)),"ENTREGADO")</f>
        <v>ENTREGADO</v>
      </c>
      <c r="K31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15" s="148" t="e">
        <f>INDEX(Tabla_imprenta[FECHA CAJA],MATCH(Tabla_control[[#This Row],[LOTE]],Tabla_imprenta[LOTE],0))</f>
        <v>#N/A</v>
      </c>
      <c r="M31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1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1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15" s="170" t="e">
        <f>ROUNDUP(Tabla_control[[#This Row],[CANTIDAD IMPRIMIR]]/Tabla_control[[#This Row],[N TJ]],0)</f>
        <v>#VALUE!</v>
      </c>
      <c r="Q315" s="170" t="e">
        <f>IF(Tabla_control[[#This Row],[CANTIDAD TIRAJE]]&gt;10000,Tabla_control[[#This Row],[CANTIDAD TIRAJE]],Tabla_control[[#This Row],[CANTIDAD TIRAJE]]*2)</f>
        <v>#VALUE!</v>
      </c>
      <c r="R315" s="4" t="s">
        <v>172</v>
      </c>
      <c r="S315" s="4" t="s">
        <v>54</v>
      </c>
      <c r="T315" s="4"/>
      <c r="U315" s="4"/>
      <c r="V315" s="4"/>
      <c r="W315" s="185">
        <v>72</v>
      </c>
      <c r="X315" s="185"/>
      <c r="Y315" s="185"/>
      <c r="Z315" s="185"/>
      <c r="AA315" s="4" t="s">
        <v>2429</v>
      </c>
      <c r="AB315" s="184" t="s">
        <v>2028</v>
      </c>
    </row>
    <row r="316" spans="1:28" hidden="1" x14ac:dyDescent="0.2">
      <c r="A316" s="175">
        <f>IF(COUNTIF(Tabla_imprenta[LOTE],Tabla_control[[#This Row],[LOTE]])=1,INDEX(Tabla_imprenta[FECHA EMISIÓN],MATCH(Tabla_control[[#This Row],[LOTE]],Tabla_imprenta[LOTE],0)),"REALIZADO")</f>
        <v>46091</v>
      </c>
      <c r="B316" s="142">
        <f>IF(COUNTIF(Tabla_imprenta[LOTE],Tabla_control[[#This Row],[LOTE]])=1,INDEX(Tabla_imprenta[CÓD. SOLICITUD],MATCH(Tabla_control[[#This Row],[LOTE]],Tabla_imprenta[LOTE],0)),"REALIZADO")</f>
        <v>0</v>
      </c>
      <c r="C316" s="177" t="str">
        <f>IF(COUNTIF(Tabla_imprenta[LOTE],Tabla_control[[#This Row],[LOTE]])=1,INDEX(Tabla_imprenta[PRODUCTO],MATCH(Tabla_control[[#This Row],[LOTE]],Tabla_imprenta[LOTE],0)),"REALIZADO")</f>
        <v>METAMIZOL 1G X 25 AMP. SOLUCION INY.</v>
      </c>
      <c r="D316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316" s="177" t="str">
        <f>IF(COUNTIF(Tabla_imprenta[LOTE],Tabla_control[[#This Row],[LOTE]])=1,INDEX(Tabla_imprenta[INSTITUCIÓN],MATCH(Tabla_control[[#This Row],[LOTE]],Tabla_imprenta[LOTE],0)),"REALIZADO")</f>
        <v>COMERCIO</v>
      </c>
      <c r="F316" s="180" t="s">
        <v>2940</v>
      </c>
      <c r="G316" s="139">
        <f>IF(COUNTIF(Tabla_imprenta[LOTE],Tabla_control[[#This Row],[LOTE]])=1,INDEX(Tabla_imprenta[CANTIDAD ENVASE SECUNDARIO],MATCH(Tabla_control[[#This Row],[LOTE]],Tabla_imprenta[LOTE],0)),"ENTREGADO")</f>
        <v>3600</v>
      </c>
      <c r="H316" s="139">
        <f>IF(COUNTIF(Tabla_imprenta[LOTE],Tabla_control[[#This Row],[LOTE]])=1,INDEX(Tabla_imprenta[stock sap],MATCH(Tabla_control[[#This Row],[LOTE]],Tabla_imprenta[LOTE],0)),"ENTREGADO")</f>
        <v>9816</v>
      </c>
      <c r="I316" s="139" t="str">
        <f>IF(Tabla_control[[#This Row],[STOCK SAP]]&gt;Tabla_control[[#This Row],[CANTIDAD IMPRIMIR]],"cubre","no cubre")</f>
        <v>cubre</v>
      </c>
      <c r="J316" s="7">
        <f>IF(COUNTIF(Tabla_imprenta[LOTE],Tabla_control[[#This Row],[LOTE]])=1,INDEX(Tabla_imprenta[STOCK],MATCH(Tabla_control[[#This Row],[LOTE]],Tabla_imprenta[LOTE],0)),"ENTREGADO")</f>
        <v>1.8397192964762128</v>
      </c>
      <c r="K31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16" s="148" t="str">
        <f>INDEX(Tabla_imprenta[FECHA CAJA],MATCH(Tabla_control[[#This Row],[LOTE]],Tabla_imprenta[LOTE],0))</f>
        <v>ENTREGADO</v>
      </c>
      <c r="M31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1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1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316" s="169">
        <f>ROUNDUP(Tabla_control[[#This Row],[CANTIDAD IMPRIMIR]]/Tabla_control[[#This Row],[N TJ]],0)</f>
        <v>1800</v>
      </c>
      <c r="Q316" s="169">
        <f>IF(Tabla_control[[#This Row],[CANTIDAD TIRAJE]]&gt;10000,Tabla_control[[#This Row],[CANTIDAD TIRAJE]],Tabla_control[[#This Row],[CANTIDAD TIRAJE]]*2)</f>
        <v>3600</v>
      </c>
      <c r="R316" s="4" t="s">
        <v>172</v>
      </c>
      <c r="S316" s="4" t="s">
        <v>31</v>
      </c>
      <c r="T316" s="4"/>
      <c r="U316" s="4"/>
      <c r="V316" s="4"/>
      <c r="W316" s="138" t="s">
        <v>3223</v>
      </c>
      <c r="X316" s="138"/>
      <c r="Y316" s="138"/>
      <c r="Z316" s="138"/>
      <c r="AA316" s="4" t="s">
        <v>2031</v>
      </c>
      <c r="AB316" s="184" t="s">
        <v>2028</v>
      </c>
    </row>
    <row r="317" spans="1:28" hidden="1" x14ac:dyDescent="0.2">
      <c r="A317" s="175">
        <f>IF(COUNTIF(Tabla_imprenta[LOTE],Tabla_control[[#This Row],[LOTE]])=1,INDEX(Tabla_imprenta[FECHA EMISIÓN],MATCH(Tabla_control[[#This Row],[LOTE]],Tabla_imprenta[LOTE],0)),"REALIZADO")</f>
        <v>46083</v>
      </c>
      <c r="B317" s="142">
        <f>IF(COUNTIF(Tabla_imprenta[LOTE],Tabla_control[[#This Row],[LOTE]])=1,INDEX(Tabla_imprenta[CÓD. SOLICITUD],MATCH(Tabla_control[[#This Row],[LOTE]],Tabla_imprenta[LOTE],0)),"REALIZADO")</f>
        <v>0</v>
      </c>
      <c r="C317" s="177" t="str">
        <f>IF(COUNTIF(Tabla_imprenta[LOTE],Tabla_control[[#This Row],[LOTE]])=1,INDEX(Tabla_imprenta[PRODUCTO],MATCH(Tabla_control[[#This Row],[LOTE]],Tabla_imprenta[LOTE],0)),"REALIZADO")</f>
        <v>CETIRIZINA 5 MG X 100 ML JARABE</v>
      </c>
      <c r="D317" s="142" t="str">
        <f>IF(COUNTIF(Tabla_imprenta[LOTE],Tabla_control[[#This Row],[LOTE]])=1,INDEX(Tabla_imprenta[FORMA FARMACEUTICA],MATCH(Tabla_control[[#This Row],[LOTE]],Tabla_imprenta[LOTE],0)),"REALIZADO")</f>
        <v>JARABE</v>
      </c>
      <c r="E317" s="177" t="str">
        <f>IF(COUNTIF(Tabla_imprenta[LOTE],Tabla_control[[#This Row],[LOTE]])=1,INDEX(Tabla_imprenta[INSTITUCIÓN],MATCH(Tabla_control[[#This Row],[LOTE]],Tabla_imprenta[LOTE],0)),"REALIZADO")</f>
        <v>COMERCIO</v>
      </c>
      <c r="F317" s="180" t="s">
        <v>2570</v>
      </c>
      <c r="G317" s="139">
        <f>IF(COUNTIF(Tabla_imprenta[LOTE],Tabla_control[[#This Row],[LOTE]])=1,INDEX(Tabla_imprenta[CANTIDAD ENVASE SECUNDARIO],MATCH(Tabla_control[[#This Row],[LOTE]],Tabla_imprenta[LOTE],0)),"ENTREGADO")</f>
        <v>19802</v>
      </c>
      <c r="H317" s="139">
        <f>IF(COUNTIF(Tabla_imprenta[LOTE],Tabla_control[[#This Row],[LOTE]])=1,INDEX(Tabla_imprenta[stock sap],MATCH(Tabla_control[[#This Row],[LOTE]],Tabla_imprenta[LOTE],0)),"ENTREGADO")</f>
        <v>1623</v>
      </c>
      <c r="I317" s="139" t="str">
        <f>IF(Tabla_control[[#This Row],[STOCK SAP]]&gt;Tabla_control[[#This Row],[CANTIDAD IMPRIMIR]],"cubre","no cubre")</f>
        <v>no cubre</v>
      </c>
      <c r="J317" s="7">
        <f>IF(COUNTIF(Tabla_imprenta[LOTE],Tabla_control[[#This Row],[LOTE]])=1,INDEX(Tabla_imprenta[STOCK],MATCH(Tabla_control[[#This Row],[LOTE]],Tabla_imprenta[LOTE],0)),"ENTREGADO")</f>
        <v>0.22619081965321255</v>
      </c>
      <c r="K31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17" s="148" t="str">
        <f>INDEX(Tabla_imprenta[FECHA CAJA],MATCH(Tabla_control[[#This Row],[LOTE]],Tabla_imprenta[LOTE],0))</f>
        <v>ENTREGADO</v>
      </c>
      <c r="M31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1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1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317" s="170">
        <f>ROUNDUP(Tabla_control[[#This Row],[CANTIDAD IMPRIMIR]]/Tabla_control[[#This Row],[N TJ]],0)</f>
        <v>9901</v>
      </c>
      <c r="Q317" s="170">
        <f>IF(Tabla_control[[#This Row],[CANTIDAD TIRAJE]]&gt;10000,Tabla_control[[#This Row],[CANTIDAD TIRAJE]],Tabla_control[[#This Row],[CANTIDAD TIRAJE]]*2)</f>
        <v>19802</v>
      </c>
      <c r="R317" s="4" t="s">
        <v>172</v>
      </c>
      <c r="S317" s="4" t="s">
        <v>30</v>
      </c>
      <c r="T317" s="4"/>
      <c r="U317" s="4"/>
      <c r="V317" s="4"/>
      <c r="W317" s="185" t="s">
        <v>3223</v>
      </c>
      <c r="X317" s="185"/>
      <c r="Y317" s="185"/>
      <c r="Z317" s="185"/>
      <c r="AA317" s="4" t="s">
        <v>2314</v>
      </c>
      <c r="AB317" s="184" t="s">
        <v>2028</v>
      </c>
    </row>
    <row r="318" spans="1:28" hidden="1" x14ac:dyDescent="0.2">
      <c r="A318" s="175" t="str">
        <f>IF(COUNTIF(Tabla_imprenta[LOTE],Tabla_control[[#This Row],[LOTE]])=1,INDEX(Tabla_imprenta[FECHA EMISIÓN],MATCH(Tabla_control[[#This Row],[LOTE]],Tabla_imprenta[LOTE],0)),"REALIZADO")</f>
        <v>REALIZADO</v>
      </c>
      <c r="B318" s="142" t="str">
        <f>IF(COUNTIF(Tabla_imprenta[LOTE],Tabla_control[[#This Row],[LOTE]])=1,INDEX(Tabla_imprenta[CÓD. SOLICITUD],MATCH(Tabla_control[[#This Row],[LOTE]],Tabla_imprenta[LOTE],0)),"REALIZADO")</f>
        <v>REALIZADO</v>
      </c>
      <c r="C318" s="177" t="str">
        <f>IF(COUNTIF(Tabla_imprenta[LOTE],Tabla_control[[#This Row],[LOTE]])=1,INDEX(Tabla_imprenta[PRODUCTO],MATCH(Tabla_control[[#This Row],[LOTE]],Tabla_imprenta[LOTE],0)),"REALIZADO")</f>
        <v>REALIZADO</v>
      </c>
      <c r="D318" s="142" t="str">
        <f>IF(COUNTIF(Tabla_imprenta[LOTE],Tabla_control[[#This Row],[LOTE]])=1,INDEX(Tabla_imprenta[FORMA FARMACEUTICA],MATCH(Tabla_control[[#This Row],[LOTE]],Tabla_imprenta[LOTE],0)),"REALIZADO")</f>
        <v>REALIZADO</v>
      </c>
      <c r="E318" s="177" t="str">
        <f>IF(COUNTIF(Tabla_imprenta[LOTE],Tabla_control[[#This Row],[LOTE]])=1,INDEX(Tabla_imprenta[INSTITUCIÓN],MATCH(Tabla_control[[#This Row],[LOTE]],Tabla_imprenta[LOTE],0)),"REALIZADO")</f>
        <v>REALIZADO</v>
      </c>
      <c r="F318" s="180" t="s">
        <v>2224</v>
      </c>
      <c r="G31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18" s="139" t="str">
        <f>IF(COUNTIF(Tabla_imprenta[LOTE],Tabla_control[[#This Row],[LOTE]])=1,INDEX(Tabla_imprenta[stock sap],MATCH(Tabla_control[[#This Row],[LOTE]],Tabla_imprenta[LOTE],0)),"ENTREGADO")</f>
        <v>ENTREGADO</v>
      </c>
      <c r="I318" s="139" t="str">
        <f>IF(Tabla_control[[#This Row],[STOCK SAP]]&gt;Tabla_control[[#This Row],[CANTIDAD IMPRIMIR]],"cubre","no cubre")</f>
        <v>no cubre</v>
      </c>
      <c r="J318" s="7" t="str">
        <f>IF(COUNTIF(Tabla_imprenta[LOTE],Tabla_control[[#This Row],[LOTE]])=1,INDEX(Tabla_imprenta[STOCK],MATCH(Tabla_control[[#This Row],[LOTE]],Tabla_imprenta[LOTE],0)),"ENTREGADO")</f>
        <v>ENTREGADO</v>
      </c>
      <c r="K31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18" s="148" t="e">
        <f>INDEX(Tabla_imprenta[FECHA CAJA],MATCH(Tabla_control[[#This Row],[LOTE]],Tabla_imprenta[LOTE],0))</f>
        <v>#N/A</v>
      </c>
      <c r="M31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1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1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18" s="169" t="e">
        <f>ROUNDUP(Tabla_control[[#This Row],[CANTIDAD IMPRIMIR]]/Tabla_control[[#This Row],[N TJ]],0)</f>
        <v>#VALUE!</v>
      </c>
      <c r="Q318" s="169" t="e">
        <f>IF(Tabla_control[[#This Row],[CANTIDAD TIRAJE]]&gt;10000,Tabla_control[[#This Row],[CANTIDAD TIRAJE]],Tabla_control[[#This Row],[CANTIDAD TIRAJE]]*2)</f>
        <v>#VALUE!</v>
      </c>
      <c r="R318" s="4" t="s">
        <v>172</v>
      </c>
      <c r="S318" s="4" t="s">
        <v>30</v>
      </c>
      <c r="T318" s="4"/>
      <c r="U318" s="4"/>
      <c r="V318" s="4"/>
      <c r="W318" s="185" t="s">
        <v>2470</v>
      </c>
      <c r="X318" s="185"/>
      <c r="Y318" s="185"/>
      <c r="Z318" s="185"/>
      <c r="AA318" s="4" t="s">
        <v>171</v>
      </c>
      <c r="AB318" s="184" t="s">
        <v>2028</v>
      </c>
    </row>
    <row r="319" spans="1:28" hidden="1" x14ac:dyDescent="0.2">
      <c r="A319" s="175" t="str">
        <f>IF(COUNTIF(Tabla_imprenta[LOTE],Tabla_control[[#This Row],[LOTE]])=1,INDEX(Tabla_imprenta[FECHA EMISIÓN],MATCH(Tabla_control[[#This Row],[LOTE]],Tabla_imprenta[LOTE],0)),"REALIZADO")</f>
        <v>REALIZADO</v>
      </c>
      <c r="B319" s="142" t="str">
        <f>IF(COUNTIF(Tabla_imprenta[LOTE],Tabla_control[[#This Row],[LOTE]])=1,INDEX(Tabla_imprenta[CÓD. SOLICITUD],MATCH(Tabla_control[[#This Row],[LOTE]],Tabla_imprenta[LOTE],0)),"REALIZADO")</f>
        <v>REALIZADO</v>
      </c>
      <c r="C319" s="177" t="str">
        <f>IF(COUNTIF(Tabla_imprenta[LOTE],Tabla_control[[#This Row],[LOTE]])=1,INDEX(Tabla_imprenta[PRODUCTO],MATCH(Tabla_control[[#This Row],[LOTE]],Tabla_imprenta[LOTE],0)),"REALIZADO")</f>
        <v>REALIZADO</v>
      </c>
      <c r="D319" s="142" t="str">
        <f>IF(COUNTIF(Tabla_imprenta[LOTE],Tabla_control[[#This Row],[LOTE]])=1,INDEX(Tabla_imprenta[FORMA FARMACEUTICA],MATCH(Tabla_control[[#This Row],[LOTE]],Tabla_imprenta[LOTE],0)),"REALIZADO")</f>
        <v>REALIZADO</v>
      </c>
      <c r="E319" s="177" t="str">
        <f>IF(COUNTIF(Tabla_imprenta[LOTE],Tabla_control[[#This Row],[LOTE]])=1,INDEX(Tabla_imprenta[INSTITUCIÓN],MATCH(Tabla_control[[#This Row],[LOTE]],Tabla_imprenta[LOTE],0)),"REALIZADO")</f>
        <v>REALIZADO</v>
      </c>
      <c r="F319" s="180" t="s">
        <v>2963</v>
      </c>
      <c r="G31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19" s="139" t="str">
        <f>IF(COUNTIF(Tabla_imprenta[LOTE],Tabla_control[[#This Row],[LOTE]])=1,INDEX(Tabla_imprenta[stock sap],MATCH(Tabla_control[[#This Row],[LOTE]],Tabla_imprenta[LOTE],0)),"ENTREGADO")</f>
        <v>ENTREGADO</v>
      </c>
      <c r="I319" s="139" t="str">
        <f>IF(Tabla_control[[#This Row],[STOCK SAP]]&gt;Tabla_control[[#This Row],[CANTIDAD IMPRIMIR]],"cubre","no cubre")</f>
        <v>no cubre</v>
      </c>
      <c r="J319" s="7" t="str">
        <f>IF(COUNTIF(Tabla_imprenta[LOTE],Tabla_control[[#This Row],[LOTE]])=1,INDEX(Tabla_imprenta[STOCK],MATCH(Tabla_control[[#This Row],[LOTE]],Tabla_imprenta[LOTE],0)),"ENTREGADO")</f>
        <v>ENTREGADO</v>
      </c>
      <c r="K31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19" s="148" t="e">
        <f>INDEX(Tabla_imprenta[FECHA CAJA],MATCH(Tabla_control[[#This Row],[LOTE]],Tabla_imprenta[LOTE],0))</f>
        <v>#N/A</v>
      </c>
      <c r="M31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1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1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19" s="170" t="e">
        <f>ROUNDUP(Tabla_control[[#This Row],[CANTIDAD IMPRIMIR]]/Tabla_control[[#This Row],[N TJ]],0)</f>
        <v>#VALUE!</v>
      </c>
      <c r="Q319" s="170" t="e">
        <f>IF(Tabla_control[[#This Row],[CANTIDAD TIRAJE]]&gt;10000,Tabla_control[[#This Row],[CANTIDAD TIRAJE]],Tabla_control[[#This Row],[CANTIDAD TIRAJE]]*2)</f>
        <v>#VALUE!</v>
      </c>
      <c r="R319" s="4" t="s">
        <v>172</v>
      </c>
      <c r="S319" s="4" t="s">
        <v>30</v>
      </c>
      <c r="T319" s="4"/>
      <c r="U319" s="4"/>
      <c r="V319" s="4"/>
      <c r="W319" s="185" t="s">
        <v>3223</v>
      </c>
      <c r="X319" s="185"/>
      <c r="Y319" s="185"/>
      <c r="Z319" s="185"/>
      <c r="AA319" s="4" t="s">
        <v>2429</v>
      </c>
      <c r="AB319" s="184" t="s">
        <v>2028</v>
      </c>
    </row>
    <row r="320" spans="1:28" hidden="1" x14ac:dyDescent="0.2">
      <c r="A320" s="175" t="str">
        <f>IF(COUNTIF(Tabla_imprenta[LOTE],Tabla_control[[#This Row],[LOTE]])=1,INDEX(Tabla_imprenta[FECHA EMISIÓN],MATCH(Tabla_control[[#This Row],[LOTE]],Tabla_imprenta[LOTE],0)),"REALIZADO")</f>
        <v>REALIZADO</v>
      </c>
      <c r="B320" s="142" t="str">
        <f>IF(COUNTIF(Tabla_imprenta[LOTE],Tabla_control[[#This Row],[LOTE]])=1,INDEX(Tabla_imprenta[CÓD. SOLICITUD],MATCH(Tabla_control[[#This Row],[LOTE]],Tabla_imprenta[LOTE],0)),"REALIZADO")</f>
        <v>REALIZADO</v>
      </c>
      <c r="C320" s="177" t="str">
        <f>IF(COUNTIF(Tabla_imprenta[LOTE],Tabla_control[[#This Row],[LOTE]])=1,INDEX(Tabla_imprenta[PRODUCTO],MATCH(Tabla_control[[#This Row],[LOTE]],Tabla_imprenta[LOTE],0)),"REALIZADO")</f>
        <v>REALIZADO</v>
      </c>
      <c r="D320" s="142" t="str">
        <f>IF(COUNTIF(Tabla_imprenta[LOTE],Tabla_control[[#This Row],[LOTE]])=1,INDEX(Tabla_imprenta[FORMA FARMACEUTICA],MATCH(Tabla_control[[#This Row],[LOTE]],Tabla_imprenta[LOTE],0)),"REALIZADO")</f>
        <v>REALIZADO</v>
      </c>
      <c r="E320" s="177" t="str">
        <f>IF(COUNTIF(Tabla_imprenta[LOTE],Tabla_control[[#This Row],[LOTE]])=1,INDEX(Tabla_imprenta[INSTITUCIÓN],MATCH(Tabla_control[[#This Row],[LOTE]],Tabla_imprenta[LOTE],0)),"REALIZADO")</f>
        <v>REALIZADO</v>
      </c>
      <c r="F320" s="180" t="s">
        <v>2553</v>
      </c>
      <c r="G32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20" s="139" t="str">
        <f>IF(COUNTIF(Tabla_imprenta[LOTE],Tabla_control[[#This Row],[LOTE]])=1,INDEX(Tabla_imprenta[stock sap],MATCH(Tabla_control[[#This Row],[LOTE]],Tabla_imprenta[LOTE],0)),"ENTREGADO")</f>
        <v>ENTREGADO</v>
      </c>
      <c r="I320" s="139" t="str">
        <f>IF(Tabla_control[[#This Row],[STOCK SAP]]&gt;Tabla_control[[#This Row],[CANTIDAD IMPRIMIR]],"cubre","no cubre")</f>
        <v>no cubre</v>
      </c>
      <c r="J320" s="7" t="str">
        <f>IF(COUNTIF(Tabla_imprenta[LOTE],Tabla_control[[#This Row],[LOTE]])=1,INDEX(Tabla_imprenta[STOCK],MATCH(Tabla_control[[#This Row],[LOTE]],Tabla_imprenta[LOTE],0)),"ENTREGADO")</f>
        <v>ENTREGADO</v>
      </c>
      <c r="K32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20" s="148" t="e">
        <f>INDEX(Tabla_imprenta[FECHA CAJA],MATCH(Tabla_control[[#This Row],[LOTE]],Tabla_imprenta[LOTE],0))</f>
        <v>#N/A</v>
      </c>
      <c r="M32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2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2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20" s="170" t="e">
        <f>ROUNDUP(Tabla_control[[#This Row],[CANTIDAD IMPRIMIR]]/Tabla_control[[#This Row],[N TJ]],0)</f>
        <v>#VALUE!</v>
      </c>
      <c r="Q320" s="170" t="e">
        <f>IF(Tabla_control[[#This Row],[CANTIDAD TIRAJE]]&gt;10000,Tabla_control[[#This Row],[CANTIDAD TIRAJE]],Tabla_control[[#This Row],[CANTIDAD TIRAJE]]*2)</f>
        <v>#VALUE!</v>
      </c>
      <c r="R320" s="4" t="s">
        <v>172</v>
      </c>
      <c r="S320" s="4" t="s">
        <v>3759</v>
      </c>
      <c r="T320" s="4"/>
      <c r="U320" s="4"/>
      <c r="V320" s="4"/>
      <c r="W320" s="185" t="s">
        <v>3223</v>
      </c>
      <c r="X320" s="185"/>
      <c r="Y320" s="185"/>
      <c r="Z320" s="185"/>
      <c r="AA320" s="4" t="s">
        <v>2182</v>
      </c>
      <c r="AB320" s="184" t="s">
        <v>2028</v>
      </c>
    </row>
    <row r="321" spans="1:34" hidden="1" x14ac:dyDescent="0.2">
      <c r="A321" s="175">
        <f>IF(COUNTIF(Tabla_imprenta[LOTE],Tabla_control[[#This Row],[LOTE]])=1,INDEX(Tabla_imprenta[FECHA EMISIÓN],MATCH(Tabla_control[[#This Row],[LOTE]],Tabla_imprenta[LOTE],0)),"REALIZADO")</f>
        <v>46055</v>
      </c>
      <c r="B321" s="142">
        <f>IF(COUNTIF(Tabla_imprenta[LOTE],Tabla_control[[#This Row],[LOTE]])=1,INDEX(Tabla_imprenta[CÓD. SOLICITUD],MATCH(Tabla_control[[#This Row],[LOTE]],Tabla_imprenta[LOTE],0)),"REALIZADO")</f>
        <v>0</v>
      </c>
      <c r="C321" s="177" t="str">
        <f>IF(COUNTIF(Tabla_imprenta[LOTE],Tabla_control[[#This Row],[LOTE]])=1,INDEX(Tabla_imprenta[PRODUCTO],MATCH(Tabla_control[[#This Row],[LOTE]],Tabla_imprenta[LOTE],0)),"REALIZADO")</f>
        <v>CIFLOX F X 10 CAP. DURAS</v>
      </c>
      <c r="D321" s="142" t="str">
        <f>IF(COUNTIF(Tabla_imprenta[LOTE],Tabla_control[[#This Row],[LOTE]])=1,INDEX(Tabla_imprenta[FORMA FARMACEUTICA],MATCH(Tabla_control[[#This Row],[LOTE]],Tabla_imprenta[LOTE],0)),"REALIZADO")</f>
        <v>CÁPSULA</v>
      </c>
      <c r="E321" s="177" t="str">
        <f>IF(COUNTIF(Tabla_imprenta[LOTE],Tabla_control[[#This Row],[LOTE]])=1,INDEX(Tabla_imprenta[INSTITUCIÓN],MATCH(Tabla_control[[#This Row],[LOTE]],Tabla_imprenta[LOTE],0)),"REALIZADO")</f>
        <v>COMERCIO</v>
      </c>
      <c r="F321" s="180" t="s">
        <v>2204</v>
      </c>
      <c r="G321" s="139">
        <f>IF(COUNTIF(Tabla_imprenta[LOTE],Tabla_control[[#This Row],[LOTE]])=1,INDEX(Tabla_imprenta[CANTIDAD ENVASE SECUNDARIO],MATCH(Tabla_control[[#This Row],[LOTE]],Tabla_imprenta[LOTE],0)),"ENTREGADO")</f>
        <v>2300</v>
      </c>
      <c r="H321" s="139">
        <f>IF(COUNTIF(Tabla_imprenta[LOTE],Tabla_control[[#This Row],[LOTE]])=1,INDEX(Tabla_imprenta[stock sap],MATCH(Tabla_control[[#This Row],[LOTE]],Tabla_imprenta[LOTE],0)),"ENTREGADO")</f>
        <v>1155</v>
      </c>
      <c r="I321" s="139" t="str">
        <f>IF(Tabla_control[[#This Row],[STOCK SAP]]&gt;Tabla_control[[#This Row],[CANTIDAD IMPRIMIR]],"cubre","no cubre")</f>
        <v>no cubre</v>
      </c>
      <c r="J321" s="7">
        <f>IF(COUNTIF(Tabla_imprenta[LOTE],Tabla_control[[#This Row],[LOTE]])=1,INDEX(Tabla_imprenta[STOCK],MATCH(Tabla_control[[#This Row],[LOTE]],Tabla_imprenta[LOTE],0)),"ENTREGADO")</f>
        <v>1.5886214442013131</v>
      </c>
      <c r="K32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321" s="148" t="str">
        <f>INDEX(Tabla_imprenta[FECHA CAJA],MATCH(Tabla_control[[#This Row],[LOTE]],Tabla_imprenta[LOTE],0))</f>
        <v>ENTREGADO</v>
      </c>
      <c r="M32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2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2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113</v>
      </c>
      <c r="P321" s="169">
        <f>ROUNDUP(Tabla_control[[#This Row],[CANTIDAD IMPRIMIR]]/Tabla_control[[#This Row],[N TJ]],0)</f>
        <v>1150</v>
      </c>
      <c r="Q321" s="169">
        <f>IF(Tabla_control[[#This Row],[CANTIDAD TIRAJE]]&gt;10000,Tabla_control[[#This Row],[CANTIDAD TIRAJE]],Tabla_control[[#This Row],[CANTIDAD TIRAJE]]*2)</f>
        <v>2300</v>
      </c>
      <c r="R321" s="4" t="s">
        <v>173</v>
      </c>
      <c r="S321" s="4" t="s">
        <v>174</v>
      </c>
      <c r="T321" s="4"/>
      <c r="U321" s="4"/>
      <c r="V321" s="4"/>
      <c r="W321" s="138" t="s">
        <v>3223</v>
      </c>
      <c r="X321" s="138"/>
      <c r="Y321" s="138"/>
      <c r="Z321" s="138"/>
      <c r="AA321" s="4" t="s">
        <v>321</v>
      </c>
      <c r="AB321" s="184" t="s">
        <v>2028</v>
      </c>
    </row>
    <row r="322" spans="1:34" hidden="1" x14ac:dyDescent="0.2">
      <c r="A322" s="175">
        <f>IF(COUNTIF(Tabla_imprenta[LOTE],Tabla_control[[#This Row],[LOTE]])=1,INDEX(Tabla_imprenta[FECHA EMISIÓN],MATCH(Tabla_control[[#This Row],[LOTE]],Tabla_imprenta[LOTE],0)),"REALIZADO")</f>
        <v>46099</v>
      </c>
      <c r="B322" s="142">
        <f>IF(COUNTIF(Tabla_imprenta[LOTE],Tabla_control[[#This Row],[LOTE]])=1,INDEX(Tabla_imprenta[CÓD. SOLICITUD],MATCH(Tabla_control[[#This Row],[LOTE]],Tabla_imprenta[LOTE],0)),"REALIZADO")</f>
        <v>0</v>
      </c>
      <c r="C322" s="177" t="str">
        <f>IF(COUNTIF(Tabla_imprenta[LOTE],Tabla_control[[#This Row],[LOTE]])=1,INDEX(Tabla_imprenta[PRODUCTO],MATCH(Tabla_control[[#This Row],[LOTE]],Tabla_imprenta[LOTE],0)),"REALIZADO")</f>
        <v>PENICILINA 2400 X 1 POLVO INY.</v>
      </c>
      <c r="D322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322" s="190" t="str">
        <f>IF(COUNTIF(Tabla_imprenta[LOTE],Tabla_control[[#This Row],[LOTE]])=1,INDEX(Tabla_imprenta[INSTITUCIÓN],MATCH(Tabla_control[[#This Row],[LOTE]],Tabla_imprenta[LOTE],0)),"REALIZADO")</f>
        <v>COMERCIO</v>
      </c>
      <c r="F322" s="189" t="s">
        <v>2981</v>
      </c>
      <c r="G322" s="139">
        <f>IF(COUNTIF(Tabla_imprenta[LOTE],Tabla_control[[#This Row],[LOTE]])=1,INDEX(Tabla_imprenta[CANTIDAD ENVASE SECUNDARIO],MATCH(Tabla_control[[#This Row],[LOTE]],Tabla_imprenta[LOTE],0)),"ENTREGADO")</f>
        <v>1500</v>
      </c>
      <c r="H322" s="139">
        <f>IF(COUNTIF(Tabla_imprenta[LOTE],Tabla_control[[#This Row],[LOTE]])=1,INDEX(Tabla_imprenta[stock sap],MATCH(Tabla_control[[#This Row],[LOTE]],Tabla_imprenta[LOTE],0)),"ENTREGADO")</f>
        <v>312</v>
      </c>
      <c r="I322" s="139" t="str">
        <f>IF(Tabla_control[[#This Row],[STOCK SAP]]&gt;Tabla_control[[#This Row],[CANTIDAD IMPRIMIR]],"cubre","no cubre")</f>
        <v>no cubre</v>
      </c>
      <c r="J322" s="182">
        <f>IF(COUNTIF(Tabla_imprenta[LOTE],Tabla_control[[#This Row],[LOTE]])=1,INDEX(Tabla_imprenta[STOCK],MATCH(Tabla_control[[#This Row],[LOTE]],Tabla_imprenta[LOTE],0)),"ENTREGADO")</f>
        <v>0.89624987887205665</v>
      </c>
      <c r="K32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22" s="148" t="str">
        <f>INDEX(Tabla_imprenta[FECHA CAJA],MATCH(Tabla_control[[#This Row],[LOTE]],Tabla_imprenta[LOTE],0))</f>
        <v>ENTREGADO</v>
      </c>
      <c r="M32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2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32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43</v>
      </c>
      <c r="P322" s="170">
        <f>ROUNDUP(Tabla_control[[#This Row],[CANTIDAD IMPRIMIR]]/Tabla_control[[#This Row],[N TJ]],0)</f>
        <v>1500</v>
      </c>
      <c r="Q322" s="170">
        <f>IF(Tabla_control[[#This Row],[CANTIDAD TIRAJE]]&gt;10000,Tabla_control[[#This Row],[CANTIDAD TIRAJE]],Tabla_control[[#This Row],[CANTIDAD TIRAJE]]*2)</f>
        <v>3000</v>
      </c>
      <c r="R322" s="186" t="s">
        <v>172</v>
      </c>
      <c r="S322" s="4" t="s">
        <v>30</v>
      </c>
      <c r="T322" s="4"/>
      <c r="U322" s="4"/>
      <c r="V322" s="4"/>
      <c r="W322" s="185" t="s">
        <v>3239</v>
      </c>
      <c r="X322" s="185"/>
      <c r="Y322" s="185"/>
      <c r="Z322" s="185"/>
      <c r="AA322" s="4" t="s">
        <v>171</v>
      </c>
      <c r="AB322" s="184" t="s">
        <v>2028</v>
      </c>
    </row>
    <row r="323" spans="1:34" hidden="1" x14ac:dyDescent="0.2">
      <c r="A323" s="175" t="str">
        <f>IF(COUNTIF(Tabla_imprenta[LOTE],Tabla_control[[#This Row],[LOTE]])=1,INDEX(Tabla_imprenta[FECHA EMISIÓN],MATCH(Tabla_control[[#This Row],[LOTE]],Tabla_imprenta[LOTE],0)),"REALIZADO")</f>
        <v>REALIZADO</v>
      </c>
      <c r="B323" s="142" t="str">
        <f>IF(COUNTIF(Tabla_imprenta[LOTE],Tabla_control[[#This Row],[LOTE]])=1,INDEX(Tabla_imprenta[CÓD. SOLICITUD],MATCH(Tabla_control[[#This Row],[LOTE]],Tabla_imprenta[LOTE],0)),"REALIZADO")</f>
        <v>REALIZADO</v>
      </c>
      <c r="C323" s="177" t="str">
        <f>IF(COUNTIF(Tabla_imprenta[LOTE],Tabla_control[[#This Row],[LOTE]])=1,INDEX(Tabla_imprenta[PRODUCTO],MATCH(Tabla_control[[#This Row],[LOTE]],Tabla_imprenta[LOTE],0)),"REALIZADO")</f>
        <v>REALIZADO</v>
      </c>
      <c r="D323" s="142" t="str">
        <f>IF(COUNTIF(Tabla_imprenta[LOTE],Tabla_control[[#This Row],[LOTE]])=1,INDEX(Tabla_imprenta[FORMA FARMACEUTICA],MATCH(Tabla_control[[#This Row],[LOTE]],Tabla_imprenta[LOTE],0)),"REALIZADO")</f>
        <v>REALIZADO</v>
      </c>
      <c r="E323" s="177" t="str">
        <f>IF(COUNTIF(Tabla_imprenta[LOTE],Tabla_control[[#This Row],[LOTE]])=1,INDEX(Tabla_imprenta[INSTITUCIÓN],MATCH(Tabla_control[[#This Row],[LOTE]],Tabla_imprenta[LOTE],0)),"REALIZADO")</f>
        <v>REALIZADO</v>
      </c>
      <c r="F323" s="181" t="s">
        <v>3128</v>
      </c>
      <c r="G32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23" s="139" t="str">
        <f>IF(COUNTIF(Tabla_imprenta[LOTE],Tabla_control[[#This Row],[LOTE]])=1,INDEX(Tabla_imprenta[stock sap],MATCH(Tabla_control[[#This Row],[LOTE]],Tabla_imprenta[LOTE],0)),"ENTREGADO")</f>
        <v>ENTREGADO</v>
      </c>
      <c r="I323" s="139" t="str">
        <f>IF(Tabla_control[[#This Row],[STOCK SAP]]&gt;Tabla_control[[#This Row],[CANTIDAD IMPRIMIR]],"cubre","no cubre")</f>
        <v>no cubre</v>
      </c>
      <c r="J323" s="182" t="str">
        <f>IF(COUNTIF(Tabla_imprenta[LOTE],Tabla_control[[#This Row],[LOTE]])=1,INDEX(Tabla_imprenta[STOCK],MATCH(Tabla_control[[#This Row],[LOTE]],Tabla_imprenta[LOTE],0)),"ENTREGADO")</f>
        <v>ENTREGADO</v>
      </c>
      <c r="K32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23" s="148" t="e">
        <f>INDEX(Tabla_imprenta[FECHA CAJA],MATCH(Tabla_control[[#This Row],[LOTE]],Tabla_imprenta[LOTE],0))</f>
        <v>#N/A</v>
      </c>
      <c r="M32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2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2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23" s="170" t="e">
        <f>ROUNDUP(Tabla_control[[#This Row],[CANTIDAD IMPRIMIR]]/Tabla_control[[#This Row],[N TJ]],0)</f>
        <v>#VALUE!</v>
      </c>
      <c r="Q323" s="170" t="e">
        <f>IF(Tabla_control[[#This Row],[CANTIDAD TIRAJE]]&gt;10000,Tabla_control[[#This Row],[CANTIDAD TIRAJE]],Tabla_control[[#This Row],[CANTIDAD TIRAJE]]*2)</f>
        <v>#VALUE!</v>
      </c>
      <c r="R323" s="186" t="s">
        <v>177</v>
      </c>
      <c r="S323" s="4" t="s">
        <v>174</v>
      </c>
      <c r="T323" s="4"/>
      <c r="U323" s="4"/>
      <c r="V323" s="4"/>
      <c r="W323" s="187" t="s">
        <v>3223</v>
      </c>
      <c r="X323" s="187"/>
      <c r="Y323" s="187"/>
      <c r="Z323" s="187"/>
      <c r="AA323" s="186" t="s">
        <v>321</v>
      </c>
      <c r="AB323" s="184" t="s">
        <v>2028</v>
      </c>
    </row>
    <row r="324" spans="1:34" hidden="1" x14ac:dyDescent="0.2">
      <c r="A324" s="175">
        <f>IF(COUNTIF(Tabla_imprenta[LOTE],Tabla_control[[#This Row],[LOTE]])=1,INDEX(Tabla_imprenta[FECHA EMISIÓN],MATCH(Tabla_control[[#This Row],[LOTE]],Tabla_imprenta[LOTE],0)),"REALIZADO")</f>
        <v>46113</v>
      </c>
      <c r="B324" s="142">
        <f>IF(COUNTIF(Tabla_imprenta[LOTE],Tabla_control[[#This Row],[LOTE]])=1,INDEX(Tabla_imprenta[CÓD. SOLICITUD],MATCH(Tabla_control[[#This Row],[LOTE]],Tabla_imprenta[LOTE],0)),"REALIZADO")</f>
        <v>0</v>
      </c>
      <c r="C324" s="177" t="str">
        <f>IF(COUNTIF(Tabla_imprenta[LOTE],Tabla_control[[#This Row],[LOTE]])=1,INDEX(Tabla_imprenta[PRODUCTO],MATCH(Tabla_control[[#This Row],[LOTE]],Tabla_imprenta[LOTE],0)),"REALIZADO")</f>
        <v>AMOXICILINA 500 MG X 500 CAP. DURAS</v>
      </c>
      <c r="D324" s="142" t="str">
        <f>IF(COUNTIF(Tabla_imprenta[LOTE],Tabla_control[[#This Row],[LOTE]])=1,INDEX(Tabla_imprenta[FORMA FARMACEUTICA],MATCH(Tabla_control[[#This Row],[LOTE]],Tabla_imprenta[LOTE],0)),"REALIZADO")</f>
        <v>CÁPSULA</v>
      </c>
      <c r="E324" s="177" t="str">
        <f>IF(COUNTIF(Tabla_imprenta[LOTE],Tabla_control[[#This Row],[LOTE]])=1,INDEX(Tabla_imprenta[INSTITUCIÓN],MATCH(Tabla_control[[#This Row],[LOTE]],Tabla_imprenta[LOTE],0)),"REALIZADO")</f>
        <v>COMERCIO</v>
      </c>
      <c r="F324" s="181" t="s">
        <v>3032</v>
      </c>
      <c r="G324" s="139">
        <f>IF(COUNTIF(Tabla_imprenta[LOTE],Tabla_control[[#This Row],[LOTE]])=1,INDEX(Tabla_imprenta[CANTIDAD ENVASE SECUNDARIO],MATCH(Tabla_control[[#This Row],[LOTE]],Tabla_imprenta[LOTE],0)),"ENTREGADO")</f>
        <v>141.80000000000001</v>
      </c>
      <c r="H324" s="139">
        <f>IF(COUNTIF(Tabla_imprenta[LOTE],Tabla_control[[#This Row],[LOTE]])=1,INDEX(Tabla_imprenta[stock sap],MATCH(Tabla_control[[#This Row],[LOTE]],Tabla_imprenta[LOTE],0)),"ENTREGADO")</f>
        <v>224</v>
      </c>
      <c r="I324" s="139" t="str">
        <f>IF(Tabla_control[[#This Row],[STOCK SAP]]&gt;Tabla_control[[#This Row],[CANTIDAD IMPRIMIR]],"cubre","no cubre")</f>
        <v>cubre</v>
      </c>
      <c r="J324" s="182">
        <f>IF(COUNTIF(Tabla_imprenta[LOTE],Tabla_control[[#This Row],[LOTE]])=1,INDEX(Tabla_imprenta[STOCK],MATCH(Tabla_control[[#This Row],[LOTE]],Tabla_imprenta[LOTE],0)),"ENTREGADO")</f>
        <v>0.40914117213416878</v>
      </c>
      <c r="K32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46153</v>
      </c>
      <c r="L324" s="148" t="str">
        <f>INDEX(Tabla_imprenta[FECHA CAJA],MATCH(Tabla_control[[#This Row],[LOTE]],Tabla_imprenta[LOTE],0))</f>
        <v>ENTREGADO</v>
      </c>
      <c r="M32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2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32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324" s="169">
        <f>ROUNDUP(Tabla_control[[#This Row],[CANTIDAD IMPRIMIR]]/Tabla_control[[#This Row],[N TJ]],0)</f>
        <v>142</v>
      </c>
      <c r="Q324" s="169">
        <f>IF(Tabla_control[[#This Row],[CANTIDAD TIRAJE]]&gt;10000,Tabla_control[[#This Row],[CANTIDAD TIRAJE]],Tabla_control[[#This Row],[CANTIDAD TIRAJE]]*2)</f>
        <v>284</v>
      </c>
      <c r="R324" s="186" t="s">
        <v>172</v>
      </c>
      <c r="S324" s="4" t="s">
        <v>30</v>
      </c>
      <c r="T324" s="4"/>
      <c r="U324" s="4"/>
      <c r="V324" s="4"/>
      <c r="W324" s="187" t="s">
        <v>3223</v>
      </c>
      <c r="X324" s="187"/>
      <c r="Y324" s="187"/>
      <c r="Z324" s="187"/>
      <c r="AA324" s="186" t="s">
        <v>321</v>
      </c>
      <c r="AB324" s="184" t="s">
        <v>2028</v>
      </c>
    </row>
    <row r="325" spans="1:34" hidden="1" x14ac:dyDescent="0.2">
      <c r="A325" s="175" t="str">
        <f>IF(COUNTIF(Tabla_imprenta[LOTE],Tabla_control[[#This Row],[LOTE]])=1,INDEX(Tabla_imprenta[FECHA EMISIÓN],MATCH(Tabla_control[[#This Row],[LOTE]],Tabla_imprenta[LOTE],0)),"REALIZADO")</f>
        <v>REALIZADO</v>
      </c>
      <c r="B325" s="142" t="str">
        <f>IF(COUNTIF(Tabla_imprenta[LOTE],Tabla_control[[#This Row],[LOTE]])=1,INDEX(Tabla_imprenta[CÓD. SOLICITUD],MATCH(Tabla_control[[#This Row],[LOTE]],Tabla_imprenta[LOTE],0)),"REALIZADO")</f>
        <v>REALIZADO</v>
      </c>
      <c r="C325" s="177" t="str">
        <f>IF(COUNTIF(Tabla_imprenta[LOTE],Tabla_control[[#This Row],[LOTE]])=1,INDEX(Tabla_imprenta[PRODUCTO],MATCH(Tabla_control[[#This Row],[LOTE]],Tabla_imprenta[LOTE],0)),"REALIZADO")</f>
        <v>REALIZADO</v>
      </c>
      <c r="D325" s="142" t="str">
        <f>IF(COUNTIF(Tabla_imprenta[LOTE],Tabla_control[[#This Row],[LOTE]])=1,INDEX(Tabla_imprenta[FORMA FARMACEUTICA],MATCH(Tabla_control[[#This Row],[LOTE]],Tabla_imprenta[LOTE],0)),"REALIZADO")</f>
        <v>REALIZADO</v>
      </c>
      <c r="E325" s="177" t="str">
        <f>IF(COUNTIF(Tabla_imprenta[LOTE],Tabla_control[[#This Row],[LOTE]])=1,INDEX(Tabla_imprenta[INSTITUCIÓN],MATCH(Tabla_control[[#This Row],[LOTE]],Tabla_imprenta[LOTE],0)),"REALIZADO")</f>
        <v>REALIZADO</v>
      </c>
      <c r="F325" s="180" t="s">
        <v>2504</v>
      </c>
      <c r="G325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25" s="139" t="str">
        <f>IF(COUNTIF(Tabla_imprenta[LOTE],Tabla_control[[#This Row],[LOTE]])=1,INDEX(Tabla_imprenta[stock sap],MATCH(Tabla_control[[#This Row],[LOTE]],Tabla_imprenta[LOTE],0)),"ENTREGADO")</f>
        <v>ENTREGADO</v>
      </c>
      <c r="I325" s="139" t="str">
        <f>IF(Tabla_control[[#This Row],[STOCK SAP]]&gt;Tabla_control[[#This Row],[CANTIDAD IMPRIMIR]],"cubre","no cubre")</f>
        <v>no cubre</v>
      </c>
      <c r="J325" s="7" t="str">
        <f>IF(COUNTIF(Tabla_imprenta[LOTE],Tabla_control[[#This Row],[LOTE]])=1,INDEX(Tabla_imprenta[STOCK],MATCH(Tabla_control[[#This Row],[LOTE]],Tabla_imprenta[LOTE],0)),"ENTREGADO")</f>
        <v>ENTREGADO</v>
      </c>
      <c r="K32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25" s="148" t="e">
        <f>INDEX(Tabla_imprenta[FECHA CAJA],MATCH(Tabla_control[[#This Row],[LOTE]],Tabla_imprenta[LOTE],0))</f>
        <v>#N/A</v>
      </c>
      <c r="M32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2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2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25" s="170" t="e">
        <f>ROUNDUP(Tabla_control[[#This Row],[CANTIDAD IMPRIMIR]]/Tabla_control[[#This Row],[N TJ]],0)</f>
        <v>#VALUE!</v>
      </c>
      <c r="Q325" s="170" t="e">
        <f>IF(Tabla_control[[#This Row],[CANTIDAD TIRAJE]]&gt;10000,Tabla_control[[#This Row],[CANTIDAD TIRAJE]],Tabla_control[[#This Row],[CANTIDAD TIRAJE]]*2)</f>
        <v>#VALUE!</v>
      </c>
      <c r="R325" s="4" t="s">
        <v>2206</v>
      </c>
      <c r="S325" s="4" t="s">
        <v>3759</v>
      </c>
      <c r="T325" s="4"/>
      <c r="U325" s="4"/>
      <c r="V325" s="4"/>
      <c r="W325" s="138" t="s">
        <v>3223</v>
      </c>
      <c r="X325" s="138"/>
      <c r="Y325" s="138"/>
      <c r="Z325" s="138"/>
      <c r="AA325" s="4" t="s">
        <v>2429</v>
      </c>
      <c r="AB325" s="184" t="s">
        <v>2028</v>
      </c>
    </row>
    <row r="326" spans="1:34" hidden="1" x14ac:dyDescent="0.2">
      <c r="A326" s="175" t="str">
        <f>IF(COUNTIF(Tabla_imprenta[LOTE],Tabla_control[[#This Row],[LOTE]])=1,INDEX(Tabla_imprenta[FECHA EMISIÓN],MATCH(Tabla_control[[#This Row],[LOTE]],Tabla_imprenta[LOTE],0)),"REALIZADO")</f>
        <v>REALIZADO</v>
      </c>
      <c r="B326" s="142" t="str">
        <f>IF(COUNTIF(Tabla_imprenta[LOTE],Tabla_control[[#This Row],[LOTE]])=1,INDEX(Tabla_imprenta[CÓD. SOLICITUD],MATCH(Tabla_control[[#This Row],[LOTE]],Tabla_imprenta[LOTE],0)),"REALIZADO")</f>
        <v>REALIZADO</v>
      </c>
      <c r="C326" s="177" t="str">
        <f>IF(COUNTIF(Tabla_imprenta[LOTE],Tabla_control[[#This Row],[LOTE]])=1,INDEX(Tabla_imprenta[PRODUCTO],MATCH(Tabla_control[[#This Row],[LOTE]],Tabla_imprenta[LOTE],0)),"REALIZADO")</f>
        <v>REALIZADO</v>
      </c>
      <c r="D326" s="142" t="str">
        <f>IF(COUNTIF(Tabla_imprenta[LOTE],Tabla_control[[#This Row],[LOTE]])=1,INDEX(Tabla_imprenta[FORMA FARMACEUTICA],MATCH(Tabla_control[[#This Row],[LOTE]],Tabla_imprenta[LOTE],0)),"REALIZADO")</f>
        <v>REALIZADO</v>
      </c>
      <c r="E326" s="177" t="str">
        <f>IF(COUNTIF(Tabla_imprenta[LOTE],Tabla_control[[#This Row],[LOTE]])=1,INDEX(Tabla_imprenta[INSTITUCIÓN],MATCH(Tabla_control[[#This Row],[LOTE]],Tabla_imprenta[LOTE],0)),"REALIZADO")</f>
        <v>REALIZADO</v>
      </c>
      <c r="F326" s="181" t="s">
        <v>3231</v>
      </c>
      <c r="G32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26" s="139" t="str">
        <f>IF(COUNTIF(Tabla_imprenta[LOTE],Tabla_control[[#This Row],[LOTE]])=1,INDEX(Tabla_imprenta[stock sap],MATCH(Tabla_control[[#This Row],[LOTE]],Tabla_imprenta[LOTE],0)),"ENTREGADO")</f>
        <v>ENTREGADO</v>
      </c>
      <c r="I326" s="139" t="str">
        <f>IF(Tabla_control[[#This Row],[STOCK SAP]]&gt;Tabla_control[[#This Row],[CANTIDAD IMPRIMIR]],"cubre","no cubre")</f>
        <v>no cubre</v>
      </c>
      <c r="J326" s="182" t="str">
        <f>IF(COUNTIF(Tabla_imprenta[LOTE],Tabla_control[[#This Row],[LOTE]])=1,INDEX(Tabla_imprenta[STOCK],MATCH(Tabla_control[[#This Row],[LOTE]],Tabla_imprenta[LOTE],0)),"ENTREGADO")</f>
        <v>ENTREGADO</v>
      </c>
      <c r="K32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26" s="148" t="e">
        <f>INDEX(Tabla_imprenta[FECHA CAJA],MATCH(Tabla_control[[#This Row],[LOTE]],Tabla_imprenta[LOTE],0))</f>
        <v>#N/A</v>
      </c>
      <c r="M32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2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2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26" s="170" t="e">
        <f>ROUNDUP(Tabla_control[[#This Row],[CANTIDAD IMPRIMIR]]/Tabla_control[[#This Row],[N TJ]],0)</f>
        <v>#VALUE!</v>
      </c>
      <c r="Q326" s="170" t="e">
        <f>IF(Tabla_control[[#This Row],[CANTIDAD TIRAJE]]&gt;10000,Tabla_control[[#This Row],[CANTIDAD TIRAJE]],Tabla_control[[#This Row],[CANTIDAD TIRAJE]]*2)</f>
        <v>#VALUE!</v>
      </c>
      <c r="R326" s="186" t="s">
        <v>2030</v>
      </c>
      <c r="S326" s="4" t="s">
        <v>174</v>
      </c>
      <c r="T326" s="4"/>
      <c r="U326" s="4"/>
      <c r="V326" s="4"/>
      <c r="W326" s="185" t="s">
        <v>2984</v>
      </c>
      <c r="X326" s="185"/>
      <c r="Y326" s="185"/>
      <c r="Z326" s="185"/>
      <c r="AA326" s="186" t="s">
        <v>2031</v>
      </c>
      <c r="AB326" s="184" t="s">
        <v>2028</v>
      </c>
    </row>
    <row r="327" spans="1:34" hidden="1" x14ac:dyDescent="0.2">
      <c r="A327" s="175">
        <f>IF(COUNTIF(Tabla_imprenta[LOTE],Tabla_control[[#This Row],[LOTE]])=1,INDEX(Tabla_imprenta[FECHA EMISIÓN],MATCH(Tabla_control[[#This Row],[LOTE]],Tabla_imprenta[LOTE],0)),"REALIZADO")</f>
        <v>46091</v>
      </c>
      <c r="B327" s="142">
        <f>IF(COUNTIF(Tabla_imprenta[LOTE],Tabla_control[[#This Row],[LOTE]])=1,INDEX(Tabla_imprenta[CÓD. SOLICITUD],MATCH(Tabla_control[[#This Row],[LOTE]],Tabla_imprenta[LOTE],0)),"REALIZADO")</f>
        <v>0</v>
      </c>
      <c r="C327" s="177" t="str">
        <f>IF(COUNTIF(Tabla_imprenta[LOTE],Tabla_control[[#This Row],[LOTE]])=1,INDEX(Tabla_imprenta[PRODUCTO],MATCH(Tabla_control[[#This Row],[LOTE]],Tabla_imprenta[LOTE],0)),"REALIZADO")</f>
        <v>METAMIZOL 1G X 25 AMP. SOLUCION INY.</v>
      </c>
      <c r="D327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327" s="177" t="str">
        <f>IF(COUNTIF(Tabla_imprenta[LOTE],Tabla_control[[#This Row],[LOTE]])=1,INDEX(Tabla_imprenta[INSTITUCIÓN],MATCH(Tabla_control[[#This Row],[LOTE]],Tabla_imprenta[LOTE],0)),"REALIZADO")</f>
        <v>COMERCIO</v>
      </c>
      <c r="F327" s="180" t="s">
        <v>2938</v>
      </c>
      <c r="G327" s="139">
        <f>IF(COUNTIF(Tabla_imprenta[LOTE],Tabla_control[[#This Row],[LOTE]])=1,INDEX(Tabla_imprenta[CANTIDAD ENVASE SECUNDARIO],MATCH(Tabla_control[[#This Row],[LOTE]],Tabla_imprenta[LOTE],0)),"ENTREGADO")</f>
        <v>3600</v>
      </c>
      <c r="H327" s="139">
        <f>IF(COUNTIF(Tabla_imprenta[LOTE],Tabla_control[[#This Row],[LOTE]])=1,INDEX(Tabla_imprenta[stock sap],MATCH(Tabla_control[[#This Row],[LOTE]],Tabla_imprenta[LOTE],0)),"ENTREGADO")</f>
        <v>9816</v>
      </c>
      <c r="I327" s="139" t="str">
        <f>IF(Tabla_control[[#This Row],[STOCK SAP]]&gt;Tabla_control[[#This Row],[CANTIDAD IMPRIMIR]],"cubre","no cubre")</f>
        <v>cubre</v>
      </c>
      <c r="J327" s="7">
        <f>IF(COUNTIF(Tabla_imprenta[LOTE],Tabla_control[[#This Row],[LOTE]])=1,INDEX(Tabla_imprenta[STOCK],MATCH(Tabla_control[[#This Row],[LOTE]],Tabla_imprenta[LOTE],0)),"ENTREGADO")</f>
        <v>1.8397192964762128</v>
      </c>
      <c r="K32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27" s="148" t="str">
        <f>INDEX(Tabla_imprenta[FECHA CAJA],MATCH(Tabla_control[[#This Row],[LOTE]],Tabla_imprenta[LOTE],0))</f>
        <v>ENTREGADO</v>
      </c>
      <c r="M32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2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2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327" s="169">
        <f>ROUNDUP(Tabla_control[[#This Row],[CANTIDAD IMPRIMIR]]/Tabla_control[[#This Row],[N TJ]],0)</f>
        <v>1800</v>
      </c>
      <c r="Q327" s="169">
        <f>IF(Tabla_control[[#This Row],[CANTIDAD TIRAJE]]&gt;10000,Tabla_control[[#This Row],[CANTIDAD TIRAJE]],Tabla_control[[#This Row],[CANTIDAD TIRAJE]]*2)</f>
        <v>3600</v>
      </c>
      <c r="R327" s="4" t="s">
        <v>172</v>
      </c>
      <c r="S327" s="4" t="s">
        <v>31</v>
      </c>
      <c r="T327" s="4"/>
      <c r="U327" s="4"/>
      <c r="V327" s="4"/>
      <c r="W327" s="138" t="s">
        <v>3223</v>
      </c>
      <c r="X327" s="138"/>
      <c r="Y327" s="138"/>
      <c r="Z327" s="138"/>
      <c r="AA327" s="4" t="s">
        <v>3234</v>
      </c>
      <c r="AB327" s="184" t="s">
        <v>2028</v>
      </c>
    </row>
    <row r="328" spans="1:34" hidden="1" x14ac:dyDescent="0.2">
      <c r="A328" s="175" t="str">
        <f>IF(COUNTIF(Tabla_imprenta[LOTE],Tabla_control[[#This Row],[LOTE]])=1,INDEX(Tabla_imprenta[FECHA EMISIÓN],MATCH(Tabla_control[[#This Row],[LOTE]],Tabla_imprenta[LOTE],0)),"REALIZADO")</f>
        <v>REALIZADO</v>
      </c>
      <c r="B328" s="142" t="str">
        <f>IF(COUNTIF(Tabla_imprenta[LOTE],Tabla_control[[#This Row],[LOTE]])=1,INDEX(Tabla_imprenta[CÓD. SOLICITUD],MATCH(Tabla_control[[#This Row],[LOTE]],Tabla_imprenta[LOTE],0)),"REALIZADO")</f>
        <v>REALIZADO</v>
      </c>
      <c r="C328" s="177" t="str">
        <f>IF(COUNTIF(Tabla_imprenta[LOTE],Tabla_control[[#This Row],[LOTE]])=1,INDEX(Tabla_imprenta[PRODUCTO],MATCH(Tabla_control[[#This Row],[LOTE]],Tabla_imprenta[LOTE],0)),"REALIZADO")</f>
        <v>REALIZADO</v>
      </c>
      <c r="D328" s="142" t="str">
        <f>IF(COUNTIF(Tabla_imprenta[LOTE],Tabla_control[[#This Row],[LOTE]])=1,INDEX(Tabla_imprenta[FORMA FARMACEUTICA],MATCH(Tabla_control[[#This Row],[LOTE]],Tabla_imprenta[LOTE],0)),"REALIZADO")</f>
        <v>REALIZADO</v>
      </c>
      <c r="E328" s="177" t="str">
        <f>IF(COUNTIF(Tabla_imprenta[LOTE],Tabla_control[[#This Row],[LOTE]])=1,INDEX(Tabla_imprenta[INSTITUCIÓN],MATCH(Tabla_control[[#This Row],[LOTE]],Tabla_imprenta[LOTE],0)),"REALIZADO")</f>
        <v>REALIZADO</v>
      </c>
      <c r="F328" s="181" t="s">
        <v>3271</v>
      </c>
      <c r="G328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28" s="139" t="str">
        <f>IF(COUNTIF(Tabla_imprenta[LOTE],Tabla_control[[#This Row],[LOTE]])=1,INDEX(Tabla_imprenta[stock sap],MATCH(Tabla_control[[#This Row],[LOTE]],Tabla_imprenta[LOTE],0)),"ENTREGADO")</f>
        <v>ENTREGADO</v>
      </c>
      <c r="I328" s="139" t="str">
        <f>IF(Tabla_control[[#This Row],[STOCK SAP]]&gt;Tabla_control[[#This Row],[CANTIDAD IMPRIMIR]],"cubre","no cubre")</f>
        <v>no cubre</v>
      </c>
      <c r="J328" s="182" t="str">
        <f>IF(COUNTIF(Tabla_imprenta[LOTE],Tabla_control[[#This Row],[LOTE]])=1,INDEX(Tabla_imprenta[STOCK],MATCH(Tabla_control[[#This Row],[LOTE]],Tabla_imprenta[LOTE],0)),"ENTREGADO")</f>
        <v>ENTREGADO</v>
      </c>
      <c r="K32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28" s="148" t="e">
        <f>INDEX(Tabla_imprenta[FECHA CAJA],MATCH(Tabla_control[[#This Row],[LOTE]],Tabla_imprenta[LOTE],0))</f>
        <v>#N/A</v>
      </c>
      <c r="M32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28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28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28" s="170" t="e">
        <f>ROUNDUP(Tabla_control[[#This Row],[CANTIDAD IMPRIMIR]]/Tabla_control[[#This Row],[N TJ]],0)</f>
        <v>#VALUE!</v>
      </c>
      <c r="Q328" s="170" t="e">
        <f>IF(Tabla_control[[#This Row],[CANTIDAD TIRAJE]]&gt;10000,Tabla_control[[#This Row],[CANTIDAD TIRAJE]],Tabla_control[[#This Row],[CANTIDAD TIRAJE]]*2)</f>
        <v>#VALUE!</v>
      </c>
      <c r="R328" s="186" t="s">
        <v>177</v>
      </c>
      <c r="S328" s="4" t="s">
        <v>31</v>
      </c>
      <c r="T328" s="4"/>
      <c r="U328" s="4"/>
      <c r="V328" s="4"/>
      <c r="W328" s="185" t="s">
        <v>22</v>
      </c>
      <c r="X328" s="185"/>
      <c r="Y328" s="185"/>
      <c r="Z328" s="185"/>
      <c r="AA328" s="186" t="s">
        <v>321</v>
      </c>
      <c r="AB328" s="184" t="s">
        <v>2028</v>
      </c>
      <c r="AE328" s="191"/>
      <c r="AF328" s="192"/>
      <c r="AG328" s="68"/>
      <c r="AH328" s="192"/>
    </row>
    <row r="329" spans="1:34" hidden="1" x14ac:dyDescent="0.2">
      <c r="A329" s="175" t="str">
        <f>IF(COUNTIF(Tabla_imprenta[LOTE],Tabla_control[[#This Row],[LOTE]])=1,INDEX(Tabla_imprenta[FECHA EMISIÓN],MATCH(Tabla_control[[#This Row],[LOTE]],Tabla_imprenta[LOTE],0)),"REALIZADO")</f>
        <v>REALIZADO</v>
      </c>
      <c r="B329" s="142" t="str">
        <f>IF(COUNTIF(Tabla_imprenta[LOTE],Tabla_control[[#This Row],[LOTE]])=1,INDEX(Tabla_imprenta[CÓD. SOLICITUD],MATCH(Tabla_control[[#This Row],[LOTE]],Tabla_imprenta[LOTE],0)),"REALIZADO")</f>
        <v>REALIZADO</v>
      </c>
      <c r="C329" s="177" t="str">
        <f>IF(COUNTIF(Tabla_imprenta[LOTE],Tabla_control[[#This Row],[LOTE]])=1,INDEX(Tabla_imprenta[PRODUCTO],MATCH(Tabla_control[[#This Row],[LOTE]],Tabla_imprenta[LOTE],0)),"REALIZADO")</f>
        <v>REALIZADO</v>
      </c>
      <c r="D329" s="142" t="str">
        <f>IF(COUNTIF(Tabla_imprenta[LOTE],Tabla_control[[#This Row],[LOTE]])=1,INDEX(Tabla_imprenta[FORMA FARMACEUTICA],MATCH(Tabla_control[[#This Row],[LOTE]],Tabla_imprenta[LOTE],0)),"REALIZADO")</f>
        <v>REALIZADO</v>
      </c>
      <c r="E329" s="177" t="str">
        <f>IF(COUNTIF(Tabla_imprenta[LOTE],Tabla_control[[#This Row],[LOTE]])=1,INDEX(Tabla_imprenta[INSTITUCIÓN],MATCH(Tabla_control[[#This Row],[LOTE]],Tabla_imprenta[LOTE],0)),"REALIZADO")</f>
        <v>REALIZADO</v>
      </c>
      <c r="F329" s="181" t="s">
        <v>3048</v>
      </c>
      <c r="G329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29" s="139" t="str">
        <f>IF(COUNTIF(Tabla_imprenta[LOTE],Tabla_control[[#This Row],[LOTE]])=1,INDEX(Tabla_imprenta[stock sap],MATCH(Tabla_control[[#This Row],[LOTE]],Tabla_imprenta[LOTE],0)),"ENTREGADO")</f>
        <v>ENTREGADO</v>
      </c>
      <c r="I329" s="139" t="str">
        <f>IF(Tabla_control[[#This Row],[STOCK SAP]]&gt;Tabla_control[[#This Row],[CANTIDAD IMPRIMIR]],"cubre","no cubre")</f>
        <v>no cubre</v>
      </c>
      <c r="J329" s="182" t="str">
        <f>IF(COUNTIF(Tabla_imprenta[LOTE],Tabla_control[[#This Row],[LOTE]])=1,INDEX(Tabla_imprenta[STOCK],MATCH(Tabla_control[[#This Row],[LOTE]],Tabla_imprenta[LOTE],0)),"ENTREGADO")</f>
        <v>ENTREGADO</v>
      </c>
      <c r="K32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29" s="148" t="e">
        <f>INDEX(Tabla_imprenta[FECHA CAJA],MATCH(Tabla_control[[#This Row],[LOTE]],Tabla_imprenta[LOTE],0))</f>
        <v>#N/A</v>
      </c>
      <c r="M32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29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29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29" s="170" t="e">
        <f>ROUNDUP(Tabla_control[[#This Row],[CANTIDAD IMPRIMIR]]/Tabla_control[[#This Row],[N TJ]],0)</f>
        <v>#VALUE!</v>
      </c>
      <c r="Q329" s="170" t="e">
        <f>IF(Tabla_control[[#This Row],[CANTIDAD TIRAJE]]&gt;10000,Tabla_control[[#This Row],[CANTIDAD TIRAJE]],Tabla_control[[#This Row],[CANTIDAD TIRAJE]]*2)</f>
        <v>#VALUE!</v>
      </c>
      <c r="R329" s="186" t="s">
        <v>172</v>
      </c>
      <c r="S329" s="4" t="s">
        <v>30</v>
      </c>
      <c r="T329" s="4"/>
      <c r="U329" s="4"/>
      <c r="V329" s="4"/>
      <c r="W329" s="185" t="s">
        <v>3223</v>
      </c>
      <c r="X329" s="185"/>
      <c r="Y329" s="185"/>
      <c r="Z329" s="185"/>
      <c r="AA329" s="186" t="s">
        <v>2314</v>
      </c>
      <c r="AB329" s="184" t="s">
        <v>2028</v>
      </c>
      <c r="AE329" s="191"/>
      <c r="AF329" s="192"/>
      <c r="AG329" s="68"/>
      <c r="AH329" s="192"/>
    </row>
    <row r="330" spans="1:34" hidden="1" x14ac:dyDescent="0.2">
      <c r="A330" s="175" t="str">
        <f>IF(COUNTIF(Tabla_imprenta[LOTE],Tabla_control[[#This Row],[LOTE]])=1,INDEX(Tabla_imprenta[FECHA EMISIÓN],MATCH(Tabla_control[[#This Row],[LOTE]],Tabla_imprenta[LOTE],0)),"REALIZADO")</f>
        <v>REALIZADO</v>
      </c>
      <c r="B330" s="142" t="str">
        <f>IF(COUNTIF(Tabla_imprenta[LOTE],Tabla_control[[#This Row],[LOTE]])=1,INDEX(Tabla_imprenta[CÓD. SOLICITUD],MATCH(Tabla_control[[#This Row],[LOTE]],Tabla_imprenta[LOTE],0)),"REALIZADO")</f>
        <v>REALIZADO</v>
      </c>
      <c r="C330" s="177" t="str">
        <f>IF(COUNTIF(Tabla_imprenta[LOTE],Tabla_control[[#This Row],[LOTE]])=1,INDEX(Tabla_imprenta[PRODUCTO],MATCH(Tabla_control[[#This Row],[LOTE]],Tabla_imprenta[LOTE],0)),"REALIZADO")</f>
        <v>REALIZADO</v>
      </c>
      <c r="D330" s="142" t="str">
        <f>IF(COUNTIF(Tabla_imprenta[LOTE],Tabla_control[[#This Row],[LOTE]])=1,INDEX(Tabla_imprenta[FORMA FARMACEUTICA],MATCH(Tabla_control[[#This Row],[LOTE]],Tabla_imprenta[LOTE],0)),"REALIZADO")</f>
        <v>REALIZADO</v>
      </c>
      <c r="E330" s="177" t="str">
        <f>IF(COUNTIF(Tabla_imprenta[LOTE],Tabla_control[[#This Row],[LOTE]])=1,INDEX(Tabla_imprenta[INSTITUCIÓN],MATCH(Tabla_control[[#This Row],[LOTE]],Tabla_imprenta[LOTE],0)),"REALIZADO")</f>
        <v>REALIZADO</v>
      </c>
      <c r="F330" s="181" t="s">
        <v>3129</v>
      </c>
      <c r="G330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30" s="139" t="str">
        <f>IF(COUNTIF(Tabla_imprenta[LOTE],Tabla_control[[#This Row],[LOTE]])=1,INDEX(Tabla_imprenta[stock sap],MATCH(Tabla_control[[#This Row],[LOTE]],Tabla_imprenta[LOTE],0)),"ENTREGADO")</f>
        <v>ENTREGADO</v>
      </c>
      <c r="I330" s="139" t="str">
        <f>IF(Tabla_control[[#This Row],[STOCK SAP]]&gt;Tabla_control[[#This Row],[CANTIDAD IMPRIMIR]],"cubre","no cubre")</f>
        <v>no cubre</v>
      </c>
      <c r="J330" s="182" t="str">
        <f>IF(COUNTIF(Tabla_imprenta[LOTE],Tabla_control[[#This Row],[LOTE]])=1,INDEX(Tabla_imprenta[STOCK],MATCH(Tabla_control[[#This Row],[LOTE]],Tabla_imprenta[LOTE],0)),"ENTREGADO")</f>
        <v>ENTREGADO</v>
      </c>
      <c r="K33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30" s="148" t="e">
        <f>INDEX(Tabla_imprenta[FECHA CAJA],MATCH(Tabla_control[[#This Row],[LOTE]],Tabla_imprenta[LOTE],0))</f>
        <v>#N/A</v>
      </c>
      <c r="M33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30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30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30" s="170" t="e">
        <f>ROUNDUP(Tabla_control[[#This Row],[CANTIDAD IMPRIMIR]]/Tabla_control[[#This Row],[N TJ]],0)</f>
        <v>#VALUE!</v>
      </c>
      <c r="Q330" s="170" t="e">
        <f>IF(Tabla_control[[#This Row],[CANTIDAD TIRAJE]]&gt;10000,Tabla_control[[#This Row],[CANTIDAD TIRAJE]],Tabla_control[[#This Row],[CANTIDAD TIRAJE]]*2)</f>
        <v>#VALUE!</v>
      </c>
      <c r="R330" s="186" t="s">
        <v>172</v>
      </c>
      <c r="S330" s="4" t="s">
        <v>30</v>
      </c>
      <c r="T330" s="4"/>
      <c r="U330" s="4"/>
      <c r="V330" s="4"/>
      <c r="W330" s="185" t="s">
        <v>3238</v>
      </c>
      <c r="X330" s="185"/>
      <c r="Y330" s="185"/>
      <c r="Z330" s="185"/>
      <c r="AA330" s="186" t="s">
        <v>2031</v>
      </c>
      <c r="AB330" s="184" t="s">
        <v>2028</v>
      </c>
      <c r="AE330" s="191"/>
      <c r="AF330" s="192"/>
      <c r="AG330" s="192"/>
      <c r="AH330" s="192"/>
    </row>
    <row r="331" spans="1:34" hidden="1" x14ac:dyDescent="0.2">
      <c r="A331" s="175">
        <f>IF(COUNTIF(Tabla_imprenta[LOTE],Tabla_control[[#This Row],[LOTE]])=1,INDEX(Tabla_imprenta[FECHA EMISIÓN],MATCH(Tabla_control[[#This Row],[LOTE]],Tabla_imprenta[LOTE],0)),"REALIZADO")</f>
        <v>46113</v>
      </c>
      <c r="B331" s="142">
        <f>IF(COUNTIF(Tabla_imprenta[LOTE],Tabla_control[[#This Row],[LOTE]])=1,INDEX(Tabla_imprenta[CÓD. SOLICITUD],MATCH(Tabla_control[[#This Row],[LOTE]],Tabla_imprenta[LOTE],0)),"REALIZADO")</f>
        <v>0</v>
      </c>
      <c r="C331" s="177" t="str">
        <f>IF(COUNTIF(Tabla_imprenta[LOTE],Tabla_control[[#This Row],[LOTE]])=1,INDEX(Tabla_imprenta[PRODUCTO],MATCH(Tabla_control[[#This Row],[LOTE]],Tabla_imprenta[LOTE],0)),"REALIZADO")</f>
        <v>CLARIMEX 250 MG X 80 ML GRANULOS PARA SUSP. + DILUYENTE</v>
      </c>
      <c r="D331" s="142" t="str">
        <f>IF(COUNTIF(Tabla_imprenta[LOTE],Tabla_control[[#This Row],[LOTE]])=1,INDEX(Tabla_imprenta[FORMA FARMACEUTICA],MATCH(Tabla_control[[#This Row],[LOTE]],Tabla_imprenta[LOTE],0)),"REALIZADO")</f>
        <v>GRANULOS PARA SUSPENSIÓN</v>
      </c>
      <c r="E331" s="177" t="str">
        <f>IF(COUNTIF(Tabla_imprenta[LOTE],Tabla_control[[#This Row],[LOTE]])=1,INDEX(Tabla_imprenta[INSTITUCIÓN],MATCH(Tabla_control[[#This Row],[LOTE]],Tabla_imprenta[LOTE],0)),"REALIZADO")</f>
        <v>COMERCIO</v>
      </c>
      <c r="F331" s="181" t="s">
        <v>3036</v>
      </c>
      <c r="G331" s="139">
        <f>IF(COUNTIF(Tabla_imprenta[LOTE],Tabla_control[[#This Row],[LOTE]])=1,INDEX(Tabla_imprenta[CANTIDAD ENVASE SECUNDARIO],MATCH(Tabla_control[[#This Row],[LOTE]],Tabla_imprenta[LOTE],0)),"ENTREGADO")</f>
        <v>2800</v>
      </c>
      <c r="H331" s="139">
        <f>IF(COUNTIF(Tabla_imprenta[LOTE],Tabla_control[[#This Row],[LOTE]])=1,INDEX(Tabla_imprenta[stock sap],MATCH(Tabla_control[[#This Row],[LOTE]],Tabla_imprenta[LOTE],0)),"ENTREGADO")</f>
        <v>1550</v>
      </c>
      <c r="I331" s="139" t="str">
        <f>IF(Tabla_control[[#This Row],[STOCK SAP]]&gt;Tabla_control[[#This Row],[CANTIDAD IMPRIMIR]],"cubre","no cubre")</f>
        <v>no cubre</v>
      </c>
      <c r="J331" s="182">
        <f>IF(COUNTIF(Tabla_imprenta[LOTE],Tabla_control[[#This Row],[LOTE]])=1,INDEX(Tabla_imprenta[STOCK],MATCH(Tabla_control[[#This Row],[LOTE]],Tabla_imprenta[LOTE],0)),"ENTREGADO")</f>
        <v>1.691164639628981</v>
      </c>
      <c r="K33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31" s="148" t="str">
        <f>INDEX(Tabla_imprenta[FECHA CAJA],MATCH(Tabla_control[[#This Row],[LOTE]],Tabla_imprenta[LOTE],0))</f>
        <v>ENTREGADO</v>
      </c>
      <c r="M33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33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3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71</v>
      </c>
      <c r="P331" s="170">
        <f>ROUNDUP(Tabla_control[[#This Row],[CANTIDAD IMPRIMIR]]/Tabla_control[[#This Row],[N TJ]],0)</f>
        <v>1400</v>
      </c>
      <c r="Q331" s="170">
        <f>IF(Tabla_control[[#This Row],[CANTIDAD TIRAJE]]&gt;10000,Tabla_control[[#This Row],[CANTIDAD TIRAJE]],Tabla_control[[#This Row],[CANTIDAD TIRAJE]]*2)</f>
        <v>2800</v>
      </c>
      <c r="R331" s="186" t="s">
        <v>177</v>
      </c>
      <c r="S331" s="4" t="s">
        <v>174</v>
      </c>
      <c r="T331" s="4"/>
      <c r="U331" s="4"/>
      <c r="V331" s="4"/>
      <c r="W331" s="193" t="s">
        <v>3223</v>
      </c>
      <c r="X331" s="193"/>
      <c r="Y331" s="193"/>
      <c r="Z331" s="193"/>
      <c r="AA331" s="186" t="s">
        <v>321</v>
      </c>
      <c r="AB331" s="184" t="s">
        <v>2028</v>
      </c>
      <c r="AE331" s="191"/>
      <c r="AF331" s="180"/>
      <c r="AG331" s="180"/>
      <c r="AH331" s="180"/>
    </row>
    <row r="332" spans="1:34" hidden="1" x14ac:dyDescent="0.2">
      <c r="A332" s="175" t="str">
        <f>IF(COUNTIF(Tabla_imprenta[LOTE],Tabla_control[[#This Row],[LOTE]])=1,INDEX(Tabla_imprenta[FECHA EMISIÓN],MATCH(Tabla_control[[#This Row],[LOTE]],Tabla_imprenta[LOTE],0)),"REALIZADO")</f>
        <v>REALIZADO</v>
      </c>
      <c r="B332" s="142" t="str">
        <f>IF(COUNTIF(Tabla_imprenta[LOTE],Tabla_control[[#This Row],[LOTE]])=1,INDEX(Tabla_imprenta[CÓD. SOLICITUD],MATCH(Tabla_control[[#This Row],[LOTE]],Tabla_imprenta[LOTE],0)),"REALIZADO")</f>
        <v>REALIZADO</v>
      </c>
      <c r="C332" s="177" t="str">
        <f>IF(COUNTIF(Tabla_imprenta[LOTE],Tabla_control[[#This Row],[LOTE]])=1,INDEX(Tabla_imprenta[PRODUCTO],MATCH(Tabla_control[[#This Row],[LOTE]],Tabla_imprenta[LOTE],0)),"REALIZADO")</f>
        <v>REALIZADO</v>
      </c>
      <c r="D332" s="142" t="str">
        <f>IF(COUNTIF(Tabla_imprenta[LOTE],Tabla_control[[#This Row],[LOTE]])=1,INDEX(Tabla_imprenta[FORMA FARMACEUTICA],MATCH(Tabla_control[[#This Row],[LOTE]],Tabla_imprenta[LOTE],0)),"REALIZADO")</f>
        <v>REALIZADO</v>
      </c>
      <c r="E332" s="177" t="str">
        <f>IF(COUNTIF(Tabla_imprenta[LOTE],Tabla_control[[#This Row],[LOTE]])=1,INDEX(Tabla_imprenta[INSTITUCIÓN],MATCH(Tabla_control[[#This Row],[LOTE]],Tabla_imprenta[LOTE],0)),"REALIZADO")</f>
        <v>REALIZADO</v>
      </c>
      <c r="F332" s="180" t="s">
        <v>2529</v>
      </c>
      <c r="G33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32" s="139" t="str">
        <f>IF(COUNTIF(Tabla_imprenta[LOTE],Tabla_control[[#This Row],[LOTE]])=1,INDEX(Tabla_imprenta[stock sap],MATCH(Tabla_control[[#This Row],[LOTE]],Tabla_imprenta[LOTE],0)),"ENTREGADO")</f>
        <v>ENTREGADO</v>
      </c>
      <c r="I332" s="139" t="str">
        <f>IF(Tabla_control[[#This Row],[STOCK SAP]]&gt;Tabla_control[[#This Row],[CANTIDAD IMPRIMIR]],"cubre","no cubre")</f>
        <v>no cubre</v>
      </c>
      <c r="J332" s="7" t="str">
        <f>IF(COUNTIF(Tabla_imprenta[LOTE],Tabla_control[[#This Row],[LOTE]])=1,INDEX(Tabla_imprenta[STOCK],MATCH(Tabla_control[[#This Row],[LOTE]],Tabla_imprenta[LOTE],0)),"ENTREGADO")</f>
        <v>ENTREGADO</v>
      </c>
      <c r="K33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32" s="148" t="e">
        <f>INDEX(Tabla_imprenta[FECHA CAJA],MATCH(Tabla_control[[#This Row],[LOTE]],Tabla_imprenta[LOTE],0))</f>
        <v>#N/A</v>
      </c>
      <c r="M33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3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3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32" s="170" t="e">
        <f>ROUNDUP(Tabla_control[[#This Row],[CANTIDAD IMPRIMIR]]/Tabla_control[[#This Row],[N TJ]],0)</f>
        <v>#VALUE!</v>
      </c>
      <c r="Q332" s="170" t="e">
        <f>IF(Tabla_control[[#This Row],[CANTIDAD TIRAJE]]&gt;10000,Tabla_control[[#This Row],[CANTIDAD TIRAJE]],Tabla_control[[#This Row],[CANTIDAD TIRAJE]]*2)</f>
        <v>#VALUE!</v>
      </c>
      <c r="R332" s="4" t="s">
        <v>172</v>
      </c>
      <c r="S332" s="4" t="s">
        <v>30</v>
      </c>
      <c r="T332" s="4"/>
      <c r="U332" s="4"/>
      <c r="V332" s="4"/>
      <c r="W332" s="185" t="s">
        <v>3239</v>
      </c>
      <c r="X332" s="185"/>
      <c r="Y332" s="185"/>
      <c r="Z332" s="185"/>
      <c r="AA332" s="4" t="s">
        <v>2031</v>
      </c>
      <c r="AB332" s="184" t="s">
        <v>2028</v>
      </c>
      <c r="AE332" s="194"/>
      <c r="AF332" s="194"/>
      <c r="AG332" s="194"/>
      <c r="AH332" s="194"/>
    </row>
    <row r="333" spans="1:34" hidden="1" x14ac:dyDescent="0.2">
      <c r="A333" s="175" t="str">
        <f>IF(COUNTIF(Tabla_imprenta[LOTE],Tabla_control[[#This Row],[LOTE]])=1,INDEX(Tabla_imprenta[FECHA EMISIÓN],MATCH(Tabla_control[[#This Row],[LOTE]],Tabla_imprenta[LOTE],0)),"REALIZADO")</f>
        <v>REALIZADO</v>
      </c>
      <c r="B333" s="142" t="str">
        <f>IF(COUNTIF(Tabla_imprenta[LOTE],Tabla_control[[#This Row],[LOTE]])=1,INDEX(Tabla_imprenta[CÓD. SOLICITUD],MATCH(Tabla_control[[#This Row],[LOTE]],Tabla_imprenta[LOTE],0)),"REALIZADO")</f>
        <v>REALIZADO</v>
      </c>
      <c r="C333" s="177" t="str">
        <f>IF(COUNTIF(Tabla_imprenta[LOTE],Tabla_control[[#This Row],[LOTE]])=1,INDEX(Tabla_imprenta[PRODUCTO],MATCH(Tabla_control[[#This Row],[LOTE]],Tabla_imprenta[LOTE],0)),"REALIZADO")</f>
        <v>REALIZADO</v>
      </c>
      <c r="D333" s="142" t="str">
        <f>IF(COUNTIF(Tabla_imprenta[LOTE],Tabla_control[[#This Row],[LOTE]])=1,INDEX(Tabla_imprenta[FORMA FARMACEUTICA],MATCH(Tabla_control[[#This Row],[LOTE]],Tabla_imprenta[LOTE],0)),"REALIZADO")</f>
        <v>REALIZADO</v>
      </c>
      <c r="E333" s="177" t="str">
        <f>IF(COUNTIF(Tabla_imprenta[LOTE],Tabla_control[[#This Row],[LOTE]])=1,INDEX(Tabla_imprenta[INSTITUCIÓN],MATCH(Tabla_control[[#This Row],[LOTE]],Tabla_imprenta[LOTE],0)),"REALIZADO")</f>
        <v>REALIZADO</v>
      </c>
      <c r="F333" s="181" t="s">
        <v>2995</v>
      </c>
      <c r="G33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33" s="139" t="str">
        <f>IF(COUNTIF(Tabla_imprenta[LOTE],Tabla_control[[#This Row],[LOTE]])=1,INDEX(Tabla_imprenta[stock sap],MATCH(Tabla_control[[#This Row],[LOTE]],Tabla_imprenta[LOTE],0)),"ENTREGADO")</f>
        <v>ENTREGADO</v>
      </c>
      <c r="I333" s="139" t="str">
        <f>IF(Tabla_control[[#This Row],[STOCK SAP]]&gt;Tabla_control[[#This Row],[CANTIDAD IMPRIMIR]],"cubre","no cubre")</f>
        <v>no cubre</v>
      </c>
      <c r="J333" s="182" t="str">
        <f>IF(COUNTIF(Tabla_imprenta[LOTE],Tabla_control[[#This Row],[LOTE]])=1,INDEX(Tabla_imprenta[STOCK],MATCH(Tabla_control[[#This Row],[LOTE]],Tabla_imprenta[LOTE],0)),"ENTREGADO")</f>
        <v>ENTREGADO</v>
      </c>
      <c r="K33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33" s="148" t="e">
        <f>INDEX(Tabla_imprenta[FECHA CAJA],MATCH(Tabla_control[[#This Row],[LOTE]],Tabla_imprenta[LOTE],0))</f>
        <v>#N/A</v>
      </c>
      <c r="M33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3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3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33" s="170" t="e">
        <f>ROUNDUP(Tabla_control[[#This Row],[CANTIDAD IMPRIMIR]]/Tabla_control[[#This Row],[N TJ]],0)</f>
        <v>#VALUE!</v>
      </c>
      <c r="Q333" s="170" t="e">
        <f>IF(Tabla_control[[#This Row],[CANTIDAD TIRAJE]]&gt;10000,Tabla_control[[#This Row],[CANTIDAD TIRAJE]],Tabla_control[[#This Row],[CANTIDAD TIRAJE]]*2)</f>
        <v>#VALUE!</v>
      </c>
      <c r="R333" s="186" t="s">
        <v>172</v>
      </c>
      <c r="S333" s="4" t="s">
        <v>30</v>
      </c>
      <c r="T333" s="4"/>
      <c r="U333" s="4"/>
      <c r="V333" s="4"/>
      <c r="W333" s="187" t="s">
        <v>3223</v>
      </c>
      <c r="X333" s="187"/>
      <c r="Y333" s="187"/>
      <c r="Z333" s="187"/>
      <c r="AA333" s="186" t="s">
        <v>321</v>
      </c>
      <c r="AB333" s="184" t="s">
        <v>2028</v>
      </c>
    </row>
    <row r="334" spans="1:34" s="1" customFormat="1" hidden="1" x14ac:dyDescent="0.2">
      <c r="A334" s="175" t="str">
        <f>IF(COUNTIF(Tabla_imprenta[LOTE],Tabla_control[[#This Row],[LOTE]])=1,INDEX(Tabla_imprenta[FECHA EMISIÓN],MATCH(Tabla_control[[#This Row],[LOTE]],Tabla_imprenta[LOTE],0)),"REALIZADO")</f>
        <v>REALIZADO</v>
      </c>
      <c r="B334" s="142" t="str">
        <f>IF(COUNTIF(Tabla_imprenta[LOTE],Tabla_control[[#This Row],[LOTE]])=1,INDEX(Tabla_imprenta[CÓD. SOLICITUD],MATCH(Tabla_control[[#This Row],[LOTE]],Tabla_imprenta[LOTE],0)),"REALIZADO")</f>
        <v>REALIZADO</v>
      </c>
      <c r="C334" s="177" t="str">
        <f>IF(COUNTIF(Tabla_imprenta[LOTE],Tabla_control[[#This Row],[LOTE]])=1,INDEX(Tabla_imprenta[PRODUCTO],MATCH(Tabla_control[[#This Row],[LOTE]],Tabla_imprenta[LOTE],0)),"REALIZADO")</f>
        <v>REALIZADO</v>
      </c>
      <c r="D334" s="142" t="str">
        <f>IF(COUNTIF(Tabla_imprenta[LOTE],Tabla_control[[#This Row],[LOTE]])=1,INDEX(Tabla_imprenta[FORMA FARMACEUTICA],MATCH(Tabla_control[[#This Row],[LOTE]],Tabla_imprenta[LOTE],0)),"REALIZADO")</f>
        <v>REALIZADO</v>
      </c>
      <c r="E334" s="177" t="str">
        <f>IF(COUNTIF(Tabla_imprenta[LOTE],Tabla_control[[#This Row],[LOTE]])=1,INDEX(Tabla_imprenta[INSTITUCIÓN],MATCH(Tabla_control[[#This Row],[LOTE]],Tabla_imprenta[LOTE],0)),"REALIZADO")</f>
        <v>REALIZADO</v>
      </c>
      <c r="F334" s="181" t="s">
        <v>3195</v>
      </c>
      <c r="G334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34" s="139" t="str">
        <f>IF(COUNTIF(Tabla_imprenta[LOTE],Tabla_control[[#This Row],[LOTE]])=1,INDEX(Tabla_imprenta[stock sap],MATCH(Tabla_control[[#This Row],[LOTE]],Tabla_imprenta[LOTE],0)),"ENTREGADO")</f>
        <v>ENTREGADO</v>
      </c>
      <c r="I334" s="139" t="str">
        <f>IF(Tabla_control[[#This Row],[STOCK SAP]]&gt;Tabla_control[[#This Row],[CANTIDAD IMPRIMIR]],"cubre","no cubre")</f>
        <v>no cubre</v>
      </c>
      <c r="J334" s="182" t="str">
        <f>IF(COUNTIF(Tabla_imprenta[LOTE],Tabla_control[[#This Row],[LOTE]])=1,INDEX(Tabla_imprenta[STOCK],MATCH(Tabla_control[[#This Row],[LOTE]],Tabla_imprenta[LOTE],0)),"ENTREGADO")</f>
        <v>ENTREGADO</v>
      </c>
      <c r="K33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34" s="148" t="e">
        <f>INDEX(Tabla_imprenta[FECHA CAJA],MATCH(Tabla_control[[#This Row],[LOTE]],Tabla_imprenta[LOTE],0))</f>
        <v>#N/A</v>
      </c>
      <c r="M33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3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3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34" s="170" t="e">
        <f>ROUNDUP(Tabla_control[[#This Row],[CANTIDAD IMPRIMIR]]/Tabla_control[[#This Row],[N TJ]],0)</f>
        <v>#VALUE!</v>
      </c>
      <c r="Q334" s="170" t="e">
        <f>IF(Tabla_control[[#This Row],[CANTIDAD TIRAJE]]&gt;10000,Tabla_control[[#This Row],[CANTIDAD TIRAJE]],Tabla_control[[#This Row],[CANTIDAD TIRAJE]]*2)</f>
        <v>#VALUE!</v>
      </c>
      <c r="R334" s="186" t="s">
        <v>172</v>
      </c>
      <c r="S334" s="4" t="s">
        <v>30</v>
      </c>
      <c r="T334" s="4"/>
      <c r="U334" s="4"/>
      <c r="V334" s="4"/>
      <c r="W334" s="185" t="s">
        <v>3223</v>
      </c>
      <c r="X334" s="185"/>
      <c r="Y334" s="185"/>
      <c r="Z334" s="185"/>
      <c r="AA334" s="186" t="s">
        <v>2429</v>
      </c>
      <c r="AB334" s="184" t="s">
        <v>2028</v>
      </c>
    </row>
    <row r="335" spans="1:34" hidden="1" x14ac:dyDescent="0.2">
      <c r="A335" s="175">
        <f>IF(COUNTIF(Tabla_imprenta[LOTE],Tabla_control[[#This Row],[LOTE]])=1,INDEX(Tabla_imprenta[FECHA EMISIÓN],MATCH(Tabla_control[[#This Row],[LOTE]],Tabla_imprenta[LOTE],0)),"REALIZADO")</f>
        <v>46083</v>
      </c>
      <c r="B335" s="142">
        <f>IF(COUNTIF(Tabla_imprenta[LOTE],Tabla_control[[#This Row],[LOTE]])=1,INDEX(Tabla_imprenta[CÓD. SOLICITUD],MATCH(Tabla_control[[#This Row],[LOTE]],Tabla_imprenta[LOTE],0)),"REALIZADO")</f>
        <v>0</v>
      </c>
      <c r="C335" s="177" t="str">
        <f>IF(COUNTIF(Tabla_imprenta[LOTE],Tabla_control[[#This Row],[LOTE]])=1,INDEX(Tabla_imprenta[PRODUCTO],MATCH(Tabla_control[[#This Row],[LOTE]],Tabla_imprenta[LOTE],0)),"REALIZADO")</f>
        <v>FERRICOM X 2 CAP. BLANDAS MM</v>
      </c>
      <c r="D335" s="142" t="str">
        <f>IF(COUNTIF(Tabla_imprenta[LOTE],Tabla_control[[#This Row],[LOTE]])=1,INDEX(Tabla_imprenta[FORMA FARMACEUTICA],MATCH(Tabla_control[[#This Row],[LOTE]],Tabla_imprenta[LOTE],0)),"REALIZADO")</f>
        <v>CÁPSULA BLANDA</v>
      </c>
      <c r="E335" s="177" t="str">
        <f>IF(COUNTIF(Tabla_imprenta[LOTE],Tabla_control[[#This Row],[LOTE]])=1,INDEX(Tabla_imprenta[INSTITUCIÓN],MATCH(Tabla_control[[#This Row],[LOTE]],Tabla_imprenta[LOTE],0)),"REALIZADO")</f>
        <v>MM-2026</v>
      </c>
      <c r="F335" s="180" t="s">
        <v>2515</v>
      </c>
      <c r="G335" s="139">
        <f>IF(COUNTIF(Tabla_imprenta[LOTE],Tabla_control[[#This Row],[LOTE]])=1,INDEX(Tabla_imprenta[CANTIDAD ENVASE SECUNDARIO],MATCH(Tabla_control[[#This Row],[LOTE]],Tabla_imprenta[LOTE],0)),"ENTREGADO")</f>
        <v>25000</v>
      </c>
      <c r="H335" s="139">
        <f>IF(COUNTIF(Tabla_imprenta[LOTE],Tabla_control[[#This Row],[LOTE]])=1,INDEX(Tabla_imprenta[stock sap],MATCH(Tabla_control[[#This Row],[LOTE]],Tabla_imprenta[LOTE],0)),"ENTREGADO")</f>
        <v>7721</v>
      </c>
      <c r="I335" s="139" t="str">
        <f>IF(Tabla_control[[#This Row],[STOCK SAP]]&gt;Tabla_control[[#This Row],[CANTIDAD IMPRIMIR]],"cubre","no cubre")</f>
        <v>no cubre</v>
      </c>
      <c r="J335" s="7">
        <f>IF(COUNTIF(Tabla_imprenta[LOTE],Tabla_control[[#This Row],[LOTE]])=1,INDEX(Tabla_imprenta[STOCK],MATCH(Tabla_control[[#This Row],[LOTE]],Tabla_imprenta[LOTE],0)),"ENTREGADO")</f>
        <v>1.4726857142857144</v>
      </c>
      <c r="K33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35" s="148" t="str">
        <f>INDEX(Tabla_imprenta[FECHA CAJA],MATCH(Tabla_control[[#This Row],[LOTE]],Tabla_imprenta[LOTE],0))</f>
        <v>ENTREGADO</v>
      </c>
      <c r="M33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NARANJA</v>
      </c>
      <c r="N33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7</v>
      </c>
      <c r="O33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104</v>
      </c>
      <c r="P335" s="169">
        <f>ROUNDUP(Tabla_control[[#This Row],[CANTIDAD IMPRIMIR]]/Tabla_control[[#This Row],[N TJ]],0)</f>
        <v>3572</v>
      </c>
      <c r="Q335" s="169">
        <f>IF(Tabla_control[[#This Row],[CANTIDAD TIRAJE]]&gt;10000,Tabla_control[[#This Row],[CANTIDAD TIRAJE]],Tabla_control[[#This Row],[CANTIDAD TIRAJE]]*2)</f>
        <v>7144</v>
      </c>
      <c r="R335" s="4" t="s">
        <v>2206</v>
      </c>
      <c r="S335" s="4" t="s">
        <v>174</v>
      </c>
      <c r="T335" s="4"/>
      <c r="U335" s="4"/>
      <c r="V335" s="4"/>
      <c r="W335" s="185" t="s">
        <v>3223</v>
      </c>
      <c r="X335" s="185"/>
      <c r="Y335" s="185"/>
      <c r="Z335" s="185"/>
      <c r="AA335" s="4" t="s">
        <v>2031</v>
      </c>
      <c r="AB335" s="184" t="s">
        <v>2028</v>
      </c>
    </row>
    <row r="336" spans="1:34" hidden="1" x14ac:dyDescent="0.2">
      <c r="A336" s="175" t="str">
        <f>IF(COUNTIF(Tabla_imprenta[LOTE],Tabla_control[[#This Row],[LOTE]])=1,INDEX(Tabla_imprenta[FECHA EMISIÓN],MATCH(Tabla_control[[#This Row],[LOTE]],Tabla_imprenta[LOTE],0)),"REALIZADO")</f>
        <v>REALIZADO</v>
      </c>
      <c r="B336" s="142" t="str">
        <f>IF(COUNTIF(Tabla_imprenta[LOTE],Tabla_control[[#This Row],[LOTE]])=1,INDEX(Tabla_imprenta[CÓD. SOLICITUD],MATCH(Tabla_control[[#This Row],[LOTE]],Tabla_imprenta[LOTE],0)),"REALIZADO")</f>
        <v>REALIZADO</v>
      </c>
      <c r="C336" s="177" t="str">
        <f>IF(COUNTIF(Tabla_imprenta[LOTE],Tabla_control[[#This Row],[LOTE]])=1,INDEX(Tabla_imprenta[PRODUCTO],MATCH(Tabla_control[[#This Row],[LOTE]],Tabla_imprenta[LOTE],0)),"REALIZADO")</f>
        <v>REALIZADO</v>
      </c>
      <c r="D336" s="142" t="str">
        <f>IF(COUNTIF(Tabla_imprenta[LOTE],Tabla_control[[#This Row],[LOTE]])=1,INDEX(Tabla_imprenta[FORMA FARMACEUTICA],MATCH(Tabla_control[[#This Row],[LOTE]],Tabla_imprenta[LOTE],0)),"REALIZADO")</f>
        <v>REALIZADO</v>
      </c>
      <c r="E336" s="177" t="str">
        <f>IF(COUNTIF(Tabla_imprenta[LOTE],Tabla_control[[#This Row],[LOTE]])=1,INDEX(Tabla_imprenta[INSTITUCIÓN],MATCH(Tabla_control[[#This Row],[LOTE]],Tabla_imprenta[LOTE],0)),"REALIZADO")</f>
        <v>REALIZADO</v>
      </c>
      <c r="F336" s="183" t="s">
        <v>2557</v>
      </c>
      <c r="G33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36" s="139" t="str">
        <f>IF(COUNTIF(Tabla_imprenta[LOTE],Tabla_control[[#This Row],[LOTE]])=1,INDEX(Tabla_imprenta[stock sap],MATCH(Tabla_control[[#This Row],[LOTE]],Tabla_imprenta[LOTE],0)),"ENTREGADO")</f>
        <v>ENTREGADO</v>
      </c>
      <c r="I336" s="139" t="str">
        <f>IF(Tabla_control[[#This Row],[STOCK SAP]]&gt;Tabla_control[[#This Row],[CANTIDAD IMPRIMIR]],"cubre","no cubre")</f>
        <v>no cubre</v>
      </c>
      <c r="J336" s="7" t="str">
        <f>IF(COUNTIF(Tabla_imprenta[LOTE],Tabla_control[[#This Row],[LOTE]])=1,INDEX(Tabla_imprenta[STOCK],MATCH(Tabla_control[[#This Row],[LOTE]],Tabla_imprenta[LOTE],0)),"ENTREGADO")</f>
        <v>ENTREGADO</v>
      </c>
      <c r="K33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36" s="148" t="e">
        <f>INDEX(Tabla_imprenta[FECHA CAJA],MATCH(Tabla_control[[#This Row],[LOTE]],Tabla_imprenta[LOTE],0))</f>
        <v>#N/A</v>
      </c>
      <c r="M33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3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3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36" s="170" t="e">
        <f>ROUNDUP(Tabla_control[[#This Row],[CANTIDAD IMPRIMIR]]/Tabla_control[[#This Row],[N TJ]],0)</f>
        <v>#VALUE!</v>
      </c>
      <c r="Q336" s="170" t="e">
        <f>IF(Tabla_control[[#This Row],[CANTIDAD TIRAJE]]&gt;10000,Tabla_control[[#This Row],[CANTIDAD TIRAJE]],Tabla_control[[#This Row],[CANTIDAD TIRAJE]]*2)</f>
        <v>#VALUE!</v>
      </c>
      <c r="R336" s="4" t="s">
        <v>172</v>
      </c>
      <c r="S336" s="4" t="s">
        <v>54</v>
      </c>
      <c r="T336" s="4"/>
      <c r="U336" s="4"/>
      <c r="V336" s="4"/>
      <c r="W336" s="185" t="s">
        <v>2985</v>
      </c>
      <c r="X336" s="185"/>
      <c r="Y336" s="185"/>
      <c r="Z336" s="185"/>
      <c r="AA336" s="4" t="s">
        <v>2031</v>
      </c>
      <c r="AB336" s="184" t="s">
        <v>2028</v>
      </c>
    </row>
    <row r="337" spans="1:28" hidden="1" x14ac:dyDescent="0.2">
      <c r="A337" s="175">
        <f>IF(COUNTIF(Tabla_imprenta[LOTE],Tabla_control[[#This Row],[LOTE]])=1,INDEX(Tabla_imprenta[FECHA EMISIÓN],MATCH(Tabla_control[[#This Row],[LOTE]],Tabla_imprenta[LOTE],0)),"REALIZADO")</f>
        <v>46083</v>
      </c>
      <c r="B337" s="142">
        <f>IF(COUNTIF(Tabla_imprenta[LOTE],Tabla_control[[#This Row],[LOTE]])=1,INDEX(Tabla_imprenta[CÓD. SOLICITUD],MATCH(Tabla_control[[#This Row],[LOTE]],Tabla_imprenta[LOTE],0)),"REALIZADO")</f>
        <v>0</v>
      </c>
      <c r="C337" s="177" t="str">
        <f>IF(COUNTIF(Tabla_imprenta[LOTE],Tabla_control[[#This Row],[LOTE]])=1,INDEX(Tabla_imprenta[PRODUCTO],MATCH(Tabla_control[[#This Row],[LOTE]],Tabla_imprenta[LOTE],0)),"REALIZADO")</f>
        <v>AFUNGIL X 2 CAP. DURAS MM</v>
      </c>
      <c r="D337" s="142" t="str">
        <f>IF(COUNTIF(Tabla_imprenta[LOTE],Tabla_control[[#This Row],[LOTE]])=1,INDEX(Tabla_imprenta[FORMA FARMACEUTICA],MATCH(Tabla_control[[#This Row],[LOTE]],Tabla_imprenta[LOTE],0)),"REALIZADO")</f>
        <v>CÁPSULA</v>
      </c>
      <c r="E337" s="177" t="str">
        <f>IF(COUNTIF(Tabla_imprenta[LOTE],Tabla_control[[#This Row],[LOTE]])=1,INDEX(Tabla_imprenta[INSTITUCIÓN],MATCH(Tabla_control[[#This Row],[LOTE]],Tabla_imprenta[LOTE],0)),"REALIZADO")</f>
        <v>MM-2026</v>
      </c>
      <c r="F337" s="180" t="s">
        <v>2513</v>
      </c>
      <c r="G337" s="139">
        <f>IF(COUNTIF(Tabla_imprenta[LOTE],Tabla_control[[#This Row],[LOTE]])=1,INDEX(Tabla_imprenta[CANTIDAD ENVASE SECUNDARIO],MATCH(Tabla_control[[#This Row],[LOTE]],Tabla_imprenta[LOTE],0)),"ENTREGADO")</f>
        <v>14000</v>
      </c>
      <c r="H337" s="139">
        <f>IF(COUNTIF(Tabla_imprenta[LOTE],Tabla_control[[#This Row],[LOTE]])=1,INDEX(Tabla_imprenta[stock sap],MATCH(Tabla_control[[#This Row],[LOTE]],Tabla_imprenta[LOTE],0)),"ENTREGADO")</f>
        <v>3838</v>
      </c>
      <c r="I337" s="139" t="str">
        <f>IF(Tabla_control[[#This Row],[STOCK SAP]]&gt;Tabla_control[[#This Row],[CANTIDAD IMPRIMIR]],"cubre","no cubre")</f>
        <v>no cubre</v>
      </c>
      <c r="J337" s="7">
        <f>IF(COUNTIF(Tabla_imprenta[LOTE],Tabla_control[[#This Row],[LOTE]])=1,INDEX(Tabla_imprenta[STOCK],MATCH(Tabla_control[[#This Row],[LOTE]],Tabla_imprenta[LOTE],0)),"ENTREGADO")</f>
        <v>1.7757812500000001</v>
      </c>
      <c r="K33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337" s="148" t="str">
        <f>INDEX(Tabla_imprenta[FECHA CAJA],MATCH(Tabla_control[[#This Row],[LOTE]],Tabla_imprenta[LOTE],0))</f>
        <v>ENTREGADO</v>
      </c>
      <c r="M33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33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5</v>
      </c>
      <c r="O33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117</v>
      </c>
      <c r="P337" s="169">
        <f>ROUNDUP(Tabla_control[[#This Row],[CANTIDAD IMPRIMIR]]/Tabla_control[[#This Row],[N TJ]],0)</f>
        <v>2800</v>
      </c>
      <c r="Q337" s="169">
        <f>IF(Tabla_control[[#This Row],[CANTIDAD TIRAJE]]&gt;10000,Tabla_control[[#This Row],[CANTIDAD TIRAJE]],Tabla_control[[#This Row],[CANTIDAD TIRAJE]]*2)</f>
        <v>5600</v>
      </c>
      <c r="R337" s="4" t="s">
        <v>175</v>
      </c>
      <c r="S337" s="4" t="s">
        <v>174</v>
      </c>
      <c r="T337" s="4"/>
      <c r="U337" s="4"/>
      <c r="V337" s="4"/>
      <c r="W337" s="185" t="s">
        <v>3223</v>
      </c>
      <c r="X337" s="185"/>
      <c r="Y337" s="185"/>
      <c r="Z337" s="185"/>
      <c r="AA337" s="4" t="s">
        <v>2031</v>
      </c>
      <c r="AB337" s="184" t="s">
        <v>2028</v>
      </c>
    </row>
    <row r="338" spans="1:28" hidden="1" x14ac:dyDescent="0.2">
      <c r="A338" s="175">
        <f>IF(COUNTIF(Tabla_imprenta[LOTE],Tabla_control[[#This Row],[LOTE]])=1,INDEX(Tabla_imprenta[FECHA EMISIÓN],MATCH(Tabla_control[[#This Row],[LOTE]],Tabla_imprenta[LOTE],0)),"REALIZADO")</f>
        <v>46099</v>
      </c>
      <c r="B338" s="142">
        <f>IF(COUNTIF(Tabla_imprenta[LOTE],Tabla_control[[#This Row],[LOTE]])=1,INDEX(Tabla_imprenta[CÓD. SOLICITUD],MATCH(Tabla_control[[#This Row],[LOTE]],Tabla_imprenta[LOTE],0)),"REALIZADO")</f>
        <v>0</v>
      </c>
      <c r="C338" s="177" t="str">
        <f>IF(COUNTIF(Tabla_imprenta[LOTE],Tabla_control[[#This Row],[LOTE]])=1,INDEX(Tabla_imprenta[PRODUCTO],MATCH(Tabla_control[[#This Row],[LOTE]],Tabla_imprenta[LOTE],0)),"REALIZADO")</f>
        <v>PENICILINA 2400 X 1 POLVO INY.</v>
      </c>
      <c r="D338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338" s="177" t="str">
        <f>IF(COUNTIF(Tabla_imprenta[LOTE],Tabla_control[[#This Row],[LOTE]])=1,INDEX(Tabla_imprenta[INSTITUCIÓN],MATCH(Tabla_control[[#This Row],[LOTE]],Tabla_imprenta[LOTE],0)),"REALIZADO")</f>
        <v>COMERCIO</v>
      </c>
      <c r="F338" s="181" t="s">
        <v>2979</v>
      </c>
      <c r="G338" s="139">
        <f>IF(COUNTIF(Tabla_imprenta[LOTE],Tabla_control[[#This Row],[LOTE]])=1,INDEX(Tabla_imprenta[CANTIDAD ENVASE SECUNDARIO],MATCH(Tabla_control[[#This Row],[LOTE]],Tabla_imprenta[LOTE],0)),"ENTREGADO")</f>
        <v>1500</v>
      </c>
      <c r="H338" s="139">
        <f>IF(COUNTIF(Tabla_imprenta[LOTE],Tabla_control[[#This Row],[LOTE]])=1,INDEX(Tabla_imprenta[stock sap],MATCH(Tabla_control[[#This Row],[LOTE]],Tabla_imprenta[LOTE],0)),"ENTREGADO")</f>
        <v>312</v>
      </c>
      <c r="I338" s="139" t="str">
        <f>IF(Tabla_control[[#This Row],[STOCK SAP]]&gt;Tabla_control[[#This Row],[CANTIDAD IMPRIMIR]],"cubre","no cubre")</f>
        <v>no cubre</v>
      </c>
      <c r="J338" s="182">
        <f>IF(COUNTIF(Tabla_imprenta[LOTE],Tabla_control[[#This Row],[LOTE]])=1,INDEX(Tabla_imprenta[STOCK],MATCH(Tabla_control[[#This Row],[LOTE]],Tabla_imprenta[LOTE],0)),"ENTREGADO")</f>
        <v>0.89624987887205665</v>
      </c>
      <c r="K33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38" s="148" t="str">
        <f>INDEX(Tabla_imprenta[FECHA CAJA],MATCH(Tabla_control[[#This Row],[LOTE]],Tabla_imprenta[LOTE],0))</f>
        <v>ENTREGADO</v>
      </c>
      <c r="M33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3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33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43</v>
      </c>
      <c r="P338" s="170">
        <f>ROUNDUP(Tabla_control[[#This Row],[CANTIDAD IMPRIMIR]]/Tabla_control[[#This Row],[N TJ]],0)</f>
        <v>1500</v>
      </c>
      <c r="Q338" s="170">
        <f>IF(Tabla_control[[#This Row],[CANTIDAD TIRAJE]]&gt;10000,Tabla_control[[#This Row],[CANTIDAD TIRAJE]],Tabla_control[[#This Row],[CANTIDAD TIRAJE]]*2)</f>
        <v>3000</v>
      </c>
      <c r="R338" s="186" t="s">
        <v>172</v>
      </c>
      <c r="S338" s="4" t="s">
        <v>30</v>
      </c>
      <c r="T338" s="4"/>
      <c r="U338" s="4"/>
      <c r="V338" s="4"/>
      <c r="W338" s="185" t="s">
        <v>3239</v>
      </c>
      <c r="X338" s="185"/>
      <c r="Y338" s="185"/>
      <c r="Z338" s="185"/>
      <c r="AA338" s="186" t="s">
        <v>2314</v>
      </c>
      <c r="AB338" s="184" t="s">
        <v>2028</v>
      </c>
    </row>
    <row r="339" spans="1:28" hidden="1" x14ac:dyDescent="0.2">
      <c r="A339" s="175">
        <f>IF(COUNTIF(Tabla_imprenta[LOTE],Tabla_control[[#This Row],[LOTE]])=1,INDEX(Tabla_imprenta[FECHA EMISIÓN],MATCH(Tabla_control[[#This Row],[LOTE]],Tabla_imprenta[LOTE],0)),"REALIZADO")</f>
        <v>46091</v>
      </c>
      <c r="B339" s="142">
        <f>IF(COUNTIF(Tabla_imprenta[LOTE],Tabla_control[[#This Row],[LOTE]])=1,INDEX(Tabla_imprenta[CÓD. SOLICITUD],MATCH(Tabla_control[[#This Row],[LOTE]],Tabla_imprenta[LOTE],0)),"REALIZADO")</f>
        <v>0</v>
      </c>
      <c r="C339" s="177" t="str">
        <f>IF(COUNTIF(Tabla_imprenta[LOTE],Tabla_control[[#This Row],[LOTE]])=1,INDEX(Tabla_imprenta[PRODUCTO],MATCH(Tabla_control[[#This Row],[LOTE]],Tabla_imprenta[LOTE],0)),"REALIZADO")</f>
        <v>METAMIZOL 1G X 25 AMP. SOLUCION INY.</v>
      </c>
      <c r="D339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339" s="177" t="str">
        <f>IF(COUNTIF(Tabla_imprenta[LOTE],Tabla_control[[#This Row],[LOTE]])=1,INDEX(Tabla_imprenta[INSTITUCIÓN],MATCH(Tabla_control[[#This Row],[LOTE]],Tabla_imprenta[LOTE],0)),"REALIZADO")</f>
        <v>COMERCIO</v>
      </c>
      <c r="F339" s="180" t="s">
        <v>2944</v>
      </c>
      <c r="G339" s="139">
        <f>IF(COUNTIF(Tabla_imprenta[LOTE],Tabla_control[[#This Row],[LOTE]])=1,INDEX(Tabla_imprenta[CANTIDAD ENVASE SECUNDARIO],MATCH(Tabla_control[[#This Row],[LOTE]],Tabla_imprenta[LOTE],0)),"ENTREGADO")</f>
        <v>3600</v>
      </c>
      <c r="H339" s="139">
        <f>IF(COUNTIF(Tabla_imprenta[LOTE],Tabla_control[[#This Row],[LOTE]])=1,INDEX(Tabla_imprenta[stock sap],MATCH(Tabla_control[[#This Row],[LOTE]],Tabla_imprenta[LOTE],0)),"ENTREGADO")</f>
        <v>9816</v>
      </c>
      <c r="I339" s="139" t="str">
        <f>IF(Tabla_control[[#This Row],[STOCK SAP]]&gt;Tabla_control[[#This Row],[CANTIDAD IMPRIMIR]],"cubre","no cubre")</f>
        <v>cubre</v>
      </c>
      <c r="J339" s="7">
        <f>IF(COUNTIF(Tabla_imprenta[LOTE],Tabla_control[[#This Row],[LOTE]])=1,INDEX(Tabla_imprenta[STOCK],MATCH(Tabla_control[[#This Row],[LOTE]],Tabla_imprenta[LOTE],0)),"ENTREGADO")</f>
        <v>1.8397192964762128</v>
      </c>
      <c r="K33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39" s="148" t="str">
        <f>INDEX(Tabla_imprenta[FECHA CAJA],MATCH(Tabla_control[[#This Row],[LOTE]],Tabla_imprenta[LOTE],0))</f>
        <v>ENTREGADO</v>
      </c>
      <c r="M33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3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3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339" s="169">
        <f>ROUNDUP(Tabla_control[[#This Row],[CANTIDAD IMPRIMIR]]/Tabla_control[[#This Row],[N TJ]],0)</f>
        <v>1800</v>
      </c>
      <c r="Q339" s="169">
        <f>IF(Tabla_control[[#This Row],[CANTIDAD TIRAJE]]&gt;10000,Tabla_control[[#This Row],[CANTIDAD TIRAJE]],Tabla_control[[#This Row],[CANTIDAD TIRAJE]]*2)</f>
        <v>3600</v>
      </c>
      <c r="R339" s="4" t="s">
        <v>172</v>
      </c>
      <c r="S339" s="4" t="s">
        <v>31</v>
      </c>
      <c r="T339" s="4"/>
      <c r="U339" s="4"/>
      <c r="V339" s="4"/>
      <c r="W339" s="138" t="s">
        <v>3223</v>
      </c>
      <c r="X339" s="138"/>
      <c r="Y339" s="138"/>
      <c r="Z339" s="138"/>
      <c r="AA339" s="4" t="s">
        <v>3234</v>
      </c>
      <c r="AB339" s="184" t="s">
        <v>2028</v>
      </c>
    </row>
    <row r="340" spans="1:28" hidden="1" x14ac:dyDescent="0.2">
      <c r="A340" s="175">
        <f>IF(COUNTIF(Tabla_imprenta[LOTE],Tabla_control[[#This Row],[LOTE]])=1,INDEX(Tabla_imprenta[FECHA EMISIÓN],MATCH(Tabla_control[[#This Row],[LOTE]],Tabla_imprenta[LOTE],0)),"REALIZADO")</f>
        <v>46113</v>
      </c>
      <c r="B340" s="142">
        <f>IF(COUNTIF(Tabla_imprenta[LOTE],Tabla_control[[#This Row],[LOTE]])=1,INDEX(Tabla_imprenta[CÓD. SOLICITUD],MATCH(Tabla_control[[#This Row],[LOTE]],Tabla_imprenta[LOTE],0)),"REALIZADO")</f>
        <v>0</v>
      </c>
      <c r="C340" s="177" t="str">
        <f>IF(COUNTIF(Tabla_imprenta[LOTE],Tabla_control[[#This Row],[LOTE]])=1,INDEX(Tabla_imprenta[PRODUCTO],MATCH(Tabla_control[[#This Row],[LOTE]],Tabla_imprenta[LOTE],0)),"REALIZADO")</f>
        <v>METOCLOPRAMIDA X 20 ML GOTAS VETERINARIO</v>
      </c>
      <c r="D340" s="142" t="str">
        <f>IF(COUNTIF(Tabla_imprenta[LOTE],Tabla_control[[#This Row],[LOTE]])=1,INDEX(Tabla_imprenta[FORMA FARMACEUTICA],MATCH(Tabla_control[[#This Row],[LOTE]],Tabla_imprenta[LOTE],0)),"REALIZADO")</f>
        <v>GOTAS</v>
      </c>
      <c r="E340" s="177" t="str">
        <f>IF(COUNTIF(Tabla_imprenta[LOTE],Tabla_control[[#This Row],[LOTE]])=1,INDEX(Tabla_imprenta[INSTITUCIÓN],MATCH(Tabla_control[[#This Row],[LOTE]],Tabla_imprenta[LOTE],0)),"REALIZADO")</f>
        <v>COMERCIO</v>
      </c>
      <c r="F340" s="181" t="s">
        <v>3003</v>
      </c>
      <c r="G340" s="139">
        <f>IF(COUNTIF(Tabla_imprenta[LOTE],Tabla_control[[#This Row],[LOTE]])=1,INDEX(Tabla_imprenta[CANTIDAD ENVASE SECUNDARIO],MATCH(Tabla_control[[#This Row],[LOTE]],Tabla_imprenta[LOTE],0)),"ENTREGADO")</f>
        <v>2000</v>
      </c>
      <c r="H340" s="139">
        <f>IF(COUNTIF(Tabla_imprenta[LOTE],Tabla_control[[#This Row],[LOTE]])=1,INDEX(Tabla_imprenta[stock sap],MATCH(Tabla_control[[#This Row],[LOTE]],Tabla_imprenta[LOTE],0)),"ENTREGADO")</f>
        <v>769</v>
      </c>
      <c r="I340" s="139" t="str">
        <f>IF(Tabla_control[[#This Row],[STOCK SAP]]&gt;Tabla_control[[#This Row],[CANTIDAD IMPRIMIR]],"cubre","no cubre")</f>
        <v>no cubre</v>
      </c>
      <c r="J340" s="182">
        <f>IF(COUNTIF(Tabla_imprenta[LOTE],Tabla_control[[#This Row],[LOTE]])=1,INDEX(Tabla_imprenta[STOCK],MATCH(Tabla_control[[#This Row],[LOTE]],Tabla_imprenta[LOTE],0)),"ENTREGADO")</f>
        <v>2.9540229885057472</v>
      </c>
      <c r="K34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40" s="148" t="str">
        <f>INDEX(Tabla_imprenta[FECHA CAJA],MATCH(Tabla_control[[#This Row],[LOTE]],Tabla_imprenta[LOTE],0))</f>
        <v>ENTREGADO</v>
      </c>
      <c r="M34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34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34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25</v>
      </c>
      <c r="P340" s="170">
        <f>ROUNDUP(Tabla_control[[#This Row],[CANTIDAD IMPRIMIR]]/Tabla_control[[#This Row],[N TJ]],0)</f>
        <v>334</v>
      </c>
      <c r="Q340" s="170">
        <f>IF(Tabla_control[[#This Row],[CANTIDAD TIRAJE]]&gt;10000,Tabla_control[[#This Row],[CANTIDAD TIRAJE]],Tabla_control[[#This Row],[CANTIDAD TIRAJE]]*2)</f>
        <v>668</v>
      </c>
      <c r="R340" s="186" t="s">
        <v>176</v>
      </c>
      <c r="S340" s="4" t="s">
        <v>30</v>
      </c>
      <c r="T340" s="4"/>
      <c r="U340" s="4"/>
      <c r="V340" s="4"/>
      <c r="W340" s="185" t="s">
        <v>3223</v>
      </c>
      <c r="X340" s="185"/>
      <c r="Y340" s="185"/>
      <c r="Z340" s="185"/>
      <c r="AA340" s="186" t="s">
        <v>2031</v>
      </c>
      <c r="AB340" s="184" t="s">
        <v>2028</v>
      </c>
    </row>
    <row r="341" spans="1:28" hidden="1" x14ac:dyDescent="0.2">
      <c r="A341" s="175" t="str">
        <f>IF(COUNTIF(Tabla_imprenta[LOTE],Tabla_control[[#This Row],[LOTE]])=1,INDEX(Tabla_imprenta[FECHA EMISIÓN],MATCH(Tabla_control[[#This Row],[LOTE]],Tabla_imprenta[LOTE],0)),"REALIZADO")</f>
        <v>REALIZADO</v>
      </c>
      <c r="B341" s="142" t="str">
        <f>IF(COUNTIF(Tabla_imprenta[LOTE],Tabla_control[[#This Row],[LOTE]])=1,INDEX(Tabla_imprenta[CÓD. SOLICITUD],MATCH(Tabla_control[[#This Row],[LOTE]],Tabla_imprenta[LOTE],0)),"REALIZADO")</f>
        <v>REALIZADO</v>
      </c>
      <c r="C341" s="177" t="str">
        <f>IF(COUNTIF(Tabla_imprenta[LOTE],Tabla_control[[#This Row],[LOTE]])=1,INDEX(Tabla_imprenta[PRODUCTO],MATCH(Tabla_control[[#This Row],[LOTE]],Tabla_imprenta[LOTE],0)),"REALIZADO")</f>
        <v>REALIZADO</v>
      </c>
      <c r="D341" s="142" t="str">
        <f>IF(COUNTIF(Tabla_imprenta[LOTE],Tabla_control[[#This Row],[LOTE]])=1,INDEX(Tabla_imprenta[FORMA FARMACEUTICA],MATCH(Tabla_control[[#This Row],[LOTE]],Tabla_imprenta[LOTE],0)),"REALIZADO")</f>
        <v>REALIZADO</v>
      </c>
      <c r="E341" s="177" t="str">
        <f>IF(COUNTIF(Tabla_imprenta[LOTE],Tabla_control[[#This Row],[LOTE]])=1,INDEX(Tabla_imprenta[INSTITUCIÓN],MATCH(Tabla_control[[#This Row],[LOTE]],Tabla_imprenta[LOTE],0)),"REALIZADO")</f>
        <v>REALIZADO</v>
      </c>
      <c r="F341" s="181" t="s">
        <v>3044</v>
      </c>
      <c r="G34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41" s="139" t="str">
        <f>IF(COUNTIF(Tabla_imprenta[LOTE],Tabla_control[[#This Row],[LOTE]])=1,INDEX(Tabla_imprenta[stock sap],MATCH(Tabla_control[[#This Row],[LOTE]],Tabla_imprenta[LOTE],0)),"ENTREGADO")</f>
        <v>ENTREGADO</v>
      </c>
      <c r="I341" s="139" t="str">
        <f>IF(Tabla_control[[#This Row],[STOCK SAP]]&gt;Tabla_control[[#This Row],[CANTIDAD IMPRIMIR]],"cubre","no cubre")</f>
        <v>no cubre</v>
      </c>
      <c r="J341" s="182" t="str">
        <f>IF(COUNTIF(Tabla_imprenta[LOTE],Tabla_control[[#This Row],[LOTE]])=1,INDEX(Tabla_imprenta[STOCK],MATCH(Tabla_control[[#This Row],[LOTE]],Tabla_imprenta[LOTE],0)),"ENTREGADO")</f>
        <v>ENTREGADO</v>
      </c>
      <c r="K34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41" s="148" t="e">
        <f>INDEX(Tabla_imprenta[FECHA CAJA],MATCH(Tabla_control[[#This Row],[LOTE]],Tabla_imprenta[LOTE],0))</f>
        <v>#N/A</v>
      </c>
      <c r="M34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4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4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41" s="170" t="e">
        <f>ROUNDUP(Tabla_control[[#This Row],[CANTIDAD IMPRIMIR]]/Tabla_control[[#This Row],[N TJ]],0)</f>
        <v>#VALUE!</v>
      </c>
      <c r="Q341" s="170" t="e">
        <f>IF(Tabla_control[[#This Row],[CANTIDAD TIRAJE]]&gt;10000,Tabla_control[[#This Row],[CANTIDAD TIRAJE]],Tabla_control[[#This Row],[CANTIDAD TIRAJE]]*2)</f>
        <v>#VALUE!</v>
      </c>
      <c r="R341" s="186" t="s">
        <v>172</v>
      </c>
      <c r="S341" s="4" t="s">
        <v>30</v>
      </c>
      <c r="T341" s="4"/>
      <c r="U341" s="4"/>
      <c r="V341" s="4"/>
      <c r="W341" s="185" t="s">
        <v>3223</v>
      </c>
      <c r="X341" s="185"/>
      <c r="Y341" s="185"/>
      <c r="Z341" s="185"/>
      <c r="AA341" s="186" t="s">
        <v>2031</v>
      </c>
      <c r="AB341" s="184" t="s">
        <v>2028</v>
      </c>
    </row>
    <row r="342" spans="1:28" hidden="1" x14ac:dyDescent="0.2">
      <c r="A342" s="175">
        <f>IF(COUNTIF(Tabla_imprenta[LOTE],Tabla_control[[#This Row],[LOTE]])=1,INDEX(Tabla_imprenta[FECHA EMISIÓN],MATCH(Tabla_control[[#This Row],[LOTE]],Tabla_imprenta[LOTE],0)),"REALIZADO")</f>
        <v>46113</v>
      </c>
      <c r="B342" s="142">
        <f>IF(COUNTIF(Tabla_imprenta[LOTE],Tabla_control[[#This Row],[LOTE]])=1,INDEX(Tabla_imprenta[CÓD. SOLICITUD],MATCH(Tabla_control[[#This Row],[LOTE]],Tabla_imprenta[LOTE],0)),"REALIZADO")</f>
        <v>0</v>
      </c>
      <c r="C342" s="178" t="str">
        <f>IF(COUNTIF(Tabla_imprenta[LOTE],Tabla_control[[#This Row],[LOTE]])=1,INDEX(Tabla_imprenta[PRODUCTO],MATCH(Tabla_control[[#This Row],[LOTE]],Tabla_imprenta[LOTE],0)),"REALIZADO")</f>
        <v>NISTATINA 100.000 UI X 15 G CREMA DERMICA</v>
      </c>
      <c r="D342" s="142" t="str">
        <f>IF(COUNTIF(Tabla_imprenta[LOTE],Tabla_control[[#This Row],[LOTE]])=1,INDEX(Tabla_imprenta[FORMA FARMACEUTICA],MATCH(Tabla_control[[#This Row],[LOTE]],Tabla_imprenta[LOTE],0)),"REALIZADO")</f>
        <v>CREMA DÉRMICA</v>
      </c>
      <c r="E342" s="177" t="str">
        <f>IF(COUNTIF(Tabla_imprenta[LOTE],Tabla_control[[#This Row],[LOTE]])=1,INDEX(Tabla_imprenta[INSTITUCIÓN],MATCH(Tabla_control[[#This Row],[LOTE]],Tabla_imprenta[LOTE],0)),"REALIZADO")</f>
        <v>COMERCIO</v>
      </c>
      <c r="F342" s="181" t="s">
        <v>3132</v>
      </c>
      <c r="G342" s="139">
        <f>IF(COUNTIF(Tabla_imprenta[LOTE],Tabla_control[[#This Row],[LOTE]])=1,INDEX(Tabla_imprenta[CANTIDAD ENVASE SECUNDARIO],MATCH(Tabla_control[[#This Row],[LOTE]],Tabla_imprenta[LOTE],0)),"ENTREGADO")</f>
        <v>17400</v>
      </c>
      <c r="H342" s="139">
        <f>IF(COUNTIF(Tabla_imprenta[LOTE],Tabla_control[[#This Row],[LOTE]])=1,INDEX(Tabla_imprenta[stock sap],MATCH(Tabla_control[[#This Row],[LOTE]],Tabla_imprenta[LOTE],0)),"ENTREGADO")</f>
        <v>1312</v>
      </c>
      <c r="I342" s="139" t="str">
        <f>IF(Tabla_control[[#This Row],[STOCK SAP]]&gt;Tabla_control[[#This Row],[CANTIDAD IMPRIMIR]],"cubre","no cubre")</f>
        <v>no cubre</v>
      </c>
      <c r="J342" s="182">
        <f>IF(COUNTIF(Tabla_imprenta[LOTE],Tabla_control[[#This Row],[LOTE]])=1,INDEX(Tabla_imprenta[STOCK],MATCH(Tabla_control[[#This Row],[LOTE]],Tabla_imprenta[LOTE],0)),"ENTREGADO")</f>
        <v>3.2389423076923078</v>
      </c>
      <c r="K34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42" s="148" t="str">
        <f>INDEX(Tabla_imprenta[FECHA CAJA],MATCH(Tabla_control[[#This Row],[LOTE]],Tabla_imprenta[LOTE],0))</f>
        <v>ENTREGADO</v>
      </c>
      <c r="M34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4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4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342" s="170">
        <f>ROUNDUP(Tabla_control[[#This Row],[CANTIDAD IMPRIMIR]]/Tabla_control[[#This Row],[N TJ]],0)</f>
        <v>4350</v>
      </c>
      <c r="Q342" s="170">
        <f>IF(Tabla_control[[#This Row],[CANTIDAD TIRAJE]]&gt;10000,Tabla_control[[#This Row],[CANTIDAD TIRAJE]],Tabla_control[[#This Row],[CANTIDAD TIRAJE]]*2)</f>
        <v>8700</v>
      </c>
      <c r="R342" s="186" t="s">
        <v>172</v>
      </c>
      <c r="S342" s="4" t="s">
        <v>31</v>
      </c>
      <c r="T342" s="4"/>
      <c r="U342" s="4"/>
      <c r="V342" s="4"/>
      <c r="W342" s="185" t="s">
        <v>3223</v>
      </c>
      <c r="X342" s="185"/>
      <c r="Y342" s="185"/>
      <c r="Z342" s="185"/>
      <c r="AA342" s="186" t="s">
        <v>2314</v>
      </c>
      <c r="AB342" s="184" t="s">
        <v>2028</v>
      </c>
    </row>
    <row r="343" spans="1:28" hidden="1" x14ac:dyDescent="0.2">
      <c r="A343" s="175">
        <f>IF(COUNTIF(Tabla_imprenta[LOTE],Tabla_control[[#This Row],[LOTE]])=1,INDEX(Tabla_imprenta[FECHA EMISIÓN],MATCH(Tabla_control[[#This Row],[LOTE]],Tabla_imprenta[LOTE],0)),"REALIZADO")</f>
        <v>46091</v>
      </c>
      <c r="B343" s="142">
        <f>IF(COUNTIF(Tabla_imprenta[LOTE],Tabla_control[[#This Row],[LOTE]])=1,INDEX(Tabla_imprenta[CÓD. SOLICITUD],MATCH(Tabla_control[[#This Row],[LOTE]],Tabla_imprenta[LOTE],0)),"REALIZADO")</f>
        <v>0</v>
      </c>
      <c r="C343" s="177" t="str">
        <f>IF(COUNTIF(Tabla_imprenta[LOTE],Tabla_control[[#This Row],[LOTE]])=1,INDEX(Tabla_imprenta[PRODUCTO],MATCH(Tabla_control[[#This Row],[LOTE]],Tabla_imprenta[LOTE],0)),"REALIZADO")</f>
        <v>LIDOCAINA 2% X 1 VIAL SOLUCION INY.</v>
      </c>
      <c r="D343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343" s="177" t="str">
        <f>IF(COUNTIF(Tabla_imprenta[LOTE],Tabla_control[[#This Row],[LOTE]])=1,INDEX(Tabla_imprenta[INSTITUCIÓN],MATCH(Tabla_control[[#This Row],[LOTE]],Tabla_imprenta[LOTE],0)),"REALIZADO")</f>
        <v>COMERCIO</v>
      </c>
      <c r="F343" s="180" t="s">
        <v>2947</v>
      </c>
      <c r="G343" s="139">
        <f>IF(COUNTIF(Tabla_imprenta[LOTE],Tabla_control[[#This Row],[LOTE]])=1,INDEX(Tabla_imprenta[CANTIDAD ENVASE SECUNDARIO],MATCH(Tabla_control[[#This Row],[LOTE]],Tabla_imprenta[LOTE],0)),"ENTREGADO")</f>
        <v>9200</v>
      </c>
      <c r="H343" s="139">
        <f>IF(COUNTIF(Tabla_imprenta[LOTE],Tabla_control[[#This Row],[LOTE]])=1,INDEX(Tabla_imprenta[stock sap],MATCH(Tabla_control[[#This Row],[LOTE]],Tabla_imprenta[LOTE],0)),"ENTREGADO")</f>
        <v>3260</v>
      </c>
      <c r="I343" s="139" t="str">
        <f>IF(Tabla_control[[#This Row],[STOCK SAP]]&gt;Tabla_control[[#This Row],[CANTIDAD IMPRIMIR]],"cubre","no cubre")</f>
        <v>no cubre</v>
      </c>
      <c r="J343" s="7">
        <f>IF(COUNTIF(Tabla_imprenta[LOTE],Tabla_control[[#This Row],[LOTE]])=1,INDEX(Tabla_imprenta[STOCK],MATCH(Tabla_control[[#This Row],[LOTE]],Tabla_imprenta[LOTE],0)),"ENTREGADO")</f>
        <v>1.002996974139363</v>
      </c>
      <c r="K34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46150</v>
      </c>
      <c r="L343" s="148" t="str">
        <f>INDEX(Tabla_imprenta[FECHA CAJA],MATCH(Tabla_control[[#This Row],[LOTE]],Tabla_imprenta[LOTE],0))</f>
        <v>ENTREGADO</v>
      </c>
      <c r="M34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4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34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22</v>
      </c>
      <c r="P343" s="170">
        <f>ROUNDUP(Tabla_control[[#This Row],[CANTIDAD IMPRIMIR]]/Tabla_control[[#This Row],[N TJ]],0)</f>
        <v>1534</v>
      </c>
      <c r="Q343" s="170">
        <f>IF(Tabla_control[[#This Row],[CANTIDAD TIRAJE]]&gt;10000,Tabla_control[[#This Row],[CANTIDAD TIRAJE]],Tabla_control[[#This Row],[CANTIDAD TIRAJE]]*2)</f>
        <v>3068</v>
      </c>
      <c r="R343" s="4" t="s">
        <v>172</v>
      </c>
      <c r="S343" s="4" t="s">
        <v>31</v>
      </c>
      <c r="T343" s="4"/>
      <c r="U343" s="4"/>
      <c r="V343" s="4"/>
      <c r="W343" s="185" t="s">
        <v>3223</v>
      </c>
      <c r="X343" s="185"/>
      <c r="Y343" s="185"/>
      <c r="Z343" s="185"/>
      <c r="AA343" s="4" t="s">
        <v>2429</v>
      </c>
      <c r="AB343" s="184" t="s">
        <v>2028</v>
      </c>
    </row>
    <row r="344" spans="1:28" hidden="1" x14ac:dyDescent="0.2">
      <c r="A344" s="175">
        <f>IF(COUNTIF(Tabla_imprenta[LOTE],Tabla_control[[#This Row],[LOTE]])=1,INDEX(Tabla_imprenta[FECHA EMISIÓN],MATCH(Tabla_control[[#This Row],[LOTE]],Tabla_imprenta[LOTE],0)),"REALIZADO")</f>
        <v>46113</v>
      </c>
      <c r="B344" s="142">
        <f>IF(COUNTIF(Tabla_imprenta[LOTE],Tabla_control[[#This Row],[LOTE]])=1,INDEX(Tabla_imprenta[CÓD. SOLICITUD],MATCH(Tabla_control[[#This Row],[LOTE]],Tabla_imprenta[LOTE],0)),"REALIZADO")</f>
        <v>0</v>
      </c>
      <c r="C344" s="177" t="str">
        <f>IF(COUNTIF(Tabla_imprenta[LOTE],Tabla_control[[#This Row],[LOTE]])=1,INDEX(Tabla_imprenta[PRODUCTO],MATCH(Tabla_control[[#This Row],[LOTE]],Tabla_imprenta[LOTE],0)),"REALIZADO")</f>
        <v>FLAMADIN PLUS FORTE X 10 COMP. RECUBIERTO</v>
      </c>
      <c r="D344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44" s="177" t="str">
        <f>IF(COUNTIF(Tabla_imprenta[LOTE],Tabla_control[[#This Row],[LOTE]])=1,INDEX(Tabla_imprenta[INSTITUCIÓN],MATCH(Tabla_control[[#This Row],[LOTE]],Tabla_imprenta[LOTE],0)),"REALIZADO")</f>
        <v>COMERCIO</v>
      </c>
      <c r="F344" s="181" t="s">
        <v>3064</v>
      </c>
      <c r="G344" s="139">
        <f>IF(COUNTIF(Tabla_imprenta[LOTE],Tabla_control[[#This Row],[LOTE]])=1,INDEX(Tabla_imprenta[CANTIDAD ENVASE SECUNDARIO],MATCH(Tabla_control[[#This Row],[LOTE]],Tabla_imprenta[LOTE],0)),"ENTREGADO")</f>
        <v>8000</v>
      </c>
      <c r="H344" s="139">
        <f>IF(COUNTIF(Tabla_imprenta[LOTE],Tabla_control[[#This Row],[LOTE]])=1,INDEX(Tabla_imprenta[stock sap],MATCH(Tabla_control[[#This Row],[LOTE]],Tabla_imprenta[LOTE],0)),"ENTREGADO")</f>
        <v>1033</v>
      </c>
      <c r="I344" s="139" t="str">
        <f>IF(Tabla_control[[#This Row],[STOCK SAP]]&gt;Tabla_control[[#This Row],[CANTIDAD IMPRIMIR]],"cubre","no cubre")</f>
        <v>no cubre</v>
      </c>
      <c r="J344" s="182">
        <f>IF(COUNTIF(Tabla_imprenta[LOTE],Tabla_control[[#This Row],[LOTE]])=1,INDEX(Tabla_imprenta[STOCK],MATCH(Tabla_control[[#This Row],[LOTE]],Tabla_imprenta[LOTE],0)),"ENTREGADO")</f>
        <v>2.5137909363871235E-2</v>
      </c>
      <c r="K34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44" s="148" t="str">
        <f>INDEX(Tabla_imprenta[FECHA CAJA],MATCH(Tabla_control[[#This Row],[LOTE]],Tabla_imprenta[LOTE],0))</f>
        <v>ENTREGADO</v>
      </c>
      <c r="M34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4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34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344" s="170">
        <f>ROUNDUP(Tabla_control[[#This Row],[CANTIDAD IMPRIMIR]]/Tabla_control[[#This Row],[N TJ]],0)</f>
        <v>2667</v>
      </c>
      <c r="Q344" s="170">
        <f>IF(Tabla_control[[#This Row],[CANTIDAD TIRAJE]]&gt;10000,Tabla_control[[#This Row],[CANTIDAD TIRAJE]],Tabla_control[[#This Row],[CANTIDAD TIRAJE]]*2)</f>
        <v>5334</v>
      </c>
      <c r="R344" s="186" t="s">
        <v>173</v>
      </c>
      <c r="S344" s="4" t="s">
        <v>174</v>
      </c>
      <c r="T344" s="4"/>
      <c r="U344" s="4"/>
      <c r="V344" s="4"/>
      <c r="W344" s="185" t="s">
        <v>3233</v>
      </c>
      <c r="X344" s="185"/>
      <c r="Y344" s="185"/>
      <c r="Z344" s="185"/>
      <c r="AA344" s="186" t="s">
        <v>171</v>
      </c>
      <c r="AB344" s="184" t="s">
        <v>2028</v>
      </c>
    </row>
    <row r="345" spans="1:28" hidden="1" x14ac:dyDescent="0.2">
      <c r="A345" s="175">
        <f>IF(COUNTIF(Tabla_imprenta[LOTE],Tabla_control[[#This Row],[LOTE]])=1,INDEX(Tabla_imprenta[FECHA EMISIÓN],MATCH(Tabla_control[[#This Row],[LOTE]],Tabla_imprenta[LOTE],0)),"REALIZADO")</f>
        <v>46091</v>
      </c>
      <c r="B345" s="142">
        <f>IF(COUNTIF(Tabla_imprenta[LOTE],Tabla_control[[#This Row],[LOTE]])=1,INDEX(Tabla_imprenta[CÓD. SOLICITUD],MATCH(Tabla_control[[#This Row],[LOTE]],Tabla_imprenta[LOTE],0)),"REALIZADO")</f>
        <v>0</v>
      </c>
      <c r="C345" s="177" t="str">
        <f>IF(COUNTIF(Tabla_imprenta[LOTE],Tabla_control[[#This Row],[LOTE]])=1,INDEX(Tabla_imprenta[PRODUCTO],MATCH(Tabla_control[[#This Row],[LOTE]],Tabla_imprenta[LOTE],0)),"REALIZADO")</f>
        <v>LIDOCAINA 2% X 1 VIAL SOLUCION INY.</v>
      </c>
      <c r="D345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345" s="177" t="str">
        <f>IF(COUNTIF(Tabla_imprenta[LOTE],Tabla_control[[#This Row],[LOTE]])=1,INDEX(Tabla_imprenta[INSTITUCIÓN],MATCH(Tabla_control[[#This Row],[LOTE]],Tabla_imprenta[LOTE],0)),"REALIZADO")</f>
        <v>COMERCIO</v>
      </c>
      <c r="F345" s="180" t="s">
        <v>2942</v>
      </c>
      <c r="G345" s="139">
        <f>IF(COUNTIF(Tabla_imprenta[LOTE],Tabla_control[[#This Row],[LOTE]])=1,INDEX(Tabla_imprenta[CANTIDAD ENVASE SECUNDARIO],MATCH(Tabla_control[[#This Row],[LOTE]],Tabla_imprenta[LOTE],0)),"ENTREGADO")</f>
        <v>9200</v>
      </c>
      <c r="H345" s="139">
        <f>IF(COUNTIF(Tabla_imprenta[LOTE],Tabla_control[[#This Row],[LOTE]])=1,INDEX(Tabla_imprenta[stock sap],MATCH(Tabla_control[[#This Row],[LOTE]],Tabla_imprenta[LOTE],0)),"ENTREGADO")</f>
        <v>3260</v>
      </c>
      <c r="I345" s="139" t="str">
        <f>IF(Tabla_control[[#This Row],[STOCK SAP]]&gt;Tabla_control[[#This Row],[CANTIDAD IMPRIMIR]],"cubre","no cubre")</f>
        <v>no cubre</v>
      </c>
      <c r="J345" s="7">
        <f>IF(COUNTIF(Tabla_imprenta[LOTE],Tabla_control[[#This Row],[LOTE]])=1,INDEX(Tabla_imprenta[STOCK],MATCH(Tabla_control[[#This Row],[LOTE]],Tabla_imprenta[LOTE],0)),"ENTREGADO")</f>
        <v>1.002996974139363</v>
      </c>
      <c r="K34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46150</v>
      </c>
      <c r="L345" s="148" t="str">
        <f>INDEX(Tabla_imprenta[FECHA CAJA],MATCH(Tabla_control[[#This Row],[LOTE]],Tabla_imprenta[LOTE],0))</f>
        <v>ENTREGADO</v>
      </c>
      <c r="M34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4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34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22</v>
      </c>
      <c r="P345" s="170">
        <f>ROUNDUP(Tabla_control[[#This Row],[CANTIDAD IMPRIMIR]]/Tabla_control[[#This Row],[N TJ]],0)</f>
        <v>1534</v>
      </c>
      <c r="Q345" s="170">
        <f>IF(Tabla_control[[#This Row],[CANTIDAD TIRAJE]]&gt;10000,Tabla_control[[#This Row],[CANTIDAD TIRAJE]],Tabla_control[[#This Row],[CANTIDAD TIRAJE]]*2)</f>
        <v>3068</v>
      </c>
      <c r="R345" s="4" t="s">
        <v>172</v>
      </c>
      <c r="S345" s="4" t="s">
        <v>31</v>
      </c>
      <c r="T345" s="4"/>
      <c r="U345" s="4"/>
      <c r="V345" s="4"/>
      <c r="W345" s="185" t="s">
        <v>3223</v>
      </c>
      <c r="X345" s="185"/>
      <c r="Y345" s="185"/>
      <c r="Z345" s="185"/>
      <c r="AA345" s="4" t="s">
        <v>2429</v>
      </c>
      <c r="AB345" s="184" t="s">
        <v>2028</v>
      </c>
    </row>
    <row r="346" spans="1:28" s="1" customFormat="1" hidden="1" x14ac:dyDescent="0.2">
      <c r="A346" s="141">
        <f>IF(COUNTIF(Tabla_imprenta[LOTE],Tabla_control[[#This Row],[LOTE]])=1,INDEX(Tabla_imprenta[FECHA EMISIÓN],MATCH(Tabla_control[[#This Row],[LOTE]],Tabla_imprenta[LOTE],0)),"REALIZADO")</f>
        <v>46083</v>
      </c>
      <c r="B346" s="142">
        <f>IF(COUNTIF(Tabla_imprenta[LOTE],Tabla_control[[#This Row],[LOTE]])=1,INDEX(Tabla_imprenta[CÓD. SOLICITUD],MATCH(Tabla_control[[#This Row],[LOTE]],Tabla_imprenta[LOTE],0)),"REALIZADO")</f>
        <v>0</v>
      </c>
      <c r="C346" s="142" t="str">
        <f>IF(COUNTIF(Tabla_imprenta[LOTE],Tabla_control[[#This Row],[LOTE]])=1,INDEX(Tabla_imprenta[PRODUCTO],MATCH(Tabla_control[[#This Row],[LOTE]],Tabla_imprenta[LOTE],0)),"REALIZADO")</f>
        <v>METRONIDAZOL 500 MG X 100 COMP.</v>
      </c>
      <c r="D346" s="142" t="str">
        <f>IF(COUNTIF(Tabla_imprenta[LOTE],Tabla_control[[#This Row],[LOTE]])=1,INDEX(Tabla_imprenta[FORMA FARMACEUTICA],MATCH(Tabla_control[[#This Row],[LOTE]],Tabla_imprenta[LOTE],0)),"REALIZADO")</f>
        <v>COMPRIMIDO</v>
      </c>
      <c r="E346" s="142" t="str">
        <f>IF(COUNTIF(Tabla_imprenta[LOTE],Tabla_control[[#This Row],[LOTE]])=1,INDEX(Tabla_imprenta[INSTITUCIÓN],MATCH(Tabla_control[[#This Row],[LOTE]],Tabla_imprenta[LOTE],0)),"REALIZADO")</f>
        <v>COMERCIO</v>
      </c>
      <c r="F346" s="6" t="s">
        <v>2564</v>
      </c>
      <c r="G346" s="140">
        <f>IF(COUNTIF(Tabla_imprenta[LOTE],Tabla_control[[#This Row],[LOTE]])=1,INDEX(Tabla_imprenta[CANTIDAD ENVASE SECUNDARIO],MATCH(Tabla_control[[#This Row],[LOTE]],Tabla_imprenta[LOTE],0)),"ENTREGADO")</f>
        <v>4500</v>
      </c>
      <c r="H346" s="140">
        <f>IF(COUNTIF(Tabla_imprenta[LOTE],Tabla_control[[#This Row],[LOTE]])=1,INDEX(Tabla_imprenta[stock sap],MATCH(Tabla_control[[#This Row],[LOTE]],Tabla_imprenta[LOTE],0)),"ENTREGADO")</f>
        <v>219</v>
      </c>
      <c r="I346" s="140" t="str">
        <f>IF(Tabla_control[[#This Row],[STOCK SAP]]&gt;Tabla_control[[#This Row],[CANTIDAD IMPRIMIR]],"cubre","no cubre")</f>
        <v>no cubre</v>
      </c>
      <c r="J346" s="136">
        <f>IF(COUNTIF(Tabla_imprenta[LOTE],Tabla_control[[#This Row],[LOTE]])=1,INDEX(Tabla_imprenta[STOCK],MATCH(Tabla_control[[#This Row],[LOTE]],Tabla_imprenta[LOTE],0)),"ENTREGADO")</f>
        <v>1.4473638566094806</v>
      </c>
      <c r="K346" s="148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46156</v>
      </c>
      <c r="L346" s="148" t="str">
        <f>INDEX(Tabla_imprenta[FECHA CAJA],MATCH(Tabla_control[[#This Row],[LOTE]],Tabla_imprenta[LOTE],0))</f>
        <v>ENTREGADO</v>
      </c>
      <c r="M346" s="164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4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4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346" s="169">
        <f>ROUNDUP(Tabla_control[[#This Row],[CANTIDAD IMPRIMIR]]/Tabla_control[[#This Row],[N TJ]],0)</f>
        <v>2250</v>
      </c>
      <c r="Q346" s="169">
        <f>IF(Tabla_control[[#This Row],[CANTIDAD TIRAJE]]&gt;10000,Tabla_control[[#This Row],[CANTIDAD TIRAJE]],Tabla_control[[#This Row],[CANTIDAD TIRAJE]]*2)</f>
        <v>4500</v>
      </c>
      <c r="R346" s="137" t="s">
        <v>172</v>
      </c>
      <c r="S346" s="137" t="s">
        <v>30</v>
      </c>
      <c r="T346" s="137"/>
      <c r="U346" s="137"/>
      <c r="V346" s="137"/>
      <c r="W346" s="113" t="s">
        <v>3223</v>
      </c>
      <c r="X346" s="113"/>
      <c r="Y346" s="113"/>
      <c r="Z346" s="113"/>
      <c r="AA346" s="137" t="s">
        <v>2031</v>
      </c>
      <c r="AB346" s="143" t="s">
        <v>2028</v>
      </c>
    </row>
    <row r="347" spans="1:28" hidden="1" x14ac:dyDescent="0.2">
      <c r="A347" s="175">
        <f>IF(COUNTIF(Tabla_imprenta[LOTE],Tabla_control[[#This Row],[LOTE]])=1,INDEX(Tabla_imprenta[FECHA EMISIÓN],MATCH(Tabla_control[[#This Row],[LOTE]],Tabla_imprenta[LOTE],0)),"REALIZADO")</f>
        <v>46113</v>
      </c>
      <c r="B347" s="142">
        <f>IF(COUNTIF(Tabla_imprenta[LOTE],Tabla_control[[#This Row],[LOTE]])=1,INDEX(Tabla_imprenta[CÓD. SOLICITUD],MATCH(Tabla_control[[#This Row],[LOTE]],Tabla_imprenta[LOTE],0)),"REALIZADO")</f>
        <v>0</v>
      </c>
      <c r="C347" s="177" t="str">
        <f>IF(COUNTIF(Tabla_imprenta[LOTE],Tabla_control[[#This Row],[LOTE]])=1,INDEX(Tabla_imprenta[PRODUCTO],MATCH(Tabla_control[[#This Row],[LOTE]],Tabla_imprenta[LOTE],0)),"REALIZADO")</f>
        <v>RELEVOX 20 MG X 30 CAP. DURAS</v>
      </c>
      <c r="D347" s="142" t="str">
        <f>IF(COUNTIF(Tabla_imprenta[LOTE],Tabla_control[[#This Row],[LOTE]])=1,INDEX(Tabla_imprenta[FORMA FARMACEUTICA],MATCH(Tabla_control[[#This Row],[LOTE]],Tabla_imprenta[LOTE],0)),"REALIZADO")</f>
        <v>CÁPSULA DE LIBERACION RETARDADA</v>
      </c>
      <c r="E347" s="177" t="str">
        <f>IF(COUNTIF(Tabla_imprenta[LOTE],Tabla_control[[#This Row],[LOTE]])=1,INDEX(Tabla_imprenta[INSTITUCIÓN],MATCH(Tabla_control[[#This Row],[LOTE]],Tabla_imprenta[LOTE],0)),"REALIZADO")</f>
        <v>COMERCIO</v>
      </c>
      <c r="F347" s="181" t="s">
        <v>3059</v>
      </c>
      <c r="G347" s="139">
        <f>IF(COUNTIF(Tabla_imprenta[LOTE],Tabla_control[[#This Row],[LOTE]])=1,INDEX(Tabla_imprenta[CANTIDAD ENVASE SECUNDARIO],MATCH(Tabla_control[[#This Row],[LOTE]],Tabla_imprenta[LOTE],0)),"ENTREGADO")</f>
        <v>833.33333333333348</v>
      </c>
      <c r="H347" s="139">
        <f>IF(COUNTIF(Tabla_imprenta[LOTE],Tabla_control[[#This Row],[LOTE]])=1,INDEX(Tabla_imprenta[stock sap],MATCH(Tabla_control[[#This Row],[LOTE]],Tabla_imprenta[LOTE],0)),"ENTREGADO")</f>
        <v>900</v>
      </c>
      <c r="I347" s="139" t="str">
        <f>IF(Tabla_control[[#This Row],[STOCK SAP]]&gt;Tabla_control[[#This Row],[CANTIDAD IMPRIMIR]],"cubre","no cubre")</f>
        <v>cubre</v>
      </c>
      <c r="J347" s="182">
        <f>IF(COUNTIF(Tabla_imprenta[LOTE],Tabla_control[[#This Row],[LOTE]])=1,INDEX(Tabla_imprenta[STOCK],MATCH(Tabla_control[[#This Row],[LOTE]],Tabla_imprenta[LOTE],0)),"ENTREGADO")</f>
        <v>2.3319838056680164</v>
      </c>
      <c r="K34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347" s="148" t="str">
        <f>INDEX(Tabla_imprenta[FECHA CAJA],MATCH(Tabla_control[[#This Row],[LOTE]],Tabla_imprenta[LOTE],0))</f>
        <v>ENTREGADO</v>
      </c>
      <c r="M34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4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4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91</v>
      </c>
      <c r="P347" s="169">
        <f>ROUNDUP(Tabla_control[[#This Row],[CANTIDAD IMPRIMIR]]/Tabla_control[[#This Row],[N TJ]],0)</f>
        <v>417</v>
      </c>
      <c r="Q347" s="169">
        <f>IF(Tabla_control[[#This Row],[CANTIDAD TIRAJE]]&gt;10000,Tabla_control[[#This Row],[CANTIDAD TIRAJE]],Tabla_control[[#This Row],[CANTIDAD TIRAJE]]*2)</f>
        <v>834</v>
      </c>
      <c r="R347" s="186" t="s">
        <v>173</v>
      </c>
      <c r="S347" s="4" t="s">
        <v>174</v>
      </c>
      <c r="T347" s="4"/>
      <c r="U347" s="4"/>
      <c r="V347" s="4"/>
      <c r="W347" s="187" t="s">
        <v>3223</v>
      </c>
      <c r="X347" s="187"/>
      <c r="Y347" s="187"/>
      <c r="Z347" s="187"/>
      <c r="AA347" s="186" t="s">
        <v>321</v>
      </c>
      <c r="AB347" s="184" t="s">
        <v>2028</v>
      </c>
    </row>
    <row r="348" spans="1:28" hidden="1" x14ac:dyDescent="0.2">
      <c r="A348" s="175">
        <f>IF(COUNTIF(Tabla_imprenta[LOTE],Tabla_control[[#This Row],[LOTE]])=1,INDEX(Tabla_imprenta[FECHA EMISIÓN],MATCH(Tabla_control[[#This Row],[LOTE]],Tabla_imprenta[LOTE],0)),"REALIZADO")</f>
        <v>46091</v>
      </c>
      <c r="B348" s="142">
        <f>IF(COUNTIF(Tabla_imprenta[LOTE],Tabla_control[[#This Row],[LOTE]])=1,INDEX(Tabla_imprenta[CÓD. SOLICITUD],MATCH(Tabla_control[[#This Row],[LOTE]],Tabla_imprenta[LOTE],0)),"REALIZADO")</f>
        <v>0</v>
      </c>
      <c r="C348" s="177" t="str">
        <f>IF(COUNTIF(Tabla_imprenta[LOTE],Tabla_control[[#This Row],[LOTE]])=1,INDEX(Tabla_imprenta[PRODUCTO],MATCH(Tabla_control[[#This Row],[LOTE]],Tabla_imprenta[LOTE],0)),"REALIZADO")</f>
        <v>LIDOCAINA 2% X 1 VIAL SOLUCION INY.</v>
      </c>
      <c r="D348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348" s="177" t="str">
        <f>IF(COUNTIF(Tabla_imprenta[LOTE],Tabla_control[[#This Row],[LOTE]])=1,INDEX(Tabla_imprenta[INSTITUCIÓN],MATCH(Tabla_control[[#This Row],[LOTE]],Tabla_imprenta[LOTE],0)),"REALIZADO")</f>
        <v>COMERCIO</v>
      </c>
      <c r="F348" s="180" t="s">
        <v>2956</v>
      </c>
      <c r="G348" s="139">
        <f>IF(COUNTIF(Tabla_imprenta[LOTE],Tabla_control[[#This Row],[LOTE]])=1,INDEX(Tabla_imprenta[CANTIDAD ENVASE SECUNDARIO],MATCH(Tabla_control[[#This Row],[LOTE]],Tabla_imprenta[LOTE],0)),"ENTREGADO")</f>
        <v>9200</v>
      </c>
      <c r="H348" s="139">
        <f>IF(COUNTIF(Tabla_imprenta[LOTE],Tabla_control[[#This Row],[LOTE]])=1,INDEX(Tabla_imprenta[stock sap],MATCH(Tabla_control[[#This Row],[LOTE]],Tabla_imprenta[LOTE],0)),"ENTREGADO")</f>
        <v>3260</v>
      </c>
      <c r="I348" s="139" t="str">
        <f>IF(Tabla_control[[#This Row],[STOCK SAP]]&gt;Tabla_control[[#This Row],[CANTIDAD IMPRIMIR]],"cubre","no cubre")</f>
        <v>no cubre</v>
      </c>
      <c r="J348" s="7">
        <f>IF(COUNTIF(Tabla_imprenta[LOTE],Tabla_control[[#This Row],[LOTE]])=1,INDEX(Tabla_imprenta[STOCK],MATCH(Tabla_control[[#This Row],[LOTE]],Tabla_imprenta[LOTE],0)),"ENTREGADO")</f>
        <v>1.002996974139363</v>
      </c>
      <c r="K34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46150</v>
      </c>
      <c r="L348" s="148" t="str">
        <f>INDEX(Tabla_imprenta[FECHA CAJA],MATCH(Tabla_control[[#This Row],[LOTE]],Tabla_imprenta[LOTE],0))</f>
        <v>ENTREGADO</v>
      </c>
      <c r="M34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4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34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22</v>
      </c>
      <c r="P348" s="170">
        <f>ROUNDUP(Tabla_control[[#This Row],[CANTIDAD IMPRIMIR]]/Tabla_control[[#This Row],[N TJ]],0)</f>
        <v>1534</v>
      </c>
      <c r="Q348" s="170">
        <f>IF(Tabla_control[[#This Row],[CANTIDAD TIRAJE]]&gt;10000,Tabla_control[[#This Row],[CANTIDAD TIRAJE]],Tabla_control[[#This Row],[CANTIDAD TIRAJE]]*2)</f>
        <v>3068</v>
      </c>
      <c r="R348" s="4" t="s">
        <v>172</v>
      </c>
      <c r="S348" s="4" t="s">
        <v>31</v>
      </c>
      <c r="T348" s="4"/>
      <c r="U348" s="4"/>
      <c r="V348" s="4"/>
      <c r="W348" s="185" t="s">
        <v>3223</v>
      </c>
      <c r="X348" s="185"/>
      <c r="Y348" s="185"/>
      <c r="Z348" s="185"/>
      <c r="AA348" s="4" t="s">
        <v>2429</v>
      </c>
      <c r="AB348" s="184" t="s">
        <v>2028</v>
      </c>
    </row>
    <row r="349" spans="1:28" s="1" customFormat="1" hidden="1" x14ac:dyDescent="0.2">
      <c r="A349" s="141">
        <f>IF(COUNTIF(Tabla_imprenta[LOTE],Tabla_control[[#This Row],[LOTE]])=1,INDEX(Tabla_imprenta[FECHA EMISIÓN],MATCH(Tabla_control[[#This Row],[LOTE]],Tabla_imprenta[LOTE],0)),"REALIZADO")</f>
        <v>46083</v>
      </c>
      <c r="B349" s="142">
        <f>IF(COUNTIF(Tabla_imprenta[LOTE],Tabla_control[[#This Row],[LOTE]])=1,INDEX(Tabla_imprenta[CÓD. SOLICITUD],MATCH(Tabla_control[[#This Row],[LOTE]],Tabla_imprenta[LOTE],0)),"REALIZADO")</f>
        <v>0</v>
      </c>
      <c r="C349" s="142" t="str">
        <f>IF(COUNTIF(Tabla_imprenta[LOTE],Tabla_control[[#This Row],[LOTE]])=1,INDEX(Tabla_imprenta[PRODUCTO],MATCH(Tabla_control[[#This Row],[LOTE]],Tabla_imprenta[LOTE],0)),"REALIZADO")</f>
        <v>CLORFENAMINA 4 MG X 100 COMP.</v>
      </c>
      <c r="D349" s="142" t="str">
        <f>IF(COUNTIF(Tabla_imprenta[LOTE],Tabla_control[[#This Row],[LOTE]])=1,INDEX(Tabla_imprenta[FORMA FARMACEUTICA],MATCH(Tabla_control[[#This Row],[LOTE]],Tabla_imprenta[LOTE],0)),"REALIZADO")</f>
        <v>COMPRIMIDO</v>
      </c>
      <c r="E349" s="142" t="str">
        <f>IF(COUNTIF(Tabla_imprenta[LOTE],Tabla_control[[#This Row],[LOTE]])=1,INDEX(Tabla_imprenta[INSTITUCIÓN],MATCH(Tabla_control[[#This Row],[LOTE]],Tabla_imprenta[LOTE],0)),"REALIZADO")</f>
        <v>COMERCIO</v>
      </c>
      <c r="F349" s="6" t="s">
        <v>2573</v>
      </c>
      <c r="G349" s="140">
        <f>IF(COUNTIF(Tabla_imprenta[LOTE],Tabla_control[[#This Row],[LOTE]])=1,INDEX(Tabla_imprenta[CANTIDAD ENVASE SECUNDARIO],MATCH(Tabla_control[[#This Row],[LOTE]],Tabla_imprenta[LOTE],0)),"ENTREGADO")</f>
        <v>5000</v>
      </c>
      <c r="H349" s="140">
        <f>IF(COUNTIF(Tabla_imprenta[LOTE],Tabla_control[[#This Row],[LOTE]])=1,INDEX(Tabla_imprenta[stock sap],MATCH(Tabla_control[[#This Row],[LOTE]],Tabla_imprenta[LOTE],0)),"ENTREGADO")</f>
        <v>115</v>
      </c>
      <c r="I349" s="140" t="str">
        <f>IF(Tabla_control[[#This Row],[STOCK SAP]]&gt;Tabla_control[[#This Row],[CANTIDAD IMPRIMIR]],"cubre","no cubre")</f>
        <v>no cubre</v>
      </c>
      <c r="J349" s="136">
        <f>IF(COUNTIF(Tabla_imprenta[LOTE],Tabla_control[[#This Row],[LOTE]])=1,INDEX(Tabla_imprenta[STOCK],MATCH(Tabla_control[[#This Row],[LOTE]],Tabla_imprenta[LOTE],0)),"ENTREGADO")</f>
        <v>1.3403049383043248</v>
      </c>
      <c r="K349" s="148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49" s="148" t="str">
        <f>INDEX(Tabla_imprenta[FECHA CAJA],MATCH(Tabla_control[[#This Row],[LOTE]],Tabla_imprenta[LOTE],0))</f>
        <v>ENTREGADO</v>
      </c>
      <c r="M349" s="164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4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4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92</v>
      </c>
      <c r="P349" s="169">
        <f>ROUNDUP(Tabla_control[[#This Row],[CANTIDAD IMPRIMIR]]/Tabla_control[[#This Row],[N TJ]],0)</f>
        <v>1250</v>
      </c>
      <c r="Q349" s="169">
        <f>IF(Tabla_control[[#This Row],[CANTIDAD TIRAJE]]&gt;10000,Tabla_control[[#This Row],[CANTIDAD TIRAJE]],Tabla_control[[#This Row],[CANTIDAD TIRAJE]]*2)</f>
        <v>2500</v>
      </c>
      <c r="R349" s="137" t="s">
        <v>172</v>
      </c>
      <c r="S349" s="137" t="s">
        <v>31</v>
      </c>
      <c r="T349" s="137"/>
      <c r="U349" s="137"/>
      <c r="V349" s="137"/>
      <c r="W349" s="134" t="s">
        <v>3223</v>
      </c>
      <c r="X349" s="134"/>
      <c r="Y349" s="134"/>
      <c r="Z349" s="134"/>
      <c r="AA349" s="137" t="s">
        <v>321</v>
      </c>
      <c r="AB349" s="143" t="s">
        <v>2958</v>
      </c>
    </row>
    <row r="350" spans="1:28" hidden="1" x14ac:dyDescent="0.2">
      <c r="A350" s="175">
        <f>IF(COUNTIF(Tabla_imprenta[LOTE],Tabla_control[[#This Row],[LOTE]])=1,INDEX(Tabla_imprenta[FECHA EMISIÓN],MATCH(Tabla_control[[#This Row],[LOTE]],Tabla_imprenta[LOTE],0)),"REALIZADO")</f>
        <v>46064</v>
      </c>
      <c r="B350" s="142">
        <f>IF(COUNTIF(Tabla_imprenta[LOTE],Tabla_control[[#This Row],[LOTE]])=1,INDEX(Tabla_imprenta[CÓD. SOLICITUD],MATCH(Tabla_control[[#This Row],[LOTE]],Tabla_imprenta[LOTE],0)),"REALIZADO")</f>
        <v>0</v>
      </c>
      <c r="C350" s="177" t="str">
        <f>IF(COUNTIF(Tabla_imprenta[LOTE],Tabla_control[[#This Row],[LOTE]])=1,INDEX(Tabla_imprenta[PRODUCTO],MATCH(Tabla_control[[#This Row],[LOTE]],Tabla_imprenta[LOTE],0)),"REALIZADO")</f>
        <v>TERRACOLIN 200 MG X 100 COMP. RECUBIERTO</v>
      </c>
      <c r="D350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50" s="177" t="str">
        <f>IF(COUNTIF(Tabla_imprenta[LOTE],Tabla_control[[#This Row],[LOTE]])=1,INDEX(Tabla_imprenta[INSTITUCIÓN],MATCH(Tabla_control[[#This Row],[LOTE]],Tabla_imprenta[LOTE],0)),"REALIZADO")</f>
        <v>COMERCIO</v>
      </c>
      <c r="F350" s="180" t="s">
        <v>2441</v>
      </c>
      <c r="G350" s="139">
        <f>IF(COUNTIF(Tabla_imprenta[LOTE],Tabla_control[[#This Row],[LOTE]])=1,INDEX(Tabla_imprenta[CANTIDAD ENVASE SECUNDARIO],MATCH(Tabla_control[[#This Row],[LOTE]],Tabla_imprenta[LOTE],0)),"ENTREGADO")</f>
        <v>4000</v>
      </c>
      <c r="H350" s="139">
        <f>IF(COUNTIF(Tabla_imprenta[LOTE],Tabla_control[[#This Row],[LOTE]])=1,INDEX(Tabla_imprenta[stock sap],MATCH(Tabla_control[[#This Row],[LOTE]],Tabla_imprenta[LOTE],0)),"ENTREGADO")</f>
        <v>11857</v>
      </c>
      <c r="I350" s="139" t="str">
        <f>IF(Tabla_control[[#This Row],[STOCK SAP]]&gt;Tabla_control[[#This Row],[CANTIDAD IMPRIMIR]],"cubre","no cubre")</f>
        <v>cubre</v>
      </c>
      <c r="J350" s="7">
        <f>IF(COUNTIF(Tabla_imprenta[LOTE],Tabla_control[[#This Row],[LOTE]])=1,INDEX(Tabla_imprenta[STOCK],MATCH(Tabla_control[[#This Row],[LOTE]],Tabla_imprenta[LOTE],0)),"ENTREGADO")</f>
        <v>1.2556930107950517</v>
      </c>
      <c r="K35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50" s="148" t="str">
        <f>INDEX(Tabla_imprenta[FECHA CAJA],MATCH(Tabla_control[[#This Row],[LOTE]],Tabla_imprenta[LOTE],0))</f>
        <v>ENTREGADO</v>
      </c>
      <c r="M35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5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5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88</v>
      </c>
      <c r="P350" s="169">
        <f>ROUNDUP(Tabla_control[[#This Row],[CANTIDAD IMPRIMIR]]/Tabla_control[[#This Row],[N TJ]],0)</f>
        <v>2000</v>
      </c>
      <c r="Q350" s="169">
        <f>IF(Tabla_control[[#This Row],[CANTIDAD TIRAJE]]&gt;10000,Tabla_control[[#This Row],[CANTIDAD TIRAJE]],Tabla_control[[#This Row],[CANTIDAD TIRAJE]]*2)</f>
        <v>4000</v>
      </c>
      <c r="R350" s="4" t="s">
        <v>173</v>
      </c>
      <c r="S350" s="4" t="s">
        <v>174</v>
      </c>
      <c r="T350" s="4"/>
      <c r="U350" s="4"/>
      <c r="V350" s="4"/>
      <c r="W350" s="138" t="s">
        <v>3223</v>
      </c>
      <c r="X350" s="138"/>
      <c r="Y350" s="138"/>
      <c r="Z350" s="138"/>
      <c r="AA350" s="4" t="s">
        <v>321</v>
      </c>
      <c r="AB350" s="184" t="s">
        <v>2028</v>
      </c>
    </row>
    <row r="351" spans="1:28" hidden="1" x14ac:dyDescent="0.2">
      <c r="A351" s="175">
        <f>IF(COUNTIF(Tabla_imprenta[LOTE],Tabla_control[[#This Row],[LOTE]])=1,INDEX(Tabla_imprenta[FECHA EMISIÓN],MATCH(Tabla_control[[#This Row],[LOTE]],Tabla_imprenta[LOTE],0)),"REALIZADO")</f>
        <v>46113</v>
      </c>
      <c r="B351" s="142">
        <f>IF(COUNTIF(Tabla_imprenta[LOTE],Tabla_control[[#This Row],[LOTE]])=1,INDEX(Tabla_imprenta[CÓD. SOLICITUD],MATCH(Tabla_control[[#This Row],[LOTE]],Tabla_imprenta[LOTE],0)),"REALIZADO")</f>
        <v>0</v>
      </c>
      <c r="C351" s="177" t="str">
        <f>IF(COUNTIF(Tabla_imprenta[LOTE],Tabla_control[[#This Row],[LOTE]])=1,INDEX(Tabla_imprenta[PRODUCTO],MATCH(Tabla_control[[#This Row],[LOTE]],Tabla_imprenta[LOTE],0)),"REALIZADO")</f>
        <v>PENTAFORTE 6.000 X 30 ML POLVO INY. VETERINARIO + DILUYENTE</v>
      </c>
      <c r="D351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351" s="177" t="str">
        <f>IF(COUNTIF(Tabla_imprenta[LOTE],Tabla_control[[#This Row],[LOTE]])=1,INDEX(Tabla_imprenta[INSTITUCIÓN],MATCH(Tabla_control[[#This Row],[LOTE]],Tabla_imprenta[LOTE],0)),"REALIZADO")</f>
        <v>COMERCIO</v>
      </c>
      <c r="F351" s="181" t="s">
        <v>3130</v>
      </c>
      <c r="G351" s="139">
        <f>IF(COUNTIF(Tabla_imprenta[LOTE],Tabla_control[[#This Row],[LOTE]])=1,INDEX(Tabla_imprenta[CANTIDAD ENVASE SECUNDARIO],MATCH(Tabla_control[[#This Row],[LOTE]],Tabla_imprenta[LOTE],0)),"ENTREGADO")</f>
        <v>4000</v>
      </c>
      <c r="H351" s="139">
        <f>IF(COUNTIF(Tabla_imprenta[LOTE],Tabla_control[[#This Row],[LOTE]])=1,INDEX(Tabla_imprenta[stock sap],MATCH(Tabla_control[[#This Row],[LOTE]],Tabla_imprenta[LOTE],0)),"ENTREGADO")</f>
        <v>9464</v>
      </c>
      <c r="I351" s="139" t="str">
        <f>IF(Tabla_control[[#This Row],[STOCK SAP]]&gt;Tabla_control[[#This Row],[CANTIDAD IMPRIMIR]],"cubre","no cubre")</f>
        <v>cubre</v>
      </c>
      <c r="J351" s="182">
        <f>IF(COUNTIF(Tabla_imprenta[LOTE],Tabla_control[[#This Row],[LOTE]])=1,INDEX(Tabla_imprenta[STOCK],MATCH(Tabla_control[[#This Row],[LOTE]],Tabla_imprenta[LOTE],0)),"ENTREGADO")</f>
        <v>2.2384170264135097</v>
      </c>
      <c r="K35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51" s="148" t="str">
        <f>INDEX(Tabla_imprenta[FECHA CAJA],MATCH(Tabla_control[[#This Row],[LOTE]],Tabla_imprenta[LOTE],0))</f>
        <v>ENTREGADO</v>
      </c>
      <c r="M35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35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5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85</v>
      </c>
      <c r="P351" s="170">
        <f>ROUNDUP(Tabla_control[[#This Row],[CANTIDAD IMPRIMIR]]/Tabla_control[[#This Row],[N TJ]],0)</f>
        <v>2000</v>
      </c>
      <c r="Q351" s="170">
        <f>IF(Tabla_control[[#This Row],[CANTIDAD TIRAJE]]&gt;10000,Tabla_control[[#This Row],[CANTIDAD TIRAJE]],Tabla_control[[#This Row],[CANTIDAD TIRAJE]]*2)</f>
        <v>4000</v>
      </c>
      <c r="R351" s="186" t="s">
        <v>176</v>
      </c>
      <c r="S351" s="4" t="s">
        <v>30</v>
      </c>
      <c r="T351" s="4"/>
      <c r="U351" s="4"/>
      <c r="V351" s="4"/>
      <c r="W351" s="187" t="s">
        <v>321</v>
      </c>
      <c r="X351" s="187"/>
      <c r="Y351" s="187"/>
      <c r="Z351" s="187"/>
      <c r="AA351" s="186" t="s">
        <v>321</v>
      </c>
      <c r="AB351" s="184" t="s">
        <v>2028</v>
      </c>
    </row>
    <row r="352" spans="1:28" hidden="1" x14ac:dyDescent="0.2">
      <c r="A352" s="175">
        <f>IF(COUNTIF(Tabla_imprenta[LOTE],Tabla_control[[#This Row],[LOTE]])=1,INDEX(Tabla_imprenta[FECHA EMISIÓN],MATCH(Tabla_control[[#This Row],[LOTE]],Tabla_imprenta[LOTE],0)),"REALIZADO")</f>
        <v>46113</v>
      </c>
      <c r="B352" s="142">
        <f>IF(COUNTIF(Tabla_imprenta[LOTE],Tabla_control[[#This Row],[LOTE]])=1,INDEX(Tabla_imprenta[CÓD. SOLICITUD],MATCH(Tabla_control[[#This Row],[LOTE]],Tabla_imprenta[LOTE],0)),"REALIZADO")</f>
        <v>0</v>
      </c>
      <c r="C352" s="177" t="str">
        <f>IF(COUNTIF(Tabla_imprenta[LOTE],Tabla_control[[#This Row],[LOTE]])=1,INDEX(Tabla_imprenta[PRODUCTO],MATCH(Tabla_control[[#This Row],[LOTE]],Tabla_imprenta[LOTE],0)),"REALIZADO")</f>
        <v>AMLODIPINA 10 MG X 30 COMP.</v>
      </c>
      <c r="D352" s="142" t="str">
        <f>IF(COUNTIF(Tabla_imprenta[LOTE],Tabla_control[[#This Row],[LOTE]])=1,INDEX(Tabla_imprenta[FORMA FARMACEUTICA],MATCH(Tabla_control[[#This Row],[LOTE]],Tabla_imprenta[LOTE],0)),"REALIZADO")</f>
        <v>COMPRIMIDO</v>
      </c>
      <c r="E352" s="177" t="str">
        <f>IF(COUNTIF(Tabla_imprenta[LOTE],Tabla_control[[#This Row],[LOTE]])=1,INDEX(Tabla_imprenta[INSTITUCIÓN],MATCH(Tabla_control[[#This Row],[LOTE]],Tabla_imprenta[LOTE],0)),"REALIZADO")</f>
        <v>COMERCIO</v>
      </c>
      <c r="F352" s="181" t="s">
        <v>3029</v>
      </c>
      <c r="G352" s="139">
        <f>IF(COUNTIF(Tabla_imprenta[LOTE],Tabla_control[[#This Row],[LOTE]])=1,INDEX(Tabla_imprenta[CANTIDAD ENVASE SECUNDARIO],MATCH(Tabla_control[[#This Row],[LOTE]],Tabla_imprenta[LOTE],0)),"ENTREGADO")</f>
        <v>10000</v>
      </c>
      <c r="H352" s="139">
        <f>IF(COUNTIF(Tabla_imprenta[LOTE],Tabla_control[[#This Row],[LOTE]])=1,INDEX(Tabla_imprenta[stock sap],MATCH(Tabla_control[[#This Row],[LOTE]],Tabla_imprenta[LOTE],0)),"ENTREGADO")</f>
        <v>940</v>
      </c>
      <c r="I352" s="139" t="str">
        <f>IF(Tabla_control[[#This Row],[STOCK SAP]]&gt;Tabla_control[[#This Row],[CANTIDAD IMPRIMIR]],"cubre","no cubre")</f>
        <v>no cubre</v>
      </c>
      <c r="J352" s="182">
        <f>IF(COUNTIF(Tabla_imprenta[LOTE],Tabla_control[[#This Row],[LOTE]])=1,INDEX(Tabla_imprenta[STOCK],MATCH(Tabla_control[[#This Row],[LOTE]],Tabla_imprenta[LOTE],0)),"ENTREGADO")</f>
        <v>3.4204524210132736</v>
      </c>
      <c r="K35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46149</v>
      </c>
      <c r="L352" s="148" t="str">
        <f>INDEX(Tabla_imprenta[FECHA CAJA],MATCH(Tabla_control[[#This Row],[LOTE]],Tabla_imprenta[LOTE],0))</f>
        <v>ENTREGADO</v>
      </c>
      <c r="M35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5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5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31</v>
      </c>
      <c r="P352" s="169">
        <f>ROUNDUP(Tabla_control[[#This Row],[CANTIDAD IMPRIMIR]]/Tabla_control[[#This Row],[N TJ]],0)</f>
        <v>2500</v>
      </c>
      <c r="Q352" s="169">
        <f>IF(Tabla_control[[#This Row],[CANTIDAD TIRAJE]]&gt;10000,Tabla_control[[#This Row],[CANTIDAD TIRAJE]],Tabla_control[[#This Row],[CANTIDAD TIRAJE]]*2)</f>
        <v>5000</v>
      </c>
      <c r="R352" s="186" t="s">
        <v>172</v>
      </c>
      <c r="S352" s="4" t="s">
        <v>30</v>
      </c>
      <c r="T352" s="4"/>
      <c r="U352" s="4"/>
      <c r="V352" s="4"/>
      <c r="W352" s="185" t="s">
        <v>3239</v>
      </c>
      <c r="X352" s="185"/>
      <c r="Y352" s="185"/>
      <c r="Z352" s="185"/>
      <c r="AA352" s="186" t="s">
        <v>171</v>
      </c>
      <c r="AB352" s="184" t="s">
        <v>2028</v>
      </c>
    </row>
    <row r="353" spans="1:28" hidden="1" x14ac:dyDescent="0.2">
      <c r="A353" s="175">
        <f>IF(COUNTIF(Tabla_imprenta[LOTE],Tabla_control[[#This Row],[LOTE]])=1,INDEX(Tabla_imprenta[FECHA EMISIÓN],MATCH(Tabla_control[[#This Row],[LOTE]],Tabla_imprenta[LOTE],0)),"REALIZADO")</f>
        <v>46113</v>
      </c>
      <c r="B353" s="142">
        <f>IF(COUNTIF(Tabla_imprenta[LOTE],Tabla_control[[#This Row],[LOTE]])=1,INDEX(Tabla_imprenta[CÓD. SOLICITUD],MATCH(Tabla_control[[#This Row],[LOTE]],Tabla_imprenta[LOTE],0)),"REALIZADO")</f>
        <v>0</v>
      </c>
      <c r="C353" s="177" t="str">
        <f>IF(COUNTIF(Tabla_imprenta[LOTE],Tabla_control[[#This Row],[LOTE]])=1,INDEX(Tabla_imprenta[PRODUCTO],MATCH(Tabla_control[[#This Row],[LOTE]],Tabla_imprenta[LOTE],0)),"REALIZADO")</f>
        <v>LEVOCAN X 15 ML GOTAS VETERINARIO</v>
      </c>
      <c r="D353" s="142" t="str">
        <f>IF(COUNTIF(Tabla_imprenta[LOTE],Tabla_control[[#This Row],[LOTE]])=1,INDEX(Tabla_imprenta[FORMA FARMACEUTICA],MATCH(Tabla_control[[#This Row],[LOTE]],Tabla_imprenta[LOTE],0)),"REALIZADO")</f>
        <v>GOTAS</v>
      </c>
      <c r="E353" s="177" t="str">
        <f>IF(COUNTIF(Tabla_imprenta[LOTE],Tabla_control[[#This Row],[LOTE]])=1,INDEX(Tabla_imprenta[INSTITUCIÓN],MATCH(Tabla_control[[#This Row],[LOTE]],Tabla_imprenta[LOTE],0)),"REALIZADO")</f>
        <v>COMERCIO</v>
      </c>
      <c r="F353" s="181" t="s">
        <v>2997</v>
      </c>
      <c r="G353" s="139">
        <f>IF(COUNTIF(Tabla_imprenta[LOTE],Tabla_control[[#This Row],[LOTE]])=1,INDEX(Tabla_imprenta[CANTIDAD ENVASE SECUNDARIO],MATCH(Tabla_control[[#This Row],[LOTE]],Tabla_imprenta[LOTE],0)),"ENTREGADO")</f>
        <v>7500</v>
      </c>
      <c r="H353" s="139">
        <f>IF(COUNTIF(Tabla_imprenta[LOTE],Tabla_control[[#This Row],[LOTE]])=1,INDEX(Tabla_imprenta[stock sap],MATCH(Tabla_control[[#This Row],[LOTE]],Tabla_imprenta[LOTE],0)),"ENTREGADO")</f>
        <v>660</v>
      </c>
      <c r="I353" s="139" t="str">
        <f>IF(Tabla_control[[#This Row],[STOCK SAP]]&gt;Tabla_control[[#This Row],[CANTIDAD IMPRIMIR]],"cubre","no cubre")</f>
        <v>no cubre</v>
      </c>
      <c r="J353" s="182">
        <f>IF(COUNTIF(Tabla_imprenta[LOTE],Tabla_control[[#This Row],[LOTE]])=1,INDEX(Tabla_imprenta[STOCK],MATCH(Tabla_control[[#This Row],[LOTE]],Tabla_imprenta[LOTE],0)),"ENTREGADO")</f>
        <v>3.0595407964716568</v>
      </c>
      <c r="K35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53" s="148" t="str">
        <f>INDEX(Tabla_imprenta[FECHA CAJA],MATCH(Tabla_control[[#This Row],[LOTE]],Tabla_imprenta[LOTE],0))</f>
        <v>ENTREGADO</v>
      </c>
      <c r="M35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35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35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24</v>
      </c>
      <c r="P353" s="170">
        <f>ROUNDUP(Tabla_control[[#This Row],[CANTIDAD IMPRIMIR]]/Tabla_control[[#This Row],[N TJ]],0)</f>
        <v>1250</v>
      </c>
      <c r="Q353" s="170">
        <f>IF(Tabla_control[[#This Row],[CANTIDAD TIRAJE]]&gt;10000,Tabla_control[[#This Row],[CANTIDAD TIRAJE]],Tabla_control[[#This Row],[CANTIDAD TIRAJE]]*2)</f>
        <v>2500</v>
      </c>
      <c r="R353" s="186" t="s">
        <v>176</v>
      </c>
      <c r="S353" s="4" t="s">
        <v>30</v>
      </c>
      <c r="T353" s="4"/>
      <c r="U353" s="4"/>
      <c r="V353" s="4"/>
      <c r="W353" s="185" t="s">
        <v>3223</v>
      </c>
      <c r="X353" s="185"/>
      <c r="Y353" s="185"/>
      <c r="Z353" s="185"/>
      <c r="AA353" s="186" t="s">
        <v>2031</v>
      </c>
      <c r="AB353" s="184" t="s">
        <v>2028</v>
      </c>
    </row>
    <row r="354" spans="1:28" hidden="1" x14ac:dyDescent="0.2">
      <c r="A354" s="175">
        <f>IF(COUNTIF(Tabla_imprenta[LOTE],Tabla_control[[#This Row],[LOTE]])=1,INDEX(Tabla_imprenta[FECHA EMISIÓN],MATCH(Tabla_control[[#This Row],[LOTE]],Tabla_imprenta[LOTE],0)),"REALIZADO")</f>
        <v>46113</v>
      </c>
      <c r="B354" s="142">
        <f>IF(COUNTIF(Tabla_imprenta[LOTE],Tabla_control[[#This Row],[LOTE]])=1,INDEX(Tabla_imprenta[CÓD. SOLICITUD],MATCH(Tabla_control[[#This Row],[LOTE]],Tabla_imprenta[LOTE],0)),"REALIZADO")</f>
        <v>0</v>
      </c>
      <c r="C354" s="177" t="str">
        <f>IF(COUNTIF(Tabla_imprenta[LOTE],Tabla_control[[#This Row],[LOTE]])=1,INDEX(Tabla_imprenta[PRODUCTO],MATCH(Tabla_control[[#This Row],[LOTE]],Tabla_imprenta[LOTE],0)),"REALIZADO")</f>
        <v>HIDROCORTISONA 1% X 15 G CREMA DERMICA</v>
      </c>
      <c r="D354" s="142" t="str">
        <f>IF(COUNTIF(Tabla_imprenta[LOTE],Tabla_control[[#This Row],[LOTE]])=1,INDEX(Tabla_imprenta[FORMA FARMACEUTICA],MATCH(Tabla_control[[#This Row],[LOTE]],Tabla_imprenta[LOTE],0)),"REALIZADO")</f>
        <v>CREMA DÉRMICA</v>
      </c>
      <c r="E354" s="177" t="str">
        <f>IF(COUNTIF(Tabla_imprenta[LOTE],Tabla_control[[#This Row],[LOTE]])=1,INDEX(Tabla_imprenta[INSTITUCIÓN],MATCH(Tabla_control[[#This Row],[LOTE]],Tabla_imprenta[LOTE],0)),"REALIZADO")</f>
        <v>COMERCIO</v>
      </c>
      <c r="F354" s="181" t="s">
        <v>3229</v>
      </c>
      <c r="G354" s="139">
        <f>IF(COUNTIF(Tabla_imprenta[LOTE],Tabla_control[[#This Row],[LOTE]])=1,INDEX(Tabla_imprenta[CANTIDAD ENVASE SECUNDARIO],MATCH(Tabla_control[[#This Row],[LOTE]],Tabla_imprenta[LOTE],0)),"ENTREGADO")</f>
        <v>17100</v>
      </c>
      <c r="H354" s="139">
        <f>IF(COUNTIF(Tabla_imprenta[LOTE],Tabla_control[[#This Row],[LOTE]])=1,INDEX(Tabla_imprenta[stock sap],MATCH(Tabla_control[[#This Row],[LOTE]],Tabla_imprenta[LOTE],0)),"ENTREGADO")</f>
        <v>2157</v>
      </c>
      <c r="I354" s="139" t="str">
        <f>IF(Tabla_control[[#This Row],[STOCK SAP]]&gt;Tabla_control[[#This Row],[CANTIDAD IMPRIMIR]],"cubre","no cubre")</f>
        <v>no cubre</v>
      </c>
      <c r="J354" s="182">
        <f>IF(COUNTIF(Tabla_imprenta[LOTE],Tabla_control[[#This Row],[LOTE]])=1,INDEX(Tabla_imprenta[STOCK],MATCH(Tabla_control[[#This Row],[LOTE]],Tabla_imprenta[LOTE],0)),"ENTREGADO")</f>
        <v>1.5089103092900005</v>
      </c>
      <c r="K35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54" s="148" t="str">
        <f>INDEX(Tabla_imprenta[FECHA CAJA],MATCH(Tabla_control[[#This Row],[LOTE]],Tabla_imprenta[LOTE],0))</f>
        <v>ENTREGADO</v>
      </c>
      <c r="M35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5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5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354" s="170">
        <f>ROUNDUP(Tabla_control[[#This Row],[CANTIDAD IMPRIMIR]]/Tabla_control[[#This Row],[N TJ]],0)</f>
        <v>4275</v>
      </c>
      <c r="Q354" s="170">
        <f>IF(Tabla_control[[#This Row],[CANTIDAD TIRAJE]]&gt;10000,Tabla_control[[#This Row],[CANTIDAD TIRAJE]],Tabla_control[[#This Row],[CANTIDAD TIRAJE]]*2)</f>
        <v>8550</v>
      </c>
      <c r="R354" s="186" t="s">
        <v>172</v>
      </c>
      <c r="S354" s="4" t="s">
        <v>31</v>
      </c>
      <c r="T354" s="4"/>
      <c r="U354" s="4"/>
      <c r="V354" s="4"/>
      <c r="W354" s="185" t="s">
        <v>3223</v>
      </c>
      <c r="X354" s="185"/>
      <c r="Y354" s="185"/>
      <c r="Z354" s="185"/>
      <c r="AA354" s="186" t="s">
        <v>2429</v>
      </c>
      <c r="AB354" s="184" t="s">
        <v>2028</v>
      </c>
    </row>
    <row r="355" spans="1:28" hidden="1" x14ac:dyDescent="0.2">
      <c r="A355" s="175">
        <f>IF(COUNTIF(Tabla_imprenta[LOTE],Tabla_control[[#This Row],[LOTE]])=1,INDEX(Tabla_imprenta[FECHA EMISIÓN],MATCH(Tabla_control[[#This Row],[LOTE]],Tabla_imprenta[LOTE],0)),"REALIZADO")</f>
        <v>46113</v>
      </c>
      <c r="B355" s="142">
        <f>IF(COUNTIF(Tabla_imprenta[LOTE],Tabla_control[[#This Row],[LOTE]])=1,INDEX(Tabla_imprenta[CÓD. SOLICITUD],MATCH(Tabla_control[[#This Row],[LOTE]],Tabla_imprenta[LOTE],0)),"REALIZADO")</f>
        <v>0</v>
      </c>
      <c r="C355" s="177" t="str">
        <f>IF(COUNTIF(Tabla_imprenta[LOTE],Tabla_control[[#This Row],[LOTE]])=1,INDEX(Tabla_imprenta[PRODUCTO],MATCH(Tabla_control[[#This Row],[LOTE]],Tabla_imprenta[LOTE],0)),"REALIZADO")</f>
        <v>DEXTROMETORFANO 10 MG X 100 ML JARABE</v>
      </c>
      <c r="D355" s="142" t="str">
        <f>IF(COUNTIF(Tabla_imprenta[LOTE],Tabla_control[[#This Row],[LOTE]])=1,INDEX(Tabla_imprenta[FORMA FARMACEUTICA],MATCH(Tabla_control[[#This Row],[LOTE]],Tabla_imprenta[LOTE],0)),"REALIZADO")</f>
        <v>JARABE</v>
      </c>
      <c r="E355" s="177" t="str">
        <f>IF(COUNTIF(Tabla_imprenta[LOTE],Tabla_control[[#This Row],[LOTE]])=1,INDEX(Tabla_imprenta[INSTITUCIÓN],MATCH(Tabla_control[[#This Row],[LOTE]],Tabla_imprenta[LOTE],0)),"REALIZADO")</f>
        <v>COMERCIO</v>
      </c>
      <c r="F355" s="181" t="s">
        <v>3177</v>
      </c>
      <c r="G355" s="139">
        <f>IF(COUNTIF(Tabla_imprenta[LOTE],Tabla_control[[#This Row],[LOTE]])=1,INDEX(Tabla_imprenta[CANTIDAD ENVASE SECUNDARIO],MATCH(Tabla_control[[#This Row],[LOTE]],Tabla_imprenta[LOTE],0)),"ENTREGADO")</f>
        <v>29703</v>
      </c>
      <c r="H355" s="139">
        <f>IF(COUNTIF(Tabla_imprenta[LOTE],Tabla_control[[#This Row],[LOTE]])=1,INDEX(Tabla_imprenta[stock sap],MATCH(Tabla_control[[#This Row],[LOTE]],Tabla_imprenta[LOTE],0)),"ENTREGADO")</f>
        <v>2600</v>
      </c>
      <c r="I355" s="139" t="str">
        <f>IF(Tabla_control[[#This Row],[STOCK SAP]]&gt;Tabla_control[[#This Row],[CANTIDAD IMPRIMIR]],"cubre","no cubre")</f>
        <v>no cubre</v>
      </c>
      <c r="J355" s="182">
        <f>IF(COUNTIF(Tabla_imprenta[LOTE],Tabla_control[[#This Row],[LOTE]])=1,INDEX(Tabla_imprenta[STOCK],MATCH(Tabla_control[[#This Row],[LOTE]],Tabla_imprenta[LOTE],0)),"ENTREGADO")</f>
        <v>0.77540560458321139</v>
      </c>
      <c r="K35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55" s="148" t="str">
        <f>INDEX(Tabla_imprenta[FECHA CAJA],MATCH(Tabla_control[[#This Row],[LOTE]],Tabla_imprenta[LOTE],0))</f>
        <v>ENTREGADO</v>
      </c>
      <c r="M35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5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5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355" s="170">
        <f>ROUNDUP(Tabla_control[[#This Row],[CANTIDAD IMPRIMIR]]/Tabla_control[[#This Row],[N TJ]],0)</f>
        <v>14852</v>
      </c>
      <c r="Q355" s="170">
        <f>IF(Tabla_control[[#This Row],[CANTIDAD TIRAJE]]&gt;10000,Tabla_control[[#This Row],[CANTIDAD TIRAJE]],Tabla_control[[#This Row],[CANTIDAD TIRAJE]]*2)</f>
        <v>14852</v>
      </c>
      <c r="R355" s="186" t="s">
        <v>172</v>
      </c>
      <c r="S355" s="4" t="s">
        <v>31</v>
      </c>
      <c r="T355" s="4"/>
      <c r="U355" s="4"/>
      <c r="V355" s="4"/>
      <c r="W355" s="185" t="s">
        <v>3223</v>
      </c>
      <c r="X355" s="185"/>
      <c r="Y355" s="185"/>
      <c r="Z355" s="185"/>
      <c r="AA355" s="186" t="s">
        <v>2314</v>
      </c>
      <c r="AB355" s="184" t="s">
        <v>2028</v>
      </c>
    </row>
    <row r="356" spans="1:28" hidden="1" x14ac:dyDescent="0.2">
      <c r="A356" s="175" t="str">
        <f>IF(COUNTIF(Tabla_imprenta[LOTE],Tabla_control[[#This Row],[LOTE]])=1,INDEX(Tabla_imprenta[FECHA EMISIÓN],MATCH(Tabla_control[[#This Row],[LOTE]],Tabla_imprenta[LOTE],0)),"REALIZADO")</f>
        <v>REALIZADO</v>
      </c>
      <c r="B356" s="142" t="str">
        <f>IF(COUNTIF(Tabla_imprenta[LOTE],Tabla_control[[#This Row],[LOTE]])=1,INDEX(Tabla_imprenta[CÓD. SOLICITUD],MATCH(Tabla_control[[#This Row],[LOTE]],Tabla_imprenta[LOTE],0)),"REALIZADO")</f>
        <v>REALIZADO</v>
      </c>
      <c r="C356" s="177" t="str">
        <f>IF(COUNTIF(Tabla_imprenta[LOTE],Tabla_control[[#This Row],[LOTE]])=1,INDEX(Tabla_imprenta[PRODUCTO],MATCH(Tabla_control[[#This Row],[LOTE]],Tabla_imprenta[LOTE],0)),"REALIZADO")</f>
        <v>REALIZADO</v>
      </c>
      <c r="D356" s="142" t="str">
        <f>IF(COUNTIF(Tabla_imprenta[LOTE],Tabla_control[[#This Row],[LOTE]])=1,INDEX(Tabla_imprenta[FORMA FARMACEUTICA],MATCH(Tabla_control[[#This Row],[LOTE]],Tabla_imprenta[LOTE],0)),"REALIZADO")</f>
        <v>REALIZADO</v>
      </c>
      <c r="E356" s="177" t="str">
        <f>IF(COUNTIF(Tabla_imprenta[LOTE],Tabla_control[[#This Row],[LOTE]])=1,INDEX(Tabla_imprenta[INSTITUCIÓN],MATCH(Tabla_control[[#This Row],[LOTE]],Tabla_imprenta[LOTE],0)),"REALIZADO")</f>
        <v>REALIZADO</v>
      </c>
      <c r="F356" s="181" t="s">
        <v>2566</v>
      </c>
      <c r="G356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56" s="139" t="str">
        <f>IF(COUNTIF(Tabla_imprenta[LOTE],Tabla_control[[#This Row],[LOTE]])=1,INDEX(Tabla_imprenta[stock sap],MATCH(Tabla_control[[#This Row],[LOTE]],Tabla_imprenta[LOTE],0)),"ENTREGADO")</f>
        <v>ENTREGADO</v>
      </c>
      <c r="I356" s="139" t="str">
        <f>IF(Tabla_control[[#This Row],[STOCK SAP]]&gt;Tabla_control[[#This Row],[CANTIDAD IMPRIMIR]],"cubre","no cubre")</f>
        <v>no cubre</v>
      </c>
      <c r="J356" s="182" t="str">
        <f>IF(COUNTIF(Tabla_imprenta[LOTE],Tabla_control[[#This Row],[LOTE]])=1,INDEX(Tabla_imprenta[STOCK],MATCH(Tabla_control[[#This Row],[LOTE]],Tabla_imprenta[LOTE],0)),"ENTREGADO")</f>
        <v>ENTREGADO</v>
      </c>
      <c r="K35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56" s="148" t="e">
        <f>INDEX(Tabla_imprenta[FECHA CAJA],MATCH(Tabla_control[[#This Row],[LOTE]],Tabla_imprenta[LOTE],0))</f>
        <v>#N/A</v>
      </c>
      <c r="M35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56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56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56" s="170" t="e">
        <f>ROUNDUP(Tabla_control[[#This Row],[CANTIDAD IMPRIMIR]]/Tabla_control[[#This Row],[N TJ]],0)</f>
        <v>#VALUE!</v>
      </c>
      <c r="Q356" s="170" t="e">
        <f>IF(Tabla_control[[#This Row],[CANTIDAD TIRAJE]]&gt;10000,Tabla_control[[#This Row],[CANTIDAD TIRAJE]],Tabla_control[[#This Row],[CANTIDAD TIRAJE]]*2)</f>
        <v>#VALUE!</v>
      </c>
      <c r="R356" s="186" t="s">
        <v>172</v>
      </c>
      <c r="S356" s="4" t="s">
        <v>31</v>
      </c>
      <c r="T356" s="4"/>
      <c r="U356" s="4"/>
      <c r="V356" s="4"/>
      <c r="W356" s="185" t="s">
        <v>2985</v>
      </c>
      <c r="X356" s="185"/>
      <c r="Y356" s="185"/>
      <c r="Z356" s="185"/>
      <c r="AA356" s="4" t="s">
        <v>2031</v>
      </c>
      <c r="AB356" s="184" t="s">
        <v>2028</v>
      </c>
    </row>
    <row r="357" spans="1:28" hidden="1" x14ac:dyDescent="0.2">
      <c r="A357" s="175">
        <f>IF(COUNTIF(Tabla_imprenta[LOTE],Tabla_control[[#This Row],[LOTE]])=1,INDEX(Tabla_imprenta[FECHA EMISIÓN],MATCH(Tabla_control[[#This Row],[LOTE]],Tabla_imprenta[LOTE],0)),"REALIZADO")</f>
        <v>46113</v>
      </c>
      <c r="B357" s="142">
        <f>IF(COUNTIF(Tabla_imprenta[LOTE],Tabla_control[[#This Row],[LOTE]])=1,INDEX(Tabla_imprenta[CÓD. SOLICITUD],MATCH(Tabla_control[[#This Row],[LOTE]],Tabla_imprenta[LOTE],0)),"REALIZADO")</f>
        <v>0</v>
      </c>
      <c r="C357" s="177" t="str">
        <f>IF(COUNTIF(Tabla_imprenta[LOTE],Tabla_control[[#This Row],[LOTE]])=1,INDEX(Tabla_imprenta[PRODUCTO],MATCH(Tabla_control[[#This Row],[LOTE]],Tabla_imprenta[LOTE],0)),"REALIZADO")</f>
        <v>PREDNISONA 20 MG X 100 COMP. VETERINARIO</v>
      </c>
      <c r="D357" s="142" t="str">
        <f>IF(COUNTIF(Tabla_imprenta[LOTE],Tabla_control[[#This Row],[LOTE]])=1,INDEX(Tabla_imprenta[FORMA FARMACEUTICA],MATCH(Tabla_control[[#This Row],[LOTE]],Tabla_imprenta[LOTE],0)),"REALIZADO")</f>
        <v>COMPRIMIDO</v>
      </c>
      <c r="E357" s="177" t="str">
        <f>IF(COUNTIF(Tabla_imprenta[LOTE],Tabla_control[[#This Row],[LOTE]])=1,INDEX(Tabla_imprenta[INSTITUCIÓN],MATCH(Tabla_control[[#This Row],[LOTE]],Tabla_imprenta[LOTE],0)),"REALIZADO")</f>
        <v>COMERCIO</v>
      </c>
      <c r="F357" s="181" t="s">
        <v>3006</v>
      </c>
      <c r="G357" s="139">
        <f>IF(COUNTIF(Tabla_imprenta[LOTE],Tabla_control[[#This Row],[LOTE]])=1,INDEX(Tabla_imprenta[CANTIDAD ENVASE SECUNDARIO],MATCH(Tabla_control[[#This Row],[LOTE]],Tabla_imprenta[LOTE],0)),"ENTREGADO")</f>
        <v>600</v>
      </c>
      <c r="H357" s="139">
        <f>IF(COUNTIF(Tabla_imprenta[LOTE],Tabla_control[[#This Row],[LOTE]])=1,INDEX(Tabla_imprenta[stock sap],MATCH(Tabla_control[[#This Row],[LOTE]],Tabla_imprenta[LOTE],0)),"ENTREGADO")</f>
        <v>818</v>
      </c>
      <c r="I357" s="139" t="str">
        <f>IF(Tabla_control[[#This Row],[STOCK SAP]]&gt;Tabla_control[[#This Row],[CANTIDAD IMPRIMIR]],"cubre","no cubre")</f>
        <v>cubre</v>
      </c>
      <c r="J357" s="182">
        <f>IF(COUNTIF(Tabla_imprenta[LOTE],Tabla_control[[#This Row],[LOTE]])=1,INDEX(Tabla_imprenta[STOCK],MATCH(Tabla_control[[#This Row],[LOTE]],Tabla_imprenta[LOTE],0)),"ENTREGADO")</f>
        <v>1.7856110950592314</v>
      </c>
      <c r="K35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57" s="148" t="str">
        <f>INDEX(Tabla_imprenta[FECHA CAJA],MATCH(Tabla_control[[#This Row],[LOTE]],Tabla_imprenta[LOTE],0))</f>
        <v>ENTREGADO</v>
      </c>
      <c r="M35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35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5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92</v>
      </c>
      <c r="P357" s="169">
        <f>ROUNDUP(Tabla_control[[#This Row],[CANTIDAD IMPRIMIR]]/Tabla_control[[#This Row],[N TJ]],0)</f>
        <v>150</v>
      </c>
      <c r="Q357" s="169">
        <f>IF(Tabla_control[[#This Row],[CANTIDAD TIRAJE]]&gt;10000,Tabla_control[[#This Row],[CANTIDAD TIRAJE]],Tabla_control[[#This Row],[CANTIDAD TIRAJE]]*2)</f>
        <v>300</v>
      </c>
      <c r="R357" s="186" t="s">
        <v>176</v>
      </c>
      <c r="S357" s="4" t="s">
        <v>30</v>
      </c>
      <c r="T357" s="4"/>
      <c r="U357" s="4"/>
      <c r="V357" s="4"/>
      <c r="W357" s="187" t="s">
        <v>3223</v>
      </c>
      <c r="X357" s="187"/>
      <c r="Y357" s="187"/>
      <c r="Z357" s="187"/>
      <c r="AA357" s="186" t="s">
        <v>321</v>
      </c>
      <c r="AB357" s="184" t="s">
        <v>2028</v>
      </c>
    </row>
    <row r="358" spans="1:28" hidden="1" x14ac:dyDescent="0.2">
      <c r="A358" s="175">
        <f>IF(COUNTIF(Tabla_imprenta[LOTE],Tabla_control[[#This Row],[LOTE]])=1,INDEX(Tabla_imprenta[FECHA EMISIÓN],MATCH(Tabla_control[[#This Row],[LOTE]],Tabla_imprenta[LOTE],0)),"REALIZADO")</f>
        <v>46064</v>
      </c>
      <c r="B358" s="142">
        <f>IF(COUNTIF(Tabla_imprenta[LOTE],Tabla_control[[#This Row],[LOTE]])=1,INDEX(Tabla_imprenta[CÓD. SOLICITUD],MATCH(Tabla_control[[#This Row],[LOTE]],Tabla_imprenta[LOTE],0)),"REALIZADO")</f>
        <v>0</v>
      </c>
      <c r="C358" s="177" t="str">
        <f>IF(COUNTIF(Tabla_imprenta[LOTE],Tabla_control[[#This Row],[LOTE]])=1,INDEX(Tabla_imprenta[PRODUCTO],MATCH(Tabla_control[[#This Row],[LOTE]],Tabla_imprenta[LOTE],0)),"REALIZADO")</f>
        <v>TERRACOLIN 200 MG X 100 COMP. RECUBIERTO</v>
      </c>
      <c r="D358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58" s="177" t="str">
        <f>IF(COUNTIF(Tabla_imprenta[LOTE],Tabla_control[[#This Row],[LOTE]])=1,INDEX(Tabla_imprenta[INSTITUCIÓN],MATCH(Tabla_control[[#This Row],[LOTE]],Tabla_imprenta[LOTE],0)),"REALIZADO")</f>
        <v>COMERCIO</v>
      </c>
      <c r="F358" s="180" t="s">
        <v>2445</v>
      </c>
      <c r="G358" s="139">
        <f>IF(COUNTIF(Tabla_imprenta[LOTE],Tabla_control[[#This Row],[LOTE]])=1,INDEX(Tabla_imprenta[CANTIDAD ENVASE SECUNDARIO],MATCH(Tabla_control[[#This Row],[LOTE]],Tabla_imprenta[LOTE],0)),"ENTREGADO")</f>
        <v>4000</v>
      </c>
      <c r="H358" s="139">
        <f>IF(COUNTIF(Tabla_imprenta[LOTE],Tabla_control[[#This Row],[LOTE]])=1,INDEX(Tabla_imprenta[stock sap],MATCH(Tabla_control[[#This Row],[LOTE]],Tabla_imprenta[LOTE],0)),"ENTREGADO")</f>
        <v>11857</v>
      </c>
      <c r="I358" s="139" t="str">
        <f>IF(Tabla_control[[#This Row],[STOCK SAP]]&gt;Tabla_control[[#This Row],[CANTIDAD IMPRIMIR]],"cubre","no cubre")</f>
        <v>cubre</v>
      </c>
      <c r="J358" s="7">
        <f>IF(COUNTIF(Tabla_imprenta[LOTE],Tabla_control[[#This Row],[LOTE]])=1,INDEX(Tabla_imprenta[STOCK],MATCH(Tabla_control[[#This Row],[LOTE]],Tabla_imprenta[LOTE],0)),"ENTREGADO")</f>
        <v>1.2556930107950517</v>
      </c>
      <c r="K35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58" s="148" t="str">
        <f>INDEX(Tabla_imprenta[FECHA CAJA],MATCH(Tabla_control[[#This Row],[LOTE]],Tabla_imprenta[LOTE],0))</f>
        <v>ENTREGADO</v>
      </c>
      <c r="M35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5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5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88</v>
      </c>
      <c r="P358" s="169">
        <f>ROUNDUP(Tabla_control[[#This Row],[CANTIDAD IMPRIMIR]]/Tabla_control[[#This Row],[N TJ]],0)</f>
        <v>2000</v>
      </c>
      <c r="Q358" s="169">
        <f>IF(Tabla_control[[#This Row],[CANTIDAD TIRAJE]]&gt;10000,Tabla_control[[#This Row],[CANTIDAD TIRAJE]],Tabla_control[[#This Row],[CANTIDAD TIRAJE]]*2)</f>
        <v>4000</v>
      </c>
      <c r="R358" s="4" t="s">
        <v>173</v>
      </c>
      <c r="S358" s="4" t="s">
        <v>174</v>
      </c>
      <c r="T358" s="4"/>
      <c r="U358" s="4"/>
      <c r="V358" s="4"/>
      <c r="W358" s="138" t="s">
        <v>3223</v>
      </c>
      <c r="X358" s="138"/>
      <c r="Y358" s="138"/>
      <c r="Z358" s="138"/>
      <c r="AA358" s="4" t="s">
        <v>321</v>
      </c>
      <c r="AB358" s="184" t="s">
        <v>2028</v>
      </c>
    </row>
    <row r="359" spans="1:28" hidden="1" x14ac:dyDescent="0.2">
      <c r="A359" s="175">
        <f>IF(COUNTIF(Tabla_imprenta[LOTE],Tabla_control[[#This Row],[LOTE]])=1,INDEX(Tabla_imprenta[FECHA EMISIÓN],MATCH(Tabla_control[[#This Row],[LOTE]],Tabla_imprenta[LOTE],0)),"REALIZADO")</f>
        <v>46113</v>
      </c>
      <c r="B359" s="142">
        <f>IF(COUNTIF(Tabla_imprenta[LOTE],Tabla_control[[#This Row],[LOTE]])=1,INDEX(Tabla_imprenta[CÓD. SOLICITUD],MATCH(Tabla_control[[#This Row],[LOTE]],Tabla_imprenta[LOTE],0)),"REALIZADO")</f>
        <v>0</v>
      </c>
      <c r="C359" s="177" t="str">
        <f>IF(COUNTIF(Tabla_imprenta[LOTE],Tabla_control[[#This Row],[LOTE]])=1,INDEX(Tabla_imprenta[PRODUCTO],MATCH(Tabla_control[[#This Row],[LOTE]],Tabla_imprenta[LOTE],0)),"REALIZADO")</f>
        <v>PARACETAMOL 120 MG X 100 ML JARABE</v>
      </c>
      <c r="D359" s="142" t="str">
        <f>IF(COUNTIF(Tabla_imprenta[LOTE],Tabla_control[[#This Row],[LOTE]])=1,INDEX(Tabla_imprenta[FORMA FARMACEUTICA],MATCH(Tabla_control[[#This Row],[LOTE]],Tabla_imprenta[LOTE],0)),"REALIZADO")</f>
        <v>JARABE</v>
      </c>
      <c r="E359" s="177" t="str">
        <f>IF(COUNTIF(Tabla_imprenta[LOTE],Tabla_control[[#This Row],[LOTE]])=1,INDEX(Tabla_imprenta[INSTITUCIÓN],MATCH(Tabla_control[[#This Row],[LOTE]],Tabla_imprenta[LOTE],0)),"REALIZADO")</f>
        <v>COMERCIO</v>
      </c>
      <c r="F359" s="181" t="s">
        <v>3070</v>
      </c>
      <c r="G359" s="139">
        <f>IF(COUNTIF(Tabla_imprenta[LOTE],Tabla_control[[#This Row],[LOTE]])=1,INDEX(Tabla_imprenta[CANTIDAD ENVASE SECUNDARIO],MATCH(Tabla_control[[#This Row],[LOTE]],Tabla_imprenta[LOTE],0)),"ENTREGADO")</f>
        <v>9901</v>
      </c>
      <c r="H359" s="139">
        <f>IF(COUNTIF(Tabla_imprenta[LOTE],Tabla_control[[#This Row],[LOTE]])=1,INDEX(Tabla_imprenta[stock sap],MATCH(Tabla_control[[#This Row],[LOTE]],Tabla_imprenta[LOTE],0)),"ENTREGADO")</f>
        <v>1261</v>
      </c>
      <c r="I359" s="139" t="str">
        <f>IF(Tabla_control[[#This Row],[STOCK SAP]]&gt;Tabla_control[[#This Row],[CANTIDAD IMPRIMIR]],"cubre","no cubre")</f>
        <v>no cubre</v>
      </c>
      <c r="J359" s="182">
        <f>IF(COUNTIF(Tabla_imprenta[LOTE],Tabla_control[[#This Row],[LOTE]])=1,INDEX(Tabla_imprenta[STOCK],MATCH(Tabla_control[[#This Row],[LOTE]],Tabla_imprenta[LOTE],0)),"ENTREGADO")</f>
        <v>0</v>
      </c>
      <c r="K35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59" s="148" t="str">
        <f>INDEX(Tabla_imprenta[FECHA CAJA],MATCH(Tabla_control[[#This Row],[LOTE]],Tabla_imprenta[LOTE],0))</f>
        <v>ENTREGADO</v>
      </c>
      <c r="M35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5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5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359" s="170">
        <f>ROUNDUP(Tabla_control[[#This Row],[CANTIDAD IMPRIMIR]]/Tabla_control[[#This Row],[N TJ]],0)</f>
        <v>4951</v>
      </c>
      <c r="Q359" s="170">
        <f>IF(Tabla_control[[#This Row],[CANTIDAD TIRAJE]]&gt;10000,Tabla_control[[#This Row],[CANTIDAD TIRAJE]],Tabla_control[[#This Row],[CANTIDAD TIRAJE]]*2)</f>
        <v>9902</v>
      </c>
      <c r="R359" s="186" t="s">
        <v>172</v>
      </c>
      <c r="S359" s="4" t="s">
        <v>30</v>
      </c>
      <c r="T359" s="4"/>
      <c r="U359" s="4"/>
      <c r="V359" s="4"/>
      <c r="W359" s="185" t="s">
        <v>3223</v>
      </c>
      <c r="X359" s="185"/>
      <c r="Y359" s="185"/>
      <c r="Z359" s="185"/>
      <c r="AA359" s="186" t="s">
        <v>2031</v>
      </c>
      <c r="AB359" s="184" t="s">
        <v>2028</v>
      </c>
    </row>
    <row r="360" spans="1:28" hidden="1" x14ac:dyDescent="0.2">
      <c r="A360" s="175">
        <f>IF(COUNTIF(Tabla_imprenta[LOTE],Tabla_control[[#This Row],[LOTE]])=1,INDEX(Tabla_imprenta[FECHA EMISIÓN],MATCH(Tabla_control[[#This Row],[LOTE]],Tabla_imprenta[LOTE],0)),"REALIZADO")</f>
        <v>46098</v>
      </c>
      <c r="B360" s="142">
        <f>IF(COUNTIF(Tabla_imprenta[LOTE],Tabla_control[[#This Row],[LOTE]])=1,INDEX(Tabla_imprenta[CÓD. SOLICITUD],MATCH(Tabla_control[[#This Row],[LOTE]],Tabla_imprenta[LOTE],0)),"REALIZADO")</f>
        <v>0</v>
      </c>
      <c r="C360" s="177" t="str">
        <f>IF(COUNTIF(Tabla_imprenta[LOTE],Tabla_control[[#This Row],[LOTE]])=1,INDEX(Tabla_imprenta[PRODUCTO],MATCH(Tabla_control[[#This Row],[LOTE]],Tabla_imprenta[LOTE],0)),"REALIZADO")</f>
        <v>PARACETAMOL 1G X 100 COMP. RECUBIERTO</v>
      </c>
      <c r="D360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60" s="177" t="str">
        <f>IF(COUNTIF(Tabla_imprenta[LOTE],Tabla_control[[#This Row],[LOTE]])=1,INDEX(Tabla_imprenta[INSTITUCIÓN],MATCH(Tabla_control[[#This Row],[LOTE]],Tabla_imprenta[LOTE],0)),"REALIZADO")</f>
        <v>COMERCIO</v>
      </c>
      <c r="F360" s="189" t="s">
        <v>2966</v>
      </c>
      <c r="G360" s="139">
        <f>IF(COUNTIF(Tabla_imprenta[LOTE],Tabla_control[[#This Row],[LOTE]])=1,INDEX(Tabla_imprenta[CANTIDAD ENVASE SECUNDARIO],MATCH(Tabla_control[[#This Row],[LOTE]],Tabla_imprenta[LOTE],0)),"ENTREGADO")</f>
        <v>400</v>
      </c>
      <c r="H360" s="139">
        <f>IF(COUNTIF(Tabla_imprenta[LOTE],Tabla_control[[#This Row],[LOTE]])=1,INDEX(Tabla_imprenta[stock sap],MATCH(Tabla_control[[#This Row],[LOTE]],Tabla_imprenta[LOTE],0)),"ENTREGADO")</f>
        <v>211</v>
      </c>
      <c r="I360" s="139" t="str">
        <f>IF(Tabla_control[[#This Row],[STOCK SAP]]&gt;Tabla_control[[#This Row],[CANTIDAD IMPRIMIR]],"cubre","no cubre")</f>
        <v>no cubre</v>
      </c>
      <c r="J360" s="182">
        <f>IF(COUNTIF(Tabla_imprenta[LOTE],Tabla_control[[#This Row],[LOTE]])=1,INDEX(Tabla_imprenta[STOCK],MATCH(Tabla_control[[#This Row],[LOTE]],Tabla_imprenta[LOTE],0)),"ENTREGADO")</f>
        <v>0.29422066549912435</v>
      </c>
      <c r="K36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60" s="148" t="str">
        <f>INDEX(Tabla_imprenta[FECHA CAJA],MATCH(Tabla_control[[#This Row],[LOTE]],Tabla_imprenta[LOTE],0))</f>
        <v>ENTREGADO</v>
      </c>
      <c r="M36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6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6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80</v>
      </c>
      <c r="P360" s="170">
        <f>ROUNDUP(Tabla_control[[#This Row],[CANTIDAD IMPRIMIR]]/Tabla_control[[#This Row],[N TJ]],0)</f>
        <v>200</v>
      </c>
      <c r="Q360" s="170">
        <f>IF(Tabla_control[[#This Row],[CANTIDAD TIRAJE]]&gt;10000,Tabla_control[[#This Row],[CANTIDAD TIRAJE]],Tabla_control[[#This Row],[CANTIDAD TIRAJE]]*2)</f>
        <v>400</v>
      </c>
      <c r="R360" s="186" t="s">
        <v>172</v>
      </c>
      <c r="S360" s="4" t="s">
        <v>30</v>
      </c>
      <c r="T360" s="4"/>
      <c r="U360" s="4"/>
      <c r="V360" s="4"/>
      <c r="W360" s="185" t="s">
        <v>3223</v>
      </c>
      <c r="X360" s="185"/>
      <c r="Y360" s="185"/>
      <c r="Z360" s="185"/>
      <c r="AA360" s="4" t="s">
        <v>2314</v>
      </c>
      <c r="AB360" s="184" t="s">
        <v>2028</v>
      </c>
    </row>
    <row r="361" spans="1:28" hidden="1" x14ac:dyDescent="0.2">
      <c r="A361" s="175" t="str">
        <f>IF(COUNTIF(Tabla_imprenta[LOTE],Tabla_control[[#This Row],[LOTE]])=1,INDEX(Tabla_imprenta[FECHA EMISIÓN],MATCH(Tabla_control[[#This Row],[LOTE]],Tabla_imprenta[LOTE],0)),"REALIZADO")</f>
        <v>REALIZADO</v>
      </c>
      <c r="B361" s="142" t="str">
        <f>IF(COUNTIF(Tabla_imprenta[LOTE],Tabla_control[[#This Row],[LOTE]])=1,INDEX(Tabla_imprenta[CÓD. SOLICITUD],MATCH(Tabla_control[[#This Row],[LOTE]],Tabla_imprenta[LOTE],0)),"REALIZADO")</f>
        <v>REALIZADO</v>
      </c>
      <c r="C361" s="177" t="str">
        <f>IF(COUNTIF(Tabla_imprenta[LOTE],Tabla_control[[#This Row],[LOTE]])=1,INDEX(Tabla_imprenta[PRODUCTO],MATCH(Tabla_control[[#This Row],[LOTE]],Tabla_imprenta[LOTE],0)),"REALIZADO")</f>
        <v>REALIZADO</v>
      </c>
      <c r="D361" s="142" t="str">
        <f>IF(COUNTIF(Tabla_imprenta[LOTE],Tabla_control[[#This Row],[LOTE]])=1,INDEX(Tabla_imprenta[FORMA FARMACEUTICA],MATCH(Tabla_control[[#This Row],[LOTE]],Tabla_imprenta[LOTE],0)),"REALIZADO")</f>
        <v>REALIZADO</v>
      </c>
      <c r="E361" s="177" t="str">
        <f>IF(COUNTIF(Tabla_imprenta[LOTE],Tabla_control[[#This Row],[LOTE]])=1,INDEX(Tabla_imprenta[INSTITUCIÓN],MATCH(Tabla_control[[#This Row],[LOTE]],Tabla_imprenta[LOTE],0)),"REALIZADO")</f>
        <v>REALIZADO</v>
      </c>
      <c r="F361" s="180" t="s">
        <v>2242</v>
      </c>
      <c r="G361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61" s="139" t="str">
        <f>IF(COUNTIF(Tabla_imprenta[LOTE],Tabla_control[[#This Row],[LOTE]])=1,INDEX(Tabla_imprenta[stock sap],MATCH(Tabla_control[[#This Row],[LOTE]],Tabla_imprenta[LOTE],0)),"ENTREGADO")</f>
        <v>ENTREGADO</v>
      </c>
      <c r="I361" s="139" t="str">
        <f>IF(Tabla_control[[#This Row],[STOCK SAP]]&gt;Tabla_control[[#This Row],[CANTIDAD IMPRIMIR]],"cubre","no cubre")</f>
        <v>no cubre</v>
      </c>
      <c r="J361" s="7" t="str">
        <f>IF(COUNTIF(Tabla_imprenta[LOTE],Tabla_control[[#This Row],[LOTE]])=1,INDEX(Tabla_imprenta[STOCK],MATCH(Tabla_control[[#This Row],[LOTE]],Tabla_imprenta[LOTE],0)),"ENTREGADO")</f>
        <v>ENTREGADO</v>
      </c>
      <c r="K36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61" s="148" t="e">
        <f>INDEX(Tabla_imprenta[FECHA CAJA],MATCH(Tabla_control[[#This Row],[LOTE]],Tabla_imprenta[LOTE],0))</f>
        <v>#N/A</v>
      </c>
      <c r="M36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6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6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61" s="169" t="e">
        <f>ROUNDUP(Tabla_control[[#This Row],[CANTIDAD IMPRIMIR]]/Tabla_control[[#This Row],[N TJ]],0)</f>
        <v>#VALUE!</v>
      </c>
      <c r="Q361" s="169" t="e">
        <f>IF(Tabla_control[[#This Row],[CANTIDAD TIRAJE]]&gt;10000,Tabla_control[[#This Row],[CANTIDAD TIRAJE]],Tabla_control[[#This Row],[CANTIDAD TIRAJE]]*2)</f>
        <v>#VALUE!</v>
      </c>
      <c r="R361" s="4" t="s">
        <v>172</v>
      </c>
      <c r="S361" s="4" t="s">
        <v>30</v>
      </c>
      <c r="T361" s="4"/>
      <c r="U361" s="4"/>
      <c r="V361" s="4"/>
      <c r="W361" s="138" t="s">
        <v>3223</v>
      </c>
      <c r="X361" s="138"/>
      <c r="Y361" s="138"/>
      <c r="Z361" s="138"/>
      <c r="AA361" s="4" t="s">
        <v>2031</v>
      </c>
      <c r="AB361" s="184" t="s">
        <v>2028</v>
      </c>
    </row>
    <row r="362" spans="1:28" hidden="1" x14ac:dyDescent="0.2">
      <c r="A362" s="175">
        <f>IF(COUNTIF(Tabla_imprenta[LOTE],Tabla_control[[#This Row],[LOTE]])=1,INDEX(Tabla_imprenta[FECHA EMISIÓN],MATCH(Tabla_control[[#This Row],[LOTE]],Tabla_imprenta[LOTE],0)),"REALIZADO")</f>
        <v>46113</v>
      </c>
      <c r="B362" s="142">
        <f>IF(COUNTIF(Tabla_imprenta[LOTE],Tabla_control[[#This Row],[LOTE]])=1,INDEX(Tabla_imprenta[CÓD. SOLICITUD],MATCH(Tabla_control[[#This Row],[LOTE]],Tabla_imprenta[LOTE],0)),"REALIZADO")</f>
        <v>0</v>
      </c>
      <c r="C362" s="177" t="str">
        <f>IF(COUNTIF(Tabla_imprenta[LOTE],Tabla_control[[#This Row],[LOTE]])=1,INDEX(Tabla_imprenta[PRODUCTO],MATCH(Tabla_control[[#This Row],[LOTE]],Tabla_imprenta[LOTE],0)),"REALIZADO")</f>
        <v>PARACETAMOL 1G X 500 COMP. RECUBIERTO</v>
      </c>
      <c r="D362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62" s="177" t="str">
        <f>IF(COUNTIF(Tabla_imprenta[LOTE],Tabla_control[[#This Row],[LOTE]])=1,INDEX(Tabla_imprenta[INSTITUCIÓN],MATCH(Tabla_control[[#This Row],[LOTE]],Tabla_imprenta[LOTE],0)),"REALIZADO")</f>
        <v>COMERCIO</v>
      </c>
      <c r="F362" s="181" t="s">
        <v>3180</v>
      </c>
      <c r="G362" s="139">
        <f>IF(COUNTIF(Tabla_imprenta[LOTE],Tabla_control[[#This Row],[LOTE]])=1,INDEX(Tabla_imprenta[CANTIDAD ENVASE SECUNDARIO],MATCH(Tabla_control[[#This Row],[LOTE]],Tabla_imprenta[LOTE],0)),"ENTREGADO")</f>
        <v>390</v>
      </c>
      <c r="H362" s="139">
        <f>IF(COUNTIF(Tabla_imprenta[LOTE],Tabla_control[[#This Row],[LOTE]])=1,INDEX(Tabla_imprenta[stock sap],MATCH(Tabla_control[[#This Row],[LOTE]],Tabla_imprenta[LOTE],0)),"ENTREGADO")</f>
        <v>354</v>
      </c>
      <c r="I362" s="139" t="str">
        <f>IF(Tabla_control[[#This Row],[STOCK SAP]]&gt;Tabla_control[[#This Row],[CANTIDAD IMPRIMIR]],"cubre","no cubre")</f>
        <v>no cubre</v>
      </c>
      <c r="J362" s="182">
        <f>IF(COUNTIF(Tabla_imprenta[LOTE],Tabla_control[[#This Row],[LOTE]])=1,INDEX(Tabla_imprenta[STOCK],MATCH(Tabla_control[[#This Row],[LOTE]],Tabla_imprenta[LOTE],0)),"ENTREGADO")</f>
        <v>0.20689655172413793</v>
      </c>
      <c r="K36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62" s="148" t="str">
        <f>INDEX(Tabla_imprenta[FECHA CAJA],MATCH(Tabla_control[[#This Row],[LOTE]],Tabla_imprenta[LOTE],0))</f>
        <v>ENTREGADO</v>
      </c>
      <c r="M36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6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36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26</v>
      </c>
      <c r="P362" s="170">
        <f>ROUNDUP(Tabla_control[[#This Row],[CANTIDAD IMPRIMIR]]/Tabla_control[[#This Row],[N TJ]],0)</f>
        <v>390</v>
      </c>
      <c r="Q362" s="170">
        <f>IF(Tabla_control[[#This Row],[CANTIDAD TIRAJE]]&gt;10000,Tabla_control[[#This Row],[CANTIDAD TIRAJE]],Tabla_control[[#This Row],[CANTIDAD TIRAJE]]*2)</f>
        <v>780</v>
      </c>
      <c r="R362" s="186" t="s">
        <v>172</v>
      </c>
      <c r="S362" s="4" t="s">
        <v>30</v>
      </c>
      <c r="T362" s="4"/>
      <c r="U362" s="4"/>
      <c r="V362" s="4"/>
      <c r="W362" s="185" t="s">
        <v>3223</v>
      </c>
      <c r="X362" s="185"/>
      <c r="Y362" s="185"/>
      <c r="Z362" s="185"/>
      <c r="AA362" s="186" t="s">
        <v>2429</v>
      </c>
      <c r="AB362" s="184" t="s">
        <v>3222</v>
      </c>
    </row>
    <row r="363" spans="1:28" hidden="1" x14ac:dyDescent="0.2">
      <c r="A363" s="175" t="str">
        <f>IF(COUNTIF(Tabla_imprenta[LOTE],Tabla_control[[#This Row],[LOTE]])=1,INDEX(Tabla_imprenta[FECHA EMISIÓN],MATCH(Tabla_control[[#This Row],[LOTE]],Tabla_imprenta[LOTE],0)),"REALIZADO")</f>
        <v>REALIZADO</v>
      </c>
      <c r="B363" s="142" t="str">
        <f>IF(COUNTIF(Tabla_imprenta[LOTE],Tabla_control[[#This Row],[LOTE]])=1,INDEX(Tabla_imprenta[CÓD. SOLICITUD],MATCH(Tabla_control[[#This Row],[LOTE]],Tabla_imprenta[LOTE],0)),"REALIZADO")</f>
        <v>REALIZADO</v>
      </c>
      <c r="C363" s="177" t="str">
        <f>IF(COUNTIF(Tabla_imprenta[LOTE],Tabla_control[[#This Row],[LOTE]])=1,INDEX(Tabla_imprenta[PRODUCTO],MATCH(Tabla_control[[#This Row],[LOTE]],Tabla_imprenta[LOTE],0)),"REALIZADO")</f>
        <v>REALIZADO</v>
      </c>
      <c r="D363" s="142" t="str">
        <f>IF(COUNTIF(Tabla_imprenta[LOTE],Tabla_control[[#This Row],[LOTE]])=1,INDEX(Tabla_imprenta[FORMA FARMACEUTICA],MATCH(Tabla_control[[#This Row],[LOTE]],Tabla_imprenta[LOTE],0)),"REALIZADO")</f>
        <v>REALIZADO</v>
      </c>
      <c r="E363" s="177" t="str">
        <f>IF(COUNTIF(Tabla_imprenta[LOTE],Tabla_control[[#This Row],[LOTE]])=1,INDEX(Tabla_imprenta[INSTITUCIÓN],MATCH(Tabla_control[[#This Row],[LOTE]],Tabla_imprenta[LOTE],0)),"REALIZADO")</f>
        <v>REALIZADO</v>
      </c>
      <c r="F363" s="181" t="s">
        <v>3162</v>
      </c>
      <c r="G363" s="139" t="str">
        <f>IF(COUNTIF(Tabla_imprenta[LOTE],Tabla_control[[#This Row],[LOTE]])=1,INDEX(Tabla_imprenta[CANTIDAD ENVASE SECUNDARIO],MATCH(Tabla_control[[#This Row],[LOTE]],Tabla_imprenta[LOTE],0)),"ENTREGADO")</f>
        <v>ENTREGADO</v>
      </c>
      <c r="H363" s="139" t="str">
        <f>IF(COUNTIF(Tabla_imprenta[LOTE],Tabla_control[[#This Row],[LOTE]])=1,INDEX(Tabla_imprenta[stock sap],MATCH(Tabla_control[[#This Row],[LOTE]],Tabla_imprenta[LOTE],0)),"ENTREGADO")</f>
        <v>ENTREGADO</v>
      </c>
      <c r="I363" s="139" t="str">
        <f>IF(Tabla_control[[#This Row],[STOCK SAP]]&gt;Tabla_control[[#This Row],[CANTIDAD IMPRIMIR]],"cubre","no cubre")</f>
        <v>no cubre</v>
      </c>
      <c r="J363" s="182" t="str">
        <f>IF(COUNTIF(Tabla_imprenta[LOTE],Tabla_control[[#This Row],[LOTE]])=1,INDEX(Tabla_imprenta[STOCK],MATCH(Tabla_control[[#This Row],[LOTE]],Tabla_imprenta[LOTE],0)),"ENTREGADO")</f>
        <v>ENTREGADO</v>
      </c>
      <c r="K36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63" s="148" t="e">
        <f>INDEX(Tabla_imprenta[FECHA CAJA],MATCH(Tabla_control[[#This Row],[LOTE]],Tabla_imprenta[LOTE],0))</f>
        <v>#N/A</v>
      </c>
      <c r="M36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36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36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363" s="170" t="e">
        <f>ROUNDUP(Tabla_control[[#This Row],[CANTIDAD IMPRIMIR]]/Tabla_control[[#This Row],[N TJ]],0)</f>
        <v>#VALUE!</v>
      </c>
      <c r="Q363" s="170" t="e">
        <f>IF(Tabla_control[[#This Row],[CANTIDAD TIRAJE]]&gt;10000,Tabla_control[[#This Row],[CANTIDAD TIRAJE]],Tabla_control[[#This Row],[CANTIDAD TIRAJE]]*2)</f>
        <v>#VALUE!</v>
      </c>
      <c r="R363" s="186" t="s">
        <v>172</v>
      </c>
      <c r="S363" s="4" t="s">
        <v>30</v>
      </c>
      <c r="T363" s="4"/>
      <c r="U363" s="4"/>
      <c r="V363" s="4"/>
      <c r="W363" s="185" t="s">
        <v>3239</v>
      </c>
      <c r="X363" s="185"/>
      <c r="Y363" s="185"/>
      <c r="Z363" s="185"/>
      <c r="AA363" s="186" t="s">
        <v>2031</v>
      </c>
      <c r="AB363" s="184" t="s">
        <v>2028</v>
      </c>
    </row>
    <row r="364" spans="1:28" hidden="1" x14ac:dyDescent="0.2">
      <c r="A364" s="175">
        <f>IF(COUNTIF(Tabla_imprenta[LOTE],Tabla_control[[#This Row],[LOTE]])=1,INDEX(Tabla_imprenta[FECHA EMISIÓN],MATCH(Tabla_control[[#This Row],[LOTE]],Tabla_imprenta[LOTE],0)),"REALIZADO")</f>
        <v>46113</v>
      </c>
      <c r="B364" s="142">
        <f>IF(COUNTIF(Tabla_imprenta[LOTE],Tabla_control[[#This Row],[LOTE]])=1,INDEX(Tabla_imprenta[CÓD. SOLICITUD],MATCH(Tabla_control[[#This Row],[LOTE]],Tabla_imprenta[LOTE],0)),"REALIZADO")</f>
        <v>0</v>
      </c>
      <c r="C364" s="177" t="str">
        <f>IF(COUNTIF(Tabla_imprenta[LOTE],Tabla_control[[#This Row],[LOTE]])=1,INDEX(Tabla_imprenta[PRODUCTO],MATCH(Tabla_control[[#This Row],[LOTE]],Tabla_imprenta[LOTE],0)),"REALIZADO")</f>
        <v>KETOROLACO 30 MG X 3 AMP. SOLUCION INY.</v>
      </c>
      <c r="D364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364" s="177" t="str">
        <f>IF(COUNTIF(Tabla_imprenta[LOTE],Tabla_control[[#This Row],[LOTE]])=1,INDEX(Tabla_imprenta[INSTITUCIÓN],MATCH(Tabla_control[[#This Row],[LOTE]],Tabla_imprenta[LOTE],0)),"REALIZADO")</f>
        <v>COMERCIO</v>
      </c>
      <c r="F364" s="181" t="s">
        <v>3122</v>
      </c>
      <c r="G364" s="139">
        <f>IF(COUNTIF(Tabla_imprenta[LOTE],Tabla_control[[#This Row],[LOTE]])=1,INDEX(Tabla_imprenta[CANTIDAD ENVASE SECUNDARIO],MATCH(Tabla_control[[#This Row],[LOTE]],Tabla_imprenta[LOTE],0)),"ENTREGADO")</f>
        <v>46666.666666666664</v>
      </c>
      <c r="H364" s="139">
        <f>IF(COUNTIF(Tabla_imprenta[LOTE],Tabla_control[[#This Row],[LOTE]])=1,INDEX(Tabla_imprenta[stock sap],MATCH(Tabla_control[[#This Row],[LOTE]],Tabla_imprenta[LOTE],0)),"ENTREGADO")</f>
        <v>1115</v>
      </c>
      <c r="I364" s="139" t="str">
        <f>IF(Tabla_control[[#This Row],[STOCK SAP]]&gt;Tabla_control[[#This Row],[CANTIDAD IMPRIMIR]],"cubre","no cubre")</f>
        <v>no cubre</v>
      </c>
      <c r="J364" s="182">
        <f>IF(COUNTIF(Tabla_imprenta[LOTE],Tabla_control[[#This Row],[LOTE]])=1,INDEX(Tabla_imprenta[STOCK],MATCH(Tabla_control[[#This Row],[LOTE]],Tabla_imprenta[LOTE],0)),"ENTREGADO")</f>
        <v>0.16573485339769692</v>
      </c>
      <c r="K36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64" s="148" t="str">
        <f>INDEX(Tabla_imprenta[FECHA CAJA],MATCH(Tabla_control[[#This Row],[LOTE]],Tabla_imprenta[LOTE],0))</f>
        <v>ENTREGADO</v>
      </c>
      <c r="M36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6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8</v>
      </c>
      <c r="O36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364" s="170">
        <f>ROUNDUP(Tabla_control[[#This Row],[CANTIDAD IMPRIMIR]]/Tabla_control[[#This Row],[N TJ]],0)</f>
        <v>5834</v>
      </c>
      <c r="Q364" s="170">
        <f>IF(Tabla_control[[#This Row],[CANTIDAD TIRAJE]]&gt;10000,Tabla_control[[#This Row],[CANTIDAD TIRAJE]],Tabla_control[[#This Row],[CANTIDAD TIRAJE]]*2)</f>
        <v>11668</v>
      </c>
      <c r="R364" s="186" t="s">
        <v>172</v>
      </c>
      <c r="S364" s="4" t="s">
        <v>31</v>
      </c>
      <c r="T364" s="4"/>
      <c r="U364" s="4"/>
      <c r="V364" s="4"/>
      <c r="W364" s="185" t="s">
        <v>3223</v>
      </c>
      <c r="X364" s="185"/>
      <c r="Y364" s="185"/>
      <c r="Z364" s="185"/>
      <c r="AA364" s="186" t="s">
        <v>2314</v>
      </c>
      <c r="AB364" s="184" t="s">
        <v>3222</v>
      </c>
    </row>
    <row r="365" spans="1:28" hidden="1" x14ac:dyDescent="0.2">
      <c r="A365" s="175">
        <f>IF(COUNTIF(Tabla_imprenta[LOTE],Tabla_control[[#This Row],[LOTE]])=1,INDEX(Tabla_imprenta[FECHA EMISIÓN],MATCH(Tabla_control[[#This Row],[LOTE]],Tabla_imprenta[LOTE],0)),"REALIZADO")</f>
        <v>46113</v>
      </c>
      <c r="B365" s="142">
        <f>IF(COUNTIF(Tabla_imprenta[LOTE],Tabla_control[[#This Row],[LOTE]])=1,INDEX(Tabla_imprenta[CÓD. SOLICITUD],MATCH(Tabla_control[[#This Row],[LOTE]],Tabla_imprenta[LOTE],0)),"REALIZADO")</f>
        <v>0</v>
      </c>
      <c r="C365" s="177" t="str">
        <f>IF(COUNTIF(Tabla_imprenta[LOTE],Tabla_control[[#This Row],[LOTE]])=1,INDEX(Tabla_imprenta[PRODUCTO],MATCH(Tabla_control[[#This Row],[LOTE]],Tabla_imprenta[LOTE],0)),"REALIZADO")</f>
        <v>KETOCONAZOL 200 MG X 100 COMP. RECUBIERTO VETERINARIO</v>
      </c>
      <c r="D365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65" s="177" t="str">
        <f>IF(COUNTIF(Tabla_imprenta[LOTE],Tabla_control[[#This Row],[LOTE]])=1,INDEX(Tabla_imprenta[INSTITUCIÓN],MATCH(Tabla_control[[#This Row],[LOTE]],Tabla_imprenta[LOTE],0)),"REALIZADO")</f>
        <v>COMERCIO</v>
      </c>
      <c r="F365" s="181" t="s">
        <v>3096</v>
      </c>
      <c r="G365" s="139">
        <f>IF(COUNTIF(Tabla_imprenta[LOTE],Tabla_control[[#This Row],[LOTE]])=1,INDEX(Tabla_imprenta[CANTIDAD ENVASE SECUNDARIO],MATCH(Tabla_control[[#This Row],[LOTE]],Tabla_imprenta[LOTE],0)),"ENTREGADO")</f>
        <v>400</v>
      </c>
      <c r="H365" s="139">
        <f>IF(COUNTIF(Tabla_imprenta[LOTE],Tabla_control[[#This Row],[LOTE]])=1,INDEX(Tabla_imprenta[stock sap],MATCH(Tabla_control[[#This Row],[LOTE]],Tabla_imprenta[LOTE],0)),"ENTREGADO")</f>
        <v>153</v>
      </c>
      <c r="I365" s="139" t="str">
        <f>IF(Tabla_control[[#This Row],[STOCK SAP]]&gt;Tabla_control[[#This Row],[CANTIDAD IMPRIMIR]],"cubre","no cubre")</f>
        <v>no cubre</v>
      </c>
      <c r="J365" s="182">
        <f>IF(COUNTIF(Tabla_imprenta[LOTE],Tabla_control[[#This Row],[LOTE]])=1,INDEX(Tabla_imprenta[STOCK],MATCH(Tabla_control[[#This Row],[LOTE]],Tabla_imprenta[LOTE],0)),"ENTREGADO")</f>
        <v>2.2196236844902733</v>
      </c>
      <c r="K36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65" s="148" t="str">
        <f>INDEX(Tabla_imprenta[FECHA CAJA],MATCH(Tabla_control[[#This Row],[LOTE]],Tabla_imprenta[LOTE],0))</f>
        <v>ENTREGADO</v>
      </c>
      <c r="M36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36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6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34</v>
      </c>
      <c r="P365" s="169">
        <f>ROUNDUP(Tabla_control[[#This Row],[CANTIDAD IMPRIMIR]]/Tabla_control[[#This Row],[N TJ]],0)</f>
        <v>100</v>
      </c>
      <c r="Q365" s="169">
        <f>IF(Tabla_control[[#This Row],[CANTIDAD TIRAJE]]&gt;10000,Tabla_control[[#This Row],[CANTIDAD TIRAJE]],Tabla_control[[#This Row],[CANTIDAD TIRAJE]]*2)</f>
        <v>200</v>
      </c>
      <c r="R365" s="186" t="s">
        <v>176</v>
      </c>
      <c r="S365" s="4" t="s">
        <v>30</v>
      </c>
      <c r="T365" s="4"/>
      <c r="U365" s="4"/>
      <c r="V365" s="4"/>
      <c r="W365" s="187" t="s">
        <v>3223</v>
      </c>
      <c r="X365" s="187"/>
      <c r="Y365" s="187"/>
      <c r="Z365" s="187"/>
      <c r="AA365" s="186" t="s">
        <v>321</v>
      </c>
      <c r="AB365" s="184" t="s">
        <v>2028</v>
      </c>
    </row>
    <row r="366" spans="1:28" hidden="1" x14ac:dyDescent="0.2">
      <c r="A366" s="175">
        <f>IF(COUNTIF(Tabla_imprenta[LOTE],Tabla_control[[#This Row],[LOTE]])=1,INDEX(Tabla_imprenta[FECHA EMISIÓN],MATCH(Tabla_control[[#This Row],[LOTE]],Tabla_imprenta[LOTE],0)),"REALIZADO")</f>
        <v>46113</v>
      </c>
      <c r="B366" s="142">
        <f>IF(COUNTIF(Tabla_imprenta[LOTE],Tabla_control[[#This Row],[LOTE]])=1,INDEX(Tabla_imprenta[CÓD. SOLICITUD],MATCH(Tabla_control[[#This Row],[LOTE]],Tabla_imprenta[LOTE],0)),"REALIZADO")</f>
        <v>0</v>
      </c>
      <c r="C366" s="177" t="str">
        <f>IF(COUNTIF(Tabla_imprenta[LOTE],Tabla_control[[#This Row],[LOTE]])=1,INDEX(Tabla_imprenta[PRODUCTO],MATCH(Tabla_control[[#This Row],[LOTE]],Tabla_imprenta[LOTE],0)),"REALIZADO")</f>
        <v>KETOCONAZOL 200 MG X 100 COMP. RECUBIERTO</v>
      </c>
      <c r="D366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66" s="177" t="str">
        <f>IF(COUNTIF(Tabla_imprenta[LOTE],Tabla_control[[#This Row],[LOTE]])=1,INDEX(Tabla_imprenta[INSTITUCIÓN],MATCH(Tabla_control[[#This Row],[LOTE]],Tabla_imprenta[LOTE],0)),"REALIZADO")</f>
        <v>COMERCIO</v>
      </c>
      <c r="F366" s="181" t="s">
        <v>3102</v>
      </c>
      <c r="G366" s="139">
        <f>IF(COUNTIF(Tabla_imprenta[LOTE],Tabla_control[[#This Row],[LOTE]])=1,INDEX(Tabla_imprenta[CANTIDAD ENVASE SECUNDARIO],MATCH(Tabla_control[[#This Row],[LOTE]],Tabla_imprenta[LOTE],0)),"ENTREGADO")</f>
        <v>1300</v>
      </c>
      <c r="H366" s="139">
        <f>IF(COUNTIF(Tabla_imprenta[LOTE],Tabla_control[[#This Row],[LOTE]])=1,INDEX(Tabla_imprenta[stock sap],MATCH(Tabla_control[[#This Row],[LOTE]],Tabla_imprenta[LOTE],0)),"ENTREGADO")</f>
        <v>1238</v>
      </c>
      <c r="I366" s="139" t="str">
        <f>IF(Tabla_control[[#This Row],[STOCK SAP]]&gt;Tabla_control[[#This Row],[CANTIDAD IMPRIMIR]],"cubre","no cubre")</f>
        <v>no cubre</v>
      </c>
      <c r="J366" s="182">
        <f>IF(COUNTIF(Tabla_imprenta[LOTE],Tabla_control[[#This Row],[LOTE]])=1,INDEX(Tabla_imprenta[STOCK],MATCH(Tabla_control[[#This Row],[LOTE]],Tabla_imprenta[LOTE],0)),"ENTREGADO")</f>
        <v>1.255169058623206</v>
      </c>
      <c r="K36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66" s="148" t="str">
        <f>INDEX(Tabla_imprenta[FECHA CAJA],MATCH(Tabla_control[[#This Row],[LOTE]],Tabla_imprenta[LOTE],0))</f>
        <v>ENTREGADO</v>
      </c>
      <c r="M36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6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6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34</v>
      </c>
      <c r="P366" s="170">
        <f>ROUNDUP(Tabla_control[[#This Row],[CANTIDAD IMPRIMIR]]/Tabla_control[[#This Row],[N TJ]],0)</f>
        <v>325</v>
      </c>
      <c r="Q366" s="170">
        <f>IF(Tabla_control[[#This Row],[CANTIDAD TIRAJE]]&gt;10000,Tabla_control[[#This Row],[CANTIDAD TIRAJE]],Tabla_control[[#This Row],[CANTIDAD TIRAJE]]*2)</f>
        <v>650</v>
      </c>
      <c r="R366" s="186" t="s">
        <v>172</v>
      </c>
      <c r="S366" s="4" t="s">
        <v>30</v>
      </c>
      <c r="T366" s="4"/>
      <c r="U366" s="4"/>
      <c r="V366" s="4"/>
      <c r="W366" s="185" t="s">
        <v>3223</v>
      </c>
      <c r="X366" s="185"/>
      <c r="Y366" s="185"/>
      <c r="Z366" s="185"/>
      <c r="AA366" s="186" t="s">
        <v>2031</v>
      </c>
      <c r="AB366" s="184" t="s">
        <v>2028</v>
      </c>
    </row>
    <row r="367" spans="1:28" hidden="1" x14ac:dyDescent="0.2">
      <c r="A367" s="175">
        <f>IF(COUNTIF(Tabla_imprenta[LOTE],Tabla_control[[#This Row],[LOTE]])=1,INDEX(Tabla_imprenta[FECHA EMISIÓN],MATCH(Tabla_control[[#This Row],[LOTE]],Tabla_imprenta[LOTE],0)),"REALIZADO")</f>
        <v>46113</v>
      </c>
      <c r="B367" s="142">
        <f>IF(COUNTIF(Tabla_imprenta[LOTE],Tabla_control[[#This Row],[LOTE]])=1,INDEX(Tabla_imprenta[CÓD. SOLICITUD],MATCH(Tabla_control[[#This Row],[LOTE]],Tabla_imprenta[LOTE],0)),"REALIZADO")</f>
        <v>0</v>
      </c>
      <c r="C367" s="177" t="str">
        <f>IF(COUNTIF(Tabla_imprenta[LOTE],Tabla_control[[#This Row],[LOTE]])=1,INDEX(Tabla_imprenta[PRODUCTO],MATCH(Tabla_control[[#This Row],[LOTE]],Tabla_imprenta[LOTE],0)),"REALIZADO")</f>
        <v>KETOROLACO 30 MG X 3 AMP. SOLUCION INY.</v>
      </c>
      <c r="D367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367" s="177" t="str">
        <f>IF(COUNTIF(Tabla_imprenta[LOTE],Tabla_control[[#This Row],[LOTE]])=1,INDEX(Tabla_imprenta[INSTITUCIÓN],MATCH(Tabla_control[[#This Row],[LOTE]],Tabla_imprenta[LOTE],0)),"REALIZADO")</f>
        <v>COMERCIO</v>
      </c>
      <c r="F367" s="181" t="s">
        <v>3225</v>
      </c>
      <c r="G367" s="139">
        <f>IF(COUNTIF(Tabla_imprenta[LOTE],Tabla_control[[#This Row],[LOTE]])=1,INDEX(Tabla_imprenta[CANTIDAD ENVASE SECUNDARIO],MATCH(Tabla_control[[#This Row],[LOTE]],Tabla_imprenta[LOTE],0)),"ENTREGADO")</f>
        <v>46666.666666666664</v>
      </c>
      <c r="H367" s="139">
        <f>IF(COUNTIF(Tabla_imprenta[LOTE],Tabla_control[[#This Row],[LOTE]])=1,INDEX(Tabla_imprenta[stock sap],MATCH(Tabla_control[[#This Row],[LOTE]],Tabla_imprenta[LOTE],0)),"ENTREGADO")</f>
        <v>1115</v>
      </c>
      <c r="I367" s="139" t="str">
        <f>IF(Tabla_control[[#This Row],[STOCK SAP]]&gt;Tabla_control[[#This Row],[CANTIDAD IMPRIMIR]],"cubre","no cubre")</f>
        <v>no cubre</v>
      </c>
      <c r="J367" s="182">
        <f>IF(COUNTIF(Tabla_imprenta[LOTE],Tabla_control[[#This Row],[LOTE]])=1,INDEX(Tabla_imprenta[STOCK],MATCH(Tabla_control[[#This Row],[LOTE]],Tabla_imprenta[LOTE],0)),"ENTREGADO")</f>
        <v>0.16573485339769692</v>
      </c>
      <c r="K36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67" s="148">
        <f>INDEX(Tabla_imprenta[FECHA CAJA],MATCH(Tabla_control[[#This Row],[LOTE]],Tabla_imprenta[LOTE],0))</f>
        <v>46149</v>
      </c>
      <c r="M36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6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8</v>
      </c>
      <c r="O36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367" s="170">
        <f>ROUNDUP(Tabla_control[[#This Row],[CANTIDAD IMPRIMIR]]/Tabla_control[[#This Row],[N TJ]],0)</f>
        <v>5834</v>
      </c>
      <c r="Q367" s="170">
        <f>IF(Tabla_control[[#This Row],[CANTIDAD TIRAJE]]&gt;10000,Tabla_control[[#This Row],[CANTIDAD TIRAJE]],Tabla_control[[#This Row],[CANTIDAD TIRAJE]]*2)</f>
        <v>11668</v>
      </c>
      <c r="R367" s="186" t="s">
        <v>172</v>
      </c>
      <c r="S367" s="4" t="s">
        <v>31</v>
      </c>
      <c r="T367" s="4"/>
      <c r="U367" s="4"/>
      <c r="V367" s="4"/>
      <c r="W367" s="185" t="s">
        <v>3223</v>
      </c>
      <c r="X367" s="185"/>
      <c r="Y367" s="185"/>
      <c r="Z367" s="185"/>
      <c r="AA367" s="186" t="s">
        <v>2314</v>
      </c>
      <c r="AB367" s="184" t="s">
        <v>3222</v>
      </c>
    </row>
    <row r="368" spans="1:28" hidden="1" x14ac:dyDescent="0.2">
      <c r="A368" s="175">
        <f>IF(COUNTIF(Tabla_imprenta[LOTE],Tabla_control[[#This Row],[LOTE]])=1,INDEX(Tabla_imprenta[FECHA EMISIÓN],MATCH(Tabla_control[[#This Row],[LOTE]],Tabla_imprenta[LOTE],0)),"REALIZADO")</f>
        <v>46120</v>
      </c>
      <c r="B368" s="142">
        <f>IF(COUNTIF(Tabla_imprenta[LOTE],Tabla_control[[#This Row],[LOTE]])=1,INDEX(Tabla_imprenta[CÓD. SOLICITUD],MATCH(Tabla_control[[#This Row],[LOTE]],Tabla_imprenta[LOTE],0)),"REALIZADO")</f>
        <v>0</v>
      </c>
      <c r="C368" s="177" t="str">
        <f>IF(COUNTIF(Tabla_imprenta[LOTE],Tabla_control[[#This Row],[LOTE]])=1,INDEX(Tabla_imprenta[PRODUCTO],MATCH(Tabla_control[[#This Row],[LOTE]],Tabla_imprenta[LOTE],0)),"REALIZADO")</f>
        <v>PREDNISONA 20 MG X 100 COMP.</v>
      </c>
      <c r="D368" s="142" t="str">
        <f>IF(COUNTIF(Tabla_imprenta[LOTE],Tabla_control[[#This Row],[LOTE]])=1,INDEX(Tabla_imprenta[FORMA FARMACEUTICA],MATCH(Tabla_control[[#This Row],[LOTE]],Tabla_imprenta[LOTE],0)),"REALIZADO")</f>
        <v>COMPRIMIDO RANURADO</v>
      </c>
      <c r="E368" s="177" t="str">
        <f>IF(COUNTIF(Tabla_imprenta[LOTE],Tabla_control[[#This Row],[LOTE]])=1,INDEX(Tabla_imprenta[INSTITUCIÓN],MATCH(Tabla_control[[#This Row],[LOTE]],Tabla_imprenta[LOTE],0)),"REALIZADO")</f>
        <v>COMERCIO</v>
      </c>
      <c r="F368" s="181" t="s">
        <v>3185</v>
      </c>
      <c r="G368" s="139">
        <f>IF(COUNTIF(Tabla_imprenta[LOTE],Tabla_control[[#This Row],[LOTE]])=1,INDEX(Tabla_imprenta[CANTIDAD ENVASE SECUNDARIO],MATCH(Tabla_control[[#This Row],[LOTE]],Tabla_imprenta[LOTE],0)),"ENTREGADO")</f>
        <v>1900</v>
      </c>
      <c r="H368" s="139">
        <f>IF(COUNTIF(Tabla_imprenta[LOTE],Tabla_control[[#This Row],[LOTE]])=1,INDEX(Tabla_imprenta[stock sap],MATCH(Tabla_control[[#This Row],[LOTE]],Tabla_imprenta[LOTE],0)),"ENTREGADO")</f>
        <v>543</v>
      </c>
      <c r="I368" s="139" t="str">
        <f>IF(Tabla_control[[#This Row],[STOCK SAP]]&gt;Tabla_control[[#This Row],[CANTIDAD IMPRIMIR]],"cubre","no cubre")</f>
        <v>no cubre</v>
      </c>
      <c r="J368" s="182">
        <f>IF(COUNTIF(Tabla_imprenta[LOTE],Tabla_control[[#This Row],[LOTE]])=1,INDEX(Tabla_imprenta[STOCK],MATCH(Tabla_control[[#This Row],[LOTE]],Tabla_imprenta[LOTE],0)),"ENTREGADO")</f>
        <v>0.7280310254439718</v>
      </c>
      <c r="K36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68" s="148" t="str">
        <f>INDEX(Tabla_imprenta[FECHA CAJA],MATCH(Tabla_control[[#This Row],[LOTE]],Tabla_imprenta[LOTE],0))</f>
        <v>ENTREGADO</v>
      </c>
      <c r="M36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6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6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92</v>
      </c>
      <c r="P368" s="170">
        <f>ROUNDUP(Tabla_control[[#This Row],[CANTIDAD IMPRIMIR]]/Tabla_control[[#This Row],[N TJ]],0)</f>
        <v>475</v>
      </c>
      <c r="Q368" s="170">
        <f>IF(Tabla_control[[#This Row],[CANTIDAD TIRAJE]]&gt;10000,Tabla_control[[#This Row],[CANTIDAD TIRAJE]],Tabla_control[[#This Row],[CANTIDAD TIRAJE]]*2)</f>
        <v>950</v>
      </c>
      <c r="R368" s="186" t="s">
        <v>172</v>
      </c>
      <c r="S368" s="4" t="s">
        <v>30</v>
      </c>
      <c r="T368" s="4"/>
      <c r="U368" s="4"/>
      <c r="V368" s="4"/>
      <c r="W368" s="185" t="s">
        <v>3223</v>
      </c>
      <c r="X368" s="185"/>
      <c r="Y368" s="185"/>
      <c r="Z368" s="185"/>
      <c r="AA368" s="186" t="s">
        <v>2031</v>
      </c>
      <c r="AB368" s="184" t="s">
        <v>2028</v>
      </c>
    </row>
    <row r="369" spans="1:28" hidden="1" x14ac:dyDescent="0.2">
      <c r="A369" s="175">
        <f>IF(COUNTIF(Tabla_imprenta[LOTE],Tabla_control[[#This Row],[LOTE]])=1,INDEX(Tabla_imprenta[FECHA EMISIÓN],MATCH(Tabla_control[[#This Row],[LOTE]],Tabla_imprenta[LOTE],0)),"REALIZADO")</f>
        <v>46113</v>
      </c>
      <c r="B369" s="142">
        <f>IF(COUNTIF(Tabla_imprenta[LOTE],Tabla_control[[#This Row],[LOTE]])=1,INDEX(Tabla_imprenta[CÓD. SOLICITUD],MATCH(Tabla_control[[#This Row],[LOTE]],Tabla_imprenta[LOTE],0)),"REALIZADO")</f>
        <v>0</v>
      </c>
      <c r="C369" s="177" t="str">
        <f>IF(COUNTIF(Tabla_imprenta[LOTE],Tabla_control[[#This Row],[LOTE]])=1,INDEX(Tabla_imprenta[PRODUCTO],MATCH(Tabla_control[[#This Row],[LOTE]],Tabla_imprenta[LOTE],0)),"REALIZADO")</f>
        <v>CLARIMEX 250 MG X 80 ML GRANULOS PARA SUSP. + DILUYENTE</v>
      </c>
      <c r="D369" s="142" t="str">
        <f>IF(COUNTIF(Tabla_imprenta[LOTE],Tabla_control[[#This Row],[LOTE]])=1,INDEX(Tabla_imprenta[FORMA FARMACEUTICA],MATCH(Tabla_control[[#This Row],[LOTE]],Tabla_imprenta[LOTE],0)),"REALIZADO")</f>
        <v>GRANULOS PARA SUSPENSIÓN</v>
      </c>
      <c r="E369" s="177" t="str">
        <f>IF(COUNTIF(Tabla_imprenta[LOTE],Tabla_control[[#This Row],[LOTE]])=1,INDEX(Tabla_imprenta[INSTITUCIÓN],MATCH(Tabla_control[[#This Row],[LOTE]],Tabla_imprenta[LOTE],0)),"REALIZADO")</f>
        <v>COMERCIO</v>
      </c>
      <c r="F369" s="181" t="s">
        <v>3078</v>
      </c>
      <c r="G369" s="139">
        <f>IF(COUNTIF(Tabla_imprenta[LOTE],Tabla_control[[#This Row],[LOTE]])=1,INDEX(Tabla_imprenta[CANTIDAD ENVASE SECUNDARIO],MATCH(Tabla_control[[#This Row],[LOTE]],Tabla_imprenta[LOTE],0)),"ENTREGADO")</f>
        <v>4200</v>
      </c>
      <c r="H369" s="139">
        <f>IF(COUNTIF(Tabla_imprenta[LOTE],Tabla_control[[#This Row],[LOTE]])=1,INDEX(Tabla_imprenta[stock sap],MATCH(Tabla_control[[#This Row],[LOTE]],Tabla_imprenta[LOTE],0)),"ENTREGADO")</f>
        <v>1550</v>
      </c>
      <c r="I369" s="139" t="str">
        <f>IF(Tabla_control[[#This Row],[STOCK SAP]]&gt;Tabla_control[[#This Row],[CANTIDAD IMPRIMIR]],"cubre","no cubre")</f>
        <v>no cubre</v>
      </c>
      <c r="J369" s="182">
        <f>IF(COUNTIF(Tabla_imprenta[LOTE],Tabla_control[[#This Row],[LOTE]])=1,INDEX(Tabla_imprenta[STOCK],MATCH(Tabla_control[[#This Row],[LOTE]],Tabla_imprenta[LOTE],0)),"ENTREGADO")</f>
        <v>1.691164639628981</v>
      </c>
      <c r="K36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46148</v>
      </c>
      <c r="L369" s="148" t="str">
        <f>INDEX(Tabla_imprenta[FECHA CAJA],MATCH(Tabla_control[[#This Row],[LOTE]],Tabla_imprenta[LOTE],0))</f>
        <v>ENTREGADO</v>
      </c>
      <c r="M36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36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6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71</v>
      </c>
      <c r="P369" s="170">
        <f>ROUNDUP(Tabla_control[[#This Row],[CANTIDAD IMPRIMIR]]/Tabla_control[[#This Row],[N TJ]],0)</f>
        <v>2100</v>
      </c>
      <c r="Q369" s="170">
        <f>IF(Tabla_control[[#This Row],[CANTIDAD TIRAJE]]&gt;10000,Tabla_control[[#This Row],[CANTIDAD TIRAJE]],Tabla_control[[#This Row],[CANTIDAD TIRAJE]]*2)</f>
        <v>4200</v>
      </c>
      <c r="R369" s="186" t="s">
        <v>177</v>
      </c>
      <c r="S369" s="4" t="s">
        <v>174</v>
      </c>
      <c r="T369" s="4"/>
      <c r="U369" s="4"/>
      <c r="V369" s="4"/>
      <c r="W369" s="193" t="s">
        <v>3223</v>
      </c>
      <c r="X369" s="193"/>
      <c r="Y369" s="193"/>
      <c r="Z369" s="193"/>
      <c r="AA369" s="186" t="s">
        <v>321</v>
      </c>
      <c r="AB369" s="184" t="s">
        <v>2028</v>
      </c>
    </row>
    <row r="370" spans="1:28" hidden="1" x14ac:dyDescent="0.2">
      <c r="A370" s="175">
        <f>IF(COUNTIF(Tabla_imprenta[LOTE],Tabla_control[[#This Row],[LOTE]])=1,INDEX(Tabla_imprenta[FECHA EMISIÓN],MATCH(Tabla_control[[#This Row],[LOTE]],Tabla_imprenta[LOTE],0)),"REALIZADO")</f>
        <v>46083</v>
      </c>
      <c r="B370" s="142">
        <f>IF(COUNTIF(Tabla_imprenta[LOTE],Tabla_control[[#This Row],[LOTE]])=1,INDEX(Tabla_imprenta[CÓD. SOLICITUD],MATCH(Tabla_control[[#This Row],[LOTE]],Tabla_imprenta[LOTE],0)),"REALIZADO")</f>
        <v>0</v>
      </c>
      <c r="C370" s="178" t="str">
        <f>IF(COUNTIF(Tabla_imprenta[LOTE],Tabla_control[[#This Row],[LOTE]])=1,INDEX(Tabla_imprenta[PRODUCTO],MATCH(Tabla_control[[#This Row],[LOTE]],Tabla_imprenta[LOTE],0)),"REALIZADO")</f>
        <v>DONTOFLAMON NF X 10 COMP. RECUBIERTO</v>
      </c>
      <c r="D370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70" s="177" t="str">
        <f>IF(COUNTIF(Tabla_imprenta[LOTE],Tabla_control[[#This Row],[LOTE]])=1,INDEX(Tabla_imprenta[INSTITUCIÓN],MATCH(Tabla_control[[#This Row],[LOTE]],Tabla_imprenta[LOTE],0)),"REALIZADO")</f>
        <v>COMERCIO</v>
      </c>
      <c r="F370" s="180" t="s">
        <v>2569</v>
      </c>
      <c r="G370" s="139">
        <f>IF(COUNTIF(Tabla_imprenta[LOTE],Tabla_control[[#This Row],[LOTE]])=1,INDEX(Tabla_imprenta[CANTIDAD ENVASE SECUNDARIO],MATCH(Tabla_control[[#This Row],[LOTE]],Tabla_imprenta[LOTE],0)),"ENTREGADO")</f>
        <v>7000</v>
      </c>
      <c r="H370" s="139" t="e">
        <f>IF(COUNTIF(Tabla_imprenta[LOTE],Tabla_control[[#This Row],[LOTE]])=1,INDEX(Tabla_imprenta[stock sap],MATCH(Tabla_control[[#This Row],[LOTE]],Tabla_imprenta[LOTE],0)),"ENTREGADO")</f>
        <v>#N/A</v>
      </c>
      <c r="I370" s="139" t="e">
        <f>IF(Tabla_control[[#This Row],[STOCK SAP]]&gt;Tabla_control[[#This Row],[CANTIDAD IMPRIMIR]],"cubre","no cubre")</f>
        <v>#N/A</v>
      </c>
      <c r="J370" s="7">
        <f>IF(COUNTIF(Tabla_imprenta[LOTE],Tabla_control[[#This Row],[LOTE]])=1,INDEX(Tabla_imprenta[STOCK],MATCH(Tabla_control[[#This Row],[LOTE]],Tabla_imprenta[LOTE],0)),"ENTREGADO")</f>
        <v>0.27627270020839534</v>
      </c>
      <c r="K37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70" s="148" t="str">
        <f>INDEX(Tabla_imprenta[FECHA CAJA],MATCH(Tabla_control[[#This Row],[LOTE]],Tabla_imprenta[LOTE],0))</f>
        <v>ENTREGADO</v>
      </c>
      <c r="M37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7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37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370" s="170">
        <f>ROUNDUP(Tabla_control[[#This Row],[CANTIDAD IMPRIMIR]]/Tabla_control[[#This Row],[N TJ]],0)</f>
        <v>2334</v>
      </c>
      <c r="Q370" s="170">
        <f>IF(Tabla_control[[#This Row],[CANTIDAD TIRAJE]]&gt;10000,Tabla_control[[#This Row],[CANTIDAD TIRAJE]],Tabla_control[[#This Row],[CANTIDAD TIRAJE]]*2)</f>
        <v>4668</v>
      </c>
      <c r="R370" s="4" t="s">
        <v>173</v>
      </c>
      <c r="S370" s="4" t="s">
        <v>3759</v>
      </c>
      <c r="T370" s="4"/>
      <c r="U370" s="4"/>
      <c r="V370" s="4"/>
      <c r="W370" s="138" t="s">
        <v>3223</v>
      </c>
      <c r="X370" s="138"/>
      <c r="Y370" s="138"/>
      <c r="Z370" s="138"/>
      <c r="AA370" s="4" t="s">
        <v>2429</v>
      </c>
      <c r="AB370" s="184" t="s">
        <v>2028</v>
      </c>
    </row>
    <row r="371" spans="1:28" hidden="1" x14ac:dyDescent="0.2">
      <c r="A371" s="175">
        <f>IF(COUNTIF(Tabla_imprenta[LOTE],Tabla_control[[#This Row],[LOTE]])=1,INDEX(Tabla_imprenta[FECHA EMISIÓN],MATCH(Tabla_control[[#This Row],[LOTE]],Tabla_imprenta[LOTE],0)),"REALIZADO")</f>
        <v>46113</v>
      </c>
      <c r="B371" s="142">
        <f>IF(COUNTIF(Tabla_imprenta[LOTE],Tabla_control[[#This Row],[LOTE]])=1,INDEX(Tabla_imprenta[CÓD. SOLICITUD],MATCH(Tabla_control[[#This Row],[LOTE]],Tabla_imprenta[LOTE],0)),"REALIZADO")</f>
        <v>0</v>
      </c>
      <c r="C371" s="177" t="str">
        <f>IF(COUNTIF(Tabla_imprenta[LOTE],Tabla_control[[#This Row],[LOTE]])=1,INDEX(Tabla_imprenta[PRODUCTO],MATCH(Tabla_control[[#This Row],[LOTE]],Tabla_imprenta[LOTE],0)),"REALIZADO")</f>
        <v>PENTAFORTE 6.000 X 30 ML POLVO INY. VETERINARIO + DILUYENTE</v>
      </c>
      <c r="D371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371" s="177" t="str">
        <f>IF(COUNTIF(Tabla_imprenta[LOTE],Tabla_control[[#This Row],[LOTE]])=1,INDEX(Tabla_imprenta[INSTITUCIÓN],MATCH(Tabla_control[[#This Row],[LOTE]],Tabla_imprenta[LOTE],0)),"REALIZADO")</f>
        <v>COMERCIO</v>
      </c>
      <c r="F371" s="181" t="s">
        <v>3202</v>
      </c>
      <c r="G371" s="139">
        <f>IF(COUNTIF(Tabla_imprenta[LOTE],Tabla_control[[#This Row],[LOTE]])=1,INDEX(Tabla_imprenta[CANTIDAD ENVASE SECUNDARIO],MATCH(Tabla_control[[#This Row],[LOTE]],Tabla_imprenta[LOTE],0)),"ENTREGADO")</f>
        <v>4000</v>
      </c>
      <c r="H371" s="139">
        <f>IF(COUNTIF(Tabla_imprenta[LOTE],Tabla_control[[#This Row],[LOTE]])=1,INDEX(Tabla_imprenta[stock sap],MATCH(Tabla_control[[#This Row],[LOTE]],Tabla_imprenta[LOTE],0)),"ENTREGADO")</f>
        <v>9464</v>
      </c>
      <c r="I371" s="139" t="str">
        <f>IF(Tabla_control[[#This Row],[STOCK SAP]]&gt;Tabla_control[[#This Row],[CANTIDAD IMPRIMIR]],"cubre","no cubre")</f>
        <v>cubre</v>
      </c>
      <c r="J371" s="182">
        <f>IF(COUNTIF(Tabla_imprenta[LOTE],Tabla_control[[#This Row],[LOTE]])=1,INDEX(Tabla_imprenta[STOCK],MATCH(Tabla_control[[#This Row],[LOTE]],Tabla_imprenta[LOTE],0)),"ENTREGADO")</f>
        <v>2.2384170264135097</v>
      </c>
      <c r="K37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71" s="148" t="str">
        <f>INDEX(Tabla_imprenta[FECHA CAJA],MATCH(Tabla_control[[#This Row],[LOTE]],Tabla_imprenta[LOTE],0))</f>
        <v>ENTREGADO</v>
      </c>
      <c r="M37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37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7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85</v>
      </c>
      <c r="P371" s="170">
        <f>ROUNDUP(Tabla_control[[#This Row],[CANTIDAD IMPRIMIR]]/Tabla_control[[#This Row],[N TJ]],0)</f>
        <v>2000</v>
      </c>
      <c r="Q371" s="170">
        <f>IF(Tabla_control[[#This Row],[CANTIDAD TIRAJE]]&gt;10000,Tabla_control[[#This Row],[CANTIDAD TIRAJE]],Tabla_control[[#This Row],[CANTIDAD TIRAJE]]*2)</f>
        <v>4000</v>
      </c>
      <c r="R371" s="186" t="s">
        <v>176</v>
      </c>
      <c r="S371" s="4" t="s">
        <v>30</v>
      </c>
      <c r="T371" s="4"/>
      <c r="U371" s="4"/>
      <c r="V371" s="4"/>
      <c r="W371" s="187" t="s">
        <v>321</v>
      </c>
      <c r="X371" s="187"/>
      <c r="Y371" s="187"/>
      <c r="Z371" s="187"/>
      <c r="AA371" s="186" t="s">
        <v>321</v>
      </c>
      <c r="AB371" s="184" t="s">
        <v>2028</v>
      </c>
    </row>
    <row r="372" spans="1:28" hidden="1" x14ac:dyDescent="0.2">
      <c r="A372" s="175">
        <f>IF(COUNTIF(Tabla_imprenta[LOTE],Tabla_control[[#This Row],[LOTE]])=1,INDEX(Tabla_imprenta[FECHA EMISIÓN],MATCH(Tabla_control[[#This Row],[LOTE]],Tabla_imprenta[LOTE],0)),"REALIZADO")</f>
        <v>46083</v>
      </c>
      <c r="B372" s="142">
        <f>IF(COUNTIF(Tabla_imprenta[LOTE],Tabla_control[[#This Row],[LOTE]])=1,INDEX(Tabla_imprenta[CÓD. SOLICITUD],MATCH(Tabla_control[[#This Row],[LOTE]],Tabla_imprenta[LOTE],0)),"REALIZADO")</f>
        <v>0</v>
      </c>
      <c r="C372" s="177" t="str">
        <f>IF(COUNTIF(Tabla_imprenta[LOTE],Tabla_control[[#This Row],[LOTE]])=1,INDEX(Tabla_imprenta[PRODUCTO],MATCH(Tabla_control[[#This Row],[LOTE]],Tabla_imprenta[LOTE],0)),"REALIZADO")</f>
        <v>TRICOBIC 1 G X 2 COMP. RECUBIERTO</v>
      </c>
      <c r="D372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72" s="177" t="str">
        <f>IF(COUNTIF(Tabla_imprenta[LOTE],Tabla_control[[#This Row],[LOTE]])=1,INDEX(Tabla_imprenta[INSTITUCIÓN],MATCH(Tabla_control[[#This Row],[LOTE]],Tabla_imprenta[LOTE],0)),"REALIZADO")</f>
        <v>COMERCIO</v>
      </c>
      <c r="F372" s="180" t="s">
        <v>2494</v>
      </c>
      <c r="G372" s="139">
        <f>IF(COUNTIF(Tabla_imprenta[LOTE],Tabla_control[[#This Row],[LOTE]])=1,INDEX(Tabla_imprenta[CANTIDAD ENVASE SECUNDARIO],MATCH(Tabla_control[[#This Row],[LOTE]],Tabla_imprenta[LOTE],0)),"ENTREGADO")</f>
        <v>8500</v>
      </c>
      <c r="H372" s="139" t="e">
        <f>IF(COUNTIF(Tabla_imprenta[LOTE],Tabla_control[[#This Row],[LOTE]])=1,INDEX(Tabla_imprenta[stock sap],MATCH(Tabla_control[[#This Row],[LOTE]],Tabla_imprenta[LOTE],0)),"ENTREGADO")</f>
        <v>#N/A</v>
      </c>
      <c r="I372" s="139" t="e">
        <f>IF(Tabla_control[[#This Row],[STOCK SAP]]&gt;Tabla_control[[#This Row],[CANTIDAD IMPRIMIR]],"cubre","no cubre")</f>
        <v>#N/A</v>
      </c>
      <c r="J372" s="7">
        <f>IF(COUNTIF(Tabla_imprenta[LOTE],Tabla_control[[#This Row],[LOTE]])=1,INDEX(Tabla_imprenta[STOCK],MATCH(Tabla_control[[#This Row],[LOTE]],Tabla_imprenta[LOTE],0)),"ENTREGADO")</f>
        <v>7.1419621601303093E-2</v>
      </c>
      <c r="K37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46154</v>
      </c>
      <c r="L372" s="148" t="str">
        <f>INDEX(Tabla_imprenta[FECHA CAJA],MATCH(Tabla_control[[#This Row],[LOTE]],Tabla_imprenta[LOTE],0))</f>
        <v>ENTREGADO</v>
      </c>
      <c r="M37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7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37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</v>
      </c>
      <c r="P372" s="170">
        <f>ROUNDUP(Tabla_control[[#This Row],[CANTIDAD IMPRIMIR]]/Tabla_control[[#This Row],[N TJ]],0)</f>
        <v>1417</v>
      </c>
      <c r="Q372" s="170">
        <f>IF(Tabla_control[[#This Row],[CANTIDAD TIRAJE]]&gt;10000,Tabla_control[[#This Row],[CANTIDAD TIRAJE]],Tabla_control[[#This Row],[CANTIDAD TIRAJE]]*2)</f>
        <v>2834</v>
      </c>
      <c r="R372" s="4" t="s">
        <v>173</v>
      </c>
      <c r="S372" s="4" t="s">
        <v>3759</v>
      </c>
      <c r="T372" s="4"/>
      <c r="U372" s="4"/>
      <c r="V372" s="4"/>
      <c r="W372" s="138" t="s">
        <v>3223</v>
      </c>
      <c r="X372" s="138"/>
      <c r="Y372" s="138"/>
      <c r="Z372" s="138"/>
      <c r="AA372" s="4" t="s">
        <v>2429</v>
      </c>
      <c r="AB372" s="184" t="s">
        <v>2028</v>
      </c>
    </row>
    <row r="373" spans="1:28" hidden="1" x14ac:dyDescent="0.2">
      <c r="A373" s="175">
        <f>IF(COUNTIF(Tabla_imprenta[LOTE],Tabla_control[[#This Row],[LOTE]])=1,INDEX(Tabla_imprenta[FECHA EMISIÓN],MATCH(Tabla_control[[#This Row],[LOTE]],Tabla_imprenta[LOTE],0)),"REALIZADO")</f>
        <v>46113</v>
      </c>
      <c r="B373" s="142">
        <f>IF(COUNTIF(Tabla_imprenta[LOTE],Tabla_control[[#This Row],[LOTE]])=1,INDEX(Tabla_imprenta[CÓD. SOLICITUD],MATCH(Tabla_control[[#This Row],[LOTE]],Tabla_imprenta[LOTE],0)),"REALIZADO")</f>
        <v>0</v>
      </c>
      <c r="C373" s="177" t="str">
        <f>IF(COUNTIF(Tabla_imprenta[LOTE],Tabla_control[[#This Row],[LOTE]])=1,INDEX(Tabla_imprenta[PRODUCTO],MATCH(Tabla_control[[#This Row],[LOTE]],Tabla_imprenta[LOTE],0)),"REALIZADO")</f>
        <v>DEXTROMETORFANO 10 MG X 100 ML JARABE</v>
      </c>
      <c r="D373" s="142" t="str">
        <f>IF(COUNTIF(Tabla_imprenta[LOTE],Tabla_control[[#This Row],[LOTE]])=1,INDEX(Tabla_imprenta[FORMA FARMACEUTICA],MATCH(Tabla_control[[#This Row],[LOTE]],Tabla_imprenta[LOTE],0)),"REALIZADO")</f>
        <v>JARABE</v>
      </c>
      <c r="E373" s="177" t="str">
        <f>IF(COUNTIF(Tabla_imprenta[LOTE],Tabla_control[[#This Row],[LOTE]])=1,INDEX(Tabla_imprenta[INSTITUCIÓN],MATCH(Tabla_control[[#This Row],[LOTE]],Tabla_imprenta[LOTE],0)),"REALIZADO")</f>
        <v>COMERCIO</v>
      </c>
      <c r="F373" s="196" t="s">
        <v>3218</v>
      </c>
      <c r="G373" s="139">
        <f>IF(COUNTIF(Tabla_imprenta[LOTE],Tabla_control[[#This Row],[LOTE]])=1,INDEX(Tabla_imprenta[CANTIDAD ENVASE SECUNDARIO],MATCH(Tabla_control[[#This Row],[LOTE]],Tabla_imprenta[LOTE],0)),"ENTREGADO")</f>
        <v>29703</v>
      </c>
      <c r="H373" s="139">
        <f>IF(COUNTIF(Tabla_imprenta[LOTE],Tabla_control[[#This Row],[LOTE]])=1,INDEX(Tabla_imprenta[stock sap],MATCH(Tabla_control[[#This Row],[LOTE]],Tabla_imprenta[LOTE],0)),"ENTREGADO")</f>
        <v>2600</v>
      </c>
      <c r="I373" s="139" t="str">
        <f>IF(Tabla_control[[#This Row],[STOCK SAP]]&gt;Tabla_control[[#This Row],[CANTIDAD IMPRIMIR]],"cubre","no cubre")</f>
        <v>no cubre</v>
      </c>
      <c r="J373" s="182">
        <f>IF(COUNTIF(Tabla_imprenta[LOTE],Tabla_control[[#This Row],[LOTE]])=1,INDEX(Tabla_imprenta[STOCK],MATCH(Tabla_control[[#This Row],[LOTE]],Tabla_imprenta[LOTE],0)),"ENTREGADO")</f>
        <v>0.77540560458321139</v>
      </c>
      <c r="K37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73" s="148" t="str">
        <f>INDEX(Tabla_imprenta[FECHA CAJA],MATCH(Tabla_control[[#This Row],[LOTE]],Tabla_imprenta[LOTE],0))</f>
        <v>ENTREGADO</v>
      </c>
      <c r="M37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7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7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373" s="170">
        <f>ROUNDUP(Tabla_control[[#This Row],[CANTIDAD IMPRIMIR]]/Tabla_control[[#This Row],[N TJ]],0)</f>
        <v>14852</v>
      </c>
      <c r="Q373" s="170">
        <f>IF(Tabla_control[[#This Row],[CANTIDAD TIRAJE]]&gt;10000,Tabla_control[[#This Row],[CANTIDAD TIRAJE]],Tabla_control[[#This Row],[CANTIDAD TIRAJE]]*2)</f>
        <v>14852</v>
      </c>
      <c r="R373" s="186" t="s">
        <v>172</v>
      </c>
      <c r="S373" s="4" t="s">
        <v>31</v>
      </c>
      <c r="T373" s="4"/>
      <c r="U373" s="4"/>
      <c r="V373" s="4"/>
      <c r="W373" s="185" t="s">
        <v>3223</v>
      </c>
      <c r="X373" s="185"/>
      <c r="Y373" s="185"/>
      <c r="Z373" s="185"/>
      <c r="AA373" s="186" t="s">
        <v>2031</v>
      </c>
      <c r="AB373" s="184" t="s">
        <v>2028</v>
      </c>
    </row>
    <row r="374" spans="1:28" hidden="1" x14ac:dyDescent="0.2">
      <c r="A374" s="175">
        <f>IF(COUNTIF(Tabla_imprenta[LOTE],Tabla_control[[#This Row],[LOTE]])=1,INDEX(Tabla_imprenta[FECHA EMISIÓN],MATCH(Tabla_control[[#This Row],[LOTE]],Tabla_imprenta[LOTE],0)),"REALIZADO")</f>
        <v>46113</v>
      </c>
      <c r="B374" s="142">
        <f>IF(COUNTIF(Tabla_imprenta[LOTE],Tabla_control[[#This Row],[LOTE]])=1,INDEX(Tabla_imprenta[CÓD. SOLICITUD],MATCH(Tabla_control[[#This Row],[LOTE]],Tabla_imprenta[LOTE],0)),"REALIZADO")</f>
        <v>0</v>
      </c>
      <c r="C374" s="177" t="str">
        <f>IF(COUNTIF(Tabla_imprenta[LOTE],Tabla_control[[#This Row],[LOTE]])=1,INDEX(Tabla_imprenta[PRODUCTO],MATCH(Tabla_control[[#This Row],[LOTE]],Tabla_imprenta[LOTE],0)),"REALIZADO")</f>
        <v>CETIRIZINA 10 MG X 100 COMP. RECUBIERTO</v>
      </c>
      <c r="D374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74" s="177" t="str">
        <f>IF(COUNTIF(Tabla_imprenta[LOTE],Tabla_control[[#This Row],[LOTE]])=1,INDEX(Tabla_imprenta[INSTITUCIÓN],MATCH(Tabla_control[[#This Row],[LOTE]],Tabla_imprenta[LOTE],0)),"REALIZADO")</f>
        <v>COMERCIO</v>
      </c>
      <c r="F374" s="181" t="s">
        <v>3165</v>
      </c>
      <c r="G374" s="139">
        <f>IF(COUNTIF(Tabla_imprenta[LOTE],Tabla_control[[#This Row],[LOTE]])=1,INDEX(Tabla_imprenta[CANTIDAD ENVASE SECUNDARIO],MATCH(Tabla_control[[#This Row],[LOTE]],Tabla_imprenta[LOTE],0)),"ENTREGADO")</f>
        <v>500</v>
      </c>
      <c r="H374" s="139">
        <f>IF(COUNTIF(Tabla_imprenta[LOTE],Tabla_control[[#This Row],[LOTE]])=1,INDEX(Tabla_imprenta[stock sap],MATCH(Tabla_control[[#This Row],[LOTE]],Tabla_imprenta[LOTE],0)),"ENTREGADO")</f>
        <v>1100</v>
      </c>
      <c r="I374" s="139" t="str">
        <f>IF(Tabla_control[[#This Row],[STOCK SAP]]&gt;Tabla_control[[#This Row],[CANTIDAD IMPRIMIR]],"cubre","no cubre")</f>
        <v>cubre</v>
      </c>
      <c r="J374" s="182">
        <f>IF(COUNTIF(Tabla_imprenta[LOTE],Tabla_control[[#This Row],[LOTE]])=1,INDEX(Tabla_imprenta[STOCK],MATCH(Tabla_control[[#This Row],[LOTE]],Tabla_imprenta[LOTE],0)),"ENTREGADO")</f>
        <v>1.2117320881365825</v>
      </c>
      <c r="K37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74" s="148" t="str">
        <f>INDEX(Tabla_imprenta[FECHA CAJA],MATCH(Tabla_control[[#This Row],[LOTE]],Tabla_imprenta[LOTE],0))</f>
        <v>ENTREGADO</v>
      </c>
      <c r="M37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7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7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78</v>
      </c>
      <c r="P374" s="169">
        <f>ROUNDUP(Tabla_control[[#This Row],[CANTIDAD IMPRIMIR]]/Tabla_control[[#This Row],[N TJ]],0)</f>
        <v>250</v>
      </c>
      <c r="Q374" s="169">
        <f>IF(Tabla_control[[#This Row],[CANTIDAD TIRAJE]]&gt;10000,Tabla_control[[#This Row],[CANTIDAD TIRAJE]],Tabla_control[[#This Row],[CANTIDAD TIRAJE]]*2)</f>
        <v>500</v>
      </c>
      <c r="R374" s="186" t="s">
        <v>172</v>
      </c>
      <c r="S374" s="4" t="s">
        <v>30</v>
      </c>
      <c r="T374" s="4"/>
      <c r="U374" s="4"/>
      <c r="V374" s="4"/>
      <c r="W374" s="187" t="s">
        <v>3223</v>
      </c>
      <c r="X374" s="187"/>
      <c r="Y374" s="187"/>
      <c r="Z374" s="187"/>
      <c r="AA374" s="186" t="s">
        <v>321</v>
      </c>
      <c r="AB374" s="184" t="s">
        <v>2028</v>
      </c>
    </row>
    <row r="375" spans="1:28" hidden="1" x14ac:dyDescent="0.2">
      <c r="A375" s="175">
        <f>IF(COUNTIF(Tabla_imprenta[LOTE],Tabla_control[[#This Row],[LOTE]])=1,INDEX(Tabla_imprenta[FECHA EMISIÓN],MATCH(Tabla_control[[#This Row],[LOTE]],Tabla_imprenta[LOTE],0)),"REALIZADO")</f>
        <v>46113</v>
      </c>
      <c r="B375" s="142">
        <f>IF(COUNTIF(Tabla_imprenta[LOTE],Tabla_control[[#This Row],[LOTE]])=1,INDEX(Tabla_imprenta[CÓD. SOLICITUD],MATCH(Tabla_control[[#This Row],[LOTE]],Tabla_imprenta[LOTE],0)),"REALIZADO")</f>
        <v>0</v>
      </c>
      <c r="C375" s="177" t="str">
        <f>IF(COUNTIF(Tabla_imprenta[LOTE],Tabla_control[[#This Row],[LOTE]])=1,INDEX(Tabla_imprenta[PRODUCTO],MATCH(Tabla_control[[#This Row],[LOTE]],Tabla_imprenta[LOTE],0)),"REALIZADO")</f>
        <v>KETOROLACO 30 MG X 3 AMP. SOLUCION INY.</v>
      </c>
      <c r="D375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375" s="177" t="str">
        <f>IF(COUNTIF(Tabla_imprenta[LOTE],Tabla_control[[#This Row],[LOTE]])=1,INDEX(Tabla_imprenta[INSTITUCIÓN],MATCH(Tabla_control[[#This Row],[LOTE]],Tabla_imprenta[LOTE],0)),"REALIZADO")</f>
        <v>COMERCIO</v>
      </c>
      <c r="F375" s="181" t="s">
        <v>3224</v>
      </c>
      <c r="G375" s="139">
        <f>IF(COUNTIF(Tabla_imprenta[LOTE],Tabla_control[[#This Row],[LOTE]])=1,INDEX(Tabla_imprenta[CANTIDAD ENVASE SECUNDARIO],MATCH(Tabla_control[[#This Row],[LOTE]],Tabla_imprenta[LOTE],0)),"ENTREGADO")</f>
        <v>46666.666666666664</v>
      </c>
      <c r="H375" s="139">
        <f>IF(COUNTIF(Tabla_imprenta[LOTE],Tabla_control[[#This Row],[LOTE]])=1,INDEX(Tabla_imprenta[stock sap],MATCH(Tabla_control[[#This Row],[LOTE]],Tabla_imprenta[LOTE],0)),"ENTREGADO")</f>
        <v>1115</v>
      </c>
      <c r="I375" s="139" t="str">
        <f>IF(Tabla_control[[#This Row],[STOCK SAP]]&gt;Tabla_control[[#This Row],[CANTIDAD IMPRIMIR]],"cubre","no cubre")</f>
        <v>no cubre</v>
      </c>
      <c r="J375" s="182">
        <f>IF(COUNTIF(Tabla_imprenta[LOTE],Tabla_control[[#This Row],[LOTE]])=1,INDEX(Tabla_imprenta[STOCK],MATCH(Tabla_control[[#This Row],[LOTE]],Tabla_imprenta[LOTE],0)),"ENTREGADO")</f>
        <v>0.16573485339769692</v>
      </c>
      <c r="K37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46148</v>
      </c>
      <c r="L375" s="148">
        <f>INDEX(Tabla_imprenta[FECHA CAJA],MATCH(Tabla_control[[#This Row],[LOTE]],Tabla_imprenta[LOTE],0))</f>
        <v>46149</v>
      </c>
      <c r="M37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7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8</v>
      </c>
      <c r="O37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375" s="170">
        <f>ROUNDUP(Tabla_control[[#This Row],[CANTIDAD IMPRIMIR]]/Tabla_control[[#This Row],[N TJ]],0)</f>
        <v>5834</v>
      </c>
      <c r="Q375" s="170">
        <f>IF(Tabla_control[[#This Row],[CANTIDAD TIRAJE]]&gt;10000,Tabla_control[[#This Row],[CANTIDAD TIRAJE]],Tabla_control[[#This Row],[CANTIDAD TIRAJE]]*2)</f>
        <v>11668</v>
      </c>
      <c r="R375" s="186" t="s">
        <v>172</v>
      </c>
      <c r="S375" s="4" t="s">
        <v>31</v>
      </c>
      <c r="T375" s="4"/>
      <c r="U375" s="4"/>
      <c r="V375" s="4"/>
      <c r="W375" s="185" t="s">
        <v>3223</v>
      </c>
      <c r="X375" s="185"/>
      <c r="Y375" s="185"/>
      <c r="Z375" s="185"/>
      <c r="AA375" s="186" t="s">
        <v>2314</v>
      </c>
      <c r="AB375" s="184" t="s">
        <v>3222</v>
      </c>
    </row>
    <row r="376" spans="1:28" hidden="1" x14ac:dyDescent="0.2">
      <c r="A376" s="175">
        <f>IF(COUNTIF(Tabla_imprenta[LOTE],Tabla_control[[#This Row],[LOTE]])=1,INDEX(Tabla_imprenta[FECHA EMISIÓN],MATCH(Tabla_control[[#This Row],[LOTE]],Tabla_imprenta[LOTE],0)),"REALIZADO")</f>
        <v>46113</v>
      </c>
      <c r="B376" s="142">
        <f>IF(COUNTIF(Tabla_imprenta[LOTE],Tabla_control[[#This Row],[LOTE]])=1,INDEX(Tabla_imprenta[CÓD. SOLICITUD],MATCH(Tabla_control[[#This Row],[LOTE]],Tabla_imprenta[LOTE],0)),"REALIZADO")</f>
        <v>0</v>
      </c>
      <c r="C376" s="177" t="str">
        <f>IF(COUNTIF(Tabla_imprenta[LOTE],Tabla_control[[#This Row],[LOTE]])=1,INDEX(Tabla_imprenta[PRODUCTO],MATCH(Tabla_control[[#This Row],[LOTE]],Tabla_imprenta[LOTE],0)),"REALIZADO")</f>
        <v>HIDROCORTISONA 1% X 15 G CREMA DERMICA</v>
      </c>
      <c r="D376" s="142" t="str">
        <f>IF(COUNTIF(Tabla_imprenta[LOTE],Tabla_control[[#This Row],[LOTE]])=1,INDEX(Tabla_imprenta[FORMA FARMACEUTICA],MATCH(Tabla_control[[#This Row],[LOTE]],Tabla_imprenta[LOTE],0)),"REALIZADO")</f>
        <v>CREMA DÉRMICA</v>
      </c>
      <c r="E376" s="177" t="str">
        <f>IF(COUNTIF(Tabla_imprenta[LOTE],Tabla_control[[#This Row],[LOTE]])=1,INDEX(Tabla_imprenta[INSTITUCIÓN],MATCH(Tabla_control[[#This Row],[LOTE]],Tabla_imprenta[LOTE],0)),"REALIZADO")</f>
        <v>COMERCIO</v>
      </c>
      <c r="F376" s="181" t="s">
        <v>3228</v>
      </c>
      <c r="G376" s="139">
        <f>IF(COUNTIF(Tabla_imprenta[LOTE],Tabla_control[[#This Row],[LOTE]])=1,INDEX(Tabla_imprenta[CANTIDAD ENVASE SECUNDARIO],MATCH(Tabla_control[[#This Row],[LOTE]],Tabla_imprenta[LOTE],0)),"ENTREGADO")</f>
        <v>17100</v>
      </c>
      <c r="H376" s="139">
        <f>IF(COUNTIF(Tabla_imprenta[LOTE],Tabla_control[[#This Row],[LOTE]])=1,INDEX(Tabla_imprenta[stock sap],MATCH(Tabla_control[[#This Row],[LOTE]],Tabla_imprenta[LOTE],0)),"ENTREGADO")</f>
        <v>2157</v>
      </c>
      <c r="I376" s="139" t="str">
        <f>IF(Tabla_control[[#This Row],[STOCK SAP]]&gt;Tabla_control[[#This Row],[CANTIDAD IMPRIMIR]],"cubre","no cubre")</f>
        <v>no cubre</v>
      </c>
      <c r="J376" s="182">
        <f>IF(COUNTIF(Tabla_imprenta[LOTE],Tabla_control[[#This Row],[LOTE]])=1,INDEX(Tabla_imprenta[STOCK],MATCH(Tabla_control[[#This Row],[LOTE]],Tabla_imprenta[LOTE],0)),"ENTREGADO")</f>
        <v>1.5089103092900005</v>
      </c>
      <c r="K37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76" s="148" t="str">
        <f>INDEX(Tabla_imprenta[FECHA CAJA],MATCH(Tabla_control[[#This Row],[LOTE]],Tabla_imprenta[LOTE],0))</f>
        <v>ENTREGADO</v>
      </c>
      <c r="M37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7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7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376" s="170">
        <f>ROUNDUP(Tabla_control[[#This Row],[CANTIDAD IMPRIMIR]]/Tabla_control[[#This Row],[N TJ]],0)</f>
        <v>4275</v>
      </c>
      <c r="Q376" s="170">
        <f>IF(Tabla_control[[#This Row],[CANTIDAD TIRAJE]]&gt;10000,Tabla_control[[#This Row],[CANTIDAD TIRAJE]],Tabla_control[[#This Row],[CANTIDAD TIRAJE]]*2)</f>
        <v>8550</v>
      </c>
      <c r="R376" s="186" t="s">
        <v>172</v>
      </c>
      <c r="S376" s="4" t="s">
        <v>31</v>
      </c>
      <c r="T376" s="4"/>
      <c r="U376" s="4"/>
      <c r="V376" s="4"/>
      <c r="W376" s="185" t="s">
        <v>3223</v>
      </c>
      <c r="X376" s="185"/>
      <c r="Y376" s="185"/>
      <c r="Z376" s="185"/>
      <c r="AA376" s="186" t="s">
        <v>2314</v>
      </c>
      <c r="AB376" s="184" t="s">
        <v>2028</v>
      </c>
    </row>
    <row r="377" spans="1:28" hidden="1" x14ac:dyDescent="0.2">
      <c r="A377" s="175">
        <f>IF(COUNTIF(Tabla_imprenta[LOTE],Tabla_control[[#This Row],[LOTE]])=1,INDEX(Tabla_imprenta[FECHA EMISIÓN],MATCH(Tabla_control[[#This Row],[LOTE]],Tabla_imprenta[LOTE],0)),"REALIZADO")</f>
        <v>46113</v>
      </c>
      <c r="B377" s="142">
        <f>IF(COUNTIF(Tabla_imprenta[LOTE],Tabla_control[[#This Row],[LOTE]])=1,INDEX(Tabla_imprenta[CÓD. SOLICITUD],MATCH(Tabla_control[[#This Row],[LOTE]],Tabla_imprenta[LOTE],0)),"REALIZADO")</f>
        <v>0</v>
      </c>
      <c r="C377" s="177" t="str">
        <f>IF(COUNTIF(Tabla_imprenta[LOTE],Tabla_control[[#This Row],[LOTE]])=1,INDEX(Tabla_imprenta[PRODUCTO],MATCH(Tabla_control[[#This Row],[LOTE]],Tabla_imprenta[LOTE],0)),"REALIZADO")</f>
        <v>KETOROLACO 30 MG X 3 AMP. SOLUCION INY.</v>
      </c>
      <c r="D377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377" s="177" t="str">
        <f>IF(COUNTIF(Tabla_imprenta[LOTE],Tabla_control[[#This Row],[LOTE]])=1,INDEX(Tabla_imprenta[INSTITUCIÓN],MATCH(Tabla_control[[#This Row],[LOTE]],Tabla_imprenta[LOTE],0)),"REALIZADO")</f>
        <v>COMERCIO</v>
      </c>
      <c r="F377" s="181" t="s">
        <v>3172</v>
      </c>
      <c r="G377" s="139">
        <f>IF(COUNTIF(Tabla_imprenta[LOTE],Tabla_control[[#This Row],[LOTE]])=1,INDEX(Tabla_imprenta[CANTIDAD ENVASE SECUNDARIO],MATCH(Tabla_control[[#This Row],[LOTE]],Tabla_imprenta[LOTE],0)),"ENTREGADO")</f>
        <v>46666.666666666664</v>
      </c>
      <c r="H377" s="139">
        <f>IF(COUNTIF(Tabla_imprenta[LOTE],Tabla_control[[#This Row],[LOTE]])=1,INDEX(Tabla_imprenta[stock sap],MATCH(Tabla_control[[#This Row],[LOTE]],Tabla_imprenta[LOTE],0)),"ENTREGADO")</f>
        <v>1115</v>
      </c>
      <c r="I377" s="139" t="str">
        <f>IF(Tabla_control[[#This Row],[STOCK SAP]]&gt;Tabla_control[[#This Row],[CANTIDAD IMPRIMIR]],"cubre","no cubre")</f>
        <v>no cubre</v>
      </c>
      <c r="J377" s="182">
        <f>IF(COUNTIF(Tabla_imprenta[LOTE],Tabla_control[[#This Row],[LOTE]])=1,INDEX(Tabla_imprenta[STOCK],MATCH(Tabla_control[[#This Row],[LOTE]],Tabla_imprenta[LOTE],0)),"ENTREGADO")</f>
        <v>0.16573485339769692</v>
      </c>
      <c r="K37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46148</v>
      </c>
      <c r="L377" s="148">
        <f>INDEX(Tabla_imprenta[FECHA CAJA],MATCH(Tabla_control[[#This Row],[LOTE]],Tabla_imprenta[LOTE],0))</f>
        <v>46150</v>
      </c>
      <c r="M37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7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8</v>
      </c>
      <c r="O37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377" s="170">
        <f>ROUNDUP(Tabla_control[[#This Row],[CANTIDAD IMPRIMIR]]/Tabla_control[[#This Row],[N TJ]],0)</f>
        <v>5834</v>
      </c>
      <c r="Q377" s="170">
        <f>IF(Tabla_control[[#This Row],[CANTIDAD TIRAJE]]&gt;10000,Tabla_control[[#This Row],[CANTIDAD TIRAJE]],Tabla_control[[#This Row],[CANTIDAD TIRAJE]]*2)</f>
        <v>11668</v>
      </c>
      <c r="R377" s="186" t="s">
        <v>172</v>
      </c>
      <c r="S377" s="4" t="s">
        <v>31</v>
      </c>
      <c r="T377" s="4"/>
      <c r="U377" s="4"/>
      <c r="V377" s="4"/>
      <c r="W377" s="185" t="s">
        <v>3223</v>
      </c>
      <c r="X377" s="185"/>
      <c r="Y377" s="185"/>
      <c r="Z377" s="185"/>
      <c r="AA377" s="186" t="s">
        <v>2314</v>
      </c>
      <c r="AB377" s="184" t="s">
        <v>3222</v>
      </c>
    </row>
    <row r="378" spans="1:28" hidden="1" x14ac:dyDescent="0.2">
      <c r="A378" s="175">
        <f>IF(COUNTIF(Tabla_imprenta[LOTE],Tabla_control[[#This Row],[LOTE]])=1,INDEX(Tabla_imprenta[FECHA EMISIÓN],MATCH(Tabla_control[[#This Row],[LOTE]],Tabla_imprenta[LOTE],0)),"REALIZADO")</f>
        <v>46113</v>
      </c>
      <c r="B378" s="142">
        <f>IF(COUNTIF(Tabla_imprenta[LOTE],Tabla_control[[#This Row],[LOTE]])=1,INDEX(Tabla_imprenta[CÓD. SOLICITUD],MATCH(Tabla_control[[#This Row],[LOTE]],Tabla_imprenta[LOTE],0)),"REALIZADO")</f>
        <v>0</v>
      </c>
      <c r="C378" s="177" t="str">
        <f>IF(COUNTIF(Tabla_imprenta[LOTE],Tabla_control[[#This Row],[LOTE]])=1,INDEX(Tabla_imprenta[PRODUCTO],MATCH(Tabla_control[[#This Row],[LOTE]],Tabla_imprenta[LOTE],0)),"REALIZADO")</f>
        <v>CLOTRIM BG X 15 G CREMA DERMICA</v>
      </c>
      <c r="D378" s="142" t="str">
        <f>IF(COUNTIF(Tabla_imprenta[LOTE],Tabla_control[[#This Row],[LOTE]])=1,INDEX(Tabla_imprenta[FORMA FARMACEUTICA],MATCH(Tabla_control[[#This Row],[LOTE]],Tabla_imprenta[LOTE],0)),"REALIZADO")</f>
        <v>CREMA DÉRMICA</v>
      </c>
      <c r="E378" s="177" t="str">
        <f>IF(COUNTIF(Tabla_imprenta[LOTE],Tabla_control[[#This Row],[LOTE]])=1,INDEX(Tabla_imprenta[INSTITUCIÓN],MATCH(Tabla_control[[#This Row],[LOTE]],Tabla_imprenta[LOTE],0)),"REALIZADO")</f>
        <v>COMERCIO</v>
      </c>
      <c r="F378" s="181" t="s">
        <v>3010</v>
      </c>
      <c r="G378" s="139">
        <f>IF(COUNTIF(Tabla_imprenta[LOTE],Tabla_control[[#This Row],[LOTE]])=1,INDEX(Tabla_imprenta[CANTIDAD ENVASE SECUNDARIO],MATCH(Tabla_control[[#This Row],[LOTE]],Tabla_imprenta[LOTE],0)),"ENTREGADO")</f>
        <v>11000</v>
      </c>
      <c r="H378" s="139">
        <f>IF(COUNTIF(Tabla_imprenta[LOTE],Tabla_control[[#This Row],[LOTE]])=1,INDEX(Tabla_imprenta[stock sap],MATCH(Tabla_control[[#This Row],[LOTE]],Tabla_imprenta[LOTE],0)),"ENTREGADO")</f>
        <v>1013</v>
      </c>
      <c r="I378" s="139" t="str">
        <f>IF(Tabla_control[[#This Row],[STOCK SAP]]&gt;Tabla_control[[#This Row],[CANTIDAD IMPRIMIR]],"cubre","no cubre")</f>
        <v>no cubre</v>
      </c>
      <c r="J378" s="182">
        <f>IF(COUNTIF(Tabla_imprenta[LOTE],Tabla_control[[#This Row],[LOTE]])=1,INDEX(Tabla_imprenta[STOCK],MATCH(Tabla_control[[#This Row],[LOTE]],Tabla_imprenta[LOTE],0)),"ENTREGADO")</f>
        <v>0.2666371387443251</v>
      </c>
      <c r="K37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46149</v>
      </c>
      <c r="L378" s="148">
        <f>INDEX(Tabla_imprenta[FECHA CAJA],MATCH(Tabla_control[[#This Row],[LOTE]],Tabla_imprenta[LOTE],0))</f>
        <v>46149</v>
      </c>
      <c r="M37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7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7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378" s="170">
        <f>ROUNDUP(Tabla_control[[#This Row],[CANTIDAD IMPRIMIR]]/Tabla_control[[#This Row],[N TJ]],0)</f>
        <v>2750</v>
      </c>
      <c r="Q378" s="170">
        <f>IF(Tabla_control[[#This Row],[CANTIDAD TIRAJE]]&gt;10000,Tabla_control[[#This Row],[CANTIDAD TIRAJE]],Tabla_control[[#This Row],[CANTIDAD TIRAJE]]*2)</f>
        <v>5500</v>
      </c>
      <c r="R378" s="186" t="s">
        <v>173</v>
      </c>
      <c r="S378" s="4" t="s">
        <v>174</v>
      </c>
      <c r="T378" s="4"/>
      <c r="U378" s="4"/>
      <c r="V378" s="4"/>
      <c r="W378" s="185" t="s">
        <v>3223</v>
      </c>
      <c r="X378" s="185"/>
      <c r="Y378" s="185"/>
      <c r="Z378" s="185"/>
      <c r="AA378" s="186" t="s">
        <v>2314</v>
      </c>
      <c r="AB378" s="184" t="s">
        <v>3222</v>
      </c>
    </row>
    <row r="379" spans="1:28" hidden="1" x14ac:dyDescent="0.2">
      <c r="A379" s="175">
        <f>IF(COUNTIF(Tabla_imprenta[LOTE],Tabla_control[[#This Row],[LOTE]])=1,INDEX(Tabla_imprenta[FECHA EMISIÓN],MATCH(Tabla_control[[#This Row],[LOTE]],Tabla_imprenta[LOTE],0)),"REALIZADO")</f>
        <v>46121</v>
      </c>
      <c r="B379" s="142">
        <f>IF(COUNTIF(Tabla_imprenta[LOTE],Tabla_control[[#This Row],[LOTE]])=1,INDEX(Tabla_imprenta[CÓD. SOLICITUD],MATCH(Tabla_control[[#This Row],[LOTE]],Tabla_imprenta[LOTE],0)),"REALIZADO")</f>
        <v>0</v>
      </c>
      <c r="C379" s="177" t="str">
        <f>IF(COUNTIF(Tabla_imprenta[LOTE],Tabla_control[[#This Row],[LOTE]])=1,INDEX(Tabla_imprenta[PRODUCTO],MATCH(Tabla_control[[#This Row],[LOTE]],Tabla_imprenta[LOTE],0)),"REALIZADO")</f>
        <v>DONTOFLAMON NF X 2 COMP. RECUBIERTO MM</v>
      </c>
      <c r="D379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79" s="177" t="str">
        <f>IF(COUNTIF(Tabla_imprenta[LOTE],Tabla_control[[#This Row],[LOTE]])=1,INDEX(Tabla_imprenta[INSTITUCIÓN],MATCH(Tabla_control[[#This Row],[LOTE]],Tabla_imprenta[LOTE],0)),"REALIZADO")</f>
        <v>MM-2026</v>
      </c>
      <c r="F379" s="181" t="s">
        <v>3267</v>
      </c>
      <c r="G379" s="139">
        <f>IF(COUNTIF(Tabla_imprenta[LOTE],Tabla_control[[#This Row],[LOTE]])=1,INDEX(Tabla_imprenta[CANTIDAD ENVASE SECUNDARIO],MATCH(Tabla_control[[#This Row],[LOTE]],Tabla_imprenta[LOTE],0)),"ENTREGADO")</f>
        <v>37500</v>
      </c>
      <c r="H379" s="139">
        <f>IF(COUNTIF(Tabla_imprenta[LOTE],Tabla_control[[#This Row],[LOTE]])=1,INDEX(Tabla_imprenta[stock sap],MATCH(Tabla_control[[#This Row],[LOTE]],Tabla_imprenta[LOTE],0)),"ENTREGADO")</f>
        <v>1552</v>
      </c>
      <c r="I379" s="139" t="str">
        <f>IF(Tabla_control[[#This Row],[STOCK SAP]]&gt;Tabla_control[[#This Row],[CANTIDAD IMPRIMIR]],"cubre","no cubre")</f>
        <v>no cubre</v>
      </c>
      <c r="J379" s="182">
        <f>IF(COUNTIF(Tabla_imprenta[LOTE],Tabla_control[[#This Row],[LOTE]])=1,INDEX(Tabla_imprenta[STOCK],MATCH(Tabla_control[[#This Row],[LOTE]],Tabla_imprenta[LOTE],0)),"ENTREGADO")</f>
        <v>2.9523333333333333</v>
      </c>
      <c r="K37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46148</v>
      </c>
      <c r="L379" s="148">
        <f>INDEX(Tabla_imprenta[FECHA CAJA],MATCH(Tabla_control[[#This Row],[LOTE]],Tabla_imprenta[LOTE],0))</f>
        <v>46153</v>
      </c>
      <c r="M37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7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37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</v>
      </c>
      <c r="P379" s="170">
        <f>ROUNDUP(Tabla_control[[#This Row],[CANTIDAD IMPRIMIR]]/Tabla_control[[#This Row],[N TJ]],0)</f>
        <v>6250</v>
      </c>
      <c r="Q379" s="170">
        <f>IF(Tabla_control[[#This Row],[CANTIDAD TIRAJE]]&gt;10000,Tabla_control[[#This Row],[CANTIDAD TIRAJE]],Tabla_control[[#This Row],[CANTIDAD TIRAJE]]*2)</f>
        <v>12500</v>
      </c>
      <c r="R379" s="186" t="s">
        <v>173</v>
      </c>
      <c r="S379" s="4" t="s">
        <v>174</v>
      </c>
      <c r="T379" s="4"/>
      <c r="U379" s="4"/>
      <c r="V379" s="4"/>
      <c r="W379" s="187" t="s">
        <v>3223</v>
      </c>
      <c r="X379" s="187"/>
      <c r="Y379" s="187"/>
      <c r="Z379" s="187"/>
      <c r="AA379" s="186" t="s">
        <v>2031</v>
      </c>
      <c r="AB379" s="184" t="s">
        <v>3222</v>
      </c>
    </row>
    <row r="380" spans="1:28" hidden="1" x14ac:dyDescent="0.2">
      <c r="A380" s="175">
        <f>IF(COUNTIF(Tabla_imprenta[LOTE],Tabla_control[[#This Row],[LOTE]])=1,INDEX(Tabla_imprenta[FECHA EMISIÓN],MATCH(Tabla_control[[#This Row],[LOTE]],Tabla_imprenta[LOTE],0)),"REALIZADO")</f>
        <v>46113</v>
      </c>
      <c r="B380" s="142">
        <f>IF(COUNTIF(Tabla_imprenta[LOTE],Tabla_control[[#This Row],[LOTE]])=1,INDEX(Tabla_imprenta[CÓD. SOLICITUD],MATCH(Tabla_control[[#This Row],[LOTE]],Tabla_imprenta[LOTE],0)),"REALIZADO")</f>
        <v>0</v>
      </c>
      <c r="C380" s="177" t="str">
        <f>IF(COUNTIF(Tabla_imprenta[LOTE],Tabla_control[[#This Row],[LOTE]])=1,INDEX(Tabla_imprenta[PRODUCTO],MATCH(Tabla_control[[#This Row],[LOTE]],Tabla_imprenta[LOTE],0)),"REALIZADO")</f>
        <v>DEXTROMETORFANO 10 MG X 100 ML JARABE</v>
      </c>
      <c r="D380" s="142" t="str">
        <f>IF(COUNTIF(Tabla_imprenta[LOTE],Tabla_control[[#This Row],[LOTE]])=1,INDEX(Tabla_imprenta[FORMA FARMACEUTICA],MATCH(Tabla_control[[#This Row],[LOTE]],Tabla_imprenta[LOTE],0)),"REALIZADO")</f>
        <v>JARABE</v>
      </c>
      <c r="E380" s="177" t="str">
        <f>IF(COUNTIF(Tabla_imprenta[LOTE],Tabla_control[[#This Row],[LOTE]])=1,INDEX(Tabla_imprenta[INSTITUCIÓN],MATCH(Tabla_control[[#This Row],[LOTE]],Tabla_imprenta[LOTE],0)),"REALIZADO")</f>
        <v>COMERCIO</v>
      </c>
      <c r="F380" s="196" t="s">
        <v>3216</v>
      </c>
      <c r="G380" s="139">
        <f>IF(COUNTIF(Tabla_imprenta[LOTE],Tabla_control[[#This Row],[LOTE]])=1,INDEX(Tabla_imprenta[CANTIDAD ENVASE SECUNDARIO],MATCH(Tabla_control[[#This Row],[LOTE]],Tabla_imprenta[LOTE],0)),"ENTREGADO")</f>
        <v>29703</v>
      </c>
      <c r="H380" s="139">
        <f>IF(COUNTIF(Tabla_imprenta[LOTE],Tabla_control[[#This Row],[LOTE]])=1,INDEX(Tabla_imprenta[stock sap],MATCH(Tabla_control[[#This Row],[LOTE]],Tabla_imprenta[LOTE],0)),"ENTREGADO")</f>
        <v>2600</v>
      </c>
      <c r="I380" s="139" t="str">
        <f>IF(Tabla_control[[#This Row],[STOCK SAP]]&gt;Tabla_control[[#This Row],[CANTIDAD IMPRIMIR]],"cubre","no cubre")</f>
        <v>no cubre</v>
      </c>
      <c r="J380" s="182">
        <f>IF(COUNTIF(Tabla_imprenta[LOTE],Tabla_control[[#This Row],[LOTE]])=1,INDEX(Tabla_imprenta[STOCK],MATCH(Tabla_control[[#This Row],[LOTE]],Tabla_imprenta[LOTE],0)),"ENTREGADO")</f>
        <v>0.77540560458321139</v>
      </c>
      <c r="K38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46149</v>
      </c>
      <c r="L380" s="148">
        <f>INDEX(Tabla_imprenta[FECHA CAJA],MATCH(Tabla_control[[#This Row],[LOTE]],Tabla_imprenta[LOTE],0))</f>
        <v>46153</v>
      </c>
      <c r="M38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8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8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380" s="170">
        <f>ROUNDUP(Tabla_control[[#This Row],[CANTIDAD IMPRIMIR]]/Tabla_control[[#This Row],[N TJ]],0)</f>
        <v>14852</v>
      </c>
      <c r="Q380" s="170">
        <f>IF(Tabla_control[[#This Row],[CANTIDAD TIRAJE]]&gt;10000,Tabla_control[[#This Row],[CANTIDAD TIRAJE]],Tabla_control[[#This Row],[CANTIDAD TIRAJE]]*2)</f>
        <v>14852</v>
      </c>
      <c r="R380" s="186" t="s">
        <v>172</v>
      </c>
      <c r="S380" s="4" t="s">
        <v>31</v>
      </c>
      <c r="T380" s="4"/>
      <c r="U380" s="4"/>
      <c r="V380" s="4"/>
      <c r="W380" s="185" t="s">
        <v>3223</v>
      </c>
      <c r="X380" s="185"/>
      <c r="Y380" s="185"/>
      <c r="Z380" s="185"/>
      <c r="AA380" s="186" t="s">
        <v>2314</v>
      </c>
      <c r="AB380" s="184" t="s">
        <v>3222</v>
      </c>
    </row>
    <row r="381" spans="1:28" hidden="1" x14ac:dyDescent="0.2">
      <c r="A381" s="175">
        <f>IF(COUNTIF(Tabla_imprenta[LOTE],Tabla_control[[#This Row],[LOTE]])=1,INDEX(Tabla_imprenta[FECHA EMISIÓN],MATCH(Tabla_control[[#This Row],[LOTE]],Tabla_imprenta[LOTE],0)),"REALIZADO")</f>
        <v>46083</v>
      </c>
      <c r="B381" s="142">
        <f>IF(COUNTIF(Tabla_imprenta[LOTE],Tabla_control[[#This Row],[LOTE]])=1,INDEX(Tabla_imprenta[CÓD. SOLICITUD],MATCH(Tabla_control[[#This Row],[LOTE]],Tabla_imprenta[LOTE],0)),"REALIZADO")</f>
        <v>0</v>
      </c>
      <c r="C381" s="177" t="str">
        <f>IF(COUNTIF(Tabla_imprenta[LOTE],Tabla_control[[#This Row],[LOTE]])=1,INDEX(Tabla_imprenta[PRODUCTO],MATCH(Tabla_control[[#This Row],[LOTE]],Tabla_imprenta[LOTE],0)),"REALIZADO")</f>
        <v>PARACETAMOL 100 MG X 15 ML GOTAS</v>
      </c>
      <c r="D381" s="142" t="str">
        <f>IF(COUNTIF(Tabla_imprenta[LOTE],Tabla_control[[#This Row],[LOTE]])=1,INDEX(Tabla_imprenta[FORMA FARMACEUTICA],MATCH(Tabla_control[[#This Row],[LOTE]],Tabla_imprenta[LOTE],0)),"REALIZADO")</f>
        <v>GOTAS</v>
      </c>
      <c r="E381" s="177" t="str">
        <f>IF(COUNTIF(Tabla_imprenta[LOTE],Tabla_control[[#This Row],[LOTE]])=1,INDEX(Tabla_imprenta[INSTITUCIÓN],MATCH(Tabla_control[[#This Row],[LOTE]],Tabla_imprenta[LOTE],0)),"REALIZADO")</f>
        <v>COMERCIO</v>
      </c>
      <c r="F381" s="180" t="s">
        <v>2552</v>
      </c>
      <c r="G381" s="139">
        <f>IF(COUNTIF(Tabla_imprenta[LOTE],Tabla_control[[#This Row],[LOTE]])=1,INDEX(Tabla_imprenta[CANTIDAD ENVASE SECUNDARIO],MATCH(Tabla_control[[#This Row],[LOTE]],Tabla_imprenta[LOTE],0)),"ENTREGADO")</f>
        <v>56250</v>
      </c>
      <c r="H381" s="139" t="e">
        <f>IF(COUNTIF(Tabla_imprenta[LOTE],Tabla_control[[#This Row],[LOTE]])=1,INDEX(Tabla_imprenta[stock sap],MATCH(Tabla_control[[#This Row],[LOTE]],Tabla_imprenta[LOTE],0)),"ENTREGADO")</f>
        <v>#N/A</v>
      </c>
      <c r="I381" s="139" t="e">
        <f>IF(Tabla_control[[#This Row],[STOCK SAP]]&gt;Tabla_control[[#This Row],[CANTIDAD IMPRIMIR]],"cubre","no cubre")</f>
        <v>#N/A</v>
      </c>
      <c r="J381" s="7">
        <f>IF(COUNTIF(Tabla_imprenta[LOTE],Tabla_control[[#This Row],[LOTE]])=1,INDEX(Tabla_imprenta[STOCK],MATCH(Tabla_control[[#This Row],[LOTE]],Tabla_imprenta[LOTE],0)),"ENTREGADO")</f>
        <v>2.238493563449286</v>
      </c>
      <c r="K38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46149</v>
      </c>
      <c r="L381" s="148" t="str">
        <f>INDEX(Tabla_imprenta[FECHA CAJA],MATCH(Tabla_control[[#This Row],[LOTE]],Tabla_imprenta[LOTE],0))</f>
        <v>ENTREGADO</v>
      </c>
      <c r="M38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8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38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24</v>
      </c>
      <c r="P381" s="170">
        <f>ROUNDUP(Tabla_control[[#This Row],[CANTIDAD IMPRIMIR]]/Tabla_control[[#This Row],[N TJ]],0)</f>
        <v>9375</v>
      </c>
      <c r="Q381" s="170">
        <f>IF(Tabla_control[[#This Row],[CANTIDAD TIRAJE]]&gt;10000,Tabla_control[[#This Row],[CANTIDAD TIRAJE]],Tabla_control[[#This Row],[CANTIDAD TIRAJE]]*2)</f>
        <v>18750</v>
      </c>
      <c r="R381" s="4" t="s">
        <v>172</v>
      </c>
      <c r="S381" s="4" t="s">
        <v>30</v>
      </c>
      <c r="T381" s="4"/>
      <c r="U381" s="4"/>
      <c r="V381" s="4"/>
      <c r="W381" s="185" t="s">
        <v>3239</v>
      </c>
      <c r="X381" s="185"/>
      <c r="Y381" s="185"/>
      <c r="Z381" s="185"/>
      <c r="AA381" s="4" t="s">
        <v>2031</v>
      </c>
      <c r="AB381" s="184" t="s">
        <v>2028</v>
      </c>
    </row>
    <row r="382" spans="1:28" hidden="1" x14ac:dyDescent="0.2">
      <c r="A382" s="175">
        <f>IF(COUNTIF(Tabla_imprenta[LOTE],Tabla_control[[#This Row],[LOTE]])=1,INDEX(Tabla_imprenta[FECHA EMISIÓN],MATCH(Tabla_control[[#This Row],[LOTE]],Tabla_imprenta[LOTE],0)),"REALIZADO")</f>
        <v>46113</v>
      </c>
      <c r="B382" s="142">
        <f>IF(COUNTIF(Tabla_imprenta[LOTE],Tabla_control[[#This Row],[LOTE]])=1,INDEX(Tabla_imprenta[CÓD. SOLICITUD],MATCH(Tabla_control[[#This Row],[LOTE]],Tabla_imprenta[LOTE],0)),"REALIZADO")</f>
        <v>0</v>
      </c>
      <c r="C382" s="177" t="str">
        <f>IF(COUNTIF(Tabla_imprenta[LOTE],Tabla_control[[#This Row],[LOTE]])=1,INDEX(Tabla_imprenta[PRODUCTO],MATCH(Tabla_control[[#This Row],[LOTE]],Tabla_imprenta[LOTE],0)),"REALIZADO")</f>
        <v>DEXTROMETORFANO 10 MG X 100 ML JARABE</v>
      </c>
      <c r="D382" s="142" t="str">
        <f>IF(COUNTIF(Tabla_imprenta[LOTE],Tabla_control[[#This Row],[LOTE]])=1,INDEX(Tabla_imprenta[FORMA FARMACEUTICA],MATCH(Tabla_control[[#This Row],[LOTE]],Tabla_imprenta[LOTE],0)),"REALIZADO")</f>
        <v>JARABE</v>
      </c>
      <c r="E382" s="177" t="str">
        <f>IF(COUNTIF(Tabla_imprenta[LOTE],Tabla_control[[#This Row],[LOTE]])=1,INDEX(Tabla_imprenta[INSTITUCIÓN],MATCH(Tabla_control[[#This Row],[LOTE]],Tabla_imprenta[LOTE],0)),"REALIZADO")</f>
        <v>COMERCIO</v>
      </c>
      <c r="F382" s="181" t="s">
        <v>3217</v>
      </c>
      <c r="G382" s="139">
        <f>IF(COUNTIF(Tabla_imprenta[LOTE],Tabla_control[[#This Row],[LOTE]])=1,INDEX(Tabla_imprenta[CANTIDAD ENVASE SECUNDARIO],MATCH(Tabla_control[[#This Row],[LOTE]],Tabla_imprenta[LOTE],0)),"ENTREGADO")</f>
        <v>29703</v>
      </c>
      <c r="H382" s="139">
        <f>IF(COUNTIF(Tabla_imprenta[LOTE],Tabla_control[[#This Row],[LOTE]])=1,INDEX(Tabla_imprenta[stock sap],MATCH(Tabla_control[[#This Row],[LOTE]],Tabla_imprenta[LOTE],0)),"ENTREGADO")</f>
        <v>2600</v>
      </c>
      <c r="I382" s="139" t="str">
        <f>IF(Tabla_control[[#This Row],[STOCK SAP]]&gt;Tabla_control[[#This Row],[CANTIDAD IMPRIMIR]],"cubre","no cubre")</f>
        <v>no cubre</v>
      </c>
      <c r="J382" s="182">
        <f>IF(COUNTIF(Tabla_imprenta[LOTE],Tabla_control[[#This Row],[LOTE]])=1,INDEX(Tabla_imprenta[STOCK],MATCH(Tabla_control[[#This Row],[LOTE]],Tabla_imprenta[LOTE],0)),"ENTREGADO")</f>
        <v>0.77540560458321139</v>
      </c>
      <c r="K38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46149</v>
      </c>
      <c r="L382" s="148">
        <f>INDEX(Tabla_imprenta[FECHA CAJA],MATCH(Tabla_control[[#This Row],[LOTE]],Tabla_imprenta[LOTE],0))</f>
        <v>46154</v>
      </c>
      <c r="M38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8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8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382" s="170">
        <f>ROUNDUP(Tabla_control[[#This Row],[CANTIDAD IMPRIMIR]]/Tabla_control[[#This Row],[N TJ]],0)</f>
        <v>14852</v>
      </c>
      <c r="Q382" s="170">
        <f>IF(Tabla_control[[#This Row],[CANTIDAD TIRAJE]]&gt;10000,Tabla_control[[#This Row],[CANTIDAD TIRAJE]],Tabla_control[[#This Row],[CANTIDAD TIRAJE]]*2)</f>
        <v>14852</v>
      </c>
      <c r="R382" s="186" t="s">
        <v>172</v>
      </c>
      <c r="S382" s="4" t="s">
        <v>31</v>
      </c>
      <c r="T382" s="4"/>
      <c r="U382" s="4"/>
      <c r="V382" s="4"/>
      <c r="W382" s="185" t="s">
        <v>3223</v>
      </c>
      <c r="X382" s="185"/>
      <c r="Y382" s="185"/>
      <c r="Z382" s="185"/>
      <c r="AA382" s="186" t="s">
        <v>2031</v>
      </c>
      <c r="AB382" s="184" t="s">
        <v>3222</v>
      </c>
    </row>
    <row r="383" spans="1:28" hidden="1" x14ac:dyDescent="0.2">
      <c r="A383" s="175">
        <f>IF(COUNTIF(Tabla_imprenta[LOTE],Tabla_control[[#This Row],[LOTE]])=1,INDEX(Tabla_imprenta[FECHA EMISIÓN],MATCH(Tabla_control[[#This Row],[LOTE]],Tabla_imprenta[LOTE],0)),"REALIZADO")</f>
        <v>46113</v>
      </c>
      <c r="B383" s="142">
        <f>IF(COUNTIF(Tabla_imprenta[LOTE],Tabla_control[[#This Row],[LOTE]])=1,INDEX(Tabla_imprenta[CÓD. SOLICITUD],MATCH(Tabla_control[[#This Row],[LOTE]],Tabla_imprenta[LOTE],0)),"REALIZADO")</f>
        <v>0</v>
      </c>
      <c r="C383" s="177" t="str">
        <f>IF(COUNTIF(Tabla_imprenta[LOTE],Tabla_control[[#This Row],[LOTE]])=1,INDEX(Tabla_imprenta[PRODUCTO],MATCH(Tabla_control[[#This Row],[LOTE]],Tabla_imprenta[LOTE],0)),"REALIZADO")</f>
        <v>KETOCONAZOL 2% X 15 G CREMA DERMICA</v>
      </c>
      <c r="D383" s="142" t="str">
        <f>IF(COUNTIF(Tabla_imprenta[LOTE],Tabla_control[[#This Row],[LOTE]])=1,INDEX(Tabla_imprenta[FORMA FARMACEUTICA],MATCH(Tabla_control[[#This Row],[LOTE]],Tabla_imprenta[LOTE],0)),"REALIZADO")</f>
        <v>CREMA DÉRMICA</v>
      </c>
      <c r="E383" s="177" t="str">
        <f>IF(COUNTIF(Tabla_imprenta[LOTE],Tabla_control[[#This Row],[LOTE]])=1,INDEX(Tabla_imprenta[INSTITUCIÓN],MATCH(Tabla_control[[#This Row],[LOTE]],Tabla_imprenta[LOTE],0)),"REALIZADO")</f>
        <v>COMERCIO</v>
      </c>
      <c r="F383" s="181" t="s">
        <v>3076</v>
      </c>
      <c r="G383" s="139">
        <f>IF(COUNTIF(Tabla_imprenta[LOTE],Tabla_control[[#This Row],[LOTE]])=1,INDEX(Tabla_imprenta[CANTIDAD ENVASE SECUNDARIO],MATCH(Tabla_control[[#This Row],[LOTE]],Tabla_imprenta[LOTE],0)),"ENTREGADO")</f>
        <v>5650</v>
      </c>
      <c r="H383" s="139">
        <f>IF(COUNTIF(Tabla_imprenta[LOTE],Tabla_control[[#This Row],[LOTE]])=1,INDEX(Tabla_imprenta[stock sap],MATCH(Tabla_control[[#This Row],[LOTE]],Tabla_imprenta[LOTE],0)),"ENTREGADO")</f>
        <v>987</v>
      </c>
      <c r="I383" s="139" t="str">
        <f>IF(Tabla_control[[#This Row],[STOCK SAP]]&gt;Tabla_control[[#This Row],[CANTIDAD IMPRIMIR]],"cubre","no cubre")</f>
        <v>no cubre</v>
      </c>
      <c r="J383" s="182">
        <f>IF(COUNTIF(Tabla_imprenta[LOTE],Tabla_control[[#This Row],[LOTE]])=1,INDEX(Tabla_imprenta[STOCK],MATCH(Tabla_control[[#This Row],[LOTE]],Tabla_imprenta[LOTE],0)),"ENTREGADO")</f>
        <v>1.0831255909911459</v>
      </c>
      <c r="K38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383" s="148" t="str">
        <f>INDEX(Tabla_imprenta[FECHA CAJA],MATCH(Tabla_control[[#This Row],[LOTE]],Tabla_imprenta[LOTE],0))</f>
        <v>ENTREGADO</v>
      </c>
      <c r="M38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8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8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383" s="170">
        <f>ROUNDUP(Tabla_control[[#This Row],[CANTIDAD IMPRIMIR]]/Tabla_control[[#This Row],[N TJ]],0)</f>
        <v>1413</v>
      </c>
      <c r="Q383" s="170">
        <f>IF(Tabla_control[[#This Row],[CANTIDAD TIRAJE]]&gt;10000,Tabla_control[[#This Row],[CANTIDAD TIRAJE]],Tabla_control[[#This Row],[CANTIDAD TIRAJE]]*2)</f>
        <v>2826</v>
      </c>
      <c r="R383" s="186" t="s">
        <v>172</v>
      </c>
      <c r="S383" s="4" t="s">
        <v>30</v>
      </c>
      <c r="T383" s="4"/>
      <c r="U383" s="4"/>
      <c r="V383" s="4"/>
      <c r="W383" s="185" t="s">
        <v>3223</v>
      </c>
      <c r="X383" s="185"/>
      <c r="Y383" s="185"/>
      <c r="Z383" s="185"/>
      <c r="AA383" s="186" t="s">
        <v>2031</v>
      </c>
      <c r="AB383" s="184" t="s">
        <v>2028</v>
      </c>
    </row>
    <row r="384" spans="1:28" hidden="1" x14ac:dyDescent="0.2">
      <c r="A384" s="175">
        <f>IF(COUNTIF(Tabla_imprenta[LOTE],Tabla_control[[#This Row],[LOTE]])=1,INDEX(Tabla_imprenta[FECHA EMISIÓN],MATCH(Tabla_control[[#This Row],[LOTE]],Tabla_imprenta[LOTE],0)),"REALIZADO")</f>
        <v>46083</v>
      </c>
      <c r="B384" s="142">
        <f>IF(COUNTIF(Tabla_imprenta[LOTE],Tabla_control[[#This Row],[LOTE]])=1,INDEX(Tabla_imprenta[CÓD. SOLICITUD],MATCH(Tabla_control[[#This Row],[LOTE]],Tabla_imprenta[LOTE],0)),"REALIZADO")</f>
        <v>0</v>
      </c>
      <c r="C384" s="177" t="str">
        <f>IF(COUNTIF(Tabla_imprenta[LOTE],Tabla_control[[#This Row],[LOTE]])=1,INDEX(Tabla_imprenta[PRODUCTO],MATCH(Tabla_control[[#This Row],[LOTE]],Tabla_imprenta[LOTE],0)),"REALIZADO")</f>
        <v>AFUNGIL X 12 CAP. DURAS</v>
      </c>
      <c r="D384" s="142" t="str">
        <f>IF(COUNTIF(Tabla_imprenta[LOTE],Tabla_control[[#This Row],[LOTE]])=1,INDEX(Tabla_imprenta[FORMA FARMACEUTICA],MATCH(Tabla_control[[#This Row],[LOTE]],Tabla_imprenta[LOTE],0)),"REALIZADO")</f>
        <v>CÁPSULA</v>
      </c>
      <c r="E384" s="177" t="str">
        <f>IF(COUNTIF(Tabla_imprenta[LOTE],Tabla_control[[#This Row],[LOTE]])=1,INDEX(Tabla_imprenta[INSTITUCIÓN],MATCH(Tabla_control[[#This Row],[LOTE]],Tabla_imprenta[LOTE],0)),"REALIZADO")</f>
        <v>COMERCIO</v>
      </c>
      <c r="F384" s="180" t="s">
        <v>2490</v>
      </c>
      <c r="G384" s="139">
        <f>IF(COUNTIF(Tabla_imprenta[LOTE],Tabla_control[[#This Row],[LOTE]])=1,INDEX(Tabla_imprenta[CANTIDAD ENVASE SECUNDARIO],MATCH(Tabla_control[[#This Row],[LOTE]],Tabla_imprenta[LOTE],0)),"ENTREGADO")</f>
        <v>12500</v>
      </c>
      <c r="H384" s="139">
        <f>IF(COUNTIF(Tabla_imprenta[LOTE],Tabla_control[[#This Row],[LOTE]])=1,INDEX(Tabla_imprenta[stock sap],MATCH(Tabla_control[[#This Row],[LOTE]],Tabla_imprenta[LOTE],0)),"ENTREGADO")</f>
        <v>1879</v>
      </c>
      <c r="I384" s="139" t="str">
        <f>IF(Tabla_control[[#This Row],[STOCK SAP]]&gt;Tabla_control[[#This Row],[CANTIDAD IMPRIMIR]],"cubre","no cubre")</f>
        <v>no cubre</v>
      </c>
      <c r="J384" s="7">
        <f>IF(COUNTIF(Tabla_imprenta[LOTE],Tabla_control[[#This Row],[LOTE]])=1,INDEX(Tabla_imprenta[STOCK],MATCH(Tabla_control[[#This Row],[LOTE]],Tabla_imprenta[LOTE],0)),"ENTREGADO")</f>
        <v>1.3551660848598264</v>
      </c>
      <c r="K38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384" s="148" t="str">
        <f>INDEX(Tabla_imprenta[FECHA CAJA],MATCH(Tabla_control[[#This Row],[LOTE]],Tabla_imprenta[LOTE],0))</f>
        <v>ENTREGADO</v>
      </c>
      <c r="M38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38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38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384" s="170">
        <f>ROUNDUP(Tabla_control[[#This Row],[CANTIDAD IMPRIMIR]]/Tabla_control[[#This Row],[N TJ]],0)</f>
        <v>4167</v>
      </c>
      <c r="Q384" s="170">
        <f>IF(Tabla_control[[#This Row],[CANTIDAD TIRAJE]]&gt;10000,Tabla_control[[#This Row],[CANTIDAD TIRAJE]],Tabla_control[[#This Row],[CANTIDAD TIRAJE]]*2)</f>
        <v>8334</v>
      </c>
      <c r="R384" s="4" t="s">
        <v>175</v>
      </c>
      <c r="S384" s="4" t="s">
        <v>3759</v>
      </c>
      <c r="T384" s="4"/>
      <c r="U384" s="4"/>
      <c r="V384" s="4"/>
      <c r="W384" s="185" t="s">
        <v>3223</v>
      </c>
      <c r="X384" s="185"/>
      <c r="Y384" s="185"/>
      <c r="Z384" s="185"/>
      <c r="AA384" s="4" t="s">
        <v>2429</v>
      </c>
      <c r="AB384" s="184" t="s">
        <v>2028</v>
      </c>
    </row>
    <row r="385" spans="1:28" hidden="1" x14ac:dyDescent="0.2">
      <c r="A385" s="175">
        <f>IF(COUNTIF(Tabla_imprenta[LOTE],Tabla_control[[#This Row],[LOTE]])=1,INDEX(Tabla_imprenta[FECHA EMISIÓN],MATCH(Tabla_control[[#This Row],[LOTE]],Tabla_imprenta[LOTE],0)),"REALIZADO")</f>
        <v>46083</v>
      </c>
      <c r="B385" s="142">
        <f>IF(COUNTIF(Tabla_imprenta[LOTE],Tabla_control[[#This Row],[LOTE]])=1,INDEX(Tabla_imprenta[CÓD. SOLICITUD],MATCH(Tabla_control[[#This Row],[LOTE]],Tabla_imprenta[LOTE],0)),"REALIZADO")</f>
        <v>0</v>
      </c>
      <c r="C385" s="177" t="str">
        <f>IF(COUNTIF(Tabla_imprenta[LOTE],Tabla_control[[#This Row],[LOTE]])=1,INDEX(Tabla_imprenta[PRODUCTO],MATCH(Tabla_control[[#This Row],[LOTE]],Tabla_imprenta[LOTE],0)),"REALIZADO")</f>
        <v>IBUPROFENO 100 MG X 100 ML SUSP.</v>
      </c>
      <c r="D385" s="142" t="str">
        <f>IF(COUNTIF(Tabla_imprenta[LOTE],Tabla_control[[#This Row],[LOTE]])=1,INDEX(Tabla_imprenta[FORMA FARMACEUTICA],MATCH(Tabla_control[[#This Row],[LOTE]],Tabla_imprenta[LOTE],0)),"REALIZADO")</f>
        <v>SUSPENSIÓN</v>
      </c>
      <c r="E385" s="177" t="str">
        <f>IF(COUNTIF(Tabla_imprenta[LOTE],Tabla_control[[#This Row],[LOTE]])=1,INDEX(Tabla_imprenta[INSTITUCIÓN],MATCH(Tabla_control[[#This Row],[LOTE]],Tabla_imprenta[LOTE],0)),"REALIZADO")</f>
        <v>COMERCIO</v>
      </c>
      <c r="F385" s="181" t="s">
        <v>2543</v>
      </c>
      <c r="G385" s="139">
        <f>IF(COUNTIF(Tabla_imprenta[LOTE],Tabla_control[[#This Row],[LOTE]])=1,INDEX(Tabla_imprenta[CANTIDAD ENVASE SECUNDARIO],MATCH(Tabla_control[[#This Row],[LOTE]],Tabla_imprenta[LOTE],0)),"ENTREGADO")</f>
        <v>23529</v>
      </c>
      <c r="H385" s="139">
        <f>IF(COUNTIF(Tabla_imprenta[LOTE],Tabla_control[[#This Row],[LOTE]])=1,INDEX(Tabla_imprenta[stock sap],MATCH(Tabla_control[[#This Row],[LOTE]],Tabla_imprenta[LOTE],0)),"ENTREGADO")</f>
        <v>4496</v>
      </c>
      <c r="I385" s="139" t="str">
        <f>IF(Tabla_control[[#This Row],[STOCK SAP]]&gt;Tabla_control[[#This Row],[CANTIDAD IMPRIMIR]],"cubre","no cubre")</f>
        <v>no cubre</v>
      </c>
      <c r="J385" s="182">
        <f>IF(COUNTIF(Tabla_imprenta[LOTE],Tabla_control[[#This Row],[LOTE]])=1,INDEX(Tabla_imprenta[STOCK],MATCH(Tabla_control[[#This Row],[LOTE]],Tabla_imprenta[LOTE],0)),"ENTREGADO")</f>
        <v>2.585228210150476</v>
      </c>
      <c r="K38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46148</v>
      </c>
      <c r="L385" s="148" t="str">
        <f>INDEX(Tabla_imprenta[FECHA CAJA],MATCH(Tabla_control[[#This Row],[LOTE]],Tabla_imprenta[LOTE],0))</f>
        <v>ENTREGADO</v>
      </c>
      <c r="M38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8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8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385" s="170">
        <f>ROUNDUP(Tabla_control[[#This Row],[CANTIDAD IMPRIMIR]]/Tabla_control[[#This Row],[N TJ]],0)</f>
        <v>11765</v>
      </c>
      <c r="Q385" s="170">
        <f>IF(Tabla_control[[#This Row],[CANTIDAD TIRAJE]]&gt;10000,Tabla_control[[#This Row],[CANTIDAD TIRAJE]],Tabla_control[[#This Row],[CANTIDAD TIRAJE]]*2)</f>
        <v>11765</v>
      </c>
      <c r="R385" s="186" t="s">
        <v>172</v>
      </c>
      <c r="S385" s="4" t="s">
        <v>31</v>
      </c>
      <c r="T385" s="4"/>
      <c r="U385" s="4"/>
      <c r="V385" s="4"/>
      <c r="W385" s="185" t="s">
        <v>3223</v>
      </c>
      <c r="X385" s="185"/>
      <c r="Y385" s="185"/>
      <c r="Z385" s="185"/>
      <c r="AA385" s="4" t="s">
        <v>2314</v>
      </c>
      <c r="AB385" s="184" t="s">
        <v>2028</v>
      </c>
    </row>
    <row r="386" spans="1:28" hidden="1" x14ac:dyDescent="0.2">
      <c r="A386" s="175">
        <f>IF(COUNTIF(Tabla_imprenta[LOTE],Tabla_control[[#This Row],[LOTE]])=1,INDEX(Tabla_imprenta[FECHA EMISIÓN],MATCH(Tabla_control[[#This Row],[LOTE]],Tabla_imprenta[LOTE],0)),"REALIZADO")</f>
        <v>46121</v>
      </c>
      <c r="B386" s="142">
        <f>IF(COUNTIF(Tabla_imprenta[LOTE],Tabla_control[[#This Row],[LOTE]])=1,INDEX(Tabla_imprenta[CÓD. SOLICITUD],MATCH(Tabla_control[[#This Row],[LOTE]],Tabla_imprenta[LOTE],0)),"REALIZADO")</f>
        <v>0</v>
      </c>
      <c r="C386" s="177" t="str">
        <f>IF(COUNTIF(Tabla_imprenta[LOTE],Tabla_control[[#This Row],[LOTE]])=1,INDEX(Tabla_imprenta[PRODUCTO],MATCH(Tabla_control[[#This Row],[LOTE]],Tabla_imprenta[LOTE],0)),"REALIZADO")</f>
        <v>ANTIGRIPAL X 100 COMP. RECUBIERTO</v>
      </c>
      <c r="D386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86" s="177" t="str">
        <f>IF(COUNTIF(Tabla_imprenta[LOTE],Tabla_control[[#This Row],[LOTE]])=1,INDEX(Tabla_imprenta[INSTITUCIÓN],MATCH(Tabla_control[[#This Row],[LOTE]],Tabla_imprenta[LOTE],0)),"REALIZADO")</f>
        <v>COMERCIO</v>
      </c>
      <c r="F386" s="181" t="s">
        <v>3254</v>
      </c>
      <c r="G386" s="139">
        <f>IF(COUNTIF(Tabla_imprenta[LOTE],Tabla_control[[#This Row],[LOTE]])=1,INDEX(Tabla_imprenta[CANTIDAD ENVASE SECUNDARIO],MATCH(Tabla_control[[#This Row],[LOTE]],Tabla_imprenta[LOTE],0)),"ENTREGADO")</f>
        <v>2000</v>
      </c>
      <c r="H386" s="139">
        <f>IF(COUNTIF(Tabla_imprenta[LOTE],Tabla_control[[#This Row],[LOTE]])=1,INDEX(Tabla_imprenta[stock sap],MATCH(Tabla_control[[#This Row],[LOTE]],Tabla_imprenta[LOTE],0)),"ENTREGADO")</f>
        <v>1800</v>
      </c>
      <c r="I386" s="139" t="str">
        <f>IF(Tabla_control[[#This Row],[STOCK SAP]]&gt;Tabla_control[[#This Row],[CANTIDAD IMPRIMIR]],"cubre","no cubre")</f>
        <v>no cubre</v>
      </c>
      <c r="J386" s="182">
        <f>IF(COUNTIF(Tabla_imprenta[LOTE],Tabla_control[[#This Row],[LOTE]])=1,INDEX(Tabla_imprenta[STOCK],MATCH(Tabla_control[[#This Row],[LOTE]],Tabla_imprenta[LOTE],0)),"ENTREGADO")</f>
        <v>3.2898250521729525E-2</v>
      </c>
      <c r="K38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46149</v>
      </c>
      <c r="L386" s="148" t="str">
        <f>INDEX(Tabla_imprenta[FECHA CAJA],MATCH(Tabla_control[[#This Row],[LOTE]],Tabla_imprenta[LOTE],0))</f>
        <v>ENTREGADO</v>
      </c>
      <c r="M38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8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8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386" s="170">
        <f>ROUNDUP(Tabla_control[[#This Row],[CANTIDAD IMPRIMIR]]/Tabla_control[[#This Row],[N TJ]],0)</f>
        <v>1000</v>
      </c>
      <c r="Q386" s="170">
        <f>IF(Tabla_control[[#This Row],[CANTIDAD TIRAJE]]&gt;10000,Tabla_control[[#This Row],[CANTIDAD TIRAJE]],Tabla_control[[#This Row],[CANTIDAD TIRAJE]]*2)</f>
        <v>2000</v>
      </c>
      <c r="R386" s="186" t="s">
        <v>172</v>
      </c>
      <c r="S386" s="4" t="s">
        <v>30</v>
      </c>
      <c r="T386" s="4"/>
      <c r="U386" s="4"/>
      <c r="V386" s="4"/>
      <c r="W386" s="185" t="s">
        <v>3223</v>
      </c>
      <c r="X386" s="185"/>
      <c r="Y386" s="185"/>
      <c r="Z386" s="185"/>
      <c r="AA386" s="186" t="s">
        <v>2031</v>
      </c>
      <c r="AB386" s="184" t="s">
        <v>2028</v>
      </c>
    </row>
    <row r="387" spans="1:28" hidden="1" x14ac:dyDescent="0.2">
      <c r="A387" s="175">
        <f>IF(COUNTIF(Tabla_imprenta[LOTE],Tabla_control[[#This Row],[LOTE]])=1,INDEX(Tabla_imprenta[FECHA EMISIÓN],MATCH(Tabla_control[[#This Row],[LOTE]],Tabla_imprenta[LOTE],0)),"REALIZADO")</f>
        <v>46113</v>
      </c>
      <c r="B387" s="142">
        <f>IF(COUNTIF(Tabla_imprenta[LOTE],Tabla_control[[#This Row],[LOTE]])=1,INDEX(Tabla_imprenta[CÓD. SOLICITUD],MATCH(Tabla_control[[#This Row],[LOTE]],Tabla_imprenta[LOTE],0)),"REALIZADO")</f>
        <v>0</v>
      </c>
      <c r="C387" s="177" t="str">
        <f>IF(COUNTIF(Tabla_imprenta[LOTE],Tabla_control[[#This Row],[LOTE]])=1,INDEX(Tabla_imprenta[PRODUCTO],MATCH(Tabla_control[[#This Row],[LOTE]],Tabla_imprenta[LOTE],0)),"REALIZADO")</f>
        <v>DONTOFLAMON X 100 ML SUSP.</v>
      </c>
      <c r="D387" s="142" t="str">
        <f>IF(COUNTIF(Tabla_imprenta[LOTE],Tabla_control[[#This Row],[LOTE]])=1,INDEX(Tabla_imprenta[FORMA FARMACEUTICA],MATCH(Tabla_control[[#This Row],[LOTE]],Tabla_imprenta[LOTE],0)),"REALIZADO")</f>
        <v>SUSPENSIÓN</v>
      </c>
      <c r="E387" s="177" t="str">
        <f>IF(COUNTIF(Tabla_imprenta[LOTE],Tabla_control[[#This Row],[LOTE]])=1,INDEX(Tabla_imprenta[INSTITUCIÓN],MATCH(Tabla_control[[#This Row],[LOTE]],Tabla_imprenta[LOTE],0)),"REALIZADO")</f>
        <v>COMERCIO</v>
      </c>
      <c r="F387" s="181" t="s">
        <v>3157</v>
      </c>
      <c r="G387" s="139">
        <f>IF(COUNTIF(Tabla_imprenta[LOTE],Tabla_control[[#This Row],[LOTE]])=1,INDEX(Tabla_imprenta[CANTIDAD ENVASE SECUNDARIO],MATCH(Tabla_control[[#This Row],[LOTE]],Tabla_imprenta[LOTE],0)),"ENTREGADO")</f>
        <v>4800</v>
      </c>
      <c r="H387" s="139">
        <f>IF(COUNTIF(Tabla_imprenta[LOTE],Tabla_control[[#This Row],[LOTE]])=1,INDEX(Tabla_imprenta[stock sap],MATCH(Tabla_control[[#This Row],[LOTE]],Tabla_imprenta[LOTE],0)),"ENTREGADO")</f>
        <v>334</v>
      </c>
      <c r="I387" s="139" t="str">
        <f>IF(Tabla_control[[#This Row],[STOCK SAP]]&gt;Tabla_control[[#This Row],[CANTIDAD IMPRIMIR]],"cubre","no cubre")</f>
        <v>no cubre</v>
      </c>
      <c r="J387" s="182">
        <f>IF(COUNTIF(Tabla_imprenta[LOTE],Tabla_control[[#This Row],[LOTE]])=1,INDEX(Tabla_imprenta[STOCK],MATCH(Tabla_control[[#This Row],[LOTE]],Tabla_imprenta[LOTE],0)),"ENTREGADO")</f>
        <v>0.38265234974201651</v>
      </c>
      <c r="K38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46149</v>
      </c>
      <c r="L387" s="148" t="str">
        <f>INDEX(Tabla_imprenta[FECHA CAJA],MATCH(Tabla_control[[#This Row],[LOTE]],Tabla_imprenta[LOTE],0))</f>
        <v>ENTREGADO</v>
      </c>
      <c r="M38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38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8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75</v>
      </c>
      <c r="P387" s="170">
        <f>ROUNDUP(Tabla_control[[#This Row],[CANTIDAD IMPRIMIR]]/Tabla_control[[#This Row],[N TJ]],0)</f>
        <v>2400</v>
      </c>
      <c r="Q387" s="170">
        <f>IF(Tabla_control[[#This Row],[CANTIDAD TIRAJE]]&gt;10000,Tabla_control[[#This Row],[CANTIDAD TIRAJE]],Tabla_control[[#This Row],[CANTIDAD TIRAJE]]*2)</f>
        <v>4800</v>
      </c>
      <c r="R387" s="186" t="s">
        <v>177</v>
      </c>
      <c r="S387" s="4" t="s">
        <v>174</v>
      </c>
      <c r="T387" s="4"/>
      <c r="U387" s="4"/>
      <c r="V387" s="4"/>
      <c r="W387" s="185" t="s">
        <v>3223</v>
      </c>
      <c r="X387" s="185"/>
      <c r="Y387" s="185"/>
      <c r="Z387" s="185"/>
      <c r="AA387" s="186" t="s">
        <v>2314</v>
      </c>
      <c r="AB387" s="184" t="s">
        <v>2028</v>
      </c>
    </row>
    <row r="388" spans="1:28" hidden="1" x14ac:dyDescent="0.2">
      <c r="A388" s="175">
        <f>IF(COUNTIF(Tabla_imprenta[LOTE],Tabla_control[[#This Row],[LOTE]])=1,INDEX(Tabla_imprenta[FECHA EMISIÓN],MATCH(Tabla_control[[#This Row],[LOTE]],Tabla_imprenta[LOTE],0)),"REALIZADO")</f>
        <v>46121</v>
      </c>
      <c r="B388" s="142">
        <f>IF(COUNTIF(Tabla_imprenta[LOTE],Tabla_control[[#This Row],[LOTE]])=1,INDEX(Tabla_imprenta[CÓD. SOLICITUD],MATCH(Tabla_control[[#This Row],[LOTE]],Tabla_imprenta[LOTE],0)),"REALIZADO")</f>
        <v>0</v>
      </c>
      <c r="C388" s="177" t="str">
        <f>IF(COUNTIF(Tabla_imprenta[LOTE],Tabla_control[[#This Row],[LOTE]])=1,INDEX(Tabla_imprenta[PRODUCTO],MATCH(Tabla_control[[#This Row],[LOTE]],Tabla_imprenta[LOTE],0)),"REALIZADO")</f>
        <v>CEFTRIAXONA 1000 X 1 POLVO INY.</v>
      </c>
      <c r="D388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388" s="177" t="str">
        <f>IF(COUNTIF(Tabla_imprenta[LOTE],Tabla_control[[#This Row],[LOTE]])=1,INDEX(Tabla_imprenta[INSTITUCIÓN],MATCH(Tabla_control[[#This Row],[LOTE]],Tabla_imprenta[LOTE],0)),"REALIZADO")</f>
        <v>COMERCIO</v>
      </c>
      <c r="F388" s="181" t="s">
        <v>3256</v>
      </c>
      <c r="G388" s="139">
        <f>IF(COUNTIF(Tabla_imprenta[LOTE],Tabla_control[[#This Row],[LOTE]])=1,INDEX(Tabla_imprenta[CANTIDAD ENVASE SECUNDARIO],MATCH(Tabla_control[[#This Row],[LOTE]],Tabla_imprenta[LOTE],0)),"ENTREGADO")</f>
        <v>1400</v>
      </c>
      <c r="H388" s="139">
        <f>IF(COUNTIF(Tabla_imprenta[LOTE],Tabla_control[[#This Row],[LOTE]])=1,INDEX(Tabla_imprenta[stock sap],MATCH(Tabla_control[[#This Row],[LOTE]],Tabla_imprenta[LOTE],0)),"ENTREGADO")</f>
        <v>564</v>
      </c>
      <c r="I388" s="139" t="str">
        <f>IF(Tabla_control[[#This Row],[STOCK SAP]]&gt;Tabla_control[[#This Row],[CANTIDAD IMPRIMIR]],"cubre","no cubre")</f>
        <v>no cubre</v>
      </c>
      <c r="J388" s="182">
        <f>IF(COUNTIF(Tabla_imprenta[LOTE],Tabla_control[[#This Row],[LOTE]])=1,INDEX(Tabla_imprenta[STOCK],MATCH(Tabla_control[[#This Row],[LOTE]],Tabla_imprenta[LOTE],0)),"ENTREGADO")</f>
        <v>1.2473137131573817</v>
      </c>
      <c r="K38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46149</v>
      </c>
      <c r="L388" s="148">
        <f>INDEX(Tabla_imprenta[FECHA CAJA],MATCH(Tabla_control[[#This Row],[LOTE]],Tabla_imprenta[LOTE],0))</f>
        <v>46147</v>
      </c>
      <c r="M38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8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38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</v>
      </c>
      <c r="P388" s="170">
        <f>ROUNDUP(Tabla_control[[#This Row],[CANTIDAD IMPRIMIR]]/Tabla_control[[#This Row],[N TJ]],0)</f>
        <v>1400</v>
      </c>
      <c r="Q388" s="170">
        <f>IF(Tabla_control[[#This Row],[CANTIDAD TIRAJE]]&gt;10000,Tabla_control[[#This Row],[CANTIDAD TIRAJE]],Tabla_control[[#This Row],[CANTIDAD TIRAJE]]*2)</f>
        <v>2800</v>
      </c>
      <c r="R388" s="186" t="s">
        <v>172</v>
      </c>
      <c r="S388" s="4" t="s">
        <v>30</v>
      </c>
      <c r="T388" s="4"/>
      <c r="U388" s="4"/>
      <c r="V388" s="4"/>
      <c r="W388" s="185" t="s">
        <v>3223</v>
      </c>
      <c r="X388" s="185"/>
      <c r="Y388" s="185"/>
      <c r="Z388" s="185"/>
      <c r="AA388" s="186" t="s">
        <v>2031</v>
      </c>
      <c r="AB388" s="184" t="s">
        <v>3222</v>
      </c>
    </row>
    <row r="389" spans="1:28" hidden="1" x14ac:dyDescent="0.2">
      <c r="A389" s="175">
        <f>IF(COUNTIF(Tabla_imprenta[LOTE],Tabla_control[[#This Row],[LOTE]])=1,INDEX(Tabla_imprenta[FECHA EMISIÓN],MATCH(Tabla_control[[#This Row],[LOTE]],Tabla_imprenta[LOTE],0)),"REALIZADO")</f>
        <v>46113</v>
      </c>
      <c r="B389" s="142">
        <f>IF(COUNTIF(Tabla_imprenta[LOTE],Tabla_control[[#This Row],[LOTE]])=1,INDEX(Tabla_imprenta[CÓD. SOLICITUD],MATCH(Tabla_control[[#This Row],[LOTE]],Tabla_imprenta[LOTE],0)),"REALIZADO")</f>
        <v>0</v>
      </c>
      <c r="C389" s="177" t="str">
        <f>IF(COUNTIF(Tabla_imprenta[LOTE],Tabla_control[[#This Row],[LOTE]])=1,INDEX(Tabla_imprenta[PRODUCTO],MATCH(Tabla_control[[#This Row],[LOTE]],Tabla_imprenta[LOTE],0)),"REALIZADO")</f>
        <v>DIPROFEN FLU FUERTE X 2 COMP. RECUBIERTO MM</v>
      </c>
      <c r="D389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89" s="177" t="str">
        <f>IF(COUNTIF(Tabla_imprenta[LOTE],Tabla_control[[#This Row],[LOTE]])=1,INDEX(Tabla_imprenta[INSTITUCIÓN],MATCH(Tabla_control[[#This Row],[LOTE]],Tabla_imprenta[LOTE],0)),"REALIZADO")</f>
        <v>MM-2026</v>
      </c>
      <c r="F389" s="181" t="s">
        <v>3080</v>
      </c>
      <c r="G389" s="139">
        <f>IF(COUNTIF(Tabla_imprenta[LOTE],Tabla_control[[#This Row],[LOTE]])=1,INDEX(Tabla_imprenta[CANTIDAD ENVASE SECUNDARIO],MATCH(Tabla_control[[#This Row],[LOTE]],Tabla_imprenta[LOTE],0)),"ENTREGADO")</f>
        <v>17500</v>
      </c>
      <c r="H389" s="139">
        <f>IF(COUNTIF(Tabla_imprenta[LOTE],Tabla_control[[#This Row],[LOTE]])=1,INDEX(Tabla_imprenta[stock sap],MATCH(Tabla_control[[#This Row],[LOTE]],Tabla_imprenta[LOTE],0)),"ENTREGADO")</f>
        <v>2606</v>
      </c>
      <c r="I389" s="139" t="str">
        <f>IF(Tabla_control[[#This Row],[STOCK SAP]]&gt;Tabla_control[[#This Row],[CANTIDAD IMPRIMIR]],"cubre","no cubre")</f>
        <v>no cubre</v>
      </c>
      <c r="J389" s="182">
        <f>IF(COUNTIF(Tabla_imprenta[LOTE],Tabla_control[[#This Row],[LOTE]])=1,INDEX(Tabla_imprenta[STOCK],MATCH(Tabla_control[[#This Row],[LOTE]],Tabla_imprenta[LOTE],0)),"ENTREGADO")</f>
        <v>1.4215929672041407</v>
      </c>
      <c r="K38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46149</v>
      </c>
      <c r="L389" s="148">
        <f>INDEX(Tabla_imprenta[FECHA CAJA],MATCH(Tabla_control[[#This Row],[LOTE]],Tabla_imprenta[LOTE],0))</f>
        <v>46150</v>
      </c>
      <c r="M38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8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5</v>
      </c>
      <c r="O38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28</v>
      </c>
      <c r="P389" s="170">
        <f>ROUNDUP(Tabla_control[[#This Row],[CANTIDAD IMPRIMIR]]/Tabla_control[[#This Row],[N TJ]],0)</f>
        <v>3500</v>
      </c>
      <c r="Q389" s="170">
        <f>IF(Tabla_control[[#This Row],[CANTIDAD TIRAJE]]&gt;10000,Tabla_control[[#This Row],[CANTIDAD TIRAJE]],Tabla_control[[#This Row],[CANTIDAD TIRAJE]]*2)</f>
        <v>7000</v>
      </c>
      <c r="R389" s="186" t="s">
        <v>173</v>
      </c>
      <c r="S389" s="4" t="s">
        <v>174</v>
      </c>
      <c r="T389" s="4"/>
      <c r="U389" s="4"/>
      <c r="V389" s="4"/>
      <c r="W389" s="185" t="s">
        <v>3223</v>
      </c>
      <c r="X389" s="185"/>
      <c r="Y389" s="185"/>
      <c r="Z389" s="185"/>
      <c r="AA389" s="186" t="s">
        <v>2031</v>
      </c>
      <c r="AB389" s="184" t="s">
        <v>3222</v>
      </c>
    </row>
    <row r="390" spans="1:28" hidden="1" x14ac:dyDescent="0.2">
      <c r="A390" s="175">
        <f>IF(COUNTIF(Tabla_imprenta[LOTE],Tabla_control[[#This Row],[LOTE]])=1,INDEX(Tabla_imprenta[FECHA EMISIÓN],MATCH(Tabla_control[[#This Row],[LOTE]],Tabla_imprenta[LOTE],0)),"REALIZADO")</f>
        <v>46113</v>
      </c>
      <c r="B390" s="142">
        <f>IF(COUNTIF(Tabla_imprenta[LOTE],Tabla_control[[#This Row],[LOTE]])=1,INDEX(Tabla_imprenta[CÓD. SOLICITUD],MATCH(Tabla_control[[#This Row],[LOTE]],Tabla_imprenta[LOTE],0)),"REALIZADO")</f>
        <v>0</v>
      </c>
      <c r="C390" s="177" t="str">
        <f>IF(COUNTIF(Tabla_imprenta[LOTE],Tabla_control[[#This Row],[LOTE]])=1,INDEX(Tabla_imprenta[PRODUCTO],MATCH(Tabla_control[[#This Row],[LOTE]],Tabla_imprenta[LOTE],0)),"REALIZADO")</f>
        <v>CESTODEN 400 MG X 10 ML SUSP. X 3 FRASCOS BEBIBLES</v>
      </c>
      <c r="D390" s="142" t="str">
        <f>IF(COUNTIF(Tabla_imprenta[LOTE],Tabla_control[[#This Row],[LOTE]])=1,INDEX(Tabla_imprenta[FORMA FARMACEUTICA],MATCH(Tabla_control[[#This Row],[LOTE]],Tabla_imprenta[LOTE],0)),"REALIZADO")</f>
        <v>SUSPENSIÓN</v>
      </c>
      <c r="E390" s="177" t="str">
        <f>IF(COUNTIF(Tabla_imprenta[LOTE],Tabla_control[[#This Row],[LOTE]])=1,INDEX(Tabla_imprenta[INSTITUCIÓN],MATCH(Tabla_control[[#This Row],[LOTE]],Tabla_imprenta[LOTE],0)),"REALIZADO")</f>
        <v>COMERCIO</v>
      </c>
      <c r="F390" s="181" t="s">
        <v>3138</v>
      </c>
      <c r="G390" s="139">
        <f>IF(COUNTIF(Tabla_imprenta[LOTE],Tabla_control[[#This Row],[LOTE]])=1,INDEX(Tabla_imprenta[CANTIDAD ENVASE SECUNDARIO],MATCH(Tabla_control[[#This Row],[LOTE]],Tabla_imprenta[LOTE],0)),"ENTREGADO")</f>
        <v>4166.666666666667</v>
      </c>
      <c r="H390" s="139">
        <f>IF(COUNTIF(Tabla_imprenta[LOTE],Tabla_control[[#This Row],[LOTE]])=1,INDEX(Tabla_imprenta[stock sap],MATCH(Tabla_control[[#This Row],[LOTE]],Tabla_imprenta[LOTE],0)),"ENTREGADO")</f>
        <v>3182</v>
      </c>
      <c r="I390" s="139" t="str">
        <f>IF(Tabla_control[[#This Row],[STOCK SAP]]&gt;Tabla_control[[#This Row],[CANTIDAD IMPRIMIR]],"cubre","no cubre")</f>
        <v>no cubre</v>
      </c>
      <c r="J390" s="182">
        <f>IF(COUNTIF(Tabla_imprenta[LOTE],Tabla_control[[#This Row],[LOTE]])=1,INDEX(Tabla_imprenta[STOCK],MATCH(Tabla_control[[#This Row],[LOTE]],Tabla_imprenta[LOTE],0)),"ENTREGADO")</f>
        <v>0.72677879429507419</v>
      </c>
      <c r="K39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46150</v>
      </c>
      <c r="L390" s="148" t="str">
        <f>INDEX(Tabla_imprenta[FECHA CAJA],MATCH(Tabla_control[[#This Row],[LOTE]],Tabla_imprenta[LOTE],0))</f>
        <v>ENTREGADO</v>
      </c>
      <c r="M39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39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9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87</v>
      </c>
      <c r="P390" s="170">
        <f>ROUNDUP(Tabla_control[[#This Row],[CANTIDAD IMPRIMIR]]/Tabla_control[[#This Row],[N TJ]],0)</f>
        <v>1042</v>
      </c>
      <c r="Q390" s="170">
        <f>IF(Tabla_control[[#This Row],[CANTIDAD TIRAJE]]&gt;10000,Tabla_control[[#This Row],[CANTIDAD TIRAJE]],Tabla_control[[#This Row],[CANTIDAD TIRAJE]]*2)</f>
        <v>2084</v>
      </c>
      <c r="R390" s="186" t="s">
        <v>177</v>
      </c>
      <c r="S390" s="4" t="s">
        <v>174</v>
      </c>
      <c r="T390" s="4"/>
      <c r="U390" s="4"/>
      <c r="V390" s="4"/>
      <c r="W390" s="187" t="s">
        <v>3223</v>
      </c>
      <c r="X390" s="187"/>
      <c r="Y390" s="187"/>
      <c r="Z390" s="187"/>
      <c r="AA390" s="186" t="s">
        <v>321</v>
      </c>
      <c r="AB390" s="184" t="s">
        <v>2028</v>
      </c>
    </row>
    <row r="391" spans="1:28" hidden="1" x14ac:dyDescent="0.2">
      <c r="A391" s="175">
        <f>IF(COUNTIF(Tabla_imprenta[LOTE],Tabla_control[[#This Row],[LOTE]])=1,INDEX(Tabla_imprenta[FECHA EMISIÓN],MATCH(Tabla_control[[#This Row],[LOTE]],Tabla_imprenta[LOTE],0)),"REALIZADO")</f>
        <v>46113</v>
      </c>
      <c r="B391" s="142">
        <f>IF(COUNTIF(Tabla_imprenta[LOTE],Tabla_control[[#This Row],[LOTE]])=1,INDEX(Tabla_imprenta[CÓD. SOLICITUD],MATCH(Tabla_control[[#This Row],[LOTE]],Tabla_imprenta[LOTE],0)),"REALIZADO")</f>
        <v>0</v>
      </c>
      <c r="C391" s="177" t="str">
        <f>IF(COUNTIF(Tabla_imprenta[LOTE],Tabla_control[[#This Row],[LOTE]])=1,INDEX(Tabla_imprenta[PRODUCTO],MATCH(Tabla_control[[#This Row],[LOTE]],Tabla_imprenta[LOTE],0)),"REALIZADO")</f>
        <v>AMOXICILINA 1 G X 100 COMP. RECUBIERTO</v>
      </c>
      <c r="D391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91" s="177" t="str">
        <f>IF(COUNTIF(Tabla_imprenta[LOTE],Tabla_control[[#This Row],[LOTE]])=1,INDEX(Tabla_imprenta[INSTITUCIÓN],MATCH(Tabla_control[[#This Row],[LOTE]],Tabla_imprenta[LOTE],0)),"REALIZADO")</f>
        <v>COMERCIO</v>
      </c>
      <c r="F391" s="181" t="s">
        <v>3116</v>
      </c>
      <c r="G391" s="139">
        <f>IF(COUNTIF(Tabla_imprenta[LOTE],Tabla_control[[#This Row],[LOTE]])=1,INDEX(Tabla_imprenta[CANTIDAD ENVASE SECUNDARIO],MATCH(Tabla_control[[#This Row],[LOTE]],Tabla_imprenta[LOTE],0)),"ENTREGADO")</f>
        <v>1300</v>
      </c>
      <c r="H391" s="139">
        <f>IF(COUNTIF(Tabla_imprenta[LOTE],Tabla_control[[#This Row],[LOTE]])=1,INDEX(Tabla_imprenta[stock sap],MATCH(Tabla_control[[#This Row],[LOTE]],Tabla_imprenta[LOTE],0)),"ENTREGADO")</f>
        <v>1228</v>
      </c>
      <c r="I391" s="139" t="str">
        <f>IF(Tabla_control[[#This Row],[STOCK SAP]]&gt;Tabla_control[[#This Row],[CANTIDAD IMPRIMIR]],"cubre","no cubre")</f>
        <v>no cubre</v>
      </c>
      <c r="J391" s="182">
        <f>IF(COUNTIF(Tabla_imprenta[LOTE],Tabla_control[[#This Row],[LOTE]])=1,INDEX(Tabla_imprenta[STOCK],MATCH(Tabla_control[[#This Row],[LOTE]],Tabla_imprenta[LOTE],0)),"ENTREGADO")</f>
        <v>1.9305856832971799</v>
      </c>
      <c r="K39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46148</v>
      </c>
      <c r="L391" s="148" t="str">
        <f>INDEX(Tabla_imprenta[FECHA CAJA],MATCH(Tabla_control[[#This Row],[LOTE]],Tabla_imprenta[LOTE],0))</f>
        <v>ENTREGADO</v>
      </c>
      <c r="M39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9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9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38</v>
      </c>
      <c r="P391" s="170">
        <f>ROUNDUP(Tabla_control[[#This Row],[CANTIDAD IMPRIMIR]]/Tabla_control[[#This Row],[N TJ]],0)</f>
        <v>650</v>
      </c>
      <c r="Q391" s="170">
        <f>IF(Tabla_control[[#This Row],[CANTIDAD TIRAJE]]&gt;10000,Tabla_control[[#This Row],[CANTIDAD TIRAJE]],Tabla_control[[#This Row],[CANTIDAD TIRAJE]]*2)</f>
        <v>1300</v>
      </c>
      <c r="R391" s="186" t="s">
        <v>172</v>
      </c>
      <c r="S391" s="4" t="s">
        <v>30</v>
      </c>
      <c r="T391" s="4"/>
      <c r="U391" s="4"/>
      <c r="V391" s="4"/>
      <c r="W391" s="185" t="s">
        <v>3223</v>
      </c>
      <c r="X391" s="185"/>
      <c r="Y391" s="185"/>
      <c r="Z391" s="185"/>
      <c r="AA391" s="186" t="s">
        <v>2031</v>
      </c>
      <c r="AB391" s="184" t="s">
        <v>3222</v>
      </c>
    </row>
    <row r="392" spans="1:28" hidden="1" x14ac:dyDescent="0.2">
      <c r="A392" s="175">
        <f>IF(COUNTIF(Tabla_imprenta[LOTE],Tabla_control[[#This Row],[LOTE]])=1,INDEX(Tabla_imprenta[FECHA EMISIÓN],MATCH(Tabla_control[[#This Row],[LOTE]],Tabla_imprenta[LOTE],0)),"REALIZADO")</f>
        <v>46113</v>
      </c>
      <c r="B392" s="142">
        <f>IF(COUNTIF(Tabla_imprenta[LOTE],Tabla_control[[#This Row],[LOTE]])=1,INDEX(Tabla_imprenta[CÓD. SOLICITUD],MATCH(Tabla_control[[#This Row],[LOTE]],Tabla_imprenta[LOTE],0)),"REALIZADO")</f>
        <v>0</v>
      </c>
      <c r="C392" s="177" t="str">
        <f>IF(COUNTIF(Tabla_imprenta[LOTE],Tabla_control[[#This Row],[LOTE]])=1,INDEX(Tabla_imprenta[PRODUCTO],MATCH(Tabla_control[[#This Row],[LOTE]],Tabla_imprenta[LOTE],0)),"REALIZADO")</f>
        <v>DICLOFENACO 100 MG X 100 COMP. RECUBIERTO</v>
      </c>
      <c r="D392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92" s="177" t="str">
        <f>IF(COUNTIF(Tabla_imprenta[LOTE],Tabla_control[[#This Row],[LOTE]])=1,INDEX(Tabla_imprenta[INSTITUCIÓN],MATCH(Tabla_control[[#This Row],[LOTE]],Tabla_imprenta[LOTE],0)),"REALIZADO")</f>
        <v>COMERCIO</v>
      </c>
      <c r="F392" s="181" t="s">
        <v>3135</v>
      </c>
      <c r="G392" s="139">
        <f>IF(COUNTIF(Tabla_imprenta[LOTE],Tabla_control[[#This Row],[LOTE]])=1,INDEX(Tabla_imprenta[CANTIDAD ENVASE SECUNDARIO],MATCH(Tabla_control[[#This Row],[LOTE]],Tabla_imprenta[LOTE],0)),"ENTREGADO")</f>
        <v>300</v>
      </c>
      <c r="H392" s="139">
        <f>IF(COUNTIF(Tabla_imprenta[LOTE],Tabla_control[[#This Row],[LOTE]])=1,INDEX(Tabla_imprenta[stock sap],MATCH(Tabla_control[[#This Row],[LOTE]],Tabla_imprenta[LOTE],0)),"ENTREGADO")</f>
        <v>300</v>
      </c>
      <c r="I392" s="139" t="str">
        <f>IF(Tabla_control[[#This Row],[STOCK SAP]]&gt;Tabla_control[[#This Row],[CANTIDAD IMPRIMIR]],"cubre","no cubre")</f>
        <v>no cubre</v>
      </c>
      <c r="J392" s="182">
        <f>IF(COUNTIF(Tabla_imprenta[LOTE],Tabla_control[[#This Row],[LOTE]])=1,INDEX(Tabla_imprenta[STOCK],MATCH(Tabla_control[[#This Row],[LOTE]],Tabla_imprenta[LOTE],0)),"ENTREGADO")</f>
        <v>1.5794647733478973</v>
      </c>
      <c r="K39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46154</v>
      </c>
      <c r="L392" s="148" t="str">
        <f>INDEX(Tabla_imprenta[FECHA CAJA],MATCH(Tabla_control[[#This Row],[LOTE]],Tabla_imprenta[LOTE],0))</f>
        <v>ENTREGADO</v>
      </c>
      <c r="M39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9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9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34</v>
      </c>
      <c r="P392" s="169">
        <f>ROUNDUP(Tabla_control[[#This Row],[CANTIDAD IMPRIMIR]]/Tabla_control[[#This Row],[N TJ]],0)</f>
        <v>75</v>
      </c>
      <c r="Q392" s="169">
        <f>IF(Tabla_control[[#This Row],[CANTIDAD TIRAJE]]&gt;10000,Tabla_control[[#This Row],[CANTIDAD TIRAJE]],Tabla_control[[#This Row],[CANTIDAD TIRAJE]]*2)</f>
        <v>150</v>
      </c>
      <c r="R392" s="186" t="s">
        <v>172</v>
      </c>
      <c r="S392" s="4" t="s">
        <v>30</v>
      </c>
      <c r="T392" s="4"/>
      <c r="U392" s="4"/>
      <c r="V392" s="4"/>
      <c r="W392" s="187" t="s">
        <v>3223</v>
      </c>
      <c r="X392" s="187"/>
      <c r="Y392" s="187"/>
      <c r="Z392" s="187"/>
      <c r="AA392" s="186" t="s">
        <v>321</v>
      </c>
      <c r="AB392" s="184" t="s">
        <v>2028</v>
      </c>
    </row>
    <row r="393" spans="1:28" hidden="1" x14ac:dyDescent="0.2">
      <c r="A393" s="175">
        <f>IF(COUNTIF(Tabla_imprenta[LOTE],Tabla_control[[#This Row],[LOTE]])=1,INDEX(Tabla_imprenta[FECHA EMISIÓN],MATCH(Tabla_control[[#This Row],[LOTE]],Tabla_imprenta[LOTE],0)),"REALIZADO")</f>
        <v>46113</v>
      </c>
      <c r="B393" s="142">
        <f>IF(COUNTIF(Tabla_imprenta[LOTE],Tabla_control[[#This Row],[LOTE]])=1,INDEX(Tabla_imprenta[CÓD. SOLICITUD],MATCH(Tabla_control[[#This Row],[LOTE]],Tabla_imprenta[LOTE],0)),"REALIZADO")</f>
        <v>0</v>
      </c>
      <c r="C393" s="177" t="str">
        <f>IF(COUNTIF(Tabla_imprenta[LOTE],Tabla_control[[#This Row],[LOTE]])=1,INDEX(Tabla_imprenta[PRODUCTO],MATCH(Tabla_control[[#This Row],[LOTE]],Tabla_imprenta[LOTE],0)),"REALIZADO")</f>
        <v>AMOXICILINA 250 MG X 100 ML POLVO PARA SUSP.</v>
      </c>
      <c r="D393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393" s="177" t="str">
        <f>IF(COUNTIF(Tabla_imprenta[LOTE],Tabla_control[[#This Row],[LOTE]])=1,INDEX(Tabla_imprenta[INSTITUCIÓN],MATCH(Tabla_control[[#This Row],[LOTE]],Tabla_imprenta[LOTE],0)),"REALIZADO")</f>
        <v>COMERCIO</v>
      </c>
      <c r="F393" s="181" t="s">
        <v>3083</v>
      </c>
      <c r="G393" s="139">
        <f>IF(COUNTIF(Tabla_imprenta[LOTE],Tabla_control[[#This Row],[LOTE]])=1,INDEX(Tabla_imprenta[CANTIDAD ENVASE SECUNDARIO],MATCH(Tabla_control[[#This Row],[LOTE]],Tabla_imprenta[LOTE],0)),"ENTREGADO")</f>
        <v>6000</v>
      </c>
      <c r="H393" s="139">
        <f>IF(COUNTIF(Tabla_imprenta[LOTE],Tabla_control[[#This Row],[LOTE]])=1,INDEX(Tabla_imprenta[stock sap],MATCH(Tabla_control[[#This Row],[LOTE]],Tabla_imprenta[LOTE],0)),"ENTREGADO")</f>
        <v>1284</v>
      </c>
      <c r="I393" s="139" t="str">
        <f>IF(Tabla_control[[#This Row],[STOCK SAP]]&gt;Tabla_control[[#This Row],[CANTIDAD IMPRIMIR]],"cubre","no cubre")</f>
        <v>no cubre</v>
      </c>
      <c r="J393" s="182">
        <f>IF(COUNTIF(Tabla_imprenta[LOTE],Tabla_control[[#This Row],[LOTE]])=1,INDEX(Tabla_imprenta[STOCK],MATCH(Tabla_control[[#This Row],[LOTE]],Tabla_imprenta[LOTE],0)),"ENTREGADO")</f>
        <v>0.3102099927588704</v>
      </c>
      <c r="K39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46150</v>
      </c>
      <c r="L393" s="148">
        <f>INDEX(Tabla_imprenta[FECHA CAJA],MATCH(Tabla_control[[#This Row],[LOTE]],Tabla_imprenta[LOTE],0))</f>
        <v>46150</v>
      </c>
      <c r="M39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9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9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393" s="170">
        <f>ROUNDUP(Tabla_control[[#This Row],[CANTIDAD IMPRIMIR]]/Tabla_control[[#This Row],[N TJ]],0)</f>
        <v>3000</v>
      </c>
      <c r="Q393" s="170">
        <f>IF(Tabla_control[[#This Row],[CANTIDAD TIRAJE]]&gt;10000,Tabla_control[[#This Row],[CANTIDAD TIRAJE]],Tabla_control[[#This Row],[CANTIDAD TIRAJE]]*2)</f>
        <v>6000</v>
      </c>
      <c r="R393" s="186" t="s">
        <v>172</v>
      </c>
      <c r="S393" s="4" t="s">
        <v>30</v>
      </c>
      <c r="T393" s="4"/>
      <c r="U393" s="4"/>
      <c r="V393" s="4"/>
      <c r="W393" s="185" t="s">
        <v>3223</v>
      </c>
      <c r="X393" s="185"/>
      <c r="Y393" s="185"/>
      <c r="Z393" s="185"/>
      <c r="AA393" s="186" t="s">
        <v>2031</v>
      </c>
      <c r="AB393" s="184" t="s">
        <v>3222</v>
      </c>
    </row>
    <row r="394" spans="1:28" hidden="1" x14ac:dyDescent="0.2">
      <c r="A394" s="175">
        <f>IF(COUNTIF(Tabla_imprenta[LOTE],Tabla_control[[#This Row],[LOTE]])=1,INDEX(Tabla_imprenta[FECHA EMISIÓN],MATCH(Tabla_control[[#This Row],[LOTE]],Tabla_imprenta[LOTE],0)),"REALIZADO")</f>
        <v>46113</v>
      </c>
      <c r="B394" s="142">
        <f>IF(COUNTIF(Tabla_imprenta[LOTE],Tabla_control[[#This Row],[LOTE]])=1,INDEX(Tabla_imprenta[CÓD. SOLICITUD],MATCH(Tabla_control[[#This Row],[LOTE]],Tabla_imprenta[LOTE],0)),"REALIZADO")</f>
        <v>0</v>
      </c>
      <c r="C394" s="177" t="str">
        <f>IF(COUNTIF(Tabla_imprenta[LOTE],Tabla_control[[#This Row],[LOTE]])=1,INDEX(Tabla_imprenta[PRODUCTO],MATCH(Tabla_control[[#This Row],[LOTE]],Tabla_imprenta[LOTE],0)),"REALIZADO")</f>
        <v>QUINOSIL 500 MG X 10 COMP. RECUBIERTO</v>
      </c>
      <c r="D394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94" s="177" t="str">
        <f>IF(COUNTIF(Tabla_imprenta[LOTE],Tabla_control[[#This Row],[LOTE]])=1,INDEX(Tabla_imprenta[INSTITUCIÓN],MATCH(Tabla_control[[#This Row],[LOTE]],Tabla_imprenta[LOTE],0)),"REALIZADO")</f>
        <v>COMERCIO</v>
      </c>
      <c r="F394" s="181" t="s">
        <v>3105</v>
      </c>
      <c r="G394" s="139">
        <f>IF(COUNTIF(Tabla_imprenta[LOTE],Tabla_control[[#This Row],[LOTE]])=1,INDEX(Tabla_imprenta[CANTIDAD ENVASE SECUNDARIO],MATCH(Tabla_control[[#This Row],[LOTE]],Tabla_imprenta[LOTE],0)),"ENTREGADO")</f>
        <v>700</v>
      </c>
      <c r="H394" s="139">
        <f>IF(COUNTIF(Tabla_imprenta[LOTE],Tabla_control[[#This Row],[LOTE]])=1,INDEX(Tabla_imprenta[stock sap],MATCH(Tabla_control[[#This Row],[LOTE]],Tabla_imprenta[LOTE],0)),"ENTREGADO")</f>
        <v>1550</v>
      </c>
      <c r="I394" s="139" t="str">
        <f>IF(Tabla_control[[#This Row],[STOCK SAP]]&gt;Tabla_control[[#This Row],[CANTIDAD IMPRIMIR]],"cubre","no cubre")</f>
        <v>cubre</v>
      </c>
      <c r="J394" s="182">
        <f>IF(COUNTIF(Tabla_imprenta[LOTE],Tabla_control[[#This Row],[LOTE]])=1,INDEX(Tabla_imprenta[STOCK],MATCH(Tabla_control[[#This Row],[LOTE]],Tabla_imprenta[LOTE],0)),"ENTREGADO")</f>
        <v>3.3103448275862073</v>
      </c>
      <c r="K39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46153</v>
      </c>
      <c r="L394" s="148" t="str">
        <f>INDEX(Tabla_imprenta[FECHA CAJA],MATCH(Tabla_control[[#This Row],[LOTE]],Tabla_imprenta[LOTE],0))</f>
        <v>ENTREGADO</v>
      </c>
      <c r="M39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9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39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394" s="169">
        <f>ROUNDUP(Tabla_control[[#This Row],[CANTIDAD IMPRIMIR]]/Tabla_control[[#This Row],[N TJ]],0)</f>
        <v>234</v>
      </c>
      <c r="Q394" s="169">
        <f>IF(Tabla_control[[#This Row],[CANTIDAD TIRAJE]]&gt;10000,Tabla_control[[#This Row],[CANTIDAD TIRAJE]],Tabla_control[[#This Row],[CANTIDAD TIRAJE]]*2)</f>
        <v>468</v>
      </c>
      <c r="R394" s="186" t="s">
        <v>173</v>
      </c>
      <c r="S394" s="4" t="s">
        <v>174</v>
      </c>
      <c r="T394" s="4"/>
      <c r="U394" s="4"/>
      <c r="V394" s="4"/>
      <c r="W394" s="187" t="s">
        <v>3223</v>
      </c>
      <c r="X394" s="187"/>
      <c r="Y394" s="187"/>
      <c r="Z394" s="187"/>
      <c r="AA394" s="186" t="s">
        <v>321</v>
      </c>
      <c r="AB394" s="184" t="s">
        <v>2028</v>
      </c>
    </row>
    <row r="395" spans="1:28" hidden="1" x14ac:dyDescent="0.2">
      <c r="A395" s="175">
        <f>IF(COUNTIF(Tabla_imprenta[LOTE],Tabla_control[[#This Row],[LOTE]])=1,INDEX(Tabla_imprenta[FECHA EMISIÓN],MATCH(Tabla_control[[#This Row],[LOTE]],Tabla_imprenta[LOTE],0)),"REALIZADO")</f>
        <v>46121</v>
      </c>
      <c r="B395" s="142">
        <f>IF(COUNTIF(Tabla_imprenta[LOTE],Tabla_control[[#This Row],[LOTE]])=1,INDEX(Tabla_imprenta[CÓD. SOLICITUD],MATCH(Tabla_control[[#This Row],[LOTE]],Tabla_imprenta[LOTE],0)),"REALIZADO")</f>
        <v>0</v>
      </c>
      <c r="C395" s="177" t="str">
        <f>IF(COUNTIF(Tabla_imprenta[LOTE],Tabla_control[[#This Row],[LOTE]])=1,INDEX(Tabla_imprenta[PRODUCTO],MATCH(Tabla_control[[#This Row],[LOTE]],Tabla_imprenta[LOTE],0)),"REALIZADO")</f>
        <v>ANTIGRIPAL X 100 COMP. RECUBIERTO</v>
      </c>
      <c r="D395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95" s="177" t="str">
        <f>IF(COUNTIF(Tabla_imprenta[LOTE],Tabla_control[[#This Row],[LOTE]])=1,INDEX(Tabla_imprenta[INSTITUCIÓN],MATCH(Tabla_control[[#This Row],[LOTE]],Tabla_imprenta[LOTE],0)),"REALIZADO")</f>
        <v>COMERCIO</v>
      </c>
      <c r="F395" s="181" t="s">
        <v>3277</v>
      </c>
      <c r="G395" s="139">
        <f>IF(COUNTIF(Tabla_imprenta[LOTE],Tabla_control[[#This Row],[LOTE]])=1,INDEX(Tabla_imprenta[CANTIDAD ENVASE SECUNDARIO],MATCH(Tabla_control[[#This Row],[LOTE]],Tabla_imprenta[LOTE],0)),"ENTREGADO")</f>
        <v>2000</v>
      </c>
      <c r="H395" s="139">
        <f>IF(COUNTIF(Tabla_imprenta[LOTE],Tabla_control[[#This Row],[LOTE]])=1,INDEX(Tabla_imprenta[stock sap],MATCH(Tabla_control[[#This Row],[LOTE]],Tabla_imprenta[LOTE],0)),"ENTREGADO")</f>
        <v>1800</v>
      </c>
      <c r="I395" s="139" t="str">
        <f>IF(Tabla_control[[#This Row],[STOCK SAP]]&gt;Tabla_control[[#This Row],[CANTIDAD IMPRIMIR]],"cubre","no cubre")</f>
        <v>no cubre</v>
      </c>
      <c r="J395" s="182">
        <f>IF(COUNTIF(Tabla_imprenta[LOTE],Tabla_control[[#This Row],[LOTE]])=1,INDEX(Tabla_imprenta[STOCK],MATCH(Tabla_control[[#This Row],[LOTE]],Tabla_imprenta[LOTE],0)),"ENTREGADO")</f>
        <v>3.2898250521729525E-2</v>
      </c>
      <c r="K39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46150</v>
      </c>
      <c r="L395" s="148" t="str">
        <f>INDEX(Tabla_imprenta[FECHA CAJA],MATCH(Tabla_control[[#This Row],[LOTE]],Tabla_imprenta[LOTE],0))</f>
        <v>ENTREGADO</v>
      </c>
      <c r="M39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9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9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395" s="170">
        <f>ROUNDUP(Tabla_control[[#This Row],[CANTIDAD IMPRIMIR]]/Tabla_control[[#This Row],[N TJ]],0)</f>
        <v>1000</v>
      </c>
      <c r="Q395" s="170">
        <f>IF(Tabla_control[[#This Row],[CANTIDAD TIRAJE]]&gt;10000,Tabla_control[[#This Row],[CANTIDAD TIRAJE]],Tabla_control[[#This Row],[CANTIDAD TIRAJE]]*2)</f>
        <v>2000</v>
      </c>
      <c r="R395" s="186" t="s">
        <v>172</v>
      </c>
      <c r="S395" s="4" t="s">
        <v>30</v>
      </c>
      <c r="T395" s="4"/>
      <c r="U395" s="4"/>
      <c r="V395" s="4"/>
      <c r="W395" s="185" t="s">
        <v>3223</v>
      </c>
      <c r="X395" s="185"/>
      <c r="Y395" s="185"/>
      <c r="Z395" s="185"/>
      <c r="AA395" s="186" t="s">
        <v>2031</v>
      </c>
      <c r="AB395" s="184" t="s">
        <v>2028</v>
      </c>
    </row>
    <row r="396" spans="1:28" hidden="1" x14ac:dyDescent="0.2">
      <c r="A396" s="175">
        <f>IF(COUNTIF(Tabla_imprenta[LOTE],Tabla_control[[#This Row],[LOTE]])=1,INDEX(Tabla_imprenta[FECHA EMISIÓN],MATCH(Tabla_control[[#This Row],[LOTE]],Tabla_imprenta[LOTE],0)),"REALIZADO")</f>
        <v>46113</v>
      </c>
      <c r="B396" s="142">
        <f>IF(COUNTIF(Tabla_imprenta[LOTE],Tabla_control[[#This Row],[LOTE]])=1,INDEX(Tabla_imprenta[CÓD. SOLICITUD],MATCH(Tabla_control[[#This Row],[LOTE]],Tabla_imprenta[LOTE],0)),"REALIZADO")</f>
        <v>0</v>
      </c>
      <c r="C396" s="177" t="str">
        <f>IF(COUNTIF(Tabla_imprenta[LOTE],Tabla_control[[#This Row],[LOTE]])=1,INDEX(Tabla_imprenta[PRODUCTO],MATCH(Tabla_control[[#This Row],[LOTE]],Tabla_imprenta[LOTE],0)),"REALIZADO")</f>
        <v>REZITRO RAPID 30 X 2 COMP. SUBLINGUAL MM</v>
      </c>
      <c r="D396" s="142" t="str">
        <f>IF(COUNTIF(Tabla_imprenta[LOTE],Tabla_control[[#This Row],[LOTE]])=1,INDEX(Tabla_imprenta[FORMA FARMACEUTICA],MATCH(Tabla_control[[#This Row],[LOTE]],Tabla_imprenta[LOTE],0)),"REALIZADO")</f>
        <v>COMPRIMIDO SUBLINGUAL</v>
      </c>
      <c r="E396" s="177" t="str">
        <f>IF(COUNTIF(Tabla_imprenta[LOTE],Tabla_control[[#This Row],[LOTE]])=1,INDEX(Tabla_imprenta[INSTITUCIÓN],MATCH(Tabla_control[[#This Row],[LOTE]],Tabla_imprenta[LOTE],0)),"REALIZADO")</f>
        <v>MM-2026</v>
      </c>
      <c r="F396" s="181" t="s">
        <v>3114</v>
      </c>
      <c r="G396" s="139">
        <f>IF(COUNTIF(Tabla_imprenta[LOTE],Tabla_control[[#This Row],[LOTE]])=1,INDEX(Tabla_imprenta[CANTIDAD ENVASE SECUNDARIO],MATCH(Tabla_control[[#This Row],[LOTE]],Tabla_imprenta[LOTE],0)),"ENTREGADO")</f>
        <v>50000</v>
      </c>
      <c r="H396" s="139">
        <f>IF(COUNTIF(Tabla_imprenta[LOTE],Tabla_control[[#This Row],[LOTE]])=1,INDEX(Tabla_imprenta[stock sap],MATCH(Tabla_control[[#This Row],[LOTE]],Tabla_imprenta[LOTE],0)),"ENTREGADO")</f>
        <v>3839</v>
      </c>
      <c r="I396" s="139" t="str">
        <f>IF(Tabla_control[[#This Row],[STOCK SAP]]&gt;Tabla_control[[#This Row],[CANTIDAD IMPRIMIR]],"cubre","no cubre")</f>
        <v>no cubre</v>
      </c>
      <c r="J396" s="182">
        <f>IF(COUNTIF(Tabla_imprenta[LOTE],Tabla_control[[#This Row],[LOTE]])=1,INDEX(Tabla_imprenta[STOCK],MATCH(Tabla_control[[#This Row],[LOTE]],Tabla_imprenta[LOTE],0)),"ENTREGADO")</f>
        <v>1.659744549945257</v>
      </c>
      <c r="K39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46150</v>
      </c>
      <c r="L396" s="148">
        <f>INDEX(Tabla_imprenta[FECHA CAJA],MATCH(Tabla_control[[#This Row],[LOTE]],Tabla_imprenta[LOTE],0))</f>
        <v>46154</v>
      </c>
      <c r="M39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9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39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</v>
      </c>
      <c r="P396" s="170">
        <f>ROUNDUP(Tabla_control[[#This Row],[CANTIDAD IMPRIMIR]]/Tabla_control[[#This Row],[N TJ]],0)</f>
        <v>8334</v>
      </c>
      <c r="Q396" s="170">
        <f>IF(Tabla_control[[#This Row],[CANTIDAD TIRAJE]]&gt;10000,Tabla_control[[#This Row],[CANTIDAD TIRAJE]],Tabla_control[[#This Row],[CANTIDAD TIRAJE]]*2)</f>
        <v>16668</v>
      </c>
      <c r="R396" s="186" t="s">
        <v>173</v>
      </c>
      <c r="S396" s="4" t="s">
        <v>174</v>
      </c>
      <c r="T396" s="4"/>
      <c r="U396" s="4"/>
      <c r="V396" s="4"/>
      <c r="W396" s="185" t="s">
        <v>3223</v>
      </c>
      <c r="X396" s="185"/>
      <c r="Y396" s="185"/>
      <c r="Z396" s="185"/>
      <c r="AA396" s="186" t="s">
        <v>2031</v>
      </c>
      <c r="AB396" s="184" t="s">
        <v>3222</v>
      </c>
    </row>
    <row r="397" spans="1:28" hidden="1" x14ac:dyDescent="0.2">
      <c r="A397" s="175">
        <f>IF(COUNTIF(Tabla_imprenta[LOTE],Tabla_control[[#This Row],[LOTE]])=1,INDEX(Tabla_imprenta[FECHA EMISIÓN],MATCH(Tabla_control[[#This Row],[LOTE]],Tabla_imprenta[LOTE],0)),"REALIZADO")</f>
        <v>46113</v>
      </c>
      <c r="B397" s="142">
        <f>IF(COUNTIF(Tabla_imprenta[LOTE],Tabla_control[[#This Row],[LOTE]])=1,INDEX(Tabla_imprenta[CÓD. SOLICITUD],MATCH(Tabla_control[[#This Row],[LOTE]],Tabla_imprenta[LOTE],0)),"REALIZADO")</f>
        <v>0</v>
      </c>
      <c r="C397" s="177" t="str">
        <f>IF(COUNTIF(Tabla_imprenta[LOTE],Tabla_control[[#This Row],[LOTE]])=1,INDEX(Tabla_imprenta[PRODUCTO],MATCH(Tabla_control[[#This Row],[LOTE]],Tabla_imprenta[LOTE],0)),"REALIZADO")</f>
        <v>LEVODOPA-CARBIDOPA 250/25 MG X 30 COMP. RECUBIERTO</v>
      </c>
      <c r="D397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97" s="177" t="str">
        <f>IF(COUNTIF(Tabla_imprenta[LOTE],Tabla_control[[#This Row],[LOTE]])=1,INDEX(Tabla_imprenta[INSTITUCIÓN],MATCH(Tabla_control[[#This Row],[LOTE]],Tabla_imprenta[LOTE],0)),"REALIZADO")</f>
        <v>COMERCIO</v>
      </c>
      <c r="F397" s="181" t="s">
        <v>3119</v>
      </c>
      <c r="G397" s="139">
        <f>IF(COUNTIF(Tabla_imprenta[LOTE],Tabla_control[[#This Row],[LOTE]])=1,INDEX(Tabla_imprenta[CANTIDAD ENVASE SECUNDARIO],MATCH(Tabla_control[[#This Row],[LOTE]],Tabla_imprenta[LOTE],0)),"ENTREGADO")</f>
        <v>8333.3333333333339</v>
      </c>
      <c r="H397" s="139">
        <f>IF(COUNTIF(Tabla_imprenta[LOTE],Tabla_control[[#This Row],[LOTE]])=1,INDEX(Tabla_imprenta[stock sap],MATCH(Tabla_control[[#This Row],[LOTE]],Tabla_imprenta[LOTE],0)),"ENTREGADO")</f>
        <v>848</v>
      </c>
      <c r="I397" s="139" t="str">
        <f>IF(Tabla_control[[#This Row],[STOCK SAP]]&gt;Tabla_control[[#This Row],[CANTIDAD IMPRIMIR]],"cubre","no cubre")</f>
        <v>no cubre</v>
      </c>
      <c r="J397" s="182">
        <f>IF(COUNTIF(Tabla_imprenta[LOTE],Tabla_control[[#This Row],[LOTE]])=1,INDEX(Tabla_imprenta[STOCK],MATCH(Tabla_control[[#This Row],[LOTE]],Tabla_imprenta[LOTE],0)),"ENTREGADO")</f>
        <v>0.6320701638259143</v>
      </c>
      <c r="K39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46153</v>
      </c>
      <c r="L397" s="148">
        <f>INDEX(Tabla_imprenta[FECHA CAJA],MATCH(Tabla_control[[#This Row],[LOTE]],Tabla_imprenta[LOTE],0))</f>
        <v>46153</v>
      </c>
      <c r="M39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9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39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27</v>
      </c>
      <c r="P397" s="170">
        <f>ROUNDUP(Tabla_control[[#This Row],[CANTIDAD IMPRIMIR]]/Tabla_control[[#This Row],[N TJ]],0)</f>
        <v>1389</v>
      </c>
      <c r="Q397" s="170">
        <f>IF(Tabla_control[[#This Row],[CANTIDAD TIRAJE]]&gt;10000,Tabla_control[[#This Row],[CANTIDAD TIRAJE]],Tabla_control[[#This Row],[CANTIDAD TIRAJE]]*2)</f>
        <v>2778</v>
      </c>
      <c r="R397" s="186" t="s">
        <v>172</v>
      </c>
      <c r="S397" s="4" t="s">
        <v>30</v>
      </c>
      <c r="T397" s="4"/>
      <c r="U397" s="4"/>
      <c r="V397" s="4"/>
      <c r="W397" s="185" t="s">
        <v>3238</v>
      </c>
      <c r="X397" s="185"/>
      <c r="Y397" s="185"/>
      <c r="Z397" s="185"/>
      <c r="AA397" s="186" t="s">
        <v>2031</v>
      </c>
      <c r="AB397" s="184" t="s">
        <v>3222</v>
      </c>
    </row>
    <row r="398" spans="1:28" hidden="1" x14ac:dyDescent="0.2">
      <c r="A398" s="175">
        <f>IF(COUNTIF(Tabla_imprenta[LOTE],Tabla_control[[#This Row],[LOTE]])=1,INDEX(Tabla_imprenta[FECHA EMISIÓN],MATCH(Tabla_control[[#This Row],[LOTE]],Tabla_imprenta[LOTE],0)),"REALIZADO")</f>
        <v>46143</v>
      </c>
      <c r="B398" s="142">
        <f>IF(COUNTIF(Tabla_imprenta[LOTE],Tabla_control[[#This Row],[LOTE]])=1,INDEX(Tabla_imprenta[CÓD. SOLICITUD],MATCH(Tabla_control[[#This Row],[LOTE]],Tabla_imprenta[LOTE],0)),"REALIZADO")</f>
        <v>0</v>
      </c>
      <c r="C398" s="177" t="str">
        <f>IF(COUNTIF(Tabla_imprenta[LOTE],Tabla_control[[#This Row],[LOTE]])=1,INDEX(Tabla_imprenta[PRODUCTO],MATCH(Tabla_control[[#This Row],[LOTE]],Tabla_imprenta[LOTE],0)),"REALIZADO")</f>
        <v>CLOTRIM 1% X 20 G CREMA DERMICA</v>
      </c>
      <c r="D398" s="142" t="str">
        <f>IF(COUNTIF(Tabla_imprenta[LOTE],Tabla_control[[#This Row],[LOTE]])=1,INDEX(Tabla_imprenta[FORMA FARMACEUTICA],MATCH(Tabla_control[[#This Row],[LOTE]],Tabla_imprenta[LOTE],0)),"REALIZADO")</f>
        <v>CREMA DÉRMICA</v>
      </c>
      <c r="E398" s="177" t="str">
        <f>IF(COUNTIF(Tabla_imprenta[LOTE],Tabla_control[[#This Row],[LOTE]])=1,INDEX(Tabla_imprenta[INSTITUCIÓN],MATCH(Tabla_control[[#This Row],[LOTE]],Tabla_imprenta[LOTE],0)),"REALIZADO")</f>
        <v>COMERCIO</v>
      </c>
      <c r="F398" s="229" t="s">
        <v>5426</v>
      </c>
      <c r="G398" s="139">
        <f>IF(COUNTIF(Tabla_imprenta[LOTE],Tabla_control[[#This Row],[LOTE]])=1,INDEX(Tabla_imprenta[CANTIDAD ENVASE SECUNDARIO],MATCH(Tabla_control[[#This Row],[LOTE]],Tabla_imprenta[LOTE],0)),"ENTREGADO")</f>
        <v>8600</v>
      </c>
      <c r="H398" s="139">
        <f>IF(COUNTIF(Tabla_imprenta[LOTE],Tabla_control[[#This Row],[LOTE]])=1,INDEX(Tabla_imprenta[stock sap],MATCH(Tabla_control[[#This Row],[LOTE]],Tabla_imprenta[LOTE],0)),"ENTREGADO")</f>
        <v>14365</v>
      </c>
      <c r="I398" s="139" t="str">
        <f>IF(Tabla_control[[#This Row],[STOCK SAP]]&gt;Tabla_control[[#This Row],[CANTIDAD IMPRIMIR]],"cubre","no cubre")</f>
        <v>cubre</v>
      </c>
      <c r="J398" s="182">
        <f>IF(COUNTIF(Tabla_imprenta[LOTE],Tabla_control[[#This Row],[LOTE]])=1,INDEX(Tabla_imprenta[STOCK],MATCH(Tabla_control[[#This Row],[LOTE]],Tabla_imprenta[LOTE],0)),"ENTREGADO")</f>
        <v>0.64971396448530139</v>
      </c>
      <c r="K39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46153</v>
      </c>
      <c r="L398" s="148">
        <f>INDEX(Tabla_imprenta[FECHA CAJA],MATCH(Tabla_control[[#This Row],[LOTE]],Tabla_imprenta[LOTE],0))</f>
        <v>46153</v>
      </c>
      <c r="M39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39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39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398" s="170">
        <f>ROUNDUP(Tabla_control[[#This Row],[CANTIDAD IMPRIMIR]]/Tabla_control[[#This Row],[N TJ]],0)</f>
        <v>2150</v>
      </c>
      <c r="Q398" s="170">
        <f>IF(Tabla_control[[#This Row],[CANTIDAD TIRAJE]]&gt;10000,Tabla_control[[#This Row],[CANTIDAD TIRAJE]],Tabla_control[[#This Row],[CANTIDAD TIRAJE]]*2)</f>
        <v>4300</v>
      </c>
      <c r="R398" s="186" t="s">
        <v>173</v>
      </c>
      <c r="S398" s="4" t="s">
        <v>174</v>
      </c>
      <c r="T398" s="4"/>
      <c r="U398" s="4"/>
      <c r="V398" s="4"/>
      <c r="W398" s="185" t="s">
        <v>321</v>
      </c>
      <c r="X398" s="185"/>
      <c r="Y398" s="185"/>
      <c r="Z398" s="185"/>
      <c r="AA398" s="186" t="s">
        <v>321</v>
      </c>
      <c r="AB398" s="184" t="s">
        <v>4464</v>
      </c>
    </row>
    <row r="399" spans="1:28" x14ac:dyDescent="0.2">
      <c r="A399" s="175">
        <f>IF(COUNTIF(Tabla_imprenta[LOTE],Tabla_control[[#This Row],[LOTE]])=1,INDEX(Tabla_imprenta[FECHA EMISIÓN],MATCH(Tabla_control[[#This Row],[LOTE]],Tabla_imprenta[LOTE],0)),"REALIZADO")</f>
        <v>46143</v>
      </c>
      <c r="B399" s="142">
        <f>IF(COUNTIF(Tabla_imprenta[LOTE],Tabla_control[[#This Row],[LOTE]])=1,INDEX(Tabla_imprenta[CÓD. SOLICITUD],MATCH(Tabla_control[[#This Row],[LOTE]],Tabla_imprenta[LOTE],0)),"REALIZADO")</f>
        <v>0</v>
      </c>
      <c r="C399" s="177" t="str">
        <f>IF(COUNTIF(Tabla_imprenta[LOTE],Tabla_control[[#This Row],[LOTE]])=1,INDEX(Tabla_imprenta[PRODUCTO],MATCH(Tabla_control[[#This Row],[LOTE]],Tabla_imprenta[LOTE],0)),"REALIZADO")</f>
        <v>LEVOFLOXACINA 500 MG X 100 COMP. RECUBIERTO</v>
      </c>
      <c r="D399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399" s="177" t="str">
        <f>IF(COUNTIF(Tabla_imprenta[LOTE],Tabla_control[[#This Row],[LOTE]])=1,INDEX(Tabla_imprenta[INSTITUCIÓN],MATCH(Tabla_control[[#This Row],[LOTE]],Tabla_imprenta[LOTE],0)),"REALIZADO")</f>
        <v>COMERCIO</v>
      </c>
      <c r="F399" s="229" t="s">
        <v>5493</v>
      </c>
      <c r="G399" s="139">
        <f>IF(COUNTIF(Tabla_imprenta[LOTE],Tabla_control[[#This Row],[LOTE]])=1,INDEX(Tabla_imprenta[CANTIDAD ENVASE SECUNDARIO],MATCH(Tabla_control[[#This Row],[LOTE]],Tabla_imprenta[LOTE],0)),"ENTREGADO")</f>
        <v>1000</v>
      </c>
      <c r="H399" s="139">
        <f>IF(COUNTIF(Tabla_imprenta[LOTE],Tabla_control[[#This Row],[LOTE]])=1,INDEX(Tabla_imprenta[stock sap],MATCH(Tabla_control[[#This Row],[LOTE]],Tabla_imprenta[LOTE],0)),"ENTREGADO")</f>
        <v>854</v>
      </c>
      <c r="I399" s="139" t="str">
        <f>IF(Tabla_control[[#This Row],[STOCK SAP]]&gt;Tabla_control[[#This Row],[CANTIDAD IMPRIMIR]],"cubre","no cubre")</f>
        <v>no cubre</v>
      </c>
      <c r="J399" s="182">
        <f>IF(COUNTIF(Tabla_imprenta[LOTE],Tabla_control[[#This Row],[LOTE]])=1,INDEX(Tabla_imprenta[STOCK],MATCH(Tabla_control[[#This Row],[LOTE]],Tabla_imprenta[LOTE],0)),"ENTREGADO")</f>
        <v>0.83454885862632533</v>
      </c>
      <c r="K39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46153</v>
      </c>
      <c r="L399" s="148">
        <f>INDEX(Tabla_imprenta[FECHA CAJA],MATCH(Tabla_control[[#This Row],[LOTE]],Tabla_imprenta[LOTE],0))</f>
        <v>46153</v>
      </c>
      <c r="M39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39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39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399" s="170">
        <f>ROUNDUP(Tabla_control[[#This Row],[CANTIDAD IMPRIMIR]]/Tabla_control[[#This Row],[N TJ]],0)</f>
        <v>500</v>
      </c>
      <c r="Q399" s="170">
        <f>IF(Tabla_control[[#This Row],[CANTIDAD TIRAJE]]&gt;10000,Tabla_control[[#This Row],[CANTIDAD TIRAJE]],Tabla_control[[#This Row],[CANTIDAD TIRAJE]]*2)</f>
        <v>1000</v>
      </c>
      <c r="R399" s="186" t="s">
        <v>172</v>
      </c>
      <c r="S399" s="4" t="s">
        <v>30</v>
      </c>
      <c r="T399" s="4"/>
      <c r="U399" s="4"/>
      <c r="V399" s="4"/>
      <c r="W399" s="185" t="s">
        <v>22</v>
      </c>
      <c r="X399" s="185"/>
      <c r="Y399" s="185"/>
      <c r="Z399" s="185"/>
      <c r="AA399" s="186" t="s">
        <v>171</v>
      </c>
      <c r="AB399" s="184" t="s">
        <v>4464</v>
      </c>
    </row>
    <row r="400" spans="1:28" hidden="1" x14ac:dyDescent="0.2">
      <c r="A400" s="175">
        <f>IF(COUNTIF(Tabla_imprenta[LOTE],Tabla_control[[#This Row],[LOTE]])=1,INDEX(Tabla_imprenta[FECHA EMISIÓN],MATCH(Tabla_control[[#This Row],[LOTE]],Tabla_imprenta[LOTE],0)),"REALIZADO")</f>
        <v>46113</v>
      </c>
      <c r="B400" s="142">
        <f>IF(COUNTIF(Tabla_imprenta[LOTE],Tabla_control[[#This Row],[LOTE]])=1,INDEX(Tabla_imprenta[CÓD. SOLICITUD],MATCH(Tabla_control[[#This Row],[LOTE]],Tabla_imprenta[LOTE],0)),"REALIZADO")</f>
        <v>0</v>
      </c>
      <c r="C400" s="177" t="str">
        <f>IF(COUNTIF(Tabla_imprenta[LOTE],Tabla_control[[#This Row],[LOTE]])=1,INDEX(Tabla_imprenta[PRODUCTO],MATCH(Tabla_control[[#This Row],[LOTE]],Tabla_imprenta[LOTE],0)),"REALIZADO")</f>
        <v>REZITRO RAPID 30 X 10 COMP. SUBLINGUAL</v>
      </c>
      <c r="D400" s="142" t="str">
        <f>IF(COUNTIF(Tabla_imprenta[LOTE],Tabla_control[[#This Row],[LOTE]])=1,INDEX(Tabla_imprenta[FORMA FARMACEUTICA],MATCH(Tabla_control[[#This Row],[LOTE]],Tabla_imprenta[LOTE],0)),"REALIZADO")</f>
        <v>COMPRIMIDO SUBLINGUAL</v>
      </c>
      <c r="E400" s="177" t="str">
        <f>IF(COUNTIF(Tabla_imprenta[LOTE],Tabla_control[[#This Row],[LOTE]])=1,INDEX(Tabla_imprenta[INSTITUCIÓN],MATCH(Tabla_control[[#This Row],[LOTE]],Tabla_imprenta[LOTE],0)),"REALIZADO")</f>
        <v>COMERCIO</v>
      </c>
      <c r="F400" s="181" t="s">
        <v>3090</v>
      </c>
      <c r="G400" s="139">
        <f>IF(COUNTIF(Tabla_imprenta[LOTE],Tabla_control[[#This Row],[LOTE]])=1,INDEX(Tabla_imprenta[CANTIDAD ENVASE SECUNDARIO],MATCH(Tabla_control[[#This Row],[LOTE]],Tabla_imprenta[LOTE],0)),"ENTREGADO")</f>
        <v>13000</v>
      </c>
      <c r="H400" s="139">
        <f>IF(COUNTIF(Tabla_imprenta[LOTE],Tabla_control[[#This Row],[LOTE]])=1,INDEX(Tabla_imprenta[stock sap],MATCH(Tabla_control[[#This Row],[LOTE]],Tabla_imprenta[LOTE],0)),"ENTREGADO")</f>
        <v>1321</v>
      </c>
      <c r="I400" s="139" t="str">
        <f>IF(Tabla_control[[#This Row],[STOCK SAP]]&gt;Tabla_control[[#This Row],[CANTIDAD IMPRIMIR]],"cubre","no cubre")</f>
        <v>no cubre</v>
      </c>
      <c r="J400" s="182">
        <f>IF(COUNTIF(Tabla_imprenta[LOTE],Tabla_control[[#This Row],[LOTE]])=1,INDEX(Tabla_imprenta[STOCK],MATCH(Tabla_control[[#This Row],[LOTE]],Tabla_imprenta[LOTE],0)),"ENTREGADO")</f>
        <v>1.7495809155383624</v>
      </c>
      <c r="K40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46150</v>
      </c>
      <c r="L400" s="148" t="str">
        <f>INDEX(Tabla_imprenta[FECHA CAJA],MATCH(Tabla_control[[#This Row],[LOTE]],Tabla_imprenta[LOTE],0))</f>
        <v>ENTREGADO</v>
      </c>
      <c r="M40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40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0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42</v>
      </c>
      <c r="P400" s="170">
        <f>ROUNDUP(Tabla_control[[#This Row],[CANTIDAD IMPRIMIR]]/Tabla_control[[#This Row],[N TJ]],0)</f>
        <v>3250</v>
      </c>
      <c r="Q400" s="170">
        <f>IF(Tabla_control[[#This Row],[CANTIDAD TIRAJE]]&gt;10000,Tabla_control[[#This Row],[CANTIDAD TIRAJE]],Tabla_control[[#This Row],[CANTIDAD TIRAJE]]*2)</f>
        <v>6500</v>
      </c>
      <c r="R400" s="186" t="s">
        <v>173</v>
      </c>
      <c r="S400" s="4" t="s">
        <v>174</v>
      </c>
      <c r="T400" s="4"/>
      <c r="U400" s="4"/>
      <c r="V400" s="4"/>
      <c r="W400" s="185" t="s">
        <v>3223</v>
      </c>
      <c r="X400" s="185"/>
      <c r="Y400" s="185"/>
      <c r="Z400" s="185"/>
      <c r="AA400" s="186" t="s">
        <v>2429</v>
      </c>
      <c r="AB400" s="184" t="s">
        <v>2028</v>
      </c>
    </row>
    <row r="401" spans="1:28" hidden="1" x14ac:dyDescent="0.2">
      <c r="A401" s="175">
        <f>IF(COUNTIF(Tabla_imprenta[LOTE],Tabla_control[[#This Row],[LOTE]])=1,INDEX(Tabla_imprenta[FECHA EMISIÓN],MATCH(Tabla_control[[#This Row],[LOTE]],Tabla_imprenta[LOTE],0)),"REALIZADO")</f>
        <v>46121</v>
      </c>
      <c r="B401" s="142">
        <f>IF(COUNTIF(Tabla_imprenta[LOTE],Tabla_control[[#This Row],[LOTE]])=1,INDEX(Tabla_imprenta[CÓD. SOLICITUD],MATCH(Tabla_control[[#This Row],[LOTE]],Tabla_imprenta[LOTE],0)),"REALIZADO")</f>
        <v>0</v>
      </c>
      <c r="C401" s="177" t="str">
        <f>IF(COUNTIF(Tabla_imprenta[LOTE],Tabla_control[[#This Row],[LOTE]])=1,INDEX(Tabla_imprenta[PRODUCTO],MATCH(Tabla_control[[#This Row],[LOTE]],Tabla_imprenta[LOTE],0)),"REALIZADO")</f>
        <v>CEFTRIAXONA 1000 X 1 POLVO INY.</v>
      </c>
      <c r="D401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401" s="177" t="str">
        <f>IF(COUNTIF(Tabla_imprenta[LOTE],Tabla_control[[#This Row],[LOTE]])=1,INDEX(Tabla_imprenta[INSTITUCIÓN],MATCH(Tabla_control[[#This Row],[LOTE]],Tabla_imprenta[LOTE],0)),"REALIZADO")</f>
        <v>COMERCIO</v>
      </c>
      <c r="F401" s="181" t="s">
        <v>3279</v>
      </c>
      <c r="G401" s="139">
        <f>IF(COUNTIF(Tabla_imprenta[LOTE],Tabla_control[[#This Row],[LOTE]])=1,INDEX(Tabla_imprenta[CANTIDAD ENVASE SECUNDARIO],MATCH(Tabla_control[[#This Row],[LOTE]],Tabla_imprenta[LOTE],0)),"ENTREGADO")</f>
        <v>1400</v>
      </c>
      <c r="H401" s="139">
        <f>IF(COUNTIF(Tabla_imprenta[LOTE],Tabla_control[[#This Row],[LOTE]])=1,INDEX(Tabla_imprenta[stock sap],MATCH(Tabla_control[[#This Row],[LOTE]],Tabla_imprenta[LOTE],0)),"ENTREGADO")</f>
        <v>564</v>
      </c>
      <c r="I401" s="139" t="str">
        <f>IF(Tabla_control[[#This Row],[STOCK SAP]]&gt;Tabla_control[[#This Row],[CANTIDAD IMPRIMIR]],"cubre","no cubre")</f>
        <v>no cubre</v>
      </c>
      <c r="J401" s="182">
        <f>IF(COUNTIF(Tabla_imprenta[LOTE],Tabla_control[[#This Row],[LOTE]])=1,INDEX(Tabla_imprenta[STOCK],MATCH(Tabla_control[[#This Row],[LOTE]],Tabla_imprenta[LOTE],0)),"ENTREGADO")</f>
        <v>1.2473137131573817</v>
      </c>
      <c r="K40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46153</v>
      </c>
      <c r="L401" s="148">
        <f>INDEX(Tabla_imprenta[FECHA CAJA],MATCH(Tabla_control[[#This Row],[LOTE]],Tabla_imprenta[LOTE],0))</f>
        <v>46149</v>
      </c>
      <c r="M40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0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0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</v>
      </c>
      <c r="P401" s="170">
        <f>ROUNDUP(Tabla_control[[#This Row],[CANTIDAD IMPRIMIR]]/Tabla_control[[#This Row],[N TJ]],0)</f>
        <v>1400</v>
      </c>
      <c r="Q401" s="170">
        <f>IF(Tabla_control[[#This Row],[CANTIDAD TIRAJE]]&gt;10000,Tabla_control[[#This Row],[CANTIDAD TIRAJE]],Tabla_control[[#This Row],[CANTIDAD TIRAJE]]*2)</f>
        <v>2800</v>
      </c>
      <c r="R401" s="186" t="s">
        <v>172</v>
      </c>
      <c r="S401" s="4" t="s">
        <v>30</v>
      </c>
      <c r="T401" s="4"/>
      <c r="U401" s="4"/>
      <c r="V401" s="4"/>
      <c r="W401" s="185" t="s">
        <v>3223</v>
      </c>
      <c r="X401" s="185"/>
      <c r="Y401" s="185"/>
      <c r="Z401" s="185"/>
      <c r="AA401" s="186" t="s">
        <v>2031</v>
      </c>
      <c r="AB401" s="184" t="s">
        <v>3222</v>
      </c>
    </row>
    <row r="402" spans="1:28" hidden="1" x14ac:dyDescent="0.2">
      <c r="A402" s="175">
        <f>IF(COUNTIF(Tabla_imprenta[LOTE],Tabla_control[[#This Row],[LOTE]])=1,INDEX(Tabla_imprenta[FECHA EMISIÓN],MATCH(Tabla_control[[#This Row],[LOTE]],Tabla_imprenta[LOTE],0)),"REALIZADO")</f>
        <v>46121</v>
      </c>
      <c r="B402" s="142">
        <f>IF(COUNTIF(Tabla_imprenta[LOTE],Tabla_control[[#This Row],[LOTE]])=1,INDEX(Tabla_imprenta[CÓD. SOLICITUD],MATCH(Tabla_control[[#This Row],[LOTE]],Tabla_imprenta[LOTE],0)),"REALIZADO")</f>
        <v>0</v>
      </c>
      <c r="C402" s="177" t="str">
        <f>IF(COUNTIF(Tabla_imprenta[LOTE],Tabla_control[[#This Row],[LOTE]])=1,INDEX(Tabla_imprenta[PRODUCTO],MATCH(Tabla_control[[#This Row],[LOTE]],Tabla_imprenta[LOTE],0)),"REALIZADO")</f>
        <v>COTRIMOXAZOL 800/160 MG X 100 COMP.</v>
      </c>
      <c r="D402" s="142" t="str">
        <f>IF(COUNTIF(Tabla_imprenta[LOTE],Tabla_control[[#This Row],[LOTE]])=1,INDEX(Tabla_imprenta[FORMA FARMACEUTICA],MATCH(Tabla_control[[#This Row],[LOTE]],Tabla_imprenta[LOTE],0)),"REALIZADO")</f>
        <v>COMPRIMIDO</v>
      </c>
      <c r="E402" s="177" t="str">
        <f>IF(COUNTIF(Tabla_imprenta[LOTE],Tabla_control[[#This Row],[LOTE]])=1,INDEX(Tabla_imprenta[INSTITUCIÓN],MATCH(Tabla_control[[#This Row],[LOTE]],Tabla_imprenta[LOTE],0)),"REALIZADO")</f>
        <v>COMERCIO</v>
      </c>
      <c r="F402" s="181" t="s">
        <v>3258</v>
      </c>
      <c r="G402" s="139">
        <f>IF(COUNTIF(Tabla_imprenta[LOTE],Tabla_control[[#This Row],[LOTE]])=1,INDEX(Tabla_imprenta[CANTIDAD ENVASE SECUNDARIO],MATCH(Tabla_control[[#This Row],[LOTE]],Tabla_imprenta[LOTE],0)),"ENTREGADO")</f>
        <v>2000</v>
      </c>
      <c r="H402" s="139">
        <f>IF(COUNTIF(Tabla_imprenta[LOTE],Tabla_control[[#This Row],[LOTE]])=1,INDEX(Tabla_imprenta[stock sap],MATCH(Tabla_control[[#This Row],[LOTE]],Tabla_imprenta[LOTE],0)),"ENTREGADO")</f>
        <v>1205</v>
      </c>
      <c r="I402" s="139" t="str">
        <f>IF(Tabla_control[[#This Row],[STOCK SAP]]&gt;Tabla_control[[#This Row],[CANTIDAD IMPRIMIR]],"cubre","no cubre")</f>
        <v>no cubre</v>
      </c>
      <c r="J402" s="182">
        <f>IF(COUNTIF(Tabla_imprenta[LOTE],Tabla_control[[#This Row],[LOTE]])=1,INDEX(Tabla_imprenta[STOCK],MATCH(Tabla_control[[#This Row],[LOTE]],Tabla_imprenta[LOTE],0)),"ENTREGADO")</f>
        <v>1.7750225463970353</v>
      </c>
      <c r="K40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46153</v>
      </c>
      <c r="L402" s="148" t="str">
        <f>INDEX(Tabla_imprenta[FECHA CAJA],MATCH(Tabla_control[[#This Row],[LOTE]],Tabla_imprenta[LOTE],0))</f>
        <v>ENTREGADO</v>
      </c>
      <c r="M40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0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0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402" s="170">
        <f>ROUNDUP(Tabla_control[[#This Row],[CANTIDAD IMPRIMIR]]/Tabla_control[[#This Row],[N TJ]],0)</f>
        <v>1000</v>
      </c>
      <c r="Q402" s="170">
        <f>IF(Tabla_control[[#This Row],[CANTIDAD TIRAJE]]&gt;10000,Tabla_control[[#This Row],[CANTIDAD TIRAJE]],Tabla_control[[#This Row],[CANTIDAD TIRAJE]]*2)</f>
        <v>2000</v>
      </c>
      <c r="R402" s="186" t="s">
        <v>172</v>
      </c>
      <c r="S402" s="4" t="s">
        <v>30</v>
      </c>
      <c r="T402" s="4"/>
      <c r="U402" s="4"/>
      <c r="V402" s="4"/>
      <c r="W402" s="185" t="s">
        <v>3223</v>
      </c>
      <c r="X402" s="185"/>
      <c r="Y402" s="185"/>
      <c r="Z402" s="185"/>
      <c r="AA402" s="186" t="s">
        <v>2031</v>
      </c>
      <c r="AB402" s="184" t="s">
        <v>2028</v>
      </c>
    </row>
    <row r="403" spans="1:28" hidden="1" x14ac:dyDescent="0.2">
      <c r="A403" s="175">
        <f>IF(COUNTIF(Tabla_imprenta[LOTE],Tabla_control[[#This Row],[LOTE]])=1,INDEX(Tabla_imprenta[FECHA EMISIÓN],MATCH(Tabla_control[[#This Row],[LOTE]],Tabla_imprenta[LOTE],0)),"REALIZADO")</f>
        <v>46113</v>
      </c>
      <c r="B403" s="142">
        <f>IF(COUNTIF(Tabla_imprenta[LOTE],Tabla_control[[#This Row],[LOTE]])=1,INDEX(Tabla_imprenta[CÓD. SOLICITUD],MATCH(Tabla_control[[#This Row],[LOTE]],Tabla_imprenta[LOTE],0)),"REALIZADO")</f>
        <v>0</v>
      </c>
      <c r="C403" s="177" t="str">
        <f>IF(COUNTIF(Tabla_imprenta[LOTE],Tabla_control[[#This Row],[LOTE]])=1,INDEX(Tabla_imprenta[PRODUCTO],MATCH(Tabla_control[[#This Row],[LOTE]],Tabla_imprenta[LOTE],0)),"REALIZADO")</f>
        <v>QUINOSIL 750 MG X 5 COMP. RECUBIERTO</v>
      </c>
      <c r="D403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03" s="177" t="str">
        <f>IF(COUNTIF(Tabla_imprenta[LOTE],Tabla_control[[#This Row],[LOTE]])=1,INDEX(Tabla_imprenta[INSTITUCIÓN],MATCH(Tabla_control[[#This Row],[LOTE]],Tabla_imprenta[LOTE],0)),"REALIZADO")</f>
        <v>COMERCIO</v>
      </c>
      <c r="F403" s="181" t="s">
        <v>3056</v>
      </c>
      <c r="G403" s="139">
        <f>IF(COUNTIF(Tabla_imprenta[LOTE],Tabla_control[[#This Row],[LOTE]])=1,INDEX(Tabla_imprenta[CANTIDAD ENVASE SECUNDARIO],MATCH(Tabla_control[[#This Row],[LOTE]],Tabla_imprenta[LOTE],0)),"ENTREGADO")</f>
        <v>2000</v>
      </c>
      <c r="H403" s="139">
        <f>IF(COUNTIF(Tabla_imprenta[LOTE],Tabla_control[[#This Row],[LOTE]])=1,INDEX(Tabla_imprenta[stock sap],MATCH(Tabla_control[[#This Row],[LOTE]],Tabla_imprenta[LOTE],0)),"ENTREGADO")</f>
        <v>2715</v>
      </c>
      <c r="I403" s="139" t="str">
        <f>IF(Tabla_control[[#This Row],[STOCK SAP]]&gt;Tabla_control[[#This Row],[CANTIDAD IMPRIMIR]],"cubre","no cubre")</f>
        <v>cubre</v>
      </c>
      <c r="J403" s="182">
        <f>IF(COUNTIF(Tabla_imprenta[LOTE],Tabla_control[[#This Row],[LOTE]])=1,INDEX(Tabla_imprenta[STOCK],MATCH(Tabla_control[[#This Row],[LOTE]],Tabla_imprenta[LOTE],0)),"ENTREGADO")</f>
        <v>2.9568389057750761</v>
      </c>
      <c r="K40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46153</v>
      </c>
      <c r="L403" s="148" t="str">
        <f>INDEX(Tabla_imprenta[FECHA CAJA],MATCH(Tabla_control[[#This Row],[LOTE]],Tabla_imprenta[LOTE],0))</f>
        <v>ENTREGADO</v>
      </c>
      <c r="M40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40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40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403" s="170">
        <f>ROUNDUP(Tabla_control[[#This Row],[CANTIDAD IMPRIMIR]]/Tabla_control[[#This Row],[N TJ]],0)</f>
        <v>667</v>
      </c>
      <c r="Q403" s="170">
        <f>IF(Tabla_control[[#This Row],[CANTIDAD TIRAJE]]&gt;10000,Tabla_control[[#This Row],[CANTIDAD TIRAJE]],Tabla_control[[#This Row],[CANTIDAD TIRAJE]]*2)</f>
        <v>1334</v>
      </c>
      <c r="R403" s="186" t="s">
        <v>173</v>
      </c>
      <c r="S403" s="4" t="s">
        <v>174</v>
      </c>
      <c r="T403" s="4"/>
      <c r="U403" s="4"/>
      <c r="V403" s="4"/>
      <c r="W403" s="187" t="s">
        <v>321</v>
      </c>
      <c r="X403" s="187"/>
      <c r="Y403" s="187"/>
      <c r="Z403" s="187"/>
      <c r="AA403" s="186" t="s">
        <v>321</v>
      </c>
      <c r="AB403" s="184" t="s">
        <v>3222</v>
      </c>
    </row>
    <row r="404" spans="1:28" hidden="1" x14ac:dyDescent="0.2">
      <c r="A404" s="175">
        <f>IF(COUNTIF(Tabla_imprenta[LOTE],Tabla_control[[#This Row],[LOTE]])=1,INDEX(Tabla_imprenta[FECHA EMISIÓN],MATCH(Tabla_control[[#This Row],[LOTE]],Tabla_imprenta[LOTE],0)),"REALIZADO")</f>
        <v>46143</v>
      </c>
      <c r="B404" s="142">
        <f>IF(COUNTIF(Tabla_imprenta[LOTE],Tabla_control[[#This Row],[LOTE]])=1,INDEX(Tabla_imprenta[CÓD. SOLICITUD],MATCH(Tabla_control[[#This Row],[LOTE]],Tabla_imprenta[LOTE],0)),"REALIZADO")</f>
        <v>0</v>
      </c>
      <c r="C404" s="177" t="str">
        <f>IF(COUNTIF(Tabla_imprenta[LOTE],Tabla_control[[#This Row],[LOTE]])=1,INDEX(Tabla_imprenta[PRODUCTO],MATCH(Tabla_control[[#This Row],[LOTE]],Tabla_imprenta[LOTE],0)),"REALIZADO")</f>
        <v>CLOTRIM 1% X 20 G CREMA DERMICA</v>
      </c>
      <c r="D404" s="142" t="str">
        <f>IF(COUNTIF(Tabla_imprenta[LOTE],Tabla_control[[#This Row],[LOTE]])=1,INDEX(Tabla_imprenta[FORMA FARMACEUTICA],MATCH(Tabla_control[[#This Row],[LOTE]],Tabla_imprenta[LOTE],0)),"REALIZADO")</f>
        <v>CREMA DÉRMICA</v>
      </c>
      <c r="E404" s="177" t="str">
        <f>IF(COUNTIF(Tabla_imprenta[LOTE],Tabla_control[[#This Row],[LOTE]])=1,INDEX(Tabla_imprenta[INSTITUCIÓN],MATCH(Tabla_control[[#This Row],[LOTE]],Tabla_imprenta[LOTE],0)),"REALIZADO")</f>
        <v>COMERCIO</v>
      </c>
      <c r="F404" s="229" t="s">
        <v>5415</v>
      </c>
      <c r="G404" s="139">
        <f>IF(COUNTIF(Tabla_imprenta[LOTE],Tabla_control[[#This Row],[LOTE]])=1,INDEX(Tabla_imprenta[CANTIDAD ENVASE SECUNDARIO],MATCH(Tabla_control[[#This Row],[LOTE]],Tabla_imprenta[LOTE],0)),"ENTREGADO")</f>
        <v>8600</v>
      </c>
      <c r="H404" s="139">
        <f>IF(COUNTIF(Tabla_imprenta[LOTE],Tabla_control[[#This Row],[LOTE]])=1,INDEX(Tabla_imprenta[stock sap],MATCH(Tabla_control[[#This Row],[LOTE]],Tabla_imprenta[LOTE],0)),"ENTREGADO")</f>
        <v>14365</v>
      </c>
      <c r="I404" s="139" t="str">
        <f>IF(Tabla_control[[#This Row],[STOCK SAP]]&gt;Tabla_control[[#This Row],[CANTIDAD IMPRIMIR]],"cubre","no cubre")</f>
        <v>cubre</v>
      </c>
      <c r="J404" s="182">
        <f>IF(COUNTIF(Tabla_imprenta[LOTE],Tabla_control[[#This Row],[LOTE]])=1,INDEX(Tabla_imprenta[STOCK],MATCH(Tabla_control[[#This Row],[LOTE]],Tabla_imprenta[LOTE],0)),"ENTREGADO")</f>
        <v>0.64971396448530139</v>
      </c>
      <c r="K40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46154</v>
      </c>
      <c r="L404" s="148">
        <f>INDEX(Tabla_imprenta[FECHA CAJA],MATCH(Tabla_control[[#This Row],[LOTE]],Tabla_imprenta[LOTE],0))</f>
        <v>46154</v>
      </c>
      <c r="M40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40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0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404" s="170">
        <f>ROUNDUP(Tabla_control[[#This Row],[CANTIDAD IMPRIMIR]]/Tabla_control[[#This Row],[N TJ]],0)</f>
        <v>2150</v>
      </c>
      <c r="Q404" s="170">
        <f>IF(Tabla_control[[#This Row],[CANTIDAD TIRAJE]]&gt;10000,Tabla_control[[#This Row],[CANTIDAD TIRAJE]],Tabla_control[[#This Row],[CANTIDAD TIRAJE]]*2)</f>
        <v>4300</v>
      </c>
      <c r="R404" s="186" t="s">
        <v>173</v>
      </c>
      <c r="S404" s="4" t="s">
        <v>174</v>
      </c>
      <c r="T404" s="4"/>
      <c r="U404" s="4"/>
      <c r="V404" s="4"/>
      <c r="W404" s="185" t="s">
        <v>5529</v>
      </c>
      <c r="X404" s="185"/>
      <c r="Y404" s="185"/>
      <c r="Z404" s="185"/>
      <c r="AA404" s="186" t="s">
        <v>2031</v>
      </c>
      <c r="AB404" s="184" t="s">
        <v>4464</v>
      </c>
    </row>
    <row r="405" spans="1:28" hidden="1" x14ac:dyDescent="0.2">
      <c r="A405" s="175">
        <f>IF(COUNTIF(Tabla_imprenta[LOTE],Tabla_control[[#This Row],[LOTE]])=1,INDEX(Tabla_imprenta[FECHA EMISIÓN],MATCH(Tabla_control[[#This Row],[LOTE]],Tabla_imprenta[LOTE],0)),"REALIZADO")</f>
        <v>46113</v>
      </c>
      <c r="B405" s="142">
        <f>IF(COUNTIF(Tabla_imprenta[LOTE],Tabla_control[[#This Row],[LOTE]])=1,INDEX(Tabla_imprenta[CÓD. SOLICITUD],MATCH(Tabla_control[[#This Row],[LOTE]],Tabla_imprenta[LOTE],0)),"REALIZADO")</f>
        <v>0</v>
      </c>
      <c r="C405" s="177" t="str">
        <f>IF(COUNTIF(Tabla_imprenta[LOTE],Tabla_control[[#This Row],[LOTE]])=1,INDEX(Tabla_imprenta[PRODUCTO],MATCH(Tabla_control[[#This Row],[LOTE]],Tabla_imprenta[LOTE],0)),"REALIZADO")</f>
        <v>TRIBENZOL 500 MG X 6 COMP. RECUBIERTO</v>
      </c>
      <c r="D405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05" s="177" t="str">
        <f>IF(COUNTIF(Tabla_imprenta[LOTE],Tabla_control[[#This Row],[LOTE]])=1,INDEX(Tabla_imprenta[INSTITUCIÓN],MATCH(Tabla_control[[#This Row],[LOTE]],Tabla_imprenta[LOTE],0)),"REALIZADO")</f>
        <v>COMERCIO</v>
      </c>
      <c r="F405" s="181" t="s">
        <v>3023</v>
      </c>
      <c r="G405" s="139">
        <f>IF(COUNTIF(Tabla_imprenta[LOTE],Tabla_control[[#This Row],[LOTE]])=1,INDEX(Tabla_imprenta[CANTIDAD ENVASE SECUNDARIO],MATCH(Tabla_control[[#This Row],[LOTE]],Tabla_imprenta[LOTE],0)),"ENTREGADO")</f>
        <v>20833.333333333332</v>
      </c>
      <c r="H405" s="139">
        <f>IF(COUNTIF(Tabla_imprenta[LOTE],Tabla_control[[#This Row],[LOTE]])=1,INDEX(Tabla_imprenta[stock sap],MATCH(Tabla_control[[#This Row],[LOTE]],Tabla_imprenta[LOTE],0)),"ENTREGADO")</f>
        <v>1613</v>
      </c>
      <c r="I405" s="139" t="str">
        <f>IF(Tabla_control[[#This Row],[STOCK SAP]]&gt;Tabla_control[[#This Row],[CANTIDAD IMPRIMIR]],"cubre","no cubre")</f>
        <v>no cubre</v>
      </c>
      <c r="J405" s="182">
        <f>IF(COUNTIF(Tabla_imprenta[LOTE],Tabla_control[[#This Row],[LOTE]])=1,INDEX(Tabla_imprenta[STOCK],MATCH(Tabla_control[[#This Row],[LOTE]],Tabla_imprenta[LOTE],0)),"ENTREGADO")</f>
        <v>1.0738973941482055</v>
      </c>
      <c r="K40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46154</v>
      </c>
      <c r="L405" s="148">
        <f>INDEX(Tabla_imprenta[FECHA CAJA],MATCH(Tabla_control[[#This Row],[LOTE]],Tabla_imprenta[LOTE],0))</f>
        <v>46154</v>
      </c>
      <c r="M40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40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40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405" s="170">
        <f>ROUNDUP(Tabla_control[[#This Row],[CANTIDAD IMPRIMIR]]/Tabla_control[[#This Row],[N TJ]],0)</f>
        <v>6945</v>
      </c>
      <c r="Q405" s="170">
        <f>IF(Tabla_control[[#This Row],[CANTIDAD TIRAJE]]&gt;10000,Tabla_control[[#This Row],[CANTIDAD TIRAJE]],Tabla_control[[#This Row],[CANTIDAD TIRAJE]]*2)</f>
        <v>13890</v>
      </c>
      <c r="R405" s="186" t="s">
        <v>173</v>
      </c>
      <c r="S405" s="4" t="s">
        <v>174</v>
      </c>
      <c r="T405" s="4"/>
      <c r="U405" s="4"/>
      <c r="V405" s="4"/>
      <c r="W405" s="185" t="s">
        <v>3223</v>
      </c>
      <c r="X405" s="185"/>
      <c r="Y405" s="185"/>
      <c r="Z405" s="185"/>
      <c r="AA405" s="186" t="s">
        <v>2031</v>
      </c>
      <c r="AB405" s="184" t="s">
        <v>3222</v>
      </c>
    </row>
    <row r="406" spans="1:28" hidden="1" x14ac:dyDescent="0.2">
      <c r="A406" s="175">
        <f>IF(COUNTIF(Tabla_imprenta[LOTE],Tabla_control[[#This Row],[LOTE]])=1,INDEX(Tabla_imprenta[FECHA EMISIÓN],MATCH(Tabla_control[[#This Row],[LOTE]],Tabla_imprenta[LOTE],0)),"REALIZADO")</f>
        <v>46121</v>
      </c>
      <c r="B406" s="142">
        <f>IF(COUNTIF(Tabla_imprenta[LOTE],Tabla_control[[#This Row],[LOTE]])=1,INDEX(Tabla_imprenta[CÓD. SOLICITUD],MATCH(Tabla_control[[#This Row],[LOTE]],Tabla_imprenta[LOTE],0)),"REALIZADO")</f>
        <v>0</v>
      </c>
      <c r="C406" s="177" t="str">
        <f>IF(COUNTIF(Tabla_imprenta[LOTE],Tabla_control[[#This Row],[LOTE]])=1,INDEX(Tabla_imprenta[PRODUCTO],MATCH(Tabla_control[[#This Row],[LOTE]],Tabla_imprenta[LOTE],0)),"REALIZADO")</f>
        <v>COTRIMOXAZOL 800/160 MG X 100 COMP.</v>
      </c>
      <c r="D406" s="142" t="str">
        <f>IF(COUNTIF(Tabla_imprenta[LOTE],Tabla_control[[#This Row],[LOTE]])=1,INDEX(Tabla_imprenta[FORMA FARMACEUTICA],MATCH(Tabla_control[[#This Row],[LOTE]],Tabla_imprenta[LOTE],0)),"REALIZADO")</f>
        <v>COMPRIMIDO</v>
      </c>
      <c r="E406" s="177" t="str">
        <f>IF(COUNTIF(Tabla_imprenta[LOTE],Tabla_control[[#This Row],[LOTE]])=1,INDEX(Tabla_imprenta[INSTITUCIÓN],MATCH(Tabla_control[[#This Row],[LOTE]],Tabla_imprenta[LOTE],0)),"REALIZADO")</f>
        <v>COMERCIO</v>
      </c>
      <c r="F406" s="181" t="s">
        <v>3276</v>
      </c>
      <c r="G406" s="139">
        <f>IF(COUNTIF(Tabla_imprenta[LOTE],Tabla_control[[#This Row],[LOTE]])=1,INDEX(Tabla_imprenta[CANTIDAD ENVASE SECUNDARIO],MATCH(Tabla_control[[#This Row],[LOTE]],Tabla_imprenta[LOTE],0)),"ENTREGADO")</f>
        <v>3000</v>
      </c>
      <c r="H406" s="139">
        <f>IF(COUNTIF(Tabla_imprenta[LOTE],Tabla_control[[#This Row],[LOTE]])=1,INDEX(Tabla_imprenta[stock sap],MATCH(Tabla_control[[#This Row],[LOTE]],Tabla_imprenta[LOTE],0)),"ENTREGADO")</f>
        <v>1205</v>
      </c>
      <c r="I406" s="139" t="str">
        <f>IF(Tabla_control[[#This Row],[STOCK SAP]]&gt;Tabla_control[[#This Row],[CANTIDAD IMPRIMIR]],"cubre","no cubre")</f>
        <v>no cubre</v>
      </c>
      <c r="J406" s="182">
        <f>IF(COUNTIF(Tabla_imprenta[LOTE],Tabla_control[[#This Row],[LOTE]])=1,INDEX(Tabla_imprenta[STOCK],MATCH(Tabla_control[[#This Row],[LOTE]],Tabla_imprenta[LOTE],0)),"ENTREGADO")</f>
        <v>1.7750225463970353</v>
      </c>
      <c r="K40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46154</v>
      </c>
      <c r="L406" s="148" t="str">
        <f>INDEX(Tabla_imprenta[FECHA CAJA],MATCH(Tabla_control[[#This Row],[LOTE]],Tabla_imprenta[LOTE],0))</f>
        <v>ENTREGADO</v>
      </c>
      <c r="M40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0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0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406" s="170">
        <f>ROUNDUP(Tabla_control[[#This Row],[CANTIDAD IMPRIMIR]]/Tabla_control[[#This Row],[N TJ]],0)</f>
        <v>1500</v>
      </c>
      <c r="Q406" s="170">
        <f>IF(Tabla_control[[#This Row],[CANTIDAD TIRAJE]]&gt;10000,Tabla_control[[#This Row],[CANTIDAD TIRAJE]],Tabla_control[[#This Row],[CANTIDAD TIRAJE]]*2)</f>
        <v>3000</v>
      </c>
      <c r="R406" s="186" t="s">
        <v>172</v>
      </c>
      <c r="S406" s="4" t="s">
        <v>30</v>
      </c>
      <c r="T406" s="4"/>
      <c r="U406" s="4"/>
      <c r="V406" s="4"/>
      <c r="W406" s="185" t="s">
        <v>3223</v>
      </c>
      <c r="X406" s="185"/>
      <c r="Y406" s="185"/>
      <c r="Z406" s="185"/>
      <c r="AA406" s="186" t="s">
        <v>2031</v>
      </c>
      <c r="AB406" s="184" t="s">
        <v>2028</v>
      </c>
    </row>
    <row r="407" spans="1:28" hidden="1" x14ac:dyDescent="0.2">
      <c r="A407" s="175">
        <f>IF(COUNTIF(Tabla_imprenta[LOTE],Tabla_control[[#This Row],[LOTE]])=1,INDEX(Tabla_imprenta[FECHA EMISIÓN],MATCH(Tabla_control[[#This Row],[LOTE]],Tabla_imprenta[LOTE],0)),"REALIZADO")</f>
        <v>46055</v>
      </c>
      <c r="B407" s="142">
        <f>IF(COUNTIF(Tabla_imprenta[LOTE],Tabla_control[[#This Row],[LOTE]])=1,INDEX(Tabla_imprenta[CÓD. SOLICITUD],MATCH(Tabla_control[[#This Row],[LOTE]],Tabla_imprenta[LOTE],0)),"REALIZADO")</f>
        <v>0</v>
      </c>
      <c r="C407" s="177" t="str">
        <f>IF(COUNTIF(Tabla_imprenta[LOTE],Tabla_control[[#This Row],[LOTE]])=1,INDEX(Tabla_imprenta[PRODUCTO],MATCH(Tabla_control[[#This Row],[LOTE]],Tabla_imprenta[LOTE],0)),"REALIZADO")</f>
        <v>GLUCONATO DE CALCIO 10% X 10 AMP. SOLUCION INY.</v>
      </c>
      <c r="D407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07" s="177" t="str">
        <f>IF(COUNTIF(Tabla_imprenta[LOTE],Tabla_control[[#This Row],[LOTE]])=1,INDEX(Tabla_imprenta[INSTITUCIÓN],MATCH(Tabla_control[[#This Row],[LOTE]],Tabla_imprenta[LOTE],0)),"REALIZADO")</f>
        <v>COMERCIO</v>
      </c>
      <c r="F407" s="180" t="s">
        <v>2162</v>
      </c>
      <c r="G407" s="139">
        <f>IF(COUNTIF(Tabla_imprenta[LOTE],Tabla_control[[#This Row],[LOTE]])=1,INDEX(Tabla_imprenta[CANTIDAD ENVASE SECUNDARIO],MATCH(Tabla_control[[#This Row],[LOTE]],Tabla_imprenta[LOTE],0)),"ENTREGADO")</f>
        <v>1800</v>
      </c>
      <c r="H407" s="139">
        <f>IF(COUNTIF(Tabla_imprenta[LOTE],Tabla_control[[#This Row],[LOTE]])=1,INDEX(Tabla_imprenta[stock sap],MATCH(Tabla_control[[#This Row],[LOTE]],Tabla_imprenta[LOTE],0)),"ENTREGADO")</f>
        <v>1720</v>
      </c>
      <c r="I407" s="139" t="str">
        <f>IF(Tabla_control[[#This Row],[STOCK SAP]]&gt;Tabla_control[[#This Row],[CANTIDAD IMPRIMIR]],"cubre","no cubre")</f>
        <v>no cubre</v>
      </c>
      <c r="J407" s="7">
        <f>IF(COUNTIF(Tabla_imprenta[LOTE],Tabla_control[[#This Row],[LOTE]])=1,INDEX(Tabla_imprenta[STOCK],MATCH(Tabla_control[[#This Row],[LOTE]],Tabla_imprenta[LOTE],0)),"ENTREGADO")</f>
        <v>0.88060832673790668</v>
      </c>
      <c r="K40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46164</v>
      </c>
      <c r="L407" s="148" t="str">
        <f>INDEX(Tabla_imprenta[FECHA CAJA],MATCH(Tabla_control[[#This Row],[LOTE]],Tabla_imprenta[LOTE],0))</f>
        <v>ENTREGADO</v>
      </c>
      <c r="M40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0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0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</v>
      </c>
      <c r="P407" s="169">
        <f>ROUNDUP(Tabla_control[[#This Row],[CANTIDAD IMPRIMIR]]/Tabla_control[[#This Row],[N TJ]],0)</f>
        <v>900</v>
      </c>
      <c r="Q407" s="169">
        <f>IF(Tabla_control[[#This Row],[CANTIDAD TIRAJE]]&gt;10000,Tabla_control[[#This Row],[CANTIDAD TIRAJE]],Tabla_control[[#This Row],[CANTIDAD TIRAJE]]*2)</f>
        <v>1800</v>
      </c>
      <c r="R407" s="4" t="s">
        <v>172</v>
      </c>
      <c r="S407" s="4" t="s">
        <v>31</v>
      </c>
      <c r="T407" s="4"/>
      <c r="U407" s="4"/>
      <c r="V407" s="4"/>
      <c r="W407" s="138" t="s">
        <v>3223</v>
      </c>
      <c r="X407" s="138"/>
      <c r="Y407" s="138"/>
      <c r="Z407" s="138"/>
      <c r="AA407" s="4" t="s">
        <v>2314</v>
      </c>
      <c r="AB407" s="184" t="s">
        <v>2028</v>
      </c>
    </row>
    <row r="408" spans="1:28" hidden="1" x14ac:dyDescent="0.2">
      <c r="A408" s="175">
        <f>IF(COUNTIF(Tabla_imprenta[LOTE],Tabla_control[[#This Row],[LOTE]])=1,INDEX(Tabla_imprenta[FECHA EMISIÓN],MATCH(Tabla_control[[#This Row],[LOTE]],Tabla_imprenta[LOTE],0)),"REALIZADO")</f>
        <v>46121</v>
      </c>
      <c r="B408" s="142">
        <f>IF(COUNTIF(Tabla_imprenta[LOTE],Tabla_control[[#This Row],[LOTE]])=1,INDEX(Tabla_imprenta[CÓD. SOLICITUD],MATCH(Tabla_control[[#This Row],[LOTE]],Tabla_imprenta[LOTE],0)),"REALIZADO")</f>
        <v>0</v>
      </c>
      <c r="C408" s="177" t="str">
        <f>IF(COUNTIF(Tabla_imprenta[LOTE],Tabla_control[[#This Row],[LOTE]])=1,INDEX(Tabla_imprenta[PRODUCTO],MATCH(Tabla_control[[#This Row],[LOTE]],Tabla_imprenta[LOTE],0)),"REALIZADO")</f>
        <v>CEFOTAXIMA 1000 X 1 POLVO INY.</v>
      </c>
      <c r="D408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408" s="177" t="str">
        <f>IF(COUNTIF(Tabla_imprenta[LOTE],Tabla_control[[#This Row],[LOTE]])=1,INDEX(Tabla_imprenta[INSTITUCIÓN],MATCH(Tabla_control[[#This Row],[LOTE]],Tabla_imprenta[LOTE],0)),"REALIZADO")</f>
        <v>COMERCIO</v>
      </c>
      <c r="F408" s="181" t="s">
        <v>3244</v>
      </c>
      <c r="G408" s="139">
        <f>IF(COUNTIF(Tabla_imprenta[LOTE],Tabla_control[[#This Row],[LOTE]])=1,INDEX(Tabla_imprenta[CANTIDAD ENVASE SECUNDARIO],MATCH(Tabla_control[[#This Row],[LOTE]],Tabla_imprenta[LOTE],0)),"ENTREGADO")</f>
        <v>620</v>
      </c>
      <c r="H408" s="139">
        <f>IF(COUNTIF(Tabla_imprenta[LOTE],Tabla_control[[#This Row],[LOTE]])=1,INDEX(Tabla_imprenta[stock sap],MATCH(Tabla_control[[#This Row],[LOTE]],Tabla_imprenta[LOTE],0)),"ENTREGADO")</f>
        <v>6281</v>
      </c>
      <c r="I408" s="139" t="str">
        <f>IF(Tabla_control[[#This Row],[STOCK SAP]]&gt;Tabla_control[[#This Row],[CANTIDAD IMPRIMIR]],"cubre","no cubre")</f>
        <v>cubre</v>
      </c>
      <c r="J408" s="182">
        <f>IF(COUNTIF(Tabla_imprenta[LOTE],Tabla_control[[#This Row],[LOTE]])=1,INDEX(Tabla_imprenta[STOCK],MATCH(Tabla_control[[#This Row],[LOTE]],Tabla_imprenta[LOTE],0)),"ENTREGADO")</f>
        <v>2.4823640496962902</v>
      </c>
      <c r="K40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46154</v>
      </c>
      <c r="L408" s="148">
        <f>INDEX(Tabla_imprenta[FECHA CAJA],MATCH(Tabla_control[[#This Row],[LOTE]],Tabla_imprenta[LOTE],0))</f>
        <v>46153</v>
      </c>
      <c r="M40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0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0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</v>
      </c>
      <c r="P408" s="170">
        <f>ROUNDUP(Tabla_control[[#This Row],[CANTIDAD IMPRIMIR]]/Tabla_control[[#This Row],[N TJ]],0)</f>
        <v>620</v>
      </c>
      <c r="Q408" s="170">
        <f>IF(Tabla_control[[#This Row],[CANTIDAD TIRAJE]]&gt;10000,Tabla_control[[#This Row],[CANTIDAD TIRAJE]],Tabla_control[[#This Row],[CANTIDAD TIRAJE]]*2)</f>
        <v>1240</v>
      </c>
      <c r="R408" s="186" t="s">
        <v>172</v>
      </c>
      <c r="S408" s="4" t="s">
        <v>30</v>
      </c>
      <c r="T408" s="4"/>
      <c r="U408" s="4"/>
      <c r="V408" s="4"/>
      <c r="W408" s="185" t="s">
        <v>22</v>
      </c>
      <c r="X408" s="185"/>
      <c r="Y408" s="185"/>
      <c r="Z408" s="185"/>
      <c r="AA408" s="186" t="s">
        <v>321</v>
      </c>
      <c r="AB408" s="184" t="s">
        <v>3222</v>
      </c>
    </row>
    <row r="409" spans="1:28" hidden="1" x14ac:dyDescent="0.2">
      <c r="A409" s="175">
        <f>IF(COUNTIF(Tabla_imprenta[LOTE],Tabla_control[[#This Row],[LOTE]])=1,INDEX(Tabla_imprenta[FECHA EMISIÓN],MATCH(Tabla_control[[#This Row],[LOTE]],Tabla_imprenta[LOTE],0)),"REALIZADO")</f>
        <v>46143</v>
      </c>
      <c r="B409" s="142">
        <f>IF(COUNTIF(Tabla_imprenta[LOTE],Tabla_control[[#This Row],[LOTE]])=1,INDEX(Tabla_imprenta[CÓD. SOLICITUD],MATCH(Tabla_control[[#This Row],[LOTE]],Tabla_imprenta[LOTE],0)),"REALIZADO")</f>
        <v>0</v>
      </c>
      <c r="C409" s="177" t="str">
        <f>IF(COUNTIF(Tabla_imprenta[LOTE],Tabla_control[[#This Row],[LOTE]])=1,INDEX(Tabla_imprenta[PRODUCTO],MATCH(Tabla_control[[#This Row],[LOTE]],Tabla_imprenta[LOTE],0)),"REALIZADO")</f>
        <v>AMOXICILINA 500 MG X 60 ML POLVO PARA SUSP.</v>
      </c>
      <c r="D409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409" s="177" t="str">
        <f>IF(COUNTIF(Tabla_imprenta[LOTE],Tabla_control[[#This Row],[LOTE]])=1,INDEX(Tabla_imprenta[INSTITUCIÓN],MATCH(Tabla_control[[#This Row],[LOTE]],Tabla_imprenta[LOTE],0)),"REALIZADO")</f>
        <v>COMERCIO</v>
      </c>
      <c r="F409" s="229" t="s">
        <v>5355</v>
      </c>
      <c r="G409" s="139">
        <f>IF(COUNTIF(Tabla_imprenta[LOTE],Tabla_control[[#This Row],[LOTE]])=1,INDEX(Tabla_imprenta[CANTIDAD ENVASE SECUNDARIO],MATCH(Tabla_control[[#This Row],[LOTE]],Tabla_imprenta[LOTE],0)),"ENTREGADO")</f>
        <v>24000</v>
      </c>
      <c r="H409" s="139">
        <f>IF(COUNTIF(Tabla_imprenta[LOTE],Tabla_control[[#This Row],[LOTE]])=1,INDEX(Tabla_imprenta[stock sap],MATCH(Tabla_control[[#This Row],[LOTE]],Tabla_imprenta[LOTE],0)),"ENTREGADO")</f>
        <v>1593</v>
      </c>
      <c r="I409" s="139" t="str">
        <f>IF(Tabla_control[[#This Row],[STOCK SAP]]&gt;Tabla_control[[#This Row],[CANTIDAD IMPRIMIR]],"cubre","no cubre")</f>
        <v>no cubre</v>
      </c>
      <c r="J409" s="182">
        <f>IF(COUNTIF(Tabla_imprenta[LOTE],Tabla_control[[#This Row],[LOTE]])=1,INDEX(Tabla_imprenta[STOCK],MATCH(Tabla_control[[#This Row],[LOTE]],Tabla_imprenta[LOTE],0)),"ENTREGADO")</f>
        <v>4.0707319864516398</v>
      </c>
      <c r="K40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46154</v>
      </c>
      <c r="L409" s="148">
        <f>INDEX(Tabla_imprenta[FECHA CAJA],MATCH(Tabla_control[[#This Row],[LOTE]],Tabla_imprenta[LOTE],0))</f>
        <v>46154</v>
      </c>
      <c r="M40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0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0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</v>
      </c>
      <c r="P409" s="170">
        <f>ROUNDUP(Tabla_control[[#This Row],[CANTIDAD IMPRIMIR]]/Tabla_control[[#This Row],[N TJ]],0)</f>
        <v>6000</v>
      </c>
      <c r="Q409" s="170">
        <f>IF(Tabla_control[[#This Row],[CANTIDAD TIRAJE]]&gt;10000,Tabla_control[[#This Row],[CANTIDAD TIRAJE]],Tabla_control[[#This Row],[CANTIDAD TIRAJE]]*2)</f>
        <v>12000</v>
      </c>
      <c r="R409" s="186" t="s">
        <v>172</v>
      </c>
      <c r="S409" s="4" t="s">
        <v>31</v>
      </c>
      <c r="T409" s="4"/>
      <c r="U409" s="4"/>
      <c r="V409" s="4"/>
      <c r="W409" s="185" t="s">
        <v>3223</v>
      </c>
      <c r="X409" s="185"/>
      <c r="Y409" s="185"/>
      <c r="Z409" s="185"/>
      <c r="AA409" s="186" t="s">
        <v>2031</v>
      </c>
      <c r="AB409" s="184" t="s">
        <v>4464</v>
      </c>
    </row>
    <row r="410" spans="1:28" hidden="1" x14ac:dyDescent="0.2">
      <c r="A410" s="175">
        <f>IF(COUNTIF(Tabla_imprenta[LOTE],Tabla_control[[#This Row],[LOTE]])=1,INDEX(Tabla_imprenta[FECHA EMISIÓN],MATCH(Tabla_control[[#This Row],[LOTE]],Tabla_imprenta[LOTE],0)),"REALIZADO")</f>
        <v>46055</v>
      </c>
      <c r="B410" s="142">
        <f>IF(COUNTIF(Tabla_imprenta[LOTE],Tabla_control[[#This Row],[LOTE]])=1,INDEX(Tabla_imprenta[CÓD. SOLICITUD],MATCH(Tabla_control[[#This Row],[LOTE]],Tabla_imprenta[LOTE],0)),"REALIZADO")</f>
        <v>0</v>
      </c>
      <c r="C410" s="177" t="str">
        <f>IF(COUNTIF(Tabla_imprenta[LOTE],Tabla_control[[#This Row],[LOTE]])=1,INDEX(Tabla_imprenta[PRODUCTO],MATCH(Tabla_control[[#This Row],[LOTE]],Tabla_imprenta[LOTE],0)),"REALIZADO")</f>
        <v>GLUCONATO DE CALCIO 10% X 10 AMP. SOLUCION INY.</v>
      </c>
      <c r="D410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10" s="177" t="str">
        <f>IF(COUNTIF(Tabla_imprenta[LOTE],Tabla_control[[#This Row],[LOTE]])=1,INDEX(Tabla_imprenta[INSTITUCIÓN],MATCH(Tabla_control[[#This Row],[LOTE]],Tabla_imprenta[LOTE],0)),"REALIZADO")</f>
        <v>COMERCIO</v>
      </c>
      <c r="F410" s="180" t="s">
        <v>2172</v>
      </c>
      <c r="G410" s="139">
        <f>IF(COUNTIF(Tabla_imprenta[LOTE],Tabla_control[[#This Row],[LOTE]])=1,INDEX(Tabla_imprenta[CANTIDAD ENVASE SECUNDARIO],MATCH(Tabla_control[[#This Row],[LOTE]],Tabla_imprenta[LOTE],0)),"ENTREGADO")</f>
        <v>1800</v>
      </c>
      <c r="H410" s="139">
        <f>IF(COUNTIF(Tabla_imprenta[LOTE],Tabla_control[[#This Row],[LOTE]])=1,INDEX(Tabla_imprenta[stock sap],MATCH(Tabla_control[[#This Row],[LOTE]],Tabla_imprenta[LOTE],0)),"ENTREGADO")</f>
        <v>1720</v>
      </c>
      <c r="I410" s="139" t="str">
        <f>IF(Tabla_control[[#This Row],[STOCK SAP]]&gt;Tabla_control[[#This Row],[CANTIDAD IMPRIMIR]],"cubre","no cubre")</f>
        <v>no cubre</v>
      </c>
      <c r="J410" s="7">
        <f>IF(COUNTIF(Tabla_imprenta[LOTE],Tabla_control[[#This Row],[LOTE]])=1,INDEX(Tabla_imprenta[STOCK],MATCH(Tabla_control[[#This Row],[LOTE]],Tabla_imprenta[LOTE],0)),"ENTREGADO")</f>
        <v>0.88060832673790668</v>
      </c>
      <c r="K41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46167</v>
      </c>
      <c r="L410" s="148" t="str">
        <f>INDEX(Tabla_imprenta[FECHA CAJA],MATCH(Tabla_control[[#This Row],[LOTE]],Tabla_imprenta[LOTE],0))</f>
        <v>ENTREGADO</v>
      </c>
      <c r="M41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1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1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</v>
      </c>
      <c r="P410" s="169">
        <f>ROUNDUP(Tabla_control[[#This Row],[CANTIDAD IMPRIMIR]]/Tabla_control[[#This Row],[N TJ]],0)</f>
        <v>900</v>
      </c>
      <c r="Q410" s="169">
        <f>IF(Tabla_control[[#This Row],[CANTIDAD TIRAJE]]&gt;10000,Tabla_control[[#This Row],[CANTIDAD TIRAJE]],Tabla_control[[#This Row],[CANTIDAD TIRAJE]]*2)</f>
        <v>1800</v>
      </c>
      <c r="R410" s="4" t="s">
        <v>172</v>
      </c>
      <c r="S410" s="4" t="s">
        <v>31</v>
      </c>
      <c r="T410" s="4"/>
      <c r="U410" s="4"/>
      <c r="V410" s="4"/>
      <c r="W410" s="138" t="s">
        <v>3223</v>
      </c>
      <c r="X410" s="138"/>
      <c r="Y410" s="138"/>
      <c r="Z410" s="138"/>
      <c r="AA410" s="4" t="s">
        <v>2982</v>
      </c>
      <c r="AB410" s="184" t="s">
        <v>2028</v>
      </c>
    </row>
    <row r="411" spans="1:28" hidden="1" x14ac:dyDescent="0.2">
      <c r="A411" s="175">
        <f>IF(COUNTIF(Tabla_imprenta[LOTE],Tabla_control[[#This Row],[LOTE]])=1,INDEX(Tabla_imprenta[FECHA EMISIÓN],MATCH(Tabla_control[[#This Row],[LOTE]],Tabla_imprenta[LOTE],0)),"REALIZADO")</f>
        <v>46055</v>
      </c>
      <c r="B411" s="142">
        <f>IF(COUNTIF(Tabla_imprenta[LOTE],Tabla_control[[#This Row],[LOTE]])=1,INDEX(Tabla_imprenta[CÓD. SOLICITUD],MATCH(Tabla_control[[#This Row],[LOTE]],Tabla_imprenta[LOTE],0)),"REALIZADO")</f>
        <v>0</v>
      </c>
      <c r="C411" s="177" t="str">
        <f>IF(COUNTIF(Tabla_imprenta[LOTE],Tabla_control[[#This Row],[LOTE]])=1,INDEX(Tabla_imprenta[PRODUCTO],MATCH(Tabla_control[[#This Row],[LOTE]],Tabla_imprenta[LOTE],0)),"REALIZADO")</f>
        <v>GLUCONATO DE CALCIO 10% X 10 AMP. SOLUCION INY.</v>
      </c>
      <c r="D411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11" s="177" t="str">
        <f>IF(COUNTIF(Tabla_imprenta[LOTE],Tabla_control[[#This Row],[LOTE]])=1,INDEX(Tabla_imprenta[INSTITUCIÓN],MATCH(Tabla_control[[#This Row],[LOTE]],Tabla_imprenta[LOTE],0)),"REALIZADO")</f>
        <v>COMERCIO</v>
      </c>
      <c r="F411" s="180" t="s">
        <v>2171</v>
      </c>
      <c r="G411" s="139">
        <f>IF(COUNTIF(Tabla_imprenta[LOTE],Tabla_control[[#This Row],[LOTE]])=1,INDEX(Tabla_imprenta[CANTIDAD ENVASE SECUNDARIO],MATCH(Tabla_control[[#This Row],[LOTE]],Tabla_imprenta[LOTE],0)),"ENTREGADO")</f>
        <v>1800</v>
      </c>
      <c r="H411" s="139">
        <f>IF(COUNTIF(Tabla_imprenta[LOTE],Tabla_control[[#This Row],[LOTE]])=1,INDEX(Tabla_imprenta[stock sap],MATCH(Tabla_control[[#This Row],[LOTE]],Tabla_imprenta[LOTE],0)),"ENTREGADO")</f>
        <v>1720</v>
      </c>
      <c r="I411" s="139" t="str">
        <f>IF(Tabla_control[[#This Row],[STOCK SAP]]&gt;Tabla_control[[#This Row],[CANTIDAD IMPRIMIR]],"cubre","no cubre")</f>
        <v>no cubre</v>
      </c>
      <c r="J411" s="7">
        <f>IF(COUNTIF(Tabla_imprenta[LOTE],Tabla_control[[#This Row],[LOTE]])=1,INDEX(Tabla_imprenta[STOCK],MATCH(Tabla_control[[#This Row],[LOTE]],Tabla_imprenta[LOTE],0)),"ENTREGADO")</f>
        <v>0.88060832673790668</v>
      </c>
      <c r="K41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46167</v>
      </c>
      <c r="L411" s="148" t="str">
        <f>INDEX(Tabla_imprenta[FECHA CAJA],MATCH(Tabla_control[[#This Row],[LOTE]],Tabla_imprenta[LOTE],0))</f>
        <v>ENTREGADO</v>
      </c>
      <c r="M41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1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1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</v>
      </c>
      <c r="P411" s="169">
        <f>ROUNDUP(Tabla_control[[#This Row],[CANTIDAD IMPRIMIR]]/Tabla_control[[#This Row],[N TJ]],0)</f>
        <v>900</v>
      </c>
      <c r="Q411" s="169">
        <f>IF(Tabla_control[[#This Row],[CANTIDAD TIRAJE]]&gt;10000,Tabla_control[[#This Row],[CANTIDAD TIRAJE]],Tabla_control[[#This Row],[CANTIDAD TIRAJE]]*2)</f>
        <v>1800</v>
      </c>
      <c r="R411" s="4" t="s">
        <v>172</v>
      </c>
      <c r="S411" s="4" t="s">
        <v>31</v>
      </c>
      <c r="T411" s="4"/>
      <c r="U411" s="4"/>
      <c r="V411" s="4"/>
      <c r="W411" s="138" t="s">
        <v>3223</v>
      </c>
      <c r="X411" s="138"/>
      <c r="Y411" s="138"/>
      <c r="Z411" s="138"/>
      <c r="AA411" s="4" t="s">
        <v>2982</v>
      </c>
      <c r="AB411" s="184" t="s">
        <v>2028</v>
      </c>
    </row>
    <row r="412" spans="1:28" hidden="1" x14ac:dyDescent="0.2">
      <c r="A412" s="175">
        <f>IF(COUNTIF(Tabla_imprenta[LOTE],Tabla_control[[#This Row],[LOTE]])=1,INDEX(Tabla_imprenta[FECHA EMISIÓN],MATCH(Tabla_control[[#This Row],[LOTE]],Tabla_imprenta[LOTE],0)),"REALIZADO")</f>
        <v>46113</v>
      </c>
      <c r="B412" s="142">
        <f>IF(COUNTIF(Tabla_imprenta[LOTE],Tabla_control[[#This Row],[LOTE]])=1,INDEX(Tabla_imprenta[CÓD. SOLICITUD],MATCH(Tabla_control[[#This Row],[LOTE]],Tabla_imprenta[LOTE],0)),"REALIZADO")</f>
        <v>0</v>
      </c>
      <c r="C412" s="177" t="str">
        <f>IF(COUNTIF(Tabla_imprenta[LOTE],Tabla_control[[#This Row],[LOTE]])=1,INDEX(Tabla_imprenta[PRODUCTO],MATCH(Tabla_control[[#This Row],[LOTE]],Tabla_imprenta[LOTE],0)),"REALIZADO")</f>
        <v>TRIBENZOL 500 MG X 2 COMP. RECUBIERTO MM</v>
      </c>
      <c r="D412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12" s="177" t="str">
        <f>IF(COUNTIF(Tabla_imprenta[LOTE],Tabla_control[[#This Row],[LOTE]])=1,INDEX(Tabla_imprenta[INSTITUCIÓN],MATCH(Tabla_control[[#This Row],[LOTE]],Tabla_imprenta[LOTE],0)),"REALIZADO")</f>
        <v>MM-2025</v>
      </c>
      <c r="F412" s="181" t="s">
        <v>3192</v>
      </c>
      <c r="G412" s="139">
        <f>IF(COUNTIF(Tabla_imprenta[LOTE],Tabla_control[[#This Row],[LOTE]])=1,INDEX(Tabla_imprenta[CANTIDAD ENVASE SECUNDARIO],MATCH(Tabla_control[[#This Row],[LOTE]],Tabla_imprenta[LOTE],0)),"ENTREGADO")</f>
        <v>20000</v>
      </c>
      <c r="H412" s="139">
        <f>IF(COUNTIF(Tabla_imprenta[LOTE],Tabla_control[[#This Row],[LOTE]])=1,INDEX(Tabla_imprenta[stock sap],MATCH(Tabla_control[[#This Row],[LOTE]],Tabla_imprenta[LOTE],0)),"ENTREGADO")</f>
        <v>2072</v>
      </c>
      <c r="I412" s="139" t="str">
        <f>IF(Tabla_control[[#This Row],[STOCK SAP]]&gt;Tabla_control[[#This Row],[CANTIDAD IMPRIMIR]],"cubre","no cubre")</f>
        <v>no cubre</v>
      </c>
      <c r="J412" s="182">
        <f>IF(COUNTIF(Tabla_imprenta[LOTE],Tabla_control[[#This Row],[LOTE]])=1,INDEX(Tabla_imprenta[STOCK],MATCH(Tabla_control[[#This Row],[LOTE]],Tabla_imprenta[LOTE],0)),"ENTREGADO")</f>
        <v>5.6075100826623174</v>
      </c>
      <c r="K41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46154</v>
      </c>
      <c r="L412" s="148">
        <f>INDEX(Tabla_imprenta[FECHA CAJA],MATCH(Tabla_control[[#This Row],[LOTE]],Tabla_imprenta[LOTE],0))</f>
        <v>46154</v>
      </c>
      <c r="M41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41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5</v>
      </c>
      <c r="O41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28</v>
      </c>
      <c r="P412" s="170">
        <f>ROUNDUP(Tabla_control[[#This Row],[CANTIDAD IMPRIMIR]]/Tabla_control[[#This Row],[N TJ]],0)</f>
        <v>4000</v>
      </c>
      <c r="Q412" s="170">
        <f>IF(Tabla_control[[#This Row],[CANTIDAD TIRAJE]]&gt;10000,Tabla_control[[#This Row],[CANTIDAD TIRAJE]],Tabla_control[[#This Row],[CANTIDAD TIRAJE]]*2)</f>
        <v>8000</v>
      </c>
      <c r="R412" s="186" t="s">
        <v>173</v>
      </c>
      <c r="S412" s="4" t="s">
        <v>174</v>
      </c>
      <c r="T412" s="4"/>
      <c r="U412" s="4"/>
      <c r="V412" s="4"/>
      <c r="W412" s="187" t="s">
        <v>3223</v>
      </c>
      <c r="X412" s="187"/>
      <c r="Y412" s="187"/>
      <c r="Z412" s="187"/>
      <c r="AA412" s="186" t="s">
        <v>2031</v>
      </c>
      <c r="AB412" s="184" t="s">
        <v>3222</v>
      </c>
    </row>
    <row r="413" spans="1:28" hidden="1" x14ac:dyDescent="0.2">
      <c r="A413" s="175">
        <f>IF(COUNTIF(Tabla_imprenta[LOTE],Tabla_control[[#This Row],[LOTE]])=1,INDEX(Tabla_imprenta[FECHA EMISIÓN],MATCH(Tabla_control[[#This Row],[LOTE]],Tabla_imprenta[LOTE],0)),"REALIZADO")</f>
        <v>46091</v>
      </c>
      <c r="B413" s="142">
        <f>IF(COUNTIF(Tabla_imprenta[LOTE],Tabla_control[[#This Row],[LOTE]])=1,INDEX(Tabla_imprenta[CÓD. SOLICITUD],MATCH(Tabla_control[[#This Row],[LOTE]],Tabla_imprenta[LOTE],0)),"REALIZADO")</f>
        <v>0</v>
      </c>
      <c r="C413" s="177" t="str">
        <f>IF(COUNTIF(Tabla_imprenta[LOTE],Tabla_control[[#This Row],[LOTE]])=1,INDEX(Tabla_imprenta[PRODUCTO],MATCH(Tabla_control[[#This Row],[LOTE]],Tabla_imprenta[LOTE],0)),"REALIZADO")</f>
        <v>LIDOCAINA 2% X 1 VIAL SOLUCION INY.</v>
      </c>
      <c r="D413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13" s="177" t="str">
        <f>IF(COUNTIF(Tabla_imprenta[LOTE],Tabla_control[[#This Row],[LOTE]])=1,INDEX(Tabla_imprenta[INSTITUCIÓN],MATCH(Tabla_control[[#This Row],[LOTE]],Tabla_imprenta[LOTE],0)),"REALIZADO")</f>
        <v>COMERCIO</v>
      </c>
      <c r="F413" s="180" t="s">
        <v>2957</v>
      </c>
      <c r="G413" s="139">
        <f>IF(COUNTIF(Tabla_imprenta[LOTE],Tabla_control[[#This Row],[LOTE]])=1,INDEX(Tabla_imprenta[CANTIDAD ENVASE SECUNDARIO],MATCH(Tabla_control[[#This Row],[LOTE]],Tabla_imprenta[LOTE],0)),"ENTREGADO")</f>
        <v>9200</v>
      </c>
      <c r="H413" s="139">
        <f>IF(COUNTIF(Tabla_imprenta[LOTE],Tabla_control[[#This Row],[LOTE]])=1,INDEX(Tabla_imprenta[stock sap],MATCH(Tabla_control[[#This Row],[LOTE]],Tabla_imprenta[LOTE],0)),"ENTREGADO")</f>
        <v>3260</v>
      </c>
      <c r="I413" s="139" t="str">
        <f>IF(Tabla_control[[#This Row],[STOCK SAP]]&gt;Tabla_control[[#This Row],[CANTIDAD IMPRIMIR]],"cubre","no cubre")</f>
        <v>no cubre</v>
      </c>
      <c r="J413" s="7">
        <f>IF(COUNTIF(Tabla_imprenta[LOTE],Tabla_control[[#This Row],[LOTE]])=1,INDEX(Tabla_imprenta[STOCK],MATCH(Tabla_control[[#This Row],[LOTE]],Tabla_imprenta[LOTE],0)),"ENTREGADO")</f>
        <v>1.002996974139363</v>
      </c>
      <c r="K41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46154</v>
      </c>
      <c r="L413" s="148" t="str">
        <f>INDEX(Tabla_imprenta[FECHA CAJA],MATCH(Tabla_control[[#This Row],[LOTE]],Tabla_imprenta[LOTE],0))</f>
        <v>ENTREGADO</v>
      </c>
      <c r="M41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1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41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22</v>
      </c>
      <c r="P413" s="170">
        <f>ROUNDUP(Tabla_control[[#This Row],[CANTIDAD IMPRIMIR]]/Tabla_control[[#This Row],[N TJ]],0)</f>
        <v>1534</v>
      </c>
      <c r="Q413" s="170">
        <f>IF(Tabla_control[[#This Row],[CANTIDAD TIRAJE]]&gt;10000,Tabla_control[[#This Row],[CANTIDAD TIRAJE]],Tabla_control[[#This Row],[CANTIDAD TIRAJE]]*2)</f>
        <v>3068</v>
      </c>
      <c r="R413" s="4" t="s">
        <v>172</v>
      </c>
      <c r="S413" s="4" t="s">
        <v>31</v>
      </c>
      <c r="T413" s="4"/>
      <c r="U413" s="4"/>
      <c r="V413" s="4"/>
      <c r="W413" s="185" t="s">
        <v>3223</v>
      </c>
      <c r="X413" s="185"/>
      <c r="Y413" s="185"/>
      <c r="Z413" s="185"/>
      <c r="AA413" s="4" t="s">
        <v>2429</v>
      </c>
      <c r="AB413" s="184" t="s">
        <v>2028</v>
      </c>
    </row>
    <row r="414" spans="1:28" hidden="1" x14ac:dyDescent="0.2">
      <c r="A414" s="175">
        <f>IF(COUNTIF(Tabla_imprenta[LOTE],Tabla_control[[#This Row],[LOTE]])=1,INDEX(Tabla_imprenta[FECHA EMISIÓN],MATCH(Tabla_control[[#This Row],[LOTE]],Tabla_imprenta[LOTE],0)),"REALIZADO")</f>
        <v>46091</v>
      </c>
      <c r="B414" s="142">
        <f>IF(COUNTIF(Tabla_imprenta[LOTE],Tabla_control[[#This Row],[LOTE]])=1,INDEX(Tabla_imprenta[CÓD. SOLICITUD],MATCH(Tabla_control[[#This Row],[LOTE]],Tabla_imprenta[LOTE],0)),"REALIZADO")</f>
        <v>0</v>
      </c>
      <c r="C414" s="177" t="str">
        <f>IF(COUNTIF(Tabla_imprenta[LOTE],Tabla_control[[#This Row],[LOTE]])=1,INDEX(Tabla_imprenta[PRODUCTO],MATCH(Tabla_control[[#This Row],[LOTE]],Tabla_imprenta[LOTE],0)),"REALIZADO")</f>
        <v>LIDOCAINA 2% X 1 VIAL SOLUCION INY.</v>
      </c>
      <c r="D414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14" s="177" t="str">
        <f>IF(COUNTIF(Tabla_imprenta[LOTE],Tabla_control[[#This Row],[LOTE]])=1,INDEX(Tabla_imprenta[INSTITUCIÓN],MATCH(Tabla_control[[#This Row],[LOTE]],Tabla_imprenta[LOTE],0)),"REALIZADO")</f>
        <v>COMERCIO</v>
      </c>
      <c r="F414" s="180" t="s">
        <v>2954</v>
      </c>
      <c r="G414" s="139">
        <f>IF(COUNTIF(Tabla_imprenta[LOTE],Tabla_control[[#This Row],[LOTE]])=1,INDEX(Tabla_imprenta[CANTIDAD ENVASE SECUNDARIO],MATCH(Tabla_control[[#This Row],[LOTE]],Tabla_imprenta[LOTE],0)),"ENTREGADO")</f>
        <v>9200</v>
      </c>
      <c r="H414" s="139">
        <f>IF(COUNTIF(Tabla_imprenta[LOTE],Tabla_control[[#This Row],[LOTE]])=1,INDEX(Tabla_imprenta[stock sap],MATCH(Tabla_control[[#This Row],[LOTE]],Tabla_imprenta[LOTE],0)),"ENTREGADO")</f>
        <v>3260</v>
      </c>
      <c r="I414" s="139" t="str">
        <f>IF(Tabla_control[[#This Row],[STOCK SAP]]&gt;Tabla_control[[#This Row],[CANTIDAD IMPRIMIR]],"cubre","no cubre")</f>
        <v>no cubre</v>
      </c>
      <c r="J414" s="7">
        <f>IF(COUNTIF(Tabla_imprenta[LOTE],Tabla_control[[#This Row],[LOTE]])=1,INDEX(Tabla_imprenta[STOCK],MATCH(Tabla_control[[#This Row],[LOTE]],Tabla_imprenta[LOTE],0)),"ENTREGADO")</f>
        <v>1.002996974139363</v>
      </c>
      <c r="K41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46154</v>
      </c>
      <c r="L414" s="148" t="str">
        <f>INDEX(Tabla_imprenta[FECHA CAJA],MATCH(Tabla_control[[#This Row],[LOTE]],Tabla_imprenta[LOTE],0))</f>
        <v>ENTREGADO</v>
      </c>
      <c r="M41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1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41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22</v>
      </c>
      <c r="P414" s="170">
        <f>ROUNDUP(Tabla_control[[#This Row],[CANTIDAD IMPRIMIR]]/Tabla_control[[#This Row],[N TJ]],0)</f>
        <v>1534</v>
      </c>
      <c r="Q414" s="170">
        <f>IF(Tabla_control[[#This Row],[CANTIDAD TIRAJE]]&gt;10000,Tabla_control[[#This Row],[CANTIDAD TIRAJE]],Tabla_control[[#This Row],[CANTIDAD TIRAJE]]*2)</f>
        <v>3068</v>
      </c>
      <c r="R414" s="4" t="s">
        <v>172</v>
      </c>
      <c r="S414" s="4" t="s">
        <v>31</v>
      </c>
      <c r="T414" s="4"/>
      <c r="U414" s="4"/>
      <c r="V414" s="4"/>
      <c r="W414" s="185" t="s">
        <v>3223</v>
      </c>
      <c r="X414" s="185"/>
      <c r="Y414" s="185"/>
      <c r="Z414" s="185"/>
      <c r="AA414" s="4" t="s">
        <v>2429</v>
      </c>
      <c r="AB414" s="184" t="s">
        <v>2028</v>
      </c>
    </row>
    <row r="415" spans="1:28" hidden="1" x14ac:dyDescent="0.2">
      <c r="A415" s="175">
        <f>IF(COUNTIF(Tabla_imprenta[LOTE],Tabla_control[[#This Row],[LOTE]])=1,INDEX(Tabla_imprenta[FECHA EMISIÓN],MATCH(Tabla_control[[#This Row],[LOTE]],Tabla_imprenta[LOTE],0)),"REALIZADO")</f>
        <v>46113</v>
      </c>
      <c r="B415" s="142">
        <f>IF(COUNTIF(Tabla_imprenta[LOTE],Tabla_control[[#This Row],[LOTE]])=1,INDEX(Tabla_imprenta[CÓD. SOLICITUD],MATCH(Tabla_control[[#This Row],[LOTE]],Tabla_imprenta[LOTE],0)),"REALIZADO")</f>
        <v>0</v>
      </c>
      <c r="C415" s="177" t="str">
        <f>IF(COUNTIF(Tabla_imprenta[LOTE],Tabla_control[[#This Row],[LOTE]])=1,INDEX(Tabla_imprenta[PRODUCTO],MATCH(Tabla_control[[#This Row],[LOTE]],Tabla_imprenta[LOTE],0)),"REALIZADO")</f>
        <v>DEXTROMETORFANO 10 MG X 100 ML JARABE</v>
      </c>
      <c r="D415" s="142" t="str">
        <f>IF(COUNTIF(Tabla_imprenta[LOTE],Tabla_control[[#This Row],[LOTE]])=1,INDEX(Tabla_imprenta[FORMA FARMACEUTICA],MATCH(Tabla_control[[#This Row],[LOTE]],Tabla_imprenta[LOTE],0)),"REALIZADO")</f>
        <v>JARABE</v>
      </c>
      <c r="E415" s="177" t="str">
        <f>IF(COUNTIF(Tabla_imprenta[LOTE],Tabla_control[[#This Row],[LOTE]])=1,INDEX(Tabla_imprenta[INSTITUCIÓN],MATCH(Tabla_control[[#This Row],[LOTE]],Tabla_imprenta[LOTE],0)),"REALIZADO")</f>
        <v>COMERCIO</v>
      </c>
      <c r="F415" s="181" t="s">
        <v>3219</v>
      </c>
      <c r="G415" s="139">
        <f>IF(COUNTIF(Tabla_imprenta[LOTE],Tabla_control[[#This Row],[LOTE]])=1,INDEX(Tabla_imprenta[CANTIDAD ENVASE SECUNDARIO],MATCH(Tabla_control[[#This Row],[LOTE]],Tabla_imprenta[LOTE],0)),"ENTREGADO")</f>
        <v>29703</v>
      </c>
      <c r="H415" s="139">
        <f>IF(COUNTIF(Tabla_imprenta[LOTE],Tabla_control[[#This Row],[LOTE]])=1,INDEX(Tabla_imprenta[stock sap],MATCH(Tabla_control[[#This Row],[LOTE]],Tabla_imprenta[LOTE],0)),"ENTREGADO")</f>
        <v>2600</v>
      </c>
      <c r="I415" s="139" t="str">
        <f>IF(Tabla_control[[#This Row],[STOCK SAP]]&gt;Tabla_control[[#This Row],[CANTIDAD IMPRIMIR]],"cubre","no cubre")</f>
        <v>no cubre</v>
      </c>
      <c r="J415" s="182">
        <f>IF(COUNTIF(Tabla_imprenta[LOTE],Tabla_control[[#This Row],[LOTE]])=1,INDEX(Tabla_imprenta[STOCK],MATCH(Tabla_control[[#This Row],[LOTE]],Tabla_imprenta[LOTE],0)),"ENTREGADO")</f>
        <v>0.77540560458321139</v>
      </c>
      <c r="K41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46155</v>
      </c>
      <c r="L415" s="148">
        <f>INDEX(Tabla_imprenta[FECHA CAJA],MATCH(Tabla_control[[#This Row],[LOTE]],Tabla_imprenta[LOTE],0))</f>
        <v>46155</v>
      </c>
      <c r="M41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1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1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415" s="170">
        <f>ROUNDUP(Tabla_control[[#This Row],[CANTIDAD IMPRIMIR]]/Tabla_control[[#This Row],[N TJ]],0)</f>
        <v>14852</v>
      </c>
      <c r="Q415" s="170">
        <f>IF(Tabla_control[[#This Row],[CANTIDAD TIRAJE]]&gt;10000,Tabla_control[[#This Row],[CANTIDAD TIRAJE]],Tabla_control[[#This Row],[CANTIDAD TIRAJE]]*2)</f>
        <v>14852</v>
      </c>
      <c r="R415" s="186" t="s">
        <v>172</v>
      </c>
      <c r="S415" s="4" t="s">
        <v>31</v>
      </c>
      <c r="T415" s="4"/>
      <c r="U415" s="4" t="s">
        <v>171</v>
      </c>
      <c r="V415" s="4" t="s">
        <v>171</v>
      </c>
      <c r="W415" s="185" t="s">
        <v>2985</v>
      </c>
      <c r="X415" s="185" t="s">
        <v>171</v>
      </c>
      <c r="Y415" s="185"/>
      <c r="Z415" s="185"/>
      <c r="AA415" s="186" t="s">
        <v>2031</v>
      </c>
      <c r="AB415" s="184" t="s">
        <v>3222</v>
      </c>
    </row>
    <row r="416" spans="1:28" hidden="1" x14ac:dyDescent="0.2">
      <c r="A416" s="175">
        <f>IF(COUNTIF(Tabla_imprenta[LOTE],Tabla_control[[#This Row],[LOTE]])=1,INDEX(Tabla_imprenta[FECHA EMISIÓN],MATCH(Tabla_control[[#This Row],[LOTE]],Tabla_imprenta[LOTE],0)),"REALIZADO")</f>
        <v>46091</v>
      </c>
      <c r="B416" s="142">
        <f>IF(COUNTIF(Tabla_imprenta[LOTE],Tabla_control[[#This Row],[LOTE]])=1,INDEX(Tabla_imprenta[CÓD. SOLICITUD],MATCH(Tabla_control[[#This Row],[LOTE]],Tabla_imprenta[LOTE],0)),"REALIZADO")</f>
        <v>0</v>
      </c>
      <c r="C416" s="177" t="str">
        <f>IF(COUNTIF(Tabla_imprenta[LOTE],Tabla_control[[#This Row],[LOTE]])=1,INDEX(Tabla_imprenta[PRODUCTO],MATCH(Tabla_control[[#This Row],[LOTE]],Tabla_imprenta[LOTE],0)),"REALIZADO")</f>
        <v>LIDOCAINA 2% X 1 VIAL SOLUCION INY.</v>
      </c>
      <c r="D416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16" s="177" t="str">
        <f>IF(COUNTIF(Tabla_imprenta[LOTE],Tabla_control[[#This Row],[LOTE]])=1,INDEX(Tabla_imprenta[INSTITUCIÓN],MATCH(Tabla_control[[#This Row],[LOTE]],Tabla_imprenta[LOTE],0)),"REALIZADO")</f>
        <v>COMERCIO</v>
      </c>
      <c r="F416" s="180" t="s">
        <v>2951</v>
      </c>
      <c r="G416" s="139">
        <f>IF(COUNTIF(Tabla_imprenta[LOTE],Tabla_control[[#This Row],[LOTE]])=1,INDEX(Tabla_imprenta[CANTIDAD ENVASE SECUNDARIO],MATCH(Tabla_control[[#This Row],[LOTE]],Tabla_imprenta[LOTE],0)),"ENTREGADO")</f>
        <v>9200</v>
      </c>
      <c r="H416" s="139">
        <f>IF(COUNTIF(Tabla_imprenta[LOTE],Tabla_control[[#This Row],[LOTE]])=1,INDEX(Tabla_imprenta[stock sap],MATCH(Tabla_control[[#This Row],[LOTE]],Tabla_imprenta[LOTE],0)),"ENTREGADO")</f>
        <v>3260</v>
      </c>
      <c r="I416" s="139" t="str">
        <f>IF(Tabla_control[[#This Row],[STOCK SAP]]&gt;Tabla_control[[#This Row],[CANTIDAD IMPRIMIR]],"cubre","no cubre")</f>
        <v>no cubre</v>
      </c>
      <c r="J416" s="7">
        <f>IF(COUNTIF(Tabla_imprenta[LOTE],Tabla_control[[#This Row],[LOTE]])=1,INDEX(Tabla_imprenta[STOCK],MATCH(Tabla_control[[#This Row],[LOTE]],Tabla_imprenta[LOTE],0)),"ENTREGADO")</f>
        <v>1.002996974139363</v>
      </c>
      <c r="K41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46154</v>
      </c>
      <c r="L416" s="148" t="str">
        <f>INDEX(Tabla_imprenta[FECHA CAJA],MATCH(Tabla_control[[#This Row],[LOTE]],Tabla_imprenta[LOTE],0))</f>
        <v>ENTREGADO</v>
      </c>
      <c r="M41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1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41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22</v>
      </c>
      <c r="P416" s="170">
        <f>ROUNDUP(Tabla_control[[#This Row],[CANTIDAD IMPRIMIR]]/Tabla_control[[#This Row],[N TJ]],0)</f>
        <v>1534</v>
      </c>
      <c r="Q416" s="170">
        <f>IF(Tabla_control[[#This Row],[CANTIDAD TIRAJE]]&gt;10000,Tabla_control[[#This Row],[CANTIDAD TIRAJE]],Tabla_control[[#This Row],[CANTIDAD TIRAJE]]*2)</f>
        <v>3068</v>
      </c>
      <c r="R416" s="4" t="s">
        <v>172</v>
      </c>
      <c r="S416" s="4" t="s">
        <v>31</v>
      </c>
      <c r="T416" s="4"/>
      <c r="U416" s="4"/>
      <c r="V416" s="4"/>
      <c r="W416" s="185" t="s">
        <v>3223</v>
      </c>
      <c r="X416" s="185"/>
      <c r="Y416" s="185"/>
      <c r="Z416" s="185"/>
      <c r="AA416" s="4" t="s">
        <v>2429</v>
      </c>
      <c r="AB416" s="184" t="s">
        <v>2028</v>
      </c>
    </row>
    <row r="417" spans="1:28" hidden="1" x14ac:dyDescent="0.2">
      <c r="A417" s="175">
        <f>IF(COUNTIF(Tabla_imprenta[LOTE],Tabla_control[[#This Row],[LOTE]])=1,INDEX(Tabla_imprenta[FECHA EMISIÓN],MATCH(Tabla_control[[#This Row],[LOTE]],Tabla_imprenta[LOTE],0)),"REALIZADO")</f>
        <v>46113</v>
      </c>
      <c r="B417" s="142">
        <f>IF(COUNTIF(Tabla_imprenta[LOTE],Tabla_control[[#This Row],[LOTE]])=1,INDEX(Tabla_imprenta[CÓD. SOLICITUD],MATCH(Tabla_control[[#This Row],[LOTE]],Tabla_imprenta[LOTE],0)),"REALIZADO")</f>
        <v>0</v>
      </c>
      <c r="C417" s="177" t="str">
        <f>IF(COUNTIF(Tabla_imprenta[LOTE],Tabla_control[[#This Row],[LOTE]])=1,INDEX(Tabla_imprenta[PRODUCTO],MATCH(Tabla_control[[#This Row],[LOTE]],Tabla_imprenta[LOTE],0)),"REALIZADO")</f>
        <v>IFABENA 500 MG X 30 ML SUSP.</v>
      </c>
      <c r="D417" s="142" t="str">
        <f>IF(COUNTIF(Tabla_imprenta[LOTE],Tabla_control[[#This Row],[LOTE]])=1,INDEX(Tabla_imprenta[FORMA FARMACEUTICA],MATCH(Tabla_control[[#This Row],[LOTE]],Tabla_imprenta[LOTE],0)),"REALIZADO")</f>
        <v>SUSPENSIÓN</v>
      </c>
      <c r="E417" s="177" t="str">
        <f>IF(COUNTIF(Tabla_imprenta[LOTE],Tabla_control[[#This Row],[LOTE]])=1,INDEX(Tabla_imprenta[INSTITUCIÓN],MATCH(Tabla_control[[#This Row],[LOTE]],Tabla_imprenta[LOTE],0)),"REALIZADO")</f>
        <v>COMERCIO</v>
      </c>
      <c r="F417" s="181" t="s">
        <v>3125</v>
      </c>
      <c r="G417" s="139">
        <f>IF(COUNTIF(Tabla_imprenta[LOTE],Tabla_control[[#This Row],[LOTE]])=1,INDEX(Tabla_imprenta[CANTIDAD ENVASE SECUNDARIO],MATCH(Tabla_control[[#This Row],[LOTE]],Tabla_imprenta[LOTE],0)),"ENTREGADO")</f>
        <v>3750</v>
      </c>
      <c r="H417" s="139">
        <f>IF(COUNTIF(Tabla_imprenta[LOTE],Tabla_control[[#This Row],[LOTE]])=1,INDEX(Tabla_imprenta[stock sap],MATCH(Tabla_control[[#This Row],[LOTE]],Tabla_imprenta[LOTE],0)),"ENTREGADO")</f>
        <v>2600</v>
      </c>
      <c r="I417" s="139" t="str">
        <f>IF(Tabla_control[[#This Row],[STOCK SAP]]&gt;Tabla_control[[#This Row],[CANTIDAD IMPRIMIR]],"cubre","no cubre")</f>
        <v>no cubre</v>
      </c>
      <c r="J417" s="182">
        <f>IF(COUNTIF(Tabla_imprenta[LOTE],Tabla_control[[#This Row],[LOTE]])=1,INDEX(Tabla_imprenta[STOCK],MATCH(Tabla_control[[#This Row],[LOTE]],Tabla_imprenta[LOTE],0)),"ENTREGADO")</f>
        <v>1.5173477255204315</v>
      </c>
      <c r="K41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46154</v>
      </c>
      <c r="L417" s="148" t="str">
        <f>INDEX(Tabla_imprenta[FECHA CAJA],MATCH(Tabla_control[[#This Row],[LOTE]],Tabla_imprenta[LOTE],0))</f>
        <v>ENTREGADO</v>
      </c>
      <c r="M41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41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1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32</v>
      </c>
      <c r="P417" s="170">
        <f>ROUNDUP(Tabla_control[[#This Row],[CANTIDAD IMPRIMIR]]/Tabla_control[[#This Row],[N TJ]],0)</f>
        <v>1875</v>
      </c>
      <c r="Q417" s="170">
        <f>IF(Tabla_control[[#This Row],[CANTIDAD TIRAJE]]&gt;10000,Tabla_control[[#This Row],[CANTIDAD TIRAJE]],Tabla_control[[#This Row],[CANTIDAD TIRAJE]]*2)</f>
        <v>3750</v>
      </c>
      <c r="R417" s="186" t="s">
        <v>173</v>
      </c>
      <c r="S417" s="4" t="s">
        <v>174</v>
      </c>
      <c r="T417" s="4"/>
      <c r="U417" s="4"/>
      <c r="V417" s="4"/>
      <c r="W417" s="187" t="s">
        <v>321</v>
      </c>
      <c r="X417" s="187"/>
      <c r="Y417" s="187"/>
      <c r="Z417" s="187"/>
      <c r="AA417" s="186" t="s">
        <v>321</v>
      </c>
      <c r="AB417" s="184" t="s">
        <v>2028</v>
      </c>
    </row>
    <row r="418" spans="1:28" x14ac:dyDescent="0.2">
      <c r="A418" s="175">
        <f>IF(COUNTIF(Tabla_imprenta[LOTE],Tabla_control[[#This Row],[LOTE]])=1,INDEX(Tabla_imprenta[FECHA EMISIÓN],MATCH(Tabla_control[[#This Row],[LOTE]],Tabla_imprenta[LOTE],0)),"REALIZADO")</f>
        <v>46113</v>
      </c>
      <c r="B418" s="142">
        <f>IF(COUNTIF(Tabla_imprenta[LOTE],Tabla_control[[#This Row],[LOTE]])=1,INDEX(Tabla_imprenta[CÓD. SOLICITUD],MATCH(Tabla_control[[#This Row],[LOTE]],Tabla_imprenta[LOTE],0)),"REALIZADO")</f>
        <v>0</v>
      </c>
      <c r="C418" s="177" t="str">
        <f>IF(COUNTIF(Tabla_imprenta[LOTE],Tabla_control[[#This Row],[LOTE]])=1,INDEX(Tabla_imprenta[PRODUCTO],MATCH(Tabla_control[[#This Row],[LOTE]],Tabla_imprenta[LOTE],0)),"REALIZADO")</f>
        <v>DEXTROMETORFANO 10 MG X 100 ML JARABE</v>
      </c>
      <c r="D418" s="142" t="str">
        <f>IF(COUNTIF(Tabla_imprenta[LOTE],Tabla_control[[#This Row],[LOTE]])=1,INDEX(Tabla_imprenta[FORMA FARMACEUTICA],MATCH(Tabla_control[[#This Row],[LOTE]],Tabla_imprenta[LOTE],0)),"REALIZADO")</f>
        <v>JARABE</v>
      </c>
      <c r="E418" s="177" t="str">
        <f>IF(COUNTIF(Tabla_imprenta[LOTE],Tabla_control[[#This Row],[LOTE]])=1,INDEX(Tabla_imprenta[INSTITUCIÓN],MATCH(Tabla_control[[#This Row],[LOTE]],Tabla_imprenta[LOTE],0)),"REALIZADO")</f>
        <v>COMERCIO</v>
      </c>
      <c r="F418" s="181" t="s">
        <v>3220</v>
      </c>
      <c r="G418" s="139">
        <f>IF(COUNTIF(Tabla_imprenta[LOTE],Tabla_control[[#This Row],[LOTE]])=1,INDEX(Tabla_imprenta[CANTIDAD ENVASE SECUNDARIO],MATCH(Tabla_control[[#This Row],[LOTE]],Tabla_imprenta[LOTE],0)),"ENTREGADO")</f>
        <v>29703</v>
      </c>
      <c r="H418" s="139">
        <f>IF(COUNTIF(Tabla_imprenta[LOTE],Tabla_control[[#This Row],[LOTE]])=1,INDEX(Tabla_imprenta[stock sap],MATCH(Tabla_control[[#This Row],[LOTE]],Tabla_imprenta[LOTE],0)),"ENTREGADO")</f>
        <v>2600</v>
      </c>
      <c r="I418" s="139" t="str">
        <f>IF(Tabla_control[[#This Row],[STOCK SAP]]&gt;Tabla_control[[#This Row],[CANTIDAD IMPRIMIR]],"cubre","no cubre")</f>
        <v>no cubre</v>
      </c>
      <c r="J418" s="182">
        <f>IF(COUNTIF(Tabla_imprenta[LOTE],Tabla_control[[#This Row],[LOTE]])=1,INDEX(Tabla_imprenta[STOCK],MATCH(Tabla_control[[#This Row],[LOTE]],Tabla_imprenta[LOTE],0)),"ENTREGADO")</f>
        <v>0.77540560458321139</v>
      </c>
      <c r="K41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46155</v>
      </c>
      <c r="L418" s="148">
        <f>INDEX(Tabla_imprenta[FECHA CAJA],MATCH(Tabla_control[[#This Row],[LOTE]],Tabla_imprenta[LOTE],0))</f>
        <v>46155</v>
      </c>
      <c r="M41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1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1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418" s="170">
        <f>ROUNDUP(Tabla_control[[#This Row],[CANTIDAD IMPRIMIR]]/Tabla_control[[#This Row],[N TJ]],0)</f>
        <v>14852</v>
      </c>
      <c r="Q418" s="170">
        <f>IF(Tabla_control[[#This Row],[CANTIDAD TIRAJE]]&gt;10000,Tabla_control[[#This Row],[CANTIDAD TIRAJE]],Tabla_control[[#This Row],[CANTIDAD TIRAJE]]*2)</f>
        <v>14852</v>
      </c>
      <c r="R418" s="186" t="s">
        <v>172</v>
      </c>
      <c r="S418" s="4" t="s">
        <v>31</v>
      </c>
      <c r="T418" s="4"/>
      <c r="U418" s="4"/>
      <c r="V418" s="4" t="s">
        <v>171</v>
      </c>
      <c r="W418" s="185" t="s">
        <v>2985</v>
      </c>
      <c r="X418" s="185"/>
      <c r="Y418" s="185" t="s">
        <v>171</v>
      </c>
      <c r="Z418" s="185"/>
      <c r="AA418" s="186" t="s">
        <v>171</v>
      </c>
      <c r="AB418" s="184" t="s">
        <v>3222</v>
      </c>
    </row>
    <row r="419" spans="1:28" x14ac:dyDescent="0.2">
      <c r="A419" s="175">
        <f>IF(COUNTIF(Tabla_imprenta[LOTE],Tabla_control[[#This Row],[LOTE]])=1,INDEX(Tabla_imprenta[FECHA EMISIÓN],MATCH(Tabla_control[[#This Row],[LOTE]],Tabla_imprenta[LOTE],0)),"REALIZADO")</f>
        <v>46113</v>
      </c>
      <c r="B419" s="142">
        <f>IF(COUNTIF(Tabla_imprenta[LOTE],Tabla_control[[#This Row],[LOTE]])=1,INDEX(Tabla_imprenta[CÓD. SOLICITUD],MATCH(Tabla_control[[#This Row],[LOTE]],Tabla_imprenta[LOTE],0)),"REALIZADO")</f>
        <v>0</v>
      </c>
      <c r="C419" s="177" t="str">
        <f>IF(COUNTIF(Tabla_imprenta[LOTE],Tabla_control[[#This Row],[LOTE]])=1,INDEX(Tabla_imprenta[PRODUCTO],MATCH(Tabla_control[[#This Row],[LOTE]],Tabla_imprenta[LOTE],0)),"REALIZADO")</f>
        <v>DICLOFENACO 75 MG X 25 AMP. SOLUCION INY.</v>
      </c>
      <c r="D419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19" s="177" t="str">
        <f>IF(COUNTIF(Tabla_imprenta[LOTE],Tabla_control[[#This Row],[LOTE]])=1,INDEX(Tabla_imprenta[INSTITUCIÓN],MATCH(Tabla_control[[#This Row],[LOTE]],Tabla_imprenta[LOTE],0)),"REALIZADO")</f>
        <v>COMERCIO</v>
      </c>
      <c r="F419" s="181" t="s">
        <v>3194</v>
      </c>
      <c r="G419" s="139">
        <f>IF(COUNTIF(Tabla_imprenta[LOTE],Tabla_control[[#This Row],[LOTE]])=1,INDEX(Tabla_imprenta[CANTIDAD ENVASE SECUNDARIO],MATCH(Tabla_control[[#This Row],[LOTE]],Tabla_imprenta[LOTE],0)),"ENTREGADO")</f>
        <v>1160</v>
      </c>
      <c r="H419" s="139">
        <f>IF(COUNTIF(Tabla_imprenta[LOTE],Tabla_control[[#This Row],[LOTE]])=1,INDEX(Tabla_imprenta[stock sap],MATCH(Tabla_control[[#This Row],[LOTE]],Tabla_imprenta[LOTE],0)),"ENTREGADO")</f>
        <v>1480</v>
      </c>
      <c r="I419" s="139" t="str">
        <f>IF(Tabla_control[[#This Row],[STOCK SAP]]&gt;Tabla_control[[#This Row],[CANTIDAD IMPRIMIR]],"cubre","no cubre")</f>
        <v>cubre</v>
      </c>
      <c r="J419" s="182">
        <f>IF(COUNTIF(Tabla_imprenta[LOTE],Tabla_control[[#This Row],[LOTE]])=1,INDEX(Tabla_imprenta[STOCK],MATCH(Tabla_control[[#This Row],[LOTE]],Tabla_imprenta[LOTE],0)),"ENTREGADO")</f>
        <v>1.3134302239785411</v>
      </c>
      <c r="K41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46155</v>
      </c>
      <c r="L419" s="148">
        <f>INDEX(Tabla_imprenta[FECHA CAJA],MATCH(Tabla_control[[#This Row],[LOTE]],Tabla_imprenta[LOTE],0))</f>
        <v>46155</v>
      </c>
      <c r="M41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1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1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18</v>
      </c>
      <c r="P419" s="170">
        <f>ROUNDUP(Tabla_control[[#This Row],[CANTIDAD IMPRIMIR]]/Tabla_control[[#This Row],[N TJ]],0)</f>
        <v>1160</v>
      </c>
      <c r="Q419" s="170">
        <f>IF(Tabla_control[[#This Row],[CANTIDAD TIRAJE]]&gt;10000,Tabla_control[[#This Row],[CANTIDAD TIRAJE]],Tabla_control[[#This Row],[CANTIDAD TIRAJE]]*2)</f>
        <v>2320</v>
      </c>
      <c r="R419" s="186" t="s">
        <v>172</v>
      </c>
      <c r="S419" s="4" t="s">
        <v>30</v>
      </c>
      <c r="T419" s="4"/>
      <c r="U419" s="4"/>
      <c r="V419" s="4"/>
      <c r="W419" s="185" t="s">
        <v>3238</v>
      </c>
      <c r="X419" s="185"/>
      <c r="Y419" s="185"/>
      <c r="Z419" s="185"/>
      <c r="AA419" s="186" t="s">
        <v>171</v>
      </c>
      <c r="AB419" s="184" t="s">
        <v>3222</v>
      </c>
    </row>
    <row r="420" spans="1:28" hidden="1" x14ac:dyDescent="0.2">
      <c r="A420" s="175">
        <f>IF(COUNTIF(Tabla_imprenta[LOTE],Tabla_control[[#This Row],[LOTE]])=1,INDEX(Tabla_imprenta[FECHA EMISIÓN],MATCH(Tabla_control[[#This Row],[LOTE]],Tabla_imprenta[LOTE],0)),"REALIZADO")</f>
        <v>46121</v>
      </c>
      <c r="B420" s="142">
        <f>IF(COUNTIF(Tabla_imprenta[LOTE],Tabla_control[[#This Row],[LOTE]])=1,INDEX(Tabla_imprenta[CÓD. SOLICITUD],MATCH(Tabla_control[[#This Row],[LOTE]],Tabla_imprenta[LOTE],0)),"REALIZADO")</f>
        <v>0</v>
      </c>
      <c r="C420" s="177" t="str">
        <f>IF(COUNTIF(Tabla_imprenta[LOTE],Tabla_control[[#This Row],[LOTE]])=1,INDEX(Tabla_imprenta[PRODUCTO],MATCH(Tabla_control[[#This Row],[LOTE]],Tabla_imprenta[LOTE],0)),"REALIZADO")</f>
        <v>CEFOTAXIMA 1 G X 1 POLVO INY. VETERINARIO</v>
      </c>
      <c r="D420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420" s="177" t="str">
        <f>IF(COUNTIF(Tabla_imprenta[LOTE],Tabla_control[[#This Row],[LOTE]])=1,INDEX(Tabla_imprenta[INSTITUCIÓN],MATCH(Tabla_control[[#This Row],[LOTE]],Tabla_imprenta[LOTE],0)),"REALIZADO")</f>
        <v>COMERCIO</v>
      </c>
      <c r="F420" s="181" t="s">
        <v>3269</v>
      </c>
      <c r="G420" s="139">
        <f>IF(COUNTIF(Tabla_imprenta[LOTE],Tabla_control[[#This Row],[LOTE]])=1,INDEX(Tabla_imprenta[CANTIDAD ENVASE SECUNDARIO],MATCH(Tabla_control[[#This Row],[LOTE]],Tabla_imprenta[LOTE],0)),"ENTREGADO")</f>
        <v>5000</v>
      </c>
      <c r="H420" s="139">
        <f>IF(COUNTIF(Tabla_imprenta[LOTE],Tabla_control[[#This Row],[LOTE]])=1,INDEX(Tabla_imprenta[stock sap],MATCH(Tabla_control[[#This Row],[LOTE]],Tabla_imprenta[LOTE],0)),"ENTREGADO")</f>
        <v>1767</v>
      </c>
      <c r="I420" s="139" t="str">
        <f>IF(Tabla_control[[#This Row],[STOCK SAP]]&gt;Tabla_control[[#This Row],[CANTIDAD IMPRIMIR]],"cubre","no cubre")</f>
        <v>no cubre</v>
      </c>
      <c r="J420" s="182">
        <f>IF(COUNTIF(Tabla_imprenta[LOTE],Tabla_control[[#This Row],[LOTE]])=1,INDEX(Tabla_imprenta[STOCK],MATCH(Tabla_control[[#This Row],[LOTE]],Tabla_imprenta[LOTE],0)),"ENTREGADO")</f>
        <v>1.9975861606544187</v>
      </c>
      <c r="K42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46155</v>
      </c>
      <c r="L420" s="148">
        <f>INDEX(Tabla_imprenta[FECHA CAJA],MATCH(Tabla_control[[#This Row],[LOTE]],Tabla_imprenta[LOTE],0))</f>
        <v>46154</v>
      </c>
      <c r="M42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42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42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51</v>
      </c>
      <c r="P420" s="170">
        <f>ROUNDUP(Tabla_control[[#This Row],[CANTIDAD IMPRIMIR]]/Tabla_control[[#This Row],[N TJ]],0)</f>
        <v>1667</v>
      </c>
      <c r="Q420" s="170">
        <f>IF(Tabla_control[[#This Row],[CANTIDAD TIRAJE]]&gt;10000,Tabla_control[[#This Row],[CANTIDAD TIRAJE]],Tabla_control[[#This Row],[CANTIDAD TIRAJE]]*2)</f>
        <v>3334</v>
      </c>
      <c r="R420" s="186" t="s">
        <v>176</v>
      </c>
      <c r="S420" s="4" t="s">
        <v>30</v>
      </c>
      <c r="T420" s="4"/>
      <c r="U420" s="4"/>
      <c r="V420" s="4"/>
      <c r="W420" s="185" t="s">
        <v>3223</v>
      </c>
      <c r="X420" s="185"/>
      <c r="Y420" s="185"/>
      <c r="Z420" s="185"/>
      <c r="AA420" s="186" t="s">
        <v>2031</v>
      </c>
      <c r="AB420" s="184" t="s">
        <v>3222</v>
      </c>
    </row>
    <row r="421" spans="1:28" x14ac:dyDescent="0.2">
      <c r="A421" s="175">
        <f>IF(COUNTIF(Tabla_imprenta[LOTE],Tabla_control[[#This Row],[LOTE]])=1,INDEX(Tabla_imprenta[FECHA EMISIÓN],MATCH(Tabla_control[[#This Row],[LOTE]],Tabla_imprenta[LOTE],0)),"REALIZADO")</f>
        <v>46143</v>
      </c>
      <c r="B421" s="142">
        <f>IF(COUNTIF(Tabla_imprenta[LOTE],Tabla_control[[#This Row],[LOTE]])=1,INDEX(Tabla_imprenta[CÓD. SOLICITUD],MATCH(Tabla_control[[#This Row],[LOTE]],Tabla_imprenta[LOTE],0)),"REALIZADO")</f>
        <v>0</v>
      </c>
      <c r="C421" s="178" t="str">
        <f>IF(COUNTIF(Tabla_imprenta[LOTE],Tabla_control[[#This Row],[LOTE]])=1,INDEX(Tabla_imprenta[PRODUCTO],MATCH(Tabla_control[[#This Row],[LOTE]],Tabla_imprenta[LOTE],0)),"REALIZADO")</f>
        <v>DICLOFENACO 1% X 30 G GEL</v>
      </c>
      <c r="D421" s="142" t="str">
        <f>IF(COUNTIF(Tabla_imprenta[LOTE],Tabla_control[[#This Row],[LOTE]])=1,INDEX(Tabla_imprenta[FORMA FARMACEUTICA],MATCH(Tabla_control[[#This Row],[LOTE]],Tabla_imprenta[LOTE],0)),"REALIZADO")</f>
        <v>GEL</v>
      </c>
      <c r="E421" s="177" t="str">
        <f>IF(COUNTIF(Tabla_imprenta[LOTE],Tabla_control[[#This Row],[LOTE]])=1,INDEX(Tabla_imprenta[INSTITUCIÓN],MATCH(Tabla_control[[#This Row],[LOTE]],Tabla_imprenta[LOTE],0)),"REALIZADO")</f>
        <v>COMERCIO</v>
      </c>
      <c r="F421" s="229" t="s">
        <v>5417</v>
      </c>
      <c r="G421" s="139">
        <f>IF(COUNTIF(Tabla_imprenta[LOTE],Tabla_control[[#This Row],[LOTE]])=1,INDEX(Tabla_imprenta[CANTIDAD ENVASE SECUNDARIO],MATCH(Tabla_control[[#This Row],[LOTE]],Tabla_imprenta[LOTE],0)),"ENTREGADO")</f>
        <v>15300</v>
      </c>
      <c r="H421" s="139">
        <f>IF(COUNTIF(Tabla_imprenta[LOTE],Tabla_control[[#This Row],[LOTE]])=1,INDEX(Tabla_imprenta[stock sap],MATCH(Tabla_control[[#This Row],[LOTE]],Tabla_imprenta[LOTE],0)),"ENTREGADO")</f>
        <v>3340</v>
      </c>
      <c r="I421" s="139" t="str">
        <f>IF(Tabla_control[[#This Row],[STOCK SAP]]&gt;Tabla_control[[#This Row],[CANTIDAD IMPRIMIR]],"cubre","no cubre")</f>
        <v>no cubre</v>
      </c>
      <c r="J421" s="182">
        <f>IF(COUNTIF(Tabla_imprenta[LOTE],Tabla_control[[#This Row],[LOTE]])=1,INDEX(Tabla_imprenta[STOCK],MATCH(Tabla_control[[#This Row],[LOTE]],Tabla_imprenta[LOTE],0)),"ENTREGADO")</f>
        <v>0.39788184998056741</v>
      </c>
      <c r="K42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46156</v>
      </c>
      <c r="L421" s="148">
        <f>INDEX(Tabla_imprenta[FECHA CAJA],MATCH(Tabla_control[[#This Row],[LOTE]],Tabla_imprenta[LOTE],0))</f>
        <v>46156</v>
      </c>
      <c r="M42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2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2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421" s="170">
        <f>ROUNDUP(Tabla_control[[#This Row],[CANTIDAD IMPRIMIR]]/Tabla_control[[#This Row],[N TJ]],0)</f>
        <v>3825</v>
      </c>
      <c r="Q421" s="170">
        <f>IF(Tabla_control[[#This Row],[CANTIDAD TIRAJE]]&gt;10000,Tabla_control[[#This Row],[CANTIDAD TIRAJE]],Tabla_control[[#This Row],[CANTIDAD TIRAJE]]*2)</f>
        <v>7650</v>
      </c>
      <c r="R421" s="186" t="s">
        <v>172</v>
      </c>
      <c r="S421" s="4" t="s">
        <v>30</v>
      </c>
      <c r="T421" s="4"/>
      <c r="U421" s="4"/>
      <c r="V421" s="4"/>
      <c r="W421" s="185" t="s">
        <v>22</v>
      </c>
      <c r="X421" s="185"/>
      <c r="Y421" s="185"/>
      <c r="Z421" s="185"/>
      <c r="AA421" s="186" t="s">
        <v>171</v>
      </c>
      <c r="AB421" s="184" t="s">
        <v>4464</v>
      </c>
    </row>
    <row r="422" spans="1:28" hidden="1" x14ac:dyDescent="0.2">
      <c r="A422" s="175">
        <f>IF(COUNTIF(Tabla_imprenta[LOTE],Tabla_control[[#This Row],[LOTE]])=1,INDEX(Tabla_imprenta[FECHA EMISIÓN],MATCH(Tabla_control[[#This Row],[LOTE]],Tabla_imprenta[LOTE],0)),"REALIZADO")</f>
        <v>46055</v>
      </c>
      <c r="B422" s="142">
        <f>IF(COUNTIF(Tabla_imprenta[LOTE],Tabla_control[[#This Row],[LOTE]])=1,INDEX(Tabla_imprenta[CÓD. SOLICITUD],MATCH(Tabla_control[[#This Row],[LOTE]],Tabla_imprenta[LOTE],0)),"REALIZADO")</f>
        <v>0</v>
      </c>
      <c r="C422" s="177" t="str">
        <f>IF(COUNTIF(Tabla_imprenta[LOTE],Tabla_control[[#This Row],[LOTE]])=1,INDEX(Tabla_imprenta[PRODUCTO],MATCH(Tabla_control[[#This Row],[LOTE]],Tabla_imprenta[LOTE],0)),"REALIZADO")</f>
        <v>GLUCONATO DE CALCIO 10% X 10 AMP. SOLUCION INY.</v>
      </c>
      <c r="D422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22" s="177" t="str">
        <f>IF(COUNTIF(Tabla_imprenta[LOTE],Tabla_control[[#This Row],[LOTE]])=1,INDEX(Tabla_imprenta[INSTITUCIÓN],MATCH(Tabla_control[[#This Row],[LOTE]],Tabla_imprenta[LOTE],0)),"REALIZADO")</f>
        <v>COMERCIO</v>
      </c>
      <c r="F422" s="180" t="s">
        <v>2181</v>
      </c>
      <c r="G422" s="139">
        <f>IF(COUNTIF(Tabla_imprenta[LOTE],Tabla_control[[#This Row],[LOTE]])=1,INDEX(Tabla_imprenta[CANTIDAD ENVASE SECUNDARIO],MATCH(Tabla_control[[#This Row],[LOTE]],Tabla_imprenta[LOTE],0)),"ENTREGADO")</f>
        <v>1800</v>
      </c>
      <c r="H422" s="139">
        <f>IF(COUNTIF(Tabla_imprenta[LOTE],Tabla_control[[#This Row],[LOTE]])=1,INDEX(Tabla_imprenta[stock sap],MATCH(Tabla_control[[#This Row],[LOTE]],Tabla_imprenta[LOTE],0)),"ENTREGADO")</f>
        <v>1720</v>
      </c>
      <c r="I422" s="139" t="str">
        <f>IF(Tabla_control[[#This Row],[STOCK SAP]]&gt;Tabla_control[[#This Row],[CANTIDAD IMPRIMIR]],"cubre","no cubre")</f>
        <v>no cubre</v>
      </c>
      <c r="J422" s="7">
        <f>IF(COUNTIF(Tabla_imprenta[LOTE],Tabla_control[[#This Row],[LOTE]])=1,INDEX(Tabla_imprenta[STOCK],MATCH(Tabla_control[[#This Row],[LOTE]],Tabla_imprenta[LOTE],0)),"ENTREGADO")</f>
        <v>0.88060832673790668</v>
      </c>
      <c r="K42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46175</v>
      </c>
      <c r="L422" s="148" t="str">
        <f>INDEX(Tabla_imprenta[FECHA CAJA],MATCH(Tabla_control[[#This Row],[LOTE]],Tabla_imprenta[LOTE],0))</f>
        <v>ENTREGADO</v>
      </c>
      <c r="M42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2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2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</v>
      </c>
      <c r="P422" s="169">
        <f>ROUNDUP(Tabla_control[[#This Row],[CANTIDAD IMPRIMIR]]/Tabla_control[[#This Row],[N TJ]],0)</f>
        <v>900</v>
      </c>
      <c r="Q422" s="169">
        <f>IF(Tabla_control[[#This Row],[CANTIDAD TIRAJE]]&gt;10000,Tabla_control[[#This Row],[CANTIDAD TIRAJE]],Tabla_control[[#This Row],[CANTIDAD TIRAJE]]*2)</f>
        <v>1800</v>
      </c>
      <c r="R422" s="4" t="s">
        <v>172</v>
      </c>
      <c r="S422" s="4" t="s">
        <v>31</v>
      </c>
      <c r="T422" s="4"/>
      <c r="U422" s="4"/>
      <c r="V422" s="4"/>
      <c r="W422" s="138" t="s">
        <v>3223</v>
      </c>
      <c r="X422" s="138"/>
      <c r="Y422" s="138"/>
      <c r="Z422" s="138"/>
      <c r="AA422" s="4" t="s">
        <v>2982</v>
      </c>
      <c r="AB422" s="184" t="s">
        <v>2028</v>
      </c>
    </row>
    <row r="423" spans="1:28" x14ac:dyDescent="0.2">
      <c r="A423" s="175">
        <f>IF(COUNTIF(Tabla_imprenta[LOTE],Tabla_control[[#This Row],[LOTE]])=1,INDEX(Tabla_imprenta[FECHA EMISIÓN],MATCH(Tabla_control[[#This Row],[LOTE]],Tabla_imprenta[LOTE],0)),"REALIZADO")</f>
        <v>46113</v>
      </c>
      <c r="B423" s="142">
        <f>IF(COUNTIF(Tabla_imprenta[LOTE],Tabla_control[[#This Row],[LOTE]])=1,INDEX(Tabla_imprenta[CÓD. SOLICITUD],MATCH(Tabla_control[[#This Row],[LOTE]],Tabla_imprenta[LOTE],0)),"REALIZADO")</f>
        <v>0</v>
      </c>
      <c r="C423" s="177" t="str">
        <f>IF(COUNTIF(Tabla_imprenta[LOTE],Tabla_control[[#This Row],[LOTE]])=1,INDEX(Tabla_imprenta[PRODUCTO],MATCH(Tabla_control[[#This Row],[LOTE]],Tabla_imprenta[LOTE],0)),"REALIZADO")</f>
        <v>DICLOFENACO 75 MG X 25 AMP. SOLUCION INY.</v>
      </c>
      <c r="D423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23" s="177" t="str">
        <f>IF(COUNTIF(Tabla_imprenta[LOTE],Tabla_control[[#This Row],[LOTE]])=1,INDEX(Tabla_imprenta[INSTITUCIÓN],MATCH(Tabla_control[[#This Row],[LOTE]],Tabla_imprenta[LOTE],0)),"REALIZADO")</f>
        <v>COMERCIO</v>
      </c>
      <c r="F423" s="181" t="s">
        <v>3221</v>
      </c>
      <c r="G423" s="139">
        <f>IF(COUNTIF(Tabla_imprenta[LOTE],Tabla_control[[#This Row],[LOTE]])=1,INDEX(Tabla_imprenta[CANTIDAD ENVASE SECUNDARIO],MATCH(Tabla_control[[#This Row],[LOTE]],Tabla_imprenta[LOTE],0)),"ENTREGADO")</f>
        <v>2320</v>
      </c>
      <c r="H423" s="139">
        <f>IF(COUNTIF(Tabla_imprenta[LOTE],Tabla_control[[#This Row],[LOTE]])=1,INDEX(Tabla_imprenta[stock sap],MATCH(Tabla_control[[#This Row],[LOTE]],Tabla_imprenta[LOTE],0)),"ENTREGADO")</f>
        <v>1480</v>
      </c>
      <c r="I423" s="139" t="str">
        <f>IF(Tabla_control[[#This Row],[STOCK SAP]]&gt;Tabla_control[[#This Row],[CANTIDAD IMPRIMIR]],"cubre","no cubre")</f>
        <v>no cubre</v>
      </c>
      <c r="J423" s="182">
        <f>IF(COUNTIF(Tabla_imprenta[LOTE],Tabla_control[[#This Row],[LOTE]])=1,INDEX(Tabla_imprenta[STOCK],MATCH(Tabla_control[[#This Row],[LOTE]],Tabla_imprenta[LOTE],0)),"ENTREGADO")</f>
        <v>1.3134302239785411</v>
      </c>
      <c r="K42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46156</v>
      </c>
      <c r="L423" s="148">
        <f>INDEX(Tabla_imprenta[FECHA CAJA],MATCH(Tabla_control[[#This Row],[LOTE]],Tabla_imprenta[LOTE],0))</f>
        <v>46156</v>
      </c>
      <c r="M42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2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2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18</v>
      </c>
      <c r="P423" s="170">
        <f>ROUNDUP(Tabla_control[[#This Row],[CANTIDAD IMPRIMIR]]/Tabla_control[[#This Row],[N TJ]],0)</f>
        <v>2320</v>
      </c>
      <c r="Q423" s="170">
        <f>IF(Tabla_control[[#This Row],[CANTIDAD TIRAJE]]&gt;10000,Tabla_control[[#This Row],[CANTIDAD TIRAJE]],Tabla_control[[#This Row],[CANTIDAD TIRAJE]]*2)</f>
        <v>4640</v>
      </c>
      <c r="R423" s="186" t="s">
        <v>172</v>
      </c>
      <c r="S423" s="4" t="s">
        <v>30</v>
      </c>
      <c r="T423" s="4"/>
      <c r="U423" s="4"/>
      <c r="V423" s="4"/>
      <c r="W423" s="185" t="s">
        <v>3238</v>
      </c>
      <c r="X423" s="185"/>
      <c r="Y423" s="185"/>
      <c r="Z423" s="185"/>
      <c r="AA423" s="186" t="s">
        <v>171</v>
      </c>
      <c r="AB423" s="184" t="s">
        <v>3222</v>
      </c>
    </row>
    <row r="424" spans="1:28" hidden="1" x14ac:dyDescent="0.2">
      <c r="A424" s="175">
        <f>IF(COUNTIF(Tabla_imprenta[LOTE],Tabla_control[[#This Row],[LOTE]])=1,INDEX(Tabla_imprenta[FECHA EMISIÓN],MATCH(Tabla_control[[#This Row],[LOTE]],Tabla_imprenta[LOTE],0)),"REALIZADO")</f>
        <v>46113</v>
      </c>
      <c r="B424" s="142">
        <f>IF(COUNTIF(Tabla_imprenta[LOTE],Tabla_control[[#This Row],[LOTE]])=1,INDEX(Tabla_imprenta[CÓD. SOLICITUD],MATCH(Tabla_control[[#This Row],[LOTE]],Tabla_imprenta[LOTE],0)),"REALIZADO")</f>
        <v>0</v>
      </c>
      <c r="C424" s="177" t="str">
        <f>IF(COUNTIF(Tabla_imprenta[LOTE],Tabla_control[[#This Row],[LOTE]])=1,INDEX(Tabla_imprenta[PRODUCTO],MATCH(Tabla_control[[#This Row],[LOTE]],Tabla_imprenta[LOTE],0)),"REALIZADO")</f>
        <v>E.P.T. NF X 1 VIAL SOLUCION INY.</v>
      </c>
      <c r="D424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24" s="177" t="str">
        <f>IF(COUNTIF(Tabla_imprenta[LOTE],Tabla_control[[#This Row],[LOTE]])=1,INDEX(Tabla_imprenta[INSTITUCIÓN],MATCH(Tabla_control[[#This Row],[LOTE]],Tabla_imprenta[LOTE],0)),"REALIZADO")</f>
        <v>COMERCIO</v>
      </c>
      <c r="F424" s="181" t="s">
        <v>3042</v>
      </c>
      <c r="G424" s="139">
        <f>IF(COUNTIF(Tabla_imprenta[LOTE],Tabla_control[[#This Row],[LOTE]])=1,INDEX(Tabla_imprenta[CANTIDAD ENVASE SECUNDARIO],MATCH(Tabla_control[[#This Row],[LOTE]],Tabla_imprenta[LOTE],0)),"ENTREGADO")</f>
        <v>150</v>
      </c>
      <c r="H424" s="139">
        <f>IF(COUNTIF(Tabla_imprenta[LOTE],Tabla_control[[#This Row],[LOTE]])=1,INDEX(Tabla_imprenta[stock sap],MATCH(Tabla_control[[#This Row],[LOTE]],Tabla_imprenta[LOTE],0)),"ENTREGADO")</f>
        <v>1031</v>
      </c>
      <c r="I424" s="139" t="str">
        <f>IF(Tabla_control[[#This Row],[STOCK SAP]]&gt;Tabla_control[[#This Row],[CANTIDAD IMPRIMIR]],"cubre","no cubre")</f>
        <v>cubre</v>
      </c>
      <c r="J424" s="182">
        <f>IF(COUNTIF(Tabla_imprenta[LOTE],Tabla_control[[#This Row],[LOTE]])=1,INDEX(Tabla_imprenta[STOCK],MATCH(Tabla_control[[#This Row],[LOTE]],Tabla_imprenta[LOTE],0)),"ENTREGADO")</f>
        <v>0</v>
      </c>
      <c r="K42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46150</v>
      </c>
      <c r="L424" s="148" t="str">
        <f>INDEX(Tabla_imprenta[FECHA CAJA],MATCH(Tabla_control[[#This Row],[LOTE]],Tabla_imprenta[LOTE],0))</f>
        <v>ENTREGADO</v>
      </c>
      <c r="M42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42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42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22</v>
      </c>
      <c r="P424" s="169">
        <f>ROUNDUP(Tabla_control[[#This Row],[CANTIDAD IMPRIMIR]]/Tabla_control[[#This Row],[N TJ]],0)</f>
        <v>25</v>
      </c>
      <c r="Q424" s="169">
        <f>IF(Tabla_control[[#This Row],[CANTIDAD TIRAJE]]&gt;10000,Tabla_control[[#This Row],[CANTIDAD TIRAJE]],Tabla_control[[#This Row],[CANTIDAD TIRAJE]]*2)</f>
        <v>50</v>
      </c>
      <c r="R424" s="186" t="s">
        <v>173</v>
      </c>
      <c r="S424" s="4" t="s">
        <v>174</v>
      </c>
      <c r="T424" s="4"/>
      <c r="U424" s="4"/>
      <c r="V424" s="4"/>
      <c r="W424" s="187" t="s">
        <v>3223</v>
      </c>
      <c r="X424" s="187"/>
      <c r="Y424" s="187"/>
      <c r="Z424" s="187"/>
      <c r="AA424" s="186" t="s">
        <v>321</v>
      </c>
      <c r="AB424" s="184" t="s">
        <v>2028</v>
      </c>
    </row>
    <row r="425" spans="1:28" hidden="1" x14ac:dyDescent="0.2">
      <c r="A425" s="175">
        <f>IF(COUNTIF(Tabla_imprenta[LOTE],Tabla_control[[#This Row],[LOTE]])=1,INDEX(Tabla_imprenta[FECHA EMISIÓN],MATCH(Tabla_control[[#This Row],[LOTE]],Tabla_imprenta[LOTE],0)),"REALIZADO")</f>
        <v>46113</v>
      </c>
      <c r="B425" s="142">
        <f>IF(COUNTIF(Tabla_imprenta[LOTE],Tabla_control[[#This Row],[LOTE]])=1,INDEX(Tabla_imprenta[CÓD. SOLICITUD],MATCH(Tabla_control[[#This Row],[LOTE]],Tabla_imprenta[LOTE],0)),"REALIZADO")</f>
        <v>0</v>
      </c>
      <c r="C425" s="177" t="str">
        <f>IF(COUNTIF(Tabla_imprenta[LOTE],Tabla_control[[#This Row],[LOTE]])=1,INDEX(Tabla_imprenta[PRODUCTO],MATCH(Tabla_control[[#This Row],[LOTE]],Tabla_imprenta[LOTE],0)),"REALIZADO")</f>
        <v>MEBENDAZOL 100 MG X 30 ML SUSP.</v>
      </c>
      <c r="D425" s="142" t="str">
        <f>IF(COUNTIF(Tabla_imprenta[LOTE],Tabla_control[[#This Row],[LOTE]])=1,INDEX(Tabla_imprenta[FORMA FARMACEUTICA],MATCH(Tabla_control[[#This Row],[LOTE]],Tabla_imprenta[LOTE],0)),"REALIZADO")</f>
        <v>SUSPENSIÓN</v>
      </c>
      <c r="E425" s="177" t="str">
        <f>IF(COUNTIF(Tabla_imprenta[LOTE],Tabla_control[[#This Row],[LOTE]])=1,INDEX(Tabla_imprenta[INSTITUCIÓN],MATCH(Tabla_control[[#This Row],[LOTE]],Tabla_imprenta[LOTE],0)),"REALIZADO")</f>
        <v>COMERCIO</v>
      </c>
      <c r="F425" s="181" t="s">
        <v>3046</v>
      </c>
      <c r="G425" s="139">
        <f>IF(COUNTIF(Tabla_imprenta[LOTE],Tabla_control[[#This Row],[LOTE]])=1,INDEX(Tabla_imprenta[CANTIDAD ENVASE SECUNDARIO],MATCH(Tabla_control[[#This Row],[LOTE]],Tabla_imprenta[LOTE],0)),"ENTREGADO")</f>
        <v>14063</v>
      </c>
      <c r="H425" s="139">
        <f>IF(COUNTIF(Tabla_imprenta[LOTE],Tabla_control[[#This Row],[LOTE]])=1,INDEX(Tabla_imprenta[stock sap],MATCH(Tabla_control[[#This Row],[LOTE]],Tabla_imprenta[LOTE],0)),"ENTREGADO")</f>
        <v>10185</v>
      </c>
      <c r="I425" s="139" t="str">
        <f>IF(Tabla_control[[#This Row],[STOCK SAP]]&gt;Tabla_control[[#This Row],[CANTIDAD IMPRIMIR]],"cubre","no cubre")</f>
        <v>no cubre</v>
      </c>
      <c r="J425" s="182">
        <f>IF(COUNTIF(Tabla_imprenta[LOTE],Tabla_control[[#This Row],[LOTE]])=1,INDEX(Tabla_imprenta[STOCK],MATCH(Tabla_control[[#This Row],[LOTE]],Tabla_imprenta[LOTE],0)),"ENTREGADO")</f>
        <v>1.5522363063525126</v>
      </c>
      <c r="K42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46156</v>
      </c>
      <c r="L425" s="148">
        <f>INDEX(Tabla_imprenta[FECHA CAJA],MATCH(Tabla_control[[#This Row],[LOTE]],Tabla_imprenta[LOTE],0))</f>
        <v>46156</v>
      </c>
      <c r="M42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2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2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122</v>
      </c>
      <c r="P425" s="170">
        <f>ROUNDUP(Tabla_control[[#This Row],[CANTIDAD IMPRIMIR]]/Tabla_control[[#This Row],[N TJ]],0)</f>
        <v>3516</v>
      </c>
      <c r="Q425" s="170">
        <f>IF(Tabla_control[[#This Row],[CANTIDAD TIRAJE]]&gt;10000,Tabla_control[[#This Row],[CANTIDAD TIRAJE]],Tabla_control[[#This Row],[CANTIDAD TIRAJE]]*2)</f>
        <v>7032</v>
      </c>
      <c r="R425" s="186" t="s">
        <v>172</v>
      </c>
      <c r="S425" s="4" t="s">
        <v>30</v>
      </c>
      <c r="T425" s="4"/>
      <c r="U425" s="4"/>
      <c r="V425" s="4"/>
      <c r="W425" s="185" t="s">
        <v>3238</v>
      </c>
      <c r="X425" s="185"/>
      <c r="Y425" s="185"/>
      <c r="Z425" s="185"/>
      <c r="AA425" s="186" t="s">
        <v>2031</v>
      </c>
      <c r="AB425" s="184" t="s">
        <v>3222</v>
      </c>
    </row>
    <row r="426" spans="1:28" hidden="1" x14ac:dyDescent="0.2">
      <c r="A426" s="175">
        <f>IF(COUNTIF(Tabla_imprenta[LOTE],Tabla_control[[#This Row],[LOTE]])=1,INDEX(Tabla_imprenta[FECHA EMISIÓN],MATCH(Tabla_control[[#This Row],[LOTE]],Tabla_imprenta[LOTE],0)),"REALIZADO")</f>
        <v>46113</v>
      </c>
      <c r="B426" s="142">
        <f>IF(COUNTIF(Tabla_imprenta[LOTE],Tabla_control[[#This Row],[LOTE]])=1,INDEX(Tabla_imprenta[CÓD. SOLICITUD],MATCH(Tabla_control[[#This Row],[LOTE]],Tabla_imprenta[LOTE],0)),"REALIZADO")</f>
        <v>0</v>
      </c>
      <c r="C426" s="177" t="str">
        <f>IF(COUNTIF(Tabla_imprenta[LOTE],Tabla_control[[#This Row],[LOTE]])=1,INDEX(Tabla_imprenta[PRODUCTO],MATCH(Tabla_control[[#This Row],[LOTE]],Tabla_imprenta[LOTE],0)),"REALIZADO")</f>
        <v>DUFORAX PLUS X 50 G CREMA VAGINAL</v>
      </c>
      <c r="D426" s="142" t="str">
        <f>IF(COUNTIF(Tabla_imprenta[LOTE],Tabla_control[[#This Row],[LOTE]])=1,INDEX(Tabla_imprenta[FORMA FARMACEUTICA],MATCH(Tabla_control[[#This Row],[LOTE]],Tabla_imprenta[LOTE],0)),"REALIZADO")</f>
        <v>CREMA VAGINAL</v>
      </c>
      <c r="E426" s="177" t="str">
        <f>IF(COUNTIF(Tabla_imprenta[LOTE],Tabla_control[[#This Row],[LOTE]])=1,INDEX(Tabla_imprenta[INSTITUCIÓN],MATCH(Tabla_control[[#This Row],[LOTE]],Tabla_imprenta[LOTE],0)),"REALIZADO")</f>
        <v>COMERCIO</v>
      </c>
      <c r="F426" s="181" t="s">
        <v>3150</v>
      </c>
      <c r="G426" s="139">
        <f>IF(COUNTIF(Tabla_imprenta[LOTE],Tabla_control[[#This Row],[LOTE]])=1,INDEX(Tabla_imprenta[CANTIDAD ENVASE SECUNDARIO],MATCH(Tabla_control[[#This Row],[LOTE]],Tabla_imprenta[LOTE],0)),"ENTREGADO")</f>
        <v>2000</v>
      </c>
      <c r="H426" s="139">
        <f>IF(COUNTIF(Tabla_imprenta[LOTE],Tabla_control[[#This Row],[LOTE]])=1,INDEX(Tabla_imprenta[stock sap],MATCH(Tabla_control[[#This Row],[LOTE]],Tabla_imprenta[LOTE],0)),"ENTREGADO")</f>
        <v>100</v>
      </c>
      <c r="I426" s="139" t="str">
        <f>IF(Tabla_control[[#This Row],[STOCK SAP]]&gt;Tabla_control[[#This Row],[CANTIDAD IMPRIMIR]],"cubre","no cubre")</f>
        <v>no cubre</v>
      </c>
      <c r="J426" s="182">
        <f>IF(COUNTIF(Tabla_imprenta[LOTE],Tabla_control[[#This Row],[LOTE]])=1,INDEX(Tabla_imprenta[STOCK],MATCH(Tabla_control[[#This Row],[LOTE]],Tabla_imprenta[LOTE],0)),"ENTREGADO")</f>
        <v>1.2767641239832932</v>
      </c>
      <c r="K42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46150</v>
      </c>
      <c r="L426" s="148" t="str">
        <f>INDEX(Tabla_imprenta[FECHA CAJA],MATCH(Tabla_control[[#This Row],[LOTE]],Tabla_imprenta[LOTE],0))</f>
        <v>ENTREGADO</v>
      </c>
      <c r="M42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42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2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49</v>
      </c>
      <c r="P426" s="170">
        <f>ROUNDUP(Tabla_control[[#This Row],[CANTIDAD IMPRIMIR]]/Tabla_control[[#This Row],[N TJ]],0)</f>
        <v>2000</v>
      </c>
      <c r="Q426" s="170">
        <f>IF(Tabla_control[[#This Row],[CANTIDAD TIRAJE]]&gt;10000,Tabla_control[[#This Row],[CANTIDAD TIRAJE]],Tabla_control[[#This Row],[CANTIDAD TIRAJE]]*2)</f>
        <v>4000</v>
      </c>
      <c r="R426" s="186" t="s">
        <v>175</v>
      </c>
      <c r="S426" s="4" t="s">
        <v>174</v>
      </c>
      <c r="T426" s="4"/>
      <c r="U426" s="4"/>
      <c r="V426" s="4"/>
      <c r="W426" s="187" t="s">
        <v>3223</v>
      </c>
      <c r="X426" s="187"/>
      <c r="Y426" s="187"/>
      <c r="Z426" s="187"/>
      <c r="AA426" s="186" t="s">
        <v>321</v>
      </c>
      <c r="AB426" s="184" t="s">
        <v>2028</v>
      </c>
    </row>
    <row r="427" spans="1:28" hidden="1" x14ac:dyDescent="0.2">
      <c r="A427" s="175">
        <f>IF(COUNTIF(Tabla_imprenta[LOTE],Tabla_control[[#This Row],[LOTE]])=1,INDEX(Tabla_imprenta[FECHA EMISIÓN],MATCH(Tabla_control[[#This Row],[LOTE]],Tabla_imprenta[LOTE],0)),"REALIZADO")</f>
        <v>46143</v>
      </c>
      <c r="B427" s="142">
        <f>IF(COUNTIF(Tabla_imprenta[LOTE],Tabla_control[[#This Row],[LOTE]])=1,INDEX(Tabla_imprenta[CÓD. SOLICITUD],MATCH(Tabla_control[[#This Row],[LOTE]],Tabla_imprenta[LOTE],0)),"REALIZADO")</f>
        <v>0</v>
      </c>
      <c r="C427" s="177" t="str">
        <f>IF(COUNTIF(Tabla_imprenta[LOTE],Tabla_control[[#This Row],[LOTE]])=1,INDEX(Tabla_imprenta[PRODUCTO],MATCH(Tabla_control[[#This Row],[LOTE]],Tabla_imprenta[LOTE],0)),"REALIZADO")</f>
        <v>AMOXICILINA 500 MG X 60 ML POLVO PARA SUSP.</v>
      </c>
      <c r="D427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427" s="177" t="str">
        <f>IF(COUNTIF(Tabla_imprenta[LOTE],Tabla_control[[#This Row],[LOTE]])=1,INDEX(Tabla_imprenta[INSTITUCIÓN],MATCH(Tabla_control[[#This Row],[LOTE]],Tabla_imprenta[LOTE],0)),"REALIZADO")</f>
        <v>COMERCIO</v>
      </c>
      <c r="F427" s="229" t="s">
        <v>5354</v>
      </c>
      <c r="G427" s="139">
        <f>IF(COUNTIF(Tabla_imprenta[LOTE],Tabla_control[[#This Row],[LOTE]])=1,INDEX(Tabla_imprenta[CANTIDAD ENVASE SECUNDARIO],MATCH(Tabla_control[[#This Row],[LOTE]],Tabla_imprenta[LOTE],0)),"ENTREGADO")</f>
        <v>24000</v>
      </c>
      <c r="H427" s="139">
        <f>IF(COUNTIF(Tabla_imprenta[LOTE],Tabla_control[[#This Row],[LOTE]])=1,INDEX(Tabla_imprenta[stock sap],MATCH(Tabla_control[[#This Row],[LOTE]],Tabla_imprenta[LOTE],0)),"ENTREGADO")</f>
        <v>1593</v>
      </c>
      <c r="I427" s="139" t="str">
        <f>IF(Tabla_control[[#This Row],[STOCK SAP]]&gt;Tabla_control[[#This Row],[CANTIDAD IMPRIMIR]],"cubre","no cubre")</f>
        <v>no cubre</v>
      </c>
      <c r="J427" s="182">
        <f>IF(COUNTIF(Tabla_imprenta[LOTE],Tabla_control[[#This Row],[LOTE]])=1,INDEX(Tabla_imprenta[STOCK],MATCH(Tabla_control[[#This Row],[LOTE]],Tabla_imprenta[LOTE],0)),"ENTREGADO")</f>
        <v>4.0707319864516398</v>
      </c>
      <c r="K42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46156</v>
      </c>
      <c r="L427" s="148">
        <f>INDEX(Tabla_imprenta[FECHA CAJA],MATCH(Tabla_control[[#This Row],[LOTE]],Tabla_imprenta[LOTE],0))</f>
        <v>46156</v>
      </c>
      <c r="M42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2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2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</v>
      </c>
      <c r="P427" s="170">
        <f>ROUNDUP(Tabla_control[[#This Row],[CANTIDAD IMPRIMIR]]/Tabla_control[[#This Row],[N TJ]],0)</f>
        <v>6000</v>
      </c>
      <c r="Q427" s="170">
        <f>IF(Tabla_control[[#This Row],[CANTIDAD TIRAJE]]&gt;10000,Tabla_control[[#This Row],[CANTIDAD TIRAJE]],Tabla_control[[#This Row],[CANTIDAD TIRAJE]]*2)</f>
        <v>12000</v>
      </c>
      <c r="R427" s="186" t="s">
        <v>172</v>
      </c>
      <c r="S427" s="4" t="s">
        <v>31</v>
      </c>
      <c r="T427" s="4"/>
      <c r="U427" s="4"/>
      <c r="V427" s="4"/>
      <c r="W427" s="185" t="s">
        <v>3223</v>
      </c>
      <c r="X427" s="185"/>
      <c r="Y427" s="185"/>
      <c r="Z427" s="185"/>
      <c r="AA427" s="186" t="s">
        <v>2031</v>
      </c>
      <c r="AB427" s="184" t="s">
        <v>4464</v>
      </c>
    </row>
    <row r="428" spans="1:28" hidden="1" x14ac:dyDescent="0.2">
      <c r="A428" s="175">
        <f>IF(COUNTIF(Tabla_imprenta[LOTE],Tabla_control[[#This Row],[LOTE]])=1,INDEX(Tabla_imprenta[FECHA EMISIÓN],MATCH(Tabla_control[[#This Row],[LOTE]],Tabla_imprenta[LOTE],0)),"REALIZADO")</f>
        <v>46121</v>
      </c>
      <c r="B428" s="142">
        <f>IF(COUNTIF(Tabla_imprenta[LOTE],Tabla_control[[#This Row],[LOTE]])=1,INDEX(Tabla_imprenta[CÓD. SOLICITUD],MATCH(Tabla_control[[#This Row],[LOTE]],Tabla_imprenta[LOTE],0)),"REALIZADO")</f>
        <v>0</v>
      </c>
      <c r="C428" s="177" t="str">
        <f>IF(COUNTIF(Tabla_imprenta[LOTE],Tabla_control[[#This Row],[LOTE]])=1,INDEX(Tabla_imprenta[PRODUCTO],MATCH(Tabla_control[[#This Row],[LOTE]],Tabla_imprenta[LOTE],0)),"REALIZADO")</f>
        <v>REPAHIL X 10 SOBRES POLVO GRANULADO</v>
      </c>
      <c r="D428" s="142" t="str">
        <f>IF(COUNTIF(Tabla_imprenta[LOTE],Tabla_control[[#This Row],[LOTE]])=1,INDEX(Tabla_imprenta[FORMA FARMACEUTICA],MATCH(Tabla_control[[#This Row],[LOTE]],Tabla_imprenta[LOTE],0)),"REALIZADO")</f>
        <v>POLVO GRANULADO</v>
      </c>
      <c r="E428" s="177" t="str">
        <f>IF(COUNTIF(Tabla_imprenta[LOTE],Tabla_control[[#This Row],[LOTE]])=1,INDEX(Tabla_imprenta[INSTITUCIÓN],MATCH(Tabla_control[[#This Row],[LOTE]],Tabla_imprenta[LOTE],0)),"REALIZADO")</f>
        <v>COMERCIO</v>
      </c>
      <c r="F428" s="181" t="s">
        <v>3264</v>
      </c>
      <c r="G428" s="139">
        <f>IF(COUNTIF(Tabla_imprenta[LOTE],Tabla_control[[#This Row],[LOTE]])=1,INDEX(Tabla_imprenta[CANTIDAD ENVASE SECUNDARIO],MATCH(Tabla_control[[#This Row],[LOTE]],Tabla_imprenta[LOTE],0)),"ENTREGADO")</f>
        <v>2700</v>
      </c>
      <c r="H428" s="139">
        <f>IF(COUNTIF(Tabla_imprenta[LOTE],Tabla_control[[#This Row],[LOTE]])=1,INDEX(Tabla_imprenta[stock sap],MATCH(Tabla_control[[#This Row],[LOTE]],Tabla_imprenta[LOTE],0)),"ENTREGADO")</f>
        <v>4556</v>
      </c>
      <c r="I428" s="139" t="str">
        <f>IF(Tabla_control[[#This Row],[STOCK SAP]]&gt;Tabla_control[[#This Row],[CANTIDAD IMPRIMIR]],"cubre","no cubre")</f>
        <v>cubre</v>
      </c>
      <c r="J428" s="182">
        <f>IF(COUNTIF(Tabla_imprenta[LOTE],Tabla_control[[#This Row],[LOTE]])=1,INDEX(Tabla_imprenta[STOCK],MATCH(Tabla_control[[#This Row],[LOTE]],Tabla_imprenta[LOTE],0)),"ENTREGADO")</f>
        <v>4.18342886920271</v>
      </c>
      <c r="K42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46156</v>
      </c>
      <c r="L428" s="148">
        <f>INDEX(Tabla_imprenta[FECHA CAJA],MATCH(Tabla_control[[#This Row],[LOTE]],Tabla_imprenta[LOTE],0))</f>
        <v>0</v>
      </c>
      <c r="M42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FULL COLOR</v>
      </c>
      <c r="N42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2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125</v>
      </c>
      <c r="P428" s="170">
        <f>ROUNDUP(Tabla_control[[#This Row],[CANTIDAD IMPRIMIR]]/Tabla_control[[#This Row],[N TJ]],0)</f>
        <v>1350</v>
      </c>
      <c r="Q428" s="170">
        <f>IF(Tabla_control[[#This Row],[CANTIDAD TIRAJE]]&gt;10000,Tabla_control[[#This Row],[CANTIDAD TIRAJE]],Tabla_control[[#This Row],[CANTIDAD TIRAJE]]*2)</f>
        <v>2700</v>
      </c>
      <c r="R428" s="186" t="s">
        <v>2030</v>
      </c>
      <c r="S428" s="4" t="s">
        <v>174</v>
      </c>
      <c r="T428" s="4"/>
      <c r="U428" s="4"/>
      <c r="V428" s="4"/>
      <c r="W428" s="185" t="s">
        <v>321</v>
      </c>
      <c r="X428" s="185"/>
      <c r="Y428" s="185"/>
      <c r="Z428" s="185"/>
      <c r="AA428" s="186" t="s">
        <v>321</v>
      </c>
      <c r="AB428" s="184" t="s">
        <v>3222</v>
      </c>
    </row>
    <row r="429" spans="1:28" hidden="1" x14ac:dyDescent="0.2">
      <c r="A429" s="175">
        <f>IF(COUNTIF(Tabla_imprenta[LOTE],Tabla_control[[#This Row],[LOTE]])=1,INDEX(Tabla_imprenta[FECHA EMISIÓN],MATCH(Tabla_control[[#This Row],[LOTE]],Tabla_imprenta[LOTE],0)),"REALIZADO")</f>
        <v>46121</v>
      </c>
      <c r="B429" s="142">
        <f>IF(COUNTIF(Tabla_imprenta[LOTE],Tabla_control[[#This Row],[LOTE]])=1,INDEX(Tabla_imprenta[CÓD. SOLICITUD],MATCH(Tabla_control[[#This Row],[LOTE]],Tabla_imprenta[LOTE],0)),"REALIZADO")</f>
        <v>0</v>
      </c>
      <c r="C429" s="177" t="str">
        <f>IF(COUNTIF(Tabla_imprenta[LOTE],Tabla_control[[#This Row],[LOTE]])=1,INDEX(Tabla_imprenta[PRODUCTO],MATCH(Tabla_control[[#This Row],[LOTE]],Tabla_imprenta[LOTE],0)),"REALIZADO")</f>
        <v>CEFTRIAXONA 1000 X 1 POLVO INY.</v>
      </c>
      <c r="D429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429" s="177" t="str">
        <f>IF(COUNTIF(Tabla_imprenta[LOTE],Tabla_control[[#This Row],[LOTE]])=1,INDEX(Tabla_imprenta[INSTITUCIÓN],MATCH(Tabla_control[[#This Row],[LOTE]],Tabla_imprenta[LOTE],0)),"REALIZADO")</f>
        <v>COMERCIO</v>
      </c>
      <c r="F429" s="181" t="s">
        <v>3272</v>
      </c>
      <c r="G429" s="139">
        <f>IF(COUNTIF(Tabla_imprenta[LOTE],Tabla_control[[#This Row],[LOTE]])=1,INDEX(Tabla_imprenta[CANTIDAD ENVASE SECUNDARIO],MATCH(Tabla_control[[#This Row],[LOTE]],Tabla_imprenta[LOTE],0)),"ENTREGADO")</f>
        <v>1400</v>
      </c>
      <c r="H429" s="139">
        <f>IF(COUNTIF(Tabla_imprenta[LOTE],Tabla_control[[#This Row],[LOTE]])=1,INDEX(Tabla_imprenta[stock sap],MATCH(Tabla_control[[#This Row],[LOTE]],Tabla_imprenta[LOTE],0)),"ENTREGADO")</f>
        <v>564</v>
      </c>
      <c r="I429" s="139" t="str">
        <f>IF(Tabla_control[[#This Row],[STOCK SAP]]&gt;Tabla_control[[#This Row],[CANTIDAD IMPRIMIR]],"cubre","no cubre")</f>
        <v>no cubre</v>
      </c>
      <c r="J429" s="182">
        <f>IF(COUNTIF(Tabla_imprenta[LOTE],Tabla_control[[#This Row],[LOTE]])=1,INDEX(Tabla_imprenta[STOCK],MATCH(Tabla_control[[#This Row],[LOTE]],Tabla_imprenta[LOTE],0)),"ENTREGADO")</f>
        <v>1.2473137131573817</v>
      </c>
      <c r="K42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46157</v>
      </c>
      <c r="L429" s="148">
        <f>INDEX(Tabla_imprenta[FECHA CAJA],MATCH(Tabla_control[[#This Row],[LOTE]],Tabla_imprenta[LOTE],0))</f>
        <v>46156</v>
      </c>
      <c r="M42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2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2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</v>
      </c>
      <c r="P429" s="170">
        <f>ROUNDUP(Tabla_control[[#This Row],[CANTIDAD IMPRIMIR]]/Tabla_control[[#This Row],[N TJ]],0)</f>
        <v>1400</v>
      </c>
      <c r="Q429" s="170">
        <f>IF(Tabla_control[[#This Row],[CANTIDAD TIRAJE]]&gt;10000,Tabla_control[[#This Row],[CANTIDAD TIRAJE]],Tabla_control[[#This Row],[CANTIDAD TIRAJE]]*2)</f>
        <v>2800</v>
      </c>
      <c r="R429" s="186" t="s">
        <v>172</v>
      </c>
      <c r="S429" s="4" t="s">
        <v>30</v>
      </c>
      <c r="T429" s="4"/>
      <c r="U429" s="4"/>
      <c r="V429" s="4"/>
      <c r="W429" s="185" t="s">
        <v>3223</v>
      </c>
      <c r="X429" s="185"/>
      <c r="Y429" s="185"/>
      <c r="Z429" s="185"/>
      <c r="AA429" s="186" t="s">
        <v>2031</v>
      </c>
      <c r="AB429" s="184" t="s">
        <v>3222</v>
      </c>
    </row>
    <row r="430" spans="1:28" hidden="1" x14ac:dyDescent="0.2">
      <c r="A430" s="141">
        <f>IF(COUNTIF(Tabla_imprenta[LOTE],Tabla_control[[#This Row],[LOTE]])=1,INDEX(Tabla_imprenta[FECHA EMISIÓN],MATCH(Tabla_control[[#This Row],[LOTE]],Tabla_imprenta[LOTE],0)),"REALIZADO")</f>
        <v>46083</v>
      </c>
      <c r="B430" s="142">
        <f>IF(COUNTIF(Tabla_imprenta[LOTE],Tabla_control[[#This Row],[LOTE]])=1,INDEX(Tabla_imprenta[CÓD. SOLICITUD],MATCH(Tabla_control[[#This Row],[LOTE]],Tabla_imprenta[LOTE],0)),"REALIZADO")</f>
        <v>0</v>
      </c>
      <c r="C430" s="142" t="str">
        <f>IF(COUNTIF(Tabla_imprenta[LOTE],Tabla_control[[#This Row],[LOTE]])=1,INDEX(Tabla_imprenta[PRODUCTO],MATCH(Tabla_control[[#This Row],[LOTE]],Tabla_imprenta[LOTE],0)),"REALIZADO")</f>
        <v>METRONIDAZOL 500 MG X 100 COMP.</v>
      </c>
      <c r="D430" s="142" t="str">
        <f>IF(COUNTIF(Tabla_imprenta[LOTE],Tabla_control[[#This Row],[LOTE]])=1,INDEX(Tabla_imprenta[FORMA FARMACEUTICA],MATCH(Tabla_control[[#This Row],[LOTE]],Tabla_imprenta[LOTE],0)),"REALIZADO")</f>
        <v>COMPRIMIDO</v>
      </c>
      <c r="E430" s="142" t="str">
        <f>IF(COUNTIF(Tabla_imprenta[LOTE],Tabla_control[[#This Row],[LOTE]])=1,INDEX(Tabla_imprenta[INSTITUCIÓN],MATCH(Tabla_control[[#This Row],[LOTE]],Tabla_imprenta[LOTE],0)),"REALIZADO")</f>
        <v>COMERCIO</v>
      </c>
      <c r="F430" s="6" t="s">
        <v>2567</v>
      </c>
      <c r="G430" s="140">
        <f>IF(COUNTIF(Tabla_imprenta[LOTE],Tabla_control[[#This Row],[LOTE]])=1,INDEX(Tabla_imprenta[CANTIDAD ENVASE SECUNDARIO],MATCH(Tabla_control[[#This Row],[LOTE]],Tabla_imprenta[LOTE],0)),"ENTREGADO")</f>
        <v>3000</v>
      </c>
      <c r="H430" s="140">
        <f>IF(COUNTIF(Tabla_imprenta[LOTE],Tabla_control[[#This Row],[LOTE]])=1,INDEX(Tabla_imprenta[stock sap],MATCH(Tabla_control[[#This Row],[LOTE]],Tabla_imprenta[LOTE],0)),"ENTREGADO")</f>
        <v>219</v>
      </c>
      <c r="I430" s="140" t="str">
        <f>IF(Tabla_control[[#This Row],[STOCK SAP]]&gt;Tabla_control[[#This Row],[CANTIDAD IMPRIMIR]],"cubre","no cubre")</f>
        <v>no cubre</v>
      </c>
      <c r="J430" s="136">
        <f>IF(COUNTIF(Tabla_imprenta[LOTE],Tabla_control[[#This Row],[LOTE]])=1,INDEX(Tabla_imprenta[STOCK],MATCH(Tabla_control[[#This Row],[LOTE]],Tabla_imprenta[LOTE],0)),"ENTREGADO")</f>
        <v>1.4473638566094806</v>
      </c>
      <c r="K430" s="148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46155</v>
      </c>
      <c r="L430" s="148" t="str">
        <f>INDEX(Tabla_imprenta[FECHA CAJA],MATCH(Tabla_control[[#This Row],[LOTE]],Tabla_imprenta[LOTE],0))</f>
        <v>ENTREGADO</v>
      </c>
      <c r="M430" s="164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3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3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430" s="169">
        <f>ROUNDUP(Tabla_control[[#This Row],[CANTIDAD IMPRIMIR]]/Tabla_control[[#This Row],[N TJ]],0)</f>
        <v>1500</v>
      </c>
      <c r="Q430" s="169">
        <f>IF(Tabla_control[[#This Row],[CANTIDAD TIRAJE]]&gt;10000,Tabla_control[[#This Row],[CANTIDAD TIRAJE]],Tabla_control[[#This Row],[CANTIDAD TIRAJE]]*2)</f>
        <v>3000</v>
      </c>
      <c r="R430" s="137" t="s">
        <v>172</v>
      </c>
      <c r="S430" s="137" t="s">
        <v>30</v>
      </c>
      <c r="T430" s="137"/>
      <c r="U430" s="137"/>
      <c r="V430" s="137"/>
      <c r="W430" s="113" t="s">
        <v>3223</v>
      </c>
      <c r="X430" s="113"/>
      <c r="Y430" s="113"/>
      <c r="Z430" s="113"/>
      <c r="AA430" s="137" t="s">
        <v>2031</v>
      </c>
      <c r="AB430" s="143" t="s">
        <v>2028</v>
      </c>
    </row>
    <row r="431" spans="1:28" x14ac:dyDescent="0.2">
      <c r="A431" s="175">
        <f>IF(COUNTIF(Tabla_imprenta[LOTE],Tabla_control[[#This Row],[LOTE]])=1,INDEX(Tabla_imprenta[FECHA EMISIÓN],MATCH(Tabla_control[[#This Row],[LOTE]],Tabla_imprenta[LOTE],0)),"REALIZADO")</f>
        <v>46113</v>
      </c>
      <c r="B431" s="142">
        <f>IF(COUNTIF(Tabla_imprenta[LOTE],Tabla_control[[#This Row],[LOTE]])=1,INDEX(Tabla_imprenta[CÓD. SOLICITUD],MATCH(Tabla_control[[#This Row],[LOTE]],Tabla_imprenta[LOTE],0)),"REALIZADO")</f>
        <v>0</v>
      </c>
      <c r="C431" s="177" t="str">
        <f>IF(COUNTIF(Tabla_imprenta[LOTE],Tabla_control[[#This Row],[LOTE]])=1,INDEX(Tabla_imprenta[PRODUCTO],MATCH(Tabla_control[[#This Row],[LOTE]],Tabla_imprenta[LOTE],0)),"REALIZADO")</f>
        <v>DICLOFENACO 75 MG X 25 AMP. SOLUCION INY.</v>
      </c>
      <c r="D431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31" s="177" t="str">
        <f>IF(COUNTIF(Tabla_imprenta[LOTE],Tabla_control[[#This Row],[LOTE]])=1,INDEX(Tabla_imprenta[INSTITUCIÓN],MATCH(Tabla_control[[#This Row],[LOTE]],Tabla_imprenta[LOTE],0)),"REALIZADO")</f>
        <v>COMERCIO</v>
      </c>
      <c r="F431" s="181" t="s">
        <v>3171</v>
      </c>
      <c r="G431" s="139">
        <f>IF(COUNTIF(Tabla_imprenta[LOTE],Tabla_control[[#This Row],[LOTE]])=1,INDEX(Tabla_imprenta[CANTIDAD ENVASE SECUNDARIO],MATCH(Tabla_control[[#This Row],[LOTE]],Tabla_imprenta[LOTE],0)),"ENTREGADO")</f>
        <v>2320</v>
      </c>
      <c r="H431" s="139">
        <f>IF(COUNTIF(Tabla_imprenta[LOTE],Tabla_control[[#This Row],[LOTE]])=1,INDEX(Tabla_imprenta[stock sap],MATCH(Tabla_control[[#This Row],[LOTE]],Tabla_imprenta[LOTE],0)),"ENTREGADO")</f>
        <v>1480</v>
      </c>
      <c r="I431" s="139" t="str">
        <f>IF(Tabla_control[[#This Row],[STOCK SAP]]&gt;Tabla_control[[#This Row],[CANTIDAD IMPRIMIR]],"cubre","no cubre")</f>
        <v>no cubre</v>
      </c>
      <c r="J431" s="182">
        <f>IF(COUNTIF(Tabla_imprenta[LOTE],Tabla_control[[#This Row],[LOTE]])=1,INDEX(Tabla_imprenta[STOCK],MATCH(Tabla_control[[#This Row],[LOTE]],Tabla_imprenta[LOTE],0)),"ENTREGADO")</f>
        <v>1.3134302239785411</v>
      </c>
      <c r="K43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46157</v>
      </c>
      <c r="L431" s="148">
        <f>INDEX(Tabla_imprenta[FECHA CAJA],MATCH(Tabla_control[[#This Row],[LOTE]],Tabla_imprenta[LOTE],0))</f>
        <v>46157</v>
      </c>
      <c r="M43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3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3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18</v>
      </c>
      <c r="P431" s="170">
        <f>ROUNDUP(Tabla_control[[#This Row],[CANTIDAD IMPRIMIR]]/Tabla_control[[#This Row],[N TJ]],0)</f>
        <v>2320</v>
      </c>
      <c r="Q431" s="170">
        <f>IF(Tabla_control[[#This Row],[CANTIDAD TIRAJE]]&gt;10000,Tabla_control[[#This Row],[CANTIDAD TIRAJE]],Tabla_control[[#This Row],[CANTIDAD TIRAJE]]*2)</f>
        <v>4640</v>
      </c>
      <c r="R431" s="186" t="s">
        <v>172</v>
      </c>
      <c r="S431" s="4" t="s">
        <v>30</v>
      </c>
      <c r="T431" s="4"/>
      <c r="U431" s="4"/>
      <c r="V431" s="4"/>
      <c r="W431" s="185" t="s">
        <v>3238</v>
      </c>
      <c r="X431" s="185"/>
      <c r="Y431" s="185"/>
      <c r="Z431" s="185"/>
      <c r="AA431" s="186" t="s">
        <v>171</v>
      </c>
      <c r="AB431" s="184" t="s">
        <v>3222</v>
      </c>
    </row>
    <row r="432" spans="1:28" hidden="1" x14ac:dyDescent="0.2">
      <c r="A432" s="175">
        <f>IF(COUNTIF(Tabla_imprenta[LOTE],Tabla_control[[#This Row],[LOTE]])=1,INDEX(Tabla_imprenta[FECHA EMISIÓN],MATCH(Tabla_control[[#This Row],[LOTE]],Tabla_imprenta[LOTE],0)),"REALIZADO")</f>
        <v>46113</v>
      </c>
      <c r="B432" s="142">
        <f>IF(COUNTIF(Tabla_imprenta[LOTE],Tabla_control[[#This Row],[LOTE]])=1,INDEX(Tabla_imprenta[CÓD. SOLICITUD],MATCH(Tabla_control[[#This Row],[LOTE]],Tabla_imprenta[LOTE],0)),"REALIZADO")</f>
        <v>0</v>
      </c>
      <c r="C432" s="177" t="str">
        <f>IF(COUNTIF(Tabla_imprenta[LOTE],Tabla_control[[#This Row],[LOTE]])=1,INDEX(Tabla_imprenta[PRODUCTO],MATCH(Tabla_control[[#This Row],[LOTE]],Tabla_imprenta[LOTE],0)),"REALIZADO")</f>
        <v>CIPROFLOXACINA X 10 COMP. RECUBIERTO VETERINARIO</v>
      </c>
      <c r="D432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32" s="177" t="str">
        <f>IF(COUNTIF(Tabla_imprenta[LOTE],Tabla_control[[#This Row],[LOTE]])=1,INDEX(Tabla_imprenta[INSTITUCIÓN],MATCH(Tabla_control[[#This Row],[LOTE]],Tabla_imprenta[LOTE],0)),"REALIZADO")</f>
        <v>COMERCIO</v>
      </c>
      <c r="F432" s="181" t="s">
        <v>2990</v>
      </c>
      <c r="G432" s="139">
        <f>IF(COUNTIF(Tabla_imprenta[LOTE],Tabla_control[[#This Row],[LOTE]])=1,INDEX(Tabla_imprenta[CANTIDAD ENVASE SECUNDARIO],MATCH(Tabla_control[[#This Row],[LOTE]],Tabla_imprenta[LOTE],0)),"ENTREGADO")</f>
        <v>2000</v>
      </c>
      <c r="H432" s="139">
        <f>IF(COUNTIF(Tabla_imprenta[LOTE],Tabla_control[[#This Row],[LOTE]])=1,INDEX(Tabla_imprenta[stock sap],MATCH(Tabla_control[[#This Row],[LOTE]],Tabla_imprenta[LOTE],0)),"ENTREGADO")</f>
        <v>1000</v>
      </c>
      <c r="I432" s="139" t="str">
        <f>IF(Tabla_control[[#This Row],[STOCK SAP]]&gt;Tabla_control[[#This Row],[CANTIDAD IMPRIMIR]],"cubre","no cubre")</f>
        <v>no cubre</v>
      </c>
      <c r="J432" s="182">
        <f>IF(COUNTIF(Tabla_imprenta[LOTE],Tabla_control[[#This Row],[LOTE]])=1,INDEX(Tabla_imprenta[STOCK],MATCH(Tabla_control[[#This Row],[LOTE]],Tabla_imprenta[LOTE],0)),"ENTREGADO")</f>
        <v>3.3975084937712348</v>
      </c>
      <c r="K43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46157</v>
      </c>
      <c r="L432" s="148">
        <f>INDEX(Tabla_imprenta[FECHA CAJA],MATCH(Tabla_control[[#This Row],[LOTE]],Tabla_imprenta[LOTE],0))</f>
        <v>46157</v>
      </c>
      <c r="M43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43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8</v>
      </c>
      <c r="O43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432" s="170">
        <f>ROUNDUP(Tabla_control[[#This Row],[CANTIDAD IMPRIMIR]]/Tabla_control[[#This Row],[N TJ]],0)</f>
        <v>250</v>
      </c>
      <c r="Q432" s="170">
        <f>IF(Tabla_control[[#This Row],[CANTIDAD TIRAJE]]&gt;10000,Tabla_control[[#This Row],[CANTIDAD TIRAJE]],Tabla_control[[#This Row],[CANTIDAD TIRAJE]]*2)</f>
        <v>500</v>
      </c>
      <c r="R432" s="186" t="s">
        <v>176</v>
      </c>
      <c r="S432" s="4" t="s">
        <v>30</v>
      </c>
      <c r="T432" s="4"/>
      <c r="U432" s="4"/>
      <c r="V432" s="4"/>
      <c r="W432" s="185" t="s">
        <v>3223</v>
      </c>
      <c r="X432" s="185"/>
      <c r="Y432" s="185"/>
      <c r="Z432" s="185"/>
      <c r="AA432" s="186" t="s">
        <v>2031</v>
      </c>
      <c r="AB432" s="184" t="s">
        <v>3222</v>
      </c>
    </row>
    <row r="433" spans="1:28" hidden="1" x14ac:dyDescent="0.2">
      <c r="A433" s="175">
        <f>IF(COUNTIF(Tabla_imprenta[LOTE],Tabla_control[[#This Row],[LOTE]])=1,INDEX(Tabla_imprenta[FECHA EMISIÓN],MATCH(Tabla_control[[#This Row],[LOTE]],Tabla_imprenta[LOTE],0)),"REALIZADO")</f>
        <v>46113</v>
      </c>
      <c r="B433" s="142">
        <f>IF(COUNTIF(Tabla_imprenta[LOTE],Tabla_control[[#This Row],[LOTE]])=1,INDEX(Tabla_imprenta[CÓD. SOLICITUD],MATCH(Tabla_control[[#This Row],[LOTE]],Tabla_imprenta[LOTE],0)),"REALIZADO")</f>
        <v>0</v>
      </c>
      <c r="C433" s="177" t="str">
        <f>IF(COUNTIF(Tabla_imprenta[LOTE],Tabla_control[[#This Row],[LOTE]])=1,INDEX(Tabla_imprenta[PRODUCTO],MATCH(Tabla_control[[#This Row],[LOTE]],Tabla_imprenta[LOTE],0)),"REALIZADO")</f>
        <v>CIPROFLOXACINA 500 MG X 100 COMP. RECUBIERTO</v>
      </c>
      <c r="D433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33" s="177" t="str">
        <f>IF(COUNTIF(Tabla_imprenta[LOTE],Tabla_control[[#This Row],[LOTE]])=1,INDEX(Tabla_imprenta[INSTITUCIÓN],MATCH(Tabla_control[[#This Row],[LOTE]],Tabla_imprenta[LOTE],0)),"REALIZADO")</f>
        <v>COMERCIO</v>
      </c>
      <c r="F433" s="181" t="s">
        <v>2993</v>
      </c>
      <c r="G433" s="139">
        <f>IF(COUNTIF(Tabla_imprenta[LOTE],Tabla_control[[#This Row],[LOTE]])=1,INDEX(Tabla_imprenta[CANTIDAD ENVASE SECUNDARIO],MATCH(Tabla_control[[#This Row],[LOTE]],Tabla_imprenta[LOTE],0)),"ENTREGADO")</f>
        <v>1250</v>
      </c>
      <c r="H433" s="139">
        <f>IF(COUNTIF(Tabla_imprenta[LOTE],Tabla_control[[#This Row],[LOTE]])=1,INDEX(Tabla_imprenta[stock sap],MATCH(Tabla_control[[#This Row],[LOTE]],Tabla_imprenta[LOTE],0)),"ENTREGADO")</f>
        <v>552</v>
      </c>
      <c r="I433" s="139" t="str">
        <f>IF(Tabla_control[[#This Row],[STOCK SAP]]&gt;Tabla_control[[#This Row],[CANTIDAD IMPRIMIR]],"cubre","no cubre")</f>
        <v>no cubre</v>
      </c>
      <c r="J433" s="182">
        <f>IF(COUNTIF(Tabla_imprenta[LOTE],Tabla_control[[#This Row],[LOTE]])=1,INDEX(Tabla_imprenta[STOCK],MATCH(Tabla_control[[#This Row],[LOTE]],Tabla_imprenta[LOTE],0)),"ENTREGADO")</f>
        <v>2.0571428571428574</v>
      </c>
      <c r="K43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46157</v>
      </c>
      <c r="L433" s="148" t="str">
        <f>INDEX(Tabla_imprenta[FECHA CAJA],MATCH(Tabla_control[[#This Row],[LOTE]],Tabla_imprenta[LOTE],0))</f>
        <v>ENTREGADO</v>
      </c>
      <c r="M43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3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3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433" s="170">
        <f>ROUNDUP(Tabla_control[[#This Row],[CANTIDAD IMPRIMIR]]/Tabla_control[[#This Row],[N TJ]],0)</f>
        <v>625</v>
      </c>
      <c r="Q433" s="170">
        <f>IF(Tabla_control[[#This Row],[CANTIDAD TIRAJE]]&gt;10000,Tabla_control[[#This Row],[CANTIDAD TIRAJE]],Tabla_control[[#This Row],[CANTIDAD TIRAJE]]*2)</f>
        <v>1250</v>
      </c>
      <c r="R433" s="186" t="s">
        <v>172</v>
      </c>
      <c r="S433" s="4" t="s">
        <v>30</v>
      </c>
      <c r="T433" s="4"/>
      <c r="U433" s="4"/>
      <c r="V433" s="4"/>
      <c r="W433" s="185" t="s">
        <v>3223</v>
      </c>
      <c r="X433" s="185"/>
      <c r="Y433" s="185"/>
      <c r="Z433" s="185"/>
      <c r="AA433" s="186" t="s">
        <v>2031</v>
      </c>
      <c r="AB433" s="184" t="s">
        <v>2028</v>
      </c>
    </row>
    <row r="434" spans="1:28" hidden="1" x14ac:dyDescent="0.2">
      <c r="A434" s="175">
        <f>IF(COUNTIF(Tabla_imprenta[LOTE],Tabla_control[[#This Row],[LOTE]])=1,INDEX(Tabla_imprenta[FECHA EMISIÓN],MATCH(Tabla_control[[#This Row],[LOTE]],Tabla_imprenta[LOTE],0)),"REALIZADO")</f>
        <v>46113</v>
      </c>
      <c r="B434" s="142">
        <f>IF(COUNTIF(Tabla_imprenta[LOTE],Tabla_control[[#This Row],[LOTE]])=1,INDEX(Tabla_imprenta[CÓD. SOLICITUD],MATCH(Tabla_control[[#This Row],[LOTE]],Tabla_imprenta[LOTE],0)),"REALIZADO")</f>
        <v>0</v>
      </c>
      <c r="C434" s="177" t="str">
        <f>IF(COUNTIF(Tabla_imprenta[LOTE],Tabla_control[[#This Row],[LOTE]])=1,INDEX(Tabla_imprenta[PRODUCTO],MATCH(Tabla_control[[#This Row],[LOTE]],Tabla_imprenta[LOTE],0)),"REALIZADO")</f>
        <v>CIPROFLOXACINA 500 MG X 100 COMP. RECUBIERTO</v>
      </c>
      <c r="D434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34" s="177" t="str">
        <f>IF(COUNTIF(Tabla_imprenta[LOTE],Tabla_control[[#This Row],[LOTE]])=1,INDEX(Tabla_imprenta[INSTITUCIÓN],MATCH(Tabla_control[[#This Row],[LOTE]],Tabla_imprenta[LOTE],0)),"REALIZADO")</f>
        <v>COMERCIO</v>
      </c>
      <c r="F434" s="181" t="s">
        <v>3232</v>
      </c>
      <c r="G434" s="139">
        <f>IF(COUNTIF(Tabla_imprenta[LOTE],Tabla_control[[#This Row],[LOTE]])=1,INDEX(Tabla_imprenta[CANTIDAD ENVASE SECUNDARIO],MATCH(Tabla_control[[#This Row],[LOTE]],Tabla_imprenta[LOTE],0)),"ENTREGADO")</f>
        <v>1050</v>
      </c>
      <c r="H434" s="139">
        <f>IF(COUNTIF(Tabla_imprenta[LOTE],Tabla_control[[#This Row],[LOTE]])=1,INDEX(Tabla_imprenta[stock sap],MATCH(Tabla_control[[#This Row],[LOTE]],Tabla_imprenta[LOTE],0)),"ENTREGADO")</f>
        <v>552</v>
      </c>
      <c r="I434" s="139" t="str">
        <f>IF(Tabla_control[[#This Row],[STOCK SAP]]&gt;Tabla_control[[#This Row],[CANTIDAD IMPRIMIR]],"cubre","no cubre")</f>
        <v>no cubre</v>
      </c>
      <c r="J434" s="182">
        <f>IF(COUNTIF(Tabla_imprenta[LOTE],Tabla_control[[#This Row],[LOTE]])=1,INDEX(Tabla_imprenta[STOCK],MATCH(Tabla_control[[#This Row],[LOTE]],Tabla_imprenta[LOTE],0)),"ENTREGADO")</f>
        <v>2.0571428571428574</v>
      </c>
      <c r="K43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46157</v>
      </c>
      <c r="L434" s="148" t="str">
        <f>INDEX(Tabla_imprenta[FECHA CAJA],MATCH(Tabla_control[[#This Row],[LOTE]],Tabla_imprenta[LOTE],0))</f>
        <v>ENTREGADO</v>
      </c>
      <c r="M43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3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3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434" s="170">
        <f>ROUNDUP(Tabla_control[[#This Row],[CANTIDAD IMPRIMIR]]/Tabla_control[[#This Row],[N TJ]],0)</f>
        <v>525</v>
      </c>
      <c r="Q434" s="170">
        <f>IF(Tabla_control[[#This Row],[CANTIDAD TIRAJE]]&gt;10000,Tabla_control[[#This Row],[CANTIDAD TIRAJE]],Tabla_control[[#This Row],[CANTIDAD TIRAJE]]*2)</f>
        <v>1050</v>
      </c>
      <c r="R434" s="186" t="s">
        <v>172</v>
      </c>
      <c r="S434" s="4" t="s">
        <v>30</v>
      </c>
      <c r="T434" s="4"/>
      <c r="U434" s="4"/>
      <c r="V434" s="4"/>
      <c r="W434" s="185" t="s">
        <v>3223</v>
      </c>
      <c r="X434" s="185"/>
      <c r="Y434" s="185"/>
      <c r="Z434" s="185"/>
      <c r="AA434" s="186" t="s">
        <v>2031</v>
      </c>
      <c r="AB434" s="184" t="s">
        <v>2028</v>
      </c>
    </row>
    <row r="435" spans="1:28" x14ac:dyDescent="0.2">
      <c r="A435" s="175">
        <f>IF(COUNTIF(Tabla_imprenta[LOTE],Tabla_control[[#This Row],[LOTE]])=1,INDEX(Tabla_imprenta[FECHA EMISIÓN],MATCH(Tabla_control[[#This Row],[LOTE]],Tabla_imprenta[LOTE],0)),"REALIZADO")</f>
        <v>46143</v>
      </c>
      <c r="B435" s="142">
        <f>IF(COUNTIF(Tabla_imprenta[LOTE],Tabla_control[[#This Row],[LOTE]])=1,INDEX(Tabla_imprenta[CÓD. SOLICITUD],MATCH(Tabla_control[[#This Row],[LOTE]],Tabla_imprenta[LOTE],0)),"REALIZADO")</f>
        <v>0</v>
      </c>
      <c r="C435" s="178" t="str">
        <f>IF(COUNTIF(Tabla_imprenta[LOTE],Tabla_control[[#This Row],[LOTE]])=1,INDEX(Tabla_imprenta[PRODUCTO],MATCH(Tabla_control[[#This Row],[LOTE]],Tabla_imprenta[LOTE],0)),"REALIZADO")</f>
        <v>DICLOFENACO 1% X 30 G GEL</v>
      </c>
      <c r="D435" s="142" t="str">
        <f>IF(COUNTIF(Tabla_imprenta[LOTE],Tabla_control[[#This Row],[LOTE]])=1,INDEX(Tabla_imprenta[FORMA FARMACEUTICA],MATCH(Tabla_control[[#This Row],[LOTE]],Tabla_imprenta[LOTE],0)),"REALIZADO")</f>
        <v>GEL</v>
      </c>
      <c r="E435" s="177" t="str">
        <f>IF(COUNTIF(Tabla_imprenta[LOTE],Tabla_control[[#This Row],[LOTE]])=1,INDEX(Tabla_imprenta[INSTITUCIÓN],MATCH(Tabla_control[[#This Row],[LOTE]],Tabla_imprenta[LOTE],0)),"REALIZADO")</f>
        <v>COMERCIO</v>
      </c>
      <c r="F435" s="229" t="s">
        <v>5419</v>
      </c>
      <c r="G435" s="139">
        <f>IF(COUNTIF(Tabla_imprenta[LOTE],Tabla_control[[#This Row],[LOTE]])=1,INDEX(Tabla_imprenta[CANTIDAD ENVASE SECUNDARIO],MATCH(Tabla_control[[#This Row],[LOTE]],Tabla_imprenta[LOTE],0)),"ENTREGADO")</f>
        <v>15300</v>
      </c>
      <c r="H435" s="139">
        <f>IF(COUNTIF(Tabla_imprenta[LOTE],Tabla_control[[#This Row],[LOTE]])=1,INDEX(Tabla_imprenta[stock sap],MATCH(Tabla_control[[#This Row],[LOTE]],Tabla_imprenta[LOTE],0)),"ENTREGADO")</f>
        <v>3340</v>
      </c>
      <c r="I435" s="139" t="str">
        <f>IF(Tabla_control[[#This Row],[STOCK SAP]]&gt;Tabla_control[[#This Row],[CANTIDAD IMPRIMIR]],"cubre","no cubre")</f>
        <v>no cubre</v>
      </c>
      <c r="J435" s="182">
        <f>IF(COUNTIF(Tabla_imprenta[LOTE],Tabla_control[[#This Row],[LOTE]])=1,INDEX(Tabla_imprenta[STOCK],MATCH(Tabla_control[[#This Row],[LOTE]],Tabla_imprenta[LOTE],0)),"ENTREGADO")</f>
        <v>0.39788184998056741</v>
      </c>
      <c r="K43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46162</v>
      </c>
      <c r="L435" s="148">
        <f>INDEX(Tabla_imprenta[FECHA CAJA],MATCH(Tabla_control[[#This Row],[LOTE]],Tabla_imprenta[LOTE],0))</f>
        <v>46160</v>
      </c>
      <c r="M43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3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3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435" s="170">
        <f>ROUNDUP(Tabla_control[[#This Row],[CANTIDAD IMPRIMIR]]/Tabla_control[[#This Row],[N TJ]],0)</f>
        <v>3825</v>
      </c>
      <c r="Q435" s="170">
        <f>IF(Tabla_control[[#This Row],[CANTIDAD TIRAJE]]&gt;10000,Tabla_control[[#This Row],[CANTIDAD TIRAJE]],Tabla_control[[#This Row],[CANTIDAD TIRAJE]]*2)</f>
        <v>7650</v>
      </c>
      <c r="R435" s="186" t="s">
        <v>172</v>
      </c>
      <c r="S435" s="4" t="s">
        <v>30</v>
      </c>
      <c r="T435" s="4"/>
      <c r="U435" s="4"/>
      <c r="V435" s="4"/>
      <c r="W435" s="185" t="s">
        <v>22</v>
      </c>
      <c r="X435" s="185"/>
      <c r="Y435" s="185"/>
      <c r="Z435" s="185"/>
      <c r="AA435" s="186" t="s">
        <v>171</v>
      </c>
      <c r="AB435" s="184" t="s">
        <v>4464</v>
      </c>
    </row>
    <row r="436" spans="1:28" x14ac:dyDescent="0.2">
      <c r="A436" s="175">
        <f>IF(COUNTIF(Tabla_imprenta[LOTE],Tabla_control[[#This Row],[LOTE]])=1,INDEX(Tabla_imprenta[FECHA EMISIÓN],MATCH(Tabla_control[[#This Row],[LOTE]],Tabla_imprenta[LOTE],0)),"REALIZADO")</f>
        <v>46113</v>
      </c>
      <c r="B436" s="142">
        <f>IF(COUNTIF(Tabla_imprenta[LOTE],Tabla_control[[#This Row],[LOTE]])=1,INDEX(Tabla_imprenta[CÓD. SOLICITUD],MATCH(Tabla_control[[#This Row],[LOTE]],Tabla_imprenta[LOTE],0)),"REALIZADO")</f>
        <v>0</v>
      </c>
      <c r="C436" s="177" t="str">
        <f>IF(COUNTIF(Tabla_imprenta[LOTE],Tabla_control[[#This Row],[LOTE]])=1,INDEX(Tabla_imprenta[PRODUCTO],MATCH(Tabla_control[[#This Row],[LOTE]],Tabla_imprenta[LOTE],0)),"REALIZADO")</f>
        <v>DEXTROMETORFANO 10 MG X 100 ML JARABE</v>
      </c>
      <c r="D436" s="142" t="str">
        <f>IF(COUNTIF(Tabla_imprenta[LOTE],Tabla_control[[#This Row],[LOTE]])=1,INDEX(Tabla_imprenta[FORMA FARMACEUTICA],MATCH(Tabla_control[[#This Row],[LOTE]],Tabla_imprenta[LOTE],0)),"REALIZADO")</f>
        <v>JARABE</v>
      </c>
      <c r="E436" s="177" t="str">
        <f>IF(COUNTIF(Tabla_imprenta[LOTE],Tabla_control[[#This Row],[LOTE]])=1,INDEX(Tabla_imprenta[INSTITUCIÓN],MATCH(Tabla_control[[#This Row],[LOTE]],Tabla_imprenta[LOTE],0)),"REALIZADO")</f>
        <v>COMERCIO</v>
      </c>
      <c r="F436" s="181" t="s">
        <v>3209</v>
      </c>
      <c r="G436" s="139">
        <f>IF(COUNTIF(Tabla_imprenta[LOTE],Tabla_control[[#This Row],[LOTE]])=1,INDEX(Tabla_imprenta[CANTIDAD ENVASE SECUNDARIO],MATCH(Tabla_control[[#This Row],[LOTE]],Tabla_imprenta[LOTE],0)),"ENTREGADO")</f>
        <v>29703</v>
      </c>
      <c r="H436" s="139">
        <f>IF(COUNTIF(Tabla_imprenta[LOTE],Tabla_control[[#This Row],[LOTE]])=1,INDEX(Tabla_imprenta[stock sap],MATCH(Tabla_control[[#This Row],[LOTE]],Tabla_imprenta[LOTE],0)),"ENTREGADO")</f>
        <v>2600</v>
      </c>
      <c r="I436" s="139" t="str">
        <f>IF(Tabla_control[[#This Row],[STOCK SAP]]&gt;Tabla_control[[#This Row],[CANTIDAD IMPRIMIR]],"cubre","no cubre")</f>
        <v>no cubre</v>
      </c>
      <c r="J436" s="182">
        <f>IF(COUNTIF(Tabla_imprenta[LOTE],Tabla_control[[#This Row],[LOTE]])=1,INDEX(Tabla_imprenta[STOCK],MATCH(Tabla_control[[#This Row],[LOTE]],Tabla_imprenta[LOTE],0)),"ENTREGADO")</f>
        <v>0.77540560458321139</v>
      </c>
      <c r="K43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46160</v>
      </c>
      <c r="L436" s="148">
        <f>INDEX(Tabla_imprenta[FECHA CAJA],MATCH(Tabla_control[[#This Row],[LOTE]],Tabla_imprenta[LOTE],0))</f>
        <v>46160</v>
      </c>
      <c r="M43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3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3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436" s="170">
        <f>ROUNDUP(Tabla_control[[#This Row],[CANTIDAD IMPRIMIR]]/Tabla_control[[#This Row],[N TJ]],0)</f>
        <v>14852</v>
      </c>
      <c r="Q436" s="170">
        <f>IF(Tabla_control[[#This Row],[CANTIDAD TIRAJE]]&gt;10000,Tabla_control[[#This Row],[CANTIDAD TIRAJE]],Tabla_control[[#This Row],[CANTIDAD TIRAJE]]*2)</f>
        <v>14852</v>
      </c>
      <c r="R436" s="186" t="s">
        <v>172</v>
      </c>
      <c r="S436" s="4" t="s">
        <v>31</v>
      </c>
      <c r="T436" s="4"/>
      <c r="U436" s="4"/>
      <c r="V436" s="4"/>
      <c r="W436" s="185" t="s">
        <v>2985</v>
      </c>
      <c r="X436" s="185"/>
      <c r="Y436" s="185"/>
      <c r="Z436" s="185" t="s">
        <v>171</v>
      </c>
      <c r="AA436" s="186" t="s">
        <v>171</v>
      </c>
      <c r="AB436" s="184" t="s">
        <v>3222</v>
      </c>
    </row>
    <row r="437" spans="1:28" x14ac:dyDescent="0.2">
      <c r="A437" s="175">
        <f>IF(COUNTIF(Tabla_imprenta[LOTE],Tabla_control[[#This Row],[LOTE]])=1,INDEX(Tabla_imprenta[FECHA EMISIÓN],MATCH(Tabla_control[[#This Row],[LOTE]],Tabla_imprenta[LOTE],0)),"REALIZADO")</f>
        <v>46113</v>
      </c>
      <c r="B437" s="142">
        <f>IF(COUNTIF(Tabla_imprenta[LOTE],Tabla_control[[#This Row],[LOTE]])=1,INDEX(Tabla_imprenta[CÓD. SOLICITUD],MATCH(Tabla_control[[#This Row],[LOTE]],Tabla_imprenta[LOTE],0)),"REALIZADO")</f>
        <v>0</v>
      </c>
      <c r="C437" s="177" t="str">
        <f>IF(COUNTIF(Tabla_imprenta[LOTE],Tabla_control[[#This Row],[LOTE]])=1,INDEX(Tabla_imprenta[PRODUCTO],MATCH(Tabla_control[[#This Row],[LOTE]],Tabla_imprenta[LOTE],0)),"REALIZADO")</f>
        <v>DEXTROMETORFANO 10 MG X 100 ML JARABE</v>
      </c>
      <c r="D437" s="142" t="str">
        <f>IF(COUNTIF(Tabla_imprenta[LOTE],Tabla_control[[#This Row],[LOTE]])=1,INDEX(Tabla_imprenta[FORMA FARMACEUTICA],MATCH(Tabla_control[[#This Row],[LOTE]],Tabla_imprenta[LOTE],0)),"REALIZADO")</f>
        <v>JARABE</v>
      </c>
      <c r="E437" s="177" t="str">
        <f>IF(COUNTIF(Tabla_imprenta[LOTE],Tabla_control[[#This Row],[LOTE]])=1,INDEX(Tabla_imprenta[INSTITUCIÓN],MATCH(Tabla_control[[#This Row],[LOTE]],Tabla_imprenta[LOTE],0)),"REALIZADO")</f>
        <v>COMERCIO</v>
      </c>
      <c r="F437" s="181" t="s">
        <v>3207</v>
      </c>
      <c r="G437" s="139">
        <f>IF(COUNTIF(Tabla_imprenta[LOTE],Tabla_control[[#This Row],[LOTE]])=1,INDEX(Tabla_imprenta[CANTIDAD ENVASE SECUNDARIO],MATCH(Tabla_control[[#This Row],[LOTE]],Tabla_imprenta[LOTE],0)),"ENTREGADO")</f>
        <v>29703</v>
      </c>
      <c r="H437" s="139">
        <f>IF(COUNTIF(Tabla_imprenta[LOTE],Tabla_control[[#This Row],[LOTE]])=1,INDEX(Tabla_imprenta[stock sap],MATCH(Tabla_control[[#This Row],[LOTE]],Tabla_imprenta[LOTE],0)),"ENTREGADO")</f>
        <v>2600</v>
      </c>
      <c r="I437" s="139" t="str">
        <f>IF(Tabla_control[[#This Row],[STOCK SAP]]&gt;Tabla_control[[#This Row],[CANTIDAD IMPRIMIR]],"cubre","no cubre")</f>
        <v>no cubre</v>
      </c>
      <c r="J437" s="182">
        <f>IF(COUNTIF(Tabla_imprenta[LOTE],Tabla_control[[#This Row],[LOTE]])=1,INDEX(Tabla_imprenta[STOCK],MATCH(Tabla_control[[#This Row],[LOTE]],Tabla_imprenta[LOTE],0)),"ENTREGADO")</f>
        <v>0.77540560458321139</v>
      </c>
      <c r="K43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46160</v>
      </c>
      <c r="L437" s="148">
        <f>INDEX(Tabla_imprenta[FECHA CAJA],MATCH(Tabla_control[[#This Row],[LOTE]],Tabla_imprenta[LOTE],0))</f>
        <v>46160</v>
      </c>
      <c r="M43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3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3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437" s="170">
        <f>ROUNDUP(Tabla_control[[#This Row],[CANTIDAD IMPRIMIR]]/Tabla_control[[#This Row],[N TJ]],0)</f>
        <v>14852</v>
      </c>
      <c r="Q437" s="170">
        <f>IF(Tabla_control[[#This Row],[CANTIDAD TIRAJE]]&gt;10000,Tabla_control[[#This Row],[CANTIDAD TIRAJE]],Tabla_control[[#This Row],[CANTIDAD TIRAJE]]*2)</f>
        <v>14852</v>
      </c>
      <c r="R437" s="186" t="s">
        <v>172</v>
      </c>
      <c r="S437" s="4" t="s">
        <v>31</v>
      </c>
      <c r="T437" s="4"/>
      <c r="U437" s="4"/>
      <c r="V437" s="4"/>
      <c r="W437" s="185" t="s">
        <v>2985</v>
      </c>
      <c r="X437" s="185"/>
      <c r="Y437" s="185"/>
      <c r="Z437" s="185"/>
      <c r="AA437" s="186" t="s">
        <v>171</v>
      </c>
      <c r="AB437" s="184" t="s">
        <v>3222</v>
      </c>
    </row>
    <row r="438" spans="1:28" s="1" customFormat="1" hidden="1" x14ac:dyDescent="0.2">
      <c r="A438" s="141">
        <f>IF(COUNTIF(Tabla_imprenta[LOTE],Tabla_control[[#This Row],[LOTE]])=1,INDEX(Tabla_imprenta[FECHA EMISIÓN],MATCH(Tabla_control[[#This Row],[LOTE]],Tabla_imprenta[LOTE],0)),"REALIZADO")</f>
        <v>46083</v>
      </c>
      <c r="B438" s="142">
        <f>IF(COUNTIF(Tabla_imprenta[LOTE],Tabla_control[[#This Row],[LOTE]])=1,INDEX(Tabla_imprenta[CÓD. SOLICITUD],MATCH(Tabla_control[[#This Row],[LOTE]],Tabla_imprenta[LOTE],0)),"REALIZADO")</f>
        <v>0</v>
      </c>
      <c r="C438" s="142" t="str">
        <f>IF(COUNTIF(Tabla_imprenta[LOTE],Tabla_control[[#This Row],[LOTE]])=1,INDEX(Tabla_imprenta[PRODUCTO],MATCH(Tabla_control[[#This Row],[LOTE]],Tabla_imprenta[LOTE],0)),"REALIZADO")</f>
        <v>MULTIGYN X 10 G CREMA VAGINAL MM</v>
      </c>
      <c r="D438" s="142" t="str">
        <f>IF(COUNTIF(Tabla_imprenta[LOTE],Tabla_control[[#This Row],[LOTE]])=1,INDEX(Tabla_imprenta[FORMA FARMACEUTICA],MATCH(Tabla_control[[#This Row],[LOTE]],Tabla_imprenta[LOTE],0)),"REALIZADO")</f>
        <v>CREMA VAGINAL</v>
      </c>
      <c r="E438" s="142" t="str">
        <f>IF(COUNTIF(Tabla_imprenta[LOTE],Tabla_control[[#This Row],[LOTE]])=1,INDEX(Tabla_imprenta[INSTITUCIÓN],MATCH(Tabla_control[[#This Row],[LOTE]],Tabla_imprenta[LOTE],0)),"REALIZADO")</f>
        <v>MM-2026</v>
      </c>
      <c r="F438" s="6" t="s">
        <v>2533</v>
      </c>
      <c r="G438" s="140">
        <f>IF(COUNTIF(Tabla_imprenta[LOTE],Tabla_control[[#This Row],[LOTE]])=1,INDEX(Tabla_imprenta[CANTIDAD ENVASE SECUNDARIO],MATCH(Tabla_control[[#This Row],[LOTE]],Tabla_imprenta[LOTE],0)),"ENTREGADO")</f>
        <v>5000</v>
      </c>
      <c r="H438" s="140">
        <f>IF(COUNTIF(Tabla_imprenta[LOTE],Tabla_control[[#This Row],[LOTE]])=1,INDEX(Tabla_imprenta[stock sap],MATCH(Tabla_control[[#This Row],[LOTE]],Tabla_imprenta[LOTE],0)),"ENTREGADO")</f>
        <v>1927</v>
      </c>
      <c r="I438" s="140" t="str">
        <f>IF(Tabla_control[[#This Row],[STOCK SAP]]&gt;Tabla_control[[#This Row],[CANTIDAD IMPRIMIR]],"cubre","no cubre")</f>
        <v>no cubre</v>
      </c>
      <c r="J438" s="136">
        <f>IF(COUNTIF(Tabla_imprenta[LOTE],Tabla_control[[#This Row],[LOTE]])=1,INDEX(Tabla_imprenta[STOCK],MATCH(Tabla_control[[#This Row],[LOTE]],Tabla_imprenta[LOTE],0)),"ENTREGADO")</f>
        <v>2.0446625275385539</v>
      </c>
      <c r="K438" s="148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ANULADA</v>
      </c>
      <c r="L438" s="148" t="str">
        <f>INDEX(Tabla_imprenta[FECHA CAJA],MATCH(Tabla_control[[#This Row],[LOTE]],Tabla_imprenta[LOTE],0))</f>
        <v>ANULADO</v>
      </c>
      <c r="M438" s="164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43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3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438" s="170">
        <f>ROUNDUP(Tabla_control[[#This Row],[CANTIDAD IMPRIMIR]]/Tabla_control[[#This Row],[N TJ]],0)</f>
        <v>1250</v>
      </c>
      <c r="Q438" s="170">
        <f>IF(Tabla_control[[#This Row],[CANTIDAD TIRAJE]]&gt;10000,Tabla_control[[#This Row],[CANTIDAD TIRAJE]],Tabla_control[[#This Row],[CANTIDAD TIRAJE]]*2)</f>
        <v>2500</v>
      </c>
      <c r="R438" s="137" t="s">
        <v>175</v>
      </c>
      <c r="S438" s="137" t="s">
        <v>3759</v>
      </c>
      <c r="T438" s="137"/>
      <c r="U438" s="137"/>
      <c r="V438" s="137"/>
      <c r="W438" s="113" t="s">
        <v>3223</v>
      </c>
      <c r="X438" s="113"/>
      <c r="Y438" s="113"/>
      <c r="Z438" s="113"/>
      <c r="AA438" s="137" t="s">
        <v>2429</v>
      </c>
      <c r="AB438" s="143" t="s">
        <v>2958</v>
      </c>
    </row>
    <row r="439" spans="1:28" hidden="1" x14ac:dyDescent="0.2">
      <c r="A439" s="175">
        <f>IF(COUNTIF(Tabla_imprenta[LOTE],Tabla_control[[#This Row],[LOTE]])=1,INDEX(Tabla_imprenta[FECHA EMISIÓN],MATCH(Tabla_control[[#This Row],[LOTE]],Tabla_imprenta[LOTE],0)),"REALIZADO")</f>
        <v>46113</v>
      </c>
      <c r="B439" s="142">
        <f>IF(COUNTIF(Tabla_imprenta[LOTE],Tabla_control[[#This Row],[LOTE]])=1,INDEX(Tabla_imprenta[CÓD. SOLICITUD],MATCH(Tabla_control[[#This Row],[LOTE]],Tabla_imprenta[LOTE],0)),"REALIZADO")</f>
        <v>0</v>
      </c>
      <c r="C439" s="177" t="str">
        <f>IF(COUNTIF(Tabla_imprenta[LOTE],Tabla_control[[#This Row],[LOTE]])=1,INDEX(Tabla_imprenta[PRODUCTO],MATCH(Tabla_control[[#This Row],[LOTE]],Tabla_imprenta[LOTE],0)),"REALIZADO")</f>
        <v>TERRACOLIN 200 MG X 60 ML SUSP.</v>
      </c>
      <c r="D439" s="142" t="str">
        <f>IF(COUNTIF(Tabla_imprenta[LOTE],Tabla_control[[#This Row],[LOTE]])=1,INDEX(Tabla_imprenta[FORMA FARMACEUTICA],MATCH(Tabla_control[[#This Row],[LOTE]],Tabla_imprenta[LOTE],0)),"REALIZADO")</f>
        <v>SUSPENSIÓN</v>
      </c>
      <c r="E439" s="177" t="str">
        <f>IF(COUNTIF(Tabla_imprenta[LOTE],Tabla_control[[#This Row],[LOTE]])=1,INDEX(Tabla_imprenta[INSTITUCIÓN],MATCH(Tabla_control[[#This Row],[LOTE]],Tabla_imprenta[LOTE],0)),"REALIZADO")</f>
        <v>COMERCIO</v>
      </c>
      <c r="F439" s="181" t="s">
        <v>3067</v>
      </c>
      <c r="G439" s="139">
        <f>IF(COUNTIF(Tabla_imprenta[LOTE],Tabla_control[[#This Row],[LOTE]])=1,INDEX(Tabla_imprenta[CANTIDAD ENVASE SECUNDARIO],MATCH(Tabla_control[[#This Row],[LOTE]],Tabla_imprenta[LOTE],0)),"ENTREGADO")</f>
        <v>7742</v>
      </c>
      <c r="H439" s="139">
        <f>IF(COUNTIF(Tabla_imprenta[LOTE],Tabla_control[[#This Row],[LOTE]])=1,INDEX(Tabla_imprenta[stock sap],MATCH(Tabla_control[[#This Row],[LOTE]],Tabla_imprenta[LOTE],0)),"ENTREGADO")</f>
        <v>8019</v>
      </c>
      <c r="I439" s="139" t="str">
        <f>IF(Tabla_control[[#This Row],[STOCK SAP]]&gt;Tabla_control[[#This Row],[CANTIDAD IMPRIMIR]],"cubre","no cubre")</f>
        <v>cubre</v>
      </c>
      <c r="J439" s="182">
        <f>IF(COUNTIF(Tabla_imprenta[LOTE],Tabla_control[[#This Row],[LOTE]])=1,INDEX(Tabla_imprenta[STOCK],MATCH(Tabla_control[[#This Row],[LOTE]],Tabla_imprenta[LOTE],0)),"ENTREGADO")</f>
        <v>2.6845419459679056</v>
      </c>
      <c r="K43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46158</v>
      </c>
      <c r="L439" s="148" t="str">
        <f>INDEX(Tabla_imprenta[FECHA CAJA],MATCH(Tabla_control[[#This Row],[LOTE]],Tabla_imprenta[LOTE],0))</f>
        <v>ENTREGADO</v>
      </c>
      <c r="M43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43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3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73</v>
      </c>
      <c r="P439" s="170">
        <f>ROUNDUP(Tabla_control[[#This Row],[CANTIDAD IMPRIMIR]]/Tabla_control[[#This Row],[N TJ]],0)</f>
        <v>3871</v>
      </c>
      <c r="Q439" s="170">
        <f>IF(Tabla_control[[#This Row],[CANTIDAD TIRAJE]]&gt;10000,Tabla_control[[#This Row],[CANTIDAD TIRAJE]],Tabla_control[[#This Row],[CANTIDAD TIRAJE]]*2)</f>
        <v>7742</v>
      </c>
      <c r="R439" s="186" t="s">
        <v>177</v>
      </c>
      <c r="S439" s="4" t="s">
        <v>174</v>
      </c>
      <c r="T439" s="4"/>
      <c r="U439" s="4"/>
      <c r="V439" s="4"/>
      <c r="W439" s="187" t="s">
        <v>321</v>
      </c>
      <c r="X439" s="187"/>
      <c r="Y439" s="187"/>
      <c r="Z439" s="187"/>
      <c r="AA439" s="186" t="s">
        <v>321</v>
      </c>
      <c r="AB439" s="184" t="s">
        <v>2028</v>
      </c>
    </row>
    <row r="440" spans="1:28" x14ac:dyDescent="0.2">
      <c r="A440" s="175">
        <f>IF(COUNTIF(Tabla_imprenta[LOTE],Tabla_control[[#This Row],[LOTE]])=1,INDEX(Tabla_imprenta[FECHA EMISIÓN],MATCH(Tabla_control[[#This Row],[LOTE]],Tabla_imprenta[LOTE],0)),"REALIZADO")</f>
        <v>46113</v>
      </c>
      <c r="B440" s="142">
        <f>IF(COUNTIF(Tabla_imprenta[LOTE],Tabla_control[[#This Row],[LOTE]])=1,INDEX(Tabla_imprenta[CÓD. SOLICITUD],MATCH(Tabla_control[[#This Row],[LOTE]],Tabla_imprenta[LOTE],0)),"REALIZADO")</f>
        <v>0</v>
      </c>
      <c r="C440" s="177" t="str">
        <f>IF(COUNTIF(Tabla_imprenta[LOTE],Tabla_control[[#This Row],[LOTE]])=1,INDEX(Tabla_imprenta[PRODUCTO],MATCH(Tabla_control[[#This Row],[LOTE]],Tabla_imprenta[LOTE],0)),"REALIZADO")</f>
        <v>DICLOFENACO 75 MG X 25 AMP. SOLUCION INY.</v>
      </c>
      <c r="D440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40" s="177" t="str">
        <f>IF(COUNTIF(Tabla_imprenta[LOTE],Tabla_control[[#This Row],[LOTE]])=1,INDEX(Tabla_imprenta[INSTITUCIÓN],MATCH(Tabla_control[[#This Row],[LOTE]],Tabla_imprenta[LOTE],0)),"REALIZADO")</f>
        <v>COMERCIO</v>
      </c>
      <c r="F440" s="181" t="s">
        <v>3170</v>
      </c>
      <c r="G440" s="139">
        <f>IF(COUNTIF(Tabla_imprenta[LOTE],Tabla_control[[#This Row],[LOTE]])=1,INDEX(Tabla_imprenta[CANTIDAD ENVASE SECUNDARIO],MATCH(Tabla_control[[#This Row],[LOTE]],Tabla_imprenta[LOTE],0)),"ENTREGADO")</f>
        <v>2320</v>
      </c>
      <c r="H440" s="139">
        <f>IF(COUNTIF(Tabla_imprenta[LOTE],Tabla_control[[#This Row],[LOTE]])=1,INDEX(Tabla_imprenta[stock sap],MATCH(Tabla_control[[#This Row],[LOTE]],Tabla_imprenta[LOTE],0)),"ENTREGADO")</f>
        <v>1480</v>
      </c>
      <c r="I440" s="139" t="str">
        <f>IF(Tabla_control[[#This Row],[STOCK SAP]]&gt;Tabla_control[[#This Row],[CANTIDAD IMPRIMIR]],"cubre","no cubre")</f>
        <v>no cubre</v>
      </c>
      <c r="J440" s="182">
        <f>IF(COUNTIF(Tabla_imprenta[LOTE],Tabla_control[[#This Row],[LOTE]])=1,INDEX(Tabla_imprenta[STOCK],MATCH(Tabla_control[[#This Row],[LOTE]],Tabla_imprenta[LOTE],0)),"ENTREGADO")</f>
        <v>1.3134302239785411</v>
      </c>
      <c r="K44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46160</v>
      </c>
      <c r="L440" s="148">
        <f>INDEX(Tabla_imprenta[FECHA CAJA],MATCH(Tabla_control[[#This Row],[LOTE]],Tabla_imprenta[LOTE],0))</f>
        <v>46160</v>
      </c>
      <c r="M44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4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4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18</v>
      </c>
      <c r="P440" s="170">
        <f>ROUNDUP(Tabla_control[[#This Row],[CANTIDAD IMPRIMIR]]/Tabla_control[[#This Row],[N TJ]],0)</f>
        <v>2320</v>
      </c>
      <c r="Q440" s="170">
        <f>IF(Tabla_control[[#This Row],[CANTIDAD TIRAJE]]&gt;10000,Tabla_control[[#This Row],[CANTIDAD TIRAJE]],Tabla_control[[#This Row],[CANTIDAD TIRAJE]]*2)</f>
        <v>4640</v>
      </c>
      <c r="R440" s="186" t="s">
        <v>172</v>
      </c>
      <c r="S440" s="4" t="s">
        <v>30</v>
      </c>
      <c r="T440" s="4"/>
      <c r="U440" s="4"/>
      <c r="V440" s="4"/>
      <c r="W440" s="185" t="s">
        <v>3238</v>
      </c>
      <c r="X440" s="185"/>
      <c r="Y440" s="185"/>
      <c r="Z440" s="185"/>
      <c r="AA440" s="186" t="s">
        <v>171</v>
      </c>
      <c r="AB440" s="184" t="s">
        <v>3222</v>
      </c>
    </row>
    <row r="441" spans="1:28" hidden="1" x14ac:dyDescent="0.2">
      <c r="A441" s="175">
        <f>IF(COUNTIF(Tabla_imprenta[LOTE],Tabla_control[[#This Row],[LOTE]])=1,INDEX(Tabla_imprenta[FECHA EMISIÓN],MATCH(Tabla_control[[#This Row],[LOTE]],Tabla_imprenta[LOTE],0)),"REALIZADO")</f>
        <v>46121</v>
      </c>
      <c r="B441" s="142">
        <f>IF(COUNTIF(Tabla_imprenta[LOTE],Tabla_control[[#This Row],[LOTE]])=1,INDEX(Tabla_imprenta[CÓD. SOLICITUD],MATCH(Tabla_control[[#This Row],[LOTE]],Tabla_imprenta[LOTE],0)),"REALIZADO")</f>
        <v>0</v>
      </c>
      <c r="C441" s="177" t="str">
        <f>IF(COUNTIF(Tabla_imprenta[LOTE],Tabla_control[[#This Row],[LOTE]])=1,INDEX(Tabla_imprenta[PRODUCTO],MATCH(Tabla_control[[#This Row],[LOTE]],Tabla_imprenta[LOTE],0)),"REALIZADO")</f>
        <v>DICLOFENACO 50 MG X 500 COMP. RECUBIERTO</v>
      </c>
      <c r="D441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41" s="177" t="str">
        <f>IF(COUNTIF(Tabla_imprenta[LOTE],Tabla_control[[#This Row],[LOTE]])=1,INDEX(Tabla_imprenta[INSTITUCIÓN],MATCH(Tabla_control[[#This Row],[LOTE]],Tabla_imprenta[LOTE],0)),"REALIZADO")</f>
        <v>COMERCIO</v>
      </c>
      <c r="F441" s="181" t="s">
        <v>3250</v>
      </c>
      <c r="G441" s="139">
        <f>IF(COUNTIF(Tabla_imprenta[LOTE],Tabla_control[[#This Row],[LOTE]])=1,INDEX(Tabla_imprenta[CANTIDAD ENVASE SECUNDARIO],MATCH(Tabla_control[[#This Row],[LOTE]],Tabla_imprenta[LOTE],0)),"ENTREGADO")</f>
        <v>154</v>
      </c>
      <c r="H441" s="139">
        <f>IF(COUNTIF(Tabla_imprenta[LOTE],Tabla_control[[#This Row],[LOTE]])=1,INDEX(Tabla_imprenta[stock sap],MATCH(Tabla_control[[#This Row],[LOTE]],Tabla_imprenta[LOTE],0)),"ENTREGADO")</f>
        <v>141</v>
      </c>
      <c r="I441" s="139" t="str">
        <f>IF(Tabla_control[[#This Row],[STOCK SAP]]&gt;Tabla_control[[#This Row],[CANTIDAD IMPRIMIR]],"cubre","no cubre")</f>
        <v>no cubre</v>
      </c>
      <c r="J441" s="182">
        <f>IF(COUNTIF(Tabla_imprenta[LOTE],Tabla_control[[#This Row],[LOTE]])=1,INDEX(Tabla_imprenta[STOCK],MATCH(Tabla_control[[#This Row],[LOTE]],Tabla_imprenta[LOTE],0)),"ENTREGADO")</f>
        <v>2.4789864205369243</v>
      </c>
      <c r="K44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46160</v>
      </c>
      <c r="L441" s="148">
        <f>INDEX(Tabla_imprenta[FECHA CAJA],MATCH(Tabla_control[[#This Row],[LOTE]],Tabla_imprenta[LOTE],0))</f>
        <v>46157</v>
      </c>
      <c r="M44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4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4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35</v>
      </c>
      <c r="P441" s="170">
        <f>ROUNDUP(Tabla_control[[#This Row],[CANTIDAD IMPRIMIR]]/Tabla_control[[#This Row],[N TJ]],0)</f>
        <v>154</v>
      </c>
      <c r="Q441" s="170">
        <f>IF(Tabla_control[[#This Row],[CANTIDAD TIRAJE]]&gt;10000,Tabla_control[[#This Row],[CANTIDAD TIRAJE]],Tabla_control[[#This Row],[CANTIDAD TIRAJE]]*2)</f>
        <v>308</v>
      </c>
      <c r="R441" s="186" t="s">
        <v>172</v>
      </c>
      <c r="S441" s="4" t="s">
        <v>30</v>
      </c>
      <c r="T441" s="4"/>
      <c r="U441" s="4"/>
      <c r="V441" s="4"/>
      <c r="W441" s="185" t="s">
        <v>321</v>
      </c>
      <c r="X441" s="185"/>
      <c r="Y441" s="185"/>
      <c r="Z441" s="185"/>
      <c r="AA441" s="186" t="s">
        <v>321</v>
      </c>
      <c r="AB441" s="184" t="s">
        <v>3222</v>
      </c>
    </row>
    <row r="442" spans="1:28" hidden="1" x14ac:dyDescent="0.2">
      <c r="A442" s="175" t="str">
        <f>IF(COUNTIF(Tabla_imprenta[LOTE],Tabla_control[[#This Row],[LOTE]])=1,INDEX(Tabla_imprenta[FECHA EMISIÓN],MATCH(Tabla_control[[#This Row],[LOTE]],Tabla_imprenta[LOTE],0)),"REALIZADO")</f>
        <v>REALIZADO</v>
      </c>
      <c r="B442" s="142" t="str">
        <f>IF(COUNTIF(Tabla_imprenta[LOTE],Tabla_control[[#This Row],[LOTE]])=1,INDEX(Tabla_imprenta[CÓD. SOLICITUD],MATCH(Tabla_control[[#This Row],[LOTE]],Tabla_imprenta[LOTE],0)),"REALIZADO")</f>
        <v>REALIZADO</v>
      </c>
      <c r="C442" s="177" t="str">
        <f>IF(COUNTIF(Tabla_imprenta[LOTE],Tabla_control[[#This Row],[LOTE]])=1,INDEX(Tabla_imprenta[PRODUCTO],MATCH(Tabla_control[[#This Row],[LOTE]],Tabla_imprenta[LOTE],0)),"REALIZADO")</f>
        <v>REALIZADO</v>
      </c>
      <c r="D442" s="142" t="str">
        <f>IF(COUNTIF(Tabla_imprenta[LOTE],Tabla_control[[#This Row],[LOTE]])=1,INDEX(Tabla_imprenta[FORMA FARMACEUTICA],MATCH(Tabla_control[[#This Row],[LOTE]],Tabla_imprenta[LOTE],0)),"REALIZADO")</f>
        <v>REALIZADO</v>
      </c>
      <c r="E442" s="177" t="str">
        <f>IF(COUNTIF(Tabla_imprenta[LOTE],Tabla_control[[#This Row],[LOTE]])=1,INDEX(Tabla_imprenta[INSTITUCIÓN],MATCH(Tabla_control[[#This Row],[LOTE]],Tabla_imprenta[LOTE],0)),"REALIZADO")</f>
        <v>REALIZADO</v>
      </c>
      <c r="F442" s="180" t="s">
        <v>2935</v>
      </c>
      <c r="G442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42" s="139" t="str">
        <f>IF(COUNTIF(Tabla_imprenta[LOTE],Tabla_control[[#This Row],[LOTE]])=1,INDEX(Tabla_imprenta[stock sap],MATCH(Tabla_control[[#This Row],[LOTE]],Tabla_imprenta[LOTE],0)),"ENTREGADO")</f>
        <v>ENTREGADO</v>
      </c>
      <c r="I442" s="139" t="str">
        <f>IF(Tabla_control[[#This Row],[STOCK SAP]]&gt;Tabla_control[[#This Row],[CANTIDAD IMPRIMIR]],"cubre","no cubre")</f>
        <v>no cubre</v>
      </c>
      <c r="J442" s="7" t="str">
        <f>IF(COUNTIF(Tabla_imprenta[LOTE],Tabla_control[[#This Row],[LOTE]])=1,INDEX(Tabla_imprenta[STOCK],MATCH(Tabla_control[[#This Row],[LOTE]],Tabla_imprenta[LOTE],0)),"ENTREGADO")</f>
        <v>ENTREGADO</v>
      </c>
      <c r="K44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42" s="148" t="e">
        <f>INDEX(Tabla_imprenta[FECHA CAJA],MATCH(Tabla_control[[#This Row],[LOTE]],Tabla_imprenta[LOTE],0))</f>
        <v>#N/A</v>
      </c>
      <c r="M44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4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4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42" s="169" t="e">
        <f>ROUNDUP(Tabla_control[[#This Row],[CANTIDAD IMPRIMIR]]/Tabla_control[[#This Row],[N TJ]],0)</f>
        <v>#VALUE!</v>
      </c>
      <c r="Q442" s="169" t="e">
        <f>IF(Tabla_control[[#This Row],[CANTIDAD TIRAJE]]&gt;10000,Tabla_control[[#This Row],[CANTIDAD TIRAJE]],Tabla_control[[#This Row],[CANTIDAD TIRAJE]]*2)</f>
        <v>#VALUE!</v>
      </c>
      <c r="R442" s="4" t="s">
        <v>172</v>
      </c>
      <c r="S442" s="4" t="s">
        <v>30</v>
      </c>
      <c r="T442" s="4"/>
      <c r="U442" s="4"/>
      <c r="V442" s="4"/>
      <c r="W442" s="185" t="s">
        <v>3223</v>
      </c>
      <c r="X442" s="185"/>
      <c r="Y442" s="185"/>
      <c r="Z442" s="185"/>
      <c r="AA442" s="4" t="s">
        <v>2182</v>
      </c>
      <c r="AB442" s="184" t="s">
        <v>2028</v>
      </c>
    </row>
    <row r="443" spans="1:28" x14ac:dyDescent="0.2">
      <c r="A443" s="175">
        <f>IF(COUNTIF(Tabla_imprenta[LOTE],Tabla_control[[#This Row],[LOTE]])=1,INDEX(Tabla_imprenta[FECHA EMISIÓN],MATCH(Tabla_control[[#This Row],[LOTE]],Tabla_imprenta[LOTE],0)),"REALIZADO")</f>
        <v>46143</v>
      </c>
      <c r="B443" s="142">
        <f>IF(COUNTIF(Tabla_imprenta[LOTE],Tabla_control[[#This Row],[LOTE]])=1,INDEX(Tabla_imprenta[CÓD. SOLICITUD],MATCH(Tabla_control[[#This Row],[LOTE]],Tabla_imprenta[LOTE],0)),"REALIZADO")</f>
        <v>0</v>
      </c>
      <c r="C443" s="177" t="str">
        <f>IF(COUNTIF(Tabla_imprenta[LOTE],Tabla_control[[#This Row],[LOTE]])=1,INDEX(Tabla_imprenta[PRODUCTO],MATCH(Tabla_control[[#This Row],[LOTE]],Tabla_imprenta[LOTE],0)),"REALIZADO")</f>
        <v>COMPLEJO B X 100 COMP. RECUBIERTO</v>
      </c>
      <c r="D443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43" s="177" t="str">
        <f>IF(COUNTIF(Tabla_imprenta[LOTE],Tabla_control[[#This Row],[LOTE]])=1,INDEX(Tabla_imprenta[INSTITUCIÓN],MATCH(Tabla_control[[#This Row],[LOTE]],Tabla_imprenta[LOTE],0)),"REALIZADO")</f>
        <v>COMERCIO</v>
      </c>
      <c r="F443" s="229" t="s">
        <v>5541</v>
      </c>
      <c r="G443" s="139">
        <f>IF(COUNTIF(Tabla_imprenta[LOTE],Tabla_control[[#This Row],[LOTE]])=1,INDEX(Tabla_imprenta[CANTIDAD ENVASE SECUNDARIO],MATCH(Tabla_control[[#This Row],[LOTE]],Tabla_imprenta[LOTE],0)),"ENTREGADO")</f>
        <v>2500</v>
      </c>
      <c r="H443" s="139">
        <f>IF(COUNTIF(Tabla_imprenta[LOTE],Tabla_control[[#This Row],[LOTE]])=1,INDEX(Tabla_imprenta[stock sap],MATCH(Tabla_control[[#This Row],[LOTE]],Tabla_imprenta[LOTE],0)),"ENTREGADO")</f>
        <v>2665</v>
      </c>
      <c r="I443" s="139" t="str">
        <f>IF(Tabla_control[[#This Row],[STOCK SAP]]&gt;Tabla_control[[#This Row],[CANTIDAD IMPRIMIR]],"cubre","no cubre")</f>
        <v>cubre</v>
      </c>
      <c r="J443" s="182">
        <f>IF(COUNTIF(Tabla_imprenta[LOTE],Tabla_control[[#This Row],[LOTE]])=1,INDEX(Tabla_imprenta[STOCK],MATCH(Tabla_control[[#This Row],[LOTE]],Tabla_imprenta[LOTE],0)),"ENTREGADO")</f>
        <v>1.9113345521023768</v>
      </c>
      <c r="K44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46160</v>
      </c>
      <c r="L443" s="148">
        <f>INDEX(Tabla_imprenta[FECHA CAJA],MATCH(Tabla_control[[#This Row],[LOTE]],Tabla_imprenta[LOTE],0))</f>
        <v>0</v>
      </c>
      <c r="M44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4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4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108</v>
      </c>
      <c r="P443" s="170">
        <f>ROUNDUP(Tabla_control[[#This Row],[CANTIDAD IMPRIMIR]]/Tabla_control[[#This Row],[N TJ]],0)</f>
        <v>625</v>
      </c>
      <c r="Q443" s="170">
        <f>IF(Tabla_control[[#This Row],[CANTIDAD TIRAJE]]&gt;10000,Tabla_control[[#This Row],[CANTIDAD TIRAJE]],Tabla_control[[#This Row],[CANTIDAD TIRAJE]]*2)</f>
        <v>1250</v>
      </c>
      <c r="R443" s="186" t="s">
        <v>172</v>
      </c>
      <c r="S443" s="4" t="s">
        <v>30</v>
      </c>
      <c r="T443" s="4"/>
      <c r="U443" s="4"/>
      <c r="V443" s="4"/>
      <c r="W443" s="185" t="s">
        <v>22</v>
      </c>
      <c r="X443" s="185"/>
      <c r="Y443" s="185"/>
      <c r="Z443" s="185"/>
      <c r="AA443" s="186" t="s">
        <v>171</v>
      </c>
      <c r="AB443" s="184" t="s">
        <v>5700</v>
      </c>
    </row>
    <row r="444" spans="1:28" hidden="1" x14ac:dyDescent="0.2">
      <c r="A444" s="175">
        <f>IF(COUNTIF(Tabla_imprenta[LOTE],Tabla_control[[#This Row],[LOTE]])=1,INDEX(Tabla_imprenta[FECHA EMISIÓN],MATCH(Tabla_control[[#This Row],[LOTE]],Tabla_imprenta[LOTE],0)),"REALIZADO")</f>
        <v>46143</v>
      </c>
      <c r="B444" s="142">
        <f>IF(COUNTIF(Tabla_imprenta[LOTE],Tabla_control[[#This Row],[LOTE]])=1,INDEX(Tabla_imprenta[CÓD. SOLICITUD],MATCH(Tabla_control[[#This Row],[LOTE]],Tabla_imprenta[LOTE],0)),"REALIZADO")</f>
        <v>0</v>
      </c>
      <c r="C444" s="177" t="str">
        <f>IF(COUNTIF(Tabla_imprenta[LOTE],Tabla_control[[#This Row],[LOTE]])=1,INDEX(Tabla_imprenta[PRODUCTO],MATCH(Tabla_control[[#This Row],[LOTE]],Tabla_imprenta[LOTE],0)),"REALIZADO")</f>
        <v>AMOXICILINA 500 MG X 60 ML POLVO PARA SUSP.</v>
      </c>
      <c r="D444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444" s="177" t="str">
        <f>IF(COUNTIF(Tabla_imprenta[LOTE],Tabla_control[[#This Row],[LOTE]])=1,INDEX(Tabla_imprenta[INSTITUCIÓN],MATCH(Tabla_control[[#This Row],[LOTE]],Tabla_imprenta[LOTE],0)),"REALIZADO")</f>
        <v>COMERCIO</v>
      </c>
      <c r="F444" s="229" t="s">
        <v>5356</v>
      </c>
      <c r="G444" s="139">
        <f>IF(COUNTIF(Tabla_imprenta[LOTE],Tabla_control[[#This Row],[LOTE]])=1,INDEX(Tabla_imprenta[CANTIDAD ENVASE SECUNDARIO],MATCH(Tabla_control[[#This Row],[LOTE]],Tabla_imprenta[LOTE],0)),"ENTREGADO")</f>
        <v>24000</v>
      </c>
      <c r="H444" s="139">
        <f>IF(COUNTIF(Tabla_imprenta[LOTE],Tabla_control[[#This Row],[LOTE]])=1,INDEX(Tabla_imprenta[stock sap],MATCH(Tabla_control[[#This Row],[LOTE]],Tabla_imprenta[LOTE],0)),"ENTREGADO")</f>
        <v>1593</v>
      </c>
      <c r="I444" s="139" t="str">
        <f>IF(Tabla_control[[#This Row],[STOCK SAP]]&gt;Tabla_control[[#This Row],[CANTIDAD IMPRIMIR]],"cubre","no cubre")</f>
        <v>no cubre</v>
      </c>
      <c r="J444" s="182">
        <f>IF(COUNTIF(Tabla_imprenta[LOTE],Tabla_control[[#This Row],[LOTE]])=1,INDEX(Tabla_imprenta[STOCK],MATCH(Tabla_control[[#This Row],[LOTE]],Tabla_imprenta[LOTE],0)),"ENTREGADO")</f>
        <v>4.0707319864516398</v>
      </c>
      <c r="K44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46160</v>
      </c>
      <c r="L444" s="148">
        <f>INDEX(Tabla_imprenta[FECHA CAJA],MATCH(Tabla_control[[#This Row],[LOTE]],Tabla_imprenta[LOTE],0))</f>
        <v>46160</v>
      </c>
      <c r="M44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4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4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</v>
      </c>
      <c r="P444" s="170">
        <f>ROUNDUP(Tabla_control[[#This Row],[CANTIDAD IMPRIMIR]]/Tabla_control[[#This Row],[N TJ]],0)</f>
        <v>6000</v>
      </c>
      <c r="Q444" s="170">
        <f>IF(Tabla_control[[#This Row],[CANTIDAD TIRAJE]]&gt;10000,Tabla_control[[#This Row],[CANTIDAD TIRAJE]],Tabla_control[[#This Row],[CANTIDAD TIRAJE]]*2)</f>
        <v>12000</v>
      </c>
      <c r="R444" s="186" t="s">
        <v>172</v>
      </c>
      <c r="S444" s="4" t="s">
        <v>31</v>
      </c>
      <c r="T444" s="4" t="s">
        <v>171</v>
      </c>
      <c r="U444" s="4" t="s">
        <v>171</v>
      </c>
      <c r="V444" s="4"/>
      <c r="W444" s="185" t="s">
        <v>2985</v>
      </c>
      <c r="X444" s="185"/>
      <c r="Y444" s="185"/>
      <c r="Z444" s="185"/>
      <c r="AA444" s="186" t="s">
        <v>2031</v>
      </c>
      <c r="AB444" s="184" t="s">
        <v>4464</v>
      </c>
    </row>
    <row r="445" spans="1:28" hidden="1" x14ac:dyDescent="0.2">
      <c r="A445" s="175">
        <f>IF(COUNTIF(Tabla_imprenta[LOTE],Tabla_control[[#This Row],[LOTE]])=1,INDEX(Tabla_imprenta[FECHA EMISIÓN],MATCH(Tabla_control[[#This Row],[LOTE]],Tabla_imprenta[LOTE],0)),"REALIZADO")</f>
        <v>46143</v>
      </c>
      <c r="B445" s="142">
        <f>IF(COUNTIF(Tabla_imprenta[LOTE],Tabla_control[[#This Row],[LOTE]])=1,INDEX(Tabla_imprenta[CÓD. SOLICITUD],MATCH(Tabla_control[[#This Row],[LOTE]],Tabla_imprenta[LOTE],0)),"REALIZADO")</f>
        <v>0</v>
      </c>
      <c r="C445" s="177" t="str">
        <f>IF(COUNTIF(Tabla_imprenta[LOTE],Tabla_control[[#This Row],[LOTE]])=1,INDEX(Tabla_imprenta[PRODUCTO],MATCH(Tabla_control[[#This Row],[LOTE]],Tabla_imprenta[LOTE],0)),"REALIZADO")</f>
        <v>COMPLEJO B COMPUESTO X 100 COMP. RECUBIERTO VETERINARIO</v>
      </c>
      <c r="D445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45" s="177" t="str">
        <f>IF(COUNTIF(Tabla_imprenta[LOTE],Tabla_control[[#This Row],[LOTE]])=1,INDEX(Tabla_imprenta[INSTITUCIÓN],MATCH(Tabla_control[[#This Row],[LOTE]],Tabla_imprenta[LOTE],0)),"REALIZADO")</f>
        <v>COMERCIO</v>
      </c>
      <c r="F445" s="229" t="s">
        <v>5635</v>
      </c>
      <c r="G445" s="139">
        <f>IF(COUNTIF(Tabla_imprenta[LOTE],Tabla_control[[#This Row],[LOTE]])=1,INDEX(Tabla_imprenta[CANTIDAD ENVASE SECUNDARIO],MATCH(Tabla_control[[#This Row],[LOTE]],Tabla_imprenta[LOTE],0)),"ENTREGADO")</f>
        <v>500</v>
      </c>
      <c r="H445" s="139">
        <f>IF(COUNTIF(Tabla_imprenta[LOTE],Tabla_control[[#This Row],[LOTE]])=1,INDEX(Tabla_imprenta[stock sap],MATCH(Tabla_control[[#This Row],[LOTE]],Tabla_imprenta[LOTE],0)),"ENTREGADO")</f>
        <v>858</v>
      </c>
      <c r="I445" s="139" t="str">
        <f>IF(Tabla_control[[#This Row],[STOCK SAP]]&gt;Tabla_control[[#This Row],[CANTIDAD IMPRIMIR]],"cubre","no cubre")</f>
        <v>cubre</v>
      </c>
      <c r="J445" s="182">
        <f>IF(COUNTIF(Tabla_imprenta[LOTE],Tabla_control[[#This Row],[LOTE]])=1,INDEX(Tabla_imprenta[STOCK],MATCH(Tabla_control[[#This Row],[LOTE]],Tabla_imprenta[LOTE],0)),"ENTREGADO")</f>
        <v>4.9088738559490643</v>
      </c>
      <c r="K44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46160</v>
      </c>
      <c r="L445" s="148">
        <f>INDEX(Tabla_imprenta[FECHA CAJA],MATCH(Tabla_control[[#This Row],[LOTE]],Tabla_imprenta[LOTE],0))</f>
        <v>0</v>
      </c>
      <c r="M44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44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4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92</v>
      </c>
      <c r="P445" s="170">
        <f>ROUNDUP(Tabla_control[[#This Row],[CANTIDAD IMPRIMIR]]/Tabla_control[[#This Row],[N TJ]],0)</f>
        <v>125</v>
      </c>
      <c r="Q445" s="170">
        <f>IF(Tabla_control[[#This Row],[CANTIDAD TIRAJE]]&gt;10000,Tabla_control[[#This Row],[CANTIDAD TIRAJE]],Tabla_control[[#This Row],[CANTIDAD TIRAJE]]*2)</f>
        <v>250</v>
      </c>
      <c r="R445" s="186" t="s">
        <v>176</v>
      </c>
      <c r="S445" s="4" t="s">
        <v>30</v>
      </c>
      <c r="T445" s="4"/>
      <c r="U445" s="4"/>
      <c r="V445" s="4"/>
      <c r="W445" s="185" t="s">
        <v>321</v>
      </c>
      <c r="X445" s="185"/>
      <c r="Y445" s="185"/>
      <c r="Z445" s="185"/>
      <c r="AA445" s="186" t="s">
        <v>321</v>
      </c>
      <c r="AB445" s="184" t="s">
        <v>5700</v>
      </c>
    </row>
    <row r="446" spans="1:28" x14ac:dyDescent="0.2">
      <c r="A446" s="175">
        <f>IF(COUNTIF(Tabla_imprenta[LOTE],Tabla_control[[#This Row],[LOTE]])=1,INDEX(Tabla_imprenta[FECHA EMISIÓN],MATCH(Tabla_control[[#This Row],[LOTE]],Tabla_imprenta[LOTE],0)),"REALIZADO")</f>
        <v>46143</v>
      </c>
      <c r="B446" s="142">
        <f>IF(COUNTIF(Tabla_imprenta[LOTE],Tabla_control[[#This Row],[LOTE]])=1,INDEX(Tabla_imprenta[CÓD. SOLICITUD],MATCH(Tabla_control[[#This Row],[LOTE]],Tabla_imprenta[LOTE],0)),"REALIZADO")</f>
        <v>0</v>
      </c>
      <c r="C446" s="178" t="str">
        <f>IF(COUNTIF(Tabla_imprenta[LOTE],Tabla_control[[#This Row],[LOTE]])=1,INDEX(Tabla_imprenta[PRODUCTO],MATCH(Tabla_control[[#This Row],[LOTE]],Tabla_imprenta[LOTE],0)),"REALIZADO")</f>
        <v>DICLOFENACO 1% X 30 G GEL</v>
      </c>
      <c r="D446" s="142" t="str">
        <f>IF(COUNTIF(Tabla_imprenta[LOTE],Tabla_control[[#This Row],[LOTE]])=1,INDEX(Tabla_imprenta[FORMA FARMACEUTICA],MATCH(Tabla_control[[#This Row],[LOTE]],Tabla_imprenta[LOTE],0)),"REALIZADO")</f>
        <v>GEL</v>
      </c>
      <c r="E446" s="177" t="str">
        <f>IF(COUNTIF(Tabla_imprenta[LOTE],Tabla_control[[#This Row],[LOTE]])=1,INDEX(Tabla_imprenta[INSTITUCIÓN],MATCH(Tabla_control[[#This Row],[LOTE]],Tabla_imprenta[LOTE],0)),"REALIZADO")</f>
        <v>COMERCIO</v>
      </c>
      <c r="F446" s="229" t="s">
        <v>5418</v>
      </c>
      <c r="G446" s="139">
        <f>IF(COUNTIF(Tabla_imprenta[LOTE],Tabla_control[[#This Row],[LOTE]])=1,INDEX(Tabla_imprenta[CANTIDAD ENVASE SECUNDARIO],MATCH(Tabla_control[[#This Row],[LOTE]],Tabla_imprenta[LOTE],0)),"ENTREGADO")</f>
        <v>10200</v>
      </c>
      <c r="H446" s="139">
        <f>IF(COUNTIF(Tabla_imprenta[LOTE],Tabla_control[[#This Row],[LOTE]])=1,INDEX(Tabla_imprenta[stock sap],MATCH(Tabla_control[[#This Row],[LOTE]],Tabla_imprenta[LOTE],0)),"ENTREGADO")</f>
        <v>3340</v>
      </c>
      <c r="I446" s="139" t="str">
        <f>IF(Tabla_control[[#This Row],[STOCK SAP]]&gt;Tabla_control[[#This Row],[CANTIDAD IMPRIMIR]],"cubre","no cubre")</f>
        <v>no cubre</v>
      </c>
      <c r="J446" s="182">
        <f>IF(COUNTIF(Tabla_imprenta[LOTE],Tabla_control[[#This Row],[LOTE]])=1,INDEX(Tabla_imprenta[STOCK],MATCH(Tabla_control[[#This Row],[LOTE]],Tabla_imprenta[LOTE],0)),"ENTREGADO")</f>
        <v>0.39788184998056741</v>
      </c>
      <c r="K44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46163</v>
      </c>
      <c r="L446" s="148">
        <f>INDEX(Tabla_imprenta[FECHA CAJA],MATCH(Tabla_control[[#This Row],[LOTE]],Tabla_imprenta[LOTE],0))</f>
        <v>46161</v>
      </c>
      <c r="M44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4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4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446" s="170">
        <f>ROUNDUP(Tabla_control[[#This Row],[CANTIDAD IMPRIMIR]]/Tabla_control[[#This Row],[N TJ]],0)</f>
        <v>2550</v>
      </c>
      <c r="Q446" s="170">
        <f>IF(Tabla_control[[#This Row],[CANTIDAD TIRAJE]]&gt;10000,Tabla_control[[#This Row],[CANTIDAD TIRAJE]],Tabla_control[[#This Row],[CANTIDAD TIRAJE]]*2)</f>
        <v>5100</v>
      </c>
      <c r="R446" s="186" t="s">
        <v>172</v>
      </c>
      <c r="S446" s="4" t="s">
        <v>30</v>
      </c>
      <c r="T446" s="4"/>
      <c r="U446" s="4"/>
      <c r="V446" s="4"/>
      <c r="W446" s="185" t="s">
        <v>22</v>
      </c>
      <c r="X446" s="185"/>
      <c r="Y446" s="185"/>
      <c r="Z446" s="185"/>
      <c r="AA446" s="186" t="s">
        <v>171</v>
      </c>
      <c r="AB446" s="184" t="s">
        <v>4464</v>
      </c>
    </row>
    <row r="447" spans="1:28" hidden="1" x14ac:dyDescent="0.2">
      <c r="A447" s="175">
        <f>IF(COUNTIF(Tabla_imprenta[LOTE],Tabla_control[[#This Row],[LOTE]])=1,INDEX(Tabla_imprenta[FECHA EMISIÓN],MATCH(Tabla_control[[#This Row],[LOTE]],Tabla_imprenta[LOTE],0)),"REALIZADO")</f>
        <v>46121</v>
      </c>
      <c r="B447" s="142">
        <f>IF(COUNTIF(Tabla_imprenta[LOTE],Tabla_control[[#This Row],[LOTE]])=1,INDEX(Tabla_imprenta[CÓD. SOLICITUD],MATCH(Tabla_control[[#This Row],[LOTE]],Tabla_imprenta[LOTE],0)),"REALIZADO")</f>
        <v>0</v>
      </c>
      <c r="C447" s="177" t="str">
        <f>IF(COUNTIF(Tabla_imprenta[LOTE],Tabla_control[[#This Row],[LOTE]])=1,INDEX(Tabla_imprenta[PRODUCTO],MATCH(Tabla_control[[#This Row],[LOTE]],Tabla_imprenta[LOTE],0)),"REALIZADO")</f>
        <v>CEFTRIAXONA 1000 X 1 POLVO INY.</v>
      </c>
      <c r="D447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447" s="177" t="str">
        <f>IF(COUNTIF(Tabla_imprenta[LOTE],Tabla_control[[#This Row],[LOTE]])=1,INDEX(Tabla_imprenta[INSTITUCIÓN],MATCH(Tabla_control[[#This Row],[LOTE]],Tabla_imprenta[LOTE],0)),"REALIZADO")</f>
        <v>COMERCIO</v>
      </c>
      <c r="F447" s="181" t="s">
        <v>3252</v>
      </c>
      <c r="G447" s="139">
        <f>IF(COUNTIF(Tabla_imprenta[LOTE],Tabla_control[[#This Row],[LOTE]])=1,INDEX(Tabla_imprenta[CANTIDAD ENVASE SECUNDARIO],MATCH(Tabla_control[[#This Row],[LOTE]],Tabla_imprenta[LOTE],0)),"ENTREGADO")</f>
        <v>1400</v>
      </c>
      <c r="H447" s="139">
        <f>IF(COUNTIF(Tabla_imprenta[LOTE],Tabla_control[[#This Row],[LOTE]])=1,INDEX(Tabla_imprenta[stock sap],MATCH(Tabla_control[[#This Row],[LOTE]],Tabla_imprenta[LOTE],0)),"ENTREGADO")</f>
        <v>564</v>
      </c>
      <c r="I447" s="139" t="str">
        <f>IF(Tabla_control[[#This Row],[STOCK SAP]]&gt;Tabla_control[[#This Row],[CANTIDAD IMPRIMIR]],"cubre","no cubre")</f>
        <v>no cubre</v>
      </c>
      <c r="J447" s="182">
        <f>IF(COUNTIF(Tabla_imprenta[LOTE],Tabla_control[[#This Row],[LOTE]])=1,INDEX(Tabla_imprenta[STOCK],MATCH(Tabla_control[[#This Row],[LOTE]],Tabla_imprenta[LOTE],0)),"ENTREGADO")</f>
        <v>1.2473137131573817</v>
      </c>
      <c r="K44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46161</v>
      </c>
      <c r="L447" s="148">
        <f>INDEX(Tabla_imprenta[FECHA CAJA],MATCH(Tabla_control[[#This Row],[LOTE]],Tabla_imprenta[LOTE],0))</f>
        <v>46160</v>
      </c>
      <c r="M44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4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4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</v>
      </c>
      <c r="P447" s="170">
        <f>ROUNDUP(Tabla_control[[#This Row],[CANTIDAD IMPRIMIR]]/Tabla_control[[#This Row],[N TJ]],0)</f>
        <v>1400</v>
      </c>
      <c r="Q447" s="170">
        <f>IF(Tabla_control[[#This Row],[CANTIDAD TIRAJE]]&gt;10000,Tabla_control[[#This Row],[CANTIDAD TIRAJE]],Tabla_control[[#This Row],[CANTIDAD TIRAJE]]*2)</f>
        <v>2800</v>
      </c>
      <c r="R447" s="186" t="s">
        <v>172</v>
      </c>
      <c r="S447" s="4" t="s">
        <v>30</v>
      </c>
      <c r="T447" s="4"/>
      <c r="U447" s="4"/>
      <c r="V447" s="4"/>
      <c r="W447" s="185" t="s">
        <v>3223</v>
      </c>
      <c r="X447" s="185"/>
      <c r="Y447" s="185"/>
      <c r="Z447" s="185"/>
      <c r="AA447" s="186" t="s">
        <v>2031</v>
      </c>
      <c r="AB447" s="184" t="s">
        <v>3222</v>
      </c>
    </row>
    <row r="448" spans="1:28" x14ac:dyDescent="0.2">
      <c r="A448" s="175">
        <f>IF(COUNTIF(Tabla_imprenta[LOTE],Tabla_control[[#This Row],[LOTE]])=1,INDEX(Tabla_imprenta[FECHA EMISIÓN],MATCH(Tabla_control[[#This Row],[LOTE]],Tabla_imprenta[LOTE],0)),"REALIZADO")</f>
        <v>46113</v>
      </c>
      <c r="B448" s="142">
        <f>IF(COUNTIF(Tabla_imprenta[LOTE],Tabla_control[[#This Row],[LOTE]])=1,INDEX(Tabla_imprenta[CÓD. SOLICITUD],MATCH(Tabla_control[[#This Row],[LOTE]],Tabla_imprenta[LOTE],0)),"REALIZADO")</f>
        <v>0</v>
      </c>
      <c r="C448" s="177" t="str">
        <f>IF(COUNTIF(Tabla_imprenta[LOTE],Tabla_control[[#This Row],[LOTE]])=1,INDEX(Tabla_imprenta[PRODUCTO],MATCH(Tabla_control[[#This Row],[LOTE]],Tabla_imprenta[LOTE],0)),"REALIZADO")</f>
        <v>DICLOFENACO 75 MG X 25 AMP. SOLUCION INY.</v>
      </c>
      <c r="D448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48" s="177" t="str">
        <f>IF(COUNTIF(Tabla_imprenta[LOTE],Tabla_control[[#This Row],[LOTE]])=1,INDEX(Tabla_imprenta[INSTITUCIÓN],MATCH(Tabla_control[[#This Row],[LOTE]],Tabla_imprenta[LOTE],0)),"REALIZADO")</f>
        <v>COMERCIO</v>
      </c>
      <c r="F448" s="181" t="s">
        <v>3163</v>
      </c>
      <c r="G448" s="139">
        <f>IF(COUNTIF(Tabla_imprenta[LOTE],Tabla_control[[#This Row],[LOTE]])=1,INDEX(Tabla_imprenta[CANTIDAD ENVASE SECUNDARIO],MATCH(Tabla_control[[#This Row],[LOTE]],Tabla_imprenta[LOTE],0)),"ENTREGADO")</f>
        <v>2320</v>
      </c>
      <c r="H448" s="139">
        <f>IF(COUNTIF(Tabla_imprenta[LOTE],Tabla_control[[#This Row],[LOTE]])=1,INDEX(Tabla_imprenta[stock sap],MATCH(Tabla_control[[#This Row],[LOTE]],Tabla_imprenta[LOTE],0)),"ENTREGADO")</f>
        <v>1480</v>
      </c>
      <c r="I448" s="139" t="str">
        <f>IF(Tabla_control[[#This Row],[STOCK SAP]]&gt;Tabla_control[[#This Row],[CANTIDAD IMPRIMIR]],"cubre","no cubre")</f>
        <v>no cubre</v>
      </c>
      <c r="J448" s="182">
        <f>IF(COUNTIF(Tabla_imprenta[LOTE],Tabla_control[[#This Row],[LOTE]])=1,INDEX(Tabla_imprenta[STOCK],MATCH(Tabla_control[[#This Row],[LOTE]],Tabla_imprenta[LOTE],0)),"ENTREGADO")</f>
        <v>1.3134302239785411</v>
      </c>
      <c r="K44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46161</v>
      </c>
      <c r="L448" s="148">
        <f>INDEX(Tabla_imprenta[FECHA CAJA],MATCH(Tabla_control[[#This Row],[LOTE]],Tabla_imprenta[LOTE],0))</f>
        <v>46161</v>
      </c>
      <c r="M44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4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4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18</v>
      </c>
      <c r="P448" s="170">
        <f>ROUNDUP(Tabla_control[[#This Row],[CANTIDAD IMPRIMIR]]/Tabla_control[[#This Row],[N TJ]],0)</f>
        <v>2320</v>
      </c>
      <c r="Q448" s="170">
        <f>IF(Tabla_control[[#This Row],[CANTIDAD TIRAJE]]&gt;10000,Tabla_control[[#This Row],[CANTIDAD TIRAJE]],Tabla_control[[#This Row],[CANTIDAD TIRAJE]]*2)</f>
        <v>4640</v>
      </c>
      <c r="R448" s="186" t="s">
        <v>172</v>
      </c>
      <c r="S448" s="4" t="s">
        <v>30</v>
      </c>
      <c r="T448" s="4"/>
      <c r="U448" s="4"/>
      <c r="V448" s="4"/>
      <c r="W448" s="185" t="s">
        <v>3238</v>
      </c>
      <c r="X448" s="185"/>
      <c r="Y448" s="185"/>
      <c r="Z448" s="185"/>
      <c r="AA448" s="186" t="s">
        <v>171</v>
      </c>
      <c r="AB448" s="184" t="s">
        <v>3222</v>
      </c>
    </row>
    <row r="449" spans="1:28" hidden="1" x14ac:dyDescent="0.2">
      <c r="A449" s="175">
        <f>IF(COUNTIF(Tabla_imprenta[LOTE],Tabla_control[[#This Row],[LOTE]])=1,INDEX(Tabla_imprenta[FECHA EMISIÓN],MATCH(Tabla_control[[#This Row],[LOTE]],Tabla_imprenta[LOTE],0)),"REALIZADO")</f>
        <v>46083</v>
      </c>
      <c r="B449" s="142">
        <f>IF(COUNTIF(Tabla_imprenta[LOTE],Tabla_control[[#This Row],[LOTE]])=1,INDEX(Tabla_imprenta[CÓD. SOLICITUD],MATCH(Tabla_control[[#This Row],[LOTE]],Tabla_imprenta[LOTE],0)),"REALIZADO")</f>
        <v>0</v>
      </c>
      <c r="C449" s="177" t="str">
        <f>IF(COUNTIF(Tabla_imprenta[LOTE],Tabla_control[[#This Row],[LOTE]])=1,INDEX(Tabla_imprenta[PRODUCTO],MATCH(Tabla_control[[#This Row],[LOTE]],Tabla_imprenta[LOTE],0)),"REALIZADO")</f>
        <v>FLAMADIN PLUS X 200 CAP. BLANDAS</v>
      </c>
      <c r="D449" s="142" t="str">
        <f>IF(COUNTIF(Tabla_imprenta[LOTE],Tabla_control[[#This Row],[LOTE]])=1,INDEX(Tabla_imprenta[FORMA FARMACEUTICA],MATCH(Tabla_control[[#This Row],[LOTE]],Tabla_imprenta[LOTE],0)),"REALIZADO")</f>
        <v>CÁPSULA BLANDA</v>
      </c>
      <c r="E449" s="177" t="str">
        <f>IF(COUNTIF(Tabla_imprenta[LOTE],Tabla_control[[#This Row],[LOTE]])=1,INDEX(Tabla_imprenta[INSTITUCIÓN],MATCH(Tabla_control[[#This Row],[LOTE]],Tabla_imprenta[LOTE],0)),"REALIZADO")</f>
        <v>COMERCIO</v>
      </c>
      <c r="F449" s="180" t="s">
        <v>2551</v>
      </c>
      <c r="G449" s="139">
        <f>IF(COUNTIF(Tabla_imprenta[LOTE],Tabla_control[[#This Row],[LOTE]])=1,INDEX(Tabla_imprenta[CANTIDAD ENVASE SECUNDARIO],MATCH(Tabla_control[[#This Row],[LOTE]],Tabla_imprenta[LOTE],0)),"ENTREGADO")</f>
        <v>450</v>
      </c>
      <c r="H449" s="139">
        <f>IF(COUNTIF(Tabla_imprenta[LOTE],Tabla_control[[#This Row],[LOTE]])=1,INDEX(Tabla_imprenta[stock sap],MATCH(Tabla_control[[#This Row],[LOTE]],Tabla_imprenta[LOTE],0)),"ENTREGADO")</f>
        <v>2746</v>
      </c>
      <c r="I449" s="139" t="str">
        <f>IF(Tabla_control[[#This Row],[STOCK SAP]]&gt;Tabla_control[[#This Row],[CANTIDAD IMPRIMIR]],"cubre","no cubre")</f>
        <v>cubre</v>
      </c>
      <c r="J449" s="7">
        <f>IF(COUNTIF(Tabla_imprenta[LOTE],Tabla_control[[#This Row],[LOTE]])=1,INDEX(Tabla_imprenta[STOCK],MATCH(Tabla_control[[#This Row],[LOTE]],Tabla_imprenta[LOTE],0)),"ENTREGADO")</f>
        <v>1.0514581983149709</v>
      </c>
      <c r="K44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46146</v>
      </c>
      <c r="L449" s="148" t="str">
        <f>INDEX(Tabla_imprenta[FECHA CAJA],MATCH(Tabla_control[[#This Row],[LOTE]],Tabla_imprenta[LOTE],0))</f>
        <v>ENTREGADO</v>
      </c>
      <c r="M44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NARANJA</v>
      </c>
      <c r="N44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4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103</v>
      </c>
      <c r="P449" s="169">
        <f>ROUNDUP(Tabla_control[[#This Row],[CANTIDAD IMPRIMIR]]/Tabla_control[[#This Row],[N TJ]],0)</f>
        <v>450</v>
      </c>
      <c r="Q449" s="169">
        <f>IF(Tabla_control[[#This Row],[CANTIDAD TIRAJE]]&gt;10000,Tabla_control[[#This Row],[CANTIDAD TIRAJE]],Tabla_control[[#This Row],[CANTIDAD TIRAJE]]*2)</f>
        <v>900</v>
      </c>
      <c r="R449" s="4" t="s">
        <v>2206</v>
      </c>
      <c r="S449" s="4" t="s">
        <v>174</v>
      </c>
      <c r="T449" s="4"/>
      <c r="U449" s="4"/>
      <c r="V449" s="4"/>
      <c r="W449" s="138" t="s">
        <v>3223</v>
      </c>
      <c r="X449" s="138"/>
      <c r="Y449" s="138"/>
      <c r="Z449" s="138"/>
      <c r="AA449" s="4" t="s">
        <v>2031</v>
      </c>
      <c r="AB449" s="184" t="s">
        <v>2028</v>
      </c>
    </row>
    <row r="450" spans="1:28" hidden="1" x14ac:dyDescent="0.2">
      <c r="A450" s="175">
        <f>IF(COUNTIF(Tabla_imprenta[LOTE],Tabla_control[[#This Row],[LOTE]])=1,INDEX(Tabla_imprenta[FECHA EMISIÓN],MATCH(Tabla_control[[#This Row],[LOTE]],Tabla_imprenta[LOTE],0)),"REALIZADO")</f>
        <v>46083</v>
      </c>
      <c r="B450" s="142">
        <f>IF(COUNTIF(Tabla_imprenta[LOTE],Tabla_control[[#This Row],[LOTE]])=1,INDEX(Tabla_imprenta[CÓD. SOLICITUD],MATCH(Tabla_control[[#This Row],[LOTE]],Tabla_imprenta[LOTE],0)),"REALIZADO")</f>
        <v>0</v>
      </c>
      <c r="C450" s="177" t="str">
        <f>IF(COUNTIF(Tabla_imprenta[LOTE],Tabla_control[[#This Row],[LOTE]])=1,INDEX(Tabla_imprenta[PRODUCTO],MATCH(Tabla_control[[#This Row],[LOTE]],Tabla_imprenta[LOTE],0)),"REALIZADO")</f>
        <v>FLAMADIN PLUS X 200 CAP. BLANDAS</v>
      </c>
      <c r="D450" s="142" t="str">
        <f>IF(COUNTIF(Tabla_imprenta[LOTE],Tabla_control[[#This Row],[LOTE]])=1,INDEX(Tabla_imprenta[FORMA FARMACEUTICA],MATCH(Tabla_control[[#This Row],[LOTE]],Tabla_imprenta[LOTE],0)),"REALIZADO")</f>
        <v>CÁPSULA BLANDA</v>
      </c>
      <c r="E450" s="177" t="str">
        <f>IF(COUNTIF(Tabla_imprenta[LOTE],Tabla_control[[#This Row],[LOTE]])=1,INDEX(Tabla_imprenta[INSTITUCIÓN],MATCH(Tabla_control[[#This Row],[LOTE]],Tabla_imprenta[LOTE],0)),"REALIZADO")</f>
        <v>COMERCIO</v>
      </c>
      <c r="F450" s="180" t="s">
        <v>2559</v>
      </c>
      <c r="G450" s="139">
        <f>IF(COUNTIF(Tabla_imprenta[LOTE],Tabla_control[[#This Row],[LOTE]])=1,INDEX(Tabla_imprenta[CANTIDAD ENVASE SECUNDARIO],MATCH(Tabla_control[[#This Row],[LOTE]],Tabla_imprenta[LOTE],0)),"ENTREGADO")</f>
        <v>450</v>
      </c>
      <c r="H450" s="139">
        <f>IF(COUNTIF(Tabla_imprenta[LOTE],Tabla_control[[#This Row],[LOTE]])=1,INDEX(Tabla_imprenta[stock sap],MATCH(Tabla_control[[#This Row],[LOTE]],Tabla_imprenta[LOTE],0)),"ENTREGADO")</f>
        <v>2746</v>
      </c>
      <c r="I450" s="139" t="str">
        <f>IF(Tabla_control[[#This Row],[STOCK SAP]]&gt;Tabla_control[[#This Row],[CANTIDAD IMPRIMIR]],"cubre","no cubre")</f>
        <v>cubre</v>
      </c>
      <c r="J450" s="7">
        <f>IF(COUNTIF(Tabla_imprenta[LOTE],Tabla_control[[#This Row],[LOTE]])=1,INDEX(Tabla_imprenta[STOCK],MATCH(Tabla_control[[#This Row],[LOTE]],Tabla_imprenta[LOTE],0)),"ENTREGADO")</f>
        <v>1.0514581983149709</v>
      </c>
      <c r="K45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46146</v>
      </c>
      <c r="L450" s="148" t="str">
        <f>INDEX(Tabla_imprenta[FECHA CAJA],MATCH(Tabla_control[[#This Row],[LOTE]],Tabla_imprenta[LOTE],0))</f>
        <v>ENTREGADO</v>
      </c>
      <c r="M45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NARANJA</v>
      </c>
      <c r="N45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5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103</v>
      </c>
      <c r="P450" s="169">
        <f>ROUNDUP(Tabla_control[[#This Row],[CANTIDAD IMPRIMIR]]/Tabla_control[[#This Row],[N TJ]],0)</f>
        <v>450</v>
      </c>
      <c r="Q450" s="169">
        <f>IF(Tabla_control[[#This Row],[CANTIDAD TIRAJE]]&gt;10000,Tabla_control[[#This Row],[CANTIDAD TIRAJE]],Tabla_control[[#This Row],[CANTIDAD TIRAJE]]*2)</f>
        <v>900</v>
      </c>
      <c r="R450" s="4" t="s">
        <v>2206</v>
      </c>
      <c r="S450" s="4" t="s">
        <v>174</v>
      </c>
      <c r="T450" s="4"/>
      <c r="U450" s="4"/>
      <c r="V450" s="4"/>
      <c r="W450" s="138" t="s">
        <v>3223</v>
      </c>
      <c r="X450" s="138"/>
      <c r="Y450" s="138"/>
      <c r="Z450" s="138"/>
      <c r="AA450" s="4" t="s">
        <v>2031</v>
      </c>
      <c r="AB450" s="184" t="s">
        <v>2028</v>
      </c>
    </row>
    <row r="451" spans="1:28" x14ac:dyDescent="0.2">
      <c r="A451" s="175">
        <f>IF(COUNTIF(Tabla_imprenta[LOTE],Tabla_control[[#This Row],[LOTE]])=1,INDEX(Tabla_imprenta[FECHA EMISIÓN],MATCH(Tabla_control[[#This Row],[LOTE]],Tabla_imprenta[LOTE],0)),"REALIZADO")</f>
        <v>46143</v>
      </c>
      <c r="B451" s="142">
        <f>IF(COUNTIF(Tabla_imprenta[LOTE],Tabla_control[[#This Row],[LOTE]])=1,INDEX(Tabla_imprenta[CÓD. SOLICITUD],MATCH(Tabla_control[[#This Row],[LOTE]],Tabla_imprenta[LOTE],0)),"REALIZADO")</f>
        <v>0</v>
      </c>
      <c r="C451" s="177" t="str">
        <f>IF(COUNTIF(Tabla_imprenta[LOTE],Tabla_control[[#This Row],[LOTE]])=1,INDEX(Tabla_imprenta[PRODUCTO],MATCH(Tabla_control[[#This Row],[LOTE]],Tabla_imprenta[LOTE],0)),"REALIZADO")</f>
        <v>AMLODIPINA 10 MG X 100 COMP.</v>
      </c>
      <c r="D451" s="142" t="str">
        <f>IF(COUNTIF(Tabla_imprenta[LOTE],Tabla_control[[#This Row],[LOTE]])=1,INDEX(Tabla_imprenta[FORMA FARMACEUTICA],MATCH(Tabla_control[[#This Row],[LOTE]],Tabla_imprenta[LOTE],0)),"REALIZADO")</f>
        <v>COMPRIMIDO</v>
      </c>
      <c r="E451" s="177" t="str">
        <f>IF(COUNTIF(Tabla_imprenta[LOTE],Tabla_control[[#This Row],[LOTE]])=1,INDEX(Tabla_imprenta[INSTITUCIÓN],MATCH(Tabla_control[[#This Row],[LOTE]],Tabla_imprenta[LOTE],0)),"REALIZADO")</f>
        <v>COMERCIO</v>
      </c>
      <c r="F451" s="229" t="s">
        <v>5631</v>
      </c>
      <c r="G451" s="139">
        <f>IF(COUNTIF(Tabla_imprenta[LOTE],Tabla_control[[#This Row],[LOTE]])=1,INDEX(Tabla_imprenta[CANTIDAD ENVASE SECUNDARIO],MATCH(Tabla_control[[#This Row],[LOTE]],Tabla_imprenta[LOTE],0)),"ENTREGADO")</f>
        <v>10000</v>
      </c>
      <c r="H451" s="139">
        <f>IF(COUNTIF(Tabla_imprenta[LOTE],Tabla_control[[#This Row],[LOTE]])=1,INDEX(Tabla_imprenta[stock sap],MATCH(Tabla_control[[#This Row],[LOTE]],Tabla_imprenta[LOTE],0)),"ENTREGADO")</f>
        <v>12352</v>
      </c>
      <c r="I451" s="139" t="str">
        <f>IF(Tabla_control[[#This Row],[STOCK SAP]]&gt;Tabla_control[[#This Row],[CANTIDAD IMPRIMIR]],"cubre","no cubre")</f>
        <v>cubre</v>
      </c>
      <c r="J451" s="182">
        <f>IF(COUNTIF(Tabla_imprenta[LOTE],Tabla_control[[#This Row],[LOTE]])=1,INDEX(Tabla_imprenta[STOCK],MATCH(Tabla_control[[#This Row],[LOTE]],Tabla_imprenta[LOTE],0)),"ENTREGADO")</f>
        <v>3.0469370009922949</v>
      </c>
      <c r="K45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46161</v>
      </c>
      <c r="L451" s="148">
        <f>INDEX(Tabla_imprenta[FECHA CAJA],MATCH(Tabla_control[[#This Row],[LOTE]],Tabla_imprenta[LOTE],0))</f>
        <v>0</v>
      </c>
      <c r="M45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5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5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108</v>
      </c>
      <c r="P451" s="170">
        <f>ROUNDUP(Tabla_control[[#This Row],[CANTIDAD IMPRIMIR]]/Tabla_control[[#This Row],[N TJ]],0)</f>
        <v>2500</v>
      </c>
      <c r="Q451" s="170">
        <f>IF(Tabla_control[[#This Row],[CANTIDAD TIRAJE]]&gt;10000,Tabla_control[[#This Row],[CANTIDAD TIRAJE]],Tabla_control[[#This Row],[CANTIDAD TIRAJE]]*2)</f>
        <v>5000</v>
      </c>
      <c r="R451" s="186" t="s">
        <v>172</v>
      </c>
      <c r="S451" s="4" t="s">
        <v>30</v>
      </c>
      <c r="T451" s="4"/>
      <c r="U451" s="4"/>
      <c r="V451" s="4"/>
      <c r="W451" s="185" t="s">
        <v>22</v>
      </c>
      <c r="X451" s="185"/>
      <c r="Y451" s="185"/>
      <c r="Z451" s="185"/>
      <c r="AA451" s="186" t="s">
        <v>171</v>
      </c>
      <c r="AB451" s="184" t="s">
        <v>5700</v>
      </c>
    </row>
    <row r="452" spans="1:28" hidden="1" x14ac:dyDescent="0.2">
      <c r="A452" s="175">
        <f>IF(COUNTIF(Tabla_imprenta[LOTE],Tabla_control[[#This Row],[LOTE]])=1,INDEX(Tabla_imprenta[FECHA EMISIÓN],MATCH(Tabla_control[[#This Row],[LOTE]],Tabla_imprenta[LOTE],0)),"REALIZADO")</f>
        <v>46143</v>
      </c>
      <c r="B452" s="142">
        <f>IF(COUNTIF(Tabla_imprenta[LOTE],Tabla_control[[#This Row],[LOTE]])=1,INDEX(Tabla_imprenta[CÓD. SOLICITUD],MATCH(Tabla_control[[#This Row],[LOTE]],Tabla_imprenta[LOTE],0)),"REALIZADO")</f>
        <v>0</v>
      </c>
      <c r="C452" s="177" t="str">
        <f>IF(COUNTIF(Tabla_imprenta[LOTE],Tabla_control[[#This Row],[LOTE]])=1,INDEX(Tabla_imprenta[PRODUCTO],MATCH(Tabla_control[[#This Row],[LOTE]],Tabla_imprenta[LOTE],0)),"REALIZADO")</f>
        <v>SARNOL 5% X 30 G CREMA DERMICA</v>
      </c>
      <c r="D452" s="142" t="str">
        <f>IF(COUNTIF(Tabla_imprenta[LOTE],Tabla_control[[#This Row],[LOTE]])=1,INDEX(Tabla_imprenta[FORMA FARMACEUTICA],MATCH(Tabla_control[[#This Row],[LOTE]],Tabla_imprenta[LOTE],0)),"REALIZADO")</f>
        <v>CREMA DÉRMICA</v>
      </c>
      <c r="E452" s="177" t="str">
        <f>IF(COUNTIF(Tabla_imprenta[LOTE],Tabla_control[[#This Row],[LOTE]])=1,INDEX(Tabla_imprenta[INSTITUCIÓN],MATCH(Tabla_control[[#This Row],[LOTE]],Tabla_imprenta[LOTE],0)),"REALIZADO")</f>
        <v>COMERCIO</v>
      </c>
      <c r="F452" s="229" t="s">
        <v>5401</v>
      </c>
      <c r="G452" s="139">
        <f>IF(COUNTIF(Tabla_imprenta[LOTE],Tabla_control[[#This Row],[LOTE]])=1,INDEX(Tabla_imprenta[CANTIDAD ENVASE SECUNDARIO],MATCH(Tabla_control[[#This Row],[LOTE]],Tabla_imprenta[LOTE],0)),"ENTREGADO")</f>
        <v>9000</v>
      </c>
      <c r="H452" s="139">
        <f>IF(COUNTIF(Tabla_imprenta[LOTE],Tabla_control[[#This Row],[LOTE]])=1,INDEX(Tabla_imprenta[stock sap],MATCH(Tabla_control[[#This Row],[LOTE]],Tabla_imprenta[LOTE],0)),"ENTREGADO")</f>
        <v>1051</v>
      </c>
      <c r="I452" s="139" t="str">
        <f>IF(Tabla_control[[#This Row],[STOCK SAP]]&gt;Tabla_control[[#This Row],[CANTIDAD IMPRIMIR]],"cubre","no cubre")</f>
        <v>no cubre</v>
      </c>
      <c r="J452" s="182">
        <f>IF(COUNTIF(Tabla_imprenta[LOTE],Tabla_control[[#This Row],[LOTE]])=1,INDEX(Tabla_imprenta[STOCK],MATCH(Tabla_control[[#This Row],[LOTE]],Tabla_imprenta[LOTE],0)),"ENTREGADO")</f>
        <v>0.83776795395779458</v>
      </c>
      <c r="K45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46176</v>
      </c>
      <c r="L452" s="148">
        <f>INDEX(Tabla_imprenta[FECHA CAJA],MATCH(Tabla_control[[#This Row],[LOTE]],Tabla_imprenta[LOTE],0))</f>
        <v>0</v>
      </c>
      <c r="M45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45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5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452" s="170">
        <f>ROUNDUP(Tabla_control[[#This Row],[CANTIDAD IMPRIMIR]]/Tabla_control[[#This Row],[N TJ]],0)</f>
        <v>2250</v>
      </c>
      <c r="Q452" s="170">
        <f>IF(Tabla_control[[#This Row],[CANTIDAD TIRAJE]]&gt;10000,Tabla_control[[#This Row],[CANTIDAD TIRAJE]],Tabla_control[[#This Row],[CANTIDAD TIRAJE]]*2)</f>
        <v>4500</v>
      </c>
      <c r="R452" s="186" t="s">
        <v>173</v>
      </c>
      <c r="S452" s="4" t="s">
        <v>174</v>
      </c>
      <c r="T452" s="4"/>
      <c r="U452" s="4"/>
      <c r="V452" s="4"/>
      <c r="W452" s="185" t="s">
        <v>3223</v>
      </c>
      <c r="X452" s="185"/>
      <c r="Y452" s="185"/>
      <c r="Z452" s="185"/>
      <c r="AA452" s="186" t="s">
        <v>2031</v>
      </c>
      <c r="AB452" s="184" t="s">
        <v>4464</v>
      </c>
    </row>
    <row r="453" spans="1:28" x14ac:dyDescent="0.2">
      <c r="A453" s="175">
        <f>IF(COUNTIF(Tabla_imprenta[LOTE],Tabla_control[[#This Row],[LOTE]])=1,INDEX(Tabla_imprenta[FECHA EMISIÓN],MATCH(Tabla_control[[#This Row],[LOTE]],Tabla_imprenta[LOTE],0)),"REALIZADO")</f>
        <v>46113</v>
      </c>
      <c r="B453" s="142">
        <f>IF(COUNTIF(Tabla_imprenta[LOTE],Tabla_control[[#This Row],[LOTE]])=1,INDEX(Tabla_imprenta[CÓD. SOLICITUD],MATCH(Tabla_control[[#This Row],[LOTE]],Tabla_imprenta[LOTE],0)),"REALIZADO")</f>
        <v>0</v>
      </c>
      <c r="C453" s="177" t="str">
        <f>IF(COUNTIF(Tabla_imprenta[LOTE],Tabla_control[[#This Row],[LOTE]])=1,INDEX(Tabla_imprenta[PRODUCTO],MATCH(Tabla_control[[#This Row],[LOTE]],Tabla_imprenta[LOTE],0)),"REALIZADO")</f>
        <v>DICLOFENACO 75 MG X 25 AMP. SOLUCION INY.</v>
      </c>
      <c r="D453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53" s="177" t="str">
        <f>IF(COUNTIF(Tabla_imprenta[LOTE],Tabla_control[[#This Row],[LOTE]])=1,INDEX(Tabla_imprenta[INSTITUCIÓN],MATCH(Tabla_control[[#This Row],[LOTE]],Tabla_imprenta[LOTE],0)),"REALIZADO")</f>
        <v>COMERCIO</v>
      </c>
      <c r="F453" s="181" t="s">
        <v>3161</v>
      </c>
      <c r="G453" s="139">
        <f>IF(COUNTIF(Tabla_imprenta[LOTE],Tabla_control[[#This Row],[LOTE]])=1,INDEX(Tabla_imprenta[CANTIDAD ENVASE SECUNDARIO],MATCH(Tabla_control[[#This Row],[LOTE]],Tabla_imprenta[LOTE],0)),"ENTREGADO")</f>
        <v>2320</v>
      </c>
      <c r="H453" s="139">
        <f>IF(COUNTIF(Tabla_imprenta[LOTE],Tabla_control[[#This Row],[LOTE]])=1,INDEX(Tabla_imprenta[stock sap],MATCH(Tabla_control[[#This Row],[LOTE]],Tabla_imprenta[LOTE],0)),"ENTREGADO")</f>
        <v>1480</v>
      </c>
      <c r="I453" s="139" t="str">
        <f>IF(Tabla_control[[#This Row],[STOCK SAP]]&gt;Tabla_control[[#This Row],[CANTIDAD IMPRIMIR]],"cubre","no cubre")</f>
        <v>no cubre</v>
      </c>
      <c r="J453" s="182">
        <f>IF(COUNTIF(Tabla_imprenta[LOTE],Tabla_control[[#This Row],[LOTE]])=1,INDEX(Tabla_imprenta[STOCK],MATCH(Tabla_control[[#This Row],[LOTE]],Tabla_imprenta[LOTE],0)),"ENTREGADO")</f>
        <v>1.3134302239785411</v>
      </c>
      <c r="K45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46162</v>
      </c>
      <c r="L453" s="148">
        <f>INDEX(Tabla_imprenta[FECHA CAJA],MATCH(Tabla_control[[#This Row],[LOTE]],Tabla_imprenta[LOTE],0))</f>
        <v>46162</v>
      </c>
      <c r="M45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5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5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18</v>
      </c>
      <c r="P453" s="170">
        <f>ROUNDUP(Tabla_control[[#This Row],[CANTIDAD IMPRIMIR]]/Tabla_control[[#This Row],[N TJ]],0)</f>
        <v>2320</v>
      </c>
      <c r="Q453" s="170">
        <f>IF(Tabla_control[[#This Row],[CANTIDAD TIRAJE]]&gt;10000,Tabla_control[[#This Row],[CANTIDAD TIRAJE]],Tabla_control[[#This Row],[CANTIDAD TIRAJE]]*2)</f>
        <v>4640</v>
      </c>
      <c r="R453" s="186" t="s">
        <v>172</v>
      </c>
      <c r="S453" s="4" t="s">
        <v>30</v>
      </c>
      <c r="T453" s="4"/>
      <c r="U453" s="4"/>
      <c r="V453" s="4"/>
      <c r="W453" s="185" t="s">
        <v>3238</v>
      </c>
      <c r="X453" s="185"/>
      <c r="Y453" s="185"/>
      <c r="Z453" s="185"/>
      <c r="AA453" s="186" t="s">
        <v>171</v>
      </c>
      <c r="AB453" s="184" t="s">
        <v>3222</v>
      </c>
    </row>
    <row r="454" spans="1:28" x14ac:dyDescent="0.2">
      <c r="A454" s="175">
        <f>IF(COUNTIF(Tabla_imprenta[LOTE],Tabla_control[[#This Row],[LOTE]])=1,INDEX(Tabla_imprenta[FECHA EMISIÓN],MATCH(Tabla_control[[#This Row],[LOTE]],Tabla_imprenta[LOTE],0)),"REALIZADO")</f>
        <v>46143</v>
      </c>
      <c r="B454" s="142">
        <f>IF(COUNTIF(Tabla_imprenta[LOTE],Tabla_control[[#This Row],[LOTE]])=1,INDEX(Tabla_imprenta[CÓD. SOLICITUD],MATCH(Tabla_control[[#This Row],[LOTE]],Tabla_imprenta[LOTE],0)),"REALIZADO")</f>
        <v>0</v>
      </c>
      <c r="C454" s="177" t="str">
        <f>IF(COUNTIF(Tabla_imprenta[LOTE],Tabla_control[[#This Row],[LOTE]])=1,INDEX(Tabla_imprenta[PRODUCTO],MATCH(Tabla_control[[#This Row],[LOTE]],Tabla_imprenta[LOTE],0)),"REALIZADO")</f>
        <v>INDOMETACINA 25 MG X 100 COMP. RECUBIERTO</v>
      </c>
      <c r="D454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54" s="177" t="str">
        <f>IF(COUNTIF(Tabla_imprenta[LOTE],Tabla_control[[#This Row],[LOTE]])=1,INDEX(Tabla_imprenta[INSTITUCIÓN],MATCH(Tabla_control[[#This Row],[LOTE]],Tabla_imprenta[LOTE],0)),"REALIZADO")</f>
        <v>COMERCIO</v>
      </c>
      <c r="F454" s="229" t="s">
        <v>5648</v>
      </c>
      <c r="G454" s="139">
        <f>IF(COUNTIF(Tabla_imprenta[LOTE],Tabla_control[[#This Row],[LOTE]])=1,INDEX(Tabla_imprenta[CANTIDAD ENVASE SECUNDARIO],MATCH(Tabla_control[[#This Row],[LOTE]],Tabla_imprenta[LOTE],0)),"ENTREGADO")</f>
        <v>9820</v>
      </c>
      <c r="H454" s="139">
        <f>IF(COUNTIF(Tabla_imprenta[LOTE],Tabla_control[[#This Row],[LOTE]])=1,INDEX(Tabla_imprenta[stock sap],MATCH(Tabla_control[[#This Row],[LOTE]],Tabla_imprenta[LOTE],0)),"ENTREGADO")</f>
        <v>967</v>
      </c>
      <c r="I454" s="139" t="str">
        <f>IF(Tabla_control[[#This Row],[STOCK SAP]]&gt;Tabla_control[[#This Row],[CANTIDAD IMPRIMIR]],"cubre","no cubre")</f>
        <v>no cubre</v>
      </c>
      <c r="J454" s="182">
        <f>IF(COUNTIF(Tabla_imprenta[LOTE],Tabla_control[[#This Row],[LOTE]])=1,INDEX(Tabla_imprenta[STOCK],MATCH(Tabla_control[[#This Row],[LOTE]],Tabla_imprenta[LOTE],0)),"ENTREGADO")</f>
        <v>3.5178744333952094</v>
      </c>
      <c r="K45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46162</v>
      </c>
      <c r="L454" s="148">
        <f>INDEX(Tabla_imprenta[FECHA CAJA],MATCH(Tabla_control[[#This Row],[LOTE]],Tabla_imprenta[LOTE],0))</f>
        <v>0</v>
      </c>
      <c r="M45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5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5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92</v>
      </c>
      <c r="P454" s="170">
        <f>ROUNDUP(Tabla_control[[#This Row],[CANTIDAD IMPRIMIR]]/Tabla_control[[#This Row],[N TJ]],0)</f>
        <v>2455</v>
      </c>
      <c r="Q454" s="170">
        <f>IF(Tabla_control[[#This Row],[CANTIDAD TIRAJE]]&gt;10000,Tabla_control[[#This Row],[CANTIDAD TIRAJE]],Tabla_control[[#This Row],[CANTIDAD TIRAJE]]*2)</f>
        <v>4910</v>
      </c>
      <c r="R454" s="186" t="s">
        <v>172</v>
      </c>
      <c r="S454" s="4" t="s">
        <v>30</v>
      </c>
      <c r="T454" s="4"/>
      <c r="U454" s="4"/>
      <c r="V454" s="4"/>
      <c r="W454" s="185" t="s">
        <v>22</v>
      </c>
      <c r="X454" s="185"/>
      <c r="Y454" s="185"/>
      <c r="Z454" s="185"/>
      <c r="AA454" s="186" t="s">
        <v>171</v>
      </c>
      <c r="AB454" s="184" t="s">
        <v>5700</v>
      </c>
    </row>
    <row r="455" spans="1:28" hidden="1" x14ac:dyDescent="0.2">
      <c r="A455" s="175">
        <f>IF(COUNTIF(Tabla_imprenta[LOTE],Tabla_control[[#This Row],[LOTE]])=1,INDEX(Tabla_imprenta[FECHA EMISIÓN],MATCH(Tabla_control[[#This Row],[LOTE]],Tabla_imprenta[LOTE],0)),"REALIZADO")</f>
        <v>46143</v>
      </c>
      <c r="B455" s="142">
        <f>IF(COUNTIF(Tabla_imprenta[LOTE],Tabla_control[[#This Row],[LOTE]])=1,INDEX(Tabla_imprenta[CÓD. SOLICITUD],MATCH(Tabla_control[[#This Row],[LOTE]],Tabla_imprenta[LOTE],0)),"REALIZADO")</f>
        <v>0</v>
      </c>
      <c r="C455" s="177" t="str">
        <f>IF(COUNTIF(Tabla_imprenta[LOTE],Tabla_control[[#This Row],[LOTE]])=1,INDEX(Tabla_imprenta[PRODUCTO],MATCH(Tabla_control[[#This Row],[LOTE]],Tabla_imprenta[LOTE],0)),"REALIZADO")</f>
        <v>AMOXICILINA 500 MG X 60 ML POLVO PARA SUSP.</v>
      </c>
      <c r="D455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455" s="177" t="str">
        <f>IF(COUNTIF(Tabla_imprenta[LOTE],Tabla_control[[#This Row],[LOTE]])=1,INDEX(Tabla_imprenta[INSTITUCIÓN],MATCH(Tabla_control[[#This Row],[LOTE]],Tabla_imprenta[LOTE],0)),"REALIZADO")</f>
        <v>COMERCIO</v>
      </c>
      <c r="F455" s="229" t="s">
        <v>5352</v>
      </c>
      <c r="G455" s="139">
        <f>IF(COUNTIF(Tabla_imprenta[LOTE],Tabla_control[[#This Row],[LOTE]])=1,INDEX(Tabla_imprenta[CANTIDAD ENVASE SECUNDARIO],MATCH(Tabla_control[[#This Row],[LOTE]],Tabla_imprenta[LOTE],0)),"ENTREGADO")</f>
        <v>24000</v>
      </c>
      <c r="H455" s="139">
        <f>IF(COUNTIF(Tabla_imprenta[LOTE],Tabla_control[[#This Row],[LOTE]])=1,INDEX(Tabla_imprenta[stock sap],MATCH(Tabla_control[[#This Row],[LOTE]],Tabla_imprenta[LOTE],0)),"ENTREGADO")</f>
        <v>1593</v>
      </c>
      <c r="I455" s="139" t="str">
        <f>IF(Tabla_control[[#This Row],[STOCK SAP]]&gt;Tabla_control[[#This Row],[CANTIDAD IMPRIMIR]],"cubre","no cubre")</f>
        <v>no cubre</v>
      </c>
      <c r="J455" s="182">
        <f>IF(COUNTIF(Tabla_imprenta[LOTE],Tabla_control[[#This Row],[LOTE]])=1,INDEX(Tabla_imprenta[STOCK],MATCH(Tabla_control[[#This Row],[LOTE]],Tabla_imprenta[LOTE],0)),"ENTREGADO")</f>
        <v>4.0707319864516398</v>
      </c>
      <c r="K45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46162</v>
      </c>
      <c r="L455" s="148">
        <f>INDEX(Tabla_imprenta[FECHA CAJA],MATCH(Tabla_control[[#This Row],[LOTE]],Tabla_imprenta[LOTE],0))</f>
        <v>46162</v>
      </c>
      <c r="M45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5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5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</v>
      </c>
      <c r="P455" s="170">
        <f>ROUNDUP(Tabla_control[[#This Row],[CANTIDAD IMPRIMIR]]/Tabla_control[[#This Row],[N TJ]],0)</f>
        <v>6000</v>
      </c>
      <c r="Q455" s="170">
        <f>IF(Tabla_control[[#This Row],[CANTIDAD TIRAJE]]&gt;10000,Tabla_control[[#This Row],[CANTIDAD TIRAJE]],Tabla_control[[#This Row],[CANTIDAD TIRAJE]]*2)</f>
        <v>12000</v>
      </c>
      <c r="R455" s="186" t="s">
        <v>172</v>
      </c>
      <c r="S455" s="4" t="s">
        <v>31</v>
      </c>
      <c r="T455" s="4"/>
      <c r="U455" s="4" t="s">
        <v>171</v>
      </c>
      <c r="V455" s="4"/>
      <c r="W455" s="185" t="s">
        <v>2985</v>
      </c>
      <c r="X455" s="185"/>
      <c r="Y455" s="185"/>
      <c r="Z455" s="185"/>
      <c r="AA455" s="186" t="s">
        <v>2031</v>
      </c>
      <c r="AB455" s="184" t="s">
        <v>4464</v>
      </c>
    </row>
    <row r="456" spans="1:28" hidden="1" x14ac:dyDescent="0.2">
      <c r="A456" s="175">
        <f>IF(COUNTIF(Tabla_imprenta[LOTE],Tabla_control[[#This Row],[LOTE]])=1,INDEX(Tabla_imprenta[FECHA EMISIÓN],MATCH(Tabla_control[[#This Row],[LOTE]],Tabla_imprenta[LOTE],0)),"REALIZADO")</f>
        <v>46083</v>
      </c>
      <c r="B456" s="142">
        <f>IF(COUNTIF(Tabla_imprenta[LOTE],Tabla_control[[#This Row],[LOTE]])=1,INDEX(Tabla_imprenta[CÓD. SOLICITUD],MATCH(Tabla_control[[#This Row],[LOTE]],Tabla_imprenta[LOTE],0)),"REALIZADO")</f>
        <v>0</v>
      </c>
      <c r="C456" s="177" t="str">
        <f>IF(COUNTIF(Tabla_imprenta[LOTE],Tabla_control[[#This Row],[LOTE]])=1,INDEX(Tabla_imprenta[PRODUCTO],MATCH(Tabla_control[[#This Row],[LOTE]],Tabla_imprenta[LOTE],0)),"REALIZADO")</f>
        <v>LIDERMAN X 20 CAP. BLANDAS</v>
      </c>
      <c r="D456" s="142" t="str">
        <f>IF(COUNTIF(Tabla_imprenta[LOTE],Tabla_control[[#This Row],[LOTE]])=1,INDEX(Tabla_imprenta[FORMA FARMACEUTICA],MATCH(Tabla_control[[#This Row],[LOTE]],Tabla_imprenta[LOTE],0)),"REALIZADO")</f>
        <v>CÁPSULA BLANDA</v>
      </c>
      <c r="E456" s="177" t="str">
        <f>IF(COUNTIF(Tabla_imprenta[LOTE],Tabla_control[[#This Row],[LOTE]])=1,INDEX(Tabla_imprenta[INSTITUCIÓN],MATCH(Tabla_control[[#This Row],[LOTE]],Tabla_imprenta[LOTE],0)),"REALIZADO")</f>
        <v>COMERCIO</v>
      </c>
      <c r="F456" s="180" t="s">
        <v>2497</v>
      </c>
      <c r="G456" s="139">
        <f>IF(COUNTIF(Tabla_imprenta[LOTE],Tabla_control[[#This Row],[LOTE]])=1,INDEX(Tabla_imprenta[CANTIDAD ENVASE SECUNDARIO],MATCH(Tabla_control[[#This Row],[LOTE]],Tabla_imprenta[LOTE],0)),"ENTREGADO")</f>
        <v>1700</v>
      </c>
      <c r="H456" s="139">
        <f>IF(COUNTIF(Tabla_imprenta[LOTE],Tabla_control[[#This Row],[LOTE]])=1,INDEX(Tabla_imprenta[stock sap],MATCH(Tabla_control[[#This Row],[LOTE]],Tabla_imprenta[LOTE],0)),"ENTREGADO")</f>
        <v>1535</v>
      </c>
      <c r="I456" s="139" t="str">
        <f>IF(Tabla_control[[#This Row],[STOCK SAP]]&gt;Tabla_control[[#This Row],[CANTIDAD IMPRIMIR]],"cubre","no cubre")</f>
        <v>no cubre</v>
      </c>
      <c r="J456" s="7">
        <f>IF(COUNTIF(Tabla_imprenta[LOTE],Tabla_control[[#This Row],[LOTE]])=1,INDEX(Tabla_imprenta[STOCK],MATCH(Tabla_control[[#This Row],[LOTE]],Tabla_imprenta[LOTE],0)),"ENTREGADO")</f>
        <v>0.42165898617511521</v>
      </c>
      <c r="K45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456" s="148" t="str">
        <f>INDEX(Tabla_imprenta[FECHA CAJA],MATCH(Tabla_control[[#This Row],[LOTE]],Tabla_imprenta[LOTE],0))</f>
        <v>ENTREGADO</v>
      </c>
      <c r="M45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CMYK</v>
      </c>
      <c r="N45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45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53</v>
      </c>
      <c r="P456" s="169">
        <f>ROUNDUP(Tabla_control[[#This Row],[CANTIDAD IMPRIMIR]]/Tabla_control[[#This Row],[N TJ]],0)</f>
        <v>284</v>
      </c>
      <c r="Q456" s="169">
        <f>IF(Tabla_control[[#This Row],[CANTIDAD TIRAJE]]&gt;10000,Tabla_control[[#This Row],[CANTIDAD TIRAJE]],Tabla_control[[#This Row],[CANTIDAD TIRAJE]]*2)</f>
        <v>568</v>
      </c>
      <c r="R456" s="4" t="s">
        <v>2030</v>
      </c>
      <c r="S456" s="4" t="s">
        <v>174</v>
      </c>
      <c r="T456" s="4"/>
      <c r="U456" s="4"/>
      <c r="V456" s="4"/>
      <c r="W456" s="138" t="s">
        <v>3223</v>
      </c>
      <c r="X456" s="138"/>
      <c r="Y456" s="138"/>
      <c r="Z456" s="138"/>
      <c r="AA456" s="4" t="s">
        <v>2031</v>
      </c>
      <c r="AB456" s="184" t="s">
        <v>2028</v>
      </c>
    </row>
    <row r="457" spans="1:28" hidden="1" x14ac:dyDescent="0.2">
      <c r="A457" s="175" t="str">
        <f>IF(COUNTIF(Tabla_imprenta[LOTE],Tabla_control[[#This Row],[LOTE]])=1,INDEX(Tabla_imprenta[FECHA EMISIÓN],MATCH(Tabla_control[[#This Row],[LOTE]],Tabla_imprenta[LOTE],0)),"REALIZADO")</f>
        <v>REALIZADO</v>
      </c>
      <c r="B457" s="142" t="str">
        <f>IF(COUNTIF(Tabla_imprenta[LOTE],Tabla_control[[#This Row],[LOTE]])=1,INDEX(Tabla_imprenta[CÓD. SOLICITUD],MATCH(Tabla_control[[#This Row],[LOTE]],Tabla_imprenta[LOTE],0)),"REALIZADO")</f>
        <v>REALIZADO</v>
      </c>
      <c r="C457" s="177" t="str">
        <f>IF(COUNTIF(Tabla_imprenta[LOTE],Tabla_control[[#This Row],[LOTE]])=1,INDEX(Tabla_imprenta[PRODUCTO],MATCH(Tabla_control[[#This Row],[LOTE]],Tabla_imprenta[LOTE],0)),"REALIZADO")</f>
        <v>REALIZADO</v>
      </c>
      <c r="D457" s="142" t="str">
        <f>IF(COUNTIF(Tabla_imprenta[LOTE],Tabla_control[[#This Row],[LOTE]])=1,INDEX(Tabla_imprenta[FORMA FARMACEUTICA],MATCH(Tabla_control[[#This Row],[LOTE]],Tabla_imprenta[LOTE],0)),"REALIZADO")</f>
        <v>REALIZADO</v>
      </c>
      <c r="E457" s="177" t="str">
        <f>IF(COUNTIF(Tabla_imprenta[LOTE],Tabla_control[[#This Row],[LOTE]])=1,INDEX(Tabla_imprenta[INSTITUCIÓN],MATCH(Tabla_control[[#This Row],[LOTE]],Tabla_imprenta[LOTE],0)),"REALIZADO")</f>
        <v>REALIZADO</v>
      </c>
      <c r="F457" s="180" t="s">
        <v>2541</v>
      </c>
      <c r="G457" s="139" t="str">
        <f>IF(COUNTIF(Tabla_imprenta[LOTE],Tabla_control[[#This Row],[LOTE]])=1,INDEX(Tabla_imprenta[CANTIDAD ENVASE SECUNDARIO],MATCH(Tabla_control[[#This Row],[LOTE]],Tabla_imprenta[LOTE],0)),"ENTREGADO")</f>
        <v>ENTREGADO</v>
      </c>
      <c r="H457" s="139" t="str">
        <f>IF(COUNTIF(Tabla_imprenta[LOTE],Tabla_control[[#This Row],[LOTE]])=1,INDEX(Tabla_imprenta[stock sap],MATCH(Tabla_control[[#This Row],[LOTE]],Tabla_imprenta[LOTE],0)),"ENTREGADO")</f>
        <v>ENTREGADO</v>
      </c>
      <c r="I457" s="139" t="str">
        <f>IF(Tabla_control[[#This Row],[STOCK SAP]]&gt;Tabla_control[[#This Row],[CANTIDAD IMPRIMIR]],"cubre","no cubre")</f>
        <v>no cubre</v>
      </c>
      <c r="J457" s="7" t="str">
        <f>IF(COUNTIF(Tabla_imprenta[LOTE],Tabla_control[[#This Row],[LOTE]])=1,INDEX(Tabla_imprenta[STOCK],MATCH(Tabla_control[[#This Row],[LOTE]],Tabla_imprenta[LOTE],0)),"ENTREGADO")</f>
        <v>ENTREGADO</v>
      </c>
      <c r="K45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ENTREGADO</v>
      </c>
      <c r="L457" s="148" t="e">
        <f>INDEX(Tabla_imprenta[FECHA CAJA],MATCH(Tabla_control[[#This Row],[LOTE]],Tabla_imprenta[LOTE],0))</f>
        <v>#N/A</v>
      </c>
      <c r="M45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ENTREGADO</v>
      </c>
      <c r="N45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ENTREGADO</v>
      </c>
      <c r="O45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ENTREGADO</v>
      </c>
      <c r="P457" s="169" t="e">
        <f>ROUNDUP(Tabla_control[[#This Row],[CANTIDAD IMPRIMIR]]/Tabla_control[[#This Row],[N TJ]],0)</f>
        <v>#VALUE!</v>
      </c>
      <c r="Q457" s="169" t="e">
        <f>IF(Tabla_control[[#This Row],[CANTIDAD TIRAJE]]&gt;10000,Tabla_control[[#This Row],[CANTIDAD TIRAJE]],Tabla_control[[#This Row],[CANTIDAD TIRAJE]]*2)</f>
        <v>#VALUE!</v>
      </c>
      <c r="R457" s="4" t="s">
        <v>172</v>
      </c>
      <c r="S457" s="4" t="s">
        <v>30</v>
      </c>
      <c r="T457" s="4"/>
      <c r="U457" s="4"/>
      <c r="V457" s="4"/>
      <c r="W457" s="185" t="s">
        <v>2470</v>
      </c>
      <c r="X457" s="185"/>
      <c r="Y457" s="185"/>
      <c r="Z457" s="185"/>
      <c r="AA457" s="4" t="s">
        <v>171</v>
      </c>
      <c r="AB457" s="184" t="s">
        <v>2028</v>
      </c>
    </row>
    <row r="458" spans="1:28" x14ac:dyDescent="0.2">
      <c r="A458" s="175">
        <f>IF(COUNTIF(Tabla_imprenta[LOTE],Tabla_control[[#This Row],[LOTE]])=1,INDEX(Tabla_imprenta[FECHA EMISIÓN],MATCH(Tabla_control[[#This Row],[LOTE]],Tabla_imprenta[LOTE],0)),"REALIZADO")</f>
        <v>46143</v>
      </c>
      <c r="B458" s="142">
        <f>IF(COUNTIF(Tabla_imprenta[LOTE],Tabla_control[[#This Row],[LOTE]])=1,INDEX(Tabla_imprenta[CÓD. SOLICITUD],MATCH(Tabla_control[[#This Row],[LOTE]],Tabla_imprenta[LOTE],0)),"REALIZADO")</f>
        <v>0</v>
      </c>
      <c r="C458" s="177" t="str">
        <f>IF(COUNTIF(Tabla_imprenta[LOTE],Tabla_control[[#This Row],[LOTE]])=1,INDEX(Tabla_imprenta[PRODUCTO],MATCH(Tabla_control[[#This Row],[LOTE]],Tabla_imprenta[LOTE],0)),"REALIZADO")</f>
        <v>IBUPROFENO 400 MG X 100 COMP.</v>
      </c>
      <c r="D458" s="142" t="str">
        <f>IF(COUNTIF(Tabla_imprenta[LOTE],Tabla_control[[#This Row],[LOTE]])=1,INDEX(Tabla_imprenta[FORMA FARMACEUTICA],MATCH(Tabla_control[[#This Row],[LOTE]],Tabla_imprenta[LOTE],0)),"REALIZADO")</f>
        <v>COMPRIMIDO</v>
      </c>
      <c r="E458" s="177" t="str">
        <f>IF(COUNTIF(Tabla_imprenta[LOTE],Tabla_control[[#This Row],[LOTE]])=1,INDEX(Tabla_imprenta[INSTITUCIÓN],MATCH(Tabla_control[[#This Row],[LOTE]],Tabla_imprenta[LOTE],0)),"REALIZADO")</f>
        <v>COMERCIO</v>
      </c>
      <c r="F458" s="229" t="s">
        <v>5645</v>
      </c>
      <c r="G458" s="139">
        <f>IF(COUNTIF(Tabla_imprenta[LOTE],Tabla_control[[#This Row],[LOTE]])=1,INDEX(Tabla_imprenta[CANTIDAD ENVASE SECUNDARIO],MATCH(Tabla_control[[#This Row],[LOTE]],Tabla_imprenta[LOTE],0)),"ENTREGADO")</f>
        <v>2000</v>
      </c>
      <c r="H458" s="139">
        <f>IF(COUNTIF(Tabla_imprenta[LOTE],Tabla_control[[#This Row],[LOTE]])=1,INDEX(Tabla_imprenta[stock sap],MATCH(Tabla_control[[#This Row],[LOTE]],Tabla_imprenta[LOTE],0)),"ENTREGADO")</f>
        <v>445</v>
      </c>
      <c r="I458" s="139" t="str">
        <f>IF(Tabla_control[[#This Row],[STOCK SAP]]&gt;Tabla_control[[#This Row],[CANTIDAD IMPRIMIR]],"cubre","no cubre")</f>
        <v>no cubre</v>
      </c>
      <c r="J458" s="182">
        <f>IF(COUNTIF(Tabla_imprenta[LOTE],Tabla_control[[#This Row],[LOTE]])=1,INDEX(Tabla_imprenta[STOCK],MATCH(Tabla_control[[#This Row],[LOTE]],Tabla_imprenta[LOTE],0)),"ENTREGADO")</f>
        <v>4.2674017918676768</v>
      </c>
      <c r="K45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46162</v>
      </c>
      <c r="L458" s="148">
        <f>INDEX(Tabla_imprenta[FECHA CAJA],MATCH(Tabla_control[[#This Row],[LOTE]],Tabla_imprenta[LOTE],0))</f>
        <v>0</v>
      </c>
      <c r="M45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5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5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458" s="170">
        <f>ROUNDUP(Tabla_control[[#This Row],[CANTIDAD IMPRIMIR]]/Tabla_control[[#This Row],[N TJ]],0)</f>
        <v>1000</v>
      </c>
      <c r="Q458" s="170">
        <f>IF(Tabla_control[[#This Row],[CANTIDAD TIRAJE]]&gt;10000,Tabla_control[[#This Row],[CANTIDAD TIRAJE]],Tabla_control[[#This Row],[CANTIDAD TIRAJE]]*2)</f>
        <v>2000</v>
      </c>
      <c r="R458" s="186" t="s">
        <v>172</v>
      </c>
      <c r="S458" s="4" t="s">
        <v>30</v>
      </c>
      <c r="T458" s="4"/>
      <c r="U458" s="4"/>
      <c r="V458" s="4"/>
      <c r="W458" s="185" t="s">
        <v>22</v>
      </c>
      <c r="X458" s="185"/>
      <c r="Y458" s="185"/>
      <c r="Z458" s="185"/>
      <c r="AA458" s="186" t="s">
        <v>171</v>
      </c>
      <c r="AB458" s="184" t="s">
        <v>5700</v>
      </c>
    </row>
    <row r="459" spans="1:28" hidden="1" x14ac:dyDescent="0.2">
      <c r="A459" s="175">
        <f>IF(COUNTIF(Tabla_imprenta[LOTE],Tabla_control[[#This Row],[LOTE]])=1,INDEX(Tabla_imprenta[FECHA EMISIÓN],MATCH(Tabla_control[[#This Row],[LOTE]],Tabla_imprenta[LOTE],0)),"REALIZADO")</f>
        <v>46121</v>
      </c>
      <c r="B459" s="142">
        <f>IF(COUNTIF(Tabla_imprenta[LOTE],Tabla_control[[#This Row],[LOTE]])=1,INDEX(Tabla_imprenta[CÓD. SOLICITUD],MATCH(Tabla_control[[#This Row],[LOTE]],Tabla_imprenta[LOTE],0)),"REALIZADO")</f>
        <v>0</v>
      </c>
      <c r="C459" s="177" t="str">
        <f>IF(COUNTIF(Tabla_imprenta[LOTE],Tabla_control[[#This Row],[LOTE]])=1,INDEX(Tabla_imprenta[PRODUCTO],MATCH(Tabla_control[[#This Row],[LOTE]],Tabla_imprenta[LOTE],0)),"REALIZADO")</f>
        <v>CEFTRIAXONA 1000 X 1 POLVO INY.</v>
      </c>
      <c r="D459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459" s="177" t="str">
        <f>IF(COUNTIF(Tabla_imprenta[LOTE],Tabla_control[[#This Row],[LOTE]])=1,INDEX(Tabla_imprenta[INSTITUCIÓN],MATCH(Tabla_control[[#This Row],[LOTE]],Tabla_imprenta[LOTE],0)),"REALIZADO")</f>
        <v>COMERCIO</v>
      </c>
      <c r="F459" s="181" t="s">
        <v>3241</v>
      </c>
      <c r="G459" s="139">
        <f>IF(COUNTIF(Tabla_imprenta[LOTE],Tabla_control[[#This Row],[LOTE]])=1,INDEX(Tabla_imprenta[CANTIDAD ENVASE SECUNDARIO],MATCH(Tabla_control[[#This Row],[LOTE]],Tabla_imprenta[LOTE],0)),"ENTREGADO")</f>
        <v>1200</v>
      </c>
      <c r="H459" s="139">
        <f>IF(COUNTIF(Tabla_imprenta[LOTE],Tabla_control[[#This Row],[LOTE]])=1,INDEX(Tabla_imprenta[stock sap],MATCH(Tabla_control[[#This Row],[LOTE]],Tabla_imprenta[LOTE],0)),"ENTREGADO")</f>
        <v>564</v>
      </c>
      <c r="I459" s="139" t="str">
        <f>IF(Tabla_control[[#This Row],[STOCK SAP]]&gt;Tabla_control[[#This Row],[CANTIDAD IMPRIMIR]],"cubre","no cubre")</f>
        <v>no cubre</v>
      </c>
      <c r="J459" s="182">
        <f>IF(COUNTIF(Tabla_imprenta[LOTE],Tabla_control[[#This Row],[LOTE]])=1,INDEX(Tabla_imprenta[STOCK],MATCH(Tabla_control[[#This Row],[LOTE]],Tabla_imprenta[LOTE],0)),"ENTREGADO")</f>
        <v>1.2473137131573817</v>
      </c>
      <c r="K45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46163</v>
      </c>
      <c r="L459" s="148">
        <f>INDEX(Tabla_imprenta[FECHA CAJA],MATCH(Tabla_control[[#This Row],[LOTE]],Tabla_imprenta[LOTE],0))</f>
        <v>46162</v>
      </c>
      <c r="M45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5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5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</v>
      </c>
      <c r="P459" s="170">
        <f>ROUNDUP(Tabla_control[[#This Row],[CANTIDAD IMPRIMIR]]/Tabla_control[[#This Row],[N TJ]],0)</f>
        <v>1200</v>
      </c>
      <c r="Q459" s="170">
        <f>IF(Tabla_control[[#This Row],[CANTIDAD TIRAJE]]&gt;10000,Tabla_control[[#This Row],[CANTIDAD TIRAJE]],Tabla_control[[#This Row],[CANTIDAD TIRAJE]]*2)</f>
        <v>2400</v>
      </c>
      <c r="R459" s="186" t="s">
        <v>172</v>
      </c>
      <c r="S459" s="4" t="s">
        <v>30</v>
      </c>
      <c r="T459" s="4"/>
      <c r="U459" s="4"/>
      <c r="V459" s="4"/>
      <c r="W459" s="185" t="s">
        <v>3223</v>
      </c>
      <c r="X459" s="185"/>
      <c r="Y459" s="185"/>
      <c r="Z459" s="185"/>
      <c r="AA459" s="186" t="s">
        <v>2031</v>
      </c>
      <c r="AB459" s="184" t="s">
        <v>3222</v>
      </c>
    </row>
    <row r="460" spans="1:28" x14ac:dyDescent="0.2">
      <c r="A460" s="175">
        <f>IF(COUNTIF(Tabla_imprenta[LOTE],Tabla_control[[#This Row],[LOTE]])=1,INDEX(Tabla_imprenta[FECHA EMISIÓN],MATCH(Tabla_control[[#This Row],[LOTE]],Tabla_imprenta[LOTE],0)),"REALIZADO")</f>
        <v>46113</v>
      </c>
      <c r="B460" s="142">
        <f>IF(COUNTIF(Tabla_imprenta[LOTE],Tabla_control[[#This Row],[LOTE]])=1,INDEX(Tabla_imprenta[CÓD. SOLICITUD],MATCH(Tabla_control[[#This Row],[LOTE]],Tabla_imprenta[LOTE],0)),"REALIZADO")</f>
        <v>0</v>
      </c>
      <c r="C460" s="177" t="str">
        <f>IF(COUNTIF(Tabla_imprenta[LOTE],Tabla_control[[#This Row],[LOTE]])=1,INDEX(Tabla_imprenta[PRODUCTO],MATCH(Tabla_control[[#This Row],[LOTE]],Tabla_imprenta[LOTE],0)),"REALIZADO")</f>
        <v>DICLOFENACO 75 MG X 25 AMP. SOLUCION INY.</v>
      </c>
      <c r="D460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60" s="177" t="str">
        <f>IF(COUNTIF(Tabla_imprenta[LOTE],Tabla_control[[#This Row],[LOTE]])=1,INDEX(Tabla_imprenta[INSTITUCIÓN],MATCH(Tabla_control[[#This Row],[LOTE]],Tabla_imprenta[LOTE],0)),"REALIZADO")</f>
        <v>COMERCIO</v>
      </c>
      <c r="F460" s="181" t="s">
        <v>3155</v>
      </c>
      <c r="G460" s="139">
        <f>IF(COUNTIF(Tabla_imprenta[LOTE],Tabla_control[[#This Row],[LOTE]])=1,INDEX(Tabla_imprenta[CANTIDAD ENVASE SECUNDARIO],MATCH(Tabla_control[[#This Row],[LOTE]],Tabla_imprenta[LOTE],0)),"ENTREGADO")</f>
        <v>2320</v>
      </c>
      <c r="H460" s="139">
        <f>IF(COUNTIF(Tabla_imprenta[LOTE],Tabla_control[[#This Row],[LOTE]])=1,INDEX(Tabla_imprenta[stock sap],MATCH(Tabla_control[[#This Row],[LOTE]],Tabla_imprenta[LOTE],0)),"ENTREGADO")</f>
        <v>1480</v>
      </c>
      <c r="I460" s="139" t="str">
        <f>IF(Tabla_control[[#This Row],[STOCK SAP]]&gt;Tabla_control[[#This Row],[CANTIDAD IMPRIMIR]],"cubre","no cubre")</f>
        <v>no cubre</v>
      </c>
      <c r="J460" s="182">
        <f>IF(COUNTIF(Tabla_imprenta[LOTE],Tabla_control[[#This Row],[LOTE]])=1,INDEX(Tabla_imprenta[STOCK],MATCH(Tabla_control[[#This Row],[LOTE]],Tabla_imprenta[LOTE],0)),"ENTREGADO")</f>
        <v>1.3134302239785411</v>
      </c>
      <c r="K46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46163</v>
      </c>
      <c r="L460" s="148">
        <f>INDEX(Tabla_imprenta[FECHA CAJA],MATCH(Tabla_control[[#This Row],[LOTE]],Tabla_imprenta[LOTE],0))</f>
        <v>46163</v>
      </c>
      <c r="M46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6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6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18</v>
      </c>
      <c r="P460" s="170">
        <f>ROUNDUP(Tabla_control[[#This Row],[CANTIDAD IMPRIMIR]]/Tabla_control[[#This Row],[N TJ]],0)</f>
        <v>2320</v>
      </c>
      <c r="Q460" s="170">
        <f>IF(Tabla_control[[#This Row],[CANTIDAD TIRAJE]]&gt;10000,Tabla_control[[#This Row],[CANTIDAD TIRAJE]],Tabla_control[[#This Row],[CANTIDAD TIRAJE]]*2)</f>
        <v>4640</v>
      </c>
      <c r="R460" s="186" t="s">
        <v>172</v>
      </c>
      <c r="S460" s="4" t="s">
        <v>30</v>
      </c>
      <c r="T460" s="4"/>
      <c r="U460" s="4"/>
      <c r="V460" s="4"/>
      <c r="W460" s="185" t="s">
        <v>3238</v>
      </c>
      <c r="X460" s="185"/>
      <c r="Y460" s="185"/>
      <c r="Z460" s="185"/>
      <c r="AA460" s="186" t="s">
        <v>171</v>
      </c>
      <c r="AB460" s="184" t="s">
        <v>3222</v>
      </c>
    </row>
    <row r="461" spans="1:28" hidden="1" x14ac:dyDescent="0.2">
      <c r="A461" s="175">
        <f>IF(COUNTIF(Tabla_imprenta[LOTE],Tabla_control[[#This Row],[LOTE]])=1,INDEX(Tabla_imprenta[FECHA EMISIÓN],MATCH(Tabla_control[[#This Row],[LOTE]],Tabla_imprenta[LOTE],0)),"REALIZADO")</f>
        <v>46121</v>
      </c>
      <c r="B461" s="142">
        <f>IF(COUNTIF(Tabla_imprenta[LOTE],Tabla_control[[#This Row],[LOTE]])=1,INDEX(Tabla_imprenta[CÓD. SOLICITUD],MATCH(Tabla_control[[#This Row],[LOTE]],Tabla_imprenta[LOTE],0)),"REALIZADO")</f>
        <v>0</v>
      </c>
      <c r="C461" s="177" t="str">
        <f>IF(COUNTIF(Tabla_imprenta[LOTE],Tabla_control[[#This Row],[LOTE]])=1,INDEX(Tabla_imprenta[PRODUCTO],MATCH(Tabla_control[[#This Row],[LOTE]],Tabla_imprenta[LOTE],0)),"REALIZADO")</f>
        <v>METFORMINA 850 MG X 500 COMP. RECUBIERTO</v>
      </c>
      <c r="D461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61" s="177" t="str">
        <f>IF(COUNTIF(Tabla_imprenta[LOTE],Tabla_control[[#This Row],[LOTE]])=1,INDEX(Tabla_imprenta[INSTITUCIÓN],MATCH(Tabla_control[[#This Row],[LOTE]],Tabla_imprenta[LOTE],0)),"REALIZADO")</f>
        <v>COMERCIO</v>
      </c>
      <c r="F461" s="181" t="s">
        <v>3247</v>
      </c>
      <c r="G461" s="139">
        <f>IF(COUNTIF(Tabla_imprenta[LOTE],Tabla_control[[#This Row],[LOTE]])=1,INDEX(Tabla_imprenta[CANTIDAD ENVASE SECUNDARIO],MATCH(Tabla_control[[#This Row],[LOTE]],Tabla_imprenta[LOTE],0)),"ENTREGADO")</f>
        <v>600</v>
      </c>
      <c r="H461" s="139">
        <f>IF(COUNTIF(Tabla_imprenta[LOTE],Tabla_control[[#This Row],[LOTE]])=1,INDEX(Tabla_imprenta[stock sap],MATCH(Tabla_control[[#This Row],[LOTE]],Tabla_imprenta[LOTE],0)),"ENTREGADO")</f>
        <v>929</v>
      </c>
      <c r="I461" s="139" t="str">
        <f>IF(Tabla_control[[#This Row],[STOCK SAP]]&gt;Tabla_control[[#This Row],[CANTIDAD IMPRIMIR]],"cubre","no cubre")</f>
        <v>cubre</v>
      </c>
      <c r="J461" s="182">
        <f>IF(COUNTIF(Tabla_imprenta[LOTE],Tabla_control[[#This Row],[LOTE]])=1,INDEX(Tabla_imprenta[STOCK],MATCH(Tabla_control[[#This Row],[LOTE]],Tabla_imprenta[LOTE],0)),"ENTREGADO")</f>
        <v>2.1887853211673778</v>
      </c>
      <c r="K46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46163</v>
      </c>
      <c r="L461" s="148">
        <f>INDEX(Tabla_imprenta[FECHA CAJA],MATCH(Tabla_control[[#This Row],[LOTE]],Tabla_imprenta[LOTE],0))</f>
        <v>46164</v>
      </c>
      <c r="M46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6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6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461" s="170">
        <f>ROUNDUP(Tabla_control[[#This Row],[CANTIDAD IMPRIMIR]]/Tabla_control[[#This Row],[N TJ]],0)</f>
        <v>600</v>
      </c>
      <c r="Q461" s="170">
        <f>IF(Tabla_control[[#This Row],[CANTIDAD TIRAJE]]&gt;10000,Tabla_control[[#This Row],[CANTIDAD TIRAJE]],Tabla_control[[#This Row],[CANTIDAD TIRAJE]]*2)</f>
        <v>1200</v>
      </c>
      <c r="R461" s="186" t="s">
        <v>172</v>
      </c>
      <c r="S461" s="4" t="s">
        <v>30</v>
      </c>
      <c r="T461" s="4"/>
      <c r="U461" s="4"/>
      <c r="V461" s="4"/>
      <c r="W461" s="185" t="s">
        <v>22</v>
      </c>
      <c r="X461" s="185"/>
      <c r="Y461" s="185"/>
      <c r="Z461" s="185"/>
      <c r="AA461" s="186" t="s">
        <v>2031</v>
      </c>
      <c r="AB461" s="184" t="s">
        <v>3222</v>
      </c>
    </row>
    <row r="462" spans="1:28" hidden="1" x14ac:dyDescent="0.2">
      <c r="A462" s="175">
        <f>IF(COUNTIF(Tabla_imprenta[LOTE],Tabla_control[[#This Row],[LOTE]])=1,INDEX(Tabla_imprenta[FECHA EMISIÓN],MATCH(Tabla_control[[#This Row],[LOTE]],Tabla_imprenta[LOTE],0)),"REALIZADO")</f>
        <v>46113</v>
      </c>
      <c r="B462" s="142">
        <f>IF(COUNTIF(Tabla_imprenta[LOTE],Tabla_control[[#This Row],[LOTE]])=1,INDEX(Tabla_imprenta[CÓD. SOLICITUD],MATCH(Tabla_control[[#This Row],[LOTE]],Tabla_imprenta[LOTE],0)),"REALIZADO")</f>
        <v>0</v>
      </c>
      <c r="C462" s="177" t="str">
        <f>IF(COUNTIF(Tabla_imprenta[LOTE],Tabla_control[[#This Row],[LOTE]])=1,INDEX(Tabla_imprenta[PRODUCTO],MATCH(Tabla_control[[#This Row],[LOTE]],Tabla_imprenta[LOTE],0)),"REALIZADO")</f>
        <v>LIDOCAINA 2% X 1 VIAL SOLUCION INY. VETERINARIO</v>
      </c>
      <c r="D462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62" s="177" t="str">
        <f>IF(COUNTIF(Tabla_imprenta[LOTE],Tabla_control[[#This Row],[LOTE]])=1,INDEX(Tabla_imprenta[INSTITUCIÓN],MATCH(Tabla_control[[#This Row],[LOTE]],Tabla_imprenta[LOTE],0)),"REALIZADO")</f>
        <v>COMERCIO</v>
      </c>
      <c r="F462" s="181" t="s">
        <v>3099</v>
      </c>
      <c r="G462" s="139">
        <f>IF(COUNTIF(Tabla_imprenta[LOTE],Tabla_control[[#This Row],[LOTE]])=1,INDEX(Tabla_imprenta[CANTIDAD ENVASE SECUNDARIO],MATCH(Tabla_control[[#This Row],[LOTE]],Tabla_imprenta[LOTE],0)),"ENTREGADO")</f>
        <v>3600</v>
      </c>
      <c r="H462" s="139">
        <f>IF(COUNTIF(Tabla_imprenta[LOTE],Tabla_control[[#This Row],[LOTE]])=1,INDEX(Tabla_imprenta[stock sap],MATCH(Tabla_control[[#This Row],[LOTE]],Tabla_imprenta[LOTE],0)),"ENTREGADO")</f>
        <v>1086</v>
      </c>
      <c r="I462" s="139" t="str">
        <f>IF(Tabla_control[[#This Row],[STOCK SAP]]&gt;Tabla_control[[#This Row],[CANTIDAD IMPRIMIR]],"cubre","no cubre")</f>
        <v>no cubre</v>
      </c>
      <c r="J462" s="182">
        <f>IF(COUNTIF(Tabla_imprenta[LOTE],Tabla_control[[#This Row],[LOTE]])=1,INDEX(Tabla_imprenta[STOCK],MATCH(Tabla_control[[#This Row],[LOTE]],Tabla_imprenta[LOTE],0)),"ENTREGADO")</f>
        <v>0.71860998797945574</v>
      </c>
      <c r="K46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46164</v>
      </c>
      <c r="L462" s="148" t="str">
        <f>INDEX(Tabla_imprenta[FECHA CAJA],MATCH(Tabla_control[[#This Row],[LOTE]],Tabla_imprenta[LOTE],0))</f>
        <v>ENTREGADO</v>
      </c>
      <c r="M46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46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46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82</v>
      </c>
      <c r="P462" s="170">
        <f>ROUNDUP(Tabla_control[[#This Row],[CANTIDAD IMPRIMIR]]/Tabla_control[[#This Row],[N TJ]],0)</f>
        <v>600</v>
      </c>
      <c r="Q462" s="170">
        <f>IF(Tabla_control[[#This Row],[CANTIDAD TIRAJE]]&gt;10000,Tabla_control[[#This Row],[CANTIDAD TIRAJE]],Tabla_control[[#This Row],[CANTIDAD TIRAJE]]*2)</f>
        <v>1200</v>
      </c>
      <c r="R462" s="186" t="s">
        <v>176</v>
      </c>
      <c r="S462" s="4" t="s">
        <v>54</v>
      </c>
      <c r="T462" s="4"/>
      <c r="U462" s="4"/>
      <c r="V462" s="4"/>
      <c r="W462" s="185" t="s">
        <v>3223</v>
      </c>
      <c r="X462" s="185"/>
      <c r="Y462" s="185"/>
      <c r="Z462" s="185"/>
      <c r="AA462" s="186" t="s">
        <v>2031</v>
      </c>
      <c r="AB462" s="184" t="s">
        <v>2028</v>
      </c>
    </row>
    <row r="463" spans="1:28" x14ac:dyDescent="0.2">
      <c r="A463" s="175">
        <f>IF(COUNTIF(Tabla_imprenta[LOTE],Tabla_control[[#This Row],[LOTE]])=1,INDEX(Tabla_imprenta[FECHA EMISIÓN],MATCH(Tabla_control[[#This Row],[LOTE]],Tabla_imprenta[LOTE],0)),"REALIZADO")</f>
        <v>46143</v>
      </c>
      <c r="B463" s="142">
        <f>IF(COUNTIF(Tabla_imprenta[LOTE],Tabla_control[[#This Row],[LOTE]])=1,INDEX(Tabla_imprenta[CÓD. SOLICITUD],MATCH(Tabla_control[[#This Row],[LOTE]],Tabla_imprenta[LOTE],0)),"REALIZADO")</f>
        <v>0</v>
      </c>
      <c r="C463" s="177" t="str">
        <f>IF(COUNTIF(Tabla_imprenta[LOTE],Tabla_control[[#This Row],[LOTE]])=1,INDEX(Tabla_imprenta[PRODUCTO],MATCH(Tabla_control[[#This Row],[LOTE]],Tabla_imprenta[LOTE],0)),"REALIZADO")</f>
        <v>DEXAMETASONA 0,5 MG X 100 COMP.</v>
      </c>
      <c r="D463" s="142" t="str">
        <f>IF(COUNTIF(Tabla_imprenta[LOTE],Tabla_control[[#This Row],[LOTE]])=1,INDEX(Tabla_imprenta[FORMA FARMACEUTICA],MATCH(Tabla_control[[#This Row],[LOTE]],Tabla_imprenta[LOTE],0)),"REALIZADO")</f>
        <v>COMPRIMIDO</v>
      </c>
      <c r="E463" s="177" t="str">
        <f>IF(COUNTIF(Tabla_imprenta[LOTE],Tabla_control[[#This Row],[LOTE]])=1,INDEX(Tabla_imprenta[INSTITUCIÓN],MATCH(Tabla_control[[#This Row],[LOTE]],Tabla_imprenta[LOTE],0)),"REALIZADO")</f>
        <v>COMERCIO</v>
      </c>
      <c r="F463" s="229" t="s">
        <v>5544</v>
      </c>
      <c r="G463" s="139">
        <f>IF(COUNTIF(Tabla_imprenta[LOTE],Tabla_control[[#This Row],[LOTE]])=1,INDEX(Tabla_imprenta[CANTIDAD ENVASE SECUNDARIO],MATCH(Tabla_control[[#This Row],[LOTE]],Tabla_imprenta[LOTE],0)),"ENTREGADO")</f>
        <v>1700</v>
      </c>
      <c r="H463" s="139">
        <f>IF(COUNTIF(Tabla_imprenta[LOTE],Tabla_control[[#This Row],[LOTE]])=1,INDEX(Tabla_imprenta[stock sap],MATCH(Tabla_control[[#This Row],[LOTE]],Tabla_imprenta[LOTE],0)),"ENTREGADO")</f>
        <v>473</v>
      </c>
      <c r="I463" s="139" t="str">
        <f>IF(Tabla_control[[#This Row],[STOCK SAP]]&gt;Tabla_control[[#This Row],[CANTIDAD IMPRIMIR]],"cubre","no cubre")</f>
        <v>no cubre</v>
      </c>
      <c r="J463" s="182">
        <f>IF(COUNTIF(Tabla_imprenta[LOTE],Tabla_control[[#This Row],[LOTE]])=1,INDEX(Tabla_imprenta[STOCK],MATCH(Tabla_control[[#This Row],[LOTE]],Tabla_imprenta[LOTE],0)),"ENTREGADO")</f>
        <v>3.0155894643236563</v>
      </c>
      <c r="K46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46163</v>
      </c>
      <c r="L463" s="148">
        <f>INDEX(Tabla_imprenta[FECHA CAJA],MATCH(Tabla_control[[#This Row],[LOTE]],Tabla_imprenta[LOTE],0))</f>
        <v>0</v>
      </c>
      <c r="M46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6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6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92</v>
      </c>
      <c r="P463" s="170">
        <f>ROUNDUP(Tabla_control[[#This Row],[CANTIDAD IMPRIMIR]]/Tabla_control[[#This Row],[N TJ]],0)</f>
        <v>425</v>
      </c>
      <c r="Q463" s="170">
        <f>IF(Tabla_control[[#This Row],[CANTIDAD TIRAJE]]&gt;10000,Tabla_control[[#This Row],[CANTIDAD TIRAJE]],Tabla_control[[#This Row],[CANTIDAD TIRAJE]]*2)</f>
        <v>850</v>
      </c>
      <c r="R463" s="186" t="s">
        <v>172</v>
      </c>
      <c r="S463" s="4" t="s">
        <v>30</v>
      </c>
      <c r="T463" s="4"/>
      <c r="U463" s="4"/>
      <c r="V463" s="4"/>
      <c r="W463" s="185" t="s">
        <v>22</v>
      </c>
      <c r="X463" s="185"/>
      <c r="Y463" s="185"/>
      <c r="Z463" s="185"/>
      <c r="AA463" s="186" t="s">
        <v>171</v>
      </c>
      <c r="AB463" s="184" t="s">
        <v>5700</v>
      </c>
    </row>
    <row r="464" spans="1:28" x14ac:dyDescent="0.2">
      <c r="A464" s="175">
        <f>IF(COUNTIF(Tabla_imprenta[LOTE],Tabla_control[[#This Row],[LOTE]])=1,INDEX(Tabla_imprenta[FECHA EMISIÓN],MATCH(Tabla_control[[#This Row],[LOTE]],Tabla_imprenta[LOTE],0)),"REALIZADO")</f>
        <v>46113</v>
      </c>
      <c r="B464" s="142">
        <f>IF(COUNTIF(Tabla_imprenta[LOTE],Tabla_control[[#This Row],[LOTE]])=1,INDEX(Tabla_imprenta[CÓD. SOLICITUD],MATCH(Tabla_control[[#This Row],[LOTE]],Tabla_imprenta[LOTE],0)),"REALIZADO")</f>
        <v>0</v>
      </c>
      <c r="C464" s="177" t="str">
        <f>IF(COUNTIF(Tabla_imprenta[LOTE],Tabla_control[[#This Row],[LOTE]])=1,INDEX(Tabla_imprenta[PRODUCTO],MATCH(Tabla_control[[#This Row],[LOTE]],Tabla_imprenta[LOTE],0)),"REALIZADO")</f>
        <v>DEXTROMETORFANO 10 MG X 100 ML JARABE</v>
      </c>
      <c r="D464" s="142" t="str">
        <f>IF(COUNTIF(Tabla_imprenta[LOTE],Tabla_control[[#This Row],[LOTE]])=1,INDEX(Tabla_imprenta[FORMA FARMACEUTICA],MATCH(Tabla_control[[#This Row],[LOTE]],Tabla_imprenta[LOTE],0)),"REALIZADO")</f>
        <v>JARABE</v>
      </c>
      <c r="E464" s="177" t="str">
        <f>IF(COUNTIF(Tabla_imprenta[LOTE],Tabla_control[[#This Row],[LOTE]])=1,INDEX(Tabla_imprenta[INSTITUCIÓN],MATCH(Tabla_control[[#This Row],[LOTE]],Tabla_imprenta[LOTE],0)),"REALIZADO")</f>
        <v>COMERCIO</v>
      </c>
      <c r="F464" s="181" t="s">
        <v>3206</v>
      </c>
      <c r="G464" s="139">
        <f>IF(COUNTIF(Tabla_imprenta[LOTE],Tabla_control[[#This Row],[LOTE]])=1,INDEX(Tabla_imprenta[CANTIDAD ENVASE SECUNDARIO],MATCH(Tabla_control[[#This Row],[LOTE]],Tabla_imprenta[LOTE],0)),"ENTREGADO")</f>
        <v>29703</v>
      </c>
      <c r="H464" s="139">
        <f>IF(COUNTIF(Tabla_imprenta[LOTE],Tabla_control[[#This Row],[LOTE]])=1,INDEX(Tabla_imprenta[stock sap],MATCH(Tabla_control[[#This Row],[LOTE]],Tabla_imprenta[LOTE],0)),"ENTREGADO")</f>
        <v>2600</v>
      </c>
      <c r="I464" s="139" t="str">
        <f>IF(Tabla_control[[#This Row],[STOCK SAP]]&gt;Tabla_control[[#This Row],[CANTIDAD IMPRIMIR]],"cubre","no cubre")</f>
        <v>no cubre</v>
      </c>
      <c r="J464" s="182">
        <f>IF(COUNTIF(Tabla_imprenta[LOTE],Tabla_control[[#This Row],[LOTE]])=1,INDEX(Tabla_imprenta[STOCK],MATCH(Tabla_control[[#This Row],[LOTE]],Tabla_imprenta[LOTE],0)),"ENTREGADO")</f>
        <v>0.77540560458321139</v>
      </c>
      <c r="K46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46164</v>
      </c>
      <c r="L464" s="148">
        <f>INDEX(Tabla_imprenta[FECHA CAJA],MATCH(Tabla_control[[#This Row],[LOTE]],Tabla_imprenta[LOTE],0))</f>
        <v>46164</v>
      </c>
      <c r="M46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6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6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464" s="170">
        <f>ROUNDUP(Tabla_control[[#This Row],[CANTIDAD IMPRIMIR]]/Tabla_control[[#This Row],[N TJ]],0)</f>
        <v>14852</v>
      </c>
      <c r="Q464" s="170">
        <f>IF(Tabla_control[[#This Row],[CANTIDAD TIRAJE]]&gt;10000,Tabla_control[[#This Row],[CANTIDAD TIRAJE]],Tabla_control[[#This Row],[CANTIDAD TIRAJE]]*2)</f>
        <v>14852</v>
      </c>
      <c r="R464" s="186" t="s">
        <v>172</v>
      </c>
      <c r="S464" s="4" t="s">
        <v>31</v>
      </c>
      <c r="T464" s="4"/>
      <c r="U464" s="4"/>
      <c r="V464" s="4"/>
      <c r="W464" s="185" t="s">
        <v>2986</v>
      </c>
      <c r="X464" s="185"/>
      <c r="Y464" s="185"/>
      <c r="Z464" s="185"/>
      <c r="AA464" s="186" t="s">
        <v>171</v>
      </c>
      <c r="AB464" s="184" t="s">
        <v>3222</v>
      </c>
    </row>
    <row r="465" spans="1:28" x14ac:dyDescent="0.2">
      <c r="A465" s="175">
        <f>IF(COUNTIF(Tabla_imprenta[LOTE],Tabla_control[[#This Row],[LOTE]])=1,INDEX(Tabla_imprenta[FECHA EMISIÓN],MATCH(Tabla_control[[#This Row],[LOTE]],Tabla_imprenta[LOTE],0)),"REALIZADO")</f>
        <v>46113</v>
      </c>
      <c r="B465" s="142">
        <f>IF(COUNTIF(Tabla_imprenta[LOTE],Tabla_control[[#This Row],[LOTE]])=1,INDEX(Tabla_imprenta[CÓD. SOLICITUD],MATCH(Tabla_control[[#This Row],[LOTE]],Tabla_imprenta[LOTE],0)),"REALIZADO")</f>
        <v>0</v>
      </c>
      <c r="C465" s="177" t="str">
        <f>IF(COUNTIF(Tabla_imprenta[LOTE],Tabla_control[[#This Row],[LOTE]])=1,INDEX(Tabla_imprenta[PRODUCTO],MATCH(Tabla_control[[#This Row],[LOTE]],Tabla_imprenta[LOTE],0)),"REALIZADO")</f>
        <v>DEXTROMETORFANO 10 MG X 100 ML JARABE</v>
      </c>
      <c r="D465" s="142" t="str">
        <f>IF(COUNTIF(Tabla_imprenta[LOTE],Tabla_control[[#This Row],[LOTE]])=1,INDEX(Tabla_imprenta[FORMA FARMACEUTICA],MATCH(Tabla_control[[#This Row],[LOTE]],Tabla_imprenta[LOTE],0)),"REALIZADO")</f>
        <v>JARABE</v>
      </c>
      <c r="E465" s="177" t="str">
        <f>IF(COUNTIF(Tabla_imprenta[LOTE],Tabla_control[[#This Row],[LOTE]])=1,INDEX(Tabla_imprenta[INSTITUCIÓN],MATCH(Tabla_control[[#This Row],[LOTE]],Tabla_imprenta[LOTE],0)),"REALIZADO")</f>
        <v>COMERCIO</v>
      </c>
      <c r="F465" s="181" t="s">
        <v>3208</v>
      </c>
      <c r="G465" s="139">
        <f>IF(COUNTIF(Tabla_imprenta[LOTE],Tabla_control[[#This Row],[LOTE]])=1,INDEX(Tabla_imprenta[CANTIDAD ENVASE SECUNDARIO],MATCH(Tabla_control[[#This Row],[LOTE]],Tabla_imprenta[LOTE],0)),"ENTREGADO")</f>
        <v>29703</v>
      </c>
      <c r="H465" s="139">
        <f>IF(COUNTIF(Tabla_imprenta[LOTE],Tabla_control[[#This Row],[LOTE]])=1,INDEX(Tabla_imprenta[stock sap],MATCH(Tabla_control[[#This Row],[LOTE]],Tabla_imprenta[LOTE],0)),"ENTREGADO")</f>
        <v>2600</v>
      </c>
      <c r="I465" s="139" t="str">
        <f>IF(Tabla_control[[#This Row],[STOCK SAP]]&gt;Tabla_control[[#This Row],[CANTIDAD IMPRIMIR]],"cubre","no cubre")</f>
        <v>no cubre</v>
      </c>
      <c r="J465" s="182">
        <f>IF(COUNTIF(Tabla_imprenta[LOTE],Tabla_control[[#This Row],[LOTE]])=1,INDEX(Tabla_imprenta[STOCK],MATCH(Tabla_control[[#This Row],[LOTE]],Tabla_imprenta[LOTE],0)),"ENTREGADO")</f>
        <v>0.77540560458321139</v>
      </c>
      <c r="K46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46164</v>
      </c>
      <c r="L465" s="148">
        <f>INDEX(Tabla_imprenta[FECHA CAJA],MATCH(Tabla_control[[#This Row],[LOTE]],Tabla_imprenta[LOTE],0))</f>
        <v>46164</v>
      </c>
      <c r="M46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6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6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465" s="170">
        <f>ROUNDUP(Tabla_control[[#This Row],[CANTIDAD IMPRIMIR]]/Tabla_control[[#This Row],[N TJ]],0)</f>
        <v>14852</v>
      </c>
      <c r="Q465" s="170">
        <f>IF(Tabla_control[[#This Row],[CANTIDAD TIRAJE]]&gt;10000,Tabla_control[[#This Row],[CANTIDAD TIRAJE]],Tabla_control[[#This Row],[CANTIDAD TIRAJE]]*2)</f>
        <v>14852</v>
      </c>
      <c r="R465" s="186" t="s">
        <v>172</v>
      </c>
      <c r="S465" s="4" t="s">
        <v>31</v>
      </c>
      <c r="T465" s="4"/>
      <c r="U465" s="4"/>
      <c r="V465" s="4"/>
      <c r="W465" s="185" t="s">
        <v>2986</v>
      </c>
      <c r="X465" s="185"/>
      <c r="Y465" s="185"/>
      <c r="Z465" s="185"/>
      <c r="AA465" s="186" t="s">
        <v>171</v>
      </c>
      <c r="AB465" s="184" t="s">
        <v>3222</v>
      </c>
    </row>
    <row r="466" spans="1:28" hidden="1" x14ac:dyDescent="0.2">
      <c r="A466" s="175">
        <f>IF(COUNTIF(Tabla_imprenta[LOTE],Tabla_control[[#This Row],[LOTE]])=1,INDEX(Tabla_imprenta[FECHA EMISIÓN],MATCH(Tabla_control[[#This Row],[LOTE]],Tabla_imprenta[LOTE],0)),"REALIZADO")</f>
        <v>46121</v>
      </c>
      <c r="B466" s="142">
        <f>IF(COUNTIF(Tabla_imprenta[LOTE],Tabla_control[[#This Row],[LOTE]])=1,INDEX(Tabla_imprenta[CÓD. SOLICITUD],MATCH(Tabla_control[[#This Row],[LOTE]],Tabla_imprenta[LOTE],0)),"REALIZADO")</f>
        <v>0</v>
      </c>
      <c r="C466" s="177" t="str">
        <f>IF(COUNTIF(Tabla_imprenta[LOTE],Tabla_control[[#This Row],[LOTE]])=1,INDEX(Tabla_imprenta[PRODUCTO],MATCH(Tabla_control[[#This Row],[LOTE]],Tabla_imprenta[LOTE],0)),"REALIZADO")</f>
        <v>METFORMINA 850 MG X 500 COMP. RECUBIERTO</v>
      </c>
      <c r="D466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66" s="177" t="str">
        <f>IF(COUNTIF(Tabla_imprenta[LOTE],Tabla_control[[#This Row],[LOTE]])=1,INDEX(Tabla_imprenta[INSTITUCIÓN],MATCH(Tabla_control[[#This Row],[LOTE]],Tabla_imprenta[LOTE],0)),"REALIZADO")</f>
        <v>COMERCIO</v>
      </c>
      <c r="F466" s="181" t="s">
        <v>3278</v>
      </c>
      <c r="G466" s="139">
        <f>IF(COUNTIF(Tabla_imprenta[LOTE],Tabla_control[[#This Row],[LOTE]])=1,INDEX(Tabla_imprenta[CANTIDAD ENVASE SECUNDARIO],MATCH(Tabla_control[[#This Row],[LOTE]],Tabla_imprenta[LOTE],0)),"ENTREGADO")</f>
        <v>600</v>
      </c>
      <c r="H466" s="139">
        <f>IF(COUNTIF(Tabla_imprenta[LOTE],Tabla_control[[#This Row],[LOTE]])=1,INDEX(Tabla_imprenta[stock sap],MATCH(Tabla_control[[#This Row],[LOTE]],Tabla_imprenta[LOTE],0)),"ENTREGADO")</f>
        <v>929</v>
      </c>
      <c r="I466" s="139" t="str">
        <f>IF(Tabla_control[[#This Row],[STOCK SAP]]&gt;Tabla_control[[#This Row],[CANTIDAD IMPRIMIR]],"cubre","no cubre")</f>
        <v>cubre</v>
      </c>
      <c r="J466" s="182">
        <f>IF(COUNTIF(Tabla_imprenta[LOTE],Tabla_control[[#This Row],[LOTE]])=1,INDEX(Tabla_imprenta[STOCK],MATCH(Tabla_control[[#This Row],[LOTE]],Tabla_imprenta[LOTE],0)),"ENTREGADO")</f>
        <v>2.1887853211673778</v>
      </c>
      <c r="K46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46164</v>
      </c>
      <c r="L466" s="148">
        <f>INDEX(Tabla_imprenta[FECHA CAJA],MATCH(Tabla_control[[#This Row],[LOTE]],Tabla_imprenta[LOTE],0))</f>
        <v>46168</v>
      </c>
      <c r="M46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6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6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466" s="170">
        <f>ROUNDUP(Tabla_control[[#This Row],[CANTIDAD IMPRIMIR]]/Tabla_control[[#This Row],[N TJ]],0)</f>
        <v>600</v>
      </c>
      <c r="Q466" s="170">
        <f>IF(Tabla_control[[#This Row],[CANTIDAD TIRAJE]]&gt;10000,Tabla_control[[#This Row],[CANTIDAD TIRAJE]],Tabla_control[[#This Row],[CANTIDAD TIRAJE]]*2)</f>
        <v>1200</v>
      </c>
      <c r="R466" s="186" t="s">
        <v>172</v>
      </c>
      <c r="S466" s="4" t="s">
        <v>30</v>
      </c>
      <c r="T466" s="4"/>
      <c r="U466" s="4"/>
      <c r="V466" s="4"/>
      <c r="W466" s="185" t="s">
        <v>22</v>
      </c>
      <c r="X466" s="185"/>
      <c r="Y466" s="185"/>
      <c r="Z466" s="185"/>
      <c r="AA466" s="186" t="s">
        <v>2031</v>
      </c>
      <c r="AB466" s="184" t="s">
        <v>3222</v>
      </c>
    </row>
    <row r="467" spans="1:28" hidden="1" x14ac:dyDescent="0.2">
      <c r="A467" s="175">
        <f>IF(COUNTIF(Tabla_imprenta[LOTE],Tabla_control[[#This Row],[LOTE]])=1,INDEX(Tabla_imprenta[FECHA EMISIÓN],MATCH(Tabla_control[[#This Row],[LOTE]],Tabla_imprenta[LOTE],0)),"REALIZADO")</f>
        <v>46091</v>
      </c>
      <c r="B467" s="142">
        <f>IF(COUNTIF(Tabla_imprenta[LOTE],Tabla_control[[#This Row],[LOTE]])=1,INDEX(Tabla_imprenta[CÓD. SOLICITUD],MATCH(Tabla_control[[#This Row],[LOTE]],Tabla_imprenta[LOTE],0)),"REALIZADO")</f>
        <v>0</v>
      </c>
      <c r="C467" s="177" t="str">
        <f>IF(COUNTIF(Tabla_imprenta[LOTE],Tabla_control[[#This Row],[LOTE]])=1,INDEX(Tabla_imprenta[PRODUCTO],MATCH(Tabla_control[[#This Row],[LOTE]],Tabla_imprenta[LOTE],0)),"REALIZADO")</f>
        <v>LIDOCAINA 2% X 1 VIAL SOLUCION INY.</v>
      </c>
      <c r="D467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67" s="177" t="str">
        <f>IF(COUNTIF(Tabla_imprenta[LOTE],Tabla_control[[#This Row],[LOTE]])=1,INDEX(Tabla_imprenta[INSTITUCIÓN],MATCH(Tabla_control[[#This Row],[LOTE]],Tabla_imprenta[LOTE],0)),"REALIZADO")</f>
        <v>COMERCIO</v>
      </c>
      <c r="F467" s="180" t="s">
        <v>2950</v>
      </c>
      <c r="G467" s="139">
        <f>IF(COUNTIF(Tabla_imprenta[LOTE],Tabla_control[[#This Row],[LOTE]])=1,INDEX(Tabla_imprenta[CANTIDAD ENVASE SECUNDARIO],MATCH(Tabla_control[[#This Row],[LOTE]],Tabla_imprenta[LOTE],0)),"ENTREGADO")</f>
        <v>9200</v>
      </c>
      <c r="H467" s="139">
        <f>IF(COUNTIF(Tabla_imprenta[LOTE],Tabla_control[[#This Row],[LOTE]])=1,INDEX(Tabla_imprenta[stock sap],MATCH(Tabla_control[[#This Row],[LOTE]],Tabla_imprenta[LOTE],0)),"ENTREGADO")</f>
        <v>3260</v>
      </c>
      <c r="I467" s="139" t="str">
        <f>IF(Tabla_control[[#This Row],[STOCK SAP]]&gt;Tabla_control[[#This Row],[CANTIDAD IMPRIMIR]],"cubre","no cubre")</f>
        <v>no cubre</v>
      </c>
      <c r="J467" s="7">
        <f>IF(COUNTIF(Tabla_imprenta[LOTE],Tabla_control[[#This Row],[LOTE]])=1,INDEX(Tabla_imprenta[STOCK],MATCH(Tabla_control[[#This Row],[LOTE]],Tabla_imprenta[LOTE],0)),"ENTREGADO")</f>
        <v>1.002996974139363</v>
      </c>
      <c r="K46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46168</v>
      </c>
      <c r="L467" s="148" t="str">
        <f>INDEX(Tabla_imprenta[FECHA CAJA],MATCH(Tabla_control[[#This Row],[LOTE]],Tabla_imprenta[LOTE],0))</f>
        <v>ENTREGADO</v>
      </c>
      <c r="M46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6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46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22</v>
      </c>
      <c r="P467" s="170">
        <f>ROUNDUP(Tabla_control[[#This Row],[CANTIDAD IMPRIMIR]]/Tabla_control[[#This Row],[N TJ]],0)</f>
        <v>1534</v>
      </c>
      <c r="Q467" s="170">
        <f>IF(Tabla_control[[#This Row],[CANTIDAD TIRAJE]]&gt;10000,Tabla_control[[#This Row],[CANTIDAD TIRAJE]],Tabla_control[[#This Row],[CANTIDAD TIRAJE]]*2)</f>
        <v>3068</v>
      </c>
      <c r="R467" s="4" t="s">
        <v>172</v>
      </c>
      <c r="S467" s="4" t="s">
        <v>31</v>
      </c>
      <c r="T467" s="4"/>
      <c r="U467" s="4"/>
      <c r="V467" s="4"/>
      <c r="W467" s="185" t="s">
        <v>3223</v>
      </c>
      <c r="X467" s="185"/>
      <c r="Y467" s="185"/>
      <c r="Z467" s="185"/>
      <c r="AA467" s="4" t="s">
        <v>2429</v>
      </c>
      <c r="AB467" s="184" t="s">
        <v>2028</v>
      </c>
    </row>
    <row r="468" spans="1:28" hidden="1" x14ac:dyDescent="0.2">
      <c r="A468" s="175">
        <f>IF(COUNTIF(Tabla_imprenta[LOTE],Tabla_control[[#This Row],[LOTE]])=1,INDEX(Tabla_imprenta[FECHA EMISIÓN],MATCH(Tabla_control[[#This Row],[LOTE]],Tabla_imprenta[LOTE],0)),"REALIZADO")</f>
        <v>46091</v>
      </c>
      <c r="B468" s="142">
        <f>IF(COUNTIF(Tabla_imprenta[LOTE],Tabla_control[[#This Row],[LOTE]])=1,INDEX(Tabla_imprenta[CÓD. SOLICITUD],MATCH(Tabla_control[[#This Row],[LOTE]],Tabla_imprenta[LOTE],0)),"REALIZADO")</f>
        <v>0</v>
      </c>
      <c r="C468" s="177" t="str">
        <f>IF(COUNTIF(Tabla_imprenta[LOTE],Tabla_control[[#This Row],[LOTE]])=1,INDEX(Tabla_imprenta[PRODUCTO],MATCH(Tabla_control[[#This Row],[LOTE]],Tabla_imprenta[LOTE],0)),"REALIZADO")</f>
        <v>LIDOCAINA 2% X 1 VIAL SOLUCION INY.</v>
      </c>
      <c r="D468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68" s="177" t="str">
        <f>IF(COUNTIF(Tabla_imprenta[LOTE],Tabla_control[[#This Row],[LOTE]])=1,INDEX(Tabla_imprenta[INSTITUCIÓN],MATCH(Tabla_control[[#This Row],[LOTE]],Tabla_imprenta[LOTE],0)),"REALIZADO")</f>
        <v>COMERCIO</v>
      </c>
      <c r="F468" s="180" t="s">
        <v>2953</v>
      </c>
      <c r="G468" s="139">
        <f>IF(COUNTIF(Tabla_imprenta[LOTE],Tabla_control[[#This Row],[LOTE]])=1,INDEX(Tabla_imprenta[CANTIDAD ENVASE SECUNDARIO],MATCH(Tabla_control[[#This Row],[LOTE]],Tabla_imprenta[LOTE],0)),"ENTREGADO")</f>
        <v>9200</v>
      </c>
      <c r="H468" s="139">
        <f>IF(COUNTIF(Tabla_imprenta[LOTE],Tabla_control[[#This Row],[LOTE]])=1,INDEX(Tabla_imprenta[stock sap],MATCH(Tabla_control[[#This Row],[LOTE]],Tabla_imprenta[LOTE],0)),"ENTREGADO")</f>
        <v>3260</v>
      </c>
      <c r="I468" s="139" t="str">
        <f>IF(Tabla_control[[#This Row],[STOCK SAP]]&gt;Tabla_control[[#This Row],[CANTIDAD IMPRIMIR]],"cubre","no cubre")</f>
        <v>no cubre</v>
      </c>
      <c r="J468" s="7">
        <f>IF(COUNTIF(Tabla_imprenta[LOTE],Tabla_control[[#This Row],[LOTE]])=1,INDEX(Tabla_imprenta[STOCK],MATCH(Tabla_control[[#This Row],[LOTE]],Tabla_imprenta[LOTE],0)),"ENTREGADO")</f>
        <v>1.002996974139363</v>
      </c>
      <c r="K46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46168</v>
      </c>
      <c r="L468" s="148" t="str">
        <f>INDEX(Tabla_imprenta[FECHA CAJA],MATCH(Tabla_control[[#This Row],[LOTE]],Tabla_imprenta[LOTE],0))</f>
        <v>ENTREGADO</v>
      </c>
      <c r="M46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6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46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22</v>
      </c>
      <c r="P468" s="170">
        <f>ROUNDUP(Tabla_control[[#This Row],[CANTIDAD IMPRIMIR]]/Tabla_control[[#This Row],[N TJ]],0)</f>
        <v>1534</v>
      </c>
      <c r="Q468" s="170">
        <f>IF(Tabla_control[[#This Row],[CANTIDAD TIRAJE]]&gt;10000,Tabla_control[[#This Row],[CANTIDAD TIRAJE]],Tabla_control[[#This Row],[CANTIDAD TIRAJE]]*2)</f>
        <v>3068</v>
      </c>
      <c r="R468" s="4" t="s">
        <v>172</v>
      </c>
      <c r="S468" s="4" t="s">
        <v>31</v>
      </c>
      <c r="T468" s="4"/>
      <c r="U468" s="4"/>
      <c r="V468" s="4"/>
      <c r="W468" s="185" t="s">
        <v>3223</v>
      </c>
      <c r="X468" s="185"/>
      <c r="Y468" s="185"/>
      <c r="Z468" s="185"/>
      <c r="AA468" s="4" t="s">
        <v>2429</v>
      </c>
      <c r="AB468" s="184" t="s">
        <v>2028</v>
      </c>
    </row>
    <row r="469" spans="1:28" hidden="1" x14ac:dyDescent="0.2">
      <c r="A469" s="175">
        <f>IF(COUNTIF(Tabla_imprenta[LOTE],Tabla_control[[#This Row],[LOTE]])=1,INDEX(Tabla_imprenta[FECHA EMISIÓN],MATCH(Tabla_control[[#This Row],[LOTE]],Tabla_imprenta[LOTE],0)),"REALIZADO")</f>
        <v>46091</v>
      </c>
      <c r="B469" s="142">
        <f>IF(COUNTIF(Tabla_imprenta[LOTE],Tabla_control[[#This Row],[LOTE]])=1,INDEX(Tabla_imprenta[CÓD. SOLICITUD],MATCH(Tabla_control[[#This Row],[LOTE]],Tabla_imprenta[LOTE],0)),"REALIZADO")</f>
        <v>0</v>
      </c>
      <c r="C469" s="177" t="str">
        <f>IF(COUNTIF(Tabla_imprenta[LOTE],Tabla_control[[#This Row],[LOTE]])=1,INDEX(Tabla_imprenta[PRODUCTO],MATCH(Tabla_control[[#This Row],[LOTE]],Tabla_imprenta[LOTE],0)),"REALIZADO")</f>
        <v>LIDOCAINA 2% X 1 VIAL SOLUCION INY.</v>
      </c>
      <c r="D469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69" s="177" t="str">
        <f>IF(COUNTIF(Tabla_imprenta[LOTE],Tabla_control[[#This Row],[LOTE]])=1,INDEX(Tabla_imprenta[INSTITUCIÓN],MATCH(Tabla_control[[#This Row],[LOTE]],Tabla_imprenta[LOTE],0)),"REALIZADO")</f>
        <v>COMERCIO</v>
      </c>
      <c r="F469" s="180" t="s">
        <v>2955</v>
      </c>
      <c r="G469" s="139">
        <f>IF(COUNTIF(Tabla_imprenta[LOTE],Tabla_control[[#This Row],[LOTE]])=1,INDEX(Tabla_imprenta[CANTIDAD ENVASE SECUNDARIO],MATCH(Tabla_control[[#This Row],[LOTE]],Tabla_imprenta[LOTE],0)),"ENTREGADO")</f>
        <v>9200</v>
      </c>
      <c r="H469" s="139">
        <f>IF(COUNTIF(Tabla_imprenta[LOTE],Tabla_control[[#This Row],[LOTE]])=1,INDEX(Tabla_imprenta[stock sap],MATCH(Tabla_control[[#This Row],[LOTE]],Tabla_imprenta[LOTE],0)),"ENTREGADO")</f>
        <v>3260</v>
      </c>
      <c r="I469" s="139" t="str">
        <f>IF(Tabla_control[[#This Row],[STOCK SAP]]&gt;Tabla_control[[#This Row],[CANTIDAD IMPRIMIR]],"cubre","no cubre")</f>
        <v>no cubre</v>
      </c>
      <c r="J469" s="7">
        <f>IF(COUNTIF(Tabla_imprenta[LOTE],Tabla_control[[#This Row],[LOTE]])=1,INDEX(Tabla_imprenta[STOCK],MATCH(Tabla_control[[#This Row],[LOTE]],Tabla_imprenta[LOTE],0)),"ENTREGADO")</f>
        <v>1.002996974139363</v>
      </c>
      <c r="K46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46168</v>
      </c>
      <c r="L469" s="148" t="str">
        <f>INDEX(Tabla_imprenta[FECHA CAJA],MATCH(Tabla_control[[#This Row],[LOTE]],Tabla_imprenta[LOTE],0))</f>
        <v>ENTREGADO</v>
      </c>
      <c r="M46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6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46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22</v>
      </c>
      <c r="P469" s="170">
        <f>ROUNDUP(Tabla_control[[#This Row],[CANTIDAD IMPRIMIR]]/Tabla_control[[#This Row],[N TJ]],0)</f>
        <v>1534</v>
      </c>
      <c r="Q469" s="170">
        <f>IF(Tabla_control[[#This Row],[CANTIDAD TIRAJE]]&gt;10000,Tabla_control[[#This Row],[CANTIDAD TIRAJE]],Tabla_control[[#This Row],[CANTIDAD TIRAJE]]*2)</f>
        <v>3068</v>
      </c>
      <c r="R469" s="4" t="s">
        <v>172</v>
      </c>
      <c r="S469" s="4" t="s">
        <v>31</v>
      </c>
      <c r="T469" s="4"/>
      <c r="U469" s="4"/>
      <c r="V469" s="4"/>
      <c r="W469" s="185" t="s">
        <v>3223</v>
      </c>
      <c r="X469" s="185"/>
      <c r="Y469" s="185"/>
      <c r="Z469" s="185"/>
      <c r="AA469" s="4" t="s">
        <v>2429</v>
      </c>
      <c r="AB469" s="184" t="s">
        <v>2028</v>
      </c>
    </row>
    <row r="470" spans="1:28" hidden="1" x14ac:dyDescent="0.2">
      <c r="A470" s="175">
        <f>IF(COUNTIF(Tabla_imprenta[LOTE],Tabla_control[[#This Row],[LOTE]])=1,INDEX(Tabla_imprenta[FECHA EMISIÓN],MATCH(Tabla_control[[#This Row],[LOTE]],Tabla_imprenta[LOTE],0)),"REALIZADO")</f>
        <v>46113</v>
      </c>
      <c r="B470" s="142">
        <f>IF(COUNTIF(Tabla_imprenta[LOTE],Tabla_control[[#This Row],[LOTE]])=1,INDEX(Tabla_imprenta[CÓD. SOLICITUD],MATCH(Tabla_control[[#This Row],[LOTE]],Tabla_imprenta[LOTE],0)),"REALIZADO")</f>
        <v>0</v>
      </c>
      <c r="C470" s="177" t="str">
        <f>IF(COUNTIF(Tabla_imprenta[LOTE],Tabla_control[[#This Row],[LOTE]])=1,INDEX(Tabla_imprenta[PRODUCTO],MATCH(Tabla_control[[#This Row],[LOTE]],Tabla_imprenta[LOTE],0)),"REALIZADO")</f>
        <v>DUFORAX PLUS X 10 G CREMA VAGINAL MM</v>
      </c>
      <c r="D470" s="142" t="str">
        <f>IF(COUNTIF(Tabla_imprenta[LOTE],Tabla_control[[#This Row],[LOTE]])=1,INDEX(Tabla_imprenta[FORMA FARMACEUTICA],MATCH(Tabla_control[[#This Row],[LOTE]],Tabla_imprenta[LOTE],0)),"REALIZADO")</f>
        <v>CREMA VAGINAL</v>
      </c>
      <c r="E470" s="177" t="str">
        <f>IF(COUNTIF(Tabla_imprenta[LOTE],Tabla_control[[#This Row],[LOTE]])=1,INDEX(Tabla_imprenta[INSTITUCIÓN],MATCH(Tabla_control[[#This Row],[LOTE]],Tabla_imprenta[LOTE],0)),"REALIZADO")</f>
        <v>MM-2026</v>
      </c>
      <c r="F470" s="181" t="s">
        <v>3013</v>
      </c>
      <c r="G470" s="139">
        <f>IF(COUNTIF(Tabla_imprenta[LOTE],Tabla_control[[#This Row],[LOTE]])=1,INDEX(Tabla_imprenta[CANTIDAD ENVASE SECUNDARIO],MATCH(Tabla_control[[#This Row],[LOTE]],Tabla_imprenta[LOTE],0)),"ENTREGADO")</f>
        <v>12000</v>
      </c>
      <c r="H470" s="139">
        <f>IF(COUNTIF(Tabla_imprenta[LOTE],Tabla_control[[#This Row],[LOTE]])=1,INDEX(Tabla_imprenta[stock sap],MATCH(Tabla_control[[#This Row],[LOTE]],Tabla_imprenta[LOTE],0)),"ENTREGADO")</f>
        <v>1287</v>
      </c>
      <c r="I470" s="139" t="str">
        <f>IF(Tabla_control[[#This Row],[STOCK SAP]]&gt;Tabla_control[[#This Row],[CANTIDAD IMPRIMIR]],"cubre","no cubre")</f>
        <v>no cubre</v>
      </c>
      <c r="J470" s="182">
        <f>IF(COUNTIF(Tabla_imprenta[LOTE],Tabla_control[[#This Row],[LOTE]])=1,INDEX(Tabla_imprenta[STOCK],MATCH(Tabla_control[[#This Row],[LOTE]],Tabla_imprenta[LOTE],0)),"ENTREGADO")</f>
        <v>1.8482496241524251</v>
      </c>
      <c r="K47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46168</v>
      </c>
      <c r="L470" s="148" t="str">
        <f>INDEX(Tabla_imprenta[FECHA CAJA],MATCH(Tabla_control[[#This Row],[LOTE]],Tabla_imprenta[LOTE],0))</f>
        <v>ENTREGADO</v>
      </c>
      <c r="M47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47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7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470" s="170">
        <f>ROUNDUP(Tabla_control[[#This Row],[CANTIDAD IMPRIMIR]]/Tabla_control[[#This Row],[N TJ]],0)</f>
        <v>3000</v>
      </c>
      <c r="Q470" s="170">
        <f>IF(Tabla_control[[#This Row],[CANTIDAD TIRAJE]]&gt;10000,Tabla_control[[#This Row],[CANTIDAD TIRAJE]],Tabla_control[[#This Row],[CANTIDAD TIRAJE]]*2)</f>
        <v>6000</v>
      </c>
      <c r="R470" s="186" t="s">
        <v>175</v>
      </c>
      <c r="S470" s="4" t="s">
        <v>3759</v>
      </c>
      <c r="T470" s="4"/>
      <c r="U470" s="4"/>
      <c r="V470" s="4"/>
      <c r="W470" s="185" t="s">
        <v>3223</v>
      </c>
      <c r="X470" s="185"/>
      <c r="Y470" s="185"/>
      <c r="Z470" s="185"/>
      <c r="AA470" s="186" t="s">
        <v>2429</v>
      </c>
      <c r="AB470" s="184" t="s">
        <v>2028</v>
      </c>
    </row>
    <row r="471" spans="1:28" x14ac:dyDescent="0.2">
      <c r="A471" s="175">
        <f>IF(COUNTIF(Tabla_imprenta[LOTE],Tabla_control[[#This Row],[LOTE]])=1,INDEX(Tabla_imprenta[FECHA EMISIÓN],MATCH(Tabla_control[[#This Row],[LOTE]],Tabla_imprenta[LOTE],0)),"REALIZADO")</f>
        <v>46143</v>
      </c>
      <c r="B471" s="142">
        <f>IF(COUNTIF(Tabla_imprenta[LOTE],Tabla_control[[#This Row],[LOTE]])=1,INDEX(Tabla_imprenta[CÓD. SOLICITUD],MATCH(Tabla_control[[#This Row],[LOTE]],Tabla_imprenta[LOTE],0)),"REALIZADO")</f>
        <v>0</v>
      </c>
      <c r="C471" s="177" t="str">
        <f>IF(COUNTIF(Tabla_imprenta[LOTE],Tabla_control[[#This Row],[LOTE]])=1,INDEX(Tabla_imprenta[PRODUCTO],MATCH(Tabla_control[[#This Row],[LOTE]],Tabla_imprenta[LOTE],0)),"REALIZADO")</f>
        <v>GENTAMICINA 80 MG X 25 AMP. SOLUCION INY.</v>
      </c>
      <c r="D471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71" s="177" t="str">
        <f>IF(COUNTIF(Tabla_imprenta[LOTE],Tabla_control[[#This Row],[LOTE]])=1,INDEX(Tabla_imprenta[INSTITUCIÓN],MATCH(Tabla_control[[#This Row],[LOTE]],Tabla_imprenta[LOTE],0)),"REALIZADO")</f>
        <v>COMERCIO</v>
      </c>
      <c r="F471" s="229" t="s">
        <v>5405</v>
      </c>
      <c r="G471" s="139">
        <f>IF(COUNTIF(Tabla_imprenta[LOTE],Tabla_control[[#This Row],[LOTE]])=1,INDEX(Tabla_imprenta[CANTIDAD ENVASE SECUNDARIO],MATCH(Tabla_control[[#This Row],[LOTE]],Tabla_imprenta[LOTE],0)),"ENTREGADO")</f>
        <v>3200</v>
      </c>
      <c r="H471" s="139">
        <f>IF(COUNTIF(Tabla_imprenta[LOTE],Tabla_control[[#This Row],[LOTE]])=1,INDEX(Tabla_imprenta[stock sap],MATCH(Tabla_control[[#This Row],[LOTE]],Tabla_imprenta[LOTE],0)),"ENTREGADO")</f>
        <v>2211</v>
      </c>
      <c r="I471" s="139" t="str">
        <f>IF(Tabla_control[[#This Row],[STOCK SAP]]&gt;Tabla_control[[#This Row],[CANTIDAD IMPRIMIR]],"cubre","no cubre")</f>
        <v>no cubre</v>
      </c>
      <c r="J471" s="182">
        <f>IF(COUNTIF(Tabla_imprenta[LOTE],Tabla_control[[#This Row],[LOTE]])=1,INDEX(Tabla_imprenta[STOCK],MATCH(Tabla_control[[#This Row],[LOTE]],Tabla_imprenta[LOTE],0)),"ENTREGADO")</f>
        <v>0.43771548493479234</v>
      </c>
      <c r="K47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46167</v>
      </c>
      <c r="L471" s="148">
        <f>INDEX(Tabla_imprenta[FECHA CAJA],MATCH(Tabla_control[[#This Row],[LOTE]],Tabla_imprenta[LOTE],0))</f>
        <v>46167</v>
      </c>
      <c r="M47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7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7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471" s="170">
        <f>ROUNDUP(Tabla_control[[#This Row],[CANTIDAD IMPRIMIR]]/Tabla_control[[#This Row],[N TJ]],0)</f>
        <v>1600</v>
      </c>
      <c r="Q471" s="170">
        <f>IF(Tabla_control[[#This Row],[CANTIDAD TIRAJE]]&gt;10000,Tabla_control[[#This Row],[CANTIDAD TIRAJE]],Tabla_control[[#This Row],[CANTIDAD TIRAJE]]*2)</f>
        <v>3200</v>
      </c>
      <c r="R471" s="186" t="s">
        <v>172</v>
      </c>
      <c r="S471" s="4" t="s">
        <v>30</v>
      </c>
      <c r="T471" s="4"/>
      <c r="U471" s="4"/>
      <c r="V471" s="4"/>
      <c r="W471" s="185" t="s">
        <v>22</v>
      </c>
      <c r="X471" s="185"/>
      <c r="Y471" s="185"/>
      <c r="Z471" s="185"/>
      <c r="AA471" s="186" t="s">
        <v>171</v>
      </c>
      <c r="AB471" s="184" t="s">
        <v>4464</v>
      </c>
    </row>
    <row r="472" spans="1:28" hidden="1" x14ac:dyDescent="0.2">
      <c r="A472" s="175">
        <f>IF(COUNTIF(Tabla_imprenta[LOTE],Tabla_control[[#This Row],[LOTE]])=1,INDEX(Tabla_imprenta[FECHA EMISIÓN],MATCH(Tabla_control[[#This Row],[LOTE]],Tabla_imprenta[LOTE],0)),"REALIZADO")</f>
        <v>46113</v>
      </c>
      <c r="B472" s="142">
        <f>IF(COUNTIF(Tabla_imprenta[LOTE],Tabla_control[[#This Row],[LOTE]])=1,INDEX(Tabla_imprenta[CÓD. SOLICITUD],MATCH(Tabla_control[[#This Row],[LOTE]],Tabla_imprenta[LOTE],0)),"REALIZADO")</f>
        <v>0</v>
      </c>
      <c r="C472" s="177" t="str">
        <f>IF(COUNTIF(Tabla_imprenta[LOTE],Tabla_control[[#This Row],[LOTE]])=1,INDEX(Tabla_imprenta[PRODUCTO],MATCH(Tabla_control[[#This Row],[LOTE]],Tabla_imprenta[LOTE],0)),"REALIZADO")</f>
        <v>DICLOXACILINA 250 MG X 100 ML POLVO PARA SUSP.</v>
      </c>
      <c r="D472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472" s="177" t="str">
        <f>IF(COUNTIF(Tabla_imprenta[LOTE],Tabla_control[[#This Row],[LOTE]])=1,INDEX(Tabla_imprenta[INSTITUCIÓN],MATCH(Tabla_control[[#This Row],[LOTE]],Tabla_imprenta[LOTE],0)),"REALIZADO")</f>
        <v>COMERCIO</v>
      </c>
      <c r="F472" s="181" t="s">
        <v>3200</v>
      </c>
      <c r="G472" s="139">
        <f>IF(COUNTIF(Tabla_imprenta[LOTE],Tabla_control[[#This Row],[LOTE]])=1,INDEX(Tabla_imprenta[CANTIDAD ENVASE SECUNDARIO],MATCH(Tabla_control[[#This Row],[LOTE]],Tabla_imprenta[LOTE],0)),"ENTREGADO")</f>
        <v>1700</v>
      </c>
      <c r="H472" s="139">
        <f>IF(COUNTIF(Tabla_imprenta[LOTE],Tabla_control[[#This Row],[LOTE]])=1,INDEX(Tabla_imprenta[stock sap],MATCH(Tabla_control[[#This Row],[LOTE]],Tabla_imprenta[LOTE],0)),"ENTREGADO")</f>
        <v>209</v>
      </c>
      <c r="I472" s="139" t="str">
        <f>IF(Tabla_control[[#This Row],[STOCK SAP]]&gt;Tabla_control[[#This Row],[CANTIDAD IMPRIMIR]],"cubre","no cubre")</f>
        <v>no cubre</v>
      </c>
      <c r="J472" s="182">
        <f>IF(COUNTIF(Tabla_imprenta[LOTE],Tabla_control[[#This Row],[LOTE]])=1,INDEX(Tabla_imprenta[STOCK],MATCH(Tabla_control[[#This Row],[LOTE]],Tabla_imprenta[LOTE],0)),"ENTREGADO")</f>
        <v>0.70837531678422028</v>
      </c>
      <c r="K47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46167</v>
      </c>
      <c r="L472" s="148">
        <f>INDEX(Tabla_imprenta[FECHA CAJA],MATCH(Tabla_control[[#This Row],[LOTE]],Tabla_imprenta[LOTE],0))</f>
        <v>46167</v>
      </c>
      <c r="M47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7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7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472" s="170">
        <f>ROUNDUP(Tabla_control[[#This Row],[CANTIDAD IMPRIMIR]]/Tabla_control[[#This Row],[N TJ]],0)</f>
        <v>850</v>
      </c>
      <c r="Q472" s="170">
        <f>IF(Tabla_control[[#This Row],[CANTIDAD TIRAJE]]&gt;10000,Tabla_control[[#This Row],[CANTIDAD TIRAJE]],Tabla_control[[#This Row],[CANTIDAD TIRAJE]]*2)</f>
        <v>1700</v>
      </c>
      <c r="R472" s="186" t="s">
        <v>172</v>
      </c>
      <c r="S472" s="4" t="s">
        <v>30</v>
      </c>
      <c r="T472" s="4"/>
      <c r="U472" s="4"/>
      <c r="V472" s="4"/>
      <c r="W472" s="185" t="s">
        <v>3223</v>
      </c>
      <c r="X472" s="185"/>
      <c r="Y472" s="185"/>
      <c r="Z472" s="185"/>
      <c r="AA472" s="186" t="s">
        <v>2031</v>
      </c>
      <c r="AB472" s="184" t="s">
        <v>3222</v>
      </c>
    </row>
    <row r="473" spans="1:28" x14ac:dyDescent="0.2">
      <c r="A473" s="175">
        <f>IF(COUNTIF(Tabla_imprenta[LOTE],Tabla_control[[#This Row],[LOTE]])=1,INDEX(Tabla_imprenta[FECHA EMISIÓN],MATCH(Tabla_control[[#This Row],[LOTE]],Tabla_imprenta[LOTE],0)),"REALIZADO")</f>
        <v>46143</v>
      </c>
      <c r="B473" s="142">
        <f>IF(COUNTIF(Tabla_imprenta[LOTE],Tabla_control[[#This Row],[LOTE]])=1,INDEX(Tabla_imprenta[CÓD. SOLICITUD],MATCH(Tabla_control[[#This Row],[LOTE]],Tabla_imprenta[LOTE],0)),"REALIZADO")</f>
        <v>0</v>
      </c>
      <c r="C473" s="177" t="str">
        <f>IF(COUNTIF(Tabla_imprenta[LOTE],Tabla_control[[#This Row],[LOTE]])=1,INDEX(Tabla_imprenta[PRODUCTO],MATCH(Tabla_control[[#This Row],[LOTE]],Tabla_imprenta[LOTE],0)),"REALIZADO")</f>
        <v>PROCAINICA 800 X 1 POLVO INY.</v>
      </c>
      <c r="D473" s="142" t="str">
        <f>IF(COUNTIF(Tabla_imprenta[LOTE],Tabla_control[[#This Row],[LOTE]])=1,INDEX(Tabla_imprenta[FORMA FARMACEUTICA],MATCH(Tabla_control[[#This Row],[LOTE]],Tabla_imprenta[LOTE],0)),"REALIZADO")</f>
        <v>POLVO PARA INYECTABLE</v>
      </c>
      <c r="E473" s="177" t="str">
        <f>IF(COUNTIF(Tabla_imprenta[LOTE],Tabla_control[[#This Row],[LOTE]])=1,INDEX(Tabla_imprenta[INSTITUCIÓN],MATCH(Tabla_control[[#This Row],[LOTE]],Tabla_imprenta[LOTE],0)),"REALIZADO")</f>
        <v>COMERCIO</v>
      </c>
      <c r="F473" s="229" t="s">
        <v>5689</v>
      </c>
      <c r="G473" s="139">
        <f>IF(COUNTIF(Tabla_imprenta[LOTE],Tabla_control[[#This Row],[LOTE]])=1,INDEX(Tabla_imprenta[CANTIDAD ENVASE SECUNDARIO],MATCH(Tabla_control[[#This Row],[LOTE]],Tabla_imprenta[LOTE],0)),"ENTREGADO")</f>
        <v>400</v>
      </c>
      <c r="H473" s="139">
        <f>IF(COUNTIF(Tabla_imprenta[LOTE],Tabla_control[[#This Row],[LOTE]])=1,INDEX(Tabla_imprenta[stock sap],MATCH(Tabla_control[[#This Row],[LOTE]],Tabla_imprenta[LOTE],0)),"ENTREGADO")</f>
        <v>142</v>
      </c>
      <c r="I473" s="139" t="str">
        <f>IF(Tabla_control[[#This Row],[STOCK SAP]]&gt;Tabla_control[[#This Row],[CANTIDAD IMPRIMIR]],"cubre","no cubre")</f>
        <v>no cubre</v>
      </c>
      <c r="J473" s="182">
        <f>IF(COUNTIF(Tabla_imprenta[LOTE],Tabla_control[[#This Row],[LOTE]])=1,INDEX(Tabla_imprenta[STOCK],MATCH(Tabla_control[[#This Row],[LOTE]],Tabla_imprenta[LOTE],0)),"ENTREGADO")</f>
        <v>0.78364311414356469</v>
      </c>
      <c r="K47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46167</v>
      </c>
      <c r="L473" s="148">
        <f>INDEX(Tabla_imprenta[FECHA CAJA],MATCH(Tabla_control[[#This Row],[LOTE]],Tabla_imprenta[LOTE],0))</f>
        <v>46167</v>
      </c>
      <c r="M47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7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7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</v>
      </c>
      <c r="P473" s="170">
        <f>ROUNDUP(Tabla_control[[#This Row],[CANTIDAD IMPRIMIR]]/Tabla_control[[#This Row],[N TJ]],0)</f>
        <v>400</v>
      </c>
      <c r="Q473" s="170">
        <f>IF(Tabla_control[[#This Row],[CANTIDAD TIRAJE]]&gt;10000,Tabla_control[[#This Row],[CANTIDAD TIRAJE]],Tabla_control[[#This Row],[CANTIDAD TIRAJE]]*2)</f>
        <v>800</v>
      </c>
      <c r="R473" s="186" t="s">
        <v>172</v>
      </c>
      <c r="S473" s="4" t="s">
        <v>30</v>
      </c>
      <c r="T473" s="4"/>
      <c r="U473" s="4"/>
      <c r="V473" s="4"/>
      <c r="W473" s="185" t="s">
        <v>22</v>
      </c>
      <c r="X473" s="185"/>
      <c r="Y473" s="185"/>
      <c r="Z473" s="185"/>
      <c r="AA473" s="186" t="s">
        <v>171</v>
      </c>
      <c r="AB473" s="184" t="s">
        <v>5700</v>
      </c>
    </row>
    <row r="474" spans="1:28" hidden="1" x14ac:dyDescent="0.2">
      <c r="A474" s="175">
        <f>IF(COUNTIF(Tabla_imprenta[LOTE],Tabla_control[[#This Row],[LOTE]])=1,INDEX(Tabla_imprenta[FECHA EMISIÓN],MATCH(Tabla_control[[#This Row],[LOTE]],Tabla_imprenta[LOTE],0)),"REALIZADO")</f>
        <v>46143</v>
      </c>
      <c r="B474" s="142">
        <f>IF(COUNTIF(Tabla_imprenta[LOTE],Tabla_control[[#This Row],[LOTE]])=1,INDEX(Tabla_imprenta[CÓD. SOLICITUD],MATCH(Tabla_control[[#This Row],[LOTE]],Tabla_imprenta[LOTE],0)),"REALIZADO")</f>
        <v>0</v>
      </c>
      <c r="C474" s="177" t="str">
        <f>IF(COUNTIF(Tabla_imprenta[LOTE],Tabla_control[[#This Row],[LOTE]])=1,INDEX(Tabla_imprenta[PRODUCTO],MATCH(Tabla_control[[#This Row],[LOTE]],Tabla_imprenta[LOTE],0)),"REALIZADO")</f>
        <v>ZINC 20 MG X 100 COMP.</v>
      </c>
      <c r="D474" s="142" t="str">
        <f>IF(COUNTIF(Tabla_imprenta[LOTE],Tabla_control[[#This Row],[LOTE]])=1,INDEX(Tabla_imprenta[FORMA FARMACEUTICA],MATCH(Tabla_control[[#This Row],[LOTE]],Tabla_imprenta[LOTE],0)),"REALIZADO")</f>
        <v>COMPRIMIDO</v>
      </c>
      <c r="E474" s="177" t="str">
        <f>IF(COUNTIF(Tabla_imprenta[LOTE],Tabla_control[[#This Row],[LOTE]])=1,INDEX(Tabla_imprenta[INSTITUCIÓN],MATCH(Tabla_control[[#This Row],[LOTE]],Tabla_imprenta[LOTE],0)),"REALIZADO")</f>
        <v>COMERCIO</v>
      </c>
      <c r="F474" s="229" t="s">
        <v>5497</v>
      </c>
      <c r="G474" s="139">
        <f>IF(COUNTIF(Tabla_imprenta[LOTE],Tabla_control[[#This Row],[LOTE]])=1,INDEX(Tabla_imprenta[CANTIDAD ENVASE SECUNDARIO],MATCH(Tabla_control[[#This Row],[LOTE]],Tabla_imprenta[LOTE],0)),"ENTREGADO")</f>
        <v>5000</v>
      </c>
      <c r="H474" s="139">
        <f>IF(COUNTIF(Tabla_imprenta[LOTE],Tabla_control[[#This Row],[LOTE]])=1,INDEX(Tabla_imprenta[stock sap],MATCH(Tabla_control[[#This Row],[LOTE]],Tabla_imprenta[LOTE],0)),"ENTREGADO")</f>
        <v>5807</v>
      </c>
      <c r="I474" s="139" t="str">
        <f>IF(Tabla_control[[#This Row],[STOCK SAP]]&gt;Tabla_control[[#This Row],[CANTIDAD IMPRIMIR]],"cubre","no cubre")</f>
        <v>cubre</v>
      </c>
      <c r="J474" s="182">
        <f>IF(COUNTIF(Tabla_imprenta[LOTE],Tabla_control[[#This Row],[LOTE]])=1,INDEX(Tabla_imprenta[STOCK],MATCH(Tabla_control[[#This Row],[LOTE]],Tabla_imprenta[LOTE],0)),"ENTREGADO")</f>
        <v>1.3661017416322905</v>
      </c>
      <c r="K47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46167</v>
      </c>
      <c r="L474" s="148">
        <f>INDEX(Tabla_imprenta[FECHA CAJA],MATCH(Tabla_control[[#This Row],[LOTE]],Tabla_imprenta[LOTE],0))</f>
        <v>46167</v>
      </c>
      <c r="M47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7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7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29</v>
      </c>
      <c r="P474" s="170">
        <f>ROUNDUP(Tabla_control[[#This Row],[CANTIDAD IMPRIMIR]]/Tabla_control[[#This Row],[N TJ]],0)</f>
        <v>1250</v>
      </c>
      <c r="Q474" s="170">
        <f>IF(Tabla_control[[#This Row],[CANTIDAD TIRAJE]]&gt;10000,Tabla_control[[#This Row],[CANTIDAD TIRAJE]],Tabla_control[[#This Row],[CANTIDAD TIRAJE]]*2)</f>
        <v>2500</v>
      </c>
      <c r="R474" s="186" t="s">
        <v>172</v>
      </c>
      <c r="S474" s="4" t="s">
        <v>30</v>
      </c>
      <c r="T474" s="4"/>
      <c r="U474" s="4"/>
      <c r="V474" s="4"/>
      <c r="W474" s="185" t="s">
        <v>321</v>
      </c>
      <c r="X474" s="185"/>
      <c r="Y474" s="185"/>
      <c r="Z474" s="185"/>
      <c r="AA474" s="186" t="s">
        <v>321</v>
      </c>
      <c r="AB474" s="184" t="s">
        <v>4464</v>
      </c>
    </row>
    <row r="475" spans="1:28" hidden="1" x14ac:dyDescent="0.2">
      <c r="A475" s="175">
        <f>IF(COUNTIF(Tabla_imprenta[LOTE],Tabla_control[[#This Row],[LOTE]])=1,INDEX(Tabla_imprenta[FECHA EMISIÓN],MATCH(Tabla_control[[#This Row],[LOTE]],Tabla_imprenta[LOTE],0)),"REALIZADO")</f>
        <v>46121</v>
      </c>
      <c r="B475" s="142">
        <f>IF(COUNTIF(Tabla_imprenta[LOTE],Tabla_control[[#This Row],[LOTE]])=1,INDEX(Tabla_imprenta[CÓD. SOLICITUD],MATCH(Tabla_control[[#This Row],[LOTE]],Tabla_imprenta[LOTE],0)),"REALIZADO")</f>
        <v>0</v>
      </c>
      <c r="C475" s="177" t="str">
        <f>IF(COUNTIF(Tabla_imprenta[LOTE],Tabla_control[[#This Row],[LOTE]])=1,INDEX(Tabla_imprenta[PRODUCTO],MATCH(Tabla_control[[#This Row],[LOTE]],Tabla_imprenta[LOTE],0)),"REALIZADO")</f>
        <v>METFORMINA 850 MG X 500 COMP. RECUBIERTO</v>
      </c>
      <c r="D475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75" s="177" t="str">
        <f>IF(COUNTIF(Tabla_imprenta[LOTE],Tabla_control[[#This Row],[LOTE]])=1,INDEX(Tabla_imprenta[INSTITUCIÓN],MATCH(Tabla_control[[#This Row],[LOTE]],Tabla_imprenta[LOTE],0)),"REALIZADO")</f>
        <v>COMERCIO</v>
      </c>
      <c r="F475" s="181" t="s">
        <v>3280</v>
      </c>
      <c r="G475" s="139">
        <f>IF(COUNTIF(Tabla_imprenta[LOTE],Tabla_control[[#This Row],[LOTE]])=1,INDEX(Tabla_imprenta[CANTIDAD ENVASE SECUNDARIO],MATCH(Tabla_control[[#This Row],[LOTE]],Tabla_imprenta[LOTE],0)),"ENTREGADO")</f>
        <v>600</v>
      </c>
      <c r="H475" s="139">
        <f>IF(COUNTIF(Tabla_imprenta[LOTE],Tabla_control[[#This Row],[LOTE]])=1,INDEX(Tabla_imprenta[stock sap],MATCH(Tabla_control[[#This Row],[LOTE]],Tabla_imprenta[LOTE],0)),"ENTREGADO")</f>
        <v>929</v>
      </c>
      <c r="I475" s="139" t="str">
        <f>IF(Tabla_control[[#This Row],[STOCK SAP]]&gt;Tabla_control[[#This Row],[CANTIDAD IMPRIMIR]],"cubre","no cubre")</f>
        <v>cubre</v>
      </c>
      <c r="J475" s="182">
        <f>IF(COUNTIF(Tabla_imprenta[LOTE],Tabla_control[[#This Row],[LOTE]])=1,INDEX(Tabla_imprenta[STOCK],MATCH(Tabla_control[[#This Row],[LOTE]],Tabla_imprenta[LOTE],0)),"ENTREGADO")</f>
        <v>2.1887853211673778</v>
      </c>
      <c r="K47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46167</v>
      </c>
      <c r="L475" s="148">
        <f>INDEX(Tabla_imprenta[FECHA CAJA],MATCH(Tabla_control[[#This Row],[LOTE]],Tabla_imprenta[LOTE],0))</f>
        <v>46169</v>
      </c>
      <c r="M47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7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7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475" s="170">
        <f>ROUNDUP(Tabla_control[[#This Row],[CANTIDAD IMPRIMIR]]/Tabla_control[[#This Row],[N TJ]],0)</f>
        <v>600</v>
      </c>
      <c r="Q475" s="170">
        <f>IF(Tabla_control[[#This Row],[CANTIDAD TIRAJE]]&gt;10000,Tabla_control[[#This Row],[CANTIDAD TIRAJE]],Tabla_control[[#This Row],[CANTIDAD TIRAJE]]*2)</f>
        <v>1200</v>
      </c>
      <c r="R475" s="186" t="s">
        <v>172</v>
      </c>
      <c r="S475" s="4" t="s">
        <v>30</v>
      </c>
      <c r="T475" s="4"/>
      <c r="U475" s="4"/>
      <c r="V475" s="4"/>
      <c r="W475" s="185" t="s">
        <v>22</v>
      </c>
      <c r="X475" s="185"/>
      <c r="Y475" s="185"/>
      <c r="Z475" s="185"/>
      <c r="AA475" s="186" t="s">
        <v>2031</v>
      </c>
      <c r="AB475" s="184" t="s">
        <v>3222</v>
      </c>
    </row>
    <row r="476" spans="1:28" hidden="1" x14ac:dyDescent="0.2">
      <c r="A476" s="175">
        <f>IF(COUNTIF(Tabla_imprenta[LOTE],Tabla_control[[#This Row],[LOTE]])=1,INDEX(Tabla_imprenta[FECHA EMISIÓN],MATCH(Tabla_control[[#This Row],[LOTE]],Tabla_imprenta[LOTE],0)),"REALIZADO")</f>
        <v>46143</v>
      </c>
      <c r="B476" s="142">
        <f>IF(COUNTIF(Tabla_imprenta[LOTE],Tabla_control[[#This Row],[LOTE]])=1,INDEX(Tabla_imprenta[CÓD. SOLICITUD],MATCH(Tabla_control[[#This Row],[LOTE]],Tabla_imprenta[LOTE],0)),"REALIZADO")</f>
        <v>0</v>
      </c>
      <c r="C476" s="177" t="str">
        <f>IF(COUNTIF(Tabla_imprenta[LOTE],Tabla_control[[#This Row],[LOTE]])=1,INDEX(Tabla_imprenta[PRODUCTO],MATCH(Tabla_control[[#This Row],[LOTE]],Tabla_imprenta[LOTE],0)),"REALIZADO")</f>
        <v>AMIKACINA 500 MG X 25 AMP. SOLUCION INY.</v>
      </c>
      <c r="D476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76" s="177" t="str">
        <f>IF(COUNTIF(Tabla_imprenta[LOTE],Tabla_control[[#This Row],[LOTE]])=1,INDEX(Tabla_imprenta[INSTITUCIÓN],MATCH(Tabla_control[[#This Row],[LOTE]],Tabla_imprenta[LOTE],0)),"REALIZADO")</f>
        <v>COMERCIO</v>
      </c>
      <c r="F476" s="229" t="s">
        <v>5366</v>
      </c>
      <c r="G476" s="139">
        <f>IF(COUNTIF(Tabla_imprenta[LOTE],Tabla_control[[#This Row],[LOTE]])=1,INDEX(Tabla_imprenta[CANTIDAD ENVASE SECUNDARIO],MATCH(Tabla_control[[#This Row],[LOTE]],Tabla_imprenta[LOTE],0)),"ENTREGADO")</f>
        <v>1800</v>
      </c>
      <c r="H476" s="139">
        <f>IF(COUNTIF(Tabla_imprenta[LOTE],Tabla_control[[#This Row],[LOTE]])=1,INDEX(Tabla_imprenta[stock sap],MATCH(Tabla_control[[#This Row],[LOTE]],Tabla_imprenta[LOTE],0)),"ENTREGADO")</f>
        <v>2485</v>
      </c>
      <c r="I476" s="139" t="str">
        <f>IF(Tabla_control[[#This Row],[STOCK SAP]]&gt;Tabla_control[[#This Row],[CANTIDAD IMPRIMIR]],"cubre","no cubre")</f>
        <v>cubre</v>
      </c>
      <c r="J476" s="182">
        <f>IF(COUNTIF(Tabla_imprenta[LOTE],Tabla_control[[#This Row],[LOTE]])=1,INDEX(Tabla_imprenta[STOCK],MATCH(Tabla_control[[#This Row],[LOTE]],Tabla_imprenta[LOTE],0)),"ENTREGADO")</f>
        <v>2.956845599546595</v>
      </c>
      <c r="K47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46167</v>
      </c>
      <c r="L476" s="148">
        <f>INDEX(Tabla_imprenta[FECHA CAJA],MATCH(Tabla_control[[#This Row],[LOTE]],Tabla_imprenta[LOTE],0))</f>
        <v>46167</v>
      </c>
      <c r="M47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7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7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476" s="170">
        <f>ROUNDUP(Tabla_control[[#This Row],[CANTIDAD IMPRIMIR]]/Tabla_control[[#This Row],[N TJ]],0)</f>
        <v>900</v>
      </c>
      <c r="Q476" s="170">
        <f>IF(Tabla_control[[#This Row],[CANTIDAD TIRAJE]]&gt;10000,Tabla_control[[#This Row],[CANTIDAD TIRAJE]],Tabla_control[[#This Row],[CANTIDAD TIRAJE]]*2)</f>
        <v>1800</v>
      </c>
      <c r="R476" s="186" t="s">
        <v>172</v>
      </c>
      <c r="S476" s="4" t="s">
        <v>30</v>
      </c>
      <c r="T476" s="4"/>
      <c r="U476" s="4"/>
      <c r="V476" s="4"/>
      <c r="W476" s="185" t="s">
        <v>321</v>
      </c>
      <c r="X476" s="185"/>
      <c r="Y476" s="185"/>
      <c r="Z476" s="185"/>
      <c r="AA476" s="186" t="s">
        <v>321</v>
      </c>
      <c r="AB476" s="184" t="s">
        <v>4464</v>
      </c>
    </row>
    <row r="477" spans="1:28" hidden="1" x14ac:dyDescent="0.2">
      <c r="A477" s="175">
        <f>IF(COUNTIF(Tabla_imprenta[LOTE],Tabla_control[[#This Row],[LOTE]])=1,INDEX(Tabla_imprenta[FECHA EMISIÓN],MATCH(Tabla_control[[#This Row],[LOTE]],Tabla_imprenta[LOTE],0)),"REALIZADO")</f>
        <v>46113</v>
      </c>
      <c r="B477" s="142">
        <f>IF(COUNTIF(Tabla_imprenta[LOTE],Tabla_control[[#This Row],[LOTE]])=1,INDEX(Tabla_imprenta[CÓD. SOLICITUD],MATCH(Tabla_control[[#This Row],[LOTE]],Tabla_imprenta[LOTE],0)),"REALIZADO")</f>
        <v>0</v>
      </c>
      <c r="C477" s="177" t="str">
        <f>IF(COUNTIF(Tabla_imprenta[LOTE],Tabla_control[[#This Row],[LOTE]])=1,INDEX(Tabla_imprenta[PRODUCTO],MATCH(Tabla_control[[#This Row],[LOTE]],Tabla_imprenta[LOTE],0)),"REALIZADO")</f>
        <v>DICLOXACILINA 250 MG X 100 ML POLVO PARA SUSP.</v>
      </c>
      <c r="D477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477" s="177" t="str">
        <f>IF(COUNTIF(Tabla_imprenta[LOTE],Tabla_control[[#This Row],[LOTE]])=1,INDEX(Tabla_imprenta[INSTITUCIÓN],MATCH(Tabla_control[[#This Row],[LOTE]],Tabla_imprenta[LOTE],0)),"REALIZADO")</f>
        <v>COMERCIO</v>
      </c>
      <c r="F477" s="181" t="s">
        <v>3087</v>
      </c>
      <c r="G477" s="139">
        <f>IF(COUNTIF(Tabla_imprenta[LOTE],Tabla_control[[#This Row],[LOTE]])=1,INDEX(Tabla_imprenta[CANTIDAD ENVASE SECUNDARIO],MATCH(Tabla_control[[#This Row],[LOTE]],Tabla_imprenta[LOTE],0)),"ENTREGADO")</f>
        <v>5100</v>
      </c>
      <c r="H477" s="139">
        <f>IF(COUNTIF(Tabla_imprenta[LOTE],Tabla_control[[#This Row],[LOTE]])=1,INDEX(Tabla_imprenta[stock sap],MATCH(Tabla_control[[#This Row],[LOTE]],Tabla_imprenta[LOTE],0)),"ENTREGADO")</f>
        <v>209</v>
      </c>
      <c r="I477" s="139" t="str">
        <f>IF(Tabla_control[[#This Row],[STOCK SAP]]&gt;Tabla_control[[#This Row],[CANTIDAD IMPRIMIR]],"cubre","no cubre")</f>
        <v>no cubre</v>
      </c>
      <c r="J477" s="182">
        <f>IF(COUNTIF(Tabla_imprenta[LOTE],Tabla_control[[#This Row],[LOTE]])=1,INDEX(Tabla_imprenta[STOCK],MATCH(Tabla_control[[#This Row],[LOTE]],Tabla_imprenta[LOTE],0)),"ENTREGADO")</f>
        <v>0.70837531678422028</v>
      </c>
      <c r="K47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46168</v>
      </c>
      <c r="L477" s="148">
        <f>INDEX(Tabla_imprenta[FECHA CAJA],MATCH(Tabla_control[[#This Row],[LOTE]],Tabla_imprenta[LOTE],0))</f>
        <v>46168</v>
      </c>
      <c r="M47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7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7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477" s="170">
        <f>ROUNDUP(Tabla_control[[#This Row],[CANTIDAD IMPRIMIR]]/Tabla_control[[#This Row],[N TJ]],0)</f>
        <v>2550</v>
      </c>
      <c r="Q477" s="170">
        <f>IF(Tabla_control[[#This Row],[CANTIDAD TIRAJE]]&gt;10000,Tabla_control[[#This Row],[CANTIDAD TIRAJE]],Tabla_control[[#This Row],[CANTIDAD TIRAJE]]*2)</f>
        <v>5100</v>
      </c>
      <c r="R477" s="186" t="s">
        <v>172</v>
      </c>
      <c r="S477" s="4" t="s">
        <v>30</v>
      </c>
      <c r="T477" s="4"/>
      <c r="U477" s="4"/>
      <c r="V477" s="4"/>
      <c r="W477" s="185" t="s">
        <v>3223</v>
      </c>
      <c r="X477" s="185"/>
      <c r="Y477" s="185"/>
      <c r="Z477" s="185"/>
      <c r="AA477" s="186" t="s">
        <v>2031</v>
      </c>
      <c r="AB477" s="184" t="s">
        <v>3222</v>
      </c>
    </row>
    <row r="478" spans="1:28" hidden="1" x14ac:dyDescent="0.2">
      <c r="A478" s="175">
        <f>IF(COUNTIF(Tabla_imprenta[LOTE],Tabla_control[[#This Row],[LOTE]])=1,INDEX(Tabla_imprenta[FECHA EMISIÓN],MATCH(Tabla_control[[#This Row],[LOTE]],Tabla_imprenta[LOTE],0)),"REALIZADO")</f>
        <v>46121</v>
      </c>
      <c r="B478" s="142">
        <f>IF(COUNTIF(Tabla_imprenta[LOTE],Tabla_control[[#This Row],[LOTE]])=1,INDEX(Tabla_imprenta[CÓD. SOLICITUD],MATCH(Tabla_control[[#This Row],[LOTE]],Tabla_imprenta[LOTE],0)),"REALIZADO")</f>
        <v>0</v>
      </c>
      <c r="C478" s="177" t="str">
        <f>IF(COUNTIF(Tabla_imprenta[LOTE],Tabla_control[[#This Row],[LOTE]])=1,INDEX(Tabla_imprenta[PRODUCTO],MATCH(Tabla_control[[#This Row],[LOTE]],Tabla_imprenta[LOTE],0)),"REALIZADO")</f>
        <v>METFORMINA 850 MG X 500 COMP. RECUBIERTO</v>
      </c>
      <c r="D478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78" s="177" t="str">
        <f>IF(COUNTIF(Tabla_imprenta[LOTE],Tabla_control[[#This Row],[LOTE]])=1,INDEX(Tabla_imprenta[INSTITUCIÓN],MATCH(Tabla_control[[#This Row],[LOTE]],Tabla_imprenta[LOTE],0)),"REALIZADO")</f>
        <v>COMERCIO</v>
      </c>
      <c r="F478" s="181" t="s">
        <v>3282</v>
      </c>
      <c r="G478" s="139">
        <f>IF(COUNTIF(Tabla_imprenta[LOTE],Tabla_control[[#This Row],[LOTE]])=1,INDEX(Tabla_imprenta[CANTIDAD ENVASE SECUNDARIO],MATCH(Tabla_control[[#This Row],[LOTE]],Tabla_imprenta[LOTE],0)),"ENTREGADO")</f>
        <v>600</v>
      </c>
      <c r="H478" s="139">
        <f>IF(COUNTIF(Tabla_imprenta[LOTE],Tabla_control[[#This Row],[LOTE]])=1,INDEX(Tabla_imprenta[stock sap],MATCH(Tabla_control[[#This Row],[LOTE]],Tabla_imprenta[LOTE],0)),"ENTREGADO")</f>
        <v>929</v>
      </c>
      <c r="I478" s="139" t="str">
        <f>IF(Tabla_control[[#This Row],[STOCK SAP]]&gt;Tabla_control[[#This Row],[CANTIDAD IMPRIMIR]],"cubre","no cubre")</f>
        <v>cubre</v>
      </c>
      <c r="J478" s="182">
        <f>IF(COUNTIF(Tabla_imprenta[LOTE],Tabla_control[[#This Row],[LOTE]])=1,INDEX(Tabla_imprenta[STOCK],MATCH(Tabla_control[[#This Row],[LOTE]],Tabla_imprenta[LOTE],0)),"ENTREGADO")</f>
        <v>2.1887853211673778</v>
      </c>
      <c r="K47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46168</v>
      </c>
      <c r="L478" s="148">
        <f>INDEX(Tabla_imprenta[FECHA CAJA],MATCH(Tabla_control[[#This Row],[LOTE]],Tabla_imprenta[LOTE],0))</f>
        <v>46171</v>
      </c>
      <c r="M47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7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7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478" s="170">
        <f>ROUNDUP(Tabla_control[[#This Row],[CANTIDAD IMPRIMIR]]/Tabla_control[[#This Row],[N TJ]],0)</f>
        <v>600</v>
      </c>
      <c r="Q478" s="170">
        <f>IF(Tabla_control[[#This Row],[CANTIDAD TIRAJE]]&gt;10000,Tabla_control[[#This Row],[CANTIDAD TIRAJE]],Tabla_control[[#This Row],[CANTIDAD TIRAJE]]*2)</f>
        <v>1200</v>
      </c>
      <c r="R478" s="186" t="s">
        <v>172</v>
      </c>
      <c r="S478" s="4" t="s">
        <v>30</v>
      </c>
      <c r="T478" s="4"/>
      <c r="U478" s="4"/>
      <c r="V478" s="4"/>
      <c r="W478" s="185" t="s">
        <v>22</v>
      </c>
      <c r="X478" s="185"/>
      <c r="Y478" s="185"/>
      <c r="Z478" s="185"/>
      <c r="AA478" s="186" t="s">
        <v>2031</v>
      </c>
      <c r="AB478" s="184" t="s">
        <v>3222</v>
      </c>
    </row>
    <row r="479" spans="1:28" x14ac:dyDescent="0.2">
      <c r="A479" s="175">
        <f>IF(COUNTIF(Tabla_imprenta[LOTE],Tabla_control[[#This Row],[LOTE]])=1,INDEX(Tabla_imprenta[FECHA EMISIÓN],MATCH(Tabla_control[[#This Row],[LOTE]],Tabla_imprenta[LOTE],0)),"REALIZADO")</f>
        <v>46113</v>
      </c>
      <c r="B479" s="142">
        <f>IF(COUNTIF(Tabla_imprenta[LOTE],Tabla_control[[#This Row],[LOTE]])=1,INDEX(Tabla_imprenta[CÓD. SOLICITUD],MATCH(Tabla_control[[#This Row],[LOTE]],Tabla_imprenta[LOTE],0)),"REALIZADO")</f>
        <v>0</v>
      </c>
      <c r="C479" s="177" t="str">
        <f>IF(COUNTIF(Tabla_imprenta[LOTE],Tabla_control[[#This Row],[LOTE]])=1,INDEX(Tabla_imprenta[PRODUCTO],MATCH(Tabla_control[[#This Row],[LOTE]],Tabla_imprenta[LOTE],0)),"REALIZADO")</f>
        <v>DEXTROMETORFANO 10 MG X 100 ML JARABE</v>
      </c>
      <c r="D479" s="142" t="str">
        <f>IF(COUNTIF(Tabla_imprenta[LOTE],Tabla_control[[#This Row],[LOTE]])=1,INDEX(Tabla_imprenta[FORMA FARMACEUTICA],MATCH(Tabla_control[[#This Row],[LOTE]],Tabla_imprenta[LOTE],0)),"REALIZADO")</f>
        <v>JARABE</v>
      </c>
      <c r="E479" s="177" t="str">
        <f>IF(COUNTIF(Tabla_imprenta[LOTE],Tabla_control[[#This Row],[LOTE]])=1,INDEX(Tabla_imprenta[INSTITUCIÓN],MATCH(Tabla_control[[#This Row],[LOTE]],Tabla_imprenta[LOTE],0)),"REALIZADO")</f>
        <v>COMERCIO</v>
      </c>
      <c r="F479" s="181" t="s">
        <v>3204</v>
      </c>
      <c r="G479" s="139">
        <f>IF(COUNTIF(Tabla_imprenta[LOTE],Tabla_control[[#This Row],[LOTE]])=1,INDEX(Tabla_imprenta[CANTIDAD ENVASE SECUNDARIO],MATCH(Tabla_control[[#This Row],[LOTE]],Tabla_imprenta[LOTE],0)),"ENTREGADO")</f>
        <v>29703</v>
      </c>
      <c r="H479" s="139">
        <f>IF(COUNTIF(Tabla_imprenta[LOTE],Tabla_control[[#This Row],[LOTE]])=1,INDEX(Tabla_imprenta[stock sap],MATCH(Tabla_control[[#This Row],[LOTE]],Tabla_imprenta[LOTE],0)),"ENTREGADO")</f>
        <v>2600</v>
      </c>
      <c r="I479" s="139" t="str">
        <f>IF(Tabla_control[[#This Row],[STOCK SAP]]&gt;Tabla_control[[#This Row],[CANTIDAD IMPRIMIR]],"cubre","no cubre")</f>
        <v>no cubre</v>
      </c>
      <c r="J479" s="182">
        <f>IF(COUNTIF(Tabla_imprenta[LOTE],Tabla_control[[#This Row],[LOTE]])=1,INDEX(Tabla_imprenta[STOCK],MATCH(Tabla_control[[#This Row],[LOTE]],Tabla_imprenta[LOTE],0)),"ENTREGADO")</f>
        <v>0.77540560458321139</v>
      </c>
      <c r="K47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46169</v>
      </c>
      <c r="L479" s="148">
        <f>INDEX(Tabla_imprenta[FECHA CAJA],MATCH(Tabla_control[[#This Row],[LOTE]],Tabla_imprenta[LOTE],0))</f>
        <v>46169</v>
      </c>
      <c r="M47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7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7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479" s="170">
        <f>ROUNDUP(Tabla_control[[#This Row],[CANTIDAD IMPRIMIR]]/Tabla_control[[#This Row],[N TJ]],0)</f>
        <v>14852</v>
      </c>
      <c r="Q479" s="170">
        <f>IF(Tabla_control[[#This Row],[CANTIDAD TIRAJE]]&gt;10000,Tabla_control[[#This Row],[CANTIDAD TIRAJE]],Tabla_control[[#This Row],[CANTIDAD TIRAJE]]*2)</f>
        <v>14852</v>
      </c>
      <c r="R479" s="186" t="s">
        <v>172</v>
      </c>
      <c r="S479" s="4" t="s">
        <v>31</v>
      </c>
      <c r="T479" s="4"/>
      <c r="U479" s="4"/>
      <c r="V479" s="4"/>
      <c r="W479" s="185" t="s">
        <v>2986</v>
      </c>
      <c r="X479" s="185"/>
      <c r="Y479" s="185"/>
      <c r="Z479" s="185"/>
      <c r="AA479" s="186" t="s">
        <v>171</v>
      </c>
      <c r="AB479" s="184" t="s">
        <v>3222</v>
      </c>
    </row>
    <row r="480" spans="1:28" hidden="1" x14ac:dyDescent="0.2">
      <c r="A480" s="175">
        <f>IF(COUNTIF(Tabla_imprenta[LOTE],Tabla_control[[#This Row],[LOTE]])=1,INDEX(Tabla_imprenta[FECHA EMISIÓN],MATCH(Tabla_control[[#This Row],[LOTE]],Tabla_imprenta[LOTE],0)),"REALIZADO")</f>
        <v>46113</v>
      </c>
      <c r="B480" s="142">
        <f>IF(COUNTIF(Tabla_imprenta[LOTE],Tabla_control[[#This Row],[LOTE]])=1,INDEX(Tabla_imprenta[CÓD. SOLICITUD],MATCH(Tabla_control[[#This Row],[LOTE]],Tabla_imprenta[LOTE],0)),"REALIZADO")</f>
        <v>0</v>
      </c>
      <c r="C480" s="177" t="str">
        <f>IF(COUNTIF(Tabla_imprenta[LOTE],Tabla_control[[#This Row],[LOTE]])=1,INDEX(Tabla_imprenta[PRODUCTO],MATCH(Tabla_control[[#This Row],[LOTE]],Tabla_imprenta[LOTE],0)),"REALIZADO")</f>
        <v>FERROCAN COMPUESTO X 100 COMP. RECUBIERTO VETERINARIO</v>
      </c>
      <c r="D480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80" s="177" t="str">
        <f>IF(COUNTIF(Tabla_imprenta[LOTE],Tabla_control[[#This Row],[LOTE]])=1,INDEX(Tabla_imprenta[INSTITUCIÓN],MATCH(Tabla_control[[#This Row],[LOTE]],Tabla_imprenta[LOTE],0)),"REALIZADO")</f>
        <v>COMERCIO</v>
      </c>
      <c r="F480" s="181" t="s">
        <v>3182</v>
      </c>
      <c r="G480" s="139">
        <f>IF(COUNTIF(Tabla_imprenta[LOTE],Tabla_control[[#This Row],[LOTE]])=1,INDEX(Tabla_imprenta[CANTIDAD ENVASE SECUNDARIO],MATCH(Tabla_control[[#This Row],[LOTE]],Tabla_imprenta[LOTE],0)),"ENTREGADO")</f>
        <v>500</v>
      </c>
      <c r="H480" s="139">
        <f>IF(COUNTIF(Tabla_imprenta[LOTE],Tabla_control[[#This Row],[LOTE]])=1,INDEX(Tabla_imprenta[stock sap],MATCH(Tabla_control[[#This Row],[LOTE]],Tabla_imprenta[LOTE],0)),"ENTREGADO")</f>
        <v>831</v>
      </c>
      <c r="I480" s="139" t="str">
        <f>IF(Tabla_control[[#This Row],[STOCK SAP]]&gt;Tabla_control[[#This Row],[CANTIDAD IMPRIMIR]],"cubre","no cubre")</f>
        <v>cubre</v>
      </c>
      <c r="J480" s="182">
        <f>IF(COUNTIF(Tabla_imprenta[LOTE],Tabla_control[[#This Row],[LOTE]])=1,INDEX(Tabla_imprenta[STOCK],MATCH(Tabla_control[[#This Row],[LOTE]],Tabla_imprenta[LOTE],0)),"ENTREGADO")</f>
        <v>2.1581027667984189</v>
      </c>
      <c r="K48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46169</v>
      </c>
      <c r="L480" s="148">
        <f>INDEX(Tabla_imprenta[FECHA CAJA],MATCH(Tabla_control[[#This Row],[LOTE]],Tabla_imprenta[LOTE],0))</f>
        <v>46150</v>
      </c>
      <c r="M48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48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8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102</v>
      </c>
      <c r="P480" s="170">
        <f>ROUNDUP(Tabla_control[[#This Row],[CANTIDAD IMPRIMIR]]/Tabla_control[[#This Row],[N TJ]],0)</f>
        <v>250</v>
      </c>
      <c r="Q480" s="170">
        <f>IF(Tabla_control[[#This Row],[CANTIDAD TIRAJE]]&gt;10000,Tabla_control[[#This Row],[CANTIDAD TIRAJE]],Tabla_control[[#This Row],[CANTIDAD TIRAJE]]*2)</f>
        <v>500</v>
      </c>
      <c r="R480" s="186" t="s">
        <v>176</v>
      </c>
      <c r="S480" s="4" t="s">
        <v>30</v>
      </c>
      <c r="T480" s="4"/>
      <c r="U480" s="4"/>
      <c r="V480" s="4"/>
      <c r="W480" s="187" t="s">
        <v>321</v>
      </c>
      <c r="X480" s="187"/>
      <c r="Y480" s="187"/>
      <c r="Z480" s="187"/>
      <c r="AA480" s="186" t="s">
        <v>321</v>
      </c>
      <c r="AB480" s="184" t="s">
        <v>3222</v>
      </c>
    </row>
    <row r="481" spans="1:28" hidden="1" x14ac:dyDescent="0.2">
      <c r="A481" s="175">
        <f>IF(COUNTIF(Tabla_imprenta[LOTE],Tabla_control[[#This Row],[LOTE]])=1,INDEX(Tabla_imprenta[FECHA EMISIÓN],MATCH(Tabla_control[[#This Row],[LOTE]],Tabla_imprenta[LOTE],0)),"REALIZADO")</f>
        <v>46091</v>
      </c>
      <c r="B481" s="142">
        <f>IF(COUNTIF(Tabla_imprenta[LOTE],Tabla_control[[#This Row],[LOTE]])=1,INDEX(Tabla_imprenta[CÓD. SOLICITUD],MATCH(Tabla_control[[#This Row],[LOTE]],Tabla_imprenta[LOTE],0)),"REALIZADO")</f>
        <v>0</v>
      </c>
      <c r="C481" s="177" t="str">
        <f>IF(COUNTIF(Tabla_imprenta[LOTE],Tabla_control[[#This Row],[LOTE]])=1,INDEX(Tabla_imprenta[PRODUCTO],MATCH(Tabla_control[[#This Row],[LOTE]],Tabla_imprenta[LOTE],0)),"REALIZADO")</f>
        <v>LIDOCAINA 2% X 1 VIAL SOLUCION INY.</v>
      </c>
      <c r="D481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81" s="177" t="str">
        <f>IF(COUNTIF(Tabla_imprenta[LOTE],Tabla_control[[#This Row],[LOTE]])=1,INDEX(Tabla_imprenta[INSTITUCIÓN],MATCH(Tabla_control[[#This Row],[LOTE]],Tabla_imprenta[LOTE],0)),"REALIZADO")</f>
        <v>COMERCIO</v>
      </c>
      <c r="F481" s="180" t="s">
        <v>2952</v>
      </c>
      <c r="G481" s="139">
        <f>IF(COUNTIF(Tabla_imprenta[LOTE],Tabla_control[[#This Row],[LOTE]])=1,INDEX(Tabla_imprenta[CANTIDAD ENVASE SECUNDARIO],MATCH(Tabla_control[[#This Row],[LOTE]],Tabla_imprenta[LOTE],0)),"ENTREGADO")</f>
        <v>9200</v>
      </c>
      <c r="H481" s="139">
        <f>IF(COUNTIF(Tabla_imprenta[LOTE],Tabla_control[[#This Row],[LOTE]])=1,INDEX(Tabla_imprenta[stock sap],MATCH(Tabla_control[[#This Row],[LOTE]],Tabla_imprenta[LOTE],0)),"ENTREGADO")</f>
        <v>3260</v>
      </c>
      <c r="I481" s="139" t="str">
        <f>IF(Tabla_control[[#This Row],[STOCK SAP]]&gt;Tabla_control[[#This Row],[CANTIDAD IMPRIMIR]],"cubre","no cubre")</f>
        <v>no cubre</v>
      </c>
      <c r="J481" s="7">
        <f>IF(COUNTIF(Tabla_imprenta[LOTE],Tabla_control[[#This Row],[LOTE]])=1,INDEX(Tabla_imprenta[STOCK],MATCH(Tabla_control[[#This Row],[LOTE]],Tabla_imprenta[LOTE],0)),"ENTREGADO")</f>
        <v>1.002996974139363</v>
      </c>
      <c r="K48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46175</v>
      </c>
      <c r="L481" s="148" t="str">
        <f>INDEX(Tabla_imprenta[FECHA CAJA],MATCH(Tabla_control[[#This Row],[LOTE]],Tabla_imprenta[LOTE],0))</f>
        <v>ENTREGADO</v>
      </c>
      <c r="M48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8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48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22</v>
      </c>
      <c r="P481" s="170">
        <f>ROUNDUP(Tabla_control[[#This Row],[CANTIDAD IMPRIMIR]]/Tabla_control[[#This Row],[N TJ]],0)</f>
        <v>1534</v>
      </c>
      <c r="Q481" s="170">
        <f>IF(Tabla_control[[#This Row],[CANTIDAD TIRAJE]]&gt;10000,Tabla_control[[#This Row],[CANTIDAD TIRAJE]],Tabla_control[[#This Row],[CANTIDAD TIRAJE]]*2)</f>
        <v>3068</v>
      </c>
      <c r="R481" s="4" t="s">
        <v>172</v>
      </c>
      <c r="S481" s="4" t="s">
        <v>31</v>
      </c>
      <c r="T481" s="4"/>
      <c r="U481" s="4"/>
      <c r="V481" s="4"/>
      <c r="W481" s="185" t="s">
        <v>3223</v>
      </c>
      <c r="X481" s="185"/>
      <c r="Y481" s="185"/>
      <c r="Z481" s="185"/>
      <c r="AA481" s="4" t="s">
        <v>2429</v>
      </c>
      <c r="AB481" s="184" t="s">
        <v>2028</v>
      </c>
    </row>
    <row r="482" spans="1:28" hidden="1" x14ac:dyDescent="0.2">
      <c r="A482" s="175">
        <f>IF(COUNTIF(Tabla_imprenta[LOTE],Tabla_control[[#This Row],[LOTE]])=1,INDEX(Tabla_imprenta[FECHA EMISIÓN],MATCH(Tabla_control[[#This Row],[LOTE]],Tabla_imprenta[LOTE],0)),"REALIZADO")</f>
        <v>46121</v>
      </c>
      <c r="B482" s="142">
        <f>IF(COUNTIF(Tabla_imprenta[LOTE],Tabla_control[[#This Row],[LOTE]])=1,INDEX(Tabla_imprenta[CÓD. SOLICITUD],MATCH(Tabla_control[[#This Row],[LOTE]],Tabla_imprenta[LOTE],0)),"REALIZADO")</f>
        <v>0</v>
      </c>
      <c r="C482" s="177" t="str">
        <f>IF(COUNTIF(Tabla_imprenta[LOTE],Tabla_control[[#This Row],[LOTE]])=1,INDEX(Tabla_imprenta[PRODUCTO],MATCH(Tabla_control[[#This Row],[LOTE]],Tabla_imprenta[LOTE],0)),"REALIZADO")</f>
        <v>METFORMINA 850 MG X 500 COMP. RECUBIERTO</v>
      </c>
      <c r="D482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82" s="177" t="str">
        <f>IF(COUNTIF(Tabla_imprenta[LOTE],Tabla_control[[#This Row],[LOTE]])=1,INDEX(Tabla_imprenta[INSTITUCIÓN],MATCH(Tabla_control[[#This Row],[LOTE]],Tabla_imprenta[LOTE],0)),"REALIZADO")</f>
        <v>COMERCIO</v>
      </c>
      <c r="F482" s="181" t="s">
        <v>3283</v>
      </c>
      <c r="G482" s="139">
        <f>IF(COUNTIF(Tabla_imprenta[LOTE],Tabla_control[[#This Row],[LOTE]])=1,INDEX(Tabla_imprenta[CANTIDAD ENVASE SECUNDARIO],MATCH(Tabla_control[[#This Row],[LOTE]],Tabla_imprenta[LOTE],0)),"ENTREGADO")</f>
        <v>600</v>
      </c>
      <c r="H482" s="139">
        <f>IF(COUNTIF(Tabla_imprenta[LOTE],Tabla_control[[#This Row],[LOTE]])=1,INDEX(Tabla_imprenta[stock sap],MATCH(Tabla_control[[#This Row],[LOTE]],Tabla_imprenta[LOTE],0)),"ENTREGADO")</f>
        <v>929</v>
      </c>
      <c r="I482" s="139" t="str">
        <f>IF(Tabla_control[[#This Row],[STOCK SAP]]&gt;Tabla_control[[#This Row],[CANTIDAD IMPRIMIR]],"cubre","no cubre")</f>
        <v>cubre</v>
      </c>
      <c r="J482" s="182">
        <f>IF(COUNTIF(Tabla_imprenta[LOTE],Tabla_control[[#This Row],[LOTE]])=1,INDEX(Tabla_imprenta[STOCK],MATCH(Tabla_control[[#This Row],[LOTE]],Tabla_imprenta[LOTE],0)),"ENTREGADO")</f>
        <v>2.1887853211673778</v>
      </c>
      <c r="K48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46169</v>
      </c>
      <c r="L482" s="148">
        <f>INDEX(Tabla_imprenta[FECHA CAJA],MATCH(Tabla_control[[#This Row],[LOTE]],Tabla_imprenta[LOTE],0))</f>
        <v>46174</v>
      </c>
      <c r="M48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8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8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482" s="170">
        <f>ROUNDUP(Tabla_control[[#This Row],[CANTIDAD IMPRIMIR]]/Tabla_control[[#This Row],[N TJ]],0)</f>
        <v>600</v>
      </c>
      <c r="Q482" s="170">
        <f>IF(Tabla_control[[#This Row],[CANTIDAD TIRAJE]]&gt;10000,Tabla_control[[#This Row],[CANTIDAD TIRAJE]],Tabla_control[[#This Row],[CANTIDAD TIRAJE]]*2)</f>
        <v>1200</v>
      </c>
      <c r="R482" s="186" t="s">
        <v>172</v>
      </c>
      <c r="S482" s="4" t="s">
        <v>30</v>
      </c>
      <c r="T482" s="4"/>
      <c r="U482" s="4"/>
      <c r="V482" s="4"/>
      <c r="W482" s="185" t="s">
        <v>22</v>
      </c>
      <c r="X482" s="185"/>
      <c r="Y482" s="185"/>
      <c r="Z482" s="185"/>
      <c r="AA482" s="186" t="s">
        <v>2031</v>
      </c>
      <c r="AB482" s="184" t="s">
        <v>3222</v>
      </c>
    </row>
    <row r="483" spans="1:28" x14ac:dyDescent="0.2">
      <c r="A483" s="175">
        <f>IF(COUNTIF(Tabla_imprenta[LOTE],Tabla_control[[#This Row],[LOTE]])=1,INDEX(Tabla_imprenta[FECHA EMISIÓN],MATCH(Tabla_control[[#This Row],[LOTE]],Tabla_imprenta[LOTE],0)),"REALIZADO")</f>
        <v>46143</v>
      </c>
      <c r="B483" s="142">
        <f>IF(COUNTIF(Tabla_imprenta[LOTE],Tabla_control[[#This Row],[LOTE]])=1,INDEX(Tabla_imprenta[CÓD. SOLICITUD],MATCH(Tabla_control[[#This Row],[LOTE]],Tabla_imprenta[LOTE],0)),"REALIZADO")</f>
        <v>0</v>
      </c>
      <c r="C483" s="177" t="str">
        <f>IF(COUNTIF(Tabla_imprenta[LOTE],Tabla_control[[#This Row],[LOTE]])=1,INDEX(Tabla_imprenta[PRODUCTO],MATCH(Tabla_control[[#This Row],[LOTE]],Tabla_imprenta[LOTE],0)),"REALIZADO")</f>
        <v>SULFATO FERROSO 200 MG X 100 COMP. RECUBIERTO</v>
      </c>
      <c r="D483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83" s="177" t="str">
        <f>IF(COUNTIF(Tabla_imprenta[LOTE],Tabla_control[[#This Row],[LOTE]])=1,INDEX(Tabla_imprenta[INSTITUCIÓN],MATCH(Tabla_control[[#This Row],[LOTE]],Tabla_imprenta[LOTE],0)),"REALIZADO")</f>
        <v>COMERCIO</v>
      </c>
      <c r="F483" s="229" t="s">
        <v>5502</v>
      </c>
      <c r="G483" s="139">
        <f>IF(COUNTIF(Tabla_imprenta[LOTE],Tabla_control[[#This Row],[LOTE]])=1,INDEX(Tabla_imprenta[CANTIDAD ENVASE SECUNDARIO],MATCH(Tabla_control[[#This Row],[LOTE]],Tabla_imprenta[LOTE],0)),"ENTREGADO")</f>
        <v>2500</v>
      </c>
      <c r="H483" s="139">
        <f>IF(COUNTIF(Tabla_imprenta[LOTE],Tabla_control[[#This Row],[LOTE]])=1,INDEX(Tabla_imprenta[stock sap],MATCH(Tabla_control[[#This Row],[LOTE]],Tabla_imprenta[LOTE],0)),"ENTREGADO")</f>
        <v>912</v>
      </c>
      <c r="I483" s="139" t="str">
        <f>IF(Tabla_control[[#This Row],[STOCK SAP]]&gt;Tabla_control[[#This Row],[CANTIDAD IMPRIMIR]],"cubre","no cubre")</f>
        <v>no cubre</v>
      </c>
      <c r="J483" s="182">
        <f>IF(COUNTIF(Tabla_imprenta[LOTE],Tabla_control[[#This Row],[LOTE]])=1,INDEX(Tabla_imprenta[STOCK],MATCH(Tabla_control[[#This Row],[LOTE]],Tabla_imprenta[LOTE],0)),"ENTREGADO")</f>
        <v>2.3059587822931915</v>
      </c>
      <c r="K48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46169</v>
      </c>
      <c r="L483" s="148">
        <f>INDEX(Tabla_imprenta[FECHA CAJA],MATCH(Tabla_control[[#This Row],[LOTE]],Tabla_imprenta[LOTE],0))</f>
        <v>46169</v>
      </c>
      <c r="M48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8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8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102</v>
      </c>
      <c r="P483" s="170">
        <f>ROUNDUP(Tabla_control[[#This Row],[CANTIDAD IMPRIMIR]]/Tabla_control[[#This Row],[N TJ]],0)</f>
        <v>1250</v>
      </c>
      <c r="Q483" s="170">
        <f>IF(Tabla_control[[#This Row],[CANTIDAD TIRAJE]]&gt;10000,Tabla_control[[#This Row],[CANTIDAD TIRAJE]],Tabla_control[[#This Row],[CANTIDAD TIRAJE]]*2)</f>
        <v>2500</v>
      </c>
      <c r="R483" s="186" t="s">
        <v>172</v>
      </c>
      <c r="S483" s="4" t="s">
        <v>30</v>
      </c>
      <c r="T483" s="4"/>
      <c r="U483" s="4"/>
      <c r="V483" s="4"/>
      <c r="W483" s="185" t="s">
        <v>22</v>
      </c>
      <c r="X483" s="185"/>
      <c r="Y483" s="185"/>
      <c r="Z483" s="185"/>
      <c r="AA483" s="186" t="s">
        <v>171</v>
      </c>
      <c r="AB483" s="184" t="s">
        <v>4464</v>
      </c>
    </row>
    <row r="484" spans="1:28" hidden="1" x14ac:dyDescent="0.2">
      <c r="A484" s="175">
        <f>IF(COUNTIF(Tabla_imprenta[LOTE],Tabla_control[[#This Row],[LOTE]])=1,INDEX(Tabla_imprenta[FECHA EMISIÓN],MATCH(Tabla_control[[#This Row],[LOTE]],Tabla_imprenta[LOTE],0)),"REALIZADO")</f>
        <v>46083</v>
      </c>
      <c r="B484" s="142">
        <f>IF(COUNTIF(Tabla_imprenta[LOTE],Tabla_control[[#This Row],[LOTE]])=1,INDEX(Tabla_imprenta[CÓD. SOLICITUD],MATCH(Tabla_control[[#This Row],[LOTE]],Tabla_imprenta[LOTE],0)),"REALIZADO")</f>
        <v>0</v>
      </c>
      <c r="C484" s="177" t="str">
        <f>IF(COUNTIF(Tabla_imprenta[LOTE],Tabla_control[[#This Row],[LOTE]])=1,INDEX(Tabla_imprenta[PRODUCTO],MATCH(Tabla_control[[#This Row],[LOTE]],Tabla_imprenta[LOTE],0)),"REALIZADO")</f>
        <v>LIDERMAN X 1 CAP. BLANDAS MM</v>
      </c>
      <c r="D484" s="142" t="str">
        <f>IF(COUNTIF(Tabla_imprenta[LOTE],Tabla_control[[#This Row],[LOTE]])=1,INDEX(Tabla_imprenta[FORMA FARMACEUTICA],MATCH(Tabla_control[[#This Row],[LOTE]],Tabla_imprenta[LOTE],0)),"REALIZADO")</f>
        <v>CÁPSULA BLANDA</v>
      </c>
      <c r="E484" s="177" t="str">
        <f>IF(COUNTIF(Tabla_imprenta[LOTE],Tabla_control[[#This Row],[LOTE]])=1,INDEX(Tabla_imprenta[INSTITUCIÓN],MATCH(Tabla_control[[#This Row],[LOTE]],Tabla_imprenta[LOTE],0)),"REALIZADO")</f>
        <v>MM-2026</v>
      </c>
      <c r="F484" s="180" t="s">
        <v>2500</v>
      </c>
      <c r="G484" s="139">
        <f>IF(COUNTIF(Tabla_imprenta[LOTE],Tabla_control[[#This Row],[LOTE]])=1,INDEX(Tabla_imprenta[CANTIDAD ENVASE SECUNDARIO],MATCH(Tabla_control[[#This Row],[LOTE]],Tabla_imprenta[LOTE],0)),"ENTREGADO")</f>
        <v>16000</v>
      </c>
      <c r="H484" s="139">
        <f>IF(COUNTIF(Tabla_imprenta[LOTE],Tabla_control[[#This Row],[LOTE]])=1,INDEX(Tabla_imprenta[stock sap],MATCH(Tabla_control[[#This Row],[LOTE]],Tabla_imprenta[LOTE],0)),"ENTREGADO")</f>
        <v>4760</v>
      </c>
      <c r="I484" s="139" t="str">
        <f>IF(Tabla_control[[#This Row],[STOCK SAP]]&gt;Tabla_control[[#This Row],[CANTIDAD IMPRIMIR]],"cubre","no cubre")</f>
        <v>no cubre</v>
      </c>
      <c r="J484" s="7">
        <f>IF(COUNTIF(Tabla_imprenta[LOTE],Tabla_control[[#This Row],[LOTE]])=1,INDEX(Tabla_imprenta[STOCK],MATCH(Tabla_control[[#This Row],[LOTE]],Tabla_imprenta[LOTE],0)),"ENTREGADO")</f>
        <v>2.1410396917538699</v>
      </c>
      <c r="K48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484" s="148" t="str">
        <f>INDEX(Tabla_imprenta[FECHA CAJA],MATCH(Tabla_control[[#This Row],[LOTE]],Tabla_imprenta[LOTE],0))</f>
        <v>ENTREGADO</v>
      </c>
      <c r="M48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CMYK</v>
      </c>
      <c r="N48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5</v>
      </c>
      <c r="O48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93</v>
      </c>
      <c r="P484" s="169">
        <f>ROUNDUP(Tabla_control[[#This Row],[CANTIDAD IMPRIMIR]]/Tabla_control[[#This Row],[N TJ]],0)</f>
        <v>3200</v>
      </c>
      <c r="Q484" s="169">
        <f>IF(Tabla_control[[#This Row],[CANTIDAD TIRAJE]]&gt;10000,Tabla_control[[#This Row],[CANTIDAD TIRAJE]],Tabla_control[[#This Row],[CANTIDAD TIRAJE]]*2)</f>
        <v>6400</v>
      </c>
      <c r="R484" s="4" t="s">
        <v>2030</v>
      </c>
      <c r="S484" s="4" t="s">
        <v>174</v>
      </c>
      <c r="T484" s="4"/>
      <c r="U484" s="4"/>
      <c r="V484" s="4"/>
      <c r="W484" s="138" t="s">
        <v>3223</v>
      </c>
      <c r="X484" s="138"/>
      <c r="Y484" s="138"/>
      <c r="Z484" s="138"/>
      <c r="AA484" s="4" t="s">
        <v>2031</v>
      </c>
      <c r="AB484" s="184" t="s">
        <v>2028</v>
      </c>
    </row>
    <row r="485" spans="1:28" hidden="1" x14ac:dyDescent="0.2">
      <c r="A485" s="175">
        <f>IF(COUNTIF(Tabla_imprenta[LOTE],Tabla_control[[#This Row],[LOTE]])=1,INDEX(Tabla_imprenta[FECHA EMISIÓN],MATCH(Tabla_control[[#This Row],[LOTE]],Tabla_imprenta[LOTE],0)),"REALIZADO")</f>
        <v>46113</v>
      </c>
      <c r="B485" s="142">
        <f>IF(COUNTIF(Tabla_imprenta[LOTE],Tabla_control[[#This Row],[LOTE]])=1,INDEX(Tabla_imprenta[CÓD. SOLICITUD],MATCH(Tabla_control[[#This Row],[LOTE]],Tabla_imprenta[LOTE],0)),"REALIZADO")</f>
        <v>0</v>
      </c>
      <c r="C485" s="177" t="str">
        <f>IF(COUNTIF(Tabla_imprenta[LOTE],Tabla_control[[#This Row],[LOTE]])=1,INDEX(Tabla_imprenta[PRODUCTO],MATCH(Tabla_control[[#This Row],[LOTE]],Tabla_imprenta[LOTE],0)),"REALIZADO")</f>
        <v>SARNOL 20% X 100 ML LOCION</v>
      </c>
      <c r="D485" s="142" t="str">
        <f>IF(COUNTIF(Tabla_imprenta[LOTE],Tabla_control[[#This Row],[LOTE]])=1,INDEX(Tabla_imprenta[FORMA FARMACEUTICA],MATCH(Tabla_control[[#This Row],[LOTE]],Tabla_imprenta[LOTE],0)),"REALIZADO")</f>
        <v>LOCION</v>
      </c>
      <c r="E485" s="177" t="str">
        <f>IF(COUNTIF(Tabla_imprenta[LOTE],Tabla_control[[#This Row],[LOTE]])=1,INDEX(Tabla_imprenta[INSTITUCIÓN],MATCH(Tabla_control[[#This Row],[LOTE]],Tabla_imprenta[LOTE],0)),"REALIZADO")</f>
        <v>COMERCIO</v>
      </c>
      <c r="F485" s="181" t="s">
        <v>3188</v>
      </c>
      <c r="G485" s="139">
        <f>IF(COUNTIF(Tabla_imprenta[LOTE],Tabla_control[[#This Row],[LOTE]])=1,INDEX(Tabla_imprenta[CANTIDAD ENVASE SECUNDARIO],MATCH(Tabla_control[[#This Row],[LOTE]],Tabla_imprenta[LOTE],0)),"ENTREGADO")</f>
        <v>4000</v>
      </c>
      <c r="H485" s="139">
        <f>IF(COUNTIF(Tabla_imprenta[LOTE],Tabla_control[[#This Row],[LOTE]])=1,INDEX(Tabla_imprenta[stock sap],MATCH(Tabla_control[[#This Row],[LOTE]],Tabla_imprenta[LOTE],0)),"ENTREGADO")</f>
        <v>7000</v>
      </c>
      <c r="I485" s="139" t="str">
        <f>IF(Tabla_control[[#This Row],[STOCK SAP]]&gt;Tabla_control[[#This Row],[CANTIDAD IMPRIMIR]],"cubre","no cubre")</f>
        <v>cubre</v>
      </c>
      <c r="J485" s="182">
        <f>IF(COUNTIF(Tabla_imprenta[LOTE],Tabla_control[[#This Row],[LOTE]])=1,INDEX(Tabla_imprenta[STOCK],MATCH(Tabla_control[[#This Row],[LOTE]],Tabla_imprenta[LOTE],0)),"ENTREGADO")</f>
        <v>1.2158426769006947</v>
      </c>
      <c r="K48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46176</v>
      </c>
      <c r="L485" s="148" t="str">
        <f>INDEX(Tabla_imprenta[FECHA CAJA],MATCH(Tabla_control[[#This Row],[LOTE]],Tabla_imprenta[LOTE],0))</f>
        <v>ENTREGADO</v>
      </c>
      <c r="M48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48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8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485" s="170">
        <f>ROUNDUP(Tabla_control[[#This Row],[CANTIDAD IMPRIMIR]]/Tabla_control[[#This Row],[N TJ]],0)</f>
        <v>2000</v>
      </c>
      <c r="Q485" s="170">
        <f>IF(Tabla_control[[#This Row],[CANTIDAD TIRAJE]]&gt;10000,Tabla_control[[#This Row],[CANTIDAD TIRAJE]],Tabla_control[[#This Row],[CANTIDAD TIRAJE]]*2)</f>
        <v>4000</v>
      </c>
      <c r="R485" s="186" t="s">
        <v>173</v>
      </c>
      <c r="S485" s="4" t="s">
        <v>174</v>
      </c>
      <c r="T485" s="4"/>
      <c r="U485" s="4"/>
      <c r="V485" s="4"/>
      <c r="W485" s="185" t="s">
        <v>5529</v>
      </c>
      <c r="X485" s="185"/>
      <c r="Y485" s="185"/>
      <c r="Z485" s="185"/>
      <c r="AA485" s="186" t="s">
        <v>171</v>
      </c>
      <c r="AB485" s="184" t="s">
        <v>2028</v>
      </c>
    </row>
    <row r="486" spans="1:28" x14ac:dyDescent="0.2">
      <c r="A486" s="175">
        <f>IF(COUNTIF(Tabla_imprenta[LOTE],Tabla_control[[#This Row],[LOTE]])=1,INDEX(Tabla_imprenta[FECHA EMISIÓN],MATCH(Tabla_control[[#This Row],[LOTE]],Tabla_imprenta[LOTE],0)),"REALIZADO")</f>
        <v>46143</v>
      </c>
      <c r="B486" s="142">
        <f>IF(COUNTIF(Tabla_imprenta[LOTE],Tabla_control[[#This Row],[LOTE]])=1,INDEX(Tabla_imprenta[CÓD. SOLICITUD],MATCH(Tabla_control[[#This Row],[LOTE]],Tabla_imprenta[LOTE],0)),"REALIZADO")</f>
        <v>0</v>
      </c>
      <c r="C486" s="177" t="str">
        <f>IF(COUNTIF(Tabla_imprenta[LOTE],Tabla_control[[#This Row],[LOTE]])=1,INDEX(Tabla_imprenta[PRODUCTO],MATCH(Tabla_control[[#This Row],[LOTE]],Tabla_imprenta[LOTE],0)),"REALIZADO")</f>
        <v>GRISEOFULVINA 500 MG X 100 COMP.</v>
      </c>
      <c r="D486" s="142" t="str">
        <f>IF(COUNTIF(Tabla_imprenta[LOTE],Tabla_control[[#This Row],[LOTE]])=1,INDEX(Tabla_imprenta[FORMA FARMACEUTICA],MATCH(Tabla_control[[#This Row],[LOTE]],Tabla_imprenta[LOTE],0)),"REALIZADO")</f>
        <v>COMPRIMIDO</v>
      </c>
      <c r="E486" s="177" t="str">
        <f>IF(COUNTIF(Tabla_imprenta[LOTE],Tabla_control[[#This Row],[LOTE]])=1,INDEX(Tabla_imprenta[INSTITUCIÓN],MATCH(Tabla_control[[#This Row],[LOTE]],Tabla_imprenta[LOTE],0)),"REALIZADO")</f>
        <v>COMERCIO</v>
      </c>
      <c r="F486" s="229" t="s">
        <v>5592</v>
      </c>
      <c r="G486" s="139">
        <f>IF(COUNTIF(Tabla_imprenta[LOTE],Tabla_control[[#This Row],[LOTE]])=1,INDEX(Tabla_imprenta[CANTIDAD ENVASE SECUNDARIO],MATCH(Tabla_control[[#This Row],[LOTE]],Tabla_imprenta[LOTE],0)),"ENTREGADO")</f>
        <v>500</v>
      </c>
      <c r="H486" s="139">
        <f>IF(COUNTIF(Tabla_imprenta[LOTE],Tabla_control[[#This Row],[LOTE]])=1,INDEX(Tabla_imprenta[stock sap],MATCH(Tabla_control[[#This Row],[LOTE]],Tabla_imprenta[LOTE],0)),"ENTREGADO")</f>
        <v>472</v>
      </c>
      <c r="I486" s="139" t="str">
        <f>IF(Tabla_control[[#This Row],[STOCK SAP]]&gt;Tabla_control[[#This Row],[CANTIDAD IMPRIMIR]],"cubre","no cubre")</f>
        <v>no cubre</v>
      </c>
      <c r="J486" s="182">
        <f>IF(COUNTIF(Tabla_imprenta[LOTE],Tabla_control[[#This Row],[LOTE]])=1,INDEX(Tabla_imprenta[STOCK],MATCH(Tabla_control[[#This Row],[LOTE]],Tabla_imprenta[LOTE],0)),"ENTREGADO")</f>
        <v>2.6855887767793347</v>
      </c>
      <c r="K48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46169</v>
      </c>
      <c r="L486" s="148">
        <f>INDEX(Tabla_imprenta[FECHA CAJA],MATCH(Tabla_control[[#This Row],[LOTE]],Tabla_imprenta[LOTE],0))</f>
        <v>0</v>
      </c>
      <c r="M48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8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8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486" s="170">
        <f>ROUNDUP(Tabla_control[[#This Row],[CANTIDAD IMPRIMIR]]/Tabla_control[[#This Row],[N TJ]],0)</f>
        <v>250</v>
      </c>
      <c r="Q486" s="170">
        <f>IF(Tabla_control[[#This Row],[CANTIDAD TIRAJE]]&gt;10000,Tabla_control[[#This Row],[CANTIDAD TIRAJE]],Tabla_control[[#This Row],[CANTIDAD TIRAJE]]*2)</f>
        <v>500</v>
      </c>
      <c r="R486" s="186" t="s">
        <v>172</v>
      </c>
      <c r="S486" s="4" t="s">
        <v>30</v>
      </c>
      <c r="T486" s="4"/>
      <c r="U486" s="4"/>
      <c r="V486" s="4"/>
      <c r="W486" s="185" t="s">
        <v>22</v>
      </c>
      <c r="X486" s="185"/>
      <c r="Y486" s="185"/>
      <c r="Z486" s="185"/>
      <c r="AA486" s="186" t="s">
        <v>171</v>
      </c>
      <c r="AB486" s="184" t="s">
        <v>5700</v>
      </c>
    </row>
    <row r="487" spans="1:28" hidden="1" x14ac:dyDescent="0.2">
      <c r="A487" s="175">
        <f>IF(COUNTIF(Tabla_imprenta[LOTE],Tabla_control[[#This Row],[LOTE]])=1,INDEX(Tabla_imprenta[FECHA EMISIÓN],MATCH(Tabla_control[[#This Row],[LOTE]],Tabla_imprenta[LOTE],0)),"REALIZADO")</f>
        <v>46113</v>
      </c>
      <c r="B487" s="142">
        <f>IF(COUNTIF(Tabla_imprenta[LOTE],Tabla_control[[#This Row],[LOTE]])=1,INDEX(Tabla_imprenta[CÓD. SOLICITUD],MATCH(Tabla_control[[#This Row],[LOTE]],Tabla_imprenta[LOTE],0)),"REALIZADO")</f>
        <v>0</v>
      </c>
      <c r="C487" s="177" t="str">
        <f>IF(COUNTIF(Tabla_imprenta[LOTE],Tabla_control[[#This Row],[LOTE]])=1,INDEX(Tabla_imprenta[PRODUCTO],MATCH(Tabla_control[[#This Row],[LOTE]],Tabla_imprenta[LOTE],0)),"REALIZADO")</f>
        <v>MELOXICAM 15 MG X 100 COMP.</v>
      </c>
      <c r="D487" s="142" t="str">
        <f>IF(COUNTIF(Tabla_imprenta[LOTE],Tabla_control[[#This Row],[LOTE]])=1,INDEX(Tabla_imprenta[FORMA FARMACEUTICA],MATCH(Tabla_control[[#This Row],[LOTE]],Tabla_imprenta[LOTE],0)),"REALIZADO")</f>
        <v>COMPRIMIDO</v>
      </c>
      <c r="E487" s="177" t="str">
        <f>IF(COUNTIF(Tabla_imprenta[LOTE],Tabla_control[[#This Row],[LOTE]])=1,INDEX(Tabla_imprenta[INSTITUCIÓN],MATCH(Tabla_control[[#This Row],[LOTE]],Tabla_imprenta[LOTE],0)),"REALIZADO")</f>
        <v>COMERCIO</v>
      </c>
      <c r="F487" s="181" t="s">
        <v>3050</v>
      </c>
      <c r="G487" s="139">
        <f>IF(COUNTIF(Tabla_imprenta[LOTE],Tabla_control[[#This Row],[LOTE]])=1,INDEX(Tabla_imprenta[CANTIDAD ENVASE SECUNDARIO],MATCH(Tabla_control[[#This Row],[LOTE]],Tabla_imprenta[LOTE],0)),"ENTREGADO")</f>
        <v>5000</v>
      </c>
      <c r="H487" s="139">
        <f>IF(COUNTIF(Tabla_imprenta[LOTE],Tabla_control[[#This Row],[LOTE]])=1,INDEX(Tabla_imprenta[stock sap],MATCH(Tabla_control[[#This Row],[LOTE]],Tabla_imprenta[LOTE],0)),"ENTREGADO")</f>
        <v>507</v>
      </c>
      <c r="I487" s="139" t="str">
        <f>IF(Tabla_control[[#This Row],[STOCK SAP]]&gt;Tabla_control[[#This Row],[CANTIDAD IMPRIMIR]],"cubre","no cubre")</f>
        <v>no cubre</v>
      </c>
      <c r="J487" s="182">
        <f>IF(COUNTIF(Tabla_imprenta[LOTE],Tabla_control[[#This Row],[LOTE]])=1,INDEX(Tabla_imprenta[STOCK],MATCH(Tabla_control[[#This Row],[LOTE]],Tabla_imprenta[LOTE],0)),"ENTREGADO")</f>
        <v>0.4064481656200653</v>
      </c>
      <c r="K48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46148</v>
      </c>
      <c r="L487" s="148" t="str">
        <f>INDEX(Tabla_imprenta[FECHA CAJA],MATCH(Tabla_control[[#This Row],[LOTE]],Tabla_imprenta[LOTE],0))</f>
        <v>ENTREGADO</v>
      </c>
      <c r="M48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8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8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92</v>
      </c>
      <c r="P487" s="170">
        <f>ROUNDUP(Tabla_control[[#This Row],[CANTIDAD IMPRIMIR]]/Tabla_control[[#This Row],[N TJ]],0)</f>
        <v>1250</v>
      </c>
      <c r="Q487" s="170">
        <f>IF(Tabla_control[[#This Row],[CANTIDAD TIRAJE]]&gt;10000,Tabla_control[[#This Row],[CANTIDAD TIRAJE]],Tabla_control[[#This Row],[CANTIDAD TIRAJE]]*2)</f>
        <v>2500</v>
      </c>
      <c r="R487" s="186" t="s">
        <v>172</v>
      </c>
      <c r="S487" s="4" t="s">
        <v>30</v>
      </c>
      <c r="T487" s="4"/>
      <c r="U487" s="4"/>
      <c r="V487" s="4"/>
      <c r="W487" s="185" t="s">
        <v>3239</v>
      </c>
      <c r="X487" s="185"/>
      <c r="Y487" s="185"/>
      <c r="Z487" s="185"/>
      <c r="AA487" s="186" t="s">
        <v>2314</v>
      </c>
      <c r="AB487" s="184" t="s">
        <v>2028</v>
      </c>
    </row>
    <row r="488" spans="1:28" hidden="1" x14ac:dyDescent="0.2">
      <c r="A488" s="175">
        <f>IF(COUNTIF(Tabla_imprenta[LOTE],Tabla_control[[#This Row],[LOTE]])=1,INDEX(Tabla_imprenta[FECHA EMISIÓN],MATCH(Tabla_control[[#This Row],[LOTE]],Tabla_imprenta[LOTE],0)),"REALIZADO")</f>
        <v>46143</v>
      </c>
      <c r="B488" s="142">
        <f>IF(COUNTIF(Tabla_imprenta[LOTE],Tabla_control[[#This Row],[LOTE]])=1,INDEX(Tabla_imprenta[CÓD. SOLICITUD],MATCH(Tabla_control[[#This Row],[LOTE]],Tabla_imprenta[LOTE],0)),"REALIZADO")</f>
        <v>0</v>
      </c>
      <c r="C488" s="177" t="str">
        <f>IF(COUNTIF(Tabla_imprenta[LOTE],Tabla_control[[#This Row],[LOTE]])=1,INDEX(Tabla_imprenta[PRODUCTO],MATCH(Tabla_control[[#This Row],[LOTE]],Tabla_imprenta[LOTE],0)),"REALIZADO")</f>
        <v>GRISEOFULVINA 500 MG X 100 COMP. VETERINARIO</v>
      </c>
      <c r="D488" s="142" t="str">
        <f>IF(COUNTIF(Tabla_imprenta[LOTE],Tabla_control[[#This Row],[LOTE]])=1,INDEX(Tabla_imprenta[FORMA FARMACEUTICA],MATCH(Tabla_control[[#This Row],[LOTE]],Tabla_imprenta[LOTE],0)),"REALIZADO")</f>
        <v>COMPRIMIDO</v>
      </c>
      <c r="E488" s="177" t="str">
        <f>IF(COUNTIF(Tabla_imprenta[LOTE],Tabla_control[[#This Row],[LOTE]])=1,INDEX(Tabla_imprenta[INSTITUCIÓN],MATCH(Tabla_control[[#This Row],[LOTE]],Tabla_imprenta[LOTE],0)),"REALIZADO")</f>
        <v>COMERCIO</v>
      </c>
      <c r="F488" s="229" t="s">
        <v>5624</v>
      </c>
      <c r="G488" s="139">
        <f>IF(COUNTIF(Tabla_imprenta[LOTE],Tabla_control[[#This Row],[LOTE]])=1,INDEX(Tabla_imprenta[CANTIDAD ENVASE SECUNDARIO],MATCH(Tabla_control[[#This Row],[LOTE]],Tabla_imprenta[LOTE],0)),"ENTREGADO")</f>
        <v>100</v>
      </c>
      <c r="H488" s="139">
        <f>IF(COUNTIF(Tabla_imprenta[LOTE],Tabla_control[[#This Row],[LOTE]])=1,INDEX(Tabla_imprenta[stock sap],MATCH(Tabla_control[[#This Row],[LOTE]],Tabla_imprenta[LOTE],0)),"ENTREGADO")</f>
        <v>556</v>
      </c>
      <c r="I488" s="139" t="str">
        <f>IF(Tabla_control[[#This Row],[STOCK SAP]]&gt;Tabla_control[[#This Row],[CANTIDAD IMPRIMIR]],"cubre","no cubre")</f>
        <v>cubre</v>
      </c>
      <c r="J488" s="182">
        <f>IF(COUNTIF(Tabla_imprenta[LOTE],Tabla_control[[#This Row],[LOTE]])=1,INDEX(Tabla_imprenta[STOCK],MATCH(Tabla_control[[#This Row],[LOTE]],Tabla_imprenta[LOTE],0)),"ENTREGADO")</f>
        <v>4.0551724137931036</v>
      </c>
      <c r="K48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46169</v>
      </c>
      <c r="L488" s="148">
        <f>INDEX(Tabla_imprenta[FECHA CAJA],MATCH(Tabla_control[[#This Row],[LOTE]],Tabla_imprenta[LOTE],0))</f>
        <v>0</v>
      </c>
      <c r="M48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48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8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488" s="170">
        <f>ROUNDUP(Tabla_control[[#This Row],[CANTIDAD IMPRIMIR]]/Tabla_control[[#This Row],[N TJ]],0)</f>
        <v>50</v>
      </c>
      <c r="Q488" s="170">
        <f>IF(Tabla_control[[#This Row],[CANTIDAD TIRAJE]]&gt;10000,Tabla_control[[#This Row],[CANTIDAD TIRAJE]],Tabla_control[[#This Row],[CANTIDAD TIRAJE]]*2)</f>
        <v>100</v>
      </c>
      <c r="R488" s="186" t="s">
        <v>176</v>
      </c>
      <c r="S488" s="4" t="s">
        <v>30</v>
      </c>
      <c r="T488" s="4"/>
      <c r="U488" s="4"/>
      <c r="V488" s="4"/>
      <c r="W488" s="185" t="s">
        <v>321</v>
      </c>
      <c r="X488" s="185"/>
      <c r="Y488" s="185"/>
      <c r="Z488" s="185"/>
      <c r="AA488" s="186" t="s">
        <v>321</v>
      </c>
      <c r="AB488" s="184" t="s">
        <v>5700</v>
      </c>
    </row>
    <row r="489" spans="1:28" x14ac:dyDescent="0.2">
      <c r="A489" s="175">
        <f>IF(COUNTIF(Tabla_imprenta[LOTE],Tabla_control[[#This Row],[LOTE]])=1,INDEX(Tabla_imprenta[FECHA EMISIÓN],MATCH(Tabla_control[[#This Row],[LOTE]],Tabla_imprenta[LOTE],0)),"REALIZADO")</f>
        <v>46143</v>
      </c>
      <c r="B489" s="142">
        <f>IF(COUNTIF(Tabla_imprenta[LOTE],Tabla_control[[#This Row],[LOTE]])=1,INDEX(Tabla_imprenta[CÓD. SOLICITUD],MATCH(Tabla_control[[#This Row],[LOTE]],Tabla_imprenta[LOTE],0)),"REALIZADO")</f>
        <v>0</v>
      </c>
      <c r="C489" s="177" t="str">
        <f>IF(COUNTIF(Tabla_imprenta[LOTE],Tabla_control[[#This Row],[LOTE]])=1,INDEX(Tabla_imprenta[PRODUCTO],MATCH(Tabla_control[[#This Row],[LOTE]],Tabla_imprenta[LOTE],0)),"REALIZADO")</f>
        <v>DEXAMETASONA 4 MG X 25 AMP. SOLUCION INY.</v>
      </c>
      <c r="D489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89" s="177" t="str">
        <f>IF(COUNTIF(Tabla_imprenta[LOTE],Tabla_control[[#This Row],[LOTE]])=1,INDEX(Tabla_imprenta[INSTITUCIÓN],MATCH(Tabla_control[[#This Row],[LOTE]],Tabla_imprenta[LOTE],0)),"REALIZADO")</f>
        <v>COMERCIO</v>
      </c>
      <c r="F489" s="229" t="s">
        <v>5363</v>
      </c>
      <c r="G489" s="139">
        <f>IF(COUNTIF(Tabla_imprenta[LOTE],Tabla_control[[#This Row],[LOTE]])=1,INDEX(Tabla_imprenta[CANTIDAD ENVASE SECUNDARIO],MATCH(Tabla_control[[#This Row],[LOTE]],Tabla_imprenta[LOTE],0)),"ENTREGADO")</f>
        <v>5600</v>
      </c>
      <c r="H489" s="139">
        <f>IF(COUNTIF(Tabla_imprenta[LOTE],Tabla_control[[#This Row],[LOTE]])=1,INDEX(Tabla_imprenta[stock sap],MATCH(Tabla_control[[#This Row],[LOTE]],Tabla_imprenta[LOTE],0)),"ENTREGADO")</f>
        <v>5116</v>
      </c>
      <c r="I489" s="139" t="str">
        <f>IF(Tabla_control[[#This Row],[STOCK SAP]]&gt;Tabla_control[[#This Row],[CANTIDAD IMPRIMIR]],"cubre","no cubre")</f>
        <v>no cubre</v>
      </c>
      <c r="J489" s="182">
        <f>IF(COUNTIF(Tabla_imprenta[LOTE],Tabla_control[[#This Row],[LOTE]])=1,INDEX(Tabla_imprenta[STOCK],MATCH(Tabla_control[[#This Row],[LOTE]],Tabla_imprenta[LOTE],0)),"ENTREGADO")</f>
        <v>0.77126222075350692</v>
      </c>
      <c r="K48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46170</v>
      </c>
      <c r="L489" s="148">
        <f>INDEX(Tabla_imprenta[FECHA CAJA],MATCH(Tabla_control[[#This Row],[LOTE]],Tabla_imprenta[LOTE],0))</f>
        <v>46170</v>
      </c>
      <c r="M48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8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8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489" s="170">
        <f>ROUNDUP(Tabla_control[[#This Row],[CANTIDAD IMPRIMIR]]/Tabla_control[[#This Row],[N TJ]],0)</f>
        <v>2800</v>
      </c>
      <c r="Q489" s="170">
        <f>IF(Tabla_control[[#This Row],[CANTIDAD TIRAJE]]&gt;10000,Tabla_control[[#This Row],[CANTIDAD TIRAJE]],Tabla_control[[#This Row],[CANTIDAD TIRAJE]]*2)</f>
        <v>5600</v>
      </c>
      <c r="R489" s="186" t="s">
        <v>172</v>
      </c>
      <c r="S489" s="4" t="s">
        <v>30</v>
      </c>
      <c r="T489" s="4"/>
      <c r="U489" s="4"/>
      <c r="V489" s="4"/>
      <c r="W489" s="185" t="s">
        <v>22</v>
      </c>
      <c r="X489" s="185"/>
      <c r="Y489" s="185"/>
      <c r="Z489" s="185"/>
      <c r="AA489" s="186" t="s">
        <v>171</v>
      </c>
      <c r="AB489" s="184" t="s">
        <v>4464</v>
      </c>
    </row>
    <row r="490" spans="1:28" x14ac:dyDescent="0.2">
      <c r="A490" s="175">
        <f>IF(COUNTIF(Tabla_imprenta[LOTE],Tabla_control[[#This Row],[LOTE]])=1,INDEX(Tabla_imprenta[FECHA EMISIÓN],MATCH(Tabla_control[[#This Row],[LOTE]],Tabla_imprenta[LOTE],0)),"REALIZADO")</f>
        <v>46113</v>
      </c>
      <c r="B490" s="142">
        <f>IF(COUNTIF(Tabla_imprenta[LOTE],Tabla_control[[#This Row],[LOTE]])=1,INDEX(Tabla_imprenta[CÓD. SOLICITUD],MATCH(Tabla_control[[#This Row],[LOTE]],Tabla_imprenta[LOTE],0)),"REALIZADO")</f>
        <v>0</v>
      </c>
      <c r="C490" s="177" t="str">
        <f>IF(COUNTIF(Tabla_imprenta[LOTE],Tabla_control[[#This Row],[LOTE]])=1,INDEX(Tabla_imprenta[PRODUCTO],MATCH(Tabla_control[[#This Row],[LOTE]],Tabla_imprenta[LOTE],0)),"REALIZADO")</f>
        <v>DEXTROMETORFANO 10 MG X 100 ML JARABE</v>
      </c>
      <c r="D490" s="142" t="str">
        <f>IF(COUNTIF(Tabla_imprenta[LOTE],Tabla_control[[#This Row],[LOTE]])=1,INDEX(Tabla_imprenta[FORMA FARMACEUTICA],MATCH(Tabla_control[[#This Row],[LOTE]],Tabla_imprenta[LOTE],0)),"REALIZADO")</f>
        <v>JARABE</v>
      </c>
      <c r="E490" s="177" t="str">
        <f>IF(COUNTIF(Tabla_imprenta[LOTE],Tabla_control[[#This Row],[LOTE]])=1,INDEX(Tabla_imprenta[INSTITUCIÓN],MATCH(Tabla_control[[#This Row],[LOTE]],Tabla_imprenta[LOTE],0)),"REALIZADO")</f>
        <v>COMERCIO</v>
      </c>
      <c r="F490" s="181" t="s">
        <v>3203</v>
      </c>
      <c r="G490" s="139">
        <f>IF(COUNTIF(Tabla_imprenta[LOTE],Tabla_control[[#This Row],[LOTE]])=1,INDEX(Tabla_imprenta[CANTIDAD ENVASE SECUNDARIO],MATCH(Tabla_control[[#This Row],[LOTE]],Tabla_imprenta[LOTE],0)),"ENTREGADO")</f>
        <v>29703</v>
      </c>
      <c r="H490" s="139">
        <f>IF(COUNTIF(Tabla_imprenta[LOTE],Tabla_control[[#This Row],[LOTE]])=1,INDEX(Tabla_imprenta[stock sap],MATCH(Tabla_control[[#This Row],[LOTE]],Tabla_imprenta[LOTE],0)),"ENTREGADO")</f>
        <v>2600</v>
      </c>
      <c r="I490" s="139" t="str">
        <f>IF(Tabla_control[[#This Row],[STOCK SAP]]&gt;Tabla_control[[#This Row],[CANTIDAD IMPRIMIR]],"cubre","no cubre")</f>
        <v>no cubre</v>
      </c>
      <c r="J490" s="182">
        <f>IF(COUNTIF(Tabla_imprenta[LOTE],Tabla_control[[#This Row],[LOTE]])=1,INDEX(Tabla_imprenta[STOCK],MATCH(Tabla_control[[#This Row],[LOTE]],Tabla_imprenta[LOTE],0)),"ENTREGADO")</f>
        <v>0.77540560458321139</v>
      </c>
      <c r="K49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46170</v>
      </c>
      <c r="L490" s="148">
        <f>INDEX(Tabla_imprenta[FECHA CAJA],MATCH(Tabla_control[[#This Row],[LOTE]],Tabla_imprenta[LOTE],0))</f>
        <v>46170</v>
      </c>
      <c r="M49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9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9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490" s="170">
        <f>ROUNDUP(Tabla_control[[#This Row],[CANTIDAD IMPRIMIR]]/Tabla_control[[#This Row],[N TJ]],0)</f>
        <v>14852</v>
      </c>
      <c r="Q490" s="170">
        <f>IF(Tabla_control[[#This Row],[CANTIDAD TIRAJE]]&gt;10000,Tabla_control[[#This Row],[CANTIDAD TIRAJE]],Tabla_control[[#This Row],[CANTIDAD TIRAJE]]*2)</f>
        <v>14852</v>
      </c>
      <c r="R490" s="186" t="s">
        <v>172</v>
      </c>
      <c r="S490" s="4" t="s">
        <v>31</v>
      </c>
      <c r="T490" s="4"/>
      <c r="U490" s="4"/>
      <c r="V490" s="4"/>
      <c r="W490" s="185" t="s">
        <v>2986</v>
      </c>
      <c r="X490" s="185"/>
      <c r="Y490" s="185"/>
      <c r="Z490" s="185"/>
      <c r="AA490" s="186" t="s">
        <v>171</v>
      </c>
      <c r="AB490" s="184" t="s">
        <v>3222</v>
      </c>
    </row>
    <row r="491" spans="1:28" hidden="1" x14ac:dyDescent="0.2">
      <c r="A491" s="175">
        <f>IF(COUNTIF(Tabla_imprenta[LOTE],Tabla_control[[#This Row],[LOTE]])=1,INDEX(Tabla_imprenta[FECHA EMISIÓN],MATCH(Tabla_control[[#This Row],[LOTE]],Tabla_imprenta[LOTE],0)),"REALIZADO")</f>
        <v>46113</v>
      </c>
      <c r="B491" s="142">
        <f>IF(COUNTIF(Tabla_imprenta[LOTE],Tabla_control[[#This Row],[LOTE]])=1,INDEX(Tabla_imprenta[CÓD. SOLICITUD],MATCH(Tabla_control[[#This Row],[LOTE]],Tabla_imprenta[LOTE],0)),"REALIZADO")</f>
        <v>0</v>
      </c>
      <c r="C491" s="177" t="str">
        <f>IF(COUNTIF(Tabla_imprenta[LOTE],Tabla_control[[#This Row],[LOTE]])=1,INDEX(Tabla_imprenta[PRODUCTO],MATCH(Tabla_control[[#This Row],[LOTE]],Tabla_imprenta[LOTE],0)),"REALIZADO")</f>
        <v>METOCLOPRAMIDA 10 MG X 25 AMP. SOLUCION INY.</v>
      </c>
      <c r="D491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91" s="177" t="str">
        <f>IF(COUNTIF(Tabla_imprenta[LOTE],Tabla_control[[#This Row],[LOTE]])=1,INDEX(Tabla_imprenta[INSTITUCIÓN],MATCH(Tabla_control[[#This Row],[LOTE]],Tabla_imprenta[LOTE],0)),"REALIZADO")</f>
        <v>COMERCIO</v>
      </c>
      <c r="F491" s="181" t="s">
        <v>3000</v>
      </c>
      <c r="G491" s="139">
        <f>IF(COUNTIF(Tabla_imprenta[LOTE],Tabla_control[[#This Row],[LOTE]])=1,INDEX(Tabla_imprenta[CANTIDAD ENVASE SECUNDARIO],MATCH(Tabla_control[[#This Row],[LOTE]],Tabla_imprenta[LOTE],0)),"ENTREGADO")</f>
        <v>3600</v>
      </c>
      <c r="H491" s="139">
        <f>IF(COUNTIF(Tabla_imprenta[LOTE],Tabla_control[[#This Row],[LOTE]])=1,INDEX(Tabla_imprenta[stock sap],MATCH(Tabla_control[[#This Row],[LOTE]],Tabla_imprenta[LOTE],0)),"ENTREGADO")</f>
        <v>7029</v>
      </c>
      <c r="I491" s="139" t="str">
        <f>IF(Tabla_control[[#This Row],[STOCK SAP]]&gt;Tabla_control[[#This Row],[CANTIDAD IMPRIMIR]],"cubre","no cubre")</f>
        <v>cubre</v>
      </c>
      <c r="J491" s="182">
        <f>IF(COUNTIF(Tabla_imprenta[LOTE],Tabla_control[[#This Row],[LOTE]])=1,INDEX(Tabla_imprenta[STOCK],MATCH(Tabla_control[[#This Row],[LOTE]],Tabla_imprenta[LOTE],0)),"ENTREGADO")</f>
        <v>1.3069071110131314</v>
      </c>
      <c r="K49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46170</v>
      </c>
      <c r="L491" s="148">
        <f>INDEX(Tabla_imprenta[FECHA CAJA],MATCH(Tabla_control[[#This Row],[LOTE]],Tabla_imprenta[LOTE],0))</f>
        <v>46170</v>
      </c>
      <c r="M49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9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9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491" s="170">
        <f>ROUNDUP(Tabla_control[[#This Row],[CANTIDAD IMPRIMIR]]/Tabla_control[[#This Row],[N TJ]],0)</f>
        <v>1800</v>
      </c>
      <c r="Q491" s="170">
        <f>IF(Tabla_control[[#This Row],[CANTIDAD TIRAJE]]&gt;10000,Tabla_control[[#This Row],[CANTIDAD TIRAJE]],Tabla_control[[#This Row],[CANTIDAD TIRAJE]]*2)</f>
        <v>3600</v>
      </c>
      <c r="R491" s="186" t="s">
        <v>172</v>
      </c>
      <c r="S491" s="4" t="s">
        <v>30</v>
      </c>
      <c r="T491" s="4"/>
      <c r="U491" s="4"/>
      <c r="V491" s="4"/>
      <c r="W491" s="185" t="s">
        <v>3238</v>
      </c>
      <c r="X491" s="185"/>
      <c r="Y491" s="185"/>
      <c r="Z491" s="185"/>
      <c r="AA491" s="186" t="s">
        <v>2031</v>
      </c>
      <c r="AB491" s="184" t="s">
        <v>3222</v>
      </c>
    </row>
    <row r="492" spans="1:28" hidden="1" x14ac:dyDescent="0.2">
      <c r="A492" s="175">
        <f>IF(COUNTIF(Tabla_imprenta[LOTE],Tabla_control[[#This Row],[LOTE]])=1,INDEX(Tabla_imprenta[FECHA EMISIÓN],MATCH(Tabla_control[[#This Row],[LOTE]],Tabla_imprenta[LOTE],0)),"REALIZADO")</f>
        <v>46113</v>
      </c>
      <c r="B492" s="142">
        <f>IF(COUNTIF(Tabla_imprenta[LOTE],Tabla_control[[#This Row],[LOTE]])=1,INDEX(Tabla_imprenta[CÓD. SOLICITUD],MATCH(Tabla_control[[#This Row],[LOTE]],Tabla_imprenta[LOTE],0)),"REALIZADO")</f>
        <v>0</v>
      </c>
      <c r="C492" s="177" t="str">
        <f>IF(COUNTIF(Tabla_imprenta[LOTE],Tabla_control[[#This Row],[LOTE]])=1,INDEX(Tabla_imprenta[PRODUCTO],MATCH(Tabla_control[[#This Row],[LOTE]],Tabla_imprenta[LOTE],0)),"REALIZADO")</f>
        <v>AMOXICILINA 250 MG X 60 ML POLVO PARA SUSP.</v>
      </c>
      <c r="D492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492" s="177" t="str">
        <f>IF(COUNTIF(Tabla_imprenta[LOTE],Tabla_control[[#This Row],[LOTE]])=1,INDEX(Tabla_imprenta[INSTITUCIÓN],MATCH(Tabla_control[[#This Row],[LOTE]],Tabla_imprenta[LOTE],0)),"REALIZADO")</f>
        <v>COMERCIO</v>
      </c>
      <c r="F492" s="181" t="s">
        <v>3160</v>
      </c>
      <c r="G492" s="139">
        <f>IF(COUNTIF(Tabla_imprenta[LOTE],Tabla_control[[#This Row],[LOTE]])=1,INDEX(Tabla_imprenta[CANTIDAD ENVASE SECUNDARIO],MATCH(Tabla_control[[#This Row],[LOTE]],Tabla_imprenta[LOTE],0)),"ENTREGADO")</f>
        <v>8000</v>
      </c>
      <c r="H492" s="139">
        <f>IF(COUNTIF(Tabla_imprenta[LOTE],Tabla_control[[#This Row],[LOTE]])=1,INDEX(Tabla_imprenta[stock sap],MATCH(Tabla_control[[#This Row],[LOTE]],Tabla_imprenta[LOTE],0)),"ENTREGADO")</f>
        <v>2299</v>
      </c>
      <c r="I492" s="139" t="str">
        <f>IF(Tabla_control[[#This Row],[STOCK SAP]]&gt;Tabla_control[[#This Row],[CANTIDAD IMPRIMIR]],"cubre","no cubre")</f>
        <v>no cubre</v>
      </c>
      <c r="J492" s="182">
        <f>IF(COUNTIF(Tabla_imprenta[LOTE],Tabla_control[[#This Row],[LOTE]])=1,INDEX(Tabla_imprenta[STOCK],MATCH(Tabla_control[[#This Row],[LOTE]],Tabla_imprenta[LOTE],0)),"ENTREGADO")</f>
        <v>1.0992461983880644</v>
      </c>
      <c r="K49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46181</v>
      </c>
      <c r="L492" s="148" t="str">
        <f>INDEX(Tabla_imprenta[FECHA CAJA],MATCH(Tabla_control[[#This Row],[LOTE]],Tabla_imprenta[LOTE],0))</f>
        <v>ENTREGADO</v>
      </c>
      <c r="M49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9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9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</v>
      </c>
      <c r="P492" s="170">
        <f>ROUNDUP(Tabla_control[[#This Row],[CANTIDAD IMPRIMIR]]/Tabla_control[[#This Row],[N TJ]],0)</f>
        <v>2000</v>
      </c>
      <c r="Q492" s="170">
        <f>IF(Tabla_control[[#This Row],[CANTIDAD TIRAJE]]&gt;10000,Tabla_control[[#This Row],[CANTIDAD TIRAJE]],Tabla_control[[#This Row],[CANTIDAD TIRAJE]]*2)</f>
        <v>4000</v>
      </c>
      <c r="R492" s="186" t="s">
        <v>172</v>
      </c>
      <c r="S492" s="4" t="s">
        <v>30</v>
      </c>
      <c r="T492" s="4"/>
      <c r="U492" s="4"/>
      <c r="V492" s="4"/>
      <c r="W492" s="185" t="s">
        <v>3223</v>
      </c>
      <c r="X492" s="185"/>
      <c r="Y492" s="185"/>
      <c r="Z492" s="185"/>
      <c r="AA492" s="186" t="s">
        <v>2031</v>
      </c>
      <c r="AB492" s="184" t="s">
        <v>2028</v>
      </c>
    </row>
    <row r="493" spans="1:28" hidden="1" x14ac:dyDescent="0.2">
      <c r="A493" s="175">
        <f>IF(COUNTIF(Tabla_imprenta[LOTE],Tabla_control[[#This Row],[LOTE]])=1,INDEX(Tabla_imprenta[FECHA EMISIÓN],MATCH(Tabla_control[[#This Row],[LOTE]],Tabla_imprenta[LOTE],0)),"REALIZADO")</f>
        <v>46113</v>
      </c>
      <c r="B493" s="142">
        <f>IF(COUNTIF(Tabla_imprenta[LOTE],Tabla_control[[#This Row],[LOTE]])=1,INDEX(Tabla_imprenta[CÓD. SOLICITUD],MATCH(Tabla_control[[#This Row],[LOTE]],Tabla_imprenta[LOTE],0)),"REALIZADO")</f>
        <v>0</v>
      </c>
      <c r="C493" s="177" t="str">
        <f>IF(COUNTIF(Tabla_imprenta[LOTE],Tabla_control[[#This Row],[LOTE]])=1,INDEX(Tabla_imprenta[PRODUCTO],MATCH(Tabla_control[[#This Row],[LOTE]],Tabla_imprenta[LOTE],0)),"REALIZADO")</f>
        <v>POLIGYN X 10 G CREMA VAGINAL MM</v>
      </c>
      <c r="D493" s="142" t="str">
        <f>IF(COUNTIF(Tabla_imprenta[LOTE],Tabla_control[[#This Row],[LOTE]])=1,INDEX(Tabla_imprenta[FORMA FARMACEUTICA],MATCH(Tabla_control[[#This Row],[LOTE]],Tabla_imprenta[LOTE],0)),"REALIZADO")</f>
        <v>CREMA VAGINAL</v>
      </c>
      <c r="E493" s="177" t="str">
        <f>IF(COUNTIF(Tabla_imprenta[LOTE],Tabla_control[[#This Row],[LOTE]])=1,INDEX(Tabla_imprenta[INSTITUCIÓN],MATCH(Tabla_control[[#This Row],[LOTE]],Tabla_imprenta[LOTE],0)),"REALIZADO")</f>
        <v>MM-2026</v>
      </c>
      <c r="F493" s="181" t="s">
        <v>3147</v>
      </c>
      <c r="G493" s="139">
        <f>IF(COUNTIF(Tabla_imprenta[LOTE],Tabla_control[[#This Row],[LOTE]])=1,INDEX(Tabla_imprenta[CANTIDAD ENVASE SECUNDARIO],MATCH(Tabla_control[[#This Row],[LOTE]],Tabla_imprenta[LOTE],0)),"ENTREGADO")</f>
        <v>21000</v>
      </c>
      <c r="H493" s="139">
        <f>IF(COUNTIF(Tabla_imprenta[LOTE],Tabla_control[[#This Row],[LOTE]])=1,INDEX(Tabla_imprenta[stock sap],MATCH(Tabla_control[[#This Row],[LOTE]],Tabla_imprenta[LOTE],0)),"ENTREGADO")</f>
        <v>606</v>
      </c>
      <c r="I493" s="139" t="str">
        <f>IF(Tabla_control[[#This Row],[STOCK SAP]]&gt;Tabla_control[[#This Row],[CANTIDAD IMPRIMIR]],"cubre","no cubre")</f>
        <v>no cubre</v>
      </c>
      <c r="J493" s="182">
        <f>IF(COUNTIF(Tabla_imprenta[LOTE],Tabla_control[[#This Row],[LOTE]])=1,INDEX(Tabla_imprenta[STOCK],MATCH(Tabla_control[[#This Row],[LOTE]],Tabla_imprenta[LOTE],0)),"ENTREGADO")</f>
        <v>1.8812</v>
      </c>
      <c r="K49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46171</v>
      </c>
      <c r="L493" s="148">
        <f>INDEX(Tabla_imprenta[FECHA CAJA],MATCH(Tabla_control[[#This Row],[LOTE]],Tabla_imprenta[LOTE],0))</f>
        <v>46170</v>
      </c>
      <c r="M49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49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49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493" s="170">
        <f>ROUNDUP(Tabla_control[[#This Row],[CANTIDAD IMPRIMIR]]/Tabla_control[[#This Row],[N TJ]],0)</f>
        <v>5250</v>
      </c>
      <c r="Q493" s="170">
        <f>IF(Tabla_control[[#This Row],[CANTIDAD TIRAJE]]&gt;10000,Tabla_control[[#This Row],[CANTIDAD TIRAJE]],Tabla_control[[#This Row],[CANTIDAD TIRAJE]]*2)</f>
        <v>10500</v>
      </c>
      <c r="R493" s="186" t="s">
        <v>175</v>
      </c>
      <c r="S493" s="4" t="s">
        <v>3759</v>
      </c>
      <c r="T493" s="4"/>
      <c r="U493" s="4"/>
      <c r="V493" s="4"/>
      <c r="W493" s="185" t="s">
        <v>3223</v>
      </c>
      <c r="X493" s="185"/>
      <c r="Y493" s="185"/>
      <c r="Z493" s="185"/>
      <c r="AA493" s="186" t="s">
        <v>2429</v>
      </c>
      <c r="AB493" s="184" t="s">
        <v>3222</v>
      </c>
    </row>
    <row r="494" spans="1:28" hidden="1" x14ac:dyDescent="0.2">
      <c r="A494" s="175">
        <f>IF(COUNTIF(Tabla_imprenta[LOTE],Tabla_control[[#This Row],[LOTE]])=1,INDEX(Tabla_imprenta[FECHA EMISIÓN],MATCH(Tabla_control[[#This Row],[LOTE]],Tabla_imprenta[LOTE],0)),"REALIZADO")</f>
        <v>46121</v>
      </c>
      <c r="B494" s="142">
        <f>IF(COUNTIF(Tabla_imprenta[LOTE],Tabla_control[[#This Row],[LOTE]])=1,INDEX(Tabla_imprenta[CÓD. SOLICITUD],MATCH(Tabla_control[[#This Row],[LOTE]],Tabla_imprenta[LOTE],0)),"REALIZADO")</f>
        <v>0</v>
      </c>
      <c r="C494" s="177" t="str">
        <f>IF(COUNTIF(Tabla_imprenta[LOTE],Tabla_control[[#This Row],[LOTE]])=1,INDEX(Tabla_imprenta[PRODUCTO],MATCH(Tabla_control[[#This Row],[LOTE]],Tabla_imprenta[LOTE],0)),"REALIZADO")</f>
        <v>METFORMINA 850 MG X 500 COMP. RECUBIERTO</v>
      </c>
      <c r="D494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94" s="177" t="str">
        <f>IF(COUNTIF(Tabla_imprenta[LOTE],Tabla_control[[#This Row],[LOTE]])=1,INDEX(Tabla_imprenta[INSTITUCIÓN],MATCH(Tabla_control[[#This Row],[LOTE]],Tabla_imprenta[LOTE],0)),"REALIZADO")</f>
        <v>COMERCIO</v>
      </c>
      <c r="F494" s="181" t="s">
        <v>3281</v>
      </c>
      <c r="G494" s="139">
        <f>IF(COUNTIF(Tabla_imprenta[LOTE],Tabla_control[[#This Row],[LOTE]])=1,INDEX(Tabla_imprenta[CANTIDAD ENVASE SECUNDARIO],MATCH(Tabla_control[[#This Row],[LOTE]],Tabla_imprenta[LOTE],0)),"ENTREGADO")</f>
        <v>600</v>
      </c>
      <c r="H494" s="139">
        <f>IF(COUNTIF(Tabla_imprenta[LOTE],Tabla_control[[#This Row],[LOTE]])=1,INDEX(Tabla_imprenta[stock sap],MATCH(Tabla_control[[#This Row],[LOTE]],Tabla_imprenta[LOTE],0)),"ENTREGADO")</f>
        <v>929</v>
      </c>
      <c r="I494" s="139" t="str">
        <f>IF(Tabla_control[[#This Row],[STOCK SAP]]&gt;Tabla_control[[#This Row],[CANTIDAD IMPRIMIR]],"cubre","no cubre")</f>
        <v>cubre</v>
      </c>
      <c r="J494" s="182">
        <f>IF(COUNTIF(Tabla_imprenta[LOTE],Tabla_control[[#This Row],[LOTE]])=1,INDEX(Tabla_imprenta[STOCK],MATCH(Tabla_control[[#This Row],[LOTE]],Tabla_imprenta[LOTE],0)),"ENTREGADO")</f>
        <v>2.1887853211673778</v>
      </c>
      <c r="K49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46170</v>
      </c>
      <c r="L494" s="148">
        <f>INDEX(Tabla_imprenta[FECHA CAJA],MATCH(Tabla_control[[#This Row],[LOTE]],Tabla_imprenta[LOTE],0))</f>
        <v>46176</v>
      </c>
      <c r="M49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9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9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494" s="170">
        <f>ROUNDUP(Tabla_control[[#This Row],[CANTIDAD IMPRIMIR]]/Tabla_control[[#This Row],[N TJ]],0)</f>
        <v>600</v>
      </c>
      <c r="Q494" s="170">
        <f>IF(Tabla_control[[#This Row],[CANTIDAD TIRAJE]]&gt;10000,Tabla_control[[#This Row],[CANTIDAD TIRAJE]],Tabla_control[[#This Row],[CANTIDAD TIRAJE]]*2)</f>
        <v>1200</v>
      </c>
      <c r="R494" s="186" t="s">
        <v>172</v>
      </c>
      <c r="S494" s="4" t="s">
        <v>30</v>
      </c>
      <c r="T494" s="4"/>
      <c r="U494" s="4"/>
      <c r="V494" s="4"/>
      <c r="W494" s="185" t="s">
        <v>22</v>
      </c>
      <c r="X494" s="185"/>
      <c r="Y494" s="185"/>
      <c r="Z494" s="185"/>
      <c r="AA494" s="186" t="s">
        <v>2031</v>
      </c>
      <c r="AB494" s="184" t="s">
        <v>3222</v>
      </c>
    </row>
    <row r="495" spans="1:28" x14ac:dyDescent="0.2">
      <c r="A495" s="175">
        <f>IF(COUNTIF(Tabla_imprenta[LOTE],Tabla_control[[#This Row],[LOTE]])=1,INDEX(Tabla_imprenta[FECHA EMISIÓN],MATCH(Tabla_control[[#This Row],[LOTE]],Tabla_imprenta[LOTE],0)),"REALIZADO")</f>
        <v>46143</v>
      </c>
      <c r="B495" s="142">
        <f>IF(COUNTIF(Tabla_imprenta[LOTE],Tabla_control[[#This Row],[LOTE]])=1,INDEX(Tabla_imprenta[CÓD. SOLICITUD],MATCH(Tabla_control[[#This Row],[LOTE]],Tabla_imprenta[LOTE],0)),"REALIZADO")</f>
        <v>0</v>
      </c>
      <c r="C495" s="177" t="str">
        <f>IF(COUNTIF(Tabla_imprenta[LOTE],Tabla_control[[#This Row],[LOTE]])=1,INDEX(Tabla_imprenta[PRODUCTO],MATCH(Tabla_control[[#This Row],[LOTE]],Tabla_imprenta[LOTE],0)),"REALIZADO")</f>
        <v>SULFATO FERROSO COMPUESTO M.E. X 1 COMP. RECUBIERTO</v>
      </c>
      <c r="D495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95" s="177" t="str">
        <f>IF(COUNTIF(Tabla_imprenta[LOTE],Tabla_control[[#This Row],[LOTE]])=1,INDEX(Tabla_imprenta[INSTITUCIÓN],MATCH(Tabla_control[[#This Row],[LOTE]],Tabla_imprenta[LOTE],0)),"REALIZADO")</f>
        <v>COMERCIO</v>
      </c>
      <c r="F495" s="229" t="s">
        <v>5692</v>
      </c>
      <c r="G495" s="139">
        <f>IF(COUNTIF(Tabla_imprenta[LOTE],Tabla_control[[#This Row],[LOTE]])=1,INDEX(Tabla_imprenta[CANTIDAD ENVASE SECUNDARIO],MATCH(Tabla_control[[#This Row],[LOTE]],Tabla_imprenta[LOTE],0)),"ENTREGADO")</f>
        <v>500000</v>
      </c>
      <c r="H495" s="139">
        <f>IF(COUNTIF(Tabla_imprenta[LOTE],Tabla_control[[#This Row],[LOTE]])=1,INDEX(Tabla_imprenta[stock sap],MATCH(Tabla_control[[#This Row],[LOTE]],Tabla_imprenta[LOTE],0)),"ENTREGADO")</f>
        <v>4809</v>
      </c>
      <c r="I495" s="139" t="str">
        <f>IF(Tabla_control[[#This Row],[STOCK SAP]]&gt;Tabla_control[[#This Row],[CANTIDAD IMPRIMIR]],"cubre","no cubre")</f>
        <v>no cubre</v>
      </c>
      <c r="J495" s="182">
        <f>IF(COUNTIF(Tabla_imprenta[LOTE],Tabla_control[[#This Row],[LOTE]])=1,INDEX(Tabla_imprenta[STOCK],MATCH(Tabla_control[[#This Row],[LOTE]],Tabla_imprenta[LOTE],0)),"ENTREGADO")</f>
        <v>3.1913648173391755</v>
      </c>
      <c r="K49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46170</v>
      </c>
      <c r="L495" s="148">
        <f>INDEX(Tabla_imprenta[FECHA CAJA],MATCH(Tabla_control[[#This Row],[LOTE]],Tabla_imprenta[LOTE],0))</f>
        <v>0</v>
      </c>
      <c r="M49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9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9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101</v>
      </c>
      <c r="P495" s="170">
        <f>ROUNDUP(Tabla_control[[#This Row],[CANTIDAD IMPRIMIR]]/Tabla_control[[#This Row],[N TJ]],0)</f>
        <v>500000</v>
      </c>
      <c r="Q495" s="170">
        <f>IF(Tabla_control[[#This Row],[CANTIDAD TIRAJE]]&gt;10000,Tabla_control[[#This Row],[CANTIDAD TIRAJE]],Tabla_control[[#This Row],[CANTIDAD TIRAJE]]*2)</f>
        <v>500000</v>
      </c>
      <c r="R495" s="186" t="s">
        <v>172</v>
      </c>
      <c r="S495" s="4" t="s">
        <v>30</v>
      </c>
      <c r="T495" s="4"/>
      <c r="U495" s="4"/>
      <c r="V495" s="4"/>
      <c r="W495" s="185" t="s">
        <v>22</v>
      </c>
      <c r="X495" s="185"/>
      <c r="Y495" s="185"/>
      <c r="Z495" s="185"/>
      <c r="AA495" s="186" t="s">
        <v>171</v>
      </c>
      <c r="AB495" s="184" t="s">
        <v>5700</v>
      </c>
    </row>
    <row r="496" spans="1:28" hidden="1" x14ac:dyDescent="0.2">
      <c r="A496" s="175">
        <f>IF(COUNTIF(Tabla_imprenta[LOTE],Tabla_control[[#This Row],[LOTE]])=1,INDEX(Tabla_imprenta[FECHA EMISIÓN],MATCH(Tabla_control[[#This Row],[LOTE]],Tabla_imprenta[LOTE],0)),"REALIZADO")</f>
        <v>46113</v>
      </c>
      <c r="B496" s="142">
        <f>IF(COUNTIF(Tabla_imprenta[LOTE],Tabla_control[[#This Row],[LOTE]])=1,INDEX(Tabla_imprenta[CÓD. SOLICITUD],MATCH(Tabla_control[[#This Row],[LOTE]],Tabla_imprenta[LOTE],0)),"REALIZADO")</f>
        <v>0</v>
      </c>
      <c r="C496" s="177" t="str">
        <f>IF(COUNTIF(Tabla_imprenta[LOTE],Tabla_control[[#This Row],[LOTE]])=1,INDEX(Tabla_imprenta[PRODUCTO],MATCH(Tabla_control[[#This Row],[LOTE]],Tabla_imprenta[LOTE],0)),"REALIZADO")</f>
        <v>DICLOXACILINA 250 MG X 100 ML POLVO PARA SUSP.</v>
      </c>
      <c r="D496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496" s="177" t="str">
        <f>IF(COUNTIF(Tabla_imprenta[LOTE],Tabla_control[[#This Row],[LOTE]])=1,INDEX(Tabla_imprenta[INSTITUCIÓN],MATCH(Tabla_control[[#This Row],[LOTE]],Tabla_imprenta[LOTE],0)),"REALIZADO")</f>
        <v>COMERCIO</v>
      </c>
      <c r="F496" s="181" t="s">
        <v>3201</v>
      </c>
      <c r="G496" s="139">
        <f>IF(COUNTIF(Tabla_imprenta[LOTE],Tabla_control[[#This Row],[LOTE]])=1,INDEX(Tabla_imprenta[CANTIDAD ENVASE SECUNDARIO],MATCH(Tabla_control[[#This Row],[LOTE]],Tabla_imprenta[LOTE],0)),"ENTREGADO")</f>
        <v>5100</v>
      </c>
      <c r="H496" s="139">
        <f>IF(COUNTIF(Tabla_imprenta[LOTE],Tabla_control[[#This Row],[LOTE]])=1,INDEX(Tabla_imprenta[stock sap],MATCH(Tabla_control[[#This Row],[LOTE]],Tabla_imprenta[LOTE],0)),"ENTREGADO")</f>
        <v>209</v>
      </c>
      <c r="I496" s="139" t="str">
        <f>IF(Tabla_control[[#This Row],[STOCK SAP]]&gt;Tabla_control[[#This Row],[CANTIDAD IMPRIMIR]],"cubre","no cubre")</f>
        <v>no cubre</v>
      </c>
      <c r="J496" s="182">
        <f>IF(COUNTIF(Tabla_imprenta[LOTE],Tabla_control[[#This Row],[LOTE]])=1,INDEX(Tabla_imprenta[STOCK],MATCH(Tabla_control[[#This Row],[LOTE]],Tabla_imprenta[LOTE],0)),"ENTREGADO")</f>
        <v>0.70837531678422028</v>
      </c>
      <c r="K49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46171</v>
      </c>
      <c r="L496" s="148">
        <f>INDEX(Tabla_imprenta[FECHA CAJA],MATCH(Tabla_control[[#This Row],[LOTE]],Tabla_imprenta[LOTE],0))</f>
        <v>46171</v>
      </c>
      <c r="M49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9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9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496" s="170">
        <f>ROUNDUP(Tabla_control[[#This Row],[CANTIDAD IMPRIMIR]]/Tabla_control[[#This Row],[N TJ]],0)</f>
        <v>2550</v>
      </c>
      <c r="Q496" s="170">
        <f>IF(Tabla_control[[#This Row],[CANTIDAD TIRAJE]]&gt;10000,Tabla_control[[#This Row],[CANTIDAD TIRAJE]],Tabla_control[[#This Row],[CANTIDAD TIRAJE]]*2)</f>
        <v>5100</v>
      </c>
      <c r="R496" s="186" t="s">
        <v>172</v>
      </c>
      <c r="S496" s="4" t="s">
        <v>30</v>
      </c>
      <c r="T496" s="4"/>
      <c r="U496" s="4"/>
      <c r="V496" s="4"/>
      <c r="W496" s="185" t="s">
        <v>3223</v>
      </c>
      <c r="X496" s="185"/>
      <c r="Y496" s="185"/>
      <c r="Z496" s="185"/>
      <c r="AA496" s="186" t="s">
        <v>2031</v>
      </c>
      <c r="AB496" s="184" t="s">
        <v>3222</v>
      </c>
    </row>
    <row r="497" spans="1:28" x14ac:dyDescent="0.2">
      <c r="A497" s="175">
        <f>IF(COUNTIF(Tabla_imprenta[LOTE],Tabla_control[[#This Row],[LOTE]])=1,INDEX(Tabla_imprenta[FECHA EMISIÓN],MATCH(Tabla_control[[#This Row],[LOTE]],Tabla_imprenta[LOTE],0)),"REALIZADO")</f>
        <v>46143</v>
      </c>
      <c r="B497" s="142">
        <f>IF(COUNTIF(Tabla_imprenta[LOTE],Tabla_control[[#This Row],[LOTE]])=1,INDEX(Tabla_imprenta[CÓD. SOLICITUD],MATCH(Tabla_control[[#This Row],[LOTE]],Tabla_imprenta[LOTE],0)),"REALIZADO")</f>
        <v>0</v>
      </c>
      <c r="C497" s="177" t="str">
        <f>IF(COUNTIF(Tabla_imprenta[LOTE],Tabla_control[[#This Row],[LOTE]])=1,INDEX(Tabla_imprenta[PRODUCTO],MATCH(Tabla_control[[#This Row],[LOTE]],Tabla_imprenta[LOTE],0)),"REALIZADO")</f>
        <v>DEXAMETASONA 4 MG X 25 AMP. SOLUCION INY.</v>
      </c>
      <c r="D497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97" s="177" t="str">
        <f>IF(COUNTIF(Tabla_imprenta[LOTE],Tabla_control[[#This Row],[LOTE]])=1,INDEX(Tabla_imprenta[INSTITUCIÓN],MATCH(Tabla_control[[#This Row],[LOTE]],Tabla_imprenta[LOTE],0)),"REALIZADO")</f>
        <v>COMERCIO</v>
      </c>
      <c r="F497" s="229" t="s">
        <v>5422</v>
      </c>
      <c r="G497" s="139">
        <f>IF(COUNTIF(Tabla_imprenta[LOTE],Tabla_control[[#This Row],[LOTE]])=1,INDEX(Tabla_imprenta[CANTIDAD ENVASE SECUNDARIO],MATCH(Tabla_control[[#This Row],[LOTE]],Tabla_imprenta[LOTE],0)),"ENTREGADO")</f>
        <v>5600</v>
      </c>
      <c r="H497" s="139">
        <f>IF(COUNTIF(Tabla_imprenta[LOTE],Tabla_control[[#This Row],[LOTE]])=1,INDEX(Tabla_imprenta[stock sap],MATCH(Tabla_control[[#This Row],[LOTE]],Tabla_imprenta[LOTE],0)),"ENTREGADO")</f>
        <v>5116</v>
      </c>
      <c r="I497" s="139" t="str">
        <f>IF(Tabla_control[[#This Row],[STOCK SAP]]&gt;Tabla_control[[#This Row],[CANTIDAD IMPRIMIR]],"cubre","no cubre")</f>
        <v>no cubre</v>
      </c>
      <c r="J497" s="182">
        <f>IF(COUNTIF(Tabla_imprenta[LOTE],Tabla_control[[#This Row],[LOTE]])=1,INDEX(Tabla_imprenta[STOCK],MATCH(Tabla_control[[#This Row],[LOTE]],Tabla_imprenta[LOTE],0)),"ENTREGADO")</f>
        <v>0.77126222075350692</v>
      </c>
      <c r="K49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46171</v>
      </c>
      <c r="L497" s="148">
        <f>INDEX(Tabla_imprenta[FECHA CAJA],MATCH(Tabla_control[[#This Row],[LOTE]],Tabla_imprenta[LOTE],0))</f>
        <v>46171</v>
      </c>
      <c r="M49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9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9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497" s="170">
        <f>ROUNDUP(Tabla_control[[#This Row],[CANTIDAD IMPRIMIR]]/Tabla_control[[#This Row],[N TJ]],0)</f>
        <v>2800</v>
      </c>
      <c r="Q497" s="170">
        <f>IF(Tabla_control[[#This Row],[CANTIDAD TIRAJE]]&gt;10000,Tabla_control[[#This Row],[CANTIDAD TIRAJE]],Tabla_control[[#This Row],[CANTIDAD TIRAJE]]*2)</f>
        <v>5600</v>
      </c>
      <c r="R497" s="186" t="s">
        <v>172</v>
      </c>
      <c r="S497" s="4" t="s">
        <v>30</v>
      </c>
      <c r="T497" s="4"/>
      <c r="U497" s="4"/>
      <c r="V497" s="4"/>
      <c r="W497" s="185" t="s">
        <v>22</v>
      </c>
      <c r="X497" s="185"/>
      <c r="Y497" s="185"/>
      <c r="Z497" s="185"/>
      <c r="AA497" s="186" t="s">
        <v>171</v>
      </c>
      <c r="AB497" s="184" t="s">
        <v>4464</v>
      </c>
    </row>
    <row r="498" spans="1:28" x14ac:dyDescent="0.2">
      <c r="A498" s="175">
        <f>IF(COUNTIF(Tabla_imprenta[LOTE],Tabla_control[[#This Row],[LOTE]])=1,INDEX(Tabla_imprenta[FECHA EMISIÓN],MATCH(Tabla_control[[#This Row],[LOTE]],Tabla_imprenta[LOTE],0)),"REALIZADO")</f>
        <v>46143</v>
      </c>
      <c r="B498" s="142">
        <f>IF(COUNTIF(Tabla_imprenta[LOTE],Tabla_control[[#This Row],[LOTE]])=1,INDEX(Tabla_imprenta[CÓD. SOLICITUD],MATCH(Tabla_control[[#This Row],[LOTE]],Tabla_imprenta[LOTE],0)),"REALIZADO")</f>
        <v>0</v>
      </c>
      <c r="C498" s="177" t="str">
        <f>IF(COUNTIF(Tabla_imprenta[LOTE],Tabla_control[[#This Row],[LOTE]])=1,INDEX(Tabla_imprenta[PRODUCTO],MATCH(Tabla_control[[#This Row],[LOTE]],Tabla_imprenta[LOTE],0)),"REALIZADO")</f>
        <v>SULFATO FERROSO COMPUESTO M.E. X 1 COMP. RECUBIERTO</v>
      </c>
      <c r="D498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498" s="177" t="str">
        <f>IF(COUNTIF(Tabla_imprenta[LOTE],Tabla_control[[#This Row],[LOTE]])=1,INDEX(Tabla_imprenta[INSTITUCIÓN],MATCH(Tabla_control[[#This Row],[LOTE]],Tabla_imprenta[LOTE],0)),"REALIZADO")</f>
        <v>COMERCIO</v>
      </c>
      <c r="F498" s="229" t="s">
        <v>5694</v>
      </c>
      <c r="G498" s="139">
        <f>IF(COUNTIF(Tabla_imprenta[LOTE],Tabla_control[[#This Row],[LOTE]])=1,INDEX(Tabla_imprenta[CANTIDAD ENVASE SECUNDARIO],MATCH(Tabla_control[[#This Row],[LOTE]],Tabla_imprenta[LOTE],0)),"ENTREGADO")</f>
        <v>750000</v>
      </c>
      <c r="H498" s="139">
        <f>IF(COUNTIF(Tabla_imprenta[LOTE],Tabla_control[[#This Row],[LOTE]])=1,INDEX(Tabla_imprenta[stock sap],MATCH(Tabla_control[[#This Row],[LOTE]],Tabla_imprenta[LOTE],0)),"ENTREGADO")</f>
        <v>4809</v>
      </c>
      <c r="I498" s="139" t="str">
        <f>IF(Tabla_control[[#This Row],[STOCK SAP]]&gt;Tabla_control[[#This Row],[CANTIDAD IMPRIMIR]],"cubre","no cubre")</f>
        <v>no cubre</v>
      </c>
      <c r="J498" s="182">
        <f>IF(COUNTIF(Tabla_imprenta[LOTE],Tabla_control[[#This Row],[LOTE]])=1,INDEX(Tabla_imprenta[STOCK],MATCH(Tabla_control[[#This Row],[LOTE]],Tabla_imprenta[LOTE],0)),"ENTREGADO")</f>
        <v>3.1913648173391755</v>
      </c>
      <c r="K49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46171</v>
      </c>
      <c r="L498" s="148">
        <f>INDEX(Tabla_imprenta[FECHA CAJA],MATCH(Tabla_control[[#This Row],[LOTE]],Tabla_imprenta[LOTE],0))</f>
        <v>0</v>
      </c>
      <c r="M49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9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49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101</v>
      </c>
      <c r="P498" s="170">
        <f>ROUNDUP(Tabla_control[[#This Row],[CANTIDAD IMPRIMIR]]/Tabla_control[[#This Row],[N TJ]],0)</f>
        <v>750000</v>
      </c>
      <c r="Q498" s="170">
        <f>IF(Tabla_control[[#This Row],[CANTIDAD TIRAJE]]&gt;10000,Tabla_control[[#This Row],[CANTIDAD TIRAJE]],Tabla_control[[#This Row],[CANTIDAD TIRAJE]]*2)</f>
        <v>750000</v>
      </c>
      <c r="R498" s="186" t="s">
        <v>172</v>
      </c>
      <c r="S498" s="4" t="s">
        <v>30</v>
      </c>
      <c r="T498" s="4"/>
      <c r="U498" s="4"/>
      <c r="V498" s="4"/>
      <c r="W498" s="185" t="s">
        <v>22</v>
      </c>
      <c r="X498" s="185"/>
      <c r="Y498" s="185"/>
      <c r="Z498" s="185"/>
      <c r="AA498" s="186" t="s">
        <v>171</v>
      </c>
      <c r="AB498" s="184" t="s">
        <v>5700</v>
      </c>
    </row>
    <row r="499" spans="1:28" x14ac:dyDescent="0.2">
      <c r="A499" s="175">
        <f>IF(COUNTIF(Tabla_imprenta[LOTE],Tabla_control[[#This Row],[LOTE]])=1,INDEX(Tabla_imprenta[FECHA EMISIÓN],MATCH(Tabla_control[[#This Row],[LOTE]],Tabla_imprenta[LOTE],0)),"REALIZADO")</f>
        <v>46143</v>
      </c>
      <c r="B499" s="142">
        <f>IF(COUNTIF(Tabla_imprenta[LOTE],Tabla_control[[#This Row],[LOTE]])=1,INDEX(Tabla_imprenta[CÓD. SOLICITUD],MATCH(Tabla_control[[#This Row],[LOTE]],Tabla_imprenta[LOTE],0)),"REALIZADO")</f>
        <v>0</v>
      </c>
      <c r="C499" s="177" t="str">
        <f>IF(COUNTIF(Tabla_imprenta[LOTE],Tabla_control[[#This Row],[LOTE]])=1,INDEX(Tabla_imprenta[PRODUCTO],MATCH(Tabla_control[[#This Row],[LOTE]],Tabla_imprenta[LOTE],0)),"REALIZADO")</f>
        <v>DEXAMETASONA 4 MG X 25 AMP. SOLUCION INY.</v>
      </c>
      <c r="D499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499" s="177" t="str">
        <f>IF(COUNTIF(Tabla_imprenta[LOTE],Tabla_control[[#This Row],[LOTE]])=1,INDEX(Tabla_imprenta[INSTITUCIÓN],MATCH(Tabla_control[[#This Row],[LOTE]],Tabla_imprenta[LOTE],0)),"REALIZADO")</f>
        <v>COMERCIO</v>
      </c>
      <c r="F499" s="229" t="s">
        <v>5421</v>
      </c>
      <c r="G499" s="139">
        <f>IF(COUNTIF(Tabla_imprenta[LOTE],Tabla_control[[#This Row],[LOTE]])=1,INDEX(Tabla_imprenta[CANTIDAD ENVASE SECUNDARIO],MATCH(Tabla_control[[#This Row],[LOTE]],Tabla_imprenta[LOTE],0)),"ENTREGADO")</f>
        <v>5600</v>
      </c>
      <c r="H499" s="139">
        <f>IF(COUNTIF(Tabla_imprenta[LOTE],Tabla_control[[#This Row],[LOTE]])=1,INDEX(Tabla_imprenta[stock sap],MATCH(Tabla_control[[#This Row],[LOTE]],Tabla_imprenta[LOTE],0)),"ENTREGADO")</f>
        <v>5116</v>
      </c>
      <c r="I499" s="139" t="str">
        <f>IF(Tabla_control[[#This Row],[STOCK SAP]]&gt;Tabla_control[[#This Row],[CANTIDAD IMPRIMIR]],"cubre","no cubre")</f>
        <v>no cubre</v>
      </c>
      <c r="J499" s="182">
        <f>IF(COUNTIF(Tabla_imprenta[LOTE],Tabla_control[[#This Row],[LOTE]])=1,INDEX(Tabla_imprenta[STOCK],MATCH(Tabla_control[[#This Row],[LOTE]],Tabla_imprenta[LOTE],0)),"ENTREGADO")</f>
        <v>0.77126222075350692</v>
      </c>
      <c r="K49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46172</v>
      </c>
      <c r="L499" s="148">
        <f>INDEX(Tabla_imprenta[FECHA CAJA],MATCH(Tabla_control[[#This Row],[LOTE]],Tabla_imprenta[LOTE],0))</f>
        <v>46172</v>
      </c>
      <c r="M49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49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49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499" s="170">
        <f>ROUNDUP(Tabla_control[[#This Row],[CANTIDAD IMPRIMIR]]/Tabla_control[[#This Row],[N TJ]],0)</f>
        <v>2800</v>
      </c>
      <c r="Q499" s="170">
        <f>IF(Tabla_control[[#This Row],[CANTIDAD TIRAJE]]&gt;10000,Tabla_control[[#This Row],[CANTIDAD TIRAJE]],Tabla_control[[#This Row],[CANTIDAD TIRAJE]]*2)</f>
        <v>5600</v>
      </c>
      <c r="R499" s="186" t="s">
        <v>172</v>
      </c>
      <c r="S499" s="4" t="s">
        <v>30</v>
      </c>
      <c r="T499" s="4"/>
      <c r="U499" s="4"/>
      <c r="V499" s="4"/>
      <c r="W499" s="185" t="s">
        <v>22</v>
      </c>
      <c r="X499" s="185"/>
      <c r="Y499" s="185"/>
      <c r="Z499" s="185"/>
      <c r="AA499" s="186" t="s">
        <v>171</v>
      </c>
      <c r="AB499" s="184" t="s">
        <v>4464</v>
      </c>
    </row>
    <row r="500" spans="1:28" x14ac:dyDescent="0.2">
      <c r="A500" s="175">
        <f>IF(COUNTIF(Tabla_imprenta[LOTE],Tabla_control[[#This Row],[LOTE]])=1,INDEX(Tabla_imprenta[FECHA EMISIÓN],MATCH(Tabla_control[[#This Row],[LOTE]],Tabla_imprenta[LOTE],0)),"REALIZADO")</f>
        <v>46143</v>
      </c>
      <c r="B500" s="142">
        <f>IF(COUNTIF(Tabla_imprenta[LOTE],Tabla_control[[#This Row],[LOTE]])=1,INDEX(Tabla_imprenta[CÓD. SOLICITUD],MATCH(Tabla_control[[#This Row],[LOTE]],Tabla_imprenta[LOTE],0)),"REALIZADO")</f>
        <v>0</v>
      </c>
      <c r="C500" s="177" t="str">
        <f>IF(COUNTIF(Tabla_imprenta[LOTE],Tabla_control[[#This Row],[LOTE]])=1,INDEX(Tabla_imprenta[PRODUCTO],MATCH(Tabla_control[[#This Row],[LOTE]],Tabla_imprenta[LOTE],0)),"REALIZADO")</f>
        <v>DEXAMETASONA 4 MG X 25 AMP. SOLUCION INY.</v>
      </c>
      <c r="D500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500" s="177" t="str">
        <f>IF(COUNTIF(Tabla_imprenta[LOTE],Tabla_control[[#This Row],[LOTE]])=1,INDEX(Tabla_imprenta[INSTITUCIÓN],MATCH(Tabla_control[[#This Row],[LOTE]],Tabla_imprenta[LOTE],0)),"REALIZADO")</f>
        <v>COMERCIO</v>
      </c>
      <c r="F500" s="229" t="s">
        <v>5420</v>
      </c>
      <c r="G500" s="139">
        <f>IF(COUNTIF(Tabla_imprenta[LOTE],Tabla_control[[#This Row],[LOTE]])=1,INDEX(Tabla_imprenta[CANTIDAD ENVASE SECUNDARIO],MATCH(Tabla_control[[#This Row],[LOTE]],Tabla_imprenta[LOTE],0)),"ENTREGADO")</f>
        <v>5600</v>
      </c>
      <c r="H500" s="139">
        <f>IF(COUNTIF(Tabla_imprenta[LOTE],Tabla_control[[#This Row],[LOTE]])=1,INDEX(Tabla_imprenta[stock sap],MATCH(Tabla_control[[#This Row],[LOTE]],Tabla_imprenta[LOTE],0)),"ENTREGADO")</f>
        <v>5116</v>
      </c>
      <c r="I500" s="139" t="str">
        <f>IF(Tabla_control[[#This Row],[STOCK SAP]]&gt;Tabla_control[[#This Row],[CANTIDAD IMPRIMIR]],"cubre","no cubre")</f>
        <v>no cubre</v>
      </c>
      <c r="J500" s="182">
        <f>IF(COUNTIF(Tabla_imprenta[LOTE],Tabla_control[[#This Row],[LOTE]])=1,INDEX(Tabla_imprenta[STOCK],MATCH(Tabla_control[[#This Row],[LOTE]],Tabla_imprenta[LOTE],0)),"ENTREGADO")</f>
        <v>0.77126222075350692</v>
      </c>
      <c r="K50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46174</v>
      </c>
      <c r="L500" s="148">
        <f>INDEX(Tabla_imprenta[FECHA CAJA],MATCH(Tabla_control[[#This Row],[LOTE]],Tabla_imprenta[LOTE],0))</f>
        <v>46174</v>
      </c>
      <c r="M50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0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0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500" s="170">
        <f>ROUNDUP(Tabla_control[[#This Row],[CANTIDAD IMPRIMIR]]/Tabla_control[[#This Row],[N TJ]],0)</f>
        <v>2800</v>
      </c>
      <c r="Q500" s="170">
        <f>IF(Tabla_control[[#This Row],[CANTIDAD TIRAJE]]&gt;10000,Tabla_control[[#This Row],[CANTIDAD TIRAJE]],Tabla_control[[#This Row],[CANTIDAD TIRAJE]]*2)</f>
        <v>5600</v>
      </c>
      <c r="R500" s="186" t="s">
        <v>172</v>
      </c>
      <c r="S500" s="4" t="s">
        <v>30</v>
      </c>
      <c r="T500" s="4"/>
      <c r="U500" s="4"/>
      <c r="V500" s="4"/>
      <c r="W500" s="185" t="s">
        <v>22</v>
      </c>
      <c r="X500" s="185"/>
      <c r="Y500" s="185"/>
      <c r="Z500" s="185"/>
      <c r="AA500" s="186" t="s">
        <v>171</v>
      </c>
      <c r="AB500" s="184" t="s">
        <v>4464</v>
      </c>
    </row>
    <row r="501" spans="1:28" hidden="1" x14ac:dyDescent="0.2">
      <c r="A501" s="175">
        <f>IF(COUNTIF(Tabla_imprenta[LOTE],Tabla_control[[#This Row],[LOTE]])=1,INDEX(Tabla_imprenta[FECHA EMISIÓN],MATCH(Tabla_control[[#This Row],[LOTE]],Tabla_imprenta[LOTE],0)),"REALIZADO")</f>
        <v>46113</v>
      </c>
      <c r="B501" s="142">
        <f>IF(COUNTIF(Tabla_imprenta[LOTE],Tabla_control[[#This Row],[LOTE]])=1,INDEX(Tabla_imprenta[CÓD. SOLICITUD],MATCH(Tabla_control[[#This Row],[LOTE]],Tabla_imprenta[LOTE],0)),"REALIZADO")</f>
        <v>0</v>
      </c>
      <c r="C501" s="177" t="str">
        <f>IF(COUNTIF(Tabla_imprenta[LOTE],Tabla_control[[#This Row],[LOTE]])=1,INDEX(Tabla_imprenta[PRODUCTO],MATCH(Tabla_control[[#This Row],[LOTE]],Tabla_imprenta[LOTE],0)),"REALIZADO")</f>
        <v>METOCLOPRAMIDA 10 MG X 25 AMP. SOLUCION INY.</v>
      </c>
      <c r="D501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501" s="177" t="str">
        <f>IF(COUNTIF(Tabla_imprenta[LOTE],Tabla_control[[#This Row],[LOTE]])=1,INDEX(Tabla_imprenta[INSTITUCIÓN],MATCH(Tabla_control[[#This Row],[LOTE]],Tabla_imprenta[LOTE],0)),"REALIZADO")</f>
        <v>COMERCIO</v>
      </c>
      <c r="F501" s="181" t="s">
        <v>3193</v>
      </c>
      <c r="G501" s="139">
        <f>IF(COUNTIF(Tabla_imprenta[LOTE],Tabla_control[[#This Row],[LOTE]])=1,INDEX(Tabla_imprenta[CANTIDAD ENVASE SECUNDARIO],MATCH(Tabla_control[[#This Row],[LOTE]],Tabla_imprenta[LOTE],0)),"ENTREGADO")</f>
        <v>3600</v>
      </c>
      <c r="H501" s="139">
        <f>IF(COUNTIF(Tabla_imprenta[LOTE],Tabla_control[[#This Row],[LOTE]])=1,INDEX(Tabla_imprenta[stock sap],MATCH(Tabla_control[[#This Row],[LOTE]],Tabla_imprenta[LOTE],0)),"ENTREGADO")</f>
        <v>7029</v>
      </c>
      <c r="I501" s="139" t="str">
        <f>IF(Tabla_control[[#This Row],[STOCK SAP]]&gt;Tabla_control[[#This Row],[CANTIDAD IMPRIMIR]],"cubre","no cubre")</f>
        <v>cubre</v>
      </c>
      <c r="J501" s="182">
        <f>IF(COUNTIF(Tabla_imprenta[LOTE],Tabla_control[[#This Row],[LOTE]])=1,INDEX(Tabla_imprenta[STOCK],MATCH(Tabla_control[[#This Row],[LOTE]],Tabla_imprenta[LOTE],0)),"ENTREGADO")</f>
        <v>1.3069071110131314</v>
      </c>
      <c r="K50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46174</v>
      </c>
      <c r="L501" s="148">
        <f>INDEX(Tabla_imprenta[FECHA CAJA],MATCH(Tabla_control[[#This Row],[LOTE]],Tabla_imprenta[LOTE],0))</f>
        <v>46174</v>
      </c>
      <c r="M50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0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0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501" s="170">
        <f>ROUNDUP(Tabla_control[[#This Row],[CANTIDAD IMPRIMIR]]/Tabla_control[[#This Row],[N TJ]],0)</f>
        <v>1800</v>
      </c>
      <c r="Q501" s="170">
        <f>IF(Tabla_control[[#This Row],[CANTIDAD TIRAJE]]&gt;10000,Tabla_control[[#This Row],[CANTIDAD TIRAJE]],Tabla_control[[#This Row],[CANTIDAD TIRAJE]]*2)</f>
        <v>3600</v>
      </c>
      <c r="R501" s="186" t="s">
        <v>172</v>
      </c>
      <c r="S501" s="4" t="s">
        <v>30</v>
      </c>
      <c r="T501" s="4"/>
      <c r="U501" s="4"/>
      <c r="V501" s="4"/>
      <c r="W501" s="185" t="s">
        <v>3238</v>
      </c>
      <c r="X501" s="185"/>
      <c r="Y501" s="185"/>
      <c r="Z501" s="185"/>
      <c r="AA501" s="186" t="s">
        <v>2031</v>
      </c>
      <c r="AB501" s="184" t="s">
        <v>3222</v>
      </c>
    </row>
    <row r="502" spans="1:28" x14ac:dyDescent="0.2">
      <c r="A502" s="175">
        <f>IF(COUNTIF(Tabla_imprenta[LOTE],Tabla_control[[#This Row],[LOTE]])=1,INDEX(Tabla_imprenta[FECHA EMISIÓN],MATCH(Tabla_control[[#This Row],[LOTE]],Tabla_imprenta[LOTE],0)),"REALIZADO")</f>
        <v>46143</v>
      </c>
      <c r="B502" s="142">
        <f>IF(COUNTIF(Tabla_imprenta[LOTE],Tabla_control[[#This Row],[LOTE]])=1,INDEX(Tabla_imprenta[CÓD. SOLICITUD],MATCH(Tabla_control[[#This Row],[LOTE]],Tabla_imprenta[LOTE],0)),"REALIZADO")</f>
        <v>0</v>
      </c>
      <c r="C502" s="177" t="str">
        <f>IF(COUNTIF(Tabla_imprenta[LOTE],Tabla_control[[#This Row],[LOTE]])=1,INDEX(Tabla_imprenta[PRODUCTO],MATCH(Tabla_control[[#This Row],[LOTE]],Tabla_imprenta[LOTE],0)),"REALIZADO")</f>
        <v>ZITROMIN 500 MG X 1 COMP. RECUBIERTO MM</v>
      </c>
      <c r="D502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02" s="177" t="str">
        <f>IF(COUNTIF(Tabla_imprenta[LOTE],Tabla_control[[#This Row],[LOTE]])=1,INDEX(Tabla_imprenta[INSTITUCIÓN],MATCH(Tabla_control[[#This Row],[LOTE]],Tabla_imprenta[LOTE],0)),"REALIZADO")</f>
        <v>MM-2026</v>
      </c>
      <c r="F502" s="229" t="s">
        <v>5572</v>
      </c>
      <c r="G502" s="139">
        <f>IF(COUNTIF(Tabla_imprenta[LOTE],Tabla_control[[#This Row],[LOTE]])=1,INDEX(Tabla_imprenta[CANTIDAD ENVASE SECUNDARIO],MATCH(Tabla_control[[#This Row],[LOTE]],Tabla_imprenta[LOTE],0)),"ENTREGADO")</f>
        <v>18000</v>
      </c>
      <c r="H502" s="139">
        <f>IF(COUNTIF(Tabla_imprenta[LOTE],Tabla_control[[#This Row],[LOTE]])=1,INDEX(Tabla_imprenta[stock sap],MATCH(Tabla_control[[#This Row],[LOTE]],Tabla_imprenta[LOTE],0)),"ENTREGADO")</f>
        <v>1485</v>
      </c>
      <c r="I502" s="139" t="str">
        <f>IF(Tabla_control[[#This Row],[STOCK SAP]]&gt;Tabla_control[[#This Row],[CANTIDAD IMPRIMIR]],"cubre","no cubre")</f>
        <v>no cubre</v>
      </c>
      <c r="J502" s="182">
        <f>IF(COUNTIF(Tabla_imprenta[LOTE],Tabla_control[[#This Row],[LOTE]])=1,INDEX(Tabla_imprenta[STOCK],MATCH(Tabla_control[[#This Row],[LOTE]],Tabla_imprenta[LOTE],0)),"ENTREGADO")</f>
        <v>1.4211218447256322</v>
      </c>
      <c r="K50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46174</v>
      </c>
      <c r="L502" s="148">
        <f>INDEX(Tabla_imprenta[FECHA CAJA],MATCH(Tabla_control[[#This Row],[LOTE]],Tabla_imprenta[LOTE],0))</f>
        <v>0</v>
      </c>
      <c r="M50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0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50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</v>
      </c>
      <c r="P502" s="170">
        <f>ROUNDUP(Tabla_control[[#This Row],[CANTIDAD IMPRIMIR]]/Tabla_control[[#This Row],[N TJ]],0)</f>
        <v>3000</v>
      </c>
      <c r="Q502" s="170">
        <f>IF(Tabla_control[[#This Row],[CANTIDAD TIRAJE]]&gt;10000,Tabla_control[[#This Row],[CANTIDAD TIRAJE]],Tabla_control[[#This Row],[CANTIDAD TIRAJE]]*2)</f>
        <v>6000</v>
      </c>
      <c r="R502" s="186" t="s">
        <v>173</v>
      </c>
      <c r="S502" s="4" t="s">
        <v>174</v>
      </c>
      <c r="T502" s="4"/>
      <c r="U502" s="4"/>
      <c r="V502" s="4"/>
      <c r="W502" s="185" t="s">
        <v>2984</v>
      </c>
      <c r="X502" s="185" t="s">
        <v>88</v>
      </c>
      <c r="Y502" s="185" t="s">
        <v>88</v>
      </c>
      <c r="Z502" s="185" t="s">
        <v>88</v>
      </c>
      <c r="AA502" s="186" t="s">
        <v>171</v>
      </c>
      <c r="AB502" s="184" t="s">
        <v>5700</v>
      </c>
    </row>
    <row r="503" spans="1:28" hidden="1" x14ac:dyDescent="0.2">
      <c r="A503" s="175">
        <f>IF(COUNTIF(Tabla_imprenta[LOTE],Tabla_control[[#This Row],[LOTE]])=1,INDEX(Tabla_imprenta[FECHA EMISIÓN],MATCH(Tabla_control[[#This Row],[LOTE]],Tabla_imprenta[LOTE],0)),"REALIZADO")</f>
        <v>46113</v>
      </c>
      <c r="B503" s="142">
        <f>IF(COUNTIF(Tabla_imprenta[LOTE],Tabla_control[[#This Row],[LOTE]])=1,INDEX(Tabla_imprenta[CÓD. SOLICITUD],MATCH(Tabla_control[[#This Row],[LOTE]],Tabla_imprenta[LOTE],0)),"REALIZADO")</f>
        <v>0</v>
      </c>
      <c r="C503" s="177" t="str">
        <f>IF(COUNTIF(Tabla_imprenta[LOTE],Tabla_control[[#This Row],[LOTE]])=1,INDEX(Tabla_imprenta[PRODUCTO],MATCH(Tabla_control[[#This Row],[LOTE]],Tabla_imprenta[LOTE],0)),"REALIZADO")</f>
        <v>NISTATINA 500.000 UI X 60 ML SUSP.</v>
      </c>
      <c r="D503" s="142" t="str">
        <f>IF(COUNTIF(Tabla_imprenta[LOTE],Tabla_control[[#This Row],[LOTE]])=1,INDEX(Tabla_imprenta[FORMA FARMACEUTICA],MATCH(Tabla_control[[#This Row],[LOTE]],Tabla_imprenta[LOTE],0)),"REALIZADO")</f>
        <v>SUSPENSIÓN</v>
      </c>
      <c r="E503" s="177" t="str">
        <f>IF(COUNTIF(Tabla_imprenta[LOTE],Tabla_control[[#This Row],[LOTE]])=1,INDEX(Tabla_imprenta[INSTITUCIÓN],MATCH(Tabla_control[[#This Row],[LOTE]],Tabla_imprenta[LOTE],0)),"REALIZADO")</f>
        <v>COMERCIO</v>
      </c>
      <c r="F503" s="181" t="s">
        <v>3072</v>
      </c>
      <c r="G503" s="139">
        <f>IF(COUNTIF(Tabla_imprenta[LOTE],Tabla_control[[#This Row],[LOTE]])=1,INDEX(Tabla_imprenta[CANTIDAD ENVASE SECUNDARIO],MATCH(Tabla_control[[#This Row],[LOTE]],Tabla_imprenta[LOTE],0)),"ENTREGADO")</f>
        <v>19354</v>
      </c>
      <c r="H503" s="139">
        <f>IF(COUNTIF(Tabla_imprenta[LOTE],Tabla_control[[#This Row],[LOTE]])=1,INDEX(Tabla_imprenta[stock sap],MATCH(Tabla_control[[#This Row],[LOTE]],Tabla_imprenta[LOTE],0)),"ENTREGADO")</f>
        <v>604</v>
      </c>
      <c r="I503" s="139" t="str">
        <f>IF(Tabla_control[[#This Row],[STOCK SAP]]&gt;Tabla_control[[#This Row],[CANTIDAD IMPRIMIR]],"cubre","no cubre")</f>
        <v>no cubre</v>
      </c>
      <c r="J503" s="182">
        <f>IF(COUNTIF(Tabla_imprenta[LOTE],Tabla_control[[#This Row],[LOTE]])=1,INDEX(Tabla_imprenta[STOCK],MATCH(Tabla_control[[#This Row],[LOTE]],Tabla_imprenta[LOTE],0)),"ENTREGADO")</f>
        <v>2.2477975190783464</v>
      </c>
      <c r="K50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46174</v>
      </c>
      <c r="L503" s="148">
        <f>INDEX(Tabla_imprenta[FECHA CAJA],MATCH(Tabla_control[[#This Row],[LOTE]],Tabla_imprenta[LOTE],0))</f>
        <v>46174</v>
      </c>
      <c r="M50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0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0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</v>
      </c>
      <c r="P503" s="170">
        <f>ROUNDUP(Tabla_control[[#This Row],[CANTIDAD IMPRIMIR]]/Tabla_control[[#This Row],[N TJ]],0)</f>
        <v>4839</v>
      </c>
      <c r="Q503" s="170">
        <f>IF(Tabla_control[[#This Row],[CANTIDAD TIRAJE]]&gt;10000,Tabla_control[[#This Row],[CANTIDAD TIRAJE]],Tabla_control[[#This Row],[CANTIDAD TIRAJE]]*2)</f>
        <v>9678</v>
      </c>
      <c r="R503" s="186" t="s">
        <v>172</v>
      </c>
      <c r="S503" s="4" t="s">
        <v>31</v>
      </c>
      <c r="T503" s="4"/>
      <c r="U503" s="4"/>
      <c r="V503" s="4"/>
      <c r="W503" s="185" t="s">
        <v>2985</v>
      </c>
      <c r="X503" s="185"/>
      <c r="Y503" s="185"/>
      <c r="Z503" s="185"/>
      <c r="AA503" s="186" t="s">
        <v>2031</v>
      </c>
      <c r="AB503" s="184" t="s">
        <v>3222</v>
      </c>
    </row>
    <row r="504" spans="1:28" x14ac:dyDescent="0.2">
      <c r="A504" s="175">
        <f>IF(COUNTIF(Tabla_imprenta[LOTE],Tabla_control[[#This Row],[LOTE]])=1,INDEX(Tabla_imprenta[FECHA EMISIÓN],MATCH(Tabla_control[[#This Row],[LOTE]],Tabla_imprenta[LOTE],0)),"REALIZADO")</f>
        <v>46143</v>
      </c>
      <c r="B504" s="142">
        <f>IF(COUNTIF(Tabla_imprenta[LOTE],Tabla_control[[#This Row],[LOTE]])=1,INDEX(Tabla_imprenta[CÓD. SOLICITUD],MATCH(Tabla_control[[#This Row],[LOTE]],Tabla_imprenta[LOTE],0)),"REALIZADO")</f>
        <v>0</v>
      </c>
      <c r="C504" s="177" t="str">
        <f>IF(COUNTIF(Tabla_imprenta[LOTE],Tabla_control[[#This Row],[LOTE]])=1,INDEX(Tabla_imprenta[PRODUCTO],MATCH(Tabla_control[[#This Row],[LOTE]],Tabla_imprenta[LOTE],0)),"REALIZADO")</f>
        <v>HIDROCLOROTIAZIDA 50 MG X 100 COMP.</v>
      </c>
      <c r="D504" s="142" t="str">
        <f>IF(COUNTIF(Tabla_imprenta[LOTE],Tabla_control[[#This Row],[LOTE]])=1,INDEX(Tabla_imprenta[FORMA FARMACEUTICA],MATCH(Tabla_control[[#This Row],[LOTE]],Tabla_imprenta[LOTE],0)),"REALIZADO")</f>
        <v>COMPRIMIDO RANURADO</v>
      </c>
      <c r="E504" s="177" t="str">
        <f>IF(COUNTIF(Tabla_imprenta[LOTE],Tabla_control[[#This Row],[LOTE]])=1,INDEX(Tabla_imprenta[INSTITUCIÓN],MATCH(Tabla_control[[#This Row],[LOTE]],Tabla_imprenta[LOTE],0)),"REALIZADO")</f>
        <v>COMERCIO</v>
      </c>
      <c r="F504" s="229" t="s">
        <v>5609</v>
      </c>
      <c r="G504" s="139">
        <f>IF(COUNTIF(Tabla_imprenta[LOTE],Tabla_control[[#This Row],[LOTE]])=1,INDEX(Tabla_imprenta[CANTIDAD ENVASE SECUNDARIO],MATCH(Tabla_control[[#This Row],[LOTE]],Tabla_imprenta[LOTE],0)),"ENTREGADO")</f>
        <v>5000</v>
      </c>
      <c r="H504" s="139">
        <f>IF(COUNTIF(Tabla_imprenta[LOTE],Tabla_control[[#This Row],[LOTE]])=1,INDEX(Tabla_imprenta[stock sap],MATCH(Tabla_control[[#This Row],[LOTE]],Tabla_imprenta[LOTE],0)),"ENTREGADO")</f>
        <v>6958</v>
      </c>
      <c r="I504" s="139" t="str">
        <f>IF(Tabla_control[[#This Row],[STOCK SAP]]&gt;Tabla_control[[#This Row],[CANTIDAD IMPRIMIR]],"cubre","no cubre")</f>
        <v>cubre</v>
      </c>
      <c r="J504" s="182">
        <f>IF(COUNTIF(Tabla_imprenta[LOTE],Tabla_control[[#This Row],[LOTE]])=1,INDEX(Tabla_imprenta[STOCK],MATCH(Tabla_control[[#This Row],[LOTE]],Tabla_imprenta[LOTE],0)),"ENTREGADO")</f>
        <v>2.3437157077948658</v>
      </c>
      <c r="K50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46174</v>
      </c>
      <c r="L504" s="148">
        <f>INDEX(Tabla_imprenta[FECHA CAJA],MATCH(Tabla_control[[#This Row],[LOTE]],Tabla_imprenta[LOTE],0))</f>
        <v>46174</v>
      </c>
      <c r="M50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0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0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92</v>
      </c>
      <c r="P504" s="170">
        <f>ROUNDUP(Tabla_control[[#This Row],[CANTIDAD IMPRIMIR]]/Tabla_control[[#This Row],[N TJ]],0)</f>
        <v>1250</v>
      </c>
      <c r="Q504" s="170">
        <f>IF(Tabla_control[[#This Row],[CANTIDAD TIRAJE]]&gt;10000,Tabla_control[[#This Row],[CANTIDAD TIRAJE]],Tabla_control[[#This Row],[CANTIDAD TIRAJE]]*2)</f>
        <v>2500</v>
      </c>
      <c r="R504" s="186" t="s">
        <v>172</v>
      </c>
      <c r="S504" s="4" t="s">
        <v>30</v>
      </c>
      <c r="T504" s="4"/>
      <c r="U504" s="4"/>
      <c r="V504" s="4"/>
      <c r="W504" s="185" t="s">
        <v>22</v>
      </c>
      <c r="X504" s="185"/>
      <c r="Y504" s="185"/>
      <c r="Z504" s="185"/>
      <c r="AA504" s="186" t="s">
        <v>171</v>
      </c>
      <c r="AB504" s="184" t="s">
        <v>5700</v>
      </c>
    </row>
    <row r="505" spans="1:28" hidden="1" x14ac:dyDescent="0.2">
      <c r="A505" s="175">
        <f>IF(COUNTIF(Tabla_imprenta[LOTE],Tabla_control[[#This Row],[LOTE]])=1,INDEX(Tabla_imprenta[FECHA EMISIÓN],MATCH(Tabla_control[[#This Row],[LOTE]],Tabla_imprenta[LOTE],0)),"REALIZADO")</f>
        <v>46143</v>
      </c>
      <c r="B505" s="142">
        <f>IF(COUNTIF(Tabla_imprenta[LOTE],Tabla_control[[#This Row],[LOTE]])=1,INDEX(Tabla_imprenta[CÓD. SOLICITUD],MATCH(Tabla_control[[#This Row],[LOTE]],Tabla_imprenta[LOTE],0)),"REALIZADO")</f>
        <v>0</v>
      </c>
      <c r="C505" s="177" t="str">
        <f>IF(COUNTIF(Tabla_imprenta[LOTE],Tabla_control[[#This Row],[LOTE]])=1,INDEX(Tabla_imprenta[PRODUCTO],MATCH(Tabla_control[[#This Row],[LOTE]],Tabla_imprenta[LOTE],0)),"REALIZADO")</f>
        <v>ZITROMIN 500 MG X 3 COMP. RECUBIERTO</v>
      </c>
      <c r="D505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05" s="177" t="str">
        <f>IF(COUNTIF(Tabla_imprenta[LOTE],Tabla_control[[#This Row],[LOTE]])=1,INDEX(Tabla_imprenta[INSTITUCIÓN],MATCH(Tabla_control[[#This Row],[LOTE]],Tabla_imprenta[LOTE],0)),"REALIZADO")</f>
        <v>COMERCIO</v>
      </c>
      <c r="F505" s="229" t="s">
        <v>5580</v>
      </c>
      <c r="G505" s="139">
        <f>IF(COUNTIF(Tabla_imprenta[LOTE],Tabla_control[[#This Row],[LOTE]])=1,INDEX(Tabla_imprenta[CANTIDAD ENVASE SECUNDARIO],MATCH(Tabla_control[[#This Row],[LOTE]],Tabla_imprenta[LOTE],0)),"ENTREGADO")</f>
        <v>3333.3333333333335</v>
      </c>
      <c r="H505" s="139">
        <f>IF(COUNTIF(Tabla_imprenta[LOTE],Tabla_control[[#This Row],[LOTE]])=1,INDEX(Tabla_imprenta[stock sap],MATCH(Tabla_control[[#This Row],[LOTE]],Tabla_imprenta[LOTE],0)),"ENTREGADO")</f>
        <v>13807</v>
      </c>
      <c r="I505" s="139" t="str">
        <f>IF(Tabla_control[[#This Row],[STOCK SAP]]&gt;Tabla_control[[#This Row],[CANTIDAD IMPRIMIR]],"cubre","no cubre")</f>
        <v>cubre</v>
      </c>
      <c r="J505" s="182">
        <f>IF(COUNTIF(Tabla_imprenta[LOTE],Tabla_control[[#This Row],[LOTE]])=1,INDEX(Tabla_imprenta[STOCK],MATCH(Tabla_control[[#This Row],[LOTE]],Tabla_imprenta[LOTE],0)),"ENTREGADO")</f>
        <v>2.1368595041322314</v>
      </c>
      <c r="K50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46174</v>
      </c>
      <c r="L505" s="148">
        <f>INDEX(Tabla_imprenta[FECHA CAJA],MATCH(Tabla_control[[#This Row],[LOTE]],Tabla_imprenta[LOTE],0))</f>
        <v>0</v>
      </c>
      <c r="M50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05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SF</v>
      </c>
      <c r="O505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SF</v>
      </c>
      <c r="P505" s="170" t="e">
        <f>ROUNDUP(Tabla_control[[#This Row],[CANTIDAD IMPRIMIR]]/Tabla_control[[#This Row],[N TJ]],0)</f>
        <v>#VALUE!</v>
      </c>
      <c r="Q505" s="170" t="e">
        <f>IF(Tabla_control[[#This Row],[CANTIDAD TIRAJE]]&gt;10000,Tabla_control[[#This Row],[CANTIDAD TIRAJE]],Tabla_control[[#This Row],[CANTIDAD TIRAJE]]*2)</f>
        <v>#VALUE!</v>
      </c>
      <c r="R505" s="186" t="s">
        <v>173</v>
      </c>
      <c r="S505" s="4" t="s">
        <v>174</v>
      </c>
      <c r="T505" s="4"/>
      <c r="U505" s="4"/>
      <c r="V505" s="4"/>
      <c r="W505" s="185" t="s">
        <v>321</v>
      </c>
      <c r="X505" s="185"/>
      <c r="Y505" s="185"/>
      <c r="Z505" s="185"/>
      <c r="AA505" s="186" t="s">
        <v>321</v>
      </c>
      <c r="AB505" s="184" t="s">
        <v>5700</v>
      </c>
    </row>
    <row r="506" spans="1:28" x14ac:dyDescent="0.2">
      <c r="A506" s="175">
        <f>IF(COUNTIF(Tabla_imprenta[LOTE],Tabla_control[[#This Row],[LOTE]])=1,INDEX(Tabla_imprenta[FECHA EMISIÓN],MATCH(Tabla_control[[#This Row],[LOTE]],Tabla_imprenta[LOTE],0)),"REALIZADO")</f>
        <v>46143</v>
      </c>
      <c r="B506" s="142">
        <f>IF(COUNTIF(Tabla_imprenta[LOTE],Tabla_control[[#This Row],[LOTE]])=1,INDEX(Tabla_imprenta[CÓD. SOLICITUD],MATCH(Tabla_control[[#This Row],[LOTE]],Tabla_imprenta[LOTE],0)),"REALIZADO")</f>
        <v>0</v>
      </c>
      <c r="C506" s="177" t="str">
        <f>IF(COUNTIF(Tabla_imprenta[LOTE],Tabla_control[[#This Row],[LOTE]])=1,INDEX(Tabla_imprenta[PRODUCTO],MATCH(Tabla_control[[#This Row],[LOTE]],Tabla_imprenta[LOTE],0)),"REALIZADO")</f>
        <v>SULFATO FERROSO COMPUESTO M.E. X 1 COMP. RECUBIERTO</v>
      </c>
      <c r="D506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06" s="177" t="str">
        <f>IF(COUNTIF(Tabla_imprenta[LOTE],Tabla_control[[#This Row],[LOTE]])=1,INDEX(Tabla_imprenta[INSTITUCIÓN],MATCH(Tabla_control[[#This Row],[LOTE]],Tabla_imprenta[LOTE],0)),"REALIZADO")</f>
        <v>COMERCIO</v>
      </c>
      <c r="F506" s="229" t="s">
        <v>5664</v>
      </c>
      <c r="G506" s="139">
        <f>IF(COUNTIF(Tabla_imprenta[LOTE],Tabla_control[[#This Row],[LOTE]])=1,INDEX(Tabla_imprenta[CANTIDAD ENVASE SECUNDARIO],MATCH(Tabla_control[[#This Row],[LOTE]],Tabla_imprenta[LOTE],0)),"ENTREGADO")</f>
        <v>750000</v>
      </c>
      <c r="H506" s="139">
        <f>IF(COUNTIF(Tabla_imprenta[LOTE],Tabla_control[[#This Row],[LOTE]])=1,INDEX(Tabla_imprenta[stock sap],MATCH(Tabla_control[[#This Row],[LOTE]],Tabla_imprenta[LOTE],0)),"ENTREGADO")</f>
        <v>4809</v>
      </c>
      <c r="I506" s="139" t="str">
        <f>IF(Tabla_control[[#This Row],[STOCK SAP]]&gt;Tabla_control[[#This Row],[CANTIDAD IMPRIMIR]],"cubre","no cubre")</f>
        <v>no cubre</v>
      </c>
      <c r="J506" s="182">
        <f>IF(COUNTIF(Tabla_imprenta[LOTE],Tabla_control[[#This Row],[LOTE]])=1,INDEX(Tabla_imprenta[STOCK],MATCH(Tabla_control[[#This Row],[LOTE]],Tabla_imprenta[LOTE],0)),"ENTREGADO")</f>
        <v>3.1913648173391755</v>
      </c>
      <c r="K50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46174</v>
      </c>
      <c r="L506" s="148">
        <f>INDEX(Tabla_imprenta[FECHA CAJA],MATCH(Tabla_control[[#This Row],[LOTE]],Tabla_imprenta[LOTE],0))</f>
        <v>0</v>
      </c>
      <c r="M50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0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50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101</v>
      </c>
      <c r="P506" s="170">
        <f>ROUNDUP(Tabla_control[[#This Row],[CANTIDAD IMPRIMIR]]/Tabla_control[[#This Row],[N TJ]],0)</f>
        <v>750000</v>
      </c>
      <c r="Q506" s="170">
        <f>IF(Tabla_control[[#This Row],[CANTIDAD TIRAJE]]&gt;10000,Tabla_control[[#This Row],[CANTIDAD TIRAJE]],Tabla_control[[#This Row],[CANTIDAD TIRAJE]]*2)</f>
        <v>750000</v>
      </c>
      <c r="R506" s="186" t="s">
        <v>172</v>
      </c>
      <c r="S506" s="4" t="s">
        <v>30</v>
      </c>
      <c r="T506" s="4"/>
      <c r="U506" s="4"/>
      <c r="V506" s="4"/>
      <c r="W506" s="185" t="s">
        <v>22</v>
      </c>
      <c r="X506" s="185"/>
      <c r="Y506" s="185"/>
      <c r="Z506" s="185"/>
      <c r="AA506" s="186" t="s">
        <v>171</v>
      </c>
      <c r="AB506" s="184" t="s">
        <v>5700</v>
      </c>
    </row>
    <row r="507" spans="1:28" x14ac:dyDescent="0.2">
      <c r="A507" s="175">
        <f>IF(COUNTIF(Tabla_imprenta[LOTE],Tabla_control[[#This Row],[LOTE]])=1,INDEX(Tabla_imprenta[FECHA EMISIÓN],MATCH(Tabla_control[[#This Row],[LOTE]],Tabla_imprenta[LOTE],0)),"REALIZADO")</f>
        <v>46143</v>
      </c>
      <c r="B507" s="142">
        <f>IF(COUNTIF(Tabla_imprenta[LOTE],Tabla_control[[#This Row],[LOTE]])=1,INDEX(Tabla_imprenta[CÓD. SOLICITUD],MATCH(Tabla_control[[#This Row],[LOTE]],Tabla_imprenta[LOTE],0)),"REALIZADO")</f>
        <v>0</v>
      </c>
      <c r="C507" s="177" t="str">
        <f>IF(COUNTIF(Tabla_imprenta[LOTE],Tabla_control[[#This Row],[LOTE]])=1,INDEX(Tabla_imprenta[PRODUCTO],MATCH(Tabla_control[[#This Row],[LOTE]],Tabla_imprenta[LOTE],0)),"REALIZADO")</f>
        <v>ENALAPRIL MALEATO 10 MG X 100 COMP.</v>
      </c>
      <c r="D507" s="142" t="str">
        <f>IF(COUNTIF(Tabla_imprenta[LOTE],Tabla_control[[#This Row],[LOTE]])=1,INDEX(Tabla_imprenta[FORMA FARMACEUTICA],MATCH(Tabla_control[[#This Row],[LOTE]],Tabla_imprenta[LOTE],0)),"REALIZADO")</f>
        <v>COMPRIMIDO RANURADO</v>
      </c>
      <c r="E507" s="177" t="str">
        <f>IF(COUNTIF(Tabla_imprenta[LOTE],Tabla_control[[#This Row],[LOTE]])=1,INDEX(Tabla_imprenta[INSTITUCIÓN],MATCH(Tabla_control[[#This Row],[LOTE]],Tabla_imprenta[LOTE],0)),"REALIZADO")</f>
        <v>COMERCIO</v>
      </c>
      <c r="F507" s="229" t="s">
        <v>5651</v>
      </c>
      <c r="G507" s="139">
        <f>IF(COUNTIF(Tabla_imprenta[LOTE],Tabla_control[[#This Row],[LOTE]])=1,INDEX(Tabla_imprenta[CANTIDAD ENVASE SECUNDARIO],MATCH(Tabla_control[[#This Row],[LOTE]],Tabla_imprenta[LOTE],0)),"ENTREGADO")</f>
        <v>5000</v>
      </c>
      <c r="H507" s="139">
        <f>IF(COUNTIF(Tabla_imprenta[LOTE],Tabla_control[[#This Row],[LOTE]])=1,INDEX(Tabla_imprenta[stock sap],MATCH(Tabla_control[[#This Row],[LOTE]],Tabla_imprenta[LOTE],0)),"ENTREGADO")</f>
        <v>1356</v>
      </c>
      <c r="I507" s="139" t="str">
        <f>IF(Tabla_control[[#This Row],[STOCK SAP]]&gt;Tabla_control[[#This Row],[CANTIDAD IMPRIMIR]],"cubre","no cubre")</f>
        <v>no cubre</v>
      </c>
      <c r="J507" s="182">
        <f>IF(COUNTIF(Tabla_imprenta[LOTE],Tabla_control[[#This Row],[LOTE]])=1,INDEX(Tabla_imprenta[STOCK],MATCH(Tabla_control[[#This Row],[LOTE]],Tabla_imprenta[LOTE],0)),"ENTREGADO")</f>
        <v>3.961114644643255</v>
      </c>
      <c r="K50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46174</v>
      </c>
      <c r="L507" s="148">
        <f>INDEX(Tabla_imprenta[FECHA CAJA],MATCH(Tabla_control[[#This Row],[LOTE]],Tabla_imprenta[LOTE],0))</f>
        <v>0</v>
      </c>
      <c r="M50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0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0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92</v>
      </c>
      <c r="P507" s="170">
        <f>ROUNDUP(Tabla_control[[#This Row],[CANTIDAD IMPRIMIR]]/Tabla_control[[#This Row],[N TJ]],0)</f>
        <v>1250</v>
      </c>
      <c r="Q507" s="170">
        <f>IF(Tabla_control[[#This Row],[CANTIDAD TIRAJE]]&gt;10000,Tabla_control[[#This Row],[CANTIDAD TIRAJE]],Tabla_control[[#This Row],[CANTIDAD TIRAJE]]*2)</f>
        <v>2500</v>
      </c>
      <c r="R507" s="186" t="s">
        <v>172</v>
      </c>
      <c r="S507" s="4" t="s">
        <v>30</v>
      </c>
      <c r="T507" s="4"/>
      <c r="U507" s="4"/>
      <c r="V507" s="4"/>
      <c r="W507" s="185" t="s">
        <v>22</v>
      </c>
      <c r="X507" s="185"/>
      <c r="Y507" s="185"/>
      <c r="Z507" s="185"/>
      <c r="AA507" s="186" t="s">
        <v>171</v>
      </c>
      <c r="AB507" s="184" t="s">
        <v>5700</v>
      </c>
    </row>
    <row r="508" spans="1:28" hidden="1" x14ac:dyDescent="0.2">
      <c r="A508" s="175">
        <f>IF(COUNTIF(Tabla_imprenta[LOTE],Tabla_control[[#This Row],[LOTE]])=1,INDEX(Tabla_imprenta[FECHA EMISIÓN],MATCH(Tabla_control[[#This Row],[LOTE]],Tabla_imprenta[LOTE],0)),"REALIZADO")</f>
        <v>46143</v>
      </c>
      <c r="B508" s="142">
        <f>IF(COUNTIF(Tabla_imprenta[LOTE],Tabla_control[[#This Row],[LOTE]])=1,INDEX(Tabla_imprenta[CÓD. SOLICITUD],MATCH(Tabla_control[[#This Row],[LOTE]],Tabla_imprenta[LOTE],0)),"REALIZADO")</f>
        <v>0</v>
      </c>
      <c r="C508" s="177" t="str">
        <f>IF(COUNTIF(Tabla_imprenta[LOTE],Tabla_control[[#This Row],[LOTE]])=1,INDEX(Tabla_imprenta[PRODUCTO],MATCH(Tabla_control[[#This Row],[LOTE]],Tabla_imprenta[LOTE],0)),"REALIZADO")</f>
        <v>IFABENA 5% X 20 G CREMA DERMICA</v>
      </c>
      <c r="D508" s="142" t="str">
        <f>IF(COUNTIF(Tabla_imprenta[LOTE],Tabla_control[[#This Row],[LOTE]])=1,INDEX(Tabla_imprenta[FORMA FARMACEUTICA],MATCH(Tabla_control[[#This Row],[LOTE]],Tabla_imprenta[LOTE],0)),"REALIZADO")</f>
        <v>CREMA DÉRMICA</v>
      </c>
      <c r="E508" s="177" t="str">
        <f>IF(COUNTIF(Tabla_imprenta[LOTE],Tabla_control[[#This Row],[LOTE]])=1,INDEX(Tabla_imprenta[INSTITUCIÓN],MATCH(Tabla_control[[#This Row],[LOTE]],Tabla_imprenta[LOTE],0)),"REALIZADO")</f>
        <v>COMERCIO</v>
      </c>
      <c r="F508" s="229" t="s">
        <v>5424</v>
      </c>
      <c r="G508" s="139">
        <f>IF(COUNTIF(Tabla_imprenta[LOTE],Tabla_control[[#This Row],[LOTE]])=1,INDEX(Tabla_imprenta[CANTIDAD ENVASE SECUNDARIO],MATCH(Tabla_control[[#This Row],[LOTE]],Tabla_imprenta[LOTE],0)),"ENTREGADO")</f>
        <v>8600</v>
      </c>
      <c r="H508" s="139">
        <f>IF(COUNTIF(Tabla_imprenta[LOTE],Tabla_control[[#This Row],[LOTE]])=1,INDEX(Tabla_imprenta[stock sap],MATCH(Tabla_control[[#This Row],[LOTE]],Tabla_imprenta[LOTE],0)),"ENTREGADO")</f>
        <v>13295</v>
      </c>
      <c r="I508" s="139" t="str">
        <f>IF(Tabla_control[[#This Row],[STOCK SAP]]&gt;Tabla_control[[#This Row],[CANTIDAD IMPRIMIR]],"cubre","no cubre")</f>
        <v>cubre</v>
      </c>
      <c r="J508" s="182">
        <f>IF(COUNTIF(Tabla_imprenta[LOTE],Tabla_control[[#This Row],[LOTE]])=1,INDEX(Tabla_imprenta[STOCK],MATCH(Tabla_control[[#This Row],[LOTE]],Tabla_imprenta[LOTE],0)),"ENTREGADO")</f>
        <v>1.4208941044381349</v>
      </c>
      <c r="K50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46175</v>
      </c>
      <c r="L508" s="148">
        <f>INDEX(Tabla_imprenta[FECHA CAJA],MATCH(Tabla_control[[#This Row],[LOTE]],Tabla_imprenta[LOTE],0))</f>
        <v>46175</v>
      </c>
      <c r="M50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0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0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508" s="170">
        <f>ROUNDUP(Tabla_control[[#This Row],[CANTIDAD IMPRIMIR]]/Tabla_control[[#This Row],[N TJ]],0)</f>
        <v>2150</v>
      </c>
      <c r="Q508" s="170">
        <f>IF(Tabla_control[[#This Row],[CANTIDAD TIRAJE]]&gt;10000,Tabla_control[[#This Row],[CANTIDAD TIRAJE]],Tabla_control[[#This Row],[CANTIDAD TIRAJE]]*2)</f>
        <v>4300</v>
      </c>
      <c r="R508" s="186" t="s">
        <v>173</v>
      </c>
      <c r="S508" s="4" t="s">
        <v>174</v>
      </c>
      <c r="T508" s="4"/>
      <c r="U508" s="4"/>
      <c r="V508" s="4"/>
      <c r="W508" s="185" t="s">
        <v>321</v>
      </c>
      <c r="X508" s="185"/>
      <c r="Y508" s="185"/>
      <c r="Z508" s="185"/>
      <c r="AA508" s="186" t="s">
        <v>321</v>
      </c>
      <c r="AB508" s="184" t="s">
        <v>4464</v>
      </c>
    </row>
    <row r="509" spans="1:28" hidden="1" x14ac:dyDescent="0.2">
      <c r="A509" s="175">
        <f>IF(COUNTIF(Tabla_imprenta[LOTE],Tabla_control[[#This Row],[LOTE]])=1,INDEX(Tabla_imprenta[FECHA EMISIÓN],MATCH(Tabla_control[[#This Row],[LOTE]],Tabla_imprenta[LOTE],0)),"REALIZADO")</f>
        <v>46113</v>
      </c>
      <c r="B509" s="142">
        <f>IF(COUNTIF(Tabla_imprenta[LOTE],Tabla_control[[#This Row],[LOTE]])=1,INDEX(Tabla_imprenta[CÓD. SOLICITUD],MATCH(Tabla_control[[#This Row],[LOTE]],Tabla_imprenta[LOTE],0)),"REALIZADO")</f>
        <v>0</v>
      </c>
      <c r="C509" s="177" t="str">
        <f>IF(COUNTIF(Tabla_imprenta[LOTE],Tabla_control[[#This Row],[LOTE]])=1,INDEX(Tabla_imprenta[PRODUCTO],MATCH(Tabla_control[[#This Row],[LOTE]],Tabla_imprenta[LOTE],0)),"REALIZADO")</f>
        <v>AMOXICILINA 125 MG X 60 ML POLVO PARA SUSP. VETERINARIO</v>
      </c>
      <c r="D509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509" s="177" t="str">
        <f>IF(COUNTIF(Tabla_imprenta[LOTE],Tabla_control[[#This Row],[LOTE]])=1,INDEX(Tabla_imprenta[INSTITUCIÓN],MATCH(Tabla_control[[#This Row],[LOTE]],Tabla_imprenta[LOTE],0)),"REALIZADO")</f>
        <v>COMERCIO</v>
      </c>
      <c r="F509" s="181" t="s">
        <v>3144</v>
      </c>
      <c r="G509" s="139">
        <f>IF(COUNTIF(Tabla_imprenta[LOTE],Tabla_control[[#This Row],[LOTE]])=1,INDEX(Tabla_imprenta[CANTIDAD ENVASE SECUNDARIO],MATCH(Tabla_control[[#This Row],[LOTE]],Tabla_imprenta[LOTE],0)),"ENTREGADO")</f>
        <v>10000</v>
      </c>
      <c r="H509" s="139">
        <f>IF(COUNTIF(Tabla_imprenta[LOTE],Tabla_control[[#This Row],[LOTE]])=1,INDEX(Tabla_imprenta[stock sap],MATCH(Tabla_control[[#This Row],[LOTE]],Tabla_imprenta[LOTE],0)),"ENTREGADO")</f>
        <v>997</v>
      </c>
      <c r="I509" s="139" t="str">
        <f>IF(Tabla_control[[#This Row],[STOCK SAP]]&gt;Tabla_control[[#This Row],[CANTIDAD IMPRIMIR]],"cubre","no cubre")</f>
        <v>no cubre</v>
      </c>
      <c r="J509" s="182">
        <f>IF(COUNTIF(Tabla_imprenta[LOTE],Tabla_control[[#This Row],[LOTE]])=1,INDEX(Tabla_imprenta[STOCK],MATCH(Tabla_control[[#This Row],[LOTE]],Tabla_imprenta[LOTE],0)),"ENTREGADO")</f>
        <v>1.9029841581726636</v>
      </c>
      <c r="K50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46175</v>
      </c>
      <c r="L509" s="148">
        <f>INDEX(Tabla_imprenta[FECHA CAJA],MATCH(Tabla_control[[#This Row],[LOTE]],Tabla_imprenta[LOTE],0))</f>
        <v>46175</v>
      </c>
      <c r="M50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50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0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84</v>
      </c>
      <c r="P509" s="170">
        <f>ROUNDUP(Tabla_control[[#This Row],[CANTIDAD IMPRIMIR]]/Tabla_control[[#This Row],[N TJ]],0)</f>
        <v>5000</v>
      </c>
      <c r="Q509" s="170">
        <f>IF(Tabla_control[[#This Row],[CANTIDAD TIRAJE]]&gt;10000,Tabla_control[[#This Row],[CANTIDAD TIRAJE]],Tabla_control[[#This Row],[CANTIDAD TIRAJE]]*2)</f>
        <v>10000</v>
      </c>
      <c r="R509" s="186" t="s">
        <v>176</v>
      </c>
      <c r="S509" s="4" t="s">
        <v>30</v>
      </c>
      <c r="T509" s="4"/>
      <c r="U509" s="4"/>
      <c r="V509" s="4"/>
      <c r="W509" s="185" t="s">
        <v>3223</v>
      </c>
      <c r="X509" s="185"/>
      <c r="Y509" s="185"/>
      <c r="Z509" s="185"/>
      <c r="AA509" s="186" t="s">
        <v>2031</v>
      </c>
      <c r="AB509" s="184" t="s">
        <v>3222</v>
      </c>
    </row>
    <row r="510" spans="1:28" hidden="1" x14ac:dyDescent="0.2">
      <c r="A510" s="175">
        <f>IF(COUNTIF(Tabla_imprenta[LOTE],Tabla_control[[#This Row],[LOTE]])=1,INDEX(Tabla_imprenta[FECHA EMISIÓN],MATCH(Tabla_control[[#This Row],[LOTE]],Tabla_imprenta[LOTE],0)),"REALIZADO")</f>
        <v>46113</v>
      </c>
      <c r="B510" s="142">
        <f>IF(COUNTIF(Tabla_imprenta[LOTE],Tabla_control[[#This Row],[LOTE]])=1,INDEX(Tabla_imprenta[CÓD. SOLICITUD],MATCH(Tabla_control[[#This Row],[LOTE]],Tabla_imprenta[LOTE],0)),"REALIZADO")</f>
        <v>0</v>
      </c>
      <c r="C510" s="177" t="str">
        <f>IF(COUNTIF(Tabla_imprenta[LOTE],Tabla_control[[#This Row],[LOTE]])=1,INDEX(Tabla_imprenta[PRODUCTO],MATCH(Tabla_control[[#This Row],[LOTE]],Tabla_imprenta[LOTE],0)),"REALIZADO")</f>
        <v>ALBENDAZOL 400 MG X 10 ML SUSP.</v>
      </c>
      <c r="D510" s="142" t="str">
        <f>IF(COUNTIF(Tabla_imprenta[LOTE],Tabla_control[[#This Row],[LOTE]])=1,INDEX(Tabla_imprenta[FORMA FARMACEUTICA],MATCH(Tabla_control[[#This Row],[LOTE]],Tabla_imprenta[LOTE],0)),"REALIZADO")</f>
        <v>SUSPENSIÓN</v>
      </c>
      <c r="E510" s="177" t="str">
        <f>IF(COUNTIF(Tabla_imprenta[LOTE],Tabla_control[[#This Row],[LOTE]])=1,INDEX(Tabla_imprenta[INSTITUCIÓN],MATCH(Tabla_control[[#This Row],[LOTE]],Tabla_imprenta[LOTE],0)),"REALIZADO")</f>
        <v>COMERCIO</v>
      </c>
      <c r="F510" s="181" t="s">
        <v>3214</v>
      </c>
      <c r="G510" s="139">
        <f>IF(COUNTIF(Tabla_imprenta[LOTE],Tabla_control[[#This Row],[LOTE]])=1,INDEX(Tabla_imprenta[CANTIDAD ENVASE SECUNDARIO],MATCH(Tabla_control[[#This Row],[LOTE]],Tabla_imprenta[LOTE],0)),"ENTREGADO")</f>
        <v>12500</v>
      </c>
      <c r="H510" s="139">
        <f>IF(COUNTIF(Tabla_imprenta[LOTE],Tabla_control[[#This Row],[LOTE]])=1,INDEX(Tabla_imprenta[stock sap],MATCH(Tabla_control[[#This Row],[LOTE]],Tabla_imprenta[LOTE],0)),"ENTREGADO")</f>
        <v>2677</v>
      </c>
      <c r="I510" s="139" t="str">
        <f>IF(Tabla_control[[#This Row],[STOCK SAP]]&gt;Tabla_control[[#This Row],[CANTIDAD IMPRIMIR]],"cubre","no cubre")</f>
        <v>no cubre</v>
      </c>
      <c r="J510" s="182">
        <f>IF(COUNTIF(Tabla_imprenta[LOTE],Tabla_control[[#This Row],[LOTE]])=1,INDEX(Tabla_imprenta[STOCK],MATCH(Tabla_control[[#This Row],[LOTE]],Tabla_imprenta[LOTE],0)),"ENTREGADO")</f>
        <v>1.7375608410349379</v>
      </c>
      <c r="K51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46176</v>
      </c>
      <c r="L510" s="148">
        <f>INDEX(Tabla_imprenta[FECHA CAJA],MATCH(Tabla_control[[#This Row],[LOTE]],Tabla_imprenta[LOTE],0))</f>
        <v>46176</v>
      </c>
      <c r="M51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1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51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24</v>
      </c>
      <c r="P510" s="170">
        <f>ROUNDUP(Tabla_control[[#This Row],[CANTIDAD IMPRIMIR]]/Tabla_control[[#This Row],[N TJ]],0)</f>
        <v>2084</v>
      </c>
      <c r="Q510" s="170">
        <f>IF(Tabla_control[[#This Row],[CANTIDAD TIRAJE]]&gt;10000,Tabla_control[[#This Row],[CANTIDAD TIRAJE]],Tabla_control[[#This Row],[CANTIDAD TIRAJE]]*2)</f>
        <v>4168</v>
      </c>
      <c r="R510" s="186" t="s">
        <v>172</v>
      </c>
      <c r="S510" s="4" t="s">
        <v>30</v>
      </c>
      <c r="T510" s="4"/>
      <c r="U510" s="4"/>
      <c r="V510" s="4"/>
      <c r="W510" s="185" t="s">
        <v>3238</v>
      </c>
      <c r="X510" s="185"/>
      <c r="Y510" s="185"/>
      <c r="Z510" s="185"/>
      <c r="AA510" s="186" t="s">
        <v>2031</v>
      </c>
      <c r="AB510" s="184" t="s">
        <v>3222</v>
      </c>
    </row>
    <row r="511" spans="1:28" x14ac:dyDescent="0.2">
      <c r="A511" s="175">
        <f>IF(COUNTIF(Tabla_imprenta[LOTE],Tabla_control[[#This Row],[LOTE]])=1,INDEX(Tabla_imprenta[FECHA EMISIÓN],MATCH(Tabla_control[[#This Row],[LOTE]],Tabla_imprenta[LOTE],0)),"REALIZADO")</f>
        <v>46143</v>
      </c>
      <c r="B511" s="142">
        <f>IF(COUNTIF(Tabla_imprenta[LOTE],Tabla_control[[#This Row],[LOTE]])=1,INDEX(Tabla_imprenta[CÓD. SOLICITUD],MATCH(Tabla_control[[#This Row],[LOTE]],Tabla_imprenta[LOTE],0)),"REALIZADO")</f>
        <v>0</v>
      </c>
      <c r="C511" s="177" t="str">
        <f>IF(COUNTIF(Tabla_imprenta[LOTE],Tabla_control[[#This Row],[LOTE]])=1,INDEX(Tabla_imprenta[PRODUCTO],MATCH(Tabla_control[[#This Row],[LOTE]],Tabla_imprenta[LOTE],0)),"REALIZADO")</f>
        <v>RETINOX X 30 COMP. RECUBIERTO</v>
      </c>
      <c r="D511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11" s="177" t="str">
        <f>IF(COUNTIF(Tabla_imprenta[LOTE],Tabla_control[[#This Row],[LOTE]])=1,INDEX(Tabla_imprenta[INSTITUCIÓN],MATCH(Tabla_control[[#This Row],[LOTE]],Tabla_imprenta[LOTE],0)),"REALIZADO")</f>
        <v>COMERCIO</v>
      </c>
      <c r="F511" s="229" t="s">
        <v>5533</v>
      </c>
      <c r="G511" s="139">
        <f>IF(COUNTIF(Tabla_imprenta[LOTE],Tabla_control[[#This Row],[LOTE]])=1,INDEX(Tabla_imprenta[CANTIDAD ENVASE SECUNDARIO],MATCH(Tabla_control[[#This Row],[LOTE]],Tabla_imprenta[LOTE],0)),"ENTREGADO")</f>
        <v>1600</v>
      </c>
      <c r="H511" s="139">
        <f>IF(COUNTIF(Tabla_imprenta[LOTE],Tabla_control[[#This Row],[LOTE]])=1,INDEX(Tabla_imprenta[stock sap],MATCH(Tabla_control[[#This Row],[LOTE]],Tabla_imprenta[LOTE],0)),"ENTREGADO")</f>
        <v>1056</v>
      </c>
      <c r="I511" s="139" t="str">
        <f>IF(Tabla_control[[#This Row],[STOCK SAP]]&gt;Tabla_control[[#This Row],[CANTIDAD IMPRIMIR]],"cubre","no cubre")</f>
        <v>no cubre</v>
      </c>
      <c r="J511" s="182">
        <f>IF(COUNTIF(Tabla_imprenta[LOTE],Tabla_control[[#This Row],[LOTE]])=1,INDEX(Tabla_imprenta[STOCK],MATCH(Tabla_control[[#This Row],[LOTE]],Tabla_imprenta[LOTE],0)),"ENTREGADO")</f>
        <v>3.6214548374825646</v>
      </c>
      <c r="K51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46176</v>
      </c>
      <c r="L511" s="148">
        <f>INDEX(Tabla_imprenta[FECHA CAJA],MATCH(Tabla_control[[#This Row],[LOTE]],Tabla_imprenta[LOTE],0))</f>
        <v>0</v>
      </c>
      <c r="M51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1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51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41</v>
      </c>
      <c r="P511" s="170">
        <f>ROUNDUP(Tabla_control[[#This Row],[CANTIDAD IMPRIMIR]]/Tabla_control[[#This Row],[N TJ]],0)</f>
        <v>534</v>
      </c>
      <c r="Q511" s="170">
        <f>IF(Tabla_control[[#This Row],[CANTIDAD TIRAJE]]&gt;10000,Tabla_control[[#This Row],[CANTIDAD TIRAJE]],Tabla_control[[#This Row],[CANTIDAD TIRAJE]]*2)</f>
        <v>1068</v>
      </c>
      <c r="R511" s="186" t="s">
        <v>173</v>
      </c>
      <c r="S511" s="4" t="s">
        <v>174</v>
      </c>
      <c r="T511" s="4"/>
      <c r="U511" s="4"/>
      <c r="V511" s="4"/>
      <c r="W511" s="185" t="s">
        <v>2984</v>
      </c>
      <c r="X511" s="185" t="s">
        <v>88</v>
      </c>
      <c r="Y511" s="185" t="s">
        <v>88</v>
      </c>
      <c r="Z511" s="185" t="s">
        <v>88</v>
      </c>
      <c r="AA511" s="186" t="s">
        <v>171</v>
      </c>
      <c r="AB511" s="184" t="s">
        <v>5700</v>
      </c>
    </row>
    <row r="512" spans="1:28" x14ac:dyDescent="0.2">
      <c r="A512" s="175">
        <f>IF(COUNTIF(Tabla_imprenta[LOTE],Tabla_control[[#This Row],[LOTE]])=1,INDEX(Tabla_imprenta[FECHA EMISIÓN],MATCH(Tabla_control[[#This Row],[LOTE]],Tabla_imprenta[LOTE],0)),"REALIZADO")</f>
        <v>46143</v>
      </c>
      <c r="B512" s="142">
        <f>IF(COUNTIF(Tabla_imprenta[LOTE],Tabla_control[[#This Row],[LOTE]])=1,INDEX(Tabla_imprenta[CÓD. SOLICITUD],MATCH(Tabla_control[[#This Row],[LOTE]],Tabla_imprenta[LOTE],0)),"REALIZADO")</f>
        <v>0</v>
      </c>
      <c r="C512" s="177" t="str">
        <f>IF(COUNTIF(Tabla_imprenta[LOTE],Tabla_control[[#This Row],[LOTE]])=1,INDEX(Tabla_imprenta[PRODUCTO],MATCH(Tabla_control[[#This Row],[LOTE]],Tabla_imprenta[LOTE],0)),"REALIZADO")</f>
        <v>ALOPURINOL 300 MG X 100 COMP. RECUBIERTO</v>
      </c>
      <c r="D512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12" s="177" t="str">
        <f>IF(COUNTIF(Tabla_imprenta[LOTE],Tabla_control[[#This Row],[LOTE]])=1,INDEX(Tabla_imprenta[INSTITUCIÓN],MATCH(Tabla_control[[#This Row],[LOTE]],Tabla_imprenta[LOTE],0)),"REALIZADO")</f>
        <v>COMERCIO</v>
      </c>
      <c r="F512" s="229" t="s">
        <v>5597</v>
      </c>
      <c r="G512" s="139">
        <f>IF(COUNTIF(Tabla_imprenta[LOTE],Tabla_control[[#This Row],[LOTE]])=1,INDEX(Tabla_imprenta[CANTIDAD ENVASE SECUNDARIO],MATCH(Tabla_control[[#This Row],[LOTE]],Tabla_imprenta[LOTE],0)),"ENTREGADO")</f>
        <v>2000</v>
      </c>
      <c r="H512" s="139">
        <f>IF(COUNTIF(Tabla_imprenta[LOTE],Tabla_control[[#This Row],[LOTE]])=1,INDEX(Tabla_imprenta[stock sap],MATCH(Tabla_control[[#This Row],[LOTE]],Tabla_imprenta[LOTE],0)),"ENTREGADO")</f>
        <v>3015</v>
      </c>
      <c r="I512" s="139" t="str">
        <f>IF(Tabla_control[[#This Row],[STOCK SAP]]&gt;Tabla_control[[#This Row],[CANTIDAD IMPRIMIR]],"cubre","no cubre")</f>
        <v>cubre</v>
      </c>
      <c r="J512" s="182">
        <f>IF(COUNTIF(Tabla_imprenta[LOTE],Tabla_control[[#This Row],[LOTE]])=1,INDEX(Tabla_imprenta[STOCK],MATCH(Tabla_control[[#This Row],[LOTE]],Tabla_imprenta[LOTE],0)),"ENTREGADO")</f>
        <v>5.7448499791169851</v>
      </c>
      <c r="K51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46176</v>
      </c>
      <c r="L512" s="148">
        <f>INDEX(Tabla_imprenta[FECHA CAJA],MATCH(Tabla_control[[#This Row],[LOTE]],Tabla_imprenta[LOTE],0))</f>
        <v>0</v>
      </c>
      <c r="M51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1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1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30</v>
      </c>
      <c r="P512" s="170">
        <f>ROUNDUP(Tabla_control[[#This Row],[CANTIDAD IMPRIMIR]]/Tabla_control[[#This Row],[N TJ]],0)</f>
        <v>1000</v>
      </c>
      <c r="Q512" s="170">
        <f>IF(Tabla_control[[#This Row],[CANTIDAD TIRAJE]]&gt;10000,Tabla_control[[#This Row],[CANTIDAD TIRAJE]],Tabla_control[[#This Row],[CANTIDAD TIRAJE]]*2)</f>
        <v>2000</v>
      </c>
      <c r="R512" s="186" t="s">
        <v>172</v>
      </c>
      <c r="S512" s="4" t="s">
        <v>30</v>
      </c>
      <c r="T512" s="4"/>
      <c r="U512" s="4"/>
      <c r="V512" s="4"/>
      <c r="W512" s="185" t="s">
        <v>22</v>
      </c>
      <c r="X512" s="185"/>
      <c r="Y512" s="185"/>
      <c r="Z512" s="185"/>
      <c r="AA512" s="186" t="s">
        <v>171</v>
      </c>
      <c r="AB512" s="184" t="s">
        <v>5700</v>
      </c>
    </row>
    <row r="513" spans="1:28" hidden="1" x14ac:dyDescent="0.2">
      <c r="A513" s="175">
        <f>IF(COUNTIF(Tabla_imprenta[LOTE],Tabla_control[[#This Row],[LOTE]])=1,INDEX(Tabla_imprenta[FECHA EMISIÓN],MATCH(Tabla_control[[#This Row],[LOTE]],Tabla_imprenta[LOTE],0)),"REALIZADO")</f>
        <v>46113</v>
      </c>
      <c r="B513" s="142">
        <f>IF(COUNTIF(Tabla_imprenta[LOTE],Tabla_control[[#This Row],[LOTE]])=1,INDEX(Tabla_imprenta[CÓD. SOLICITUD],MATCH(Tabla_control[[#This Row],[LOTE]],Tabla_imprenta[LOTE],0)),"REALIZADO")</f>
        <v>0</v>
      </c>
      <c r="C513" s="177" t="str">
        <f>IF(COUNTIF(Tabla_imprenta[LOTE],Tabla_control[[#This Row],[LOTE]])=1,INDEX(Tabla_imprenta[PRODUCTO],MATCH(Tabla_control[[#This Row],[LOTE]],Tabla_imprenta[LOTE],0)),"REALIZADO")</f>
        <v>METOCLOPRAMIDA 10 MG X 25 AMP. SOLUCION INY.</v>
      </c>
      <c r="D513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513" s="177" t="str">
        <f>IF(COUNTIF(Tabla_imprenta[LOTE],Tabla_control[[#This Row],[LOTE]])=1,INDEX(Tabla_imprenta[INSTITUCIÓN],MATCH(Tabla_control[[#This Row],[LOTE]],Tabla_imprenta[LOTE],0)),"REALIZADO")</f>
        <v>COMERCIO</v>
      </c>
      <c r="F513" s="181" t="s">
        <v>3205</v>
      </c>
      <c r="G513" s="139">
        <f>IF(COUNTIF(Tabla_imprenta[LOTE],Tabla_control[[#This Row],[LOTE]])=1,INDEX(Tabla_imprenta[CANTIDAD ENVASE SECUNDARIO],MATCH(Tabla_control[[#This Row],[LOTE]],Tabla_imprenta[LOTE],0)),"ENTREGADO")</f>
        <v>3600</v>
      </c>
      <c r="H513" s="139">
        <f>IF(COUNTIF(Tabla_imprenta[LOTE],Tabla_control[[#This Row],[LOTE]])=1,INDEX(Tabla_imprenta[stock sap],MATCH(Tabla_control[[#This Row],[LOTE]],Tabla_imprenta[LOTE],0)),"ENTREGADO")</f>
        <v>7029</v>
      </c>
      <c r="I513" s="139" t="str">
        <f>IF(Tabla_control[[#This Row],[STOCK SAP]]&gt;Tabla_control[[#This Row],[CANTIDAD IMPRIMIR]],"cubre","no cubre")</f>
        <v>cubre</v>
      </c>
      <c r="J513" s="182">
        <f>IF(COUNTIF(Tabla_imprenta[LOTE],Tabla_control[[#This Row],[LOTE]])=1,INDEX(Tabla_imprenta[STOCK],MATCH(Tabla_control[[#This Row],[LOTE]],Tabla_imprenta[LOTE],0)),"ENTREGADO")</f>
        <v>1.3069071110131314</v>
      </c>
      <c r="K51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46177</v>
      </c>
      <c r="L513" s="148">
        <f>INDEX(Tabla_imprenta[FECHA CAJA],MATCH(Tabla_control[[#This Row],[LOTE]],Tabla_imprenta[LOTE],0))</f>
        <v>46177</v>
      </c>
      <c r="M51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1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1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513" s="170">
        <f>ROUNDUP(Tabla_control[[#This Row],[CANTIDAD IMPRIMIR]]/Tabla_control[[#This Row],[N TJ]],0)</f>
        <v>1800</v>
      </c>
      <c r="Q513" s="170">
        <f>IF(Tabla_control[[#This Row],[CANTIDAD TIRAJE]]&gt;10000,Tabla_control[[#This Row],[CANTIDAD TIRAJE]],Tabla_control[[#This Row],[CANTIDAD TIRAJE]]*2)</f>
        <v>3600</v>
      </c>
      <c r="R513" s="186" t="s">
        <v>172</v>
      </c>
      <c r="S513" s="4" t="s">
        <v>30</v>
      </c>
      <c r="T513" s="4"/>
      <c r="U513" s="4"/>
      <c r="V513" s="4"/>
      <c r="W513" s="185" t="s">
        <v>3238</v>
      </c>
      <c r="X513" s="185"/>
      <c r="Y513" s="185"/>
      <c r="Z513" s="185"/>
      <c r="AA513" s="186" t="s">
        <v>2031</v>
      </c>
      <c r="AB513" s="184" t="s">
        <v>3222</v>
      </c>
    </row>
    <row r="514" spans="1:28" x14ac:dyDescent="0.2">
      <c r="A514" s="175">
        <f>IF(COUNTIF(Tabla_imprenta[LOTE],Tabla_control[[#This Row],[LOTE]])=1,INDEX(Tabla_imprenta[FECHA EMISIÓN],MATCH(Tabla_control[[#This Row],[LOTE]],Tabla_imprenta[LOTE],0)),"REALIZADO")</f>
        <v>46143</v>
      </c>
      <c r="B514" s="142">
        <f>IF(COUNTIF(Tabla_imprenta[LOTE],Tabla_control[[#This Row],[LOTE]])=1,INDEX(Tabla_imprenta[CÓD. SOLICITUD],MATCH(Tabla_control[[#This Row],[LOTE]],Tabla_imprenta[LOTE],0)),"REALIZADO")</f>
        <v>0</v>
      </c>
      <c r="C514" s="177" t="str">
        <f>IF(COUNTIF(Tabla_imprenta[LOTE],Tabla_control[[#This Row],[LOTE]])=1,INDEX(Tabla_imprenta[PRODUCTO],MATCH(Tabla_control[[#This Row],[LOTE]],Tabla_imprenta[LOTE],0)),"REALIZADO")</f>
        <v>DOXICICLINA 100 MG X 100 COMP. RECUBIERTO</v>
      </c>
      <c r="D514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14" s="177" t="str">
        <f>IF(COUNTIF(Tabla_imprenta[LOTE],Tabla_control[[#This Row],[LOTE]])=1,INDEX(Tabla_imprenta[INSTITUCIÓN],MATCH(Tabla_control[[#This Row],[LOTE]],Tabla_imprenta[LOTE],0)),"REALIZADO")</f>
        <v>COMERCIO</v>
      </c>
      <c r="F514" s="229" t="s">
        <v>5641</v>
      </c>
      <c r="G514" s="139">
        <f>IF(COUNTIF(Tabla_imprenta[LOTE],Tabla_control[[#This Row],[LOTE]])=1,INDEX(Tabla_imprenta[CANTIDAD ENVASE SECUNDARIO],MATCH(Tabla_control[[#This Row],[LOTE]],Tabla_imprenta[LOTE],0)),"ENTREGADO")</f>
        <v>5000</v>
      </c>
      <c r="H514" s="139">
        <f>IF(COUNTIF(Tabla_imprenta[LOTE],Tabla_control[[#This Row],[LOTE]])=1,INDEX(Tabla_imprenta[stock sap],MATCH(Tabla_control[[#This Row],[LOTE]],Tabla_imprenta[LOTE],0)),"ENTREGADO")</f>
        <v>4951</v>
      </c>
      <c r="I514" s="139" t="str">
        <f>IF(Tabla_control[[#This Row],[STOCK SAP]]&gt;Tabla_control[[#This Row],[CANTIDAD IMPRIMIR]],"cubre","no cubre")</f>
        <v>no cubre</v>
      </c>
      <c r="J514" s="182">
        <f>IF(COUNTIF(Tabla_imprenta[LOTE],Tabla_control[[#This Row],[LOTE]])=1,INDEX(Tabla_imprenta[STOCK],MATCH(Tabla_control[[#This Row],[LOTE]],Tabla_imprenta[LOTE],0)),"ENTREGADO")</f>
        <v>4.5808073588887677</v>
      </c>
      <c r="K51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46177</v>
      </c>
      <c r="L514" s="148">
        <f>INDEX(Tabla_imprenta[FECHA CAJA],MATCH(Tabla_control[[#This Row],[LOTE]],Tabla_imprenta[LOTE],0))</f>
        <v>0</v>
      </c>
      <c r="M51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1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1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92</v>
      </c>
      <c r="P514" s="170">
        <f>ROUNDUP(Tabla_control[[#This Row],[CANTIDAD IMPRIMIR]]/Tabla_control[[#This Row],[N TJ]],0)</f>
        <v>1250</v>
      </c>
      <c r="Q514" s="170">
        <f>IF(Tabla_control[[#This Row],[CANTIDAD TIRAJE]]&gt;10000,Tabla_control[[#This Row],[CANTIDAD TIRAJE]],Tabla_control[[#This Row],[CANTIDAD TIRAJE]]*2)</f>
        <v>2500</v>
      </c>
      <c r="R514" s="186" t="s">
        <v>172</v>
      </c>
      <c r="S514" s="4" t="s">
        <v>30</v>
      </c>
      <c r="T514" s="4"/>
      <c r="U514" s="4"/>
      <c r="V514" s="4"/>
      <c r="W514" s="185" t="s">
        <v>22</v>
      </c>
      <c r="X514" s="185"/>
      <c r="Y514" s="185"/>
      <c r="Z514" s="185"/>
      <c r="AA514" s="186" t="s">
        <v>171</v>
      </c>
      <c r="AB514" s="184" t="s">
        <v>5700</v>
      </c>
    </row>
    <row r="515" spans="1:28" hidden="1" x14ac:dyDescent="0.2">
      <c r="A515" s="175">
        <f>IF(COUNTIF(Tabla_imprenta[LOTE],Tabla_control[[#This Row],[LOTE]])=1,INDEX(Tabla_imprenta[FECHA EMISIÓN],MATCH(Tabla_control[[#This Row],[LOTE]],Tabla_imprenta[LOTE],0)),"REALIZADO")</f>
        <v>46143</v>
      </c>
      <c r="B515" s="142">
        <f>IF(COUNTIF(Tabla_imprenta[LOTE],Tabla_control[[#This Row],[LOTE]])=1,INDEX(Tabla_imprenta[CÓD. SOLICITUD],MATCH(Tabla_control[[#This Row],[LOTE]],Tabla_imprenta[LOTE],0)),"REALIZADO")</f>
        <v>0</v>
      </c>
      <c r="C515" s="177" t="str">
        <f>IF(COUNTIF(Tabla_imprenta[LOTE],Tabla_control[[#This Row],[LOTE]])=1,INDEX(Tabla_imprenta[PRODUCTO],MATCH(Tabla_control[[#This Row],[LOTE]],Tabla_imprenta[LOTE],0)),"REALIZADO")</f>
        <v>IFABENA 5% X 20 G CREMA DERMICA</v>
      </c>
      <c r="D515" s="142" t="str">
        <f>IF(COUNTIF(Tabla_imprenta[LOTE],Tabla_control[[#This Row],[LOTE]])=1,INDEX(Tabla_imprenta[FORMA FARMACEUTICA],MATCH(Tabla_control[[#This Row],[LOTE]],Tabla_imprenta[LOTE],0)),"REALIZADO")</f>
        <v>CREMA DÉRMICA</v>
      </c>
      <c r="E515" s="177" t="str">
        <f>IF(COUNTIF(Tabla_imprenta[LOTE],Tabla_control[[#This Row],[LOTE]])=1,INDEX(Tabla_imprenta[INSTITUCIÓN],MATCH(Tabla_control[[#This Row],[LOTE]],Tabla_imprenta[LOTE],0)),"REALIZADO")</f>
        <v>COMERCIO</v>
      </c>
      <c r="F515" s="229" t="s">
        <v>5439</v>
      </c>
      <c r="G515" s="139">
        <f>IF(COUNTIF(Tabla_imprenta[LOTE],Tabla_control[[#This Row],[LOTE]])=1,INDEX(Tabla_imprenta[CANTIDAD ENVASE SECUNDARIO],MATCH(Tabla_control[[#This Row],[LOTE]],Tabla_imprenta[LOTE],0)),"ENTREGADO")</f>
        <v>8600</v>
      </c>
      <c r="H515" s="139">
        <f>IF(COUNTIF(Tabla_imprenta[LOTE],Tabla_control[[#This Row],[LOTE]])=1,INDEX(Tabla_imprenta[stock sap],MATCH(Tabla_control[[#This Row],[LOTE]],Tabla_imprenta[LOTE],0)),"ENTREGADO")</f>
        <v>13295</v>
      </c>
      <c r="I515" s="139" t="str">
        <f>IF(Tabla_control[[#This Row],[STOCK SAP]]&gt;Tabla_control[[#This Row],[CANTIDAD IMPRIMIR]],"cubre","no cubre")</f>
        <v>cubre</v>
      </c>
      <c r="J515" s="182">
        <f>IF(COUNTIF(Tabla_imprenta[LOTE],Tabla_control[[#This Row],[LOTE]])=1,INDEX(Tabla_imprenta[STOCK],MATCH(Tabla_control[[#This Row],[LOTE]],Tabla_imprenta[LOTE],0)),"ENTREGADO")</f>
        <v>1.4208941044381349</v>
      </c>
      <c r="K51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15" s="148">
        <f>INDEX(Tabla_imprenta[FECHA CAJA],MATCH(Tabla_control[[#This Row],[LOTE]],Tabla_imprenta[LOTE],0))</f>
        <v>0</v>
      </c>
      <c r="M51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1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1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515" s="170">
        <f>ROUNDUP(Tabla_control[[#This Row],[CANTIDAD IMPRIMIR]]/Tabla_control[[#This Row],[N TJ]],0)</f>
        <v>2150</v>
      </c>
      <c r="Q515" s="170">
        <f>IF(Tabla_control[[#This Row],[CANTIDAD TIRAJE]]&gt;10000,Tabla_control[[#This Row],[CANTIDAD TIRAJE]],Tabla_control[[#This Row],[CANTIDAD TIRAJE]]*2)</f>
        <v>4300</v>
      </c>
      <c r="R515" s="186" t="s">
        <v>173</v>
      </c>
      <c r="S515" s="4" t="s">
        <v>174</v>
      </c>
      <c r="T515" s="4"/>
      <c r="U515" s="4"/>
      <c r="V515" s="4"/>
      <c r="W515" s="185" t="s">
        <v>5529</v>
      </c>
      <c r="X515" s="185"/>
      <c r="Y515" s="185"/>
      <c r="Z515" s="185"/>
      <c r="AA515" s="186" t="s">
        <v>2031</v>
      </c>
      <c r="AB515" s="184" t="s">
        <v>4464</v>
      </c>
    </row>
    <row r="516" spans="1:28" hidden="1" x14ac:dyDescent="0.2">
      <c r="A516" s="175">
        <f>IF(COUNTIF(Tabla_imprenta[LOTE],Tabla_control[[#This Row],[LOTE]])=1,INDEX(Tabla_imprenta[FECHA EMISIÓN],MATCH(Tabla_control[[#This Row],[LOTE]],Tabla_imprenta[LOTE],0)),"REALIZADO")</f>
        <v>46143</v>
      </c>
      <c r="B516" s="142">
        <f>IF(COUNTIF(Tabla_imprenta[LOTE],Tabla_control[[#This Row],[LOTE]])=1,INDEX(Tabla_imprenta[CÓD. SOLICITUD],MATCH(Tabla_control[[#This Row],[LOTE]],Tabla_imprenta[LOTE],0)),"REALIZADO")</f>
        <v>0</v>
      </c>
      <c r="C516" s="177" t="str">
        <f>IF(COUNTIF(Tabla_imprenta[LOTE],Tabla_control[[#This Row],[LOTE]])=1,INDEX(Tabla_imprenta[PRODUCTO],MATCH(Tabla_control[[#This Row],[LOTE]],Tabla_imprenta[LOTE],0)),"REALIZADO")</f>
        <v>METAMIZOL 1G X 10 AMP. SOLUCION INY.</v>
      </c>
      <c r="D516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516" s="177" t="str">
        <f>IF(COUNTIF(Tabla_imprenta[LOTE],Tabla_control[[#This Row],[LOTE]])=1,INDEX(Tabla_imprenta[INSTITUCIÓN],MATCH(Tabla_control[[#This Row],[LOTE]],Tabla_imprenta[LOTE],0)),"REALIZADO")</f>
        <v>COMERCIO</v>
      </c>
      <c r="F516" s="229" t="s">
        <v>5410</v>
      </c>
      <c r="G516" s="139">
        <f>IF(COUNTIF(Tabla_imprenta[LOTE],Tabla_control[[#This Row],[LOTE]])=1,INDEX(Tabla_imprenta[CANTIDAD ENVASE SECUNDARIO],MATCH(Tabla_control[[#This Row],[LOTE]],Tabla_imprenta[LOTE],0)),"ENTREGADO")</f>
        <v>4500</v>
      </c>
      <c r="H516" s="139">
        <f>IF(COUNTIF(Tabla_imprenta[LOTE],Tabla_control[[#This Row],[LOTE]])=1,INDEX(Tabla_imprenta[stock sap],MATCH(Tabla_control[[#This Row],[LOTE]],Tabla_imprenta[LOTE],0)),"ENTREGADO")</f>
        <v>26965</v>
      </c>
      <c r="I516" s="139" t="str">
        <f>IF(Tabla_control[[#This Row],[STOCK SAP]]&gt;Tabla_control[[#This Row],[CANTIDAD IMPRIMIR]],"cubre","no cubre")</f>
        <v>cubre</v>
      </c>
      <c r="J516" s="182">
        <f>IF(COUNTIF(Tabla_imprenta[LOTE],Tabla_control[[#This Row],[LOTE]])=1,INDEX(Tabla_imprenta[STOCK],MATCH(Tabla_control[[#This Row],[LOTE]],Tabla_imprenta[LOTE],0)),"ENTREGADO")</f>
        <v>2.0187674359624652</v>
      </c>
      <c r="K51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46178</v>
      </c>
      <c r="L516" s="148">
        <f>INDEX(Tabla_imprenta[FECHA CAJA],MATCH(Tabla_control[[#This Row],[LOTE]],Tabla_imprenta[LOTE],0))</f>
        <v>0</v>
      </c>
      <c r="M51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1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1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36</v>
      </c>
      <c r="P516" s="170">
        <f>ROUNDUP(Tabla_control[[#This Row],[CANTIDAD IMPRIMIR]]/Tabla_control[[#This Row],[N TJ]],0)</f>
        <v>2250</v>
      </c>
      <c r="Q516" s="170">
        <f>IF(Tabla_control[[#This Row],[CANTIDAD TIRAJE]]&gt;10000,Tabla_control[[#This Row],[CANTIDAD TIRAJE]],Tabla_control[[#This Row],[CANTIDAD TIRAJE]]*2)</f>
        <v>4500</v>
      </c>
      <c r="R516" s="186" t="s">
        <v>172</v>
      </c>
      <c r="S516" s="4" t="s">
        <v>30</v>
      </c>
      <c r="T516" s="4"/>
      <c r="U516" s="4"/>
      <c r="V516" s="4"/>
      <c r="W516" s="185" t="s">
        <v>321</v>
      </c>
      <c r="X516" s="185"/>
      <c r="Y516" s="185"/>
      <c r="Z516" s="185"/>
      <c r="AA516" s="186" t="s">
        <v>321</v>
      </c>
      <c r="AB516" s="184" t="s">
        <v>4464</v>
      </c>
    </row>
    <row r="517" spans="1:28" hidden="1" x14ac:dyDescent="0.2">
      <c r="A517" s="175">
        <f>IF(COUNTIF(Tabla_imprenta[LOTE],Tabla_control[[#This Row],[LOTE]])=1,INDEX(Tabla_imprenta[FECHA EMISIÓN],MATCH(Tabla_control[[#This Row],[LOTE]],Tabla_imprenta[LOTE],0)),"REALIZADO")</f>
        <v>46143</v>
      </c>
      <c r="B517" s="142">
        <f>IF(COUNTIF(Tabla_imprenta[LOTE],Tabla_control[[#This Row],[LOTE]])=1,INDEX(Tabla_imprenta[CÓD. SOLICITUD],MATCH(Tabla_control[[#This Row],[LOTE]],Tabla_imprenta[LOTE],0)),"REALIZADO")</f>
        <v>0</v>
      </c>
      <c r="C517" s="177" t="str">
        <f>IF(COUNTIF(Tabla_imprenta[LOTE],Tabla_control[[#This Row],[LOTE]])=1,INDEX(Tabla_imprenta[PRODUCTO],MATCH(Tabla_control[[#This Row],[LOTE]],Tabla_imprenta[LOTE],0)),"REALIZADO")</f>
        <v>CIPROFLOXACINA 500 MG X 500 COMP. RECUBIERTO</v>
      </c>
      <c r="D517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17" s="177" t="str">
        <f>IF(COUNTIF(Tabla_imprenta[LOTE],Tabla_control[[#This Row],[LOTE]])=1,INDEX(Tabla_imprenta[INSTITUCIÓN],MATCH(Tabla_control[[#This Row],[LOTE]],Tabla_imprenta[LOTE],0)),"REALIZADO")</f>
        <v>COMERCIO</v>
      </c>
      <c r="F517" s="229" t="s">
        <v>5633</v>
      </c>
      <c r="G517" s="139">
        <f>IF(COUNTIF(Tabla_imprenta[LOTE],Tabla_control[[#This Row],[LOTE]])=1,INDEX(Tabla_imprenta[CANTIDAD ENVASE SECUNDARIO],MATCH(Tabla_control[[#This Row],[LOTE]],Tabla_imprenta[LOTE],0)),"ENTREGADO")</f>
        <v>500</v>
      </c>
      <c r="H517" s="139">
        <f>IF(COUNTIF(Tabla_imprenta[LOTE],Tabla_control[[#This Row],[LOTE]])=1,INDEX(Tabla_imprenta[stock sap],MATCH(Tabla_control[[#This Row],[LOTE]],Tabla_imprenta[LOTE],0)),"ENTREGADO")</f>
        <v>586</v>
      </c>
      <c r="I517" s="139" t="str">
        <f>IF(Tabla_control[[#This Row],[STOCK SAP]]&gt;Tabla_control[[#This Row],[CANTIDAD IMPRIMIR]],"cubre","no cubre")</f>
        <v>cubre</v>
      </c>
      <c r="J517" s="182">
        <f>IF(COUNTIF(Tabla_imprenta[LOTE],Tabla_control[[#This Row],[LOTE]])=1,INDEX(Tabla_imprenta[STOCK],MATCH(Tabla_control[[#This Row],[LOTE]],Tabla_imprenta[LOTE],0)),"ENTREGADO")</f>
        <v>4.4794825890795735</v>
      </c>
      <c r="K51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46178</v>
      </c>
      <c r="L517" s="148">
        <f>INDEX(Tabla_imprenta[FECHA CAJA],MATCH(Tabla_control[[#This Row],[LOTE]],Tabla_imprenta[LOTE],0))</f>
        <v>0</v>
      </c>
      <c r="M51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1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51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517" s="170">
        <f>ROUNDUP(Tabla_control[[#This Row],[CANTIDAD IMPRIMIR]]/Tabla_control[[#This Row],[N TJ]],0)</f>
        <v>500</v>
      </c>
      <c r="Q517" s="170">
        <f>IF(Tabla_control[[#This Row],[CANTIDAD TIRAJE]]&gt;10000,Tabla_control[[#This Row],[CANTIDAD TIRAJE]],Tabla_control[[#This Row],[CANTIDAD TIRAJE]]*2)</f>
        <v>1000</v>
      </c>
      <c r="R517" s="186" t="s">
        <v>172</v>
      </c>
      <c r="S517" s="4" t="s">
        <v>30</v>
      </c>
      <c r="T517" s="4"/>
      <c r="U517" s="4"/>
      <c r="V517" s="4"/>
      <c r="W517" s="185" t="s">
        <v>321</v>
      </c>
      <c r="X517" s="185"/>
      <c r="Y517" s="185"/>
      <c r="Z517" s="185"/>
      <c r="AA517" s="186" t="s">
        <v>321</v>
      </c>
      <c r="AB517" s="184" t="s">
        <v>5700</v>
      </c>
    </row>
    <row r="518" spans="1:28" hidden="1" x14ac:dyDescent="0.2">
      <c r="A518" s="175">
        <f>IF(COUNTIF(Tabla_imprenta[LOTE],Tabla_control[[#This Row],[LOTE]])=1,INDEX(Tabla_imprenta[FECHA EMISIÓN],MATCH(Tabla_control[[#This Row],[LOTE]],Tabla_imprenta[LOTE],0)),"REALIZADO")</f>
        <v>46113</v>
      </c>
      <c r="B518" s="142">
        <f>IF(COUNTIF(Tabla_imprenta[LOTE],Tabla_control[[#This Row],[LOTE]])=1,INDEX(Tabla_imprenta[CÓD. SOLICITUD],MATCH(Tabla_control[[#This Row],[LOTE]],Tabla_imprenta[LOTE],0)),"REALIZADO")</f>
        <v>0</v>
      </c>
      <c r="C518" s="177" t="str">
        <f>IF(COUNTIF(Tabla_imprenta[LOTE],Tabla_control[[#This Row],[LOTE]])=1,INDEX(Tabla_imprenta[PRODUCTO],MATCH(Tabla_control[[#This Row],[LOTE]],Tabla_imprenta[LOTE],0)),"REALIZADO")</f>
        <v>SARNOL 20% X 100 ML LOCION</v>
      </c>
      <c r="D518" s="142" t="str">
        <f>IF(COUNTIF(Tabla_imprenta[LOTE],Tabla_control[[#This Row],[LOTE]])=1,INDEX(Tabla_imprenta[FORMA FARMACEUTICA],MATCH(Tabla_control[[#This Row],[LOTE]],Tabla_imprenta[LOTE],0)),"REALIZADO")</f>
        <v>LOCION</v>
      </c>
      <c r="E518" s="177" t="str">
        <f>IF(COUNTIF(Tabla_imprenta[LOTE],Tabla_control[[#This Row],[LOTE]])=1,INDEX(Tabla_imprenta[INSTITUCIÓN],MATCH(Tabla_control[[#This Row],[LOTE]],Tabla_imprenta[LOTE],0)),"REALIZADO")</f>
        <v>COMERCIO</v>
      </c>
      <c r="F518" s="181" t="s">
        <v>3199</v>
      </c>
      <c r="G518" s="139">
        <f>IF(COUNTIF(Tabla_imprenta[LOTE],Tabla_control[[#This Row],[LOTE]])=1,INDEX(Tabla_imprenta[CANTIDAD ENVASE SECUNDARIO],MATCH(Tabla_control[[#This Row],[LOTE]],Tabla_imprenta[LOTE],0)),"ENTREGADO")</f>
        <v>4000</v>
      </c>
      <c r="H518" s="139">
        <f>IF(COUNTIF(Tabla_imprenta[LOTE],Tabla_control[[#This Row],[LOTE]])=1,INDEX(Tabla_imprenta[stock sap],MATCH(Tabla_control[[#This Row],[LOTE]],Tabla_imprenta[LOTE],0)),"ENTREGADO")</f>
        <v>7000</v>
      </c>
      <c r="I518" s="139" t="str">
        <f>IF(Tabla_control[[#This Row],[STOCK SAP]]&gt;Tabla_control[[#This Row],[CANTIDAD IMPRIMIR]],"cubre","no cubre")</f>
        <v>cubre</v>
      </c>
      <c r="J518" s="182">
        <f>IF(COUNTIF(Tabla_imprenta[LOTE],Tabla_control[[#This Row],[LOTE]])=1,INDEX(Tabla_imprenta[STOCK],MATCH(Tabla_control[[#This Row],[LOTE]],Tabla_imprenta[LOTE],0)),"ENTREGADO")</f>
        <v>1.2158426769006947</v>
      </c>
      <c r="K51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46181</v>
      </c>
      <c r="L518" s="148">
        <f>INDEX(Tabla_imprenta[FECHA CAJA],MATCH(Tabla_control[[#This Row],[LOTE]],Tabla_imprenta[LOTE],0))</f>
        <v>46181</v>
      </c>
      <c r="M51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1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1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18" s="170">
        <f>ROUNDUP(Tabla_control[[#This Row],[CANTIDAD IMPRIMIR]]/Tabla_control[[#This Row],[N TJ]],0)</f>
        <v>2000</v>
      </c>
      <c r="Q518" s="170">
        <f>IF(Tabla_control[[#This Row],[CANTIDAD TIRAJE]]&gt;10000,Tabla_control[[#This Row],[CANTIDAD TIRAJE]],Tabla_control[[#This Row],[CANTIDAD TIRAJE]]*2)</f>
        <v>4000</v>
      </c>
      <c r="R518" s="186" t="s">
        <v>173</v>
      </c>
      <c r="S518" s="4" t="s">
        <v>174</v>
      </c>
      <c r="T518" s="4"/>
      <c r="U518" s="4"/>
      <c r="V518" s="4"/>
      <c r="W518" s="185" t="s">
        <v>3223</v>
      </c>
      <c r="X518" s="185"/>
      <c r="Y518" s="185"/>
      <c r="Z518" s="185"/>
      <c r="AA518" s="186" t="s">
        <v>2031</v>
      </c>
      <c r="AB518" s="184" t="s">
        <v>3222</v>
      </c>
    </row>
    <row r="519" spans="1:28" hidden="1" x14ac:dyDescent="0.2">
      <c r="A519" s="175">
        <f>IF(COUNTIF(Tabla_imprenta[LOTE],Tabla_control[[#This Row],[LOTE]])=1,INDEX(Tabla_imprenta[FECHA EMISIÓN],MATCH(Tabla_control[[#This Row],[LOTE]],Tabla_imprenta[LOTE],0)),"REALIZADO")</f>
        <v>46113</v>
      </c>
      <c r="B519" s="142">
        <f>IF(COUNTIF(Tabla_imprenta[LOTE],Tabla_control[[#This Row],[LOTE]])=1,INDEX(Tabla_imprenta[CÓD. SOLICITUD],MATCH(Tabla_control[[#This Row],[LOTE]],Tabla_imprenta[LOTE],0)),"REALIZADO")</f>
        <v>0</v>
      </c>
      <c r="C519" s="177" t="str">
        <f>IF(COUNTIF(Tabla_imprenta[LOTE],Tabla_control[[#This Row],[LOTE]])=1,INDEX(Tabla_imprenta[PRODUCTO],MATCH(Tabla_control[[#This Row],[LOTE]],Tabla_imprenta[LOTE],0)),"REALIZADO")</f>
        <v>METOCLOPRAMIDA 10 MG X 25 AMP. SOLUCION INY.</v>
      </c>
      <c r="D519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519" s="177" t="str">
        <f>IF(COUNTIF(Tabla_imprenta[LOTE],Tabla_control[[#This Row],[LOTE]])=1,INDEX(Tabla_imprenta[INSTITUCIÓN],MATCH(Tabla_control[[#This Row],[LOTE]],Tabla_imprenta[LOTE],0)),"REALIZADO")</f>
        <v>COMERCIO</v>
      </c>
      <c r="F519" s="181" t="s">
        <v>3210</v>
      </c>
      <c r="G519" s="139">
        <f>IF(COUNTIF(Tabla_imprenta[LOTE],Tabla_control[[#This Row],[LOTE]])=1,INDEX(Tabla_imprenta[CANTIDAD ENVASE SECUNDARIO],MATCH(Tabla_control[[#This Row],[LOTE]],Tabla_imprenta[LOTE],0)),"ENTREGADO")</f>
        <v>3600</v>
      </c>
      <c r="H519" s="139">
        <f>IF(COUNTIF(Tabla_imprenta[LOTE],Tabla_control[[#This Row],[LOTE]])=1,INDEX(Tabla_imprenta[stock sap],MATCH(Tabla_control[[#This Row],[LOTE]],Tabla_imprenta[LOTE],0)),"ENTREGADO")</f>
        <v>7029</v>
      </c>
      <c r="I519" s="139" t="str">
        <f>IF(Tabla_control[[#This Row],[STOCK SAP]]&gt;Tabla_control[[#This Row],[CANTIDAD IMPRIMIR]],"cubre","no cubre")</f>
        <v>cubre</v>
      </c>
      <c r="J519" s="182">
        <f>IF(COUNTIF(Tabla_imprenta[LOTE],Tabla_control[[#This Row],[LOTE]])=1,INDEX(Tabla_imprenta[STOCK],MATCH(Tabla_control[[#This Row],[LOTE]],Tabla_imprenta[LOTE],0)),"ENTREGADO")</f>
        <v>1.3069071110131314</v>
      </c>
      <c r="K51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46181</v>
      </c>
      <c r="L519" s="148">
        <f>INDEX(Tabla_imprenta[FECHA CAJA],MATCH(Tabla_control[[#This Row],[LOTE]],Tabla_imprenta[LOTE],0))</f>
        <v>46181</v>
      </c>
      <c r="M51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1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1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21</v>
      </c>
      <c r="P519" s="170">
        <f>ROUNDUP(Tabla_control[[#This Row],[CANTIDAD IMPRIMIR]]/Tabla_control[[#This Row],[N TJ]],0)</f>
        <v>1800</v>
      </c>
      <c r="Q519" s="170">
        <f>IF(Tabla_control[[#This Row],[CANTIDAD TIRAJE]]&gt;10000,Tabla_control[[#This Row],[CANTIDAD TIRAJE]],Tabla_control[[#This Row],[CANTIDAD TIRAJE]]*2)</f>
        <v>3600</v>
      </c>
      <c r="R519" s="186" t="s">
        <v>172</v>
      </c>
      <c r="S519" s="4" t="s">
        <v>30</v>
      </c>
      <c r="T519" s="4"/>
      <c r="U519" s="4"/>
      <c r="V519" s="4"/>
      <c r="W519" s="185" t="s">
        <v>3238</v>
      </c>
      <c r="X519" s="185"/>
      <c r="Y519" s="185"/>
      <c r="Z519" s="185"/>
      <c r="AA519" s="186" t="s">
        <v>2031</v>
      </c>
      <c r="AB519" s="184" t="s">
        <v>3222</v>
      </c>
    </row>
    <row r="520" spans="1:28" x14ac:dyDescent="0.2">
      <c r="A520" s="175">
        <f>IF(COUNTIF(Tabla_imprenta[LOTE],Tabla_control[[#This Row],[LOTE]])=1,INDEX(Tabla_imprenta[FECHA EMISIÓN],MATCH(Tabla_control[[#This Row],[LOTE]],Tabla_imprenta[LOTE],0)),"REALIZADO")</f>
        <v>46143</v>
      </c>
      <c r="B520" s="142">
        <f>IF(COUNTIF(Tabla_imprenta[LOTE],Tabla_control[[#This Row],[LOTE]])=1,INDEX(Tabla_imprenta[CÓD. SOLICITUD],MATCH(Tabla_control[[#This Row],[LOTE]],Tabla_imprenta[LOTE],0)),"REALIZADO")</f>
        <v>0</v>
      </c>
      <c r="C520" s="177" t="str">
        <f>IF(COUNTIF(Tabla_imprenta[LOTE],Tabla_control[[#This Row],[LOTE]])=1,INDEX(Tabla_imprenta[PRODUCTO],MATCH(Tabla_control[[#This Row],[LOTE]],Tabla_imprenta[LOTE],0)),"REALIZADO")</f>
        <v>CIPROFLOXACINA 500 MG X 500 COMP. RECUBIERTO</v>
      </c>
      <c r="D520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20" s="177" t="str">
        <f>IF(COUNTIF(Tabla_imprenta[LOTE],Tabla_control[[#This Row],[LOTE]])=1,INDEX(Tabla_imprenta[INSTITUCIÓN],MATCH(Tabla_control[[#This Row],[LOTE]],Tabla_imprenta[LOTE],0)),"REALIZADO")</f>
        <v>COMERCIO</v>
      </c>
      <c r="F520" s="229" t="s">
        <v>5684</v>
      </c>
      <c r="G520" s="139">
        <f>IF(COUNTIF(Tabla_imprenta[LOTE],Tabla_control[[#This Row],[LOTE]])=1,INDEX(Tabla_imprenta[CANTIDAD ENVASE SECUNDARIO],MATCH(Tabla_control[[#This Row],[LOTE]],Tabla_imprenta[LOTE],0)),"ENTREGADO")</f>
        <v>500</v>
      </c>
      <c r="H520" s="139">
        <f>IF(COUNTIF(Tabla_imprenta[LOTE],Tabla_control[[#This Row],[LOTE]])=1,INDEX(Tabla_imprenta[stock sap],MATCH(Tabla_control[[#This Row],[LOTE]],Tabla_imprenta[LOTE],0)),"ENTREGADO")</f>
        <v>586</v>
      </c>
      <c r="I520" s="139" t="str">
        <f>IF(Tabla_control[[#This Row],[STOCK SAP]]&gt;Tabla_control[[#This Row],[CANTIDAD IMPRIMIR]],"cubre","no cubre")</f>
        <v>cubre</v>
      </c>
      <c r="J520" s="182">
        <f>IF(COUNTIF(Tabla_imprenta[LOTE],Tabla_control[[#This Row],[LOTE]])=1,INDEX(Tabla_imprenta[STOCK],MATCH(Tabla_control[[#This Row],[LOTE]],Tabla_imprenta[LOTE],0)),"ENTREGADO")</f>
        <v>4.4794825890795735</v>
      </c>
      <c r="K52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46181</v>
      </c>
      <c r="L520" s="148">
        <f>INDEX(Tabla_imprenta[FECHA CAJA],MATCH(Tabla_control[[#This Row],[LOTE]],Tabla_imprenta[LOTE],0))</f>
        <v>0</v>
      </c>
      <c r="M52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2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52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520" s="170">
        <f>ROUNDUP(Tabla_control[[#This Row],[CANTIDAD IMPRIMIR]]/Tabla_control[[#This Row],[N TJ]],0)</f>
        <v>500</v>
      </c>
      <c r="Q520" s="170">
        <f>IF(Tabla_control[[#This Row],[CANTIDAD TIRAJE]]&gt;10000,Tabla_control[[#This Row],[CANTIDAD TIRAJE]],Tabla_control[[#This Row],[CANTIDAD TIRAJE]]*2)</f>
        <v>1000</v>
      </c>
      <c r="R520" s="186" t="s">
        <v>172</v>
      </c>
      <c r="S520" s="4" t="s">
        <v>30</v>
      </c>
      <c r="T520" s="4"/>
      <c r="U520" s="4"/>
      <c r="V520" s="4"/>
      <c r="W520" s="185" t="s">
        <v>22</v>
      </c>
      <c r="X520" s="185"/>
      <c r="Y520" s="185"/>
      <c r="Z520" s="185"/>
      <c r="AA520" s="186" t="s">
        <v>171</v>
      </c>
      <c r="AB520" s="184" t="s">
        <v>5700</v>
      </c>
    </row>
    <row r="521" spans="1:28" x14ac:dyDescent="0.2">
      <c r="A521" s="175">
        <f>IF(COUNTIF(Tabla_imprenta[LOTE],Tabla_control[[#This Row],[LOTE]])=1,INDEX(Tabla_imprenta[FECHA EMISIÓN],MATCH(Tabla_control[[#This Row],[LOTE]],Tabla_imprenta[LOTE],0)),"REALIZADO")</f>
        <v>46143</v>
      </c>
      <c r="B521" s="142">
        <f>IF(COUNTIF(Tabla_imprenta[LOTE],Tabla_control[[#This Row],[LOTE]])=1,INDEX(Tabla_imprenta[CÓD. SOLICITUD],MATCH(Tabla_control[[#This Row],[LOTE]],Tabla_imprenta[LOTE],0)),"REALIZADO")</f>
        <v>0</v>
      </c>
      <c r="C521" s="177" t="str">
        <f>IF(COUNTIF(Tabla_imprenta[LOTE],Tabla_control[[#This Row],[LOTE]])=1,INDEX(Tabla_imprenta[PRODUCTO],MATCH(Tabla_control[[#This Row],[LOTE]],Tabla_imprenta[LOTE],0)),"REALIZADO")</f>
        <v>AGUA ANESTESICA 1% X 5 ML X 25 AMP. SOLUCION INY.</v>
      </c>
      <c r="D521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521" s="177" t="str">
        <f>IF(COUNTIF(Tabla_imprenta[LOTE],Tabla_control[[#This Row],[LOTE]])=1,INDEX(Tabla_imprenta[INSTITUCIÓN],MATCH(Tabla_control[[#This Row],[LOTE]],Tabla_imprenta[LOTE],0)),"REALIZADO")</f>
        <v>COMERCIO</v>
      </c>
      <c r="F521" s="229" t="s">
        <v>5434</v>
      </c>
      <c r="G521" s="139">
        <f>IF(COUNTIF(Tabla_imprenta[LOTE],Tabla_control[[#This Row],[LOTE]])=1,INDEX(Tabla_imprenta[CANTIDAD ENVASE SECUNDARIO],MATCH(Tabla_control[[#This Row],[LOTE]],Tabla_imprenta[LOTE],0)),"ENTREGADO")</f>
        <v>1440</v>
      </c>
      <c r="H521" s="139">
        <f>IF(COUNTIF(Tabla_imprenta[LOTE],Tabla_control[[#This Row],[LOTE]])=1,INDEX(Tabla_imprenta[stock sap],MATCH(Tabla_control[[#This Row],[LOTE]],Tabla_imprenta[LOTE],0)),"ENTREGADO")</f>
        <v>1303</v>
      </c>
      <c r="I521" s="139" t="str">
        <f>IF(Tabla_control[[#This Row],[STOCK SAP]]&gt;Tabla_control[[#This Row],[CANTIDAD IMPRIMIR]],"cubre","no cubre")</f>
        <v>no cubre</v>
      </c>
      <c r="J521" s="182">
        <f>IF(COUNTIF(Tabla_imprenta[LOTE],Tabla_control[[#This Row],[LOTE]])=1,INDEX(Tabla_imprenta[STOCK],MATCH(Tabla_control[[#This Row],[LOTE]],Tabla_imprenta[LOTE],0)),"ENTREGADO")</f>
        <v>1.5916398713826363</v>
      </c>
      <c r="K521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46182</v>
      </c>
      <c r="L521" s="148">
        <f>INDEX(Tabla_imprenta[FECHA CAJA],MATCH(Tabla_control[[#This Row],[LOTE]],Tabla_imprenta[LOTE],0))</f>
        <v>46182</v>
      </c>
      <c r="M52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2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52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18</v>
      </c>
      <c r="P521" s="170">
        <f>ROUNDUP(Tabla_control[[#This Row],[CANTIDAD IMPRIMIR]]/Tabla_control[[#This Row],[N TJ]],0)</f>
        <v>1440</v>
      </c>
      <c r="Q521" s="170">
        <f>IF(Tabla_control[[#This Row],[CANTIDAD TIRAJE]]&gt;10000,Tabla_control[[#This Row],[CANTIDAD TIRAJE]],Tabla_control[[#This Row],[CANTIDAD TIRAJE]]*2)</f>
        <v>2880</v>
      </c>
      <c r="R521" s="186" t="s">
        <v>173</v>
      </c>
      <c r="S521" s="4" t="s">
        <v>174</v>
      </c>
      <c r="T521" s="4"/>
      <c r="U521" s="4"/>
      <c r="V521" s="4"/>
      <c r="W521" s="185" t="s">
        <v>2984</v>
      </c>
      <c r="X521" s="185" t="s">
        <v>88</v>
      </c>
      <c r="Y521" s="185" t="s">
        <v>88</v>
      </c>
      <c r="Z521" s="185" t="s">
        <v>88</v>
      </c>
      <c r="AA521" s="186" t="s">
        <v>171</v>
      </c>
      <c r="AB521" s="184" t="s">
        <v>4464</v>
      </c>
    </row>
    <row r="522" spans="1:28" hidden="1" x14ac:dyDescent="0.2">
      <c r="A522" s="175">
        <f>IF(COUNTIF(Tabla_imprenta[LOTE],Tabla_control[[#This Row],[LOTE]])=1,INDEX(Tabla_imprenta[FECHA EMISIÓN],MATCH(Tabla_control[[#This Row],[LOTE]],Tabla_imprenta[LOTE],0)),"REALIZADO")</f>
        <v>46113</v>
      </c>
      <c r="B522" s="142">
        <f>IF(COUNTIF(Tabla_imprenta[LOTE],Tabla_control[[#This Row],[LOTE]])=1,INDEX(Tabla_imprenta[CÓD. SOLICITUD],MATCH(Tabla_control[[#This Row],[LOTE]],Tabla_imprenta[LOTE],0)),"REALIZADO")</f>
        <v>0</v>
      </c>
      <c r="C522" s="177" t="str">
        <f>IF(COUNTIF(Tabla_imprenta[LOTE],Tabla_control[[#This Row],[LOTE]])=1,INDEX(Tabla_imprenta[PRODUCTO],MATCH(Tabla_control[[#This Row],[LOTE]],Tabla_imprenta[LOTE],0)),"REALIZADO")</f>
        <v>REZITRO 30 X 3 AMP. SOLUCION INY.</v>
      </c>
      <c r="D522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522" s="177" t="str">
        <f>IF(COUNTIF(Tabla_imprenta[LOTE],Tabla_control[[#This Row],[LOTE]])=1,INDEX(Tabla_imprenta[INSTITUCIÓN],MATCH(Tabla_control[[#This Row],[LOTE]],Tabla_imprenta[LOTE],0)),"REALIZADO")</f>
        <v>COMERCIO</v>
      </c>
      <c r="F522" s="181" t="s">
        <v>3061</v>
      </c>
      <c r="G522" s="139">
        <f>IF(COUNTIF(Tabla_imprenta[LOTE],Tabla_control[[#This Row],[LOTE]])=1,INDEX(Tabla_imprenta[CANTIDAD ENVASE SECUNDARIO],MATCH(Tabla_control[[#This Row],[LOTE]],Tabla_imprenta[LOTE],0)),"ENTREGADO")</f>
        <v>8333.3333333333339</v>
      </c>
      <c r="H522" s="139">
        <f>IF(COUNTIF(Tabla_imprenta[LOTE],Tabla_control[[#This Row],[LOTE]])=1,INDEX(Tabla_imprenta[stock sap],MATCH(Tabla_control[[#This Row],[LOTE]],Tabla_imprenta[LOTE],0)),"ENTREGADO")</f>
        <v>9159</v>
      </c>
      <c r="I522" s="139" t="str">
        <f>IF(Tabla_control[[#This Row],[STOCK SAP]]&gt;Tabla_control[[#This Row],[CANTIDAD IMPRIMIR]],"cubre","no cubre")</f>
        <v>cubre</v>
      </c>
      <c r="J522" s="182">
        <f>IF(COUNTIF(Tabla_imprenta[LOTE],Tabla_control[[#This Row],[LOTE]])=1,INDEX(Tabla_imprenta[STOCK],MATCH(Tabla_control[[#This Row],[LOTE]],Tabla_imprenta[LOTE],0)),"ENTREGADO")</f>
        <v>1.3024374248551756</v>
      </c>
      <c r="K52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46182</v>
      </c>
      <c r="L522" s="148" t="str">
        <f>INDEX(Tabla_imprenta[FECHA CAJA],MATCH(Tabla_control[[#This Row],[LOTE]],Tabla_imprenta[LOTE],0))</f>
        <v>ENTREGADO</v>
      </c>
      <c r="M52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2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52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522" s="170">
        <f>ROUNDUP(Tabla_control[[#This Row],[CANTIDAD IMPRIMIR]]/Tabla_control[[#This Row],[N TJ]],0)</f>
        <v>2778</v>
      </c>
      <c r="Q522" s="170">
        <f>IF(Tabla_control[[#This Row],[CANTIDAD TIRAJE]]&gt;10000,Tabla_control[[#This Row],[CANTIDAD TIRAJE]],Tabla_control[[#This Row],[CANTIDAD TIRAJE]]*2)</f>
        <v>5556</v>
      </c>
      <c r="R522" s="186" t="s">
        <v>173</v>
      </c>
      <c r="S522" s="4" t="s">
        <v>174</v>
      </c>
      <c r="T522" s="4"/>
      <c r="U522" s="4"/>
      <c r="V522" s="4"/>
      <c r="W522" s="185" t="s">
        <v>321</v>
      </c>
      <c r="X522" s="185"/>
      <c r="Y522" s="185"/>
      <c r="Z522" s="185"/>
      <c r="AA522" s="186" t="s">
        <v>321</v>
      </c>
      <c r="AB522" s="184" t="s">
        <v>3222</v>
      </c>
    </row>
    <row r="523" spans="1:28" hidden="1" x14ac:dyDescent="0.2">
      <c r="A523" s="175">
        <f>IF(COUNTIF(Tabla_imprenta[LOTE],Tabla_control[[#This Row],[LOTE]])=1,INDEX(Tabla_imprenta[FECHA EMISIÓN],MATCH(Tabla_control[[#This Row],[LOTE]],Tabla_imprenta[LOTE],0)),"REALIZADO")</f>
        <v>46113</v>
      </c>
      <c r="B523" s="142">
        <f>IF(COUNTIF(Tabla_imprenta[LOTE],Tabla_control[[#This Row],[LOTE]])=1,INDEX(Tabla_imprenta[CÓD. SOLICITUD],MATCH(Tabla_control[[#This Row],[LOTE]],Tabla_imprenta[LOTE],0)),"REALIZADO")</f>
        <v>0</v>
      </c>
      <c r="C523" s="177" t="str">
        <f>IF(COUNTIF(Tabla_imprenta[LOTE],Tabla_control[[#This Row],[LOTE]])=1,INDEX(Tabla_imprenta[PRODUCTO],MATCH(Tabla_control[[#This Row],[LOTE]],Tabla_imprenta[LOTE],0)),"REALIZADO")</f>
        <v>REZITRO 60 X 1 AMP. SOLUCION INY. MM</v>
      </c>
      <c r="D523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523" s="177" t="str">
        <f>IF(COUNTIF(Tabla_imprenta[LOTE],Tabla_control[[#This Row],[LOTE]])=1,INDEX(Tabla_imprenta[INSTITUCIÓN],MATCH(Tabla_control[[#This Row],[LOTE]],Tabla_imprenta[LOTE],0)),"REALIZADO")</f>
        <v>MM-2026</v>
      </c>
      <c r="F523" s="181" t="s">
        <v>3026</v>
      </c>
      <c r="G523" s="139">
        <f>IF(COUNTIF(Tabla_imprenta[LOTE],Tabla_control[[#This Row],[LOTE]])=1,INDEX(Tabla_imprenta[CANTIDAD ENVASE SECUNDARIO],MATCH(Tabla_control[[#This Row],[LOTE]],Tabla_imprenta[LOTE],0)),"ENTREGADO")</f>
        <v>36000</v>
      </c>
      <c r="H523" s="139">
        <f>IF(COUNTIF(Tabla_imprenta[LOTE],Tabla_control[[#This Row],[LOTE]])=1,INDEX(Tabla_imprenta[stock sap],MATCH(Tabla_control[[#This Row],[LOTE]],Tabla_imprenta[LOTE],0)),"ENTREGADO")</f>
        <v>5082</v>
      </c>
      <c r="I523" s="139" t="str">
        <f>IF(Tabla_control[[#This Row],[STOCK SAP]]&gt;Tabla_control[[#This Row],[CANTIDAD IMPRIMIR]],"cubre","no cubre")</f>
        <v>no cubre</v>
      </c>
      <c r="J523" s="182">
        <f>IF(COUNTIF(Tabla_imprenta[LOTE],Tabla_control[[#This Row],[LOTE]])=1,INDEX(Tabla_imprenta[STOCK],MATCH(Tabla_control[[#This Row],[LOTE]],Tabla_imprenta[LOTE],0)),"ENTREGADO")</f>
        <v>2.1739934949755884</v>
      </c>
      <c r="K523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46182</v>
      </c>
      <c r="L523" s="148">
        <f>INDEX(Tabla_imprenta[FECHA CAJA],MATCH(Tabla_control[[#This Row],[LOTE]],Tabla_imprenta[LOTE],0))</f>
        <v>46182</v>
      </c>
      <c r="M52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2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2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31</v>
      </c>
      <c r="P523" s="170">
        <f>ROUNDUP(Tabla_control[[#This Row],[CANTIDAD IMPRIMIR]]/Tabla_control[[#This Row],[N TJ]],0)</f>
        <v>9000</v>
      </c>
      <c r="Q523" s="170">
        <f>IF(Tabla_control[[#This Row],[CANTIDAD TIRAJE]]&gt;10000,Tabla_control[[#This Row],[CANTIDAD TIRAJE]],Tabla_control[[#This Row],[CANTIDAD TIRAJE]]*2)</f>
        <v>18000</v>
      </c>
      <c r="R523" s="186" t="s">
        <v>173</v>
      </c>
      <c r="S523" s="4" t="s">
        <v>174</v>
      </c>
      <c r="T523" s="4"/>
      <c r="U523" s="4"/>
      <c r="V523" s="4"/>
      <c r="W523" s="185" t="s">
        <v>3223</v>
      </c>
      <c r="X523" s="185"/>
      <c r="Y523" s="185"/>
      <c r="Z523" s="185"/>
      <c r="AA523" s="186" t="s">
        <v>2031</v>
      </c>
      <c r="AB523" s="184" t="s">
        <v>3222</v>
      </c>
    </row>
    <row r="524" spans="1:28" x14ac:dyDescent="0.2">
      <c r="A524" s="175">
        <f>IF(COUNTIF(Tabla_imprenta[LOTE],Tabla_control[[#This Row],[LOTE]])=1,INDEX(Tabla_imprenta[FECHA EMISIÓN],MATCH(Tabla_control[[#This Row],[LOTE]],Tabla_imprenta[LOTE],0)),"REALIZADO")</f>
        <v>46143</v>
      </c>
      <c r="B524" s="142">
        <f>IF(COUNTIF(Tabla_imprenta[LOTE],Tabla_control[[#This Row],[LOTE]])=1,INDEX(Tabla_imprenta[CÓD. SOLICITUD],MATCH(Tabla_control[[#This Row],[LOTE]],Tabla_imprenta[LOTE],0)),"REALIZADO")</f>
        <v>0</v>
      </c>
      <c r="C524" s="177" t="str">
        <f>IF(COUNTIF(Tabla_imprenta[LOTE],Tabla_control[[#This Row],[LOTE]])=1,INDEX(Tabla_imprenta[PRODUCTO],MATCH(Tabla_control[[#This Row],[LOTE]],Tabla_imprenta[LOTE],0)),"REALIZADO")</f>
        <v>ALBENDAZOL 200 MG X 10 COMP. MASTICABLE</v>
      </c>
      <c r="D524" s="142" t="str">
        <f>IF(COUNTIF(Tabla_imprenta[LOTE],Tabla_control[[#This Row],[LOTE]])=1,INDEX(Tabla_imprenta[FORMA FARMACEUTICA],MATCH(Tabla_control[[#This Row],[LOTE]],Tabla_imprenta[LOTE],0)),"REALIZADO")</f>
        <v>COMPRIMIDO MASTICABLE</v>
      </c>
      <c r="E524" s="177" t="str">
        <f>IF(COUNTIF(Tabla_imprenta[LOTE],Tabla_control[[#This Row],[LOTE]])=1,INDEX(Tabla_imprenta[INSTITUCIÓN],MATCH(Tabla_control[[#This Row],[LOTE]],Tabla_imprenta[LOTE],0)),"REALIZADO")</f>
        <v>COMERCIO</v>
      </c>
      <c r="F524" s="229" t="s">
        <v>5618</v>
      </c>
      <c r="G524" s="139">
        <f>IF(COUNTIF(Tabla_imprenta[LOTE],Tabla_control[[#This Row],[LOTE]])=1,INDEX(Tabla_imprenta[CANTIDAD ENVASE SECUNDARIO],MATCH(Tabla_control[[#This Row],[LOTE]],Tabla_imprenta[LOTE],0)),"ENTREGADO")</f>
        <v>8000</v>
      </c>
      <c r="H524" s="139">
        <f>IF(COUNTIF(Tabla_imprenta[LOTE],Tabla_control[[#This Row],[LOTE]])=1,INDEX(Tabla_imprenta[stock sap],MATCH(Tabla_control[[#This Row],[LOTE]],Tabla_imprenta[LOTE],0)),"ENTREGADO")</f>
        <v>1805</v>
      </c>
      <c r="I524" s="139" t="str">
        <f>IF(Tabla_control[[#This Row],[STOCK SAP]]&gt;Tabla_control[[#This Row],[CANTIDAD IMPRIMIR]],"cubre","no cubre")</f>
        <v>no cubre</v>
      </c>
      <c r="J524" s="182">
        <f>IF(COUNTIF(Tabla_imprenta[LOTE],Tabla_control[[#This Row],[LOTE]])=1,INDEX(Tabla_imprenta[STOCK],MATCH(Tabla_control[[#This Row],[LOTE]],Tabla_imprenta[LOTE],0)),"ENTREGADO")</f>
        <v>2.8247743515214818</v>
      </c>
      <c r="K524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46182</v>
      </c>
      <c r="L524" s="148">
        <f>INDEX(Tabla_imprenta[FECHA CAJA],MATCH(Tabla_control[[#This Row],[LOTE]],Tabla_imprenta[LOTE],0))</f>
        <v>0</v>
      </c>
      <c r="M52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2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52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41</v>
      </c>
      <c r="P524" s="170">
        <f>ROUNDUP(Tabla_control[[#This Row],[CANTIDAD IMPRIMIR]]/Tabla_control[[#This Row],[N TJ]],0)</f>
        <v>2667</v>
      </c>
      <c r="Q524" s="170">
        <f>IF(Tabla_control[[#This Row],[CANTIDAD TIRAJE]]&gt;10000,Tabla_control[[#This Row],[CANTIDAD TIRAJE]],Tabla_control[[#This Row],[CANTIDAD TIRAJE]]*2)</f>
        <v>5334</v>
      </c>
      <c r="R524" s="186" t="s">
        <v>172</v>
      </c>
      <c r="S524" s="4" t="s">
        <v>30</v>
      </c>
      <c r="T524" s="4"/>
      <c r="U524" s="4"/>
      <c r="V524" s="4"/>
      <c r="W524" s="185" t="s">
        <v>22</v>
      </c>
      <c r="X524" s="185"/>
      <c r="Y524" s="185"/>
      <c r="Z524" s="185"/>
      <c r="AA524" s="186" t="s">
        <v>171</v>
      </c>
      <c r="AB524" s="184" t="s">
        <v>5700</v>
      </c>
    </row>
    <row r="525" spans="1:28" x14ac:dyDescent="0.2">
      <c r="A525" s="175">
        <f>IF(COUNTIF(Tabla_imprenta[LOTE],Tabla_control[[#This Row],[LOTE]])=1,INDEX(Tabla_imprenta[FECHA EMISIÓN],MATCH(Tabla_control[[#This Row],[LOTE]],Tabla_imprenta[LOTE],0)),"REALIZADO")</f>
        <v>46143</v>
      </c>
      <c r="B525" s="142">
        <f>IF(COUNTIF(Tabla_imprenta[LOTE],Tabla_control[[#This Row],[LOTE]])=1,INDEX(Tabla_imprenta[CÓD. SOLICITUD],MATCH(Tabla_control[[#This Row],[LOTE]],Tabla_imprenta[LOTE],0)),"REALIZADO")</f>
        <v>0</v>
      </c>
      <c r="C525" s="177" t="str">
        <f>IF(COUNTIF(Tabla_imprenta[LOTE],Tabla_control[[#This Row],[LOTE]])=1,INDEX(Tabla_imprenta[PRODUCTO],MATCH(Tabla_control[[#This Row],[LOTE]],Tabla_imprenta[LOTE],0)),"REALIZADO")</f>
        <v>FINASTERIDA 5 MG X 100 COMP. RECUBIERTO</v>
      </c>
      <c r="D525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25" s="177" t="str">
        <f>IF(COUNTIF(Tabla_imprenta[LOTE],Tabla_control[[#This Row],[LOTE]])=1,INDEX(Tabla_imprenta[INSTITUCIÓN],MATCH(Tabla_control[[#This Row],[LOTE]],Tabla_imprenta[LOTE],0)),"REALIZADO")</f>
        <v>COMERCIO</v>
      </c>
      <c r="F525" s="229" t="s">
        <v>5627</v>
      </c>
      <c r="G525" s="139">
        <f>IF(COUNTIF(Tabla_imprenta[LOTE],Tabla_control[[#This Row],[LOTE]])=1,INDEX(Tabla_imprenta[CANTIDAD ENVASE SECUNDARIO],MATCH(Tabla_control[[#This Row],[LOTE]],Tabla_imprenta[LOTE],0)),"ENTREGADO")</f>
        <v>2000</v>
      </c>
      <c r="H525" s="139">
        <f>IF(COUNTIF(Tabla_imprenta[LOTE],Tabla_control[[#This Row],[LOTE]])=1,INDEX(Tabla_imprenta[stock sap],MATCH(Tabla_control[[#This Row],[LOTE]],Tabla_imprenta[LOTE],0)),"ENTREGADO")</f>
        <v>338</v>
      </c>
      <c r="I525" s="139" t="str">
        <f>IF(Tabla_control[[#This Row],[STOCK SAP]]&gt;Tabla_control[[#This Row],[CANTIDAD IMPRIMIR]],"cubre","no cubre")</f>
        <v>no cubre</v>
      </c>
      <c r="J525" s="182">
        <f>IF(COUNTIF(Tabla_imprenta[LOTE],Tabla_control[[#This Row],[LOTE]])=1,INDEX(Tabla_imprenta[STOCK],MATCH(Tabla_control[[#This Row],[LOTE]],Tabla_imprenta[LOTE],0)),"ENTREGADO")</f>
        <v>4.4240794488013</v>
      </c>
      <c r="K525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46182</v>
      </c>
      <c r="L525" s="148">
        <f>INDEX(Tabla_imprenta[FECHA CAJA],MATCH(Tabla_control[[#This Row],[LOTE]],Tabla_imprenta[LOTE],0))</f>
        <v>0</v>
      </c>
      <c r="M52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2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2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92</v>
      </c>
      <c r="P525" s="170">
        <f>ROUNDUP(Tabla_control[[#This Row],[CANTIDAD IMPRIMIR]]/Tabla_control[[#This Row],[N TJ]],0)</f>
        <v>500</v>
      </c>
      <c r="Q525" s="170">
        <f>IF(Tabla_control[[#This Row],[CANTIDAD TIRAJE]]&gt;10000,Tabla_control[[#This Row],[CANTIDAD TIRAJE]],Tabla_control[[#This Row],[CANTIDAD TIRAJE]]*2)</f>
        <v>1000</v>
      </c>
      <c r="R525" s="186" t="s">
        <v>172</v>
      </c>
      <c r="S525" s="4" t="s">
        <v>30</v>
      </c>
      <c r="T525" s="4"/>
      <c r="U525" s="4"/>
      <c r="V525" s="4"/>
      <c r="W525" s="185" t="s">
        <v>22</v>
      </c>
      <c r="X525" s="185"/>
      <c r="Y525" s="185"/>
      <c r="Z525" s="185"/>
      <c r="AA525" s="186" t="s">
        <v>171</v>
      </c>
      <c r="AB525" s="184" t="s">
        <v>5700</v>
      </c>
    </row>
    <row r="526" spans="1:28" hidden="1" x14ac:dyDescent="0.2">
      <c r="A526" s="175">
        <f>IF(COUNTIF(Tabla_imprenta[LOTE],Tabla_control[[#This Row],[LOTE]])=1,INDEX(Tabla_imprenta[FECHA EMISIÓN],MATCH(Tabla_control[[#This Row],[LOTE]],Tabla_imprenta[LOTE],0)),"REALIZADO")</f>
        <v>46113</v>
      </c>
      <c r="B526" s="142">
        <f>IF(COUNTIF(Tabla_imprenta[LOTE],Tabla_control[[#This Row],[LOTE]])=1,INDEX(Tabla_imprenta[CÓD. SOLICITUD],MATCH(Tabla_control[[#This Row],[LOTE]],Tabla_imprenta[LOTE],0)),"REALIZADO")</f>
        <v>0</v>
      </c>
      <c r="C526" s="177" t="str">
        <f>IF(COUNTIF(Tabla_imprenta[LOTE],Tabla_control[[#This Row],[LOTE]])=1,INDEX(Tabla_imprenta[PRODUCTO],MATCH(Tabla_control[[#This Row],[LOTE]],Tabla_imprenta[LOTE],0)),"REALIZADO")</f>
        <v>REZITRO 60 X 3 AMP. SOLUCION INY.</v>
      </c>
      <c r="D526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526" s="177" t="str">
        <f>IF(COUNTIF(Tabla_imprenta[LOTE],Tabla_control[[#This Row],[LOTE]])=1,INDEX(Tabla_imprenta[INSTITUCIÓN],MATCH(Tabla_control[[#This Row],[LOTE]],Tabla_imprenta[LOTE],0)),"REALIZADO")</f>
        <v>COMERCIO</v>
      </c>
      <c r="F526" s="181" t="s">
        <v>3212</v>
      </c>
      <c r="G526" s="139">
        <f>IF(COUNTIF(Tabla_imprenta[LOTE],Tabla_control[[#This Row],[LOTE]])=1,INDEX(Tabla_imprenta[CANTIDAD ENVASE SECUNDARIO],MATCH(Tabla_control[[#This Row],[LOTE]],Tabla_imprenta[LOTE],0)),"ENTREGADO")</f>
        <v>3000</v>
      </c>
      <c r="H526" s="139">
        <f>IF(COUNTIF(Tabla_imprenta[LOTE],Tabla_control[[#This Row],[LOTE]])=1,INDEX(Tabla_imprenta[stock sap],MATCH(Tabla_control[[#This Row],[LOTE]],Tabla_imprenta[LOTE],0)),"ENTREGADO")</f>
        <v>1220</v>
      </c>
      <c r="I526" s="139" t="str">
        <f>IF(Tabla_control[[#This Row],[STOCK SAP]]&gt;Tabla_control[[#This Row],[CANTIDAD IMPRIMIR]],"cubre","no cubre")</f>
        <v>no cubre</v>
      </c>
      <c r="J526" s="182">
        <f>IF(COUNTIF(Tabla_imprenta[LOTE],Tabla_control[[#This Row],[LOTE]])=1,INDEX(Tabla_imprenta[STOCK],MATCH(Tabla_control[[#This Row],[LOTE]],Tabla_imprenta[LOTE],0)),"ENTREGADO")</f>
        <v>6.7169104739613807</v>
      </c>
      <c r="K52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46182</v>
      </c>
      <c r="L526" s="148">
        <f>INDEX(Tabla_imprenta[FECHA CAJA],MATCH(Tabla_control[[#This Row],[LOTE]],Tabla_imprenta[LOTE],0))</f>
        <v>46182</v>
      </c>
      <c r="M52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2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52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97</v>
      </c>
      <c r="P526" s="170">
        <f>ROUNDUP(Tabla_control[[#This Row],[CANTIDAD IMPRIMIR]]/Tabla_control[[#This Row],[N TJ]],0)</f>
        <v>1000</v>
      </c>
      <c r="Q526" s="170">
        <f>IF(Tabla_control[[#This Row],[CANTIDAD TIRAJE]]&gt;10000,Tabla_control[[#This Row],[CANTIDAD TIRAJE]],Tabla_control[[#This Row],[CANTIDAD TIRAJE]]*2)</f>
        <v>2000</v>
      </c>
      <c r="R526" s="186" t="s">
        <v>173</v>
      </c>
      <c r="S526" s="4" t="s">
        <v>174</v>
      </c>
      <c r="T526" s="4"/>
      <c r="U526" s="4"/>
      <c r="V526" s="4"/>
      <c r="W526" s="185" t="s">
        <v>3223</v>
      </c>
      <c r="X526" s="185"/>
      <c r="Y526" s="185"/>
      <c r="Z526" s="185"/>
      <c r="AA526" s="186" t="s">
        <v>2031</v>
      </c>
      <c r="AB526" s="184" t="s">
        <v>3222</v>
      </c>
    </row>
    <row r="527" spans="1:28" hidden="1" x14ac:dyDescent="0.2">
      <c r="A527" s="175">
        <f>IF(COUNTIF(Tabla_imprenta[LOTE],Tabla_control[[#This Row],[LOTE]])=1,INDEX(Tabla_imprenta[FECHA EMISIÓN],MATCH(Tabla_control[[#This Row],[LOTE]],Tabla_imprenta[LOTE],0)),"REALIZADO")</f>
        <v>46113</v>
      </c>
      <c r="B527" s="142">
        <f>IF(COUNTIF(Tabla_imprenta[LOTE],Tabla_control[[#This Row],[LOTE]])=1,INDEX(Tabla_imprenta[CÓD. SOLICITUD],MATCH(Tabla_control[[#This Row],[LOTE]],Tabla_imprenta[LOTE],0)),"REALIZADO")</f>
        <v>0</v>
      </c>
      <c r="C527" s="177" t="str">
        <f>IF(COUNTIF(Tabla_imprenta[LOTE],Tabla_control[[#This Row],[LOTE]])=1,INDEX(Tabla_imprenta[PRODUCTO],MATCH(Tabla_control[[#This Row],[LOTE]],Tabla_imprenta[LOTE],0)),"REALIZADO")</f>
        <v>SARNOL 20% X 100 ML LOCION</v>
      </c>
      <c r="D527" s="142" t="str">
        <f>IF(COUNTIF(Tabla_imprenta[LOTE],Tabla_control[[#This Row],[LOTE]])=1,INDEX(Tabla_imprenta[FORMA FARMACEUTICA],MATCH(Tabla_control[[#This Row],[LOTE]],Tabla_imprenta[LOTE],0)),"REALIZADO")</f>
        <v>LOCION</v>
      </c>
      <c r="E527" s="177" t="str">
        <f>IF(COUNTIF(Tabla_imprenta[LOTE],Tabla_control[[#This Row],[LOTE]])=1,INDEX(Tabla_imprenta[INSTITUCIÓN],MATCH(Tabla_control[[#This Row],[LOTE]],Tabla_imprenta[LOTE],0)),"REALIZADO")</f>
        <v>COMERCIO</v>
      </c>
      <c r="F527" s="181" t="s">
        <v>3197</v>
      </c>
      <c r="G527" s="139">
        <f>IF(COUNTIF(Tabla_imprenta[LOTE],Tabla_control[[#This Row],[LOTE]])=1,INDEX(Tabla_imprenta[CANTIDAD ENVASE SECUNDARIO],MATCH(Tabla_control[[#This Row],[LOTE]],Tabla_imprenta[LOTE],0)),"ENTREGADO")</f>
        <v>6000</v>
      </c>
      <c r="H527" s="139">
        <f>IF(COUNTIF(Tabla_imprenta[LOTE],Tabla_control[[#This Row],[LOTE]])=1,INDEX(Tabla_imprenta[stock sap],MATCH(Tabla_control[[#This Row],[LOTE]],Tabla_imprenta[LOTE],0)),"ENTREGADO")</f>
        <v>7000</v>
      </c>
      <c r="I527" s="139" t="str">
        <f>IF(Tabla_control[[#This Row],[STOCK SAP]]&gt;Tabla_control[[#This Row],[CANTIDAD IMPRIMIR]],"cubre","no cubre")</f>
        <v>cubre</v>
      </c>
      <c r="J527" s="182">
        <f>IF(COUNTIF(Tabla_imprenta[LOTE],Tabla_control[[#This Row],[LOTE]])=1,INDEX(Tabla_imprenta[STOCK],MATCH(Tabla_control[[#This Row],[LOTE]],Tabla_imprenta[LOTE],0)),"ENTREGADO")</f>
        <v>1.2158426769006947</v>
      </c>
      <c r="K527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46184</v>
      </c>
      <c r="L527" s="148">
        <f>INDEX(Tabla_imprenta[FECHA CAJA],MATCH(Tabla_control[[#This Row],[LOTE]],Tabla_imprenta[LOTE],0))</f>
        <v>46184</v>
      </c>
      <c r="M52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2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2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27" s="170">
        <f>ROUNDUP(Tabla_control[[#This Row],[CANTIDAD IMPRIMIR]]/Tabla_control[[#This Row],[N TJ]],0)</f>
        <v>3000</v>
      </c>
      <c r="Q527" s="170">
        <f>IF(Tabla_control[[#This Row],[CANTIDAD TIRAJE]]&gt;10000,Tabla_control[[#This Row],[CANTIDAD TIRAJE]],Tabla_control[[#This Row],[CANTIDAD TIRAJE]]*2)</f>
        <v>6000</v>
      </c>
      <c r="R527" s="186" t="s">
        <v>173</v>
      </c>
      <c r="S527" s="4" t="s">
        <v>174</v>
      </c>
      <c r="T527" s="4"/>
      <c r="U527" s="4"/>
      <c r="V527" s="4"/>
      <c r="W527" s="185" t="s">
        <v>3223</v>
      </c>
      <c r="X527" s="185"/>
      <c r="Y527" s="185"/>
      <c r="Z527" s="185"/>
      <c r="AA527" s="186" t="s">
        <v>2031</v>
      </c>
      <c r="AB527" s="184" t="s">
        <v>3222</v>
      </c>
    </row>
    <row r="528" spans="1:28" hidden="1" x14ac:dyDescent="0.2">
      <c r="A528" s="175">
        <f>IF(COUNTIF(Tabla_imprenta[LOTE],Tabla_control[[#This Row],[LOTE]])=1,INDEX(Tabla_imprenta[FECHA EMISIÓN],MATCH(Tabla_control[[#This Row],[LOTE]],Tabla_imprenta[LOTE],0)),"REALIZADO")</f>
        <v>46113</v>
      </c>
      <c r="B528" s="142">
        <f>IF(COUNTIF(Tabla_imprenta[LOTE],Tabla_control[[#This Row],[LOTE]])=1,INDEX(Tabla_imprenta[CÓD. SOLICITUD],MATCH(Tabla_control[[#This Row],[LOTE]],Tabla_imprenta[LOTE],0)),"REALIZADO")</f>
        <v>0</v>
      </c>
      <c r="C528" s="177" t="str">
        <f>IF(COUNTIF(Tabla_imprenta[LOTE],Tabla_control[[#This Row],[LOTE]])=1,INDEX(Tabla_imprenta[PRODUCTO],MATCH(Tabla_control[[#This Row],[LOTE]],Tabla_imprenta[LOTE],0)),"REALIZADO")</f>
        <v>SARNOL 20% X 100 ML LOCION</v>
      </c>
      <c r="D528" s="142" t="str">
        <f>IF(COUNTIF(Tabla_imprenta[LOTE],Tabla_control[[#This Row],[LOTE]])=1,INDEX(Tabla_imprenta[FORMA FARMACEUTICA],MATCH(Tabla_control[[#This Row],[LOTE]],Tabla_imprenta[LOTE],0)),"REALIZADO")</f>
        <v>LOCION</v>
      </c>
      <c r="E528" s="177" t="str">
        <f>IF(COUNTIF(Tabla_imprenta[LOTE],Tabla_control[[#This Row],[LOTE]])=1,INDEX(Tabla_imprenta[INSTITUCIÓN],MATCH(Tabla_control[[#This Row],[LOTE]],Tabla_imprenta[LOTE],0)),"REALIZADO")</f>
        <v>COMERCIO</v>
      </c>
      <c r="F528" s="181" t="s">
        <v>3198</v>
      </c>
      <c r="G528" s="139">
        <f>IF(COUNTIF(Tabla_imprenta[LOTE],Tabla_control[[#This Row],[LOTE]])=1,INDEX(Tabla_imprenta[CANTIDAD ENVASE SECUNDARIO],MATCH(Tabla_control[[#This Row],[LOTE]],Tabla_imprenta[LOTE],0)),"ENTREGADO")</f>
        <v>6000</v>
      </c>
      <c r="H528" s="139">
        <f>IF(COUNTIF(Tabla_imprenta[LOTE],Tabla_control[[#This Row],[LOTE]])=1,INDEX(Tabla_imprenta[stock sap],MATCH(Tabla_control[[#This Row],[LOTE]],Tabla_imprenta[LOTE],0)),"ENTREGADO")</f>
        <v>7000</v>
      </c>
      <c r="I528" s="139" t="str">
        <f>IF(Tabla_control[[#This Row],[STOCK SAP]]&gt;Tabla_control[[#This Row],[CANTIDAD IMPRIMIR]],"cubre","no cubre")</f>
        <v>cubre</v>
      </c>
      <c r="J528" s="182">
        <f>IF(COUNTIF(Tabla_imprenta[LOTE],Tabla_control[[#This Row],[LOTE]])=1,INDEX(Tabla_imprenta[STOCK],MATCH(Tabla_control[[#This Row],[LOTE]],Tabla_imprenta[LOTE],0)),"ENTREGADO")</f>
        <v>1.2158426769006947</v>
      </c>
      <c r="K528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46184</v>
      </c>
      <c r="L528" s="148">
        <f>INDEX(Tabla_imprenta[FECHA CAJA],MATCH(Tabla_control[[#This Row],[LOTE]],Tabla_imprenta[LOTE],0))</f>
        <v>46184</v>
      </c>
      <c r="M52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2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2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28" s="170">
        <f>ROUNDUP(Tabla_control[[#This Row],[CANTIDAD IMPRIMIR]]/Tabla_control[[#This Row],[N TJ]],0)</f>
        <v>3000</v>
      </c>
      <c r="Q528" s="170">
        <f>IF(Tabla_control[[#This Row],[CANTIDAD TIRAJE]]&gt;10000,Tabla_control[[#This Row],[CANTIDAD TIRAJE]],Tabla_control[[#This Row],[CANTIDAD TIRAJE]]*2)</f>
        <v>6000</v>
      </c>
      <c r="R528" s="186" t="s">
        <v>173</v>
      </c>
      <c r="S528" s="4" t="s">
        <v>174</v>
      </c>
      <c r="T528" s="4"/>
      <c r="U528" s="4"/>
      <c r="V528" s="4"/>
      <c r="W528" s="185" t="s">
        <v>3223</v>
      </c>
      <c r="X528" s="185"/>
      <c r="Y528" s="185"/>
      <c r="Z528" s="185"/>
      <c r="AA528" s="186" t="s">
        <v>2031</v>
      </c>
      <c r="AB528" s="184" t="s">
        <v>3222</v>
      </c>
    </row>
    <row r="529" spans="1:28" hidden="1" x14ac:dyDescent="0.2">
      <c r="A529" s="175">
        <f>IF(COUNTIF(Tabla_imprenta[LOTE],Tabla_control[[#This Row],[LOTE]])=1,INDEX(Tabla_imprenta[FECHA EMISIÓN],MATCH(Tabla_control[[#This Row],[LOTE]],Tabla_imprenta[LOTE],0)),"REALIZADO")</f>
        <v>46143</v>
      </c>
      <c r="B529" s="142">
        <f>IF(COUNTIF(Tabla_imprenta[LOTE],Tabla_control[[#This Row],[LOTE]])=1,INDEX(Tabla_imprenta[CÓD. SOLICITUD],MATCH(Tabla_control[[#This Row],[LOTE]],Tabla_imprenta[LOTE],0)),"REALIZADO")</f>
        <v>0</v>
      </c>
      <c r="C529" s="177" t="str">
        <f>IF(COUNTIF(Tabla_imprenta[LOTE],Tabla_control[[#This Row],[LOTE]])=1,INDEX(Tabla_imprenta[PRODUCTO],MATCH(Tabla_control[[#This Row],[LOTE]],Tabla_imprenta[LOTE],0)),"REALIZADO")</f>
        <v>INCRETIN X 30 COMP. RECUBIERTO</v>
      </c>
      <c r="D529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29" s="177" t="str">
        <f>IF(COUNTIF(Tabla_imprenta[LOTE],Tabla_control[[#This Row],[LOTE]])=1,INDEX(Tabla_imprenta[INSTITUCIÓN],MATCH(Tabla_control[[#This Row],[LOTE]],Tabla_imprenta[LOTE],0)),"REALIZADO")</f>
        <v>COMERCIO</v>
      </c>
      <c r="F529" s="229" t="s">
        <v>5555</v>
      </c>
      <c r="G529" s="139">
        <f>IF(COUNTIF(Tabla_imprenta[LOTE],Tabla_control[[#This Row],[LOTE]])=1,INDEX(Tabla_imprenta[CANTIDAD ENVASE SECUNDARIO],MATCH(Tabla_control[[#This Row],[LOTE]],Tabla_imprenta[LOTE],0)),"ENTREGADO")</f>
        <v>3333.3333333333335</v>
      </c>
      <c r="H529" s="139">
        <f>IF(COUNTIF(Tabla_imprenta[LOTE],Tabla_control[[#This Row],[LOTE]])=1,INDEX(Tabla_imprenta[stock sap],MATCH(Tabla_control[[#This Row],[LOTE]],Tabla_imprenta[LOTE],0)),"ENTREGADO")</f>
        <v>4925</v>
      </c>
      <c r="I529" s="139" t="str">
        <f>IF(Tabla_control[[#This Row],[STOCK SAP]]&gt;Tabla_control[[#This Row],[CANTIDAD IMPRIMIR]],"cubre","no cubre")</f>
        <v>cubre</v>
      </c>
      <c r="J529" s="182">
        <f>IF(COUNTIF(Tabla_imprenta[LOTE],Tabla_control[[#This Row],[LOTE]])=1,INDEX(Tabla_imprenta[STOCK],MATCH(Tabla_control[[#This Row],[LOTE]],Tabla_imprenta[LOTE],0)),"ENTREGADO")</f>
        <v>3.6308429884139031</v>
      </c>
      <c r="K52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46184</v>
      </c>
      <c r="L529" s="148">
        <f>INDEX(Tabla_imprenta[FECHA CAJA],MATCH(Tabla_control[[#This Row],[LOTE]],Tabla_imprenta[LOTE],0))</f>
        <v>0</v>
      </c>
      <c r="M52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2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2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31</v>
      </c>
      <c r="P529" s="170">
        <f>ROUNDUP(Tabla_control[[#This Row],[CANTIDAD IMPRIMIR]]/Tabla_control[[#This Row],[N TJ]],0)</f>
        <v>834</v>
      </c>
      <c r="Q529" s="170">
        <f>IF(Tabla_control[[#This Row],[CANTIDAD TIRAJE]]&gt;10000,Tabla_control[[#This Row],[CANTIDAD TIRAJE]],Tabla_control[[#This Row],[CANTIDAD TIRAJE]]*2)</f>
        <v>1668</v>
      </c>
      <c r="R529" s="186" t="s">
        <v>173</v>
      </c>
      <c r="S529" s="4" t="s">
        <v>174</v>
      </c>
      <c r="T529" s="4"/>
      <c r="U529" s="4"/>
      <c r="V529" s="4"/>
      <c r="W529" s="185" t="s">
        <v>321</v>
      </c>
      <c r="X529" s="185"/>
      <c r="Y529" s="185"/>
      <c r="Z529" s="185"/>
      <c r="AA529" s="186" t="s">
        <v>321</v>
      </c>
      <c r="AB529" s="184" t="s">
        <v>5700</v>
      </c>
    </row>
    <row r="530" spans="1:28" hidden="1" x14ac:dyDescent="0.2">
      <c r="A530" s="175">
        <f>IF(COUNTIF(Tabla_imprenta[LOTE],Tabla_control[[#This Row],[LOTE]])=1,INDEX(Tabla_imprenta[FECHA EMISIÓN],MATCH(Tabla_control[[#This Row],[LOTE]],Tabla_imprenta[LOTE],0)),"REALIZADO")</f>
        <v>46113</v>
      </c>
      <c r="B530" s="142">
        <f>IF(COUNTIF(Tabla_imprenta[LOTE],Tabla_control[[#This Row],[LOTE]])=1,INDEX(Tabla_imprenta[CÓD. SOLICITUD],MATCH(Tabla_control[[#This Row],[LOTE]],Tabla_imprenta[LOTE],0)),"REALIZADO")</f>
        <v>0</v>
      </c>
      <c r="C530" s="177" t="str">
        <f>IF(COUNTIF(Tabla_imprenta[LOTE],Tabla_control[[#This Row],[LOTE]])=1,INDEX(Tabla_imprenta[PRODUCTO],MATCH(Tabla_control[[#This Row],[LOTE]],Tabla_imprenta[LOTE],0)),"REALIZADO")</f>
        <v>SARNOL 20% X 100 ML LOCION</v>
      </c>
      <c r="D530" s="142" t="str">
        <f>IF(COUNTIF(Tabla_imprenta[LOTE],Tabla_control[[#This Row],[LOTE]])=1,INDEX(Tabla_imprenta[FORMA FARMACEUTICA],MATCH(Tabla_control[[#This Row],[LOTE]],Tabla_imprenta[LOTE],0)),"REALIZADO")</f>
        <v>LOCION</v>
      </c>
      <c r="E530" s="177" t="str">
        <f>IF(COUNTIF(Tabla_imprenta[LOTE],Tabla_control[[#This Row],[LOTE]])=1,INDEX(Tabla_imprenta[INSTITUCIÓN],MATCH(Tabla_control[[#This Row],[LOTE]],Tabla_imprenta[LOTE],0)),"REALIZADO")</f>
        <v>COMERCIO</v>
      </c>
      <c r="F530" s="181" t="s">
        <v>3196</v>
      </c>
      <c r="G530" s="139">
        <f>IF(COUNTIF(Tabla_imprenta[LOTE],Tabla_control[[#This Row],[LOTE]])=1,INDEX(Tabla_imprenta[CANTIDAD ENVASE SECUNDARIO],MATCH(Tabla_control[[#This Row],[LOTE]],Tabla_imprenta[LOTE],0)),"ENTREGADO")</f>
        <v>6000</v>
      </c>
      <c r="H530" s="139">
        <f>IF(COUNTIF(Tabla_imprenta[LOTE],Tabla_control[[#This Row],[LOTE]])=1,INDEX(Tabla_imprenta[stock sap],MATCH(Tabla_control[[#This Row],[LOTE]],Tabla_imprenta[LOTE],0)),"ENTREGADO")</f>
        <v>7000</v>
      </c>
      <c r="I530" s="139" t="str">
        <f>IF(Tabla_control[[#This Row],[STOCK SAP]]&gt;Tabla_control[[#This Row],[CANTIDAD IMPRIMIR]],"cubre","no cubre")</f>
        <v>cubre</v>
      </c>
      <c r="J530" s="182">
        <f>IF(COUNTIF(Tabla_imprenta[LOTE],Tabla_control[[#This Row],[LOTE]])=1,INDEX(Tabla_imprenta[STOCK],MATCH(Tabla_control[[#This Row],[LOTE]],Tabla_imprenta[LOTE],0)),"ENTREGADO")</f>
        <v>1.2158426769006947</v>
      </c>
      <c r="K530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46189</v>
      </c>
      <c r="L530" s="148">
        <f>INDEX(Tabla_imprenta[FECHA CAJA],MATCH(Tabla_control[[#This Row],[LOTE]],Tabla_imprenta[LOTE],0))</f>
        <v>46189</v>
      </c>
      <c r="M53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3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3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30" s="170">
        <f>ROUNDUP(Tabla_control[[#This Row],[CANTIDAD IMPRIMIR]]/Tabla_control[[#This Row],[N TJ]],0)</f>
        <v>3000</v>
      </c>
      <c r="Q530" s="170">
        <f>IF(Tabla_control[[#This Row],[CANTIDAD TIRAJE]]&gt;10000,Tabla_control[[#This Row],[CANTIDAD TIRAJE]],Tabla_control[[#This Row],[CANTIDAD TIRAJE]]*2)</f>
        <v>6000</v>
      </c>
      <c r="R530" s="186" t="s">
        <v>173</v>
      </c>
      <c r="S530" s="4" t="s">
        <v>174</v>
      </c>
      <c r="T530" s="4"/>
      <c r="U530" s="4"/>
      <c r="V530" s="4"/>
      <c r="W530" s="185" t="s">
        <v>3223</v>
      </c>
      <c r="X530" s="185"/>
      <c r="Y530" s="185"/>
      <c r="Z530" s="185"/>
      <c r="AA530" s="186" t="s">
        <v>2031</v>
      </c>
      <c r="AB530" s="184" t="s">
        <v>3222</v>
      </c>
    </row>
    <row r="531" spans="1:28" x14ac:dyDescent="0.2">
      <c r="A531" s="175">
        <f>IF(COUNTIF(Tabla_imprenta[LOTE],Tabla_control[[#This Row],[LOTE]])=1,INDEX(Tabla_imprenta[FECHA EMISIÓN],MATCH(Tabla_control[[#This Row],[LOTE]],Tabla_imprenta[LOTE],0)),"REALIZADO")</f>
        <v>46083</v>
      </c>
      <c r="B531" s="142">
        <f>IF(COUNTIF(Tabla_imprenta[LOTE],Tabla_control[[#This Row],[LOTE]])=1,INDEX(Tabla_imprenta[CÓD. SOLICITUD],MATCH(Tabla_control[[#This Row],[LOTE]],Tabla_imprenta[LOTE],0)),"REALIZADO")</f>
        <v>0</v>
      </c>
      <c r="C531" s="177" t="str">
        <f>IF(COUNTIF(Tabla_imprenta[LOTE],Tabla_control[[#This Row],[LOTE]])=1,INDEX(Tabla_imprenta[PRODUCTO],MATCH(Tabla_control[[#This Row],[LOTE]],Tabla_imprenta[LOTE],0)),"REALIZADO")</f>
        <v>IVERMECTINA X 1 VIAL SOLUCION INY. VETERINARIO</v>
      </c>
      <c r="D531" s="142" t="str">
        <f>IF(COUNTIF(Tabla_imprenta[LOTE],Tabla_control[[#This Row],[LOTE]])=1,INDEX(Tabla_imprenta[FORMA FARMACEUTICA],MATCH(Tabla_control[[#This Row],[LOTE]],Tabla_imprenta[LOTE],0)),"REALIZADO")</f>
        <v>SOLUCIÓN INYECTABLE</v>
      </c>
      <c r="E531" s="177" t="str">
        <f>IF(COUNTIF(Tabla_imprenta[LOTE],Tabla_control[[#This Row],[LOTE]])=1,INDEX(Tabla_imprenta[INSTITUCIÓN],MATCH(Tabla_control[[#This Row],[LOTE]],Tabla_imprenta[LOTE],0)),"REALIZADO")</f>
        <v>COMERCIO</v>
      </c>
      <c r="F531" s="180" t="s">
        <v>2477</v>
      </c>
      <c r="G531" s="139">
        <f>IF(COUNTIF(Tabla_imprenta[LOTE],Tabla_control[[#This Row],[LOTE]])=1,INDEX(Tabla_imprenta[CANTIDAD ENVASE SECUNDARIO],MATCH(Tabla_control[[#This Row],[LOTE]],Tabla_imprenta[LOTE],0)),"ENTREGADO")</f>
        <v>1000</v>
      </c>
      <c r="H531" s="139" t="e">
        <f>IF(COUNTIF(Tabla_imprenta[LOTE],Tabla_control[[#This Row],[LOTE]])=1,INDEX(Tabla_imprenta[stock sap],MATCH(Tabla_control[[#This Row],[LOTE]],Tabla_imprenta[LOTE],0)),"ENTREGADO")</f>
        <v>#N/A</v>
      </c>
      <c r="I531" s="139" t="e">
        <f>IF(Tabla_control[[#This Row],[STOCK SAP]]&gt;Tabla_control[[#This Row],[CANTIDAD IMPRIMIR]],"cubre","no cubre")</f>
        <v>#N/A</v>
      </c>
      <c r="J531" s="7">
        <f>IF(COUNTIF(Tabla_imprenta[LOTE],Tabla_control[[#This Row],[LOTE]])=1,INDEX(Tabla_imprenta[STOCK],MATCH(Tabla_control[[#This Row],[LOTE]],Tabla_imprenta[LOTE],0)),"ENTREGADO")</f>
        <v>0</v>
      </c>
      <c r="K53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OBSERVADO</v>
      </c>
      <c r="L531" s="148" t="str">
        <f>INDEX(Tabla_imprenta[FECHA CAJA],MATCH(Tabla_control[[#This Row],[LOTE]],Tabla_imprenta[LOTE],0))</f>
        <v>OBSERVADO</v>
      </c>
      <c r="M53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531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SF</v>
      </c>
      <c r="O531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SF</v>
      </c>
      <c r="P531" s="170" t="e">
        <f>ROUNDUP(Tabla_control[[#This Row],[CANTIDAD IMPRIMIR]]/Tabla_control[[#This Row],[N TJ]],0)</f>
        <v>#VALUE!</v>
      </c>
      <c r="Q531" s="170" t="e">
        <f>IF(Tabla_control[[#This Row],[CANTIDAD TIRAJE]]&gt;10000,Tabla_control[[#This Row],[CANTIDAD TIRAJE]],Tabla_control[[#This Row],[CANTIDAD TIRAJE]]*2)</f>
        <v>#VALUE!</v>
      </c>
      <c r="R531" s="4" t="s">
        <v>176</v>
      </c>
      <c r="S531" s="4" t="s">
        <v>30</v>
      </c>
      <c r="T531" s="4"/>
      <c r="U531" s="4"/>
      <c r="V531" s="4"/>
      <c r="W531" s="185" t="s">
        <v>22</v>
      </c>
      <c r="X531" s="185"/>
      <c r="Y531" s="185"/>
      <c r="Z531" s="185"/>
      <c r="AA531" s="4" t="s">
        <v>171</v>
      </c>
      <c r="AB531" s="184" t="s">
        <v>2488</v>
      </c>
    </row>
    <row r="532" spans="1:28" hidden="1" x14ac:dyDescent="0.2">
      <c r="A532" s="175">
        <f>IF(COUNTIF(Tabla_imprenta[LOTE],Tabla_control[[#This Row],[LOTE]])=1,INDEX(Tabla_imprenta[FECHA EMISIÓN],MATCH(Tabla_control[[#This Row],[LOTE]],Tabla_imprenta[LOTE],0)),"REALIZADO")</f>
        <v>46143</v>
      </c>
      <c r="B532" s="142">
        <f>IF(COUNTIF(Tabla_imprenta[LOTE],Tabla_control[[#This Row],[LOTE]])=1,INDEX(Tabla_imprenta[CÓD. SOLICITUD],MATCH(Tabla_control[[#This Row],[LOTE]],Tabla_imprenta[LOTE],0)),"REALIZADO")</f>
        <v>0</v>
      </c>
      <c r="C532" s="178" t="str">
        <f>IF(COUNTIF(Tabla_imprenta[LOTE],Tabla_control[[#This Row],[LOTE]])=1,INDEX(Tabla_imprenta[PRODUCTO],MATCH(Tabla_control[[#This Row],[LOTE]],Tabla_imprenta[LOTE],0)),"REALIZADO")</f>
        <v>ESOPRAZOL 20 MG PARA TRIOBACTER</v>
      </c>
      <c r="D532" s="142" t="str">
        <f>IF(COUNTIF(Tabla_imprenta[LOTE],Tabla_control[[#This Row],[LOTE]])=1,INDEX(Tabla_imprenta[FORMA FARMACEUTICA],MATCH(Tabla_control[[#This Row],[LOTE]],Tabla_imprenta[LOTE],0)),"REALIZADO")</f>
        <v>COMPRIMIDO RECUBIERTO - COMPRIMIDO RECUBIERTO - CÁPSULA DE LIBERACIÓN RETARDADA CON MICROGRÁNULOS</v>
      </c>
      <c r="E532" s="177" t="str">
        <f>IF(COUNTIF(Tabla_imprenta[LOTE],Tabla_control[[#This Row],[LOTE]])=1,INDEX(Tabla_imprenta[INSTITUCIÓN],MATCH(Tabla_control[[#This Row],[LOTE]],Tabla_imprenta[LOTE],0)),"REALIZADO")</f>
        <v>COMERCIO</v>
      </c>
      <c r="F532" s="229" t="s">
        <v>5585</v>
      </c>
      <c r="G532" s="139">
        <f>IF(COUNTIF(Tabla_imprenta[LOTE],Tabla_control[[#This Row],[LOTE]])=1,INDEX(Tabla_imprenta[CANTIDAD ENVASE SECUNDARIO],MATCH(Tabla_control[[#This Row],[LOTE]],Tabla_imprenta[LOTE],0)),"ENTREGADO")</f>
        <v>2450</v>
      </c>
      <c r="H532" s="139" t="e">
        <f>IF(COUNTIF(Tabla_imprenta[LOTE],Tabla_control[[#This Row],[LOTE]])=1,INDEX(Tabla_imprenta[stock sap],MATCH(Tabla_control[[#This Row],[LOTE]],Tabla_imprenta[LOTE],0)),"ENTREGADO")</f>
        <v>#N/A</v>
      </c>
      <c r="I532" s="139" t="e">
        <f>IF(Tabla_control[[#This Row],[STOCK SAP]]&gt;Tabla_control[[#This Row],[CANTIDAD IMPRIMIR]],"cubre","no cubre")</f>
        <v>#N/A</v>
      </c>
      <c r="J532" s="182">
        <f>IF(COUNTIF(Tabla_imprenta[LOTE],Tabla_control[[#This Row],[LOTE]])=1,INDEX(Tabla_imprenta[STOCK],MATCH(Tabla_control[[#This Row],[LOTE]],Tabla_imprenta[LOTE],0)),"ENTREGADO")</f>
        <v>0</v>
      </c>
      <c r="K53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32" s="148">
        <f>INDEX(Tabla_imprenta[FECHA CAJA],MATCH(Tabla_control[[#This Row],[LOTE]],Tabla_imprenta[LOTE],0))</f>
        <v>0</v>
      </c>
      <c r="M53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SF</v>
      </c>
      <c r="N532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SF</v>
      </c>
      <c r="O532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SF</v>
      </c>
      <c r="P532" s="170" t="e">
        <f>ROUNDUP(Tabla_control[[#This Row],[CANTIDAD IMPRIMIR]]/Tabla_control[[#This Row],[N TJ]],0)</f>
        <v>#VALUE!</v>
      </c>
      <c r="Q532" s="170" t="e">
        <f>IF(Tabla_control[[#This Row],[CANTIDAD TIRAJE]]&gt;10000,Tabla_control[[#This Row],[CANTIDAD TIRAJE]],Tabla_control[[#This Row],[CANTIDAD TIRAJE]]*2)</f>
        <v>#VALUE!</v>
      </c>
      <c r="R532" s="186" t="s">
        <v>173</v>
      </c>
      <c r="S532" s="4" t="s">
        <v>174</v>
      </c>
      <c r="T532" s="4"/>
      <c r="U532" s="4"/>
      <c r="V532" s="4"/>
      <c r="W532" s="185" t="s">
        <v>5529</v>
      </c>
      <c r="X532" s="185"/>
      <c r="Y532" s="185"/>
      <c r="Z532" s="185"/>
      <c r="AA532" s="186" t="s">
        <v>2031</v>
      </c>
      <c r="AB532" s="184" t="s">
        <v>5700</v>
      </c>
    </row>
    <row r="533" spans="1:28" hidden="1" x14ac:dyDescent="0.2">
      <c r="A533" s="175">
        <f>IF(COUNTIF(Tabla_imprenta[LOTE],Tabla_control[[#This Row],[LOTE]])=1,INDEX(Tabla_imprenta[FECHA EMISIÓN],MATCH(Tabla_control[[#This Row],[LOTE]],Tabla_imprenta[LOTE],0)),"REALIZADO")</f>
        <v>46143</v>
      </c>
      <c r="B533" s="142">
        <f>IF(COUNTIF(Tabla_imprenta[LOTE],Tabla_control[[#This Row],[LOTE]])=1,INDEX(Tabla_imprenta[CÓD. SOLICITUD],MATCH(Tabla_control[[#This Row],[LOTE]],Tabla_imprenta[LOTE],0)),"REALIZADO")</f>
        <v>0</v>
      </c>
      <c r="C533" s="178" t="str">
        <f>IF(COUNTIF(Tabla_imprenta[LOTE],Tabla_control[[#This Row],[LOTE]])=1,INDEX(Tabla_imprenta[PRODUCTO],MATCH(Tabla_control[[#This Row],[LOTE]],Tabla_imprenta[LOTE],0)),"REALIZADO")</f>
        <v>AMOXICILINA 1 G PARA TRIOBACTER</v>
      </c>
      <c r="D533" s="142" t="str">
        <f>IF(COUNTIF(Tabla_imprenta[LOTE],Tabla_control[[#This Row],[LOTE]])=1,INDEX(Tabla_imprenta[FORMA FARMACEUTICA],MATCH(Tabla_control[[#This Row],[LOTE]],Tabla_imprenta[LOTE],0)),"REALIZADO")</f>
        <v>COMPRIMIDO RECUBIERTO - COMPRIMIDO RECUBIERTO - CÁPSULA DE LIBERACIÓN RETARDADA CON MICROGRÁNULOS</v>
      </c>
      <c r="E533" s="177" t="str">
        <f>IF(COUNTIF(Tabla_imprenta[LOTE],Tabla_control[[#This Row],[LOTE]])=1,INDEX(Tabla_imprenta[INSTITUCIÓN],MATCH(Tabla_control[[#This Row],[LOTE]],Tabla_imprenta[LOTE],0)),"REALIZADO")</f>
        <v>COMERCIO</v>
      </c>
      <c r="F533" s="229" t="s">
        <v>5589</v>
      </c>
      <c r="G533" s="139">
        <f>IF(COUNTIF(Tabla_imprenta[LOTE],Tabla_control[[#This Row],[LOTE]])=1,INDEX(Tabla_imprenta[CANTIDAD ENVASE SECUNDARIO],MATCH(Tabla_control[[#This Row],[LOTE]],Tabla_imprenta[LOTE],0)),"ENTREGADO")</f>
        <v>2450</v>
      </c>
      <c r="H533" s="139" t="e">
        <f>IF(COUNTIF(Tabla_imprenta[LOTE],Tabla_control[[#This Row],[LOTE]])=1,INDEX(Tabla_imprenta[stock sap],MATCH(Tabla_control[[#This Row],[LOTE]],Tabla_imprenta[LOTE],0)),"ENTREGADO")</f>
        <v>#N/A</v>
      </c>
      <c r="I533" s="139" t="e">
        <f>IF(Tabla_control[[#This Row],[STOCK SAP]]&gt;Tabla_control[[#This Row],[CANTIDAD IMPRIMIR]],"cubre","no cubre")</f>
        <v>#N/A</v>
      </c>
      <c r="J533" s="182">
        <f>IF(COUNTIF(Tabla_imprenta[LOTE],Tabla_control[[#This Row],[LOTE]])=1,INDEX(Tabla_imprenta[STOCK],MATCH(Tabla_control[[#This Row],[LOTE]],Tabla_imprenta[LOTE],0)),"ENTREGADO")</f>
        <v>0</v>
      </c>
      <c r="K53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33" s="148">
        <f>INDEX(Tabla_imprenta[FECHA CAJA],MATCH(Tabla_control[[#This Row],[LOTE]],Tabla_imprenta[LOTE],0))</f>
        <v>0</v>
      </c>
      <c r="M53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SF</v>
      </c>
      <c r="N533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SF</v>
      </c>
      <c r="O533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SF</v>
      </c>
      <c r="P533" s="170" t="e">
        <f>ROUNDUP(Tabla_control[[#This Row],[CANTIDAD IMPRIMIR]]/Tabla_control[[#This Row],[N TJ]],0)</f>
        <v>#VALUE!</v>
      </c>
      <c r="Q533" s="170" t="e">
        <f>IF(Tabla_control[[#This Row],[CANTIDAD TIRAJE]]&gt;10000,Tabla_control[[#This Row],[CANTIDAD TIRAJE]],Tabla_control[[#This Row],[CANTIDAD TIRAJE]]*2)</f>
        <v>#VALUE!</v>
      </c>
      <c r="R533" s="186" t="s">
        <v>173</v>
      </c>
      <c r="S533" s="4" t="s">
        <v>174</v>
      </c>
      <c r="T533" s="4"/>
      <c r="U533" s="4"/>
      <c r="V533" s="4"/>
      <c r="W533" s="185" t="s">
        <v>5529</v>
      </c>
      <c r="X533" s="185"/>
      <c r="Y533" s="185"/>
      <c r="Z533" s="185"/>
      <c r="AA533" s="186" t="s">
        <v>2031</v>
      </c>
      <c r="AB533" s="184" t="s">
        <v>5700</v>
      </c>
    </row>
    <row r="534" spans="1:28" hidden="1" x14ac:dyDescent="0.2">
      <c r="A534" s="175">
        <f>IF(COUNTIF(Tabla_imprenta[LOTE],Tabla_control[[#This Row],[LOTE]])=1,INDEX(Tabla_imprenta[FECHA EMISIÓN],MATCH(Tabla_control[[#This Row],[LOTE]],Tabla_imprenta[LOTE],0)),"REALIZADO")</f>
        <v>46143</v>
      </c>
      <c r="B534" s="142">
        <f>IF(COUNTIF(Tabla_imprenta[LOTE],Tabla_control[[#This Row],[LOTE]])=1,INDEX(Tabla_imprenta[CÓD. SOLICITUD],MATCH(Tabla_control[[#This Row],[LOTE]],Tabla_imprenta[LOTE],0)),"REALIZADO")</f>
        <v>0</v>
      </c>
      <c r="C534" s="178" t="str">
        <f>IF(COUNTIF(Tabla_imprenta[LOTE],Tabla_control[[#This Row],[LOTE]])=1,INDEX(Tabla_imprenta[PRODUCTO],MATCH(Tabla_control[[#This Row],[LOTE]],Tabla_imprenta[LOTE],0)),"REALIZADO")</f>
        <v>CLARITROMICINA 500 MG PARA TRIOBACTER</v>
      </c>
      <c r="D534" s="142" t="str">
        <f>IF(COUNTIF(Tabla_imprenta[LOTE],Tabla_control[[#This Row],[LOTE]])=1,INDEX(Tabla_imprenta[FORMA FARMACEUTICA],MATCH(Tabla_control[[#This Row],[LOTE]],Tabla_imprenta[LOTE],0)),"REALIZADO")</f>
        <v>COMPRIMIDO RECUBIERTO - COMPRIMIDO RECUBIERTO - CÁPSULA DE LIBERACIÓN RETARDADA CON MICROGRÁNULOS</v>
      </c>
      <c r="E534" s="177" t="str">
        <f>IF(COUNTIF(Tabla_imprenta[LOTE],Tabla_control[[#This Row],[LOTE]])=1,INDEX(Tabla_imprenta[INSTITUCIÓN],MATCH(Tabla_control[[#This Row],[LOTE]],Tabla_imprenta[LOTE],0)),"REALIZADO")</f>
        <v>COMERCIO</v>
      </c>
      <c r="F534" s="229" t="s">
        <v>5603</v>
      </c>
      <c r="G534" s="139">
        <f>IF(COUNTIF(Tabla_imprenta[LOTE],Tabla_control[[#This Row],[LOTE]])=1,INDEX(Tabla_imprenta[CANTIDAD ENVASE SECUNDARIO],MATCH(Tabla_control[[#This Row],[LOTE]],Tabla_imprenta[LOTE],0)),"ENTREGADO")</f>
        <v>2450</v>
      </c>
      <c r="H534" s="139" t="e">
        <f>IF(COUNTIF(Tabla_imprenta[LOTE],Tabla_control[[#This Row],[LOTE]])=1,INDEX(Tabla_imprenta[stock sap],MATCH(Tabla_control[[#This Row],[LOTE]],Tabla_imprenta[LOTE],0)),"ENTREGADO")</f>
        <v>#N/A</v>
      </c>
      <c r="I534" s="139" t="e">
        <f>IF(Tabla_control[[#This Row],[STOCK SAP]]&gt;Tabla_control[[#This Row],[CANTIDAD IMPRIMIR]],"cubre","no cubre")</f>
        <v>#N/A</v>
      </c>
      <c r="J534" s="182">
        <f>IF(COUNTIF(Tabla_imprenta[LOTE],Tabla_control[[#This Row],[LOTE]])=1,INDEX(Tabla_imprenta[STOCK],MATCH(Tabla_control[[#This Row],[LOTE]],Tabla_imprenta[LOTE],0)),"ENTREGADO")</f>
        <v>0</v>
      </c>
      <c r="K53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34" s="148">
        <f>INDEX(Tabla_imprenta[FECHA CAJA],MATCH(Tabla_control[[#This Row],[LOTE]],Tabla_imprenta[LOTE],0))</f>
        <v>0</v>
      </c>
      <c r="M53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SF</v>
      </c>
      <c r="N534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SF</v>
      </c>
      <c r="O534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SF</v>
      </c>
      <c r="P534" s="170" t="e">
        <f>ROUNDUP(Tabla_control[[#This Row],[CANTIDAD IMPRIMIR]]/Tabla_control[[#This Row],[N TJ]],0)</f>
        <v>#VALUE!</v>
      </c>
      <c r="Q534" s="170" t="e">
        <f>IF(Tabla_control[[#This Row],[CANTIDAD TIRAJE]]&gt;10000,Tabla_control[[#This Row],[CANTIDAD TIRAJE]],Tabla_control[[#This Row],[CANTIDAD TIRAJE]]*2)</f>
        <v>#VALUE!</v>
      </c>
      <c r="R534" s="186" t="s">
        <v>173</v>
      </c>
      <c r="S534" s="4" t="s">
        <v>174</v>
      </c>
      <c r="T534" s="4"/>
      <c r="U534" s="4"/>
      <c r="V534" s="4"/>
      <c r="W534" s="185" t="s">
        <v>5529</v>
      </c>
      <c r="X534" s="185"/>
      <c r="Y534" s="185"/>
      <c r="Z534" s="185"/>
      <c r="AA534" s="186" t="s">
        <v>2031</v>
      </c>
      <c r="AB534" s="184" t="s">
        <v>5700</v>
      </c>
    </row>
    <row r="535" spans="1:28" x14ac:dyDescent="0.2">
      <c r="A535" s="175">
        <f>IF(COUNTIF(Tabla_imprenta[LOTE],Tabla_control[[#This Row],[LOTE]])=1,INDEX(Tabla_imprenta[FECHA EMISIÓN],MATCH(Tabla_control[[#This Row],[LOTE]],Tabla_imprenta[LOTE],0)),"REALIZADO")</f>
        <v>46143</v>
      </c>
      <c r="B535" s="142">
        <f>IF(COUNTIF(Tabla_imprenta[LOTE],Tabla_control[[#This Row],[LOTE]])=1,INDEX(Tabla_imprenta[CÓD. SOLICITUD],MATCH(Tabla_control[[#This Row],[LOTE]],Tabla_imprenta[LOTE],0)),"REALIZADO")</f>
        <v>0</v>
      </c>
      <c r="C535" s="177" t="str">
        <f>IF(COUNTIF(Tabla_imprenta[LOTE],Tabla_control[[#This Row],[LOTE]])=1,INDEX(Tabla_imprenta[PRODUCTO],MATCH(Tabla_control[[#This Row],[LOTE]],Tabla_imprenta[LOTE],0)),"REALIZADO")</f>
        <v>TENACAR OMEGA 3,6 &amp; 9 GATO X 120 ML SOLUCION ORAL VETERINARIO</v>
      </c>
      <c r="D535" s="142" t="str">
        <f>IF(COUNTIF(Tabla_imprenta[LOTE],Tabla_control[[#This Row],[LOTE]])=1,INDEX(Tabla_imprenta[FORMA FARMACEUTICA],MATCH(Tabla_control[[#This Row],[LOTE]],Tabla_imprenta[LOTE],0)),"REALIZADO")</f>
        <v>SOLUCION ORAL</v>
      </c>
      <c r="E535" s="177" t="str">
        <f>IF(COUNTIF(Tabla_imprenta[LOTE],Tabla_control[[#This Row],[LOTE]])=1,INDEX(Tabla_imprenta[INSTITUCIÓN],MATCH(Tabla_control[[#This Row],[LOTE]],Tabla_imprenta[LOTE],0)),"REALIZADO")</f>
        <v>COMERCIO</v>
      </c>
      <c r="F535" s="229" t="s">
        <v>5658</v>
      </c>
      <c r="G535" s="139">
        <f>IF(COUNTIF(Tabla_imprenta[LOTE],Tabla_control[[#This Row],[LOTE]])=1,INDEX(Tabla_imprenta[CANTIDAD ENVASE SECUNDARIO],MATCH(Tabla_control[[#This Row],[LOTE]],Tabla_imprenta[LOTE],0)),"ENTREGADO")</f>
        <v>1500</v>
      </c>
      <c r="H535" s="139">
        <f>IF(COUNTIF(Tabla_imprenta[LOTE],Tabla_control[[#This Row],[LOTE]])=1,INDEX(Tabla_imprenta[stock sap],MATCH(Tabla_control[[#This Row],[LOTE]],Tabla_imprenta[LOTE],0)),"ENTREGADO")</f>
        <v>379</v>
      </c>
      <c r="I535" s="139" t="str">
        <f>IF(Tabla_control[[#This Row],[STOCK SAP]]&gt;Tabla_control[[#This Row],[CANTIDAD IMPRIMIR]],"cubre","no cubre")</f>
        <v>no cubre</v>
      </c>
      <c r="J535" s="182">
        <f>IF(COUNTIF(Tabla_imprenta[LOTE],Tabla_control[[#This Row],[LOTE]])=1,INDEX(Tabla_imprenta[STOCK],MATCH(Tabla_control[[#This Row],[LOTE]],Tabla_imprenta[LOTE],0)),"ENTREGADO")</f>
        <v>0</v>
      </c>
      <c r="K53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35" s="148">
        <f>INDEX(Tabla_imprenta[FECHA CAJA],MATCH(Tabla_control[[#This Row],[LOTE]],Tabla_imprenta[LOTE],0))</f>
        <v>0</v>
      </c>
      <c r="M53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FULL COLOR</v>
      </c>
      <c r="N53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3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120</v>
      </c>
      <c r="P535" s="170">
        <f>ROUNDUP(Tabla_control[[#This Row],[CANTIDAD IMPRIMIR]]/Tabla_control[[#This Row],[N TJ]],0)</f>
        <v>750</v>
      </c>
      <c r="Q535" s="170">
        <f>IF(Tabla_control[[#This Row],[CANTIDAD TIRAJE]]&gt;10000,Tabla_control[[#This Row],[CANTIDAD TIRAJE]],Tabla_control[[#This Row],[CANTIDAD TIRAJE]]*2)</f>
        <v>1500</v>
      </c>
      <c r="R535" s="186" t="s">
        <v>2030</v>
      </c>
      <c r="S535" s="4" t="s">
        <v>31</v>
      </c>
      <c r="T535" s="4"/>
      <c r="U535" s="4"/>
      <c r="V535" s="4"/>
      <c r="W535" s="185" t="s">
        <v>5720</v>
      </c>
      <c r="X535" s="185"/>
      <c r="Y535" s="185"/>
      <c r="Z535" s="185"/>
      <c r="AA535" s="186" t="s">
        <v>171</v>
      </c>
      <c r="AB535" s="184" t="s">
        <v>5700</v>
      </c>
    </row>
    <row r="536" spans="1:28" hidden="1" x14ac:dyDescent="0.2">
      <c r="A536" s="175">
        <f>IF(COUNTIF(Tabla_imprenta[LOTE],Tabla_control[[#This Row],[LOTE]])=1,INDEX(Tabla_imprenta[FECHA EMISIÓN],MATCH(Tabla_control[[#This Row],[LOTE]],Tabla_imprenta[LOTE],0)),"REALIZADO")</f>
        <v>46143</v>
      </c>
      <c r="B536" s="142">
        <f>IF(COUNTIF(Tabla_imprenta[LOTE],Tabla_control[[#This Row],[LOTE]])=1,INDEX(Tabla_imprenta[CÓD. SOLICITUD],MATCH(Tabla_control[[#This Row],[LOTE]],Tabla_imprenta[LOTE],0)),"REALIZADO")</f>
        <v>0</v>
      </c>
      <c r="C536" s="177" t="str">
        <f>IF(COUNTIF(Tabla_imprenta[LOTE],Tabla_control[[#This Row],[LOTE]])=1,INDEX(Tabla_imprenta[PRODUCTO],MATCH(Tabla_control[[#This Row],[LOTE]],Tabla_imprenta[LOTE],0)),"REALIZADO")</f>
        <v>PARACETAMOL 120 MG X 60 ML JARABE</v>
      </c>
      <c r="D536" s="142" t="str">
        <f>IF(COUNTIF(Tabla_imprenta[LOTE],Tabla_control[[#This Row],[LOTE]])=1,INDEX(Tabla_imprenta[FORMA FARMACEUTICA],MATCH(Tabla_control[[#This Row],[LOTE]],Tabla_imprenta[LOTE],0)),"REALIZADO")</f>
        <v>JARABE</v>
      </c>
      <c r="E536" s="177" t="str">
        <f>IF(COUNTIF(Tabla_imprenta[LOTE],Tabla_control[[#This Row],[LOTE]])=1,INDEX(Tabla_imprenta[INSTITUCIÓN],MATCH(Tabla_control[[#This Row],[LOTE]],Tabla_imprenta[LOTE],0)),"REALIZADO")</f>
        <v>COMERCIO</v>
      </c>
      <c r="F536" s="229" t="s">
        <v>5662</v>
      </c>
      <c r="G536" s="139">
        <f>IF(COUNTIF(Tabla_imprenta[LOTE],Tabla_control[[#This Row],[LOTE]])=1,INDEX(Tabla_imprenta[CANTIDAD ENVASE SECUNDARIO],MATCH(Tabla_control[[#This Row],[LOTE]],Tabla_imprenta[LOTE],0)),"ENTREGADO")</f>
        <v>29508</v>
      </c>
      <c r="H536" s="139">
        <f>IF(COUNTIF(Tabla_imprenta[LOTE],Tabla_control[[#This Row],[LOTE]])=1,INDEX(Tabla_imprenta[stock sap],MATCH(Tabla_control[[#This Row],[LOTE]],Tabla_imprenta[LOTE],0)),"ENTREGADO")</f>
        <v>863</v>
      </c>
      <c r="I536" s="139" t="str">
        <f>IF(Tabla_control[[#This Row],[STOCK SAP]]&gt;Tabla_control[[#This Row],[CANTIDAD IMPRIMIR]],"cubre","no cubre")</f>
        <v>no cubre</v>
      </c>
      <c r="J536" s="182">
        <f>IF(COUNTIF(Tabla_imprenta[LOTE],Tabla_control[[#This Row],[LOTE]])=1,INDEX(Tabla_imprenta[STOCK],MATCH(Tabla_control[[#This Row],[LOTE]],Tabla_imprenta[LOTE],0)),"ENTREGADO")</f>
        <v>2.5181245664386078</v>
      </c>
      <c r="K53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36" s="148">
        <f>INDEX(Tabla_imprenta[FECHA CAJA],MATCH(Tabla_control[[#This Row],[LOTE]],Tabla_imprenta[LOTE],0))</f>
        <v>0</v>
      </c>
      <c r="M53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3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3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</v>
      </c>
      <c r="P536" s="170">
        <f>ROUNDUP(Tabla_control[[#This Row],[CANTIDAD IMPRIMIR]]/Tabla_control[[#This Row],[N TJ]],0)</f>
        <v>7377</v>
      </c>
      <c r="Q536" s="170">
        <f>IF(Tabla_control[[#This Row],[CANTIDAD TIRAJE]]&gt;10000,Tabla_control[[#This Row],[CANTIDAD TIRAJE]],Tabla_control[[#This Row],[CANTIDAD TIRAJE]]*2)</f>
        <v>14754</v>
      </c>
      <c r="R536" s="186" t="s">
        <v>172</v>
      </c>
      <c r="S536" s="4" t="s">
        <v>30</v>
      </c>
      <c r="T536" s="4"/>
      <c r="U536" s="4"/>
      <c r="V536" s="4"/>
      <c r="W536" s="185" t="s">
        <v>22</v>
      </c>
      <c r="X536" s="185"/>
      <c r="Y536" s="185"/>
      <c r="Z536" s="185"/>
      <c r="AA536" s="186" t="s">
        <v>171</v>
      </c>
      <c r="AB536" s="184" t="s">
        <v>2028</v>
      </c>
    </row>
    <row r="537" spans="1:28" x14ac:dyDescent="0.2">
      <c r="A537" s="175">
        <f>IF(COUNTIF(Tabla_imprenta[LOTE],Tabla_control[[#This Row],[LOTE]])=1,INDEX(Tabla_imprenta[FECHA EMISIÓN],MATCH(Tabla_control[[#This Row],[LOTE]],Tabla_imprenta[LOTE],0)),"REALIZADO")</f>
        <v>46143</v>
      </c>
      <c r="B537" s="142">
        <f>IF(COUNTIF(Tabla_imprenta[LOTE],Tabla_control[[#This Row],[LOTE]])=1,INDEX(Tabla_imprenta[CÓD. SOLICITUD],MATCH(Tabla_control[[#This Row],[LOTE]],Tabla_imprenta[LOTE],0)),"REALIZADO")</f>
        <v>0</v>
      </c>
      <c r="C537" s="178" t="str">
        <f>IF(COUNTIF(Tabla_imprenta[LOTE],Tabla_control[[#This Row],[LOTE]])=1,INDEX(Tabla_imprenta[PRODUCTO],MATCH(Tabla_control[[#This Row],[LOTE]],Tabla_imprenta[LOTE],0)),"REALIZADO")</f>
        <v>POLIGYN PLUS X 10 OVULOS</v>
      </c>
      <c r="D537" s="142" t="str">
        <f>IF(COUNTIF(Tabla_imprenta[LOTE],Tabla_control[[#This Row],[LOTE]])=1,INDEX(Tabla_imprenta[FORMA FARMACEUTICA],MATCH(Tabla_control[[#This Row],[LOTE]],Tabla_imprenta[LOTE],0)),"REALIZADO")</f>
        <v>ÓVULO VAGINAL</v>
      </c>
      <c r="E537" s="177" t="str">
        <f>IF(COUNTIF(Tabla_imprenta[LOTE],Tabla_control[[#This Row],[LOTE]])=1,INDEX(Tabla_imprenta[INSTITUCIÓN],MATCH(Tabla_control[[#This Row],[LOTE]],Tabla_imprenta[LOTE],0)),"REALIZADO")</f>
        <v>COMERCIO</v>
      </c>
      <c r="F537" s="229" t="s">
        <v>5437</v>
      </c>
      <c r="G537" s="139">
        <f>IF(COUNTIF(Tabla_imprenta[LOTE],Tabla_control[[#This Row],[LOTE]])=1,INDEX(Tabla_imprenta[CANTIDAD ENVASE SECUNDARIO],MATCH(Tabla_control[[#This Row],[LOTE]],Tabla_imprenta[LOTE],0)),"ENTREGADO")</f>
        <v>10000</v>
      </c>
      <c r="H537" s="139">
        <f>IF(COUNTIF(Tabla_imprenta[LOTE],Tabla_control[[#This Row],[LOTE]])=1,INDEX(Tabla_imprenta[stock sap],MATCH(Tabla_control[[#This Row],[LOTE]],Tabla_imprenta[LOTE],0)),"ENTREGADO")</f>
        <v>789</v>
      </c>
      <c r="I537" s="139" t="str">
        <f>IF(Tabla_control[[#This Row],[STOCK SAP]]&gt;Tabla_control[[#This Row],[CANTIDAD IMPRIMIR]],"cubre","no cubre")</f>
        <v>no cubre</v>
      </c>
      <c r="J537" s="182">
        <f>IF(COUNTIF(Tabla_imprenta[LOTE],Tabla_control[[#This Row],[LOTE]])=1,INDEX(Tabla_imprenta[STOCK],MATCH(Tabla_control[[#This Row],[LOTE]],Tabla_imprenta[LOTE],0)),"ENTREGADO")</f>
        <v>6.7430883344571813E-4</v>
      </c>
      <c r="K53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37" s="148">
        <f>INDEX(Tabla_imprenta[FECHA CAJA],MATCH(Tabla_control[[#This Row],[LOTE]],Tabla_imprenta[LOTE],0))</f>
        <v>0</v>
      </c>
      <c r="M53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53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53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16</v>
      </c>
      <c r="P537" s="170">
        <f>ROUNDUP(Tabla_control[[#This Row],[CANTIDAD IMPRIMIR]]/Tabla_control[[#This Row],[N TJ]],0)</f>
        <v>1667</v>
      </c>
      <c r="Q537" s="170">
        <f>IF(Tabla_control[[#This Row],[CANTIDAD TIRAJE]]&gt;10000,Tabla_control[[#This Row],[CANTIDAD TIRAJE]],Tabla_control[[#This Row],[CANTIDAD TIRAJE]]*2)</f>
        <v>3334</v>
      </c>
      <c r="R537" s="186" t="s">
        <v>175</v>
      </c>
      <c r="S537" s="4" t="s">
        <v>174</v>
      </c>
      <c r="T537" s="4"/>
      <c r="U537" s="4"/>
      <c r="V537" s="4"/>
      <c r="W537" s="185" t="s">
        <v>2983</v>
      </c>
      <c r="X537" s="185" t="s">
        <v>88</v>
      </c>
      <c r="Y537" s="185" t="s">
        <v>5726</v>
      </c>
      <c r="Z537" s="185" t="s">
        <v>88</v>
      </c>
      <c r="AA537" s="186" t="s">
        <v>171</v>
      </c>
      <c r="AB537" s="184" t="s">
        <v>4464</v>
      </c>
    </row>
    <row r="538" spans="1:28" hidden="1" x14ac:dyDescent="0.2">
      <c r="A538" s="175">
        <f>IF(COUNTIF(Tabla_imprenta[LOTE],Tabla_control[[#This Row],[LOTE]])=1,INDEX(Tabla_imprenta[FECHA EMISIÓN],MATCH(Tabla_control[[#This Row],[LOTE]],Tabla_imprenta[LOTE],0)),"REALIZADO")</f>
        <v>46143</v>
      </c>
      <c r="B538" s="142">
        <f>IF(COUNTIF(Tabla_imprenta[LOTE],Tabla_control[[#This Row],[LOTE]])=1,INDEX(Tabla_imprenta[CÓD. SOLICITUD],MATCH(Tabla_control[[#This Row],[LOTE]],Tabla_imprenta[LOTE],0)),"REALIZADO")</f>
        <v>0</v>
      </c>
      <c r="C538" s="177" t="str">
        <f>IF(COUNTIF(Tabla_imprenta[LOTE],Tabla_control[[#This Row],[LOTE]])=1,INDEX(Tabla_imprenta[PRODUCTO],MATCH(Tabla_control[[#This Row],[LOTE]],Tabla_imprenta[LOTE],0)),"REALIZADO")</f>
        <v>GRISEOVINA 40 MG X 30 CAP. BLANDAS</v>
      </c>
      <c r="D538" s="142" t="str">
        <f>IF(COUNTIF(Tabla_imprenta[LOTE],Tabla_control[[#This Row],[LOTE]])=1,INDEX(Tabla_imprenta[FORMA FARMACEUTICA],MATCH(Tabla_control[[#This Row],[LOTE]],Tabla_imprenta[LOTE],0)),"REALIZADO")</f>
        <v>CÁPSULA BLANDA</v>
      </c>
      <c r="E538" s="177" t="str">
        <f>IF(COUNTIF(Tabla_imprenta[LOTE],Tabla_control[[#This Row],[LOTE]])=1,INDEX(Tabla_imprenta[INSTITUCIÓN],MATCH(Tabla_control[[#This Row],[LOTE]],Tabla_imprenta[LOTE],0)),"REALIZADO")</f>
        <v>COMERCIO</v>
      </c>
      <c r="F538" s="229" t="s">
        <v>5441</v>
      </c>
      <c r="G538" s="139">
        <f>IF(COUNTIF(Tabla_imprenta[LOTE],Tabla_control[[#This Row],[LOTE]])=1,INDEX(Tabla_imprenta[CANTIDAD ENVASE SECUNDARIO],MATCH(Tabla_control[[#This Row],[LOTE]],Tabla_imprenta[LOTE],0)),"ENTREGADO")</f>
        <v>500</v>
      </c>
      <c r="H538" s="139" t="e">
        <f>IF(COUNTIF(Tabla_imprenta[LOTE],Tabla_control[[#This Row],[LOTE]])=1,INDEX(Tabla_imprenta[stock sap],MATCH(Tabla_control[[#This Row],[LOTE]],Tabla_imprenta[LOTE],0)),"ENTREGADO")</f>
        <v>#N/A</v>
      </c>
      <c r="I538" s="139" t="e">
        <f>IF(Tabla_control[[#This Row],[STOCK SAP]]&gt;Tabla_control[[#This Row],[CANTIDAD IMPRIMIR]],"cubre","no cubre")</f>
        <v>#N/A</v>
      </c>
      <c r="J538" s="182">
        <f>IF(COUNTIF(Tabla_imprenta[LOTE],Tabla_control[[#This Row],[LOTE]])=1,INDEX(Tabla_imprenta[STOCK],MATCH(Tabla_control[[#This Row],[LOTE]],Tabla_imprenta[LOTE],0)),"ENTREGADO")</f>
        <v>0.28268551236749118</v>
      </c>
      <c r="K53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38" s="148">
        <f>INDEX(Tabla_imprenta[FECHA CAJA],MATCH(Tabla_control[[#This Row],[LOTE]],Tabla_imprenta[LOTE],0))</f>
        <v>0</v>
      </c>
      <c r="M53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NARANJA</v>
      </c>
      <c r="N53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53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15</v>
      </c>
      <c r="P538" s="170">
        <f>ROUNDUP(Tabla_control[[#This Row],[CANTIDAD IMPRIMIR]]/Tabla_control[[#This Row],[N TJ]],0)</f>
        <v>167</v>
      </c>
      <c r="Q538" s="170">
        <f>IF(Tabla_control[[#This Row],[CANTIDAD TIRAJE]]&gt;10000,Tabla_control[[#This Row],[CANTIDAD TIRAJE]],Tabla_control[[#This Row],[CANTIDAD TIRAJE]]*2)</f>
        <v>334</v>
      </c>
      <c r="R538" s="186" t="s">
        <v>2206</v>
      </c>
      <c r="S538" s="4" t="s">
        <v>174</v>
      </c>
      <c r="T538" s="4"/>
      <c r="U538" s="4"/>
      <c r="V538" s="4"/>
      <c r="W538" s="185" t="s">
        <v>321</v>
      </c>
      <c r="X538" s="185"/>
      <c r="Y538" s="185"/>
      <c r="Z538" s="185"/>
      <c r="AA538" s="186" t="s">
        <v>321</v>
      </c>
      <c r="AB538" s="184" t="s">
        <v>4464</v>
      </c>
    </row>
    <row r="539" spans="1:28" x14ac:dyDescent="0.2">
      <c r="A539" s="175">
        <f>IF(COUNTIF(Tabla_imprenta[LOTE],Tabla_control[[#This Row],[LOTE]])=1,INDEX(Tabla_imprenta[FECHA EMISIÓN],MATCH(Tabla_control[[#This Row],[LOTE]],Tabla_imprenta[LOTE],0)),"REALIZADO")</f>
        <v>46143</v>
      </c>
      <c r="B539" s="142">
        <f>IF(COUNTIF(Tabla_imprenta[LOTE],Tabla_control[[#This Row],[LOTE]])=1,INDEX(Tabla_imprenta[CÓD. SOLICITUD],MATCH(Tabla_control[[#This Row],[LOTE]],Tabla_imprenta[LOTE],0)),"REALIZADO")</f>
        <v>0</v>
      </c>
      <c r="C539" s="178" t="str">
        <f>IF(COUNTIF(Tabla_imprenta[LOTE],Tabla_control[[#This Row],[LOTE]])=1,INDEX(Tabla_imprenta[PRODUCTO],MATCH(Tabla_control[[#This Row],[LOTE]],Tabla_imprenta[LOTE],0)),"REALIZADO")</f>
        <v>DICLOFENACO 1% X 30 G GEL</v>
      </c>
      <c r="D539" s="142" t="str">
        <f>IF(COUNTIF(Tabla_imprenta[LOTE],Tabla_control[[#This Row],[LOTE]])=1,INDEX(Tabla_imprenta[FORMA FARMACEUTICA],MATCH(Tabla_control[[#This Row],[LOTE]],Tabla_imprenta[LOTE],0)),"REALIZADO")</f>
        <v>GEL</v>
      </c>
      <c r="E539" s="177" t="str">
        <f>IF(COUNTIF(Tabla_imprenta[LOTE],Tabla_control[[#This Row],[LOTE]])=1,INDEX(Tabla_imprenta[INSTITUCIÓN],MATCH(Tabla_control[[#This Row],[LOTE]],Tabla_imprenta[LOTE],0)),"REALIZADO")</f>
        <v>COMERCIO</v>
      </c>
      <c r="F539" s="229" t="s">
        <v>5378</v>
      </c>
      <c r="G539" s="139">
        <f>IF(COUNTIF(Tabla_imprenta[LOTE],Tabla_control[[#This Row],[LOTE]])=1,INDEX(Tabla_imprenta[CANTIDAD ENVASE SECUNDARIO],MATCH(Tabla_control[[#This Row],[LOTE]],Tabla_imprenta[LOTE],0)),"ENTREGADO")</f>
        <v>15300</v>
      </c>
      <c r="H539" s="139">
        <f>IF(COUNTIF(Tabla_imprenta[LOTE],Tabla_control[[#This Row],[LOTE]])=1,INDEX(Tabla_imprenta[stock sap],MATCH(Tabla_control[[#This Row],[LOTE]],Tabla_imprenta[LOTE],0)),"ENTREGADO")</f>
        <v>3340</v>
      </c>
      <c r="I539" s="139" t="str">
        <f>IF(Tabla_control[[#This Row],[STOCK SAP]]&gt;Tabla_control[[#This Row],[CANTIDAD IMPRIMIR]],"cubre","no cubre")</f>
        <v>no cubre</v>
      </c>
      <c r="J539" s="182">
        <f>IF(COUNTIF(Tabla_imprenta[LOTE],Tabla_control[[#This Row],[LOTE]])=1,INDEX(Tabla_imprenta[STOCK],MATCH(Tabla_control[[#This Row],[LOTE]],Tabla_imprenta[LOTE],0)),"ENTREGADO")</f>
        <v>0.39788184998056741</v>
      </c>
      <c r="K539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46160</v>
      </c>
      <c r="L539" s="148">
        <f>INDEX(Tabla_imprenta[FECHA CAJA],MATCH(Tabla_control[[#This Row],[LOTE]],Tabla_imprenta[LOTE],0))</f>
        <v>0</v>
      </c>
      <c r="M53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3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3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539" s="170">
        <f>ROUNDUP(Tabla_control[[#This Row],[CANTIDAD IMPRIMIR]]/Tabla_control[[#This Row],[N TJ]],0)</f>
        <v>3825</v>
      </c>
      <c r="Q539" s="170">
        <f>IF(Tabla_control[[#This Row],[CANTIDAD TIRAJE]]&gt;10000,Tabla_control[[#This Row],[CANTIDAD TIRAJE]],Tabla_control[[#This Row],[CANTIDAD TIRAJE]]*2)</f>
        <v>7650</v>
      </c>
      <c r="R539" s="186" t="s">
        <v>172</v>
      </c>
      <c r="S539" s="4" t="s">
        <v>30</v>
      </c>
      <c r="T539" s="4"/>
      <c r="U539" s="4"/>
      <c r="V539" s="4"/>
      <c r="W539" s="185" t="s">
        <v>22</v>
      </c>
      <c r="X539" s="185"/>
      <c r="Y539" s="185"/>
      <c r="Z539" s="185"/>
      <c r="AA539" s="186" t="s">
        <v>171</v>
      </c>
      <c r="AB539" s="184" t="s">
        <v>4464</v>
      </c>
    </row>
    <row r="540" spans="1:28" x14ac:dyDescent="0.2">
      <c r="A540" s="175">
        <f>IF(COUNTIF(Tabla_imprenta[LOTE],Tabla_control[[#This Row],[LOTE]])=1,INDEX(Tabla_imprenta[FECHA EMISIÓN],MATCH(Tabla_control[[#This Row],[LOTE]],Tabla_imprenta[LOTE],0)),"REALIZADO")</f>
        <v>46143</v>
      </c>
      <c r="B540" s="142">
        <f>IF(COUNTIF(Tabla_imprenta[LOTE],Tabla_control[[#This Row],[LOTE]])=1,INDEX(Tabla_imprenta[CÓD. SOLICITUD],MATCH(Tabla_control[[#This Row],[LOTE]],Tabla_imprenta[LOTE],0)),"REALIZADO")</f>
        <v>0</v>
      </c>
      <c r="C540" s="178" t="str">
        <f>IF(COUNTIF(Tabla_imprenta[LOTE],Tabla_control[[#This Row],[LOTE]])=1,INDEX(Tabla_imprenta[PRODUCTO],MATCH(Tabla_control[[#This Row],[LOTE]],Tabla_imprenta[LOTE],0)),"REALIZADO")</f>
        <v>ALYSIA NF X 10 OVULOS</v>
      </c>
      <c r="D540" s="142" t="str">
        <f>IF(COUNTIF(Tabla_imprenta[LOTE],Tabla_control[[#This Row],[LOTE]])=1,INDEX(Tabla_imprenta[FORMA FARMACEUTICA],MATCH(Tabla_control[[#This Row],[LOTE]],Tabla_imprenta[LOTE],0)),"REALIZADO")</f>
        <v>ÓVULO VAGINAL</v>
      </c>
      <c r="E540" s="177" t="str">
        <f>IF(COUNTIF(Tabla_imprenta[LOTE],Tabla_control[[#This Row],[LOTE]])=1,INDEX(Tabla_imprenta[INSTITUCIÓN],MATCH(Tabla_control[[#This Row],[LOTE]],Tabla_imprenta[LOTE],0)),"REALIZADO")</f>
        <v>COMERCIO</v>
      </c>
      <c r="F540" s="229" t="s">
        <v>5399</v>
      </c>
      <c r="G540" s="139">
        <f>IF(COUNTIF(Tabla_imprenta[LOTE],Tabla_control[[#This Row],[LOTE]])=1,INDEX(Tabla_imprenta[CANTIDAD ENVASE SECUNDARIO],MATCH(Tabla_control[[#This Row],[LOTE]],Tabla_imprenta[LOTE],0)),"ENTREGADO")</f>
        <v>13000</v>
      </c>
      <c r="H540" s="139">
        <f>IF(COUNTIF(Tabla_imprenta[LOTE],Tabla_control[[#This Row],[LOTE]])=1,INDEX(Tabla_imprenta[stock sap],MATCH(Tabla_control[[#This Row],[LOTE]],Tabla_imprenta[LOTE],0)),"ENTREGADO")</f>
        <v>1082</v>
      </c>
      <c r="I540" s="139" t="str">
        <f>IF(Tabla_control[[#This Row],[STOCK SAP]]&gt;Tabla_control[[#This Row],[CANTIDAD IMPRIMIR]],"cubre","no cubre")</f>
        <v>no cubre</v>
      </c>
      <c r="J540" s="182">
        <f>IF(COUNTIF(Tabla_imprenta[LOTE],Tabla_control[[#This Row],[LOTE]])=1,INDEX(Tabla_imprenta[STOCK],MATCH(Tabla_control[[#This Row],[LOTE]],Tabla_imprenta[LOTE],0)),"ENTREGADO")</f>
        <v>0.3872823134686052</v>
      </c>
      <c r="K54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40" s="148">
        <f>INDEX(Tabla_imprenta[FECHA CAJA],MATCH(Tabla_control[[#This Row],[LOTE]],Tabla_imprenta[LOTE],0))</f>
        <v>0</v>
      </c>
      <c r="M54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54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54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15</v>
      </c>
      <c r="P540" s="170">
        <f>ROUNDUP(Tabla_control[[#This Row],[CANTIDAD IMPRIMIR]]/Tabla_control[[#This Row],[N TJ]],0)</f>
        <v>4334</v>
      </c>
      <c r="Q540" s="170">
        <f>IF(Tabla_control[[#This Row],[CANTIDAD TIRAJE]]&gt;10000,Tabla_control[[#This Row],[CANTIDAD TIRAJE]],Tabla_control[[#This Row],[CANTIDAD TIRAJE]]*2)</f>
        <v>8668</v>
      </c>
      <c r="R540" s="186" t="s">
        <v>175</v>
      </c>
      <c r="S540" s="4" t="s">
        <v>174</v>
      </c>
      <c r="T540" s="4"/>
      <c r="U540" s="4"/>
      <c r="V540" s="4"/>
      <c r="W540" s="185" t="s">
        <v>2983</v>
      </c>
      <c r="X540" s="185" t="s">
        <v>88</v>
      </c>
      <c r="Y540" s="185" t="s">
        <v>5726</v>
      </c>
      <c r="Z540" s="185" t="s">
        <v>88</v>
      </c>
      <c r="AA540" s="186" t="s">
        <v>171</v>
      </c>
      <c r="AB540" s="184" t="s">
        <v>4464</v>
      </c>
    </row>
    <row r="541" spans="1:28" hidden="1" x14ac:dyDescent="0.2">
      <c r="A541" s="175">
        <f>IF(COUNTIF(Tabla_imprenta[LOTE],Tabla_control[[#This Row],[LOTE]])=1,INDEX(Tabla_imprenta[FECHA EMISIÓN],MATCH(Tabla_control[[#This Row],[LOTE]],Tabla_imprenta[LOTE],0)),"REALIZADO")</f>
        <v>46113</v>
      </c>
      <c r="B541" s="142">
        <f>IF(COUNTIF(Tabla_imprenta[LOTE],Tabla_control[[#This Row],[LOTE]])=1,INDEX(Tabla_imprenta[CÓD. SOLICITUD],MATCH(Tabla_control[[#This Row],[LOTE]],Tabla_imprenta[LOTE],0)),"REALIZADO")</f>
        <v>0</v>
      </c>
      <c r="C541" s="177" t="str">
        <f>IF(COUNTIF(Tabla_imprenta[LOTE],Tabla_control[[#This Row],[LOTE]])=1,INDEX(Tabla_imprenta[PRODUCTO],MATCH(Tabla_control[[#This Row],[LOTE]],Tabla_imprenta[LOTE],0)),"REALIZADO")</f>
        <v>COMPLEJO B X 100 ML JARABE</v>
      </c>
      <c r="D541" s="142" t="str">
        <f>IF(COUNTIF(Tabla_imprenta[LOTE],Tabla_control[[#This Row],[LOTE]])=1,INDEX(Tabla_imprenta[FORMA FARMACEUTICA],MATCH(Tabla_control[[#This Row],[LOTE]],Tabla_imprenta[LOTE],0)),"REALIZADO")</f>
        <v>JARABE</v>
      </c>
      <c r="E541" s="177" t="str">
        <f>IF(COUNTIF(Tabla_imprenta[LOTE],Tabla_control[[#This Row],[LOTE]])=1,INDEX(Tabla_imprenta[INSTITUCIÓN],MATCH(Tabla_control[[#This Row],[LOTE]],Tabla_imprenta[LOTE],0)),"REALIZADO")</f>
        <v>COMERCIO</v>
      </c>
      <c r="F541" s="181" t="s">
        <v>3174</v>
      </c>
      <c r="G541" s="139">
        <f>IF(COUNTIF(Tabla_imprenta[LOTE],Tabla_control[[#This Row],[LOTE]])=1,INDEX(Tabla_imprenta[CANTIDAD ENVASE SECUNDARIO],MATCH(Tabla_control[[#This Row],[LOTE]],Tabla_imprenta[LOTE],0)),"ENTREGADO")</f>
        <v>9901</v>
      </c>
      <c r="H541" s="139">
        <f>IF(COUNTIF(Tabla_imprenta[LOTE],Tabla_control[[#This Row],[LOTE]])=1,INDEX(Tabla_imprenta[stock sap],MATCH(Tabla_control[[#This Row],[LOTE]],Tabla_imprenta[LOTE],0)),"ENTREGADO")</f>
        <v>512</v>
      </c>
      <c r="I541" s="139" t="str">
        <f>IF(Tabla_control[[#This Row],[STOCK SAP]]&gt;Tabla_control[[#This Row],[CANTIDAD IMPRIMIR]],"cubre","no cubre")</f>
        <v>no cubre</v>
      </c>
      <c r="J541" s="182">
        <f>IF(COUNTIF(Tabla_imprenta[LOTE],Tabla_control[[#This Row],[LOTE]])=1,INDEX(Tabla_imprenta[STOCK],MATCH(Tabla_control[[#This Row],[LOTE]],Tabla_imprenta[LOTE],0)),"ENTREGADO")</f>
        <v>0.6874176672061425</v>
      </c>
      <c r="K54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41" s="148">
        <f>INDEX(Tabla_imprenta[FECHA CAJA],MATCH(Tabla_control[[#This Row],[LOTE]],Tabla_imprenta[LOTE],0))</f>
        <v>46157</v>
      </c>
      <c r="M54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4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4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41" s="170">
        <f>ROUNDUP(Tabla_control[[#This Row],[CANTIDAD IMPRIMIR]]/Tabla_control[[#This Row],[N TJ]],0)</f>
        <v>4951</v>
      </c>
      <c r="Q541" s="170">
        <f>IF(Tabla_control[[#This Row],[CANTIDAD TIRAJE]]&gt;10000,Tabla_control[[#This Row],[CANTIDAD TIRAJE]],Tabla_control[[#This Row],[CANTIDAD TIRAJE]]*2)</f>
        <v>9902</v>
      </c>
      <c r="R541" s="186" t="s">
        <v>172</v>
      </c>
      <c r="S541" s="4" t="s">
        <v>30</v>
      </c>
      <c r="T541" s="4"/>
      <c r="U541" s="4"/>
      <c r="V541" s="4"/>
      <c r="W541" s="185" t="s">
        <v>3223</v>
      </c>
      <c r="X541" s="185"/>
      <c r="Y541" s="185"/>
      <c r="Z541" s="185"/>
      <c r="AA541" s="186" t="s">
        <v>2031</v>
      </c>
      <c r="AB541" s="184" t="s">
        <v>3222</v>
      </c>
    </row>
    <row r="542" spans="1:28" hidden="1" x14ac:dyDescent="0.2">
      <c r="A542" s="175">
        <f>IF(COUNTIF(Tabla_imprenta[LOTE],Tabla_control[[#This Row],[LOTE]])=1,INDEX(Tabla_imprenta[FECHA EMISIÓN],MATCH(Tabla_control[[#This Row],[LOTE]],Tabla_imprenta[LOTE],0)),"REALIZADO")</f>
        <v>46143</v>
      </c>
      <c r="B542" s="142">
        <f>IF(COUNTIF(Tabla_imprenta[LOTE],Tabla_control[[#This Row],[LOTE]])=1,INDEX(Tabla_imprenta[CÓD. SOLICITUD],MATCH(Tabla_control[[#This Row],[LOTE]],Tabla_imprenta[LOTE],0)),"REALIZADO")</f>
        <v>0</v>
      </c>
      <c r="C542" s="177" t="str">
        <f>IF(COUNTIF(Tabla_imprenta[LOTE],Tabla_control[[#This Row],[LOTE]])=1,INDEX(Tabla_imprenta[PRODUCTO],MATCH(Tabla_control[[#This Row],[LOTE]],Tabla_imprenta[LOTE],0)),"REALIZADO")</f>
        <v>SARNOL 5% X 30 G CREMA DERMICA</v>
      </c>
      <c r="D542" s="142" t="str">
        <f>IF(COUNTIF(Tabla_imprenta[LOTE],Tabla_control[[#This Row],[LOTE]])=1,INDEX(Tabla_imprenta[FORMA FARMACEUTICA],MATCH(Tabla_control[[#This Row],[LOTE]],Tabla_imprenta[LOTE],0)),"REALIZADO")</f>
        <v>CREMA DÉRMICA</v>
      </c>
      <c r="E542" s="177" t="str">
        <f>IF(COUNTIF(Tabla_imprenta[LOTE],Tabla_control[[#This Row],[LOTE]])=1,INDEX(Tabla_imprenta[INSTITUCIÓN],MATCH(Tabla_control[[#This Row],[LOTE]],Tabla_imprenta[LOTE],0)),"REALIZADO")</f>
        <v>COMERCIO</v>
      </c>
      <c r="F542" s="229" t="s">
        <v>5387</v>
      </c>
      <c r="G542" s="139">
        <f>IF(COUNTIF(Tabla_imprenta[LOTE],Tabla_control[[#This Row],[LOTE]])=1,INDEX(Tabla_imprenta[CANTIDAD ENVASE SECUNDARIO],MATCH(Tabla_control[[#This Row],[LOTE]],Tabla_imprenta[LOTE],0)),"ENTREGADO")</f>
        <v>9000</v>
      </c>
      <c r="H542" s="139">
        <f>IF(COUNTIF(Tabla_imprenta[LOTE],Tabla_control[[#This Row],[LOTE]])=1,INDEX(Tabla_imprenta[stock sap],MATCH(Tabla_control[[#This Row],[LOTE]],Tabla_imprenta[LOTE],0)),"ENTREGADO")</f>
        <v>1051</v>
      </c>
      <c r="I542" s="139" t="str">
        <f>IF(Tabla_control[[#This Row],[STOCK SAP]]&gt;Tabla_control[[#This Row],[CANTIDAD IMPRIMIR]],"cubre","no cubre")</f>
        <v>no cubre</v>
      </c>
      <c r="J542" s="182">
        <f>IF(COUNTIF(Tabla_imprenta[LOTE],Tabla_control[[#This Row],[LOTE]])=1,INDEX(Tabla_imprenta[STOCK],MATCH(Tabla_control[[#This Row],[LOTE]],Tabla_imprenta[LOTE],0)),"ENTREGADO")</f>
        <v>0.83776795395779458</v>
      </c>
      <c r="K542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46167</v>
      </c>
      <c r="L542" s="148">
        <f>INDEX(Tabla_imprenta[FECHA CAJA],MATCH(Tabla_control[[#This Row],[LOTE]],Tabla_imprenta[LOTE],0))</f>
        <v>0</v>
      </c>
      <c r="M54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4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4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542" s="170">
        <f>ROUNDUP(Tabla_control[[#This Row],[CANTIDAD IMPRIMIR]]/Tabla_control[[#This Row],[N TJ]],0)</f>
        <v>2250</v>
      </c>
      <c r="Q542" s="170">
        <f>IF(Tabla_control[[#This Row],[CANTIDAD TIRAJE]]&gt;10000,Tabla_control[[#This Row],[CANTIDAD TIRAJE]],Tabla_control[[#This Row],[CANTIDAD TIRAJE]]*2)</f>
        <v>4500</v>
      </c>
      <c r="R542" s="186" t="s">
        <v>173</v>
      </c>
      <c r="S542" s="4" t="s">
        <v>174</v>
      </c>
      <c r="T542" s="4"/>
      <c r="U542" s="4"/>
      <c r="V542" s="4"/>
      <c r="W542" s="185" t="s">
        <v>3223</v>
      </c>
      <c r="X542" s="185"/>
      <c r="Y542" s="185"/>
      <c r="Z542" s="185"/>
      <c r="AA542" s="186" t="s">
        <v>2031</v>
      </c>
      <c r="AB542" s="184" t="s">
        <v>4464</v>
      </c>
    </row>
    <row r="543" spans="1:28" hidden="1" x14ac:dyDescent="0.2">
      <c r="A543" s="175">
        <f>IF(COUNTIF(Tabla_imprenta[LOTE],Tabla_control[[#This Row],[LOTE]])=1,INDEX(Tabla_imprenta[FECHA EMISIÓN],MATCH(Tabla_control[[#This Row],[LOTE]],Tabla_imprenta[LOTE],0)),"REALIZADO")</f>
        <v>46143</v>
      </c>
      <c r="B543" s="142">
        <f>IF(COUNTIF(Tabla_imprenta[LOTE],Tabla_control[[#This Row],[LOTE]])=1,INDEX(Tabla_imprenta[CÓD. SOLICITUD],MATCH(Tabla_control[[#This Row],[LOTE]],Tabla_imprenta[LOTE],0)),"REALIZADO")</f>
        <v>0</v>
      </c>
      <c r="C543" s="177" t="str">
        <f>IF(COUNTIF(Tabla_imprenta[LOTE],Tabla_control[[#This Row],[LOTE]])=1,INDEX(Tabla_imprenta[PRODUCTO],MATCH(Tabla_control[[#This Row],[LOTE]],Tabla_imprenta[LOTE],0)),"REALIZADO")</f>
        <v>ROSUVAST 20 MG X 30 CAP. BLANDAS</v>
      </c>
      <c r="D543" s="142" t="str">
        <f>IF(COUNTIF(Tabla_imprenta[LOTE],Tabla_control[[#This Row],[LOTE]])=1,INDEX(Tabla_imprenta[FORMA FARMACEUTICA],MATCH(Tabla_control[[#This Row],[LOTE]],Tabla_imprenta[LOTE],0)),"REALIZADO")</f>
        <v>CÁPSULA BLANDA</v>
      </c>
      <c r="E543" s="177" t="str">
        <f>IF(COUNTIF(Tabla_imprenta[LOTE],Tabla_control[[#This Row],[LOTE]])=1,INDEX(Tabla_imprenta[INSTITUCIÓN],MATCH(Tabla_control[[#This Row],[LOTE]],Tabla_imprenta[LOTE],0)),"REALIZADO")</f>
        <v>COMERCIO</v>
      </c>
      <c r="F543" s="229" t="s">
        <v>5396</v>
      </c>
      <c r="G543" s="139">
        <f>IF(COUNTIF(Tabla_imprenta[LOTE],Tabla_control[[#This Row],[LOTE]])=1,INDEX(Tabla_imprenta[CANTIDAD ENVASE SECUNDARIO],MATCH(Tabla_control[[#This Row],[LOTE]],Tabla_imprenta[LOTE],0)),"ENTREGADO")</f>
        <v>1000</v>
      </c>
      <c r="H543" s="139">
        <f>IF(COUNTIF(Tabla_imprenta[LOTE],Tabla_control[[#This Row],[LOTE]])=1,INDEX(Tabla_imprenta[stock sap],MATCH(Tabla_control[[#This Row],[LOTE]],Tabla_imprenta[LOTE],0)),"ENTREGADO")</f>
        <v>300</v>
      </c>
      <c r="I543" s="139" t="str">
        <f>IF(Tabla_control[[#This Row],[STOCK SAP]]&gt;Tabla_control[[#This Row],[CANTIDAD IMPRIMIR]],"cubre","no cubre")</f>
        <v>no cubre</v>
      </c>
      <c r="J543" s="182">
        <f>IF(COUNTIF(Tabla_imprenta[LOTE],Tabla_control[[#This Row],[LOTE]])=1,INDEX(Tabla_imprenta[STOCK],MATCH(Tabla_control[[#This Row],[LOTE]],Tabla_imprenta[LOTE],0)),"ENTREGADO")</f>
        <v>0.96660513508977985</v>
      </c>
      <c r="K54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43" s="148">
        <f>INDEX(Tabla_imprenta[FECHA CAJA],MATCH(Tabla_control[[#This Row],[LOTE]],Tabla_imprenta[LOTE],0))</f>
        <v>0</v>
      </c>
      <c r="M54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NARANJA</v>
      </c>
      <c r="N54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54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67</v>
      </c>
      <c r="P543" s="170">
        <f>ROUNDUP(Tabla_control[[#This Row],[CANTIDAD IMPRIMIR]]/Tabla_control[[#This Row],[N TJ]],0)</f>
        <v>334</v>
      </c>
      <c r="Q543" s="170">
        <f>IF(Tabla_control[[#This Row],[CANTIDAD TIRAJE]]&gt;10000,Tabla_control[[#This Row],[CANTIDAD TIRAJE]],Tabla_control[[#This Row],[CANTIDAD TIRAJE]]*2)</f>
        <v>668</v>
      </c>
      <c r="R543" s="186" t="s">
        <v>2206</v>
      </c>
      <c r="S543" s="4" t="s">
        <v>174</v>
      </c>
      <c r="T543" s="4"/>
      <c r="U543" s="4"/>
      <c r="V543" s="4"/>
      <c r="W543" s="185" t="s">
        <v>321</v>
      </c>
      <c r="X543" s="185"/>
      <c r="Y543" s="185"/>
      <c r="Z543" s="185"/>
      <c r="AA543" s="186" t="s">
        <v>321</v>
      </c>
      <c r="AB543" s="184" t="s">
        <v>4464</v>
      </c>
    </row>
    <row r="544" spans="1:28" x14ac:dyDescent="0.2">
      <c r="A544" s="175">
        <f>IF(COUNTIF(Tabla_imprenta[LOTE],Tabla_control[[#This Row],[LOTE]])=1,INDEX(Tabla_imprenta[FECHA EMISIÓN],MATCH(Tabla_control[[#This Row],[LOTE]],Tabla_imprenta[LOTE],0)),"REALIZADO")</f>
        <v>46143</v>
      </c>
      <c r="B544" s="142">
        <f>IF(COUNTIF(Tabla_imprenta[LOTE],Tabla_control[[#This Row],[LOTE]])=1,INDEX(Tabla_imprenta[CÓD. SOLICITUD],MATCH(Tabla_control[[#This Row],[LOTE]],Tabla_imprenta[LOTE],0)),"REALIZADO")</f>
        <v>0</v>
      </c>
      <c r="C544" s="177" t="str">
        <f>IF(COUNTIF(Tabla_imprenta[LOTE],Tabla_control[[#This Row],[LOTE]])=1,INDEX(Tabla_imprenta[PRODUCTO],MATCH(Tabla_control[[#This Row],[LOTE]],Tabla_imprenta[LOTE],0)),"REALIZADO")</f>
        <v>DIPROFEN 400 MG X 10 CAP. BLANDAS</v>
      </c>
      <c r="D544" s="142" t="str">
        <f>IF(COUNTIF(Tabla_imprenta[LOTE],Tabla_control[[#This Row],[LOTE]])=1,INDEX(Tabla_imprenta[FORMA FARMACEUTICA],MATCH(Tabla_control[[#This Row],[LOTE]],Tabla_imprenta[LOTE],0)),"REALIZADO")</f>
        <v>CÁPSULA BLANDA</v>
      </c>
      <c r="E544" s="177" t="str">
        <f>IF(COUNTIF(Tabla_imprenta[LOTE],Tabla_control[[#This Row],[LOTE]])=1,INDEX(Tabla_imprenta[INSTITUCIÓN],MATCH(Tabla_control[[#This Row],[LOTE]],Tabla_imprenta[LOTE],0)),"REALIZADO")</f>
        <v>COMERCIO</v>
      </c>
      <c r="F544" s="229" t="s">
        <v>5412</v>
      </c>
      <c r="G544" s="139">
        <f>IF(COUNTIF(Tabla_imprenta[LOTE],Tabla_control[[#This Row],[LOTE]])=1,INDEX(Tabla_imprenta[CANTIDAD ENVASE SECUNDARIO],MATCH(Tabla_control[[#This Row],[LOTE]],Tabla_imprenta[LOTE],0)),"ENTREGADO")</f>
        <v>10000</v>
      </c>
      <c r="H544" s="139">
        <f>IF(COUNTIF(Tabla_imprenta[LOTE],Tabla_control[[#This Row],[LOTE]])=1,INDEX(Tabla_imprenta[stock sap],MATCH(Tabla_control[[#This Row],[LOTE]],Tabla_imprenta[LOTE],0)),"ENTREGADO")</f>
        <v>9162</v>
      </c>
      <c r="I544" s="139" t="str">
        <f>IF(Tabla_control[[#This Row],[STOCK SAP]]&gt;Tabla_control[[#This Row],[CANTIDAD IMPRIMIR]],"cubre","no cubre")</f>
        <v>no cubre</v>
      </c>
      <c r="J544" s="182">
        <f>IF(COUNTIF(Tabla_imprenta[LOTE],Tabla_control[[#This Row],[LOTE]])=1,INDEX(Tabla_imprenta[STOCK],MATCH(Tabla_control[[#This Row],[LOTE]],Tabla_imprenta[LOTE],0)),"ENTREGADO")</f>
        <v>1.1142225497420779</v>
      </c>
      <c r="K54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44" s="148">
        <f>INDEX(Tabla_imprenta[FECHA CAJA],MATCH(Tabla_control[[#This Row],[LOTE]],Tabla_imprenta[LOTE],0))</f>
        <v>0</v>
      </c>
      <c r="M54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FULL COLOR</v>
      </c>
      <c r="N54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54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69</v>
      </c>
      <c r="P544" s="170">
        <f>ROUNDUP(Tabla_control[[#This Row],[CANTIDAD IMPRIMIR]]/Tabla_control[[#This Row],[N TJ]],0)</f>
        <v>3334</v>
      </c>
      <c r="Q544" s="170">
        <f>IF(Tabla_control[[#This Row],[CANTIDAD TIRAJE]]&gt;10000,Tabla_control[[#This Row],[CANTIDAD TIRAJE]],Tabla_control[[#This Row],[CANTIDAD TIRAJE]]*2)</f>
        <v>6668</v>
      </c>
      <c r="R544" s="186" t="s">
        <v>2030</v>
      </c>
      <c r="S544" s="4" t="s">
        <v>31</v>
      </c>
      <c r="T544" s="4"/>
      <c r="U544" s="4"/>
      <c r="V544" s="4"/>
      <c r="W544" s="185" t="s">
        <v>5720</v>
      </c>
      <c r="X544" s="185"/>
      <c r="Y544" s="185"/>
      <c r="Z544" s="185"/>
      <c r="AA544" s="186" t="s">
        <v>171</v>
      </c>
      <c r="AB544" s="184" t="s">
        <v>4464</v>
      </c>
    </row>
    <row r="545" spans="1:28" x14ac:dyDescent="0.2">
      <c r="A545" s="175">
        <f>IF(COUNTIF(Tabla_imprenta[LOTE],Tabla_control[[#This Row],[LOTE]])=1,INDEX(Tabla_imprenta[FECHA EMISIÓN],MATCH(Tabla_control[[#This Row],[LOTE]],Tabla_imprenta[LOTE],0)),"REALIZADO")</f>
        <v>46143</v>
      </c>
      <c r="B545" s="142">
        <f>IF(COUNTIF(Tabla_imprenta[LOTE],Tabla_control[[#This Row],[LOTE]])=1,INDEX(Tabla_imprenta[CÓD. SOLICITUD],MATCH(Tabla_control[[#This Row],[LOTE]],Tabla_imprenta[LOTE],0)),"REALIZADO")</f>
        <v>0</v>
      </c>
      <c r="C545" s="177" t="str">
        <f>IF(COUNTIF(Tabla_imprenta[LOTE],Tabla_control[[#This Row],[LOTE]])=1,INDEX(Tabla_imprenta[PRODUCTO],MATCH(Tabla_control[[#This Row],[LOTE]],Tabla_imprenta[LOTE],0)),"REALIZADO")</f>
        <v>DIPROFEN 600 MG X 10 CAP. BLANDAS</v>
      </c>
      <c r="D545" s="142" t="str">
        <f>IF(COUNTIF(Tabla_imprenta[LOTE],Tabla_control[[#This Row],[LOTE]])=1,INDEX(Tabla_imprenta[FORMA FARMACEUTICA],MATCH(Tabla_control[[#This Row],[LOTE]],Tabla_imprenta[LOTE],0)),"REALIZADO")</f>
        <v>CÁPSULA BLANDA</v>
      </c>
      <c r="E545" s="177" t="str">
        <f>IF(COUNTIF(Tabla_imprenta[LOTE],Tabla_control[[#This Row],[LOTE]])=1,INDEX(Tabla_imprenta[INSTITUCIÓN],MATCH(Tabla_control[[#This Row],[LOTE]],Tabla_imprenta[LOTE],0)),"REALIZADO")</f>
        <v>COMERCIO</v>
      </c>
      <c r="F545" s="229" t="s">
        <v>5360</v>
      </c>
      <c r="G545" s="139">
        <f>IF(COUNTIF(Tabla_imprenta[LOTE],Tabla_control[[#This Row],[LOTE]])=1,INDEX(Tabla_imprenta[CANTIDAD ENVASE SECUNDARIO],MATCH(Tabla_control[[#This Row],[LOTE]],Tabla_imprenta[LOTE],0)),"ENTREGADO")</f>
        <v>15000</v>
      </c>
      <c r="H545" s="139">
        <f>IF(COUNTIF(Tabla_imprenta[LOTE],Tabla_control[[#This Row],[LOTE]])=1,INDEX(Tabla_imprenta[stock sap],MATCH(Tabla_control[[#This Row],[LOTE]],Tabla_imprenta[LOTE],0)),"ENTREGADO")</f>
        <v>1425</v>
      </c>
      <c r="I545" s="139" t="str">
        <f>IF(Tabla_control[[#This Row],[STOCK SAP]]&gt;Tabla_control[[#This Row],[CANTIDAD IMPRIMIR]],"cubre","no cubre")</f>
        <v>no cubre</v>
      </c>
      <c r="J545" s="182">
        <f>IF(COUNTIF(Tabla_imprenta[LOTE],Tabla_control[[#This Row],[LOTE]])=1,INDEX(Tabla_imprenta[STOCK],MATCH(Tabla_control[[#This Row],[LOTE]],Tabla_imprenta[LOTE],0)),"ENTREGADO")</f>
        <v>1.0982532103561793</v>
      </c>
      <c r="K54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45" s="148">
        <f>INDEX(Tabla_imprenta[FECHA CAJA],MATCH(Tabla_control[[#This Row],[LOTE]],Tabla_imprenta[LOTE],0))</f>
        <v>0</v>
      </c>
      <c r="M54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FULL COLOR</v>
      </c>
      <c r="N54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54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116</v>
      </c>
      <c r="P545" s="170">
        <f>ROUNDUP(Tabla_control[[#This Row],[CANTIDAD IMPRIMIR]]/Tabla_control[[#This Row],[N TJ]],0)</f>
        <v>5000</v>
      </c>
      <c r="Q545" s="170">
        <f>IF(Tabla_control[[#This Row],[CANTIDAD TIRAJE]]&gt;10000,Tabla_control[[#This Row],[CANTIDAD TIRAJE]],Tabla_control[[#This Row],[CANTIDAD TIRAJE]]*2)</f>
        <v>10000</v>
      </c>
      <c r="R545" s="186" t="s">
        <v>2030</v>
      </c>
      <c r="S545" s="4" t="s">
        <v>31</v>
      </c>
      <c r="T545" s="4"/>
      <c r="U545" s="4"/>
      <c r="V545" s="4"/>
      <c r="W545" s="185" t="s">
        <v>5720</v>
      </c>
      <c r="X545" s="185"/>
      <c r="Y545" s="185"/>
      <c r="Z545" s="185"/>
      <c r="AA545" s="186" t="s">
        <v>171</v>
      </c>
      <c r="AB545" s="184" t="s">
        <v>4464</v>
      </c>
    </row>
    <row r="546" spans="1:28" hidden="1" x14ac:dyDescent="0.2">
      <c r="A546" s="175">
        <f>IF(COUNTIF(Tabla_imprenta[LOTE],Tabla_control[[#This Row],[LOTE]])=1,INDEX(Tabla_imprenta[FECHA EMISIÓN],MATCH(Tabla_control[[#This Row],[LOTE]],Tabla_imprenta[LOTE],0)),"REALIZADO")</f>
        <v>46113</v>
      </c>
      <c r="B546" s="142">
        <f>IF(COUNTIF(Tabla_imprenta[LOTE],Tabla_control[[#This Row],[LOTE]])=1,INDEX(Tabla_imprenta[CÓD. SOLICITUD],MATCH(Tabla_control[[#This Row],[LOTE]],Tabla_imprenta[LOTE],0)),"REALIZADO")</f>
        <v>0</v>
      </c>
      <c r="C546" s="177" t="str">
        <f>IF(COUNTIF(Tabla_imprenta[LOTE],Tabla_control[[#This Row],[LOTE]])=1,INDEX(Tabla_imprenta[PRODUCTO],MATCH(Tabla_control[[#This Row],[LOTE]],Tabla_imprenta[LOTE],0)),"REALIZADO")</f>
        <v>DERMO VET X 100 ML LOCION VETERINARIO</v>
      </c>
      <c r="D546" s="142" t="str">
        <f>IF(COUNTIF(Tabla_imprenta[LOTE],Tabla_control[[#This Row],[LOTE]])=1,INDEX(Tabla_imprenta[FORMA FARMACEUTICA],MATCH(Tabla_control[[#This Row],[LOTE]],Tabla_imprenta[LOTE],0)),"REALIZADO")</f>
        <v>LOCION</v>
      </c>
      <c r="E546" s="177" t="str">
        <f>IF(COUNTIF(Tabla_imprenta[LOTE],Tabla_control[[#This Row],[LOTE]])=1,INDEX(Tabla_imprenta[INSTITUCIÓN],MATCH(Tabla_control[[#This Row],[LOTE]],Tabla_imprenta[LOTE],0)),"REALIZADO")</f>
        <v>COMERCIO</v>
      </c>
      <c r="F546" s="181" t="s">
        <v>3111</v>
      </c>
      <c r="G546" s="139">
        <f>IF(COUNTIF(Tabla_imprenta[LOTE],Tabla_control[[#This Row],[LOTE]])=1,INDEX(Tabla_imprenta[CANTIDAD ENVASE SECUNDARIO],MATCH(Tabla_control[[#This Row],[LOTE]],Tabla_imprenta[LOTE],0)),"ENTREGADO")</f>
        <v>1800</v>
      </c>
      <c r="H546" s="139">
        <f>IF(COUNTIF(Tabla_imprenta[LOTE],Tabla_control[[#This Row],[LOTE]])=1,INDEX(Tabla_imprenta[stock sap],MATCH(Tabla_control[[#This Row],[LOTE]],Tabla_imprenta[LOTE],0)),"ENTREGADO")</f>
        <v>2563</v>
      </c>
      <c r="I546" s="139" t="str">
        <f>IF(Tabla_control[[#This Row],[STOCK SAP]]&gt;Tabla_control[[#This Row],[CANTIDAD IMPRIMIR]],"cubre","no cubre")</f>
        <v>cubre</v>
      </c>
      <c r="J546" s="182">
        <f>IF(COUNTIF(Tabla_imprenta[LOTE],Tabla_control[[#This Row],[LOTE]])=1,INDEX(Tabla_imprenta[STOCK],MATCH(Tabla_control[[#This Row],[LOTE]],Tabla_imprenta[LOTE],0)),"ENTREGADO")</f>
        <v>1.2250208507089242</v>
      </c>
      <c r="K54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46" s="148">
        <f>INDEX(Tabla_imprenta[FECHA CAJA],MATCH(Tabla_control[[#This Row],[LOTE]],Tabla_imprenta[LOTE],0))</f>
        <v>0</v>
      </c>
      <c r="M54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54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4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46" s="170">
        <f>ROUNDUP(Tabla_control[[#This Row],[CANTIDAD IMPRIMIR]]/Tabla_control[[#This Row],[N TJ]],0)</f>
        <v>900</v>
      </c>
      <c r="Q546" s="170">
        <f>IF(Tabla_control[[#This Row],[CANTIDAD TIRAJE]]&gt;10000,Tabla_control[[#This Row],[CANTIDAD TIRAJE]],Tabla_control[[#This Row],[CANTIDAD TIRAJE]]*2)</f>
        <v>1800</v>
      </c>
      <c r="R546" s="186" t="s">
        <v>176</v>
      </c>
      <c r="S546" s="4" t="s">
        <v>30</v>
      </c>
      <c r="T546" s="4"/>
      <c r="U546" s="4"/>
      <c r="V546" s="4"/>
      <c r="W546" s="187" t="s">
        <v>321</v>
      </c>
      <c r="X546" s="187"/>
      <c r="Y546" s="187"/>
      <c r="Z546" s="187"/>
      <c r="AA546" s="186" t="s">
        <v>321</v>
      </c>
      <c r="AB546" s="184" t="s">
        <v>3222</v>
      </c>
    </row>
    <row r="547" spans="1:28" hidden="1" x14ac:dyDescent="0.2">
      <c r="A547" s="175">
        <f>IF(COUNTIF(Tabla_imprenta[LOTE],Tabla_control[[#This Row],[LOTE]])=1,INDEX(Tabla_imprenta[FECHA EMISIÓN],MATCH(Tabla_control[[#This Row],[LOTE]],Tabla_imprenta[LOTE],0)),"REALIZADO")</f>
        <v>46143</v>
      </c>
      <c r="B547" s="142">
        <f>IF(COUNTIF(Tabla_imprenta[LOTE],Tabla_control[[#This Row],[LOTE]])=1,INDEX(Tabla_imprenta[CÓD. SOLICITUD],MATCH(Tabla_control[[#This Row],[LOTE]],Tabla_imprenta[LOTE],0)),"REALIZADO")</f>
        <v>0</v>
      </c>
      <c r="C547" s="177" t="str">
        <f>IF(COUNTIF(Tabla_imprenta[LOTE],Tabla_control[[#This Row],[LOTE]])=1,INDEX(Tabla_imprenta[PRODUCTO],MATCH(Tabla_control[[#This Row],[LOTE]],Tabla_imprenta[LOTE],0)),"REALIZADO")</f>
        <v>PIRANTEL 250 MG X 15 ML SUSP.</v>
      </c>
      <c r="D547" s="142" t="str">
        <f>IF(COUNTIF(Tabla_imprenta[LOTE],Tabla_control[[#This Row],[LOTE]])=1,INDEX(Tabla_imprenta[FORMA FARMACEUTICA],MATCH(Tabla_control[[#This Row],[LOTE]],Tabla_imprenta[LOTE],0)),"REALIZADO")</f>
        <v>SUSPENSIÓN</v>
      </c>
      <c r="E547" s="177" t="str">
        <f>IF(COUNTIF(Tabla_imprenta[LOTE],Tabla_control[[#This Row],[LOTE]])=1,INDEX(Tabla_imprenta[INSTITUCIÓN],MATCH(Tabla_control[[#This Row],[LOTE]],Tabla_imprenta[LOTE],0)),"REALIZADO")</f>
        <v>COMERCIO</v>
      </c>
      <c r="F547" s="229" t="s">
        <v>5488</v>
      </c>
      <c r="G547" s="139">
        <f>IF(COUNTIF(Tabla_imprenta[LOTE],Tabla_control[[#This Row],[LOTE]])=1,INDEX(Tabla_imprenta[CANTIDAD ENVASE SECUNDARIO],MATCH(Tabla_control[[#This Row],[LOTE]],Tabla_imprenta[LOTE],0)),"ENTREGADO")</f>
        <v>8824</v>
      </c>
      <c r="H547" s="139">
        <f>IF(COUNTIF(Tabla_imprenta[LOTE],Tabla_control[[#This Row],[LOTE]])=1,INDEX(Tabla_imprenta[stock sap],MATCH(Tabla_control[[#This Row],[LOTE]],Tabla_imprenta[LOTE],0)),"ENTREGADO")</f>
        <v>11429</v>
      </c>
      <c r="I547" s="139" t="str">
        <f>IF(Tabla_control[[#This Row],[STOCK SAP]]&gt;Tabla_control[[#This Row],[CANTIDAD IMPRIMIR]],"cubre","no cubre")</f>
        <v>cubre</v>
      </c>
      <c r="J547" s="182">
        <f>IF(COUNTIF(Tabla_imprenta[LOTE],Tabla_control[[#This Row],[LOTE]])=1,INDEX(Tabla_imprenta[STOCK],MATCH(Tabla_control[[#This Row],[LOTE]],Tabla_imprenta[LOTE],0)),"ENTREGADO")</f>
        <v>1.3290342392138801</v>
      </c>
      <c r="K54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47" s="148">
        <f>INDEX(Tabla_imprenta[FECHA CAJA],MATCH(Tabla_control[[#This Row],[LOTE]],Tabla_imprenta[LOTE],0))</f>
        <v>0</v>
      </c>
      <c r="M54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4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4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122</v>
      </c>
      <c r="P547" s="170">
        <f>ROUNDUP(Tabla_control[[#This Row],[CANTIDAD IMPRIMIR]]/Tabla_control[[#This Row],[N TJ]],0)</f>
        <v>2206</v>
      </c>
      <c r="Q547" s="170">
        <f>IF(Tabla_control[[#This Row],[CANTIDAD TIRAJE]]&gt;10000,Tabla_control[[#This Row],[CANTIDAD TIRAJE]],Tabla_control[[#This Row],[CANTIDAD TIRAJE]]*2)</f>
        <v>4412</v>
      </c>
      <c r="R547" s="186" t="s">
        <v>172</v>
      </c>
      <c r="S547" s="4" t="s">
        <v>30</v>
      </c>
      <c r="T547" s="4"/>
      <c r="U547" s="4"/>
      <c r="V547" s="4"/>
      <c r="W547" s="185" t="s">
        <v>321</v>
      </c>
      <c r="X547" s="185"/>
      <c r="Y547" s="185"/>
      <c r="Z547" s="185"/>
      <c r="AA547" s="186" t="s">
        <v>321</v>
      </c>
      <c r="AB547" s="184" t="s">
        <v>4464</v>
      </c>
    </row>
    <row r="548" spans="1:28" hidden="1" x14ac:dyDescent="0.2">
      <c r="A548" s="175">
        <f>IF(COUNTIF(Tabla_imprenta[LOTE],Tabla_control[[#This Row],[LOTE]])=1,INDEX(Tabla_imprenta[FECHA EMISIÓN],MATCH(Tabla_control[[#This Row],[LOTE]],Tabla_imprenta[LOTE],0)),"REALIZADO")</f>
        <v>46113</v>
      </c>
      <c r="B548" s="142">
        <f>IF(COUNTIF(Tabla_imprenta[LOTE],Tabla_control[[#This Row],[LOTE]])=1,INDEX(Tabla_imprenta[CÓD. SOLICITUD],MATCH(Tabla_control[[#This Row],[LOTE]],Tabla_imprenta[LOTE],0)),"REALIZADO")</f>
        <v>0</v>
      </c>
      <c r="C548" s="177" t="str">
        <f>IF(COUNTIF(Tabla_imprenta[LOTE],Tabla_control[[#This Row],[LOTE]])=1,INDEX(Tabla_imprenta[PRODUCTO],MATCH(Tabla_control[[#This Row],[LOTE]],Tabla_imprenta[LOTE],0)),"REALIZADO")</f>
        <v>COMPLEJO B POTENCIADO X 100 ML JARABE VETERINARIO</v>
      </c>
      <c r="D548" s="142" t="str">
        <f>IF(COUNTIF(Tabla_imprenta[LOTE],Tabla_control[[#This Row],[LOTE]])=1,INDEX(Tabla_imprenta[FORMA FARMACEUTICA],MATCH(Tabla_control[[#This Row],[LOTE]],Tabla_imprenta[LOTE],0)),"REALIZADO")</f>
        <v>JARABE</v>
      </c>
      <c r="E548" s="177" t="str">
        <f>IF(COUNTIF(Tabla_imprenta[LOTE],Tabla_control[[#This Row],[LOTE]])=1,INDEX(Tabla_imprenta[INSTITUCIÓN],MATCH(Tabla_control[[#This Row],[LOTE]],Tabla_imprenta[LOTE],0)),"REALIZADO")</f>
        <v>COMERCIO</v>
      </c>
      <c r="F548" s="181" t="s">
        <v>3153</v>
      </c>
      <c r="G548" s="139">
        <f>IF(COUNTIF(Tabla_imprenta[LOTE],Tabla_control[[#This Row],[LOTE]])=1,INDEX(Tabla_imprenta[CANTIDAD ENVASE SECUNDARIO],MATCH(Tabla_control[[#This Row],[LOTE]],Tabla_imprenta[LOTE],0)),"ENTREGADO")</f>
        <v>9901</v>
      </c>
      <c r="H548" s="139">
        <f>IF(COUNTIF(Tabla_imprenta[LOTE],Tabla_control[[#This Row],[LOTE]])=1,INDEX(Tabla_imprenta[stock sap],MATCH(Tabla_control[[#This Row],[LOTE]],Tabla_imprenta[LOTE],0)),"ENTREGADO")</f>
        <v>615</v>
      </c>
      <c r="I548" s="139" t="str">
        <f>IF(Tabla_control[[#This Row],[STOCK SAP]]&gt;Tabla_control[[#This Row],[CANTIDAD IMPRIMIR]],"cubre","no cubre")</f>
        <v>no cubre</v>
      </c>
      <c r="J548" s="182">
        <f>IF(COUNTIF(Tabla_imprenta[LOTE],Tabla_control[[#This Row],[LOTE]])=1,INDEX(Tabla_imprenta[STOCK],MATCH(Tabla_control[[#This Row],[LOTE]],Tabla_imprenta[LOTE],0)),"ENTREGADO")</f>
        <v>1.4415693601120971</v>
      </c>
      <c r="K54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48" s="148">
        <f>INDEX(Tabla_imprenta[FECHA CAJA],MATCH(Tabla_control[[#This Row],[LOTE]],Tabla_imprenta[LOTE],0))</f>
        <v>0</v>
      </c>
      <c r="M54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54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4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73</v>
      </c>
      <c r="P548" s="170">
        <f>ROUNDUP(Tabla_control[[#This Row],[CANTIDAD IMPRIMIR]]/Tabla_control[[#This Row],[N TJ]],0)</f>
        <v>4951</v>
      </c>
      <c r="Q548" s="170">
        <f>IF(Tabla_control[[#This Row],[CANTIDAD TIRAJE]]&gt;10000,Tabla_control[[#This Row],[CANTIDAD TIRAJE]],Tabla_control[[#This Row],[CANTIDAD TIRAJE]]*2)</f>
        <v>9902</v>
      </c>
      <c r="R548" s="186" t="s">
        <v>176</v>
      </c>
      <c r="S548" s="4" t="s">
        <v>30</v>
      </c>
      <c r="T548" s="4"/>
      <c r="U548" s="4"/>
      <c r="V548" s="4"/>
      <c r="W548" s="185" t="s">
        <v>3223</v>
      </c>
      <c r="X548" s="185"/>
      <c r="Y548" s="185"/>
      <c r="Z548" s="185"/>
      <c r="AA548" s="186" t="s">
        <v>2031</v>
      </c>
      <c r="AB548" s="184" t="s">
        <v>3222</v>
      </c>
    </row>
    <row r="549" spans="1:28" x14ac:dyDescent="0.2">
      <c r="A549" s="175">
        <f>IF(COUNTIF(Tabla_imprenta[LOTE],Tabla_control[[#This Row],[LOTE]])=1,INDEX(Tabla_imprenta[FECHA EMISIÓN],MATCH(Tabla_control[[#This Row],[LOTE]],Tabla_imprenta[LOTE],0)),"REALIZADO")</f>
        <v>46143</v>
      </c>
      <c r="B549" s="142">
        <f>IF(COUNTIF(Tabla_imprenta[LOTE],Tabla_control[[#This Row],[LOTE]])=1,INDEX(Tabla_imprenta[CÓD. SOLICITUD],MATCH(Tabla_control[[#This Row],[LOTE]],Tabla_imprenta[LOTE],0)),"REALIZADO")</f>
        <v>0</v>
      </c>
      <c r="C549" s="177" t="str">
        <f>IF(COUNTIF(Tabla_imprenta[LOTE],Tabla_control[[#This Row],[LOTE]])=1,INDEX(Tabla_imprenta[PRODUCTO],MATCH(Tabla_control[[#This Row],[LOTE]],Tabla_imprenta[LOTE],0)),"REALIZADO")</f>
        <v>SANNITA X 30 CAP. BLANDAS</v>
      </c>
      <c r="D549" s="142" t="str">
        <f>IF(COUNTIF(Tabla_imprenta[LOTE],Tabla_control[[#This Row],[LOTE]])=1,INDEX(Tabla_imprenta[FORMA FARMACEUTICA],MATCH(Tabla_control[[#This Row],[LOTE]],Tabla_imprenta[LOTE],0)),"REALIZADO")</f>
        <v>CÁPSULA BLANDA</v>
      </c>
      <c r="E549" s="177" t="str">
        <f>IF(COUNTIF(Tabla_imprenta[LOTE],Tabla_control[[#This Row],[LOTE]])=1,INDEX(Tabla_imprenta[INSTITUCIÓN],MATCH(Tabla_control[[#This Row],[LOTE]],Tabla_imprenta[LOTE],0)),"REALIZADO")</f>
        <v>COMERCIO</v>
      </c>
      <c r="F549" s="229" t="s">
        <v>5428</v>
      </c>
      <c r="G549" s="139">
        <f>IF(COUNTIF(Tabla_imprenta[LOTE],Tabla_control[[#This Row],[LOTE]])=1,INDEX(Tabla_imprenta[CANTIDAD ENVASE SECUNDARIO],MATCH(Tabla_control[[#This Row],[LOTE]],Tabla_imprenta[LOTE],0)),"ENTREGADO")</f>
        <v>6166.666666666667</v>
      </c>
      <c r="H549" s="139">
        <f>IF(COUNTIF(Tabla_imprenta[LOTE],Tabla_control[[#This Row],[LOTE]])=1,INDEX(Tabla_imprenta[stock sap],MATCH(Tabla_control[[#This Row],[LOTE]],Tabla_imprenta[LOTE],0)),"ENTREGADO")</f>
        <v>779</v>
      </c>
      <c r="I549" s="139" t="str">
        <f>IF(Tabla_control[[#This Row],[STOCK SAP]]&gt;Tabla_control[[#This Row],[CANTIDAD IMPRIMIR]],"cubre","no cubre")</f>
        <v>no cubre</v>
      </c>
      <c r="J549" s="182">
        <f>IF(COUNTIF(Tabla_imprenta[LOTE],Tabla_control[[#This Row],[LOTE]])=1,INDEX(Tabla_imprenta[STOCK],MATCH(Tabla_control[[#This Row],[LOTE]],Tabla_imprenta[LOTE],0)),"ENTREGADO")</f>
        <v>1.4163880739578358</v>
      </c>
      <c r="K54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49" s="148">
        <f>INDEX(Tabla_imprenta[FECHA CAJA],MATCH(Tabla_control[[#This Row],[LOTE]],Tabla_imprenta[LOTE],0))</f>
        <v>0</v>
      </c>
      <c r="M54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IFALIFE</v>
      </c>
      <c r="N54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4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107</v>
      </c>
      <c r="P549" s="170">
        <f>ROUNDUP(Tabla_control[[#This Row],[CANTIDAD IMPRIMIR]]/Tabla_control[[#This Row],[N TJ]],0)</f>
        <v>3084</v>
      </c>
      <c r="Q549" s="170">
        <f>IF(Tabla_control[[#This Row],[CANTIDAD TIRAJE]]&gt;10000,Tabla_control[[#This Row],[CANTIDAD TIRAJE]],Tabla_control[[#This Row],[CANTIDAD TIRAJE]]*2)</f>
        <v>6168</v>
      </c>
      <c r="R549" s="186" t="s">
        <v>2305</v>
      </c>
      <c r="S549" s="4" t="s">
        <v>31</v>
      </c>
      <c r="T549" s="4"/>
      <c r="U549" s="4"/>
      <c r="V549" s="4"/>
      <c r="W549" s="185" t="s">
        <v>5720</v>
      </c>
      <c r="X549" s="185"/>
      <c r="Y549" s="185"/>
      <c r="Z549" s="185"/>
      <c r="AA549" s="186" t="s">
        <v>171</v>
      </c>
      <c r="AB549" s="184" t="s">
        <v>4464</v>
      </c>
    </row>
    <row r="550" spans="1:28" hidden="1" x14ac:dyDescent="0.2">
      <c r="A550" s="175">
        <f>IF(COUNTIF(Tabla_imprenta[LOTE],Tabla_control[[#This Row],[LOTE]])=1,INDEX(Tabla_imprenta[FECHA EMISIÓN],MATCH(Tabla_control[[#This Row],[LOTE]],Tabla_imprenta[LOTE],0)),"REALIZADO")</f>
        <v>46143</v>
      </c>
      <c r="B550" s="142">
        <f>IF(COUNTIF(Tabla_imprenta[LOTE],Tabla_control[[#This Row],[LOTE]])=1,INDEX(Tabla_imprenta[CÓD. SOLICITUD],MATCH(Tabla_control[[#This Row],[LOTE]],Tabla_imprenta[LOTE],0)),"REALIZADO")</f>
        <v>0</v>
      </c>
      <c r="C550" s="177" t="str">
        <f>IF(COUNTIF(Tabla_imprenta[LOTE],Tabla_control[[#This Row],[LOTE]])=1,INDEX(Tabla_imprenta[PRODUCTO],MATCH(Tabla_control[[#This Row],[LOTE]],Tabla_imprenta[LOTE],0)),"REALIZADO")</f>
        <v>VETODOLIC-K X 30 ML GOTAS VETERINARIO</v>
      </c>
      <c r="D550" s="142" t="str">
        <f>IF(COUNTIF(Tabla_imprenta[LOTE],Tabla_control[[#This Row],[LOTE]])=1,INDEX(Tabla_imprenta[FORMA FARMACEUTICA],MATCH(Tabla_control[[#This Row],[LOTE]],Tabla_imprenta[LOTE],0)),"REALIZADO")</f>
        <v>GOTAS</v>
      </c>
      <c r="E550" s="177" t="str">
        <f>IF(COUNTIF(Tabla_imprenta[LOTE],Tabla_control[[#This Row],[LOTE]])=1,INDEX(Tabla_imprenta[INSTITUCIÓN],MATCH(Tabla_control[[#This Row],[LOTE]],Tabla_imprenta[LOTE],0)),"REALIZADO")</f>
        <v>COMERCIO</v>
      </c>
      <c r="F550" s="229" t="s">
        <v>5538</v>
      </c>
      <c r="G550" s="139">
        <f>IF(COUNTIF(Tabla_imprenta[LOTE],Tabla_control[[#This Row],[LOTE]])=1,INDEX(Tabla_imprenta[CANTIDAD ENVASE SECUNDARIO],MATCH(Tabla_control[[#This Row],[LOTE]],Tabla_imprenta[LOTE],0)),"ENTREGADO")</f>
        <v>2700</v>
      </c>
      <c r="H550" s="139">
        <f>IF(COUNTIF(Tabla_imprenta[LOTE],Tabla_control[[#This Row],[LOTE]])=1,INDEX(Tabla_imprenta[stock sap],MATCH(Tabla_control[[#This Row],[LOTE]],Tabla_imprenta[LOTE],0)),"ENTREGADO")</f>
        <v>3080</v>
      </c>
      <c r="I550" s="139" t="str">
        <f>IF(Tabla_control[[#This Row],[STOCK SAP]]&gt;Tabla_control[[#This Row],[CANTIDAD IMPRIMIR]],"cubre","no cubre")</f>
        <v>cubre</v>
      </c>
      <c r="J550" s="182">
        <f>IF(COUNTIF(Tabla_imprenta[LOTE],Tabla_control[[#This Row],[LOTE]])=1,INDEX(Tabla_imprenta[STOCK],MATCH(Tabla_control[[#This Row],[LOTE]],Tabla_imprenta[LOTE],0)),"ENTREGADO")</f>
        <v>1.6346866377611351</v>
      </c>
      <c r="K55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50" s="148">
        <f>INDEX(Tabla_imprenta[FECHA CAJA],MATCH(Tabla_control[[#This Row],[LOTE]],Tabla_imprenta[LOTE],0))</f>
        <v>0</v>
      </c>
      <c r="M55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55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55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25</v>
      </c>
      <c r="P550" s="170">
        <f>ROUNDUP(Tabla_control[[#This Row],[CANTIDAD IMPRIMIR]]/Tabla_control[[#This Row],[N TJ]],0)</f>
        <v>450</v>
      </c>
      <c r="Q550" s="170">
        <f>IF(Tabla_control[[#This Row],[CANTIDAD TIRAJE]]&gt;10000,Tabla_control[[#This Row],[CANTIDAD TIRAJE]],Tabla_control[[#This Row],[CANTIDAD TIRAJE]]*2)</f>
        <v>900</v>
      </c>
      <c r="R550" s="186" t="s">
        <v>176</v>
      </c>
      <c r="S550" s="4" t="s">
        <v>30</v>
      </c>
      <c r="T550" s="4"/>
      <c r="U550" s="4"/>
      <c r="V550" s="4"/>
      <c r="W550" s="185" t="s">
        <v>321</v>
      </c>
      <c r="X550" s="185"/>
      <c r="Y550" s="185"/>
      <c r="Z550" s="185"/>
      <c r="AA550" s="186" t="s">
        <v>321</v>
      </c>
      <c r="AB550" s="184" t="s">
        <v>5700</v>
      </c>
    </row>
    <row r="551" spans="1:28" hidden="1" x14ac:dyDescent="0.2">
      <c r="A551" s="175">
        <f>IF(COUNTIF(Tabla_imprenta[LOTE],Tabla_control[[#This Row],[LOTE]])=1,INDEX(Tabla_imprenta[FECHA EMISIÓN],MATCH(Tabla_control[[#This Row],[LOTE]],Tabla_imprenta[LOTE],0)),"REALIZADO")</f>
        <v>46143</v>
      </c>
      <c r="B551" s="142">
        <f>IF(COUNTIF(Tabla_imprenta[LOTE],Tabla_control[[#This Row],[LOTE]])=1,INDEX(Tabla_imprenta[CÓD. SOLICITUD],MATCH(Tabla_control[[#This Row],[LOTE]],Tabla_imprenta[LOTE],0)),"REALIZADO")</f>
        <v>0</v>
      </c>
      <c r="C551" s="177" t="str">
        <f>IF(COUNTIF(Tabla_imprenta[LOTE],Tabla_control[[#This Row],[LOTE]])=1,INDEX(Tabla_imprenta[PRODUCTO],MATCH(Tabla_control[[#This Row],[LOTE]],Tabla_imprenta[LOTE],0)),"REALIZADO")</f>
        <v>GRISEOVINA 20 MG X 30 CAP. BLANDAS</v>
      </c>
      <c r="D551" s="142" t="str">
        <f>IF(COUNTIF(Tabla_imprenta[LOTE],Tabla_control[[#This Row],[LOTE]])=1,INDEX(Tabla_imprenta[FORMA FARMACEUTICA],MATCH(Tabla_control[[#This Row],[LOTE]],Tabla_imprenta[LOTE],0)),"REALIZADO")</f>
        <v>CÁPSULA BLANDA</v>
      </c>
      <c r="E551" s="177" t="str">
        <f>IF(COUNTIF(Tabla_imprenta[LOTE],Tabla_control[[#This Row],[LOTE]])=1,INDEX(Tabla_imprenta[INSTITUCIÓN],MATCH(Tabla_control[[#This Row],[LOTE]],Tabla_imprenta[LOTE],0)),"REALIZADO")</f>
        <v>COMERCIO</v>
      </c>
      <c r="F551" s="229" t="s">
        <v>5384</v>
      </c>
      <c r="G551" s="139">
        <f>IF(COUNTIF(Tabla_imprenta[LOTE],Tabla_control[[#This Row],[LOTE]])=1,INDEX(Tabla_imprenta[CANTIDAD ENVASE SECUNDARIO],MATCH(Tabla_control[[#This Row],[LOTE]],Tabla_imprenta[LOTE],0)),"ENTREGADO")</f>
        <v>666.66666666666663</v>
      </c>
      <c r="H551" s="139">
        <f>IF(COUNTIF(Tabla_imprenta[LOTE],Tabla_control[[#This Row],[LOTE]])=1,INDEX(Tabla_imprenta[stock sap],MATCH(Tabla_control[[#This Row],[LOTE]],Tabla_imprenta[LOTE],0)),"ENTREGADO")</f>
        <v>1875</v>
      </c>
      <c r="I551" s="139" t="str">
        <f>IF(Tabla_control[[#This Row],[STOCK SAP]]&gt;Tabla_control[[#This Row],[CANTIDAD IMPRIMIR]],"cubre","no cubre")</f>
        <v>cubre</v>
      </c>
      <c r="J551" s="182">
        <f>IF(COUNTIF(Tabla_imprenta[LOTE],Tabla_control[[#This Row],[LOTE]])=1,INDEX(Tabla_imprenta[STOCK],MATCH(Tabla_control[[#This Row],[LOTE]],Tabla_imprenta[LOTE],0)),"ENTREGADO")</f>
        <v>1.7278731836195509</v>
      </c>
      <c r="K55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51" s="148">
        <f>INDEX(Tabla_imprenta[FECHA CAJA],MATCH(Tabla_control[[#This Row],[LOTE]],Tabla_imprenta[LOTE],0))</f>
        <v>0</v>
      </c>
      <c r="M55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NARANJA</v>
      </c>
      <c r="N55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55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15</v>
      </c>
      <c r="P551" s="170">
        <f>ROUNDUP(Tabla_control[[#This Row],[CANTIDAD IMPRIMIR]]/Tabla_control[[#This Row],[N TJ]],0)</f>
        <v>223</v>
      </c>
      <c r="Q551" s="170">
        <f>IF(Tabla_control[[#This Row],[CANTIDAD TIRAJE]]&gt;10000,Tabla_control[[#This Row],[CANTIDAD TIRAJE]],Tabla_control[[#This Row],[CANTIDAD TIRAJE]]*2)</f>
        <v>446</v>
      </c>
      <c r="R551" s="186" t="s">
        <v>2206</v>
      </c>
      <c r="S551" s="4" t="s">
        <v>174</v>
      </c>
      <c r="T551" s="4"/>
      <c r="U551" s="4"/>
      <c r="V551" s="4"/>
      <c r="W551" s="185" t="s">
        <v>321</v>
      </c>
      <c r="X551" s="185"/>
      <c r="Y551" s="185"/>
      <c r="Z551" s="185"/>
      <c r="AA551" s="186" t="s">
        <v>321</v>
      </c>
      <c r="AB551" s="184" t="s">
        <v>4464</v>
      </c>
    </row>
    <row r="552" spans="1:28" hidden="1" x14ac:dyDescent="0.2">
      <c r="A552" s="175">
        <f>IF(COUNTIF(Tabla_imprenta[LOTE],Tabla_control[[#This Row],[LOTE]])=1,INDEX(Tabla_imprenta[FECHA EMISIÓN],MATCH(Tabla_control[[#This Row],[LOTE]],Tabla_imprenta[LOTE],0)),"REALIZADO")</f>
        <v>46143</v>
      </c>
      <c r="B552" s="142">
        <f>IF(COUNTIF(Tabla_imprenta[LOTE],Tabla_control[[#This Row],[LOTE]])=1,INDEX(Tabla_imprenta[CÓD. SOLICITUD],MATCH(Tabla_control[[#This Row],[LOTE]],Tabla_imprenta[LOTE],0)),"REALIZADO")</f>
        <v>0</v>
      </c>
      <c r="C552" s="177" t="str">
        <f>IF(COUNTIF(Tabla_imprenta[LOTE],Tabla_control[[#This Row],[LOTE]])=1,INDEX(Tabla_imprenta[PRODUCTO],MATCH(Tabla_control[[#This Row],[LOTE]],Tabla_imprenta[LOTE],0)),"REALIZADO")</f>
        <v>REDUTEM X 20 ML GOTAS</v>
      </c>
      <c r="D552" s="142" t="str">
        <f>IF(COUNTIF(Tabla_imprenta[LOTE],Tabla_control[[#This Row],[LOTE]])=1,INDEX(Tabla_imprenta[FORMA FARMACEUTICA],MATCH(Tabla_control[[#This Row],[LOTE]],Tabla_imprenta[LOTE],0)),"REALIZADO")</f>
        <v>GOTAS</v>
      </c>
      <c r="E552" s="177" t="str">
        <f>IF(COUNTIF(Tabla_imprenta[LOTE],Tabla_control[[#This Row],[LOTE]])=1,INDEX(Tabla_imprenta[INSTITUCIÓN],MATCH(Tabla_control[[#This Row],[LOTE]],Tabla_imprenta[LOTE],0)),"REALIZADO")</f>
        <v>COMERCIO</v>
      </c>
      <c r="F552" s="229" t="s">
        <v>5561</v>
      </c>
      <c r="G552" s="139">
        <f>IF(COUNTIF(Tabla_imprenta[LOTE],Tabla_control[[#This Row],[LOTE]])=1,INDEX(Tabla_imprenta[CANTIDAD ENVASE SECUNDARIO],MATCH(Tabla_control[[#This Row],[LOTE]],Tabla_imprenta[LOTE],0)),"ENTREGADO")</f>
        <v>14285</v>
      </c>
      <c r="H552" s="139">
        <f>IF(COUNTIF(Tabla_imprenta[LOTE],Tabla_control[[#This Row],[LOTE]])=1,INDEX(Tabla_imprenta[stock sap],MATCH(Tabla_control[[#This Row],[LOTE]],Tabla_imprenta[LOTE],0)),"ENTREGADO")</f>
        <v>15050</v>
      </c>
      <c r="I552" s="139" t="str">
        <f>IF(Tabla_control[[#This Row],[STOCK SAP]]&gt;Tabla_control[[#This Row],[CANTIDAD IMPRIMIR]],"cubre","no cubre")</f>
        <v>cubre</v>
      </c>
      <c r="J552" s="182">
        <f>IF(COUNTIF(Tabla_imprenta[LOTE],Tabla_control[[#This Row],[LOTE]])=1,INDEX(Tabla_imprenta[STOCK],MATCH(Tabla_control[[#This Row],[LOTE]],Tabla_imprenta[LOTE],0)),"ENTREGADO")</f>
        <v>1.7496903113132831</v>
      </c>
      <c r="K55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52" s="148">
        <f>INDEX(Tabla_imprenta[FECHA CAJA],MATCH(Tabla_control[[#This Row],[LOTE]],Tabla_imprenta[LOTE],0))</f>
        <v>0</v>
      </c>
      <c r="M55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55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55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25</v>
      </c>
      <c r="P552" s="170">
        <f>ROUNDUP(Tabla_control[[#This Row],[CANTIDAD IMPRIMIR]]/Tabla_control[[#This Row],[N TJ]],0)</f>
        <v>2381</v>
      </c>
      <c r="Q552" s="170">
        <f>IF(Tabla_control[[#This Row],[CANTIDAD TIRAJE]]&gt;10000,Tabla_control[[#This Row],[CANTIDAD TIRAJE]],Tabla_control[[#This Row],[CANTIDAD TIRAJE]]*2)</f>
        <v>4762</v>
      </c>
      <c r="R552" s="186" t="s">
        <v>177</v>
      </c>
      <c r="S552" s="4" t="s">
        <v>31</v>
      </c>
      <c r="T552" s="4"/>
      <c r="U552" s="4"/>
      <c r="V552" s="4"/>
      <c r="W552" s="185" t="s">
        <v>321</v>
      </c>
      <c r="X552" s="185"/>
      <c r="Y552" s="185"/>
      <c r="Z552" s="185"/>
      <c r="AA552" s="186" t="s">
        <v>321</v>
      </c>
      <c r="AB552" s="184" t="s">
        <v>5700</v>
      </c>
    </row>
    <row r="553" spans="1:28" x14ac:dyDescent="0.2">
      <c r="A553" s="175">
        <f>IF(COUNTIF(Tabla_imprenta[LOTE],Tabla_control[[#This Row],[LOTE]])=1,INDEX(Tabla_imprenta[FECHA EMISIÓN],MATCH(Tabla_control[[#This Row],[LOTE]],Tabla_imprenta[LOTE],0)),"REALIZADO")</f>
        <v>46143</v>
      </c>
      <c r="B553" s="142">
        <f>IF(COUNTIF(Tabla_imprenta[LOTE],Tabla_control[[#This Row],[LOTE]])=1,INDEX(Tabla_imprenta[CÓD. SOLICITUD],MATCH(Tabla_control[[#This Row],[LOTE]],Tabla_imprenta[LOTE],0)),"REALIZADO")</f>
        <v>0</v>
      </c>
      <c r="C553" s="177" t="str">
        <f>IF(COUNTIF(Tabla_imprenta[LOTE],Tabla_control[[#This Row],[LOTE]])=1,INDEX(Tabla_imprenta[PRODUCTO],MATCH(Tabla_control[[#This Row],[LOTE]],Tabla_imprenta[LOTE],0)),"REALIZADO")</f>
        <v>CODEINA 10 MG X 100 ML JARABE</v>
      </c>
      <c r="D553" s="142" t="str">
        <f>IF(COUNTIF(Tabla_imprenta[LOTE],Tabla_control[[#This Row],[LOTE]])=1,INDEX(Tabla_imprenta[FORMA FARMACEUTICA],MATCH(Tabla_control[[#This Row],[LOTE]],Tabla_imprenta[LOTE],0)),"REALIZADO")</f>
        <v>JARABE</v>
      </c>
      <c r="E553" s="177" t="str">
        <f>IF(COUNTIF(Tabla_imprenta[LOTE],Tabla_control[[#This Row],[LOTE]])=1,INDEX(Tabla_imprenta[INSTITUCIÓN],MATCH(Tabla_control[[#This Row],[LOTE]],Tabla_imprenta[LOTE],0)),"REALIZADO")</f>
        <v>COMERCIO</v>
      </c>
      <c r="F553" s="229" t="s">
        <v>5682</v>
      </c>
      <c r="G553" s="139">
        <f>IF(COUNTIF(Tabla_imprenta[LOTE],Tabla_control[[#This Row],[LOTE]])=1,INDEX(Tabla_imprenta[CANTIDAD ENVASE SECUNDARIO],MATCH(Tabla_control[[#This Row],[LOTE]],Tabla_imprenta[LOTE],0)),"ENTREGADO")</f>
        <v>29703</v>
      </c>
      <c r="H553" s="139">
        <f>IF(COUNTIF(Tabla_imprenta[LOTE],Tabla_control[[#This Row],[LOTE]])=1,INDEX(Tabla_imprenta[stock sap],MATCH(Tabla_control[[#This Row],[LOTE]],Tabla_imprenta[LOTE],0)),"ENTREGADO")</f>
        <v>2561</v>
      </c>
      <c r="I553" s="139" t="str">
        <f>IF(Tabla_control[[#This Row],[STOCK SAP]]&gt;Tabla_control[[#This Row],[CANTIDAD IMPRIMIR]],"cubre","no cubre")</f>
        <v>no cubre</v>
      </c>
      <c r="J553" s="182">
        <f>IF(COUNTIF(Tabla_imprenta[LOTE],Tabla_control[[#This Row],[LOTE]])=1,INDEX(Tabla_imprenta[STOCK],MATCH(Tabla_control[[#This Row],[LOTE]],Tabla_imprenta[LOTE],0)),"ENTREGADO")</f>
        <v>2.0546948489828294</v>
      </c>
      <c r="K55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53" s="148">
        <f>INDEX(Tabla_imprenta[FECHA CAJA],MATCH(Tabla_control[[#This Row],[LOTE]],Tabla_imprenta[LOTE],0))</f>
        <v>0</v>
      </c>
      <c r="M55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5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5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53" s="170">
        <f>ROUNDUP(Tabla_control[[#This Row],[CANTIDAD IMPRIMIR]]/Tabla_control[[#This Row],[N TJ]],0)</f>
        <v>14852</v>
      </c>
      <c r="Q553" s="170">
        <f>IF(Tabla_control[[#This Row],[CANTIDAD TIRAJE]]&gt;10000,Tabla_control[[#This Row],[CANTIDAD TIRAJE]],Tabla_control[[#This Row],[CANTIDAD TIRAJE]]*2)</f>
        <v>14852</v>
      </c>
      <c r="R553" s="186" t="s">
        <v>172</v>
      </c>
      <c r="S553" s="4" t="s">
        <v>30</v>
      </c>
      <c r="T553" s="4"/>
      <c r="U553" s="4"/>
      <c r="V553" s="4"/>
      <c r="W553" s="185" t="s">
        <v>22</v>
      </c>
      <c r="X553" s="185"/>
      <c r="Y553" s="185"/>
      <c r="Z553" s="185"/>
      <c r="AA553" s="186" t="s">
        <v>171</v>
      </c>
      <c r="AB553" s="184" t="s">
        <v>5700</v>
      </c>
    </row>
    <row r="554" spans="1:28" x14ac:dyDescent="0.2">
      <c r="A554" s="175">
        <f>IF(COUNTIF(Tabla_imprenta[LOTE],Tabla_control[[#This Row],[LOTE]])=1,INDEX(Tabla_imprenta[FECHA EMISIÓN],MATCH(Tabla_control[[#This Row],[LOTE]],Tabla_imprenta[LOTE],0)),"REALIZADO")</f>
        <v>46143</v>
      </c>
      <c r="B554" s="142">
        <f>IF(COUNTIF(Tabla_imprenta[LOTE],Tabla_control[[#This Row],[LOTE]])=1,INDEX(Tabla_imprenta[CÓD. SOLICITUD],MATCH(Tabla_control[[#This Row],[LOTE]],Tabla_imprenta[LOTE],0)),"REALIZADO")</f>
        <v>0</v>
      </c>
      <c r="C554" s="177" t="str">
        <f>IF(COUNTIF(Tabla_imprenta[LOTE],Tabla_control[[#This Row],[LOTE]])=1,INDEX(Tabla_imprenta[PRODUCTO],MATCH(Tabla_control[[#This Row],[LOTE]],Tabla_imprenta[LOTE],0)),"REALIZADO")</f>
        <v>FLAMACOX RELAX X 2 CAP. BLANDAS MM</v>
      </c>
      <c r="D554" s="142" t="str">
        <f>IF(COUNTIF(Tabla_imprenta[LOTE],Tabla_control[[#This Row],[LOTE]])=1,INDEX(Tabla_imprenta[FORMA FARMACEUTICA],MATCH(Tabla_control[[#This Row],[LOTE]],Tabla_imprenta[LOTE],0)),"REALIZADO")</f>
        <v>CÁPSULA BLANDA</v>
      </c>
      <c r="E554" s="177" t="str">
        <f>IF(COUNTIF(Tabla_imprenta[LOTE],Tabla_control[[#This Row],[LOTE]])=1,INDEX(Tabla_imprenta[INSTITUCIÓN],MATCH(Tabla_control[[#This Row],[LOTE]],Tabla_imprenta[LOTE],0)),"REALIZADO")</f>
        <v>MM-2026</v>
      </c>
      <c r="F554" s="229" t="s">
        <v>5408</v>
      </c>
      <c r="G554" s="139">
        <f>IF(COUNTIF(Tabla_imprenta[LOTE],Tabla_control[[#This Row],[LOTE]])=1,INDEX(Tabla_imprenta[CANTIDAD ENVASE SECUNDARIO],MATCH(Tabla_control[[#This Row],[LOTE]],Tabla_imprenta[LOTE],0)),"ENTREGADO")</f>
        <v>35000</v>
      </c>
      <c r="H554" s="139">
        <f>IF(COUNTIF(Tabla_imprenta[LOTE],Tabla_control[[#This Row],[LOTE]])=1,INDEX(Tabla_imprenta[stock sap],MATCH(Tabla_control[[#This Row],[LOTE]],Tabla_imprenta[LOTE],0)),"ENTREGADO")</f>
        <v>2360</v>
      </c>
      <c r="I554" s="139" t="str">
        <f>IF(Tabla_control[[#This Row],[STOCK SAP]]&gt;Tabla_control[[#This Row],[CANTIDAD IMPRIMIR]],"cubre","no cubre")</f>
        <v>no cubre</v>
      </c>
      <c r="J554" s="182">
        <f>IF(COUNTIF(Tabla_imprenta[LOTE],Tabla_control[[#This Row],[LOTE]])=1,INDEX(Tabla_imprenta[STOCK],MATCH(Tabla_control[[#This Row],[LOTE]],Tabla_imprenta[LOTE],0)),"ENTREGADO")</f>
        <v>2.0934936608469159</v>
      </c>
      <c r="K55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54" s="148">
        <f>INDEX(Tabla_imprenta[FECHA CAJA],MATCH(Tabla_control[[#This Row],[LOTE]],Tabla_imprenta[LOTE],0))</f>
        <v>0</v>
      </c>
      <c r="M55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5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7</v>
      </c>
      <c r="O55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59</v>
      </c>
      <c r="P554" s="170">
        <f>ROUNDUP(Tabla_control[[#This Row],[CANTIDAD IMPRIMIR]]/Tabla_control[[#This Row],[N TJ]],0)</f>
        <v>5000</v>
      </c>
      <c r="Q554" s="170">
        <f>IF(Tabla_control[[#This Row],[CANTIDAD TIRAJE]]&gt;10000,Tabla_control[[#This Row],[CANTIDAD TIRAJE]],Tabla_control[[#This Row],[CANTIDAD TIRAJE]]*2)</f>
        <v>10000</v>
      </c>
      <c r="R554" s="186" t="s">
        <v>173</v>
      </c>
      <c r="S554" s="4" t="s">
        <v>174</v>
      </c>
      <c r="T554" s="4"/>
      <c r="U554" s="4"/>
      <c r="V554" s="4"/>
      <c r="W554" s="185" t="s">
        <v>2984</v>
      </c>
      <c r="X554" s="185" t="s">
        <v>88</v>
      </c>
      <c r="Y554" s="185" t="s">
        <v>88</v>
      </c>
      <c r="Z554" s="185" t="s">
        <v>88</v>
      </c>
      <c r="AA554" s="186" t="s">
        <v>171</v>
      </c>
      <c r="AB554" s="184" t="s">
        <v>4464</v>
      </c>
    </row>
    <row r="555" spans="1:28" hidden="1" x14ac:dyDescent="0.2">
      <c r="A555" s="175">
        <f>IF(COUNTIF(Tabla_imprenta[LOTE],Tabla_control[[#This Row],[LOTE]])=1,INDEX(Tabla_imprenta[FECHA EMISIÓN],MATCH(Tabla_control[[#This Row],[LOTE]],Tabla_imprenta[LOTE],0)),"REALIZADO")</f>
        <v>46121</v>
      </c>
      <c r="B555" s="142">
        <f>IF(COUNTIF(Tabla_imprenta[LOTE],Tabla_control[[#This Row],[LOTE]])=1,INDEX(Tabla_imprenta[CÓD. SOLICITUD],MATCH(Tabla_control[[#This Row],[LOTE]],Tabla_imprenta[LOTE],0)),"REALIZADO")</f>
        <v>0</v>
      </c>
      <c r="C555" s="177" t="str">
        <f>IF(COUNTIF(Tabla_imprenta[LOTE],Tabla_control[[#This Row],[LOTE]])=1,INDEX(Tabla_imprenta[PRODUCTO],MATCH(Tabla_control[[#This Row],[LOTE]],Tabla_imprenta[LOTE],0)),"REALIZADO")</f>
        <v>FLUCONAZOL 150 MG X 2 CAP. DURAS</v>
      </c>
      <c r="D555" s="142" t="str">
        <f>IF(COUNTIF(Tabla_imprenta[LOTE],Tabla_control[[#This Row],[LOTE]])=1,INDEX(Tabla_imprenta[FORMA FARMACEUTICA],MATCH(Tabla_control[[#This Row],[LOTE]],Tabla_imprenta[LOTE],0)),"REALIZADO")</f>
        <v>CÁPSULA</v>
      </c>
      <c r="E555" s="177" t="str">
        <f>IF(COUNTIF(Tabla_imprenta[LOTE],Tabla_control[[#This Row],[LOTE]])=1,INDEX(Tabla_imprenta[INSTITUCIÓN],MATCH(Tabla_control[[#This Row],[LOTE]],Tabla_imprenta[LOTE],0)),"REALIZADO")</f>
        <v>COMERCIO</v>
      </c>
      <c r="F555" s="181" t="s">
        <v>3261</v>
      </c>
      <c r="G555" s="139">
        <f>IF(COUNTIF(Tabla_imprenta[LOTE],Tabla_control[[#This Row],[LOTE]])=1,INDEX(Tabla_imprenta[CANTIDAD ENVASE SECUNDARIO],MATCH(Tabla_control[[#This Row],[LOTE]],Tabla_imprenta[LOTE],0)),"ENTREGADO")</f>
        <v>70000</v>
      </c>
      <c r="H555" s="139">
        <f>IF(COUNTIF(Tabla_imprenta[LOTE],Tabla_control[[#This Row],[LOTE]])=1,INDEX(Tabla_imprenta[stock sap],MATCH(Tabla_control[[#This Row],[LOTE]],Tabla_imprenta[LOTE],0)),"ENTREGADO")</f>
        <v>2250</v>
      </c>
      <c r="I555" s="139" t="str">
        <f>IF(Tabla_control[[#This Row],[STOCK SAP]]&gt;Tabla_control[[#This Row],[CANTIDAD IMPRIMIR]],"cubre","no cubre")</f>
        <v>no cubre</v>
      </c>
      <c r="J555" s="182">
        <f>IF(COUNTIF(Tabla_imprenta[LOTE],Tabla_control[[#This Row],[LOTE]])=1,INDEX(Tabla_imprenta[STOCK],MATCH(Tabla_control[[#This Row],[LOTE]],Tabla_imprenta[LOTE],0)),"ENTREGADO")</f>
        <v>2.1008563273073264</v>
      </c>
      <c r="K55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55" s="148">
        <f>INDEX(Tabla_imprenta[FECHA CAJA],MATCH(Tabla_control[[#This Row],[LOTE]],Tabla_imprenta[LOTE],0))</f>
        <v>46155</v>
      </c>
      <c r="M55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5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55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</v>
      </c>
      <c r="P555" s="170">
        <f>ROUNDUP(Tabla_control[[#This Row],[CANTIDAD IMPRIMIR]]/Tabla_control[[#This Row],[N TJ]],0)</f>
        <v>11667</v>
      </c>
      <c r="Q555" s="170">
        <f>IF(Tabla_control[[#This Row],[CANTIDAD TIRAJE]]&gt;10000,Tabla_control[[#This Row],[CANTIDAD TIRAJE]],Tabla_control[[#This Row],[CANTIDAD TIRAJE]]*2)</f>
        <v>11667</v>
      </c>
      <c r="R555" s="186" t="s">
        <v>172</v>
      </c>
      <c r="S555" s="4" t="s">
        <v>30</v>
      </c>
      <c r="T555" s="4"/>
      <c r="U555" s="4"/>
      <c r="V555" s="4"/>
      <c r="W555" s="185" t="s">
        <v>3223</v>
      </c>
      <c r="X555" s="185"/>
      <c r="Y555" s="185"/>
      <c r="Z555" s="185"/>
      <c r="AA555" s="186" t="s">
        <v>2031</v>
      </c>
      <c r="AB555" s="184" t="s">
        <v>3222</v>
      </c>
    </row>
    <row r="556" spans="1:28" hidden="1" x14ac:dyDescent="0.2">
      <c r="A556" s="175">
        <f>IF(COUNTIF(Tabla_imprenta[LOTE],Tabla_control[[#This Row],[LOTE]])=1,INDEX(Tabla_imprenta[FECHA EMISIÓN],MATCH(Tabla_control[[#This Row],[LOTE]],Tabla_imprenta[LOTE],0)),"REALIZADO")</f>
        <v>46113</v>
      </c>
      <c r="B556" s="142">
        <f>IF(COUNTIF(Tabla_imprenta[LOTE],Tabla_control[[#This Row],[LOTE]])=1,INDEX(Tabla_imprenta[CÓD. SOLICITUD],MATCH(Tabla_control[[#This Row],[LOTE]],Tabla_imprenta[LOTE],0)),"REALIZADO")</f>
        <v>0</v>
      </c>
      <c r="C556" s="177" t="str">
        <f>IF(COUNTIF(Tabla_imprenta[LOTE],Tabla_control[[#This Row],[LOTE]])=1,INDEX(Tabla_imprenta[PRODUCTO],MATCH(Tabla_control[[#This Row],[LOTE]],Tabla_imprenta[LOTE],0)),"REALIZADO")</f>
        <v>TINIDAZOL 1G X 2 COMP. RECUBIERTO</v>
      </c>
      <c r="D556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56" s="177" t="str">
        <f>IF(COUNTIF(Tabla_imprenta[LOTE],Tabla_control[[#This Row],[LOTE]])=1,INDEX(Tabla_imprenta[INSTITUCIÓN],MATCH(Tabla_control[[#This Row],[LOTE]],Tabla_imprenta[LOTE],0)),"REALIZADO")</f>
        <v>COMERCIO</v>
      </c>
      <c r="F556" s="181" t="s">
        <v>3108</v>
      </c>
      <c r="G556" s="139">
        <f>IF(COUNTIF(Tabla_imprenta[LOTE],Tabla_control[[#This Row],[LOTE]])=1,INDEX(Tabla_imprenta[CANTIDAD ENVASE SECUNDARIO],MATCH(Tabla_control[[#This Row],[LOTE]],Tabla_imprenta[LOTE],0)),"ENTREGADO")</f>
        <v>10000</v>
      </c>
      <c r="H556" s="139">
        <f>IF(COUNTIF(Tabla_imprenta[LOTE],Tabla_control[[#This Row],[LOTE]])=1,INDEX(Tabla_imprenta[stock sap],MATCH(Tabla_control[[#This Row],[LOTE]],Tabla_imprenta[LOTE],0)),"ENTREGADO")</f>
        <v>1144</v>
      </c>
      <c r="I556" s="139" t="str">
        <f>IF(Tabla_control[[#This Row],[STOCK SAP]]&gt;Tabla_control[[#This Row],[CANTIDAD IMPRIMIR]],"cubre","no cubre")</f>
        <v>no cubre</v>
      </c>
      <c r="J556" s="182">
        <f>IF(COUNTIF(Tabla_imprenta[LOTE],Tabla_control[[#This Row],[LOTE]])=1,INDEX(Tabla_imprenta[STOCK],MATCH(Tabla_control[[#This Row],[LOTE]],Tabla_imprenta[LOTE],0)),"ENTREGADO")</f>
        <v>2.1555806087936862</v>
      </c>
      <c r="K556" s="149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46155</v>
      </c>
      <c r="L556" s="148">
        <f>INDEX(Tabla_imprenta[FECHA CAJA],MATCH(Tabla_control[[#This Row],[LOTE]],Tabla_imprenta[LOTE],0))</f>
        <v>46154</v>
      </c>
      <c r="M55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5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5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37</v>
      </c>
      <c r="P556" s="170">
        <f>ROUNDUP(Tabla_control[[#This Row],[CANTIDAD IMPRIMIR]]/Tabla_control[[#This Row],[N TJ]],0)</f>
        <v>2500</v>
      </c>
      <c r="Q556" s="170">
        <f>IF(Tabla_control[[#This Row],[CANTIDAD TIRAJE]]&gt;10000,Tabla_control[[#This Row],[CANTIDAD TIRAJE]],Tabla_control[[#This Row],[CANTIDAD TIRAJE]]*2)</f>
        <v>5000</v>
      </c>
      <c r="R556" s="186" t="s">
        <v>172</v>
      </c>
      <c r="S556" s="4" t="s">
        <v>30</v>
      </c>
      <c r="T556" s="4"/>
      <c r="U556" s="4"/>
      <c r="V556" s="4"/>
      <c r="W556" s="185" t="s">
        <v>3223</v>
      </c>
      <c r="X556" s="185"/>
      <c r="Y556" s="185"/>
      <c r="Z556" s="185"/>
      <c r="AA556" s="186" t="s">
        <v>2031</v>
      </c>
      <c r="AB556" s="184" t="s">
        <v>3222</v>
      </c>
    </row>
    <row r="557" spans="1:28" hidden="1" x14ac:dyDescent="0.2">
      <c r="A557" s="175">
        <f>IF(COUNTIF(Tabla_imprenta[LOTE],Tabla_control[[#This Row],[LOTE]])=1,INDEX(Tabla_imprenta[FECHA EMISIÓN],MATCH(Tabla_control[[#This Row],[LOTE]],Tabla_imprenta[LOTE],0)),"REALIZADO")</f>
        <v>46143</v>
      </c>
      <c r="B557" s="142">
        <f>IF(COUNTIF(Tabla_imprenta[LOTE],Tabla_control[[#This Row],[LOTE]])=1,INDEX(Tabla_imprenta[CÓD. SOLICITUD],MATCH(Tabla_control[[#This Row],[LOTE]],Tabla_imprenta[LOTE],0)),"REALIZADO")</f>
        <v>0</v>
      </c>
      <c r="C557" s="177" t="str">
        <f>IF(COUNTIF(Tabla_imprenta[LOTE],Tabla_control[[#This Row],[LOTE]])=1,INDEX(Tabla_imprenta[PRODUCTO],MATCH(Tabla_control[[#This Row],[LOTE]],Tabla_imprenta[LOTE],0)),"REALIZADO")</f>
        <v>HISTADRYN NF X 10 CAP. BLANDAS</v>
      </c>
      <c r="D557" s="142" t="str">
        <f>IF(COUNTIF(Tabla_imprenta[LOTE],Tabla_control[[#This Row],[LOTE]])=1,INDEX(Tabla_imprenta[FORMA FARMACEUTICA],MATCH(Tabla_control[[#This Row],[LOTE]],Tabla_imprenta[LOTE],0)),"REALIZADO")</f>
        <v>CÁPSULA BLANDA</v>
      </c>
      <c r="E557" s="177" t="str">
        <f>IF(COUNTIF(Tabla_imprenta[LOTE],Tabla_control[[#This Row],[LOTE]])=1,INDEX(Tabla_imprenta[INSTITUCIÓN],MATCH(Tabla_control[[#This Row],[LOTE]],Tabla_imprenta[LOTE],0)),"REALIZADO")</f>
        <v>COMERCIO</v>
      </c>
      <c r="F557" s="229" t="s">
        <v>5381</v>
      </c>
      <c r="G557" s="139">
        <f>IF(COUNTIF(Tabla_imprenta[LOTE],Tabla_control[[#This Row],[LOTE]])=1,INDEX(Tabla_imprenta[CANTIDAD ENVASE SECUNDARIO],MATCH(Tabla_control[[#This Row],[LOTE]],Tabla_imprenta[LOTE],0)),"ENTREGADO")</f>
        <v>2000</v>
      </c>
      <c r="H557" s="139">
        <f>IF(COUNTIF(Tabla_imprenta[LOTE],Tabla_control[[#This Row],[LOTE]])=1,INDEX(Tabla_imprenta[stock sap],MATCH(Tabla_control[[#This Row],[LOTE]],Tabla_imprenta[LOTE],0)),"ENTREGADO")</f>
        <v>2649</v>
      </c>
      <c r="I557" s="139" t="str">
        <f>IF(Tabla_control[[#This Row],[STOCK SAP]]&gt;Tabla_control[[#This Row],[CANTIDAD IMPRIMIR]],"cubre","no cubre")</f>
        <v>cubre</v>
      </c>
      <c r="J557" s="182">
        <f>IF(COUNTIF(Tabla_imprenta[LOTE],Tabla_control[[#This Row],[LOTE]])=1,INDEX(Tabla_imprenta[STOCK],MATCH(Tabla_control[[#This Row],[LOTE]],Tabla_imprenta[LOTE],0)),"ENTREGADO")</f>
        <v>1.9681586061880445</v>
      </c>
      <c r="K55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57" s="148">
        <f>INDEX(Tabla_imprenta[FECHA CAJA],MATCH(Tabla_control[[#This Row],[LOTE]],Tabla_imprenta[LOTE],0))</f>
        <v>0</v>
      </c>
      <c r="M55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5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55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121</v>
      </c>
      <c r="P557" s="170">
        <f>ROUNDUP(Tabla_control[[#This Row],[CANTIDAD IMPRIMIR]]/Tabla_control[[#This Row],[N TJ]],0)</f>
        <v>334</v>
      </c>
      <c r="Q557" s="170">
        <f>IF(Tabla_control[[#This Row],[CANTIDAD TIRAJE]]&gt;10000,Tabla_control[[#This Row],[CANTIDAD TIRAJE]],Tabla_control[[#This Row],[CANTIDAD TIRAJE]]*2)</f>
        <v>668</v>
      </c>
      <c r="R557" s="186" t="s">
        <v>173</v>
      </c>
      <c r="S557" s="4" t="s">
        <v>174</v>
      </c>
      <c r="T557" s="4"/>
      <c r="U557" s="4"/>
      <c r="V557" s="4"/>
      <c r="W557" s="185" t="s">
        <v>321</v>
      </c>
      <c r="X557" s="185"/>
      <c r="Y557" s="185"/>
      <c r="Z557" s="185"/>
      <c r="AA557" s="186" t="s">
        <v>321</v>
      </c>
      <c r="AB557" s="184" t="s">
        <v>4464</v>
      </c>
    </row>
    <row r="558" spans="1:28" x14ac:dyDescent="0.2">
      <c r="A558" s="175">
        <f>IF(COUNTIF(Tabla_imprenta[LOTE],Tabla_control[[#This Row],[LOTE]])=1,INDEX(Tabla_imprenta[FECHA EMISIÓN],MATCH(Tabla_control[[#This Row],[LOTE]],Tabla_imprenta[LOTE],0)),"REALIZADO")</f>
        <v>46143</v>
      </c>
      <c r="B558" s="142">
        <f>IF(COUNTIF(Tabla_imprenta[LOTE],Tabla_control[[#This Row],[LOTE]])=1,INDEX(Tabla_imprenta[CÓD. SOLICITUD],MATCH(Tabla_control[[#This Row],[LOTE]],Tabla_imprenta[LOTE],0)),"REALIZADO")</f>
        <v>0</v>
      </c>
      <c r="C558" s="177" t="str">
        <f>IF(COUNTIF(Tabla_imprenta[LOTE],Tabla_control[[#This Row],[LOTE]])=1,INDEX(Tabla_imprenta[PRODUCTO],MATCH(Tabla_control[[#This Row],[LOTE]],Tabla_imprenta[LOTE],0)),"REALIZADO")</f>
        <v>AMBROXOL 15 MG X 100 ML JARABE</v>
      </c>
      <c r="D558" s="142" t="str">
        <f>IF(COUNTIF(Tabla_imprenta[LOTE],Tabla_control[[#This Row],[LOTE]])=1,INDEX(Tabla_imprenta[FORMA FARMACEUTICA],MATCH(Tabla_control[[#This Row],[LOTE]],Tabla_imprenta[LOTE],0)),"REALIZADO")</f>
        <v>JARABE</v>
      </c>
      <c r="E558" s="177" t="str">
        <f>IF(COUNTIF(Tabla_imprenta[LOTE],Tabla_control[[#This Row],[LOTE]])=1,INDEX(Tabla_imprenta[INSTITUCIÓN],MATCH(Tabla_control[[#This Row],[LOTE]],Tabla_imprenta[LOTE],0)),"REALIZADO")</f>
        <v>COMERCIO</v>
      </c>
      <c r="F558" s="229" t="s">
        <v>5676</v>
      </c>
      <c r="G558" s="139">
        <f>IF(COUNTIF(Tabla_imprenta[LOTE],Tabla_control[[#This Row],[LOTE]])=1,INDEX(Tabla_imprenta[CANTIDAD ENVASE SECUNDARIO],MATCH(Tabla_control[[#This Row],[LOTE]],Tabla_imprenta[LOTE],0)),"ENTREGADO")</f>
        <v>19802</v>
      </c>
      <c r="H558" s="139">
        <f>IF(COUNTIF(Tabla_imprenta[LOTE],Tabla_control[[#This Row],[LOTE]])=1,INDEX(Tabla_imprenta[stock sap],MATCH(Tabla_control[[#This Row],[LOTE]],Tabla_imprenta[LOTE],0)),"ENTREGADO")</f>
        <v>9410</v>
      </c>
      <c r="I558" s="139" t="str">
        <f>IF(Tabla_control[[#This Row],[STOCK SAP]]&gt;Tabla_control[[#This Row],[CANTIDAD IMPRIMIR]],"cubre","no cubre")</f>
        <v>no cubre</v>
      </c>
      <c r="J558" s="182">
        <f>IF(COUNTIF(Tabla_imprenta[LOTE],Tabla_control[[#This Row],[LOTE]])=1,INDEX(Tabla_imprenta[STOCK],MATCH(Tabla_control[[#This Row],[LOTE]],Tabla_imprenta[LOTE],0)),"ENTREGADO")</f>
        <v>2.1978169779111272</v>
      </c>
      <c r="K55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58" s="148">
        <f>INDEX(Tabla_imprenta[FECHA CAJA],MATCH(Tabla_control[[#This Row],[LOTE]],Tabla_imprenta[LOTE],0))</f>
        <v>0</v>
      </c>
      <c r="M55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5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5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58" s="170">
        <f>ROUNDUP(Tabla_control[[#This Row],[CANTIDAD IMPRIMIR]]/Tabla_control[[#This Row],[N TJ]],0)</f>
        <v>9901</v>
      </c>
      <c r="Q558" s="170">
        <f>IF(Tabla_control[[#This Row],[CANTIDAD TIRAJE]]&gt;10000,Tabla_control[[#This Row],[CANTIDAD TIRAJE]],Tabla_control[[#This Row],[CANTIDAD TIRAJE]]*2)</f>
        <v>19802</v>
      </c>
      <c r="R558" s="186" t="s">
        <v>172</v>
      </c>
      <c r="S558" s="4" t="s">
        <v>30</v>
      </c>
      <c r="T558" s="4"/>
      <c r="U558" s="4"/>
      <c r="V558" s="4"/>
      <c r="W558" s="185" t="s">
        <v>22</v>
      </c>
      <c r="X558" s="185"/>
      <c r="Y558" s="185"/>
      <c r="Z558" s="185"/>
      <c r="AA558" s="186" t="s">
        <v>171</v>
      </c>
      <c r="AB558" s="184" t="s">
        <v>5700</v>
      </c>
    </row>
    <row r="559" spans="1:28" x14ac:dyDescent="0.2">
      <c r="A559" s="175">
        <f>IF(COUNTIF(Tabla_imprenta[LOTE],Tabla_control[[#This Row],[LOTE]])=1,INDEX(Tabla_imprenta[FECHA EMISIÓN],MATCH(Tabla_control[[#This Row],[LOTE]],Tabla_imprenta[LOTE],0)),"REALIZADO")</f>
        <v>46143</v>
      </c>
      <c r="B559" s="142">
        <f>IF(COUNTIF(Tabla_imprenta[LOTE],Tabla_control[[#This Row],[LOTE]])=1,INDEX(Tabla_imprenta[CÓD. SOLICITUD],MATCH(Tabla_control[[#This Row],[LOTE]],Tabla_imprenta[LOTE],0)),"REALIZADO")</f>
        <v>0</v>
      </c>
      <c r="C559" s="178" t="str">
        <f>IF(COUNTIF(Tabla_imprenta[LOTE],Tabla_control[[#This Row],[LOTE]])=1,INDEX(Tabla_imprenta[PRODUCTO],MATCH(Tabla_control[[#This Row],[LOTE]],Tabla_imprenta[LOTE],0)),"REALIZADO")</f>
        <v>LIDOCAINA 4% X 20 G GEL</v>
      </c>
      <c r="D559" s="142" t="str">
        <f>IF(COUNTIF(Tabla_imprenta[LOTE],Tabla_control[[#This Row],[LOTE]])=1,INDEX(Tabla_imprenta[FORMA FARMACEUTICA],MATCH(Tabla_control[[#This Row],[LOTE]],Tabla_imprenta[LOTE],0)),"REALIZADO")</f>
        <v>GEL</v>
      </c>
      <c r="E559" s="177" t="str">
        <f>IF(COUNTIF(Tabla_imprenta[LOTE],Tabla_control[[#This Row],[LOTE]])=1,INDEX(Tabla_imprenta[INSTITUCIÓN],MATCH(Tabla_control[[#This Row],[LOTE]],Tabla_imprenta[LOTE],0)),"REALIZADO")</f>
        <v>COMERCIO</v>
      </c>
      <c r="F559" s="229" t="s">
        <v>5390</v>
      </c>
      <c r="G559" s="139">
        <f>IF(COUNTIF(Tabla_imprenta[LOTE],Tabla_control[[#This Row],[LOTE]])=1,INDEX(Tabla_imprenta[CANTIDAD ENVASE SECUNDARIO],MATCH(Tabla_control[[#This Row],[LOTE]],Tabla_imprenta[LOTE],0)),"ENTREGADO")</f>
        <v>12900</v>
      </c>
      <c r="H559" s="139">
        <f>IF(COUNTIF(Tabla_imprenta[LOTE],Tabla_control[[#This Row],[LOTE]])=1,INDEX(Tabla_imprenta[stock sap],MATCH(Tabla_control[[#This Row],[LOTE]],Tabla_imprenta[LOTE],0)),"ENTREGADO")</f>
        <v>2755</v>
      </c>
      <c r="I559" s="139" t="str">
        <f>IF(Tabla_control[[#This Row],[STOCK SAP]]&gt;Tabla_control[[#This Row],[CANTIDAD IMPRIMIR]],"cubre","no cubre")</f>
        <v>no cubre</v>
      </c>
      <c r="J559" s="182">
        <f>IF(COUNTIF(Tabla_imprenta[LOTE],Tabla_control[[#This Row],[LOTE]])=1,INDEX(Tabla_imprenta[STOCK],MATCH(Tabla_control[[#This Row],[LOTE]],Tabla_imprenta[LOTE],0)),"ENTREGADO")</f>
        <v>2.2778031219628296</v>
      </c>
      <c r="K55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59" s="148">
        <f>INDEX(Tabla_imprenta[FECHA CAJA],MATCH(Tabla_control[[#This Row],[LOTE]],Tabla_imprenta[LOTE],0))</f>
        <v>0</v>
      </c>
      <c r="M55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5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5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559" s="170">
        <f>ROUNDUP(Tabla_control[[#This Row],[CANTIDAD IMPRIMIR]]/Tabla_control[[#This Row],[N TJ]],0)</f>
        <v>3225</v>
      </c>
      <c r="Q559" s="170">
        <f>IF(Tabla_control[[#This Row],[CANTIDAD TIRAJE]]&gt;10000,Tabla_control[[#This Row],[CANTIDAD TIRAJE]],Tabla_control[[#This Row],[CANTIDAD TIRAJE]]*2)</f>
        <v>6450</v>
      </c>
      <c r="R559" s="186" t="s">
        <v>172</v>
      </c>
      <c r="S559" s="4" t="s">
        <v>30</v>
      </c>
      <c r="T559" s="4"/>
      <c r="U559" s="4"/>
      <c r="V559" s="4"/>
      <c r="W559" s="185" t="s">
        <v>22</v>
      </c>
      <c r="X559" s="185"/>
      <c r="Y559" s="185"/>
      <c r="Z559" s="185"/>
      <c r="AA559" s="186" t="s">
        <v>171</v>
      </c>
      <c r="AB559" s="184" t="s">
        <v>4464</v>
      </c>
    </row>
    <row r="560" spans="1:28" x14ac:dyDescent="0.2">
      <c r="A560" s="175">
        <f>IF(COUNTIF(Tabla_imprenta[LOTE],Tabla_control[[#This Row],[LOTE]])=1,INDEX(Tabla_imprenta[FECHA EMISIÓN],MATCH(Tabla_control[[#This Row],[LOTE]],Tabla_imprenta[LOTE],0)),"REALIZADO")</f>
        <v>46143</v>
      </c>
      <c r="B560" s="142">
        <f>IF(COUNTIF(Tabla_imprenta[LOTE],Tabla_control[[#This Row],[LOTE]])=1,INDEX(Tabla_imprenta[CÓD. SOLICITUD],MATCH(Tabla_control[[#This Row],[LOTE]],Tabla_imprenta[LOTE],0)),"REALIZADO")</f>
        <v>0</v>
      </c>
      <c r="C560" s="177" t="str">
        <f>IF(COUNTIF(Tabla_imprenta[LOTE],Tabla_control[[#This Row],[LOTE]])=1,INDEX(Tabla_imprenta[PRODUCTO],MATCH(Tabla_control[[#This Row],[LOTE]],Tabla_imprenta[LOTE],0)),"REALIZADO")</f>
        <v>DIPROFEN FLU FUERTE X 100 ML SUSP.</v>
      </c>
      <c r="D560" s="142" t="str">
        <f>IF(COUNTIF(Tabla_imprenta[LOTE],Tabla_control[[#This Row],[LOTE]])=1,INDEX(Tabla_imprenta[FORMA FARMACEUTICA],MATCH(Tabla_control[[#This Row],[LOTE]],Tabla_imprenta[LOTE],0)),"REALIZADO")</f>
        <v>SUSPENSIÓN</v>
      </c>
      <c r="E560" s="177" t="str">
        <f>IF(COUNTIF(Tabla_imprenta[LOTE],Tabla_control[[#This Row],[LOTE]])=1,INDEX(Tabla_imprenta[INSTITUCIÓN],MATCH(Tabla_control[[#This Row],[LOTE]],Tabla_imprenta[LOTE],0)),"REALIZADO")</f>
        <v>COMERCIO</v>
      </c>
      <c r="F560" s="229" t="s">
        <v>5547</v>
      </c>
      <c r="G560" s="139">
        <f>IF(COUNTIF(Tabla_imprenta[LOTE],Tabla_control[[#This Row],[LOTE]])=1,INDEX(Tabla_imprenta[CANTIDAD ENVASE SECUNDARIO],MATCH(Tabla_control[[#This Row],[LOTE]],Tabla_imprenta[LOTE],0)),"ENTREGADO")</f>
        <v>4902</v>
      </c>
      <c r="H560" s="139">
        <f>IF(COUNTIF(Tabla_imprenta[LOTE],Tabla_control[[#This Row],[LOTE]])=1,INDEX(Tabla_imprenta[stock sap],MATCH(Tabla_control[[#This Row],[LOTE]],Tabla_imprenta[LOTE],0)),"ENTREGADO")</f>
        <v>624</v>
      </c>
      <c r="I560" s="139" t="str">
        <f>IF(Tabla_control[[#This Row],[STOCK SAP]]&gt;Tabla_control[[#This Row],[CANTIDAD IMPRIMIR]],"cubre","no cubre")</f>
        <v>no cubre</v>
      </c>
      <c r="J560" s="182">
        <f>IF(COUNTIF(Tabla_imprenta[LOTE],Tabla_control[[#This Row],[LOTE]])=1,INDEX(Tabla_imprenta[STOCK],MATCH(Tabla_control[[#This Row],[LOTE]],Tabla_imprenta[LOTE],0)),"ENTREGADO")</f>
        <v>2.3179753406878651</v>
      </c>
      <c r="K56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60" s="148">
        <f>INDEX(Tabla_imprenta[FECHA CAJA],MATCH(Tabla_control[[#This Row],[LOTE]],Tabla_imprenta[LOTE],0))</f>
        <v>0</v>
      </c>
      <c r="M56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56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6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75</v>
      </c>
      <c r="P560" s="170">
        <f>ROUNDUP(Tabla_control[[#This Row],[CANTIDAD IMPRIMIR]]/Tabla_control[[#This Row],[N TJ]],0)</f>
        <v>2451</v>
      </c>
      <c r="Q560" s="170">
        <f>IF(Tabla_control[[#This Row],[CANTIDAD TIRAJE]]&gt;10000,Tabla_control[[#This Row],[CANTIDAD TIRAJE]],Tabla_control[[#This Row],[CANTIDAD TIRAJE]]*2)</f>
        <v>4902</v>
      </c>
      <c r="R560" s="186" t="s">
        <v>177</v>
      </c>
      <c r="S560" s="4" t="s">
        <v>174</v>
      </c>
      <c r="T560" s="4"/>
      <c r="U560" s="4"/>
      <c r="V560" s="4"/>
      <c r="W560" s="185" t="s">
        <v>3233</v>
      </c>
      <c r="X560" s="185" t="s">
        <v>88</v>
      </c>
      <c r="Y560" s="185" t="s">
        <v>88</v>
      </c>
      <c r="Z560" s="185" t="s">
        <v>88</v>
      </c>
      <c r="AA560" s="186" t="s">
        <v>171</v>
      </c>
      <c r="AB560" s="184" t="s">
        <v>5700</v>
      </c>
    </row>
    <row r="561" spans="1:28" x14ac:dyDescent="0.2">
      <c r="A561" s="175">
        <f>IF(COUNTIF(Tabla_imprenta[LOTE],Tabla_control[[#This Row],[LOTE]])=1,INDEX(Tabla_imprenta[FECHA EMISIÓN],MATCH(Tabla_control[[#This Row],[LOTE]],Tabla_imprenta[LOTE],0)),"REALIZADO")</f>
        <v>46143</v>
      </c>
      <c r="B561" s="142">
        <f>IF(COUNTIF(Tabla_imprenta[LOTE],Tabla_control[[#This Row],[LOTE]])=1,INDEX(Tabla_imprenta[CÓD. SOLICITUD],MATCH(Tabla_control[[#This Row],[LOTE]],Tabla_imprenta[LOTE],0)),"REALIZADO")</f>
        <v>0</v>
      </c>
      <c r="C561" s="177" t="str">
        <f>IF(COUNTIF(Tabla_imprenta[LOTE],Tabla_control[[#This Row],[LOTE]])=1,INDEX(Tabla_imprenta[PRODUCTO],MATCH(Tabla_control[[#This Row],[LOTE]],Tabla_imprenta[LOTE],0)),"REALIZADO")</f>
        <v>CEFALEXINA 250 MG X 60 ML POLVO PARA SUSP.</v>
      </c>
      <c r="D561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561" s="177" t="str">
        <f>IF(COUNTIF(Tabla_imprenta[LOTE],Tabla_control[[#This Row],[LOTE]])=1,INDEX(Tabla_imprenta[INSTITUCIÓN],MATCH(Tabla_control[[#This Row],[LOTE]],Tabla_imprenta[LOTE],0)),"REALIZADO")</f>
        <v>COMERCIO</v>
      </c>
      <c r="F561" s="229" t="s">
        <v>5686</v>
      </c>
      <c r="G561" s="139">
        <f>IF(COUNTIF(Tabla_imprenta[LOTE],Tabla_control[[#This Row],[LOTE]])=1,INDEX(Tabla_imprenta[CANTIDAD ENVASE SECUNDARIO],MATCH(Tabla_control[[#This Row],[LOTE]],Tabla_imprenta[LOTE],0)),"ENTREGADO")</f>
        <v>2000</v>
      </c>
      <c r="H561" s="139">
        <f>IF(COUNTIF(Tabla_imprenta[LOTE],Tabla_control[[#This Row],[LOTE]])=1,INDEX(Tabla_imprenta[stock sap],MATCH(Tabla_control[[#This Row],[LOTE]],Tabla_imprenta[LOTE],0)),"ENTREGADO")</f>
        <v>3095</v>
      </c>
      <c r="I561" s="139" t="str">
        <f>IF(Tabla_control[[#This Row],[STOCK SAP]]&gt;Tabla_control[[#This Row],[CANTIDAD IMPRIMIR]],"cubre","no cubre")</f>
        <v>cubre</v>
      </c>
      <c r="J561" s="182">
        <f>IF(COUNTIF(Tabla_imprenta[LOTE],Tabla_control[[#This Row],[LOTE]])=1,INDEX(Tabla_imprenta[STOCK],MATCH(Tabla_control[[#This Row],[LOTE]],Tabla_imprenta[LOTE],0)),"ENTREGADO")</f>
        <v>2.475978557702033</v>
      </c>
      <c r="K56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61" s="148">
        <f>INDEX(Tabla_imprenta[FECHA CAJA],MATCH(Tabla_control[[#This Row],[LOTE]],Tabla_imprenta[LOTE],0))</f>
        <v>0</v>
      </c>
      <c r="M56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6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6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</v>
      </c>
      <c r="P561" s="170">
        <f>ROUNDUP(Tabla_control[[#This Row],[CANTIDAD IMPRIMIR]]/Tabla_control[[#This Row],[N TJ]],0)</f>
        <v>500</v>
      </c>
      <c r="Q561" s="170">
        <f>IF(Tabla_control[[#This Row],[CANTIDAD TIRAJE]]&gt;10000,Tabla_control[[#This Row],[CANTIDAD TIRAJE]],Tabla_control[[#This Row],[CANTIDAD TIRAJE]]*2)</f>
        <v>1000</v>
      </c>
      <c r="R561" s="186" t="s">
        <v>172</v>
      </c>
      <c r="S561" s="4" t="s">
        <v>30</v>
      </c>
      <c r="T561" s="4"/>
      <c r="U561" s="4"/>
      <c r="V561" s="4"/>
      <c r="W561" s="185" t="s">
        <v>22</v>
      </c>
      <c r="X561" s="185"/>
      <c r="Y561" s="185"/>
      <c r="Z561" s="185"/>
      <c r="AA561" s="186" t="s">
        <v>171</v>
      </c>
      <c r="AB561" s="184" t="s">
        <v>5700</v>
      </c>
    </row>
    <row r="562" spans="1:28" x14ac:dyDescent="0.2">
      <c r="A562" s="175">
        <f>IF(COUNTIF(Tabla_imprenta[LOTE],Tabla_control[[#This Row],[LOTE]])=1,INDEX(Tabla_imprenta[FECHA EMISIÓN],MATCH(Tabla_control[[#This Row],[LOTE]],Tabla_imprenta[LOTE],0)),"REALIZADO")</f>
        <v>46143</v>
      </c>
      <c r="B562" s="142">
        <f>IF(COUNTIF(Tabla_imprenta[LOTE],Tabla_control[[#This Row],[LOTE]])=1,INDEX(Tabla_imprenta[CÓD. SOLICITUD],MATCH(Tabla_control[[#This Row],[LOTE]],Tabla_imprenta[LOTE],0)),"REALIZADO")</f>
        <v>0</v>
      </c>
      <c r="C562" s="177" t="str">
        <f>IF(COUNTIF(Tabla_imprenta[LOTE],Tabla_control[[#This Row],[LOTE]])=1,INDEX(Tabla_imprenta[PRODUCTO],MATCH(Tabla_control[[#This Row],[LOTE]],Tabla_imprenta[LOTE],0)),"REALIZADO")</f>
        <v>AMOXICILINA 1 G X 500 COMP. RECUBIERTO</v>
      </c>
      <c r="D562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62" s="177" t="str">
        <f>IF(COUNTIF(Tabla_imprenta[LOTE],Tabla_control[[#This Row],[LOTE]])=1,INDEX(Tabla_imprenta[INSTITUCIÓN],MATCH(Tabla_control[[#This Row],[LOTE]],Tabla_imprenta[LOTE],0)),"REALIZADO")</f>
        <v>COMERCIO</v>
      </c>
      <c r="F562" s="229" t="s">
        <v>5491</v>
      </c>
      <c r="G562" s="139">
        <f>IF(COUNTIF(Tabla_imprenta[LOTE],Tabla_control[[#This Row],[LOTE]])=1,INDEX(Tabla_imprenta[CANTIDAD ENVASE SECUNDARIO],MATCH(Tabla_control[[#This Row],[LOTE]],Tabla_imprenta[LOTE],0)),"ENTREGADO")</f>
        <v>480</v>
      </c>
      <c r="H562" s="139">
        <f>IF(COUNTIF(Tabla_imprenta[LOTE],Tabla_control[[#This Row],[LOTE]])=1,INDEX(Tabla_imprenta[stock sap],MATCH(Tabla_control[[#This Row],[LOTE]],Tabla_imprenta[LOTE],0)),"ENTREGADO")</f>
        <v>2256</v>
      </c>
      <c r="I562" s="139" t="str">
        <f>IF(Tabla_control[[#This Row],[STOCK SAP]]&gt;Tabla_control[[#This Row],[CANTIDAD IMPRIMIR]],"cubre","no cubre")</f>
        <v>cubre</v>
      </c>
      <c r="J562" s="182">
        <f>IF(COUNTIF(Tabla_imprenta[LOTE],Tabla_control[[#This Row],[LOTE]])=1,INDEX(Tabla_imprenta[STOCK],MATCH(Tabla_control[[#This Row],[LOTE]],Tabla_imprenta[LOTE],0)),"ENTREGADO")</f>
        <v>2.8292858826955878</v>
      </c>
      <c r="K56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62" s="148">
        <f>INDEX(Tabla_imprenta[FECHA CAJA],MATCH(Tabla_control[[#This Row],[LOTE]],Tabla_imprenta[LOTE],0))</f>
        <v>0</v>
      </c>
      <c r="M56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6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56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562" s="170">
        <f>ROUNDUP(Tabla_control[[#This Row],[CANTIDAD IMPRIMIR]]/Tabla_control[[#This Row],[N TJ]],0)</f>
        <v>480</v>
      </c>
      <c r="Q562" s="170">
        <f>IF(Tabla_control[[#This Row],[CANTIDAD TIRAJE]]&gt;10000,Tabla_control[[#This Row],[CANTIDAD TIRAJE]],Tabla_control[[#This Row],[CANTIDAD TIRAJE]]*2)</f>
        <v>960</v>
      </c>
      <c r="R562" s="186" t="s">
        <v>172</v>
      </c>
      <c r="S562" s="4" t="s">
        <v>30</v>
      </c>
      <c r="T562" s="4"/>
      <c r="U562" s="4"/>
      <c r="V562" s="4"/>
      <c r="W562" s="185" t="s">
        <v>22</v>
      </c>
      <c r="X562" s="185"/>
      <c r="Y562" s="185"/>
      <c r="Z562" s="185"/>
      <c r="AA562" s="186" t="s">
        <v>171</v>
      </c>
      <c r="AB562" s="184" t="s">
        <v>4464</v>
      </c>
    </row>
    <row r="563" spans="1:28" x14ac:dyDescent="0.2">
      <c r="A563" s="175">
        <f>IF(COUNTIF(Tabla_imprenta[LOTE],Tabla_control[[#This Row],[LOTE]])=1,INDEX(Tabla_imprenta[FECHA EMISIÓN],MATCH(Tabla_control[[#This Row],[LOTE]],Tabla_imprenta[LOTE],0)),"REALIZADO")</f>
        <v>46143</v>
      </c>
      <c r="B563" s="142">
        <f>IF(COUNTIF(Tabla_imprenta[LOTE],Tabla_control[[#This Row],[LOTE]])=1,INDEX(Tabla_imprenta[CÓD. SOLICITUD],MATCH(Tabla_control[[#This Row],[LOTE]],Tabla_imprenta[LOTE],0)),"REALIZADO")</f>
        <v>0</v>
      </c>
      <c r="C563" s="177" t="str">
        <f>IF(COUNTIF(Tabla_imprenta[LOTE],Tabla_control[[#This Row],[LOTE]])=1,INDEX(Tabla_imprenta[PRODUCTO],MATCH(Tabla_control[[#This Row],[LOTE]],Tabla_imprenta[LOTE],0)),"REALIZADO")</f>
        <v>AMOXICILINA 1 G X 500 COMP. RECUBIERTO</v>
      </c>
      <c r="D563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63" s="177" t="str">
        <f>IF(COUNTIF(Tabla_imprenta[LOTE],Tabla_control[[#This Row],[LOTE]])=1,INDEX(Tabla_imprenta[INSTITUCIÓN],MATCH(Tabla_control[[#This Row],[LOTE]],Tabla_imprenta[LOTE],0)),"REALIZADO")</f>
        <v>COMERCIO</v>
      </c>
      <c r="F563" s="229" t="s">
        <v>5495</v>
      </c>
      <c r="G563" s="139">
        <f>IF(COUNTIF(Tabla_imprenta[LOTE],Tabla_control[[#This Row],[LOTE]])=1,INDEX(Tabla_imprenta[CANTIDAD ENVASE SECUNDARIO],MATCH(Tabla_control[[#This Row],[LOTE]],Tabla_imprenta[LOTE],0)),"ENTREGADO")</f>
        <v>480</v>
      </c>
      <c r="H563" s="139">
        <f>IF(COUNTIF(Tabla_imprenta[LOTE],Tabla_control[[#This Row],[LOTE]])=1,INDEX(Tabla_imprenta[stock sap],MATCH(Tabla_control[[#This Row],[LOTE]],Tabla_imprenta[LOTE],0)),"ENTREGADO")</f>
        <v>2256</v>
      </c>
      <c r="I563" s="139" t="str">
        <f>IF(Tabla_control[[#This Row],[STOCK SAP]]&gt;Tabla_control[[#This Row],[CANTIDAD IMPRIMIR]],"cubre","no cubre")</f>
        <v>cubre</v>
      </c>
      <c r="J563" s="182">
        <f>IF(COUNTIF(Tabla_imprenta[LOTE],Tabla_control[[#This Row],[LOTE]])=1,INDEX(Tabla_imprenta[STOCK],MATCH(Tabla_control[[#This Row],[LOTE]],Tabla_imprenta[LOTE],0)),"ENTREGADO")</f>
        <v>2.8292858826955878</v>
      </c>
      <c r="K56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63" s="148">
        <f>INDEX(Tabla_imprenta[FECHA CAJA],MATCH(Tabla_control[[#This Row],[LOTE]],Tabla_imprenta[LOTE],0))</f>
        <v>0</v>
      </c>
      <c r="M56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6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56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563" s="170">
        <f>ROUNDUP(Tabla_control[[#This Row],[CANTIDAD IMPRIMIR]]/Tabla_control[[#This Row],[N TJ]],0)</f>
        <v>480</v>
      </c>
      <c r="Q563" s="170">
        <f>IF(Tabla_control[[#This Row],[CANTIDAD TIRAJE]]&gt;10000,Tabla_control[[#This Row],[CANTIDAD TIRAJE]],Tabla_control[[#This Row],[CANTIDAD TIRAJE]]*2)</f>
        <v>960</v>
      </c>
      <c r="R563" s="186" t="s">
        <v>172</v>
      </c>
      <c r="S563" s="4" t="s">
        <v>30</v>
      </c>
      <c r="T563" s="4"/>
      <c r="U563" s="4"/>
      <c r="V563" s="4"/>
      <c r="W563" s="185" t="s">
        <v>22</v>
      </c>
      <c r="X563" s="185"/>
      <c r="Y563" s="185"/>
      <c r="Z563" s="185"/>
      <c r="AA563" s="186" t="s">
        <v>171</v>
      </c>
      <c r="AB563" s="184" t="s">
        <v>4464</v>
      </c>
    </row>
    <row r="564" spans="1:28" x14ac:dyDescent="0.2">
      <c r="A564" s="175">
        <f>IF(COUNTIF(Tabla_imprenta[LOTE],Tabla_control[[#This Row],[LOTE]])=1,INDEX(Tabla_imprenta[FECHA EMISIÓN],MATCH(Tabla_control[[#This Row],[LOTE]],Tabla_imprenta[LOTE],0)),"REALIZADO")</f>
        <v>46143</v>
      </c>
      <c r="B564" s="142">
        <f>IF(COUNTIF(Tabla_imprenta[LOTE],Tabla_control[[#This Row],[LOTE]])=1,INDEX(Tabla_imprenta[CÓD. SOLICITUD],MATCH(Tabla_control[[#This Row],[LOTE]],Tabla_imprenta[LOTE],0)),"REALIZADO")</f>
        <v>0</v>
      </c>
      <c r="C564" s="177" t="str">
        <f>IF(COUNTIF(Tabla_imprenta[LOTE],Tabla_control[[#This Row],[LOTE]])=1,INDEX(Tabla_imprenta[PRODUCTO],MATCH(Tabla_control[[#This Row],[LOTE]],Tabla_imprenta[LOTE],0)),"REALIZADO")</f>
        <v>AMOXICILINA 1 G X 500 COMP. RECUBIERTO</v>
      </c>
      <c r="D564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64" s="177" t="str">
        <f>IF(COUNTIF(Tabla_imprenta[LOTE],Tabla_control[[#This Row],[LOTE]])=1,INDEX(Tabla_imprenta[INSTITUCIÓN],MATCH(Tabla_control[[#This Row],[LOTE]],Tabla_imprenta[LOTE],0)),"REALIZADO")</f>
        <v>COMERCIO</v>
      </c>
      <c r="F564" s="229" t="s">
        <v>5499</v>
      </c>
      <c r="G564" s="139">
        <f>IF(COUNTIF(Tabla_imprenta[LOTE],Tabla_control[[#This Row],[LOTE]])=1,INDEX(Tabla_imprenta[CANTIDAD ENVASE SECUNDARIO],MATCH(Tabla_control[[#This Row],[LOTE]],Tabla_imprenta[LOTE],0)),"ENTREGADO")</f>
        <v>480</v>
      </c>
      <c r="H564" s="139">
        <f>IF(COUNTIF(Tabla_imprenta[LOTE],Tabla_control[[#This Row],[LOTE]])=1,INDEX(Tabla_imprenta[stock sap],MATCH(Tabla_control[[#This Row],[LOTE]],Tabla_imprenta[LOTE],0)),"ENTREGADO")</f>
        <v>2256</v>
      </c>
      <c r="I564" s="139" t="str">
        <f>IF(Tabla_control[[#This Row],[STOCK SAP]]&gt;Tabla_control[[#This Row],[CANTIDAD IMPRIMIR]],"cubre","no cubre")</f>
        <v>cubre</v>
      </c>
      <c r="J564" s="182">
        <f>IF(COUNTIF(Tabla_imprenta[LOTE],Tabla_control[[#This Row],[LOTE]])=1,INDEX(Tabla_imprenta[STOCK],MATCH(Tabla_control[[#This Row],[LOTE]],Tabla_imprenta[LOTE],0)),"ENTREGADO")</f>
        <v>2.8292858826955878</v>
      </c>
      <c r="K56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64" s="148">
        <f>INDEX(Tabla_imprenta[FECHA CAJA],MATCH(Tabla_control[[#This Row],[LOTE]],Tabla_imprenta[LOTE],0))</f>
        <v>0</v>
      </c>
      <c r="M56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6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56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564" s="170">
        <f>ROUNDUP(Tabla_control[[#This Row],[CANTIDAD IMPRIMIR]]/Tabla_control[[#This Row],[N TJ]],0)</f>
        <v>480</v>
      </c>
      <c r="Q564" s="170">
        <f>IF(Tabla_control[[#This Row],[CANTIDAD TIRAJE]]&gt;10000,Tabla_control[[#This Row],[CANTIDAD TIRAJE]],Tabla_control[[#This Row],[CANTIDAD TIRAJE]]*2)</f>
        <v>960</v>
      </c>
      <c r="R564" s="186" t="s">
        <v>172</v>
      </c>
      <c r="S564" s="4" t="s">
        <v>30</v>
      </c>
      <c r="T564" s="4"/>
      <c r="U564" s="4"/>
      <c r="V564" s="4"/>
      <c r="W564" s="185" t="s">
        <v>22</v>
      </c>
      <c r="X564" s="185"/>
      <c r="Y564" s="185"/>
      <c r="Z564" s="185"/>
      <c r="AA564" s="186" t="s">
        <v>171</v>
      </c>
      <c r="AB564" s="184" t="s">
        <v>4464</v>
      </c>
    </row>
    <row r="565" spans="1:28" x14ac:dyDescent="0.2">
      <c r="A565" s="175">
        <f>IF(COUNTIF(Tabla_imprenta[LOTE],Tabla_control[[#This Row],[LOTE]])=1,INDEX(Tabla_imprenta[FECHA EMISIÓN],MATCH(Tabla_control[[#This Row],[LOTE]],Tabla_imprenta[LOTE],0)),"REALIZADO")</f>
        <v>46143</v>
      </c>
      <c r="B565" s="142">
        <f>IF(COUNTIF(Tabla_imprenta[LOTE],Tabla_control[[#This Row],[LOTE]])=1,INDEX(Tabla_imprenta[CÓD. SOLICITUD],MATCH(Tabla_control[[#This Row],[LOTE]],Tabla_imprenta[LOTE],0)),"REALIZADO")</f>
        <v>0</v>
      </c>
      <c r="C565" s="177" t="str">
        <f>IF(COUNTIF(Tabla_imprenta[LOTE],Tabla_control[[#This Row],[LOTE]])=1,INDEX(Tabla_imprenta[PRODUCTO],MATCH(Tabla_control[[#This Row],[LOTE]],Tabla_imprenta[LOTE],0)),"REALIZADO")</f>
        <v>AMOXICILINA 1 G X 500 COMP. RECUBIERTO</v>
      </c>
      <c r="D565" s="142" t="str">
        <f>IF(COUNTIF(Tabla_imprenta[LOTE],Tabla_control[[#This Row],[LOTE]])=1,INDEX(Tabla_imprenta[FORMA FARMACEUTICA],MATCH(Tabla_control[[#This Row],[LOTE]],Tabla_imprenta[LOTE],0)),"REALIZADO")</f>
        <v>COMPRIMIDO RECUBIERTO</v>
      </c>
      <c r="E565" s="177" t="str">
        <f>IF(COUNTIF(Tabla_imprenta[LOTE],Tabla_control[[#This Row],[LOTE]])=1,INDEX(Tabla_imprenta[INSTITUCIÓN],MATCH(Tabla_control[[#This Row],[LOTE]],Tabla_imprenta[LOTE],0)),"REALIZADO")</f>
        <v>COMERCIO</v>
      </c>
      <c r="F565" s="229" t="s">
        <v>5500</v>
      </c>
      <c r="G565" s="139">
        <f>IF(COUNTIF(Tabla_imprenta[LOTE],Tabla_control[[#This Row],[LOTE]])=1,INDEX(Tabla_imprenta[CANTIDAD ENVASE SECUNDARIO],MATCH(Tabla_control[[#This Row],[LOTE]],Tabla_imprenta[LOTE],0)),"ENTREGADO")</f>
        <v>480</v>
      </c>
      <c r="H565" s="139">
        <f>IF(COUNTIF(Tabla_imprenta[LOTE],Tabla_control[[#This Row],[LOTE]])=1,INDEX(Tabla_imprenta[stock sap],MATCH(Tabla_control[[#This Row],[LOTE]],Tabla_imprenta[LOTE],0)),"ENTREGADO")</f>
        <v>2256</v>
      </c>
      <c r="I565" s="139" t="str">
        <f>IF(Tabla_control[[#This Row],[STOCK SAP]]&gt;Tabla_control[[#This Row],[CANTIDAD IMPRIMIR]],"cubre","no cubre")</f>
        <v>cubre</v>
      </c>
      <c r="J565" s="182">
        <f>IF(COUNTIF(Tabla_imprenta[LOTE],Tabla_control[[#This Row],[LOTE]])=1,INDEX(Tabla_imprenta[STOCK],MATCH(Tabla_control[[#This Row],[LOTE]],Tabla_imprenta[LOTE],0)),"ENTREGADO")</f>
        <v>2.8292858826955878</v>
      </c>
      <c r="K56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65" s="148">
        <f>INDEX(Tabla_imprenta[FECHA CAJA],MATCH(Tabla_control[[#This Row],[LOTE]],Tabla_imprenta[LOTE],0))</f>
        <v>0</v>
      </c>
      <c r="M56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6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56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79</v>
      </c>
      <c r="P565" s="170">
        <f>ROUNDUP(Tabla_control[[#This Row],[CANTIDAD IMPRIMIR]]/Tabla_control[[#This Row],[N TJ]],0)</f>
        <v>480</v>
      </c>
      <c r="Q565" s="170">
        <f>IF(Tabla_control[[#This Row],[CANTIDAD TIRAJE]]&gt;10000,Tabla_control[[#This Row],[CANTIDAD TIRAJE]],Tabla_control[[#This Row],[CANTIDAD TIRAJE]]*2)</f>
        <v>960</v>
      </c>
      <c r="R565" s="186" t="s">
        <v>172</v>
      </c>
      <c r="S565" s="4" t="s">
        <v>30</v>
      </c>
      <c r="T565" s="4"/>
      <c r="U565" s="4"/>
      <c r="V565" s="4"/>
      <c r="W565" s="185" t="s">
        <v>22</v>
      </c>
      <c r="X565" s="185"/>
      <c r="Y565" s="185"/>
      <c r="Z565" s="185"/>
      <c r="AA565" s="186" t="s">
        <v>171</v>
      </c>
      <c r="AB565" s="184" t="s">
        <v>4464</v>
      </c>
    </row>
    <row r="566" spans="1:28" x14ac:dyDescent="0.2">
      <c r="A566" s="175">
        <f>IF(COUNTIF(Tabla_imprenta[LOTE],Tabla_control[[#This Row],[LOTE]])=1,INDEX(Tabla_imprenta[FECHA EMISIÓN],MATCH(Tabla_control[[#This Row],[LOTE]],Tabla_imprenta[LOTE],0)),"REALIZADO")</f>
        <v>46143</v>
      </c>
      <c r="B566" s="142">
        <f>IF(COUNTIF(Tabla_imprenta[LOTE],Tabla_control[[#This Row],[LOTE]])=1,INDEX(Tabla_imprenta[CÓD. SOLICITUD],MATCH(Tabla_control[[#This Row],[LOTE]],Tabla_imprenta[LOTE],0)),"REALIZADO")</f>
        <v>0</v>
      </c>
      <c r="C566" s="177" t="str">
        <f>IF(COUNTIF(Tabla_imprenta[LOTE],Tabla_control[[#This Row],[LOTE]])=1,INDEX(Tabla_imprenta[PRODUCTO],MATCH(Tabla_control[[#This Row],[LOTE]],Tabla_imprenta[LOTE],0)),"REALIZADO")</f>
        <v>TERMO-DIPROFEN X 100 ML SUSP.</v>
      </c>
      <c r="D566" s="142" t="str">
        <f>IF(COUNTIF(Tabla_imprenta[LOTE],Tabla_control[[#This Row],[LOTE]])=1,INDEX(Tabla_imprenta[FORMA FARMACEUTICA],MATCH(Tabla_control[[#This Row],[LOTE]],Tabla_imprenta[LOTE],0)),"REALIZADO")</f>
        <v>SUSPENSIÓN</v>
      </c>
      <c r="E566" s="177" t="str">
        <f>IF(COUNTIF(Tabla_imprenta[LOTE],Tabla_control[[#This Row],[LOTE]])=1,INDEX(Tabla_imprenta[INSTITUCIÓN],MATCH(Tabla_control[[#This Row],[LOTE]],Tabla_imprenta[LOTE],0)),"REALIZADO")</f>
        <v>COMERCIO</v>
      </c>
      <c r="F566" s="229" t="s">
        <v>5577</v>
      </c>
      <c r="G566" s="139">
        <f>IF(COUNTIF(Tabla_imprenta[LOTE],Tabla_control[[#This Row],[LOTE]])=1,INDEX(Tabla_imprenta[CANTIDAD ENVASE SECUNDARIO],MATCH(Tabla_control[[#This Row],[LOTE]],Tabla_imprenta[LOTE],0)),"ENTREGADO")</f>
        <v>4902</v>
      </c>
      <c r="H566" s="139">
        <f>IF(COUNTIF(Tabla_imprenta[LOTE],Tabla_control[[#This Row],[LOTE]])=1,INDEX(Tabla_imprenta[stock sap],MATCH(Tabla_control[[#This Row],[LOTE]],Tabla_imprenta[LOTE],0)),"ENTREGADO")</f>
        <v>909</v>
      </c>
      <c r="I566" s="139" t="str">
        <f>IF(Tabla_control[[#This Row],[STOCK SAP]]&gt;Tabla_control[[#This Row],[CANTIDAD IMPRIMIR]],"cubre","no cubre")</f>
        <v>no cubre</v>
      </c>
      <c r="J566" s="182">
        <f>IF(COUNTIF(Tabla_imprenta[LOTE],Tabla_control[[#This Row],[LOTE]])=1,INDEX(Tabla_imprenta[STOCK],MATCH(Tabla_control[[#This Row],[LOTE]],Tabla_imprenta[LOTE],0)),"ENTREGADO")</f>
        <v>2.7090794667887179</v>
      </c>
      <c r="K56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66" s="148">
        <f>INDEX(Tabla_imprenta[FECHA CAJA],MATCH(Tabla_control[[#This Row],[LOTE]],Tabla_imprenta[LOTE],0))</f>
        <v>0</v>
      </c>
      <c r="M56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56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6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75</v>
      </c>
      <c r="P566" s="170">
        <f>ROUNDUP(Tabla_control[[#This Row],[CANTIDAD IMPRIMIR]]/Tabla_control[[#This Row],[N TJ]],0)</f>
        <v>2451</v>
      </c>
      <c r="Q566" s="170">
        <f>IF(Tabla_control[[#This Row],[CANTIDAD TIRAJE]]&gt;10000,Tabla_control[[#This Row],[CANTIDAD TIRAJE]],Tabla_control[[#This Row],[CANTIDAD TIRAJE]]*2)</f>
        <v>4902</v>
      </c>
      <c r="R566" s="186" t="s">
        <v>177</v>
      </c>
      <c r="S566" s="4" t="s">
        <v>174</v>
      </c>
      <c r="T566" s="4"/>
      <c r="U566" s="4"/>
      <c r="V566" s="4"/>
      <c r="W566" s="185" t="s">
        <v>3233</v>
      </c>
      <c r="X566" s="185" t="s">
        <v>88</v>
      </c>
      <c r="Y566" s="185" t="s">
        <v>88</v>
      </c>
      <c r="Z566" s="185" t="s">
        <v>88</v>
      </c>
      <c r="AA566" s="186" t="s">
        <v>171</v>
      </c>
      <c r="AB566" s="184" t="s">
        <v>5700</v>
      </c>
    </row>
    <row r="567" spans="1:28" x14ac:dyDescent="0.2">
      <c r="A567" s="175">
        <f>IF(COUNTIF(Tabla_imprenta[LOTE],Tabla_control[[#This Row],[LOTE]])=1,INDEX(Tabla_imprenta[FECHA EMISIÓN],MATCH(Tabla_control[[#This Row],[LOTE]],Tabla_imprenta[LOTE],0)),"REALIZADO")</f>
        <v>46143</v>
      </c>
      <c r="B567" s="142">
        <f>IF(COUNTIF(Tabla_imprenta[LOTE],Tabla_control[[#This Row],[LOTE]])=1,INDEX(Tabla_imprenta[CÓD. SOLICITUD],MATCH(Tabla_control[[#This Row],[LOTE]],Tabla_imprenta[LOTE],0)),"REALIZADO")</f>
        <v>0</v>
      </c>
      <c r="C567" s="177" t="str">
        <f>IF(COUNTIF(Tabla_imprenta[LOTE],Tabla_control[[#This Row],[LOTE]])=1,INDEX(Tabla_imprenta[PRODUCTO],MATCH(Tabla_control[[#This Row],[LOTE]],Tabla_imprenta[LOTE],0)),"REALIZADO")</f>
        <v>MUCOLITIC X 120 ML JARABE</v>
      </c>
      <c r="D567" s="142" t="str">
        <f>IF(COUNTIF(Tabla_imprenta[LOTE],Tabla_control[[#This Row],[LOTE]])=1,INDEX(Tabla_imprenta[FORMA FARMACEUTICA],MATCH(Tabla_control[[#This Row],[LOTE]],Tabla_imprenta[LOTE],0)),"REALIZADO")</f>
        <v>JARABE</v>
      </c>
      <c r="E567" s="177" t="str">
        <f>IF(COUNTIF(Tabla_imprenta[LOTE],Tabla_control[[#This Row],[LOTE]])=1,INDEX(Tabla_imprenta[INSTITUCIÓN],MATCH(Tabla_control[[#This Row],[LOTE]],Tabla_imprenta[LOTE],0)),"REALIZADO")</f>
        <v>COMERCIO</v>
      </c>
      <c r="F567" s="229" t="s">
        <v>5575</v>
      </c>
      <c r="G567" s="139">
        <f>IF(COUNTIF(Tabla_imprenta[LOTE],Tabla_control[[#This Row],[LOTE]])=1,INDEX(Tabla_imprenta[CANTIDAD ENVASE SECUNDARIO],MATCH(Tabla_control[[#This Row],[LOTE]],Tabla_imprenta[LOTE],0)),"ENTREGADO")</f>
        <v>4959</v>
      </c>
      <c r="H567" s="139">
        <f>IF(COUNTIF(Tabla_imprenta[LOTE],Tabla_control[[#This Row],[LOTE]])=1,INDEX(Tabla_imprenta[stock sap],MATCH(Tabla_control[[#This Row],[LOTE]],Tabla_imprenta[LOTE],0)),"ENTREGADO")</f>
        <v>1440</v>
      </c>
      <c r="I567" s="139" t="str">
        <f>IF(Tabla_control[[#This Row],[STOCK SAP]]&gt;Tabla_control[[#This Row],[CANTIDAD IMPRIMIR]],"cubre","no cubre")</f>
        <v>no cubre</v>
      </c>
      <c r="J567" s="182">
        <f>IF(COUNTIF(Tabla_imprenta[LOTE],Tabla_control[[#This Row],[LOTE]])=1,INDEX(Tabla_imprenta[STOCK],MATCH(Tabla_control[[#This Row],[LOTE]],Tabla_imprenta[LOTE],0)),"ENTREGADO")</f>
        <v>2.695722120658135</v>
      </c>
      <c r="K56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67" s="148">
        <f>INDEX(Tabla_imprenta[FECHA CAJA],MATCH(Tabla_control[[#This Row],[LOTE]],Tabla_imprenta[LOTE],0))</f>
        <v>0</v>
      </c>
      <c r="M56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56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6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67" s="170">
        <f>ROUNDUP(Tabla_control[[#This Row],[CANTIDAD IMPRIMIR]]/Tabla_control[[#This Row],[N TJ]],0)</f>
        <v>2480</v>
      </c>
      <c r="Q567" s="170">
        <f>IF(Tabla_control[[#This Row],[CANTIDAD TIRAJE]]&gt;10000,Tabla_control[[#This Row],[CANTIDAD TIRAJE]],Tabla_control[[#This Row],[CANTIDAD TIRAJE]]*2)</f>
        <v>4960</v>
      </c>
      <c r="R567" s="186" t="s">
        <v>177</v>
      </c>
      <c r="S567" s="4" t="s">
        <v>31</v>
      </c>
      <c r="T567" s="4"/>
      <c r="U567" s="4"/>
      <c r="V567" s="4"/>
      <c r="W567" s="185" t="s">
        <v>5721</v>
      </c>
      <c r="X567" s="185"/>
      <c r="Y567" s="185"/>
      <c r="Z567" s="185"/>
      <c r="AA567" s="186" t="s">
        <v>171</v>
      </c>
      <c r="AB567" s="184" t="s">
        <v>5700</v>
      </c>
    </row>
    <row r="568" spans="1:28" x14ac:dyDescent="0.2">
      <c r="A568" s="175">
        <f>IF(COUNTIF(Tabla_imprenta[LOTE],Tabla_control[[#This Row],[LOTE]])=1,INDEX(Tabla_imprenta[FECHA EMISIÓN],MATCH(Tabla_control[[#This Row],[LOTE]],Tabla_imprenta[LOTE],0)),"REALIZADO")</f>
        <v>46143</v>
      </c>
      <c r="B568" s="142">
        <f>IF(COUNTIF(Tabla_imprenta[LOTE],Tabla_control[[#This Row],[LOTE]])=1,INDEX(Tabla_imprenta[CÓD. SOLICITUD],MATCH(Tabla_control[[#This Row],[LOTE]],Tabla_imprenta[LOTE],0)),"REALIZADO")</f>
        <v>0</v>
      </c>
      <c r="C568" s="178" t="str">
        <f>IF(COUNTIF(Tabla_imprenta[LOTE],Tabla_control[[#This Row],[LOTE]])=1,INDEX(Tabla_imprenta[PRODUCTO],MATCH(Tabla_control[[#This Row],[LOTE]],Tabla_imprenta[LOTE],0)),"REALIZADO")</f>
        <v>KALENDA X 10 OVULOS</v>
      </c>
      <c r="D568" s="142" t="str">
        <f>IF(COUNTIF(Tabla_imprenta[LOTE],Tabla_control[[#This Row],[LOTE]])=1,INDEX(Tabla_imprenta[FORMA FARMACEUTICA],MATCH(Tabla_control[[#This Row],[LOTE]],Tabla_imprenta[LOTE],0)),"REALIZADO")</f>
        <v>ÓVULO VAGINAL</v>
      </c>
      <c r="E568" s="177" t="str">
        <f>IF(COUNTIF(Tabla_imprenta[LOTE],Tabla_control[[#This Row],[LOTE]])=1,INDEX(Tabla_imprenta[INSTITUCIÓN],MATCH(Tabla_control[[#This Row],[LOTE]],Tabla_imprenta[LOTE],0)),"REALIZADO")</f>
        <v>COMERCIO</v>
      </c>
      <c r="F568" s="229" t="s">
        <v>5393</v>
      </c>
      <c r="G568" s="139">
        <f>IF(COUNTIF(Tabla_imprenta[LOTE],Tabla_control[[#This Row],[LOTE]])=1,INDEX(Tabla_imprenta[CANTIDAD ENVASE SECUNDARIO],MATCH(Tabla_control[[#This Row],[LOTE]],Tabla_imprenta[LOTE],0)),"ENTREGADO")</f>
        <v>4000</v>
      </c>
      <c r="H568" s="139">
        <f>IF(COUNTIF(Tabla_imprenta[LOTE],Tabla_control[[#This Row],[LOTE]])=1,INDEX(Tabla_imprenta[stock sap],MATCH(Tabla_control[[#This Row],[LOTE]],Tabla_imprenta[LOTE],0)),"ENTREGADO")</f>
        <v>1927</v>
      </c>
      <c r="I568" s="139" t="str">
        <f>IF(Tabla_control[[#This Row],[STOCK SAP]]&gt;Tabla_control[[#This Row],[CANTIDAD IMPRIMIR]],"cubre","no cubre")</f>
        <v>no cubre</v>
      </c>
      <c r="J568" s="182">
        <f>IF(COUNTIF(Tabla_imprenta[LOTE],Tabla_control[[#This Row],[LOTE]])=1,INDEX(Tabla_imprenta[STOCK],MATCH(Tabla_control[[#This Row],[LOTE]],Tabla_imprenta[LOTE],0)),"ENTREGADO")</f>
        <v>2.7912227351287493</v>
      </c>
      <c r="K56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68" s="148">
        <f>INDEX(Tabla_imprenta[FECHA CAJA],MATCH(Tabla_control[[#This Row],[LOTE]],Tabla_imprenta[LOTE],0))</f>
        <v>0</v>
      </c>
      <c r="M56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56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56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16</v>
      </c>
      <c r="P568" s="170">
        <f>ROUNDUP(Tabla_control[[#This Row],[CANTIDAD IMPRIMIR]]/Tabla_control[[#This Row],[N TJ]],0)</f>
        <v>667</v>
      </c>
      <c r="Q568" s="170">
        <f>IF(Tabla_control[[#This Row],[CANTIDAD TIRAJE]]&gt;10000,Tabla_control[[#This Row],[CANTIDAD TIRAJE]],Tabla_control[[#This Row],[CANTIDAD TIRAJE]]*2)</f>
        <v>1334</v>
      </c>
      <c r="R568" s="186" t="s">
        <v>175</v>
      </c>
      <c r="S568" s="4" t="s">
        <v>174</v>
      </c>
      <c r="T568" s="4"/>
      <c r="U568" s="4"/>
      <c r="V568" s="4"/>
      <c r="W568" s="185" t="s">
        <v>2983</v>
      </c>
      <c r="X568" s="185" t="s">
        <v>88</v>
      </c>
      <c r="Y568" s="185" t="s">
        <v>88</v>
      </c>
      <c r="Z568" s="185" t="s">
        <v>88</v>
      </c>
      <c r="AA568" s="186" t="s">
        <v>171</v>
      </c>
      <c r="AB568" s="184" t="s">
        <v>4464</v>
      </c>
    </row>
    <row r="569" spans="1:28" hidden="1" x14ac:dyDescent="0.2">
      <c r="A569" s="175">
        <f>IF(COUNTIF(Tabla_imprenta[LOTE],Tabla_control[[#This Row],[LOTE]])=1,INDEX(Tabla_imprenta[FECHA EMISIÓN],MATCH(Tabla_control[[#This Row],[LOTE]],Tabla_imprenta[LOTE],0)),"REALIZADO")</f>
        <v>46143</v>
      </c>
      <c r="B569" s="142">
        <f>IF(COUNTIF(Tabla_imprenta[LOTE],Tabla_control[[#This Row],[LOTE]])=1,INDEX(Tabla_imprenta[CÓD. SOLICITUD],MATCH(Tabla_control[[#This Row],[LOTE]],Tabla_imprenta[LOTE],0)),"REALIZADO")</f>
        <v>0</v>
      </c>
      <c r="C569" s="177" t="str">
        <f>IF(COUNTIF(Tabla_imprenta[LOTE],Tabla_control[[#This Row],[LOTE]])=1,INDEX(Tabla_imprenta[PRODUCTO],MATCH(Tabla_control[[#This Row],[LOTE]],Tabla_imprenta[LOTE],0)),"REALIZADO")</f>
        <v>FLAMACOX RELAX X 10 CAP. BLANDAS</v>
      </c>
      <c r="D569" s="142" t="str">
        <f>IF(COUNTIF(Tabla_imprenta[LOTE],Tabla_control[[#This Row],[LOTE]])=1,INDEX(Tabla_imprenta[FORMA FARMACEUTICA],MATCH(Tabla_control[[#This Row],[LOTE]],Tabla_imprenta[LOTE],0)),"REALIZADO")</f>
        <v>CÁPSULA BLANDA</v>
      </c>
      <c r="E569" s="177" t="str">
        <f>IF(COUNTIF(Tabla_imprenta[LOTE],Tabla_control[[#This Row],[LOTE]])=1,INDEX(Tabla_imprenta[INSTITUCIÓN],MATCH(Tabla_control[[#This Row],[LOTE]],Tabla_imprenta[LOTE],0)),"REALIZADO")</f>
        <v>COMERCIO</v>
      </c>
      <c r="F569" s="229" t="s">
        <v>5375</v>
      </c>
      <c r="G569" s="139">
        <f>IF(COUNTIF(Tabla_imprenta[LOTE],Tabla_control[[#This Row],[LOTE]])=1,INDEX(Tabla_imprenta[CANTIDAD ENVASE SECUNDARIO],MATCH(Tabla_control[[#This Row],[LOTE]],Tabla_imprenta[LOTE],0)),"ENTREGADO")</f>
        <v>11000</v>
      </c>
      <c r="H569" s="139">
        <f>IF(COUNTIF(Tabla_imprenta[LOTE],Tabla_control[[#This Row],[LOTE]])=1,INDEX(Tabla_imprenta[stock sap],MATCH(Tabla_control[[#This Row],[LOTE]],Tabla_imprenta[LOTE],0)),"ENTREGADO")</f>
        <v>12044</v>
      </c>
      <c r="I569" s="139" t="str">
        <f>IF(Tabla_control[[#This Row],[STOCK SAP]]&gt;Tabla_control[[#This Row],[CANTIDAD IMPRIMIR]],"cubre","no cubre")</f>
        <v>cubre</v>
      </c>
      <c r="J569" s="182">
        <f>IF(COUNTIF(Tabla_imprenta[LOTE],Tabla_control[[#This Row],[LOTE]])=1,INDEX(Tabla_imprenta[STOCK],MATCH(Tabla_control[[#This Row],[LOTE]],Tabla_imprenta[LOTE],0)),"ENTREGADO")</f>
        <v>2.8051552668966919</v>
      </c>
      <c r="K56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69" s="148">
        <f>INDEX(Tabla_imprenta[FECHA CAJA],MATCH(Tabla_control[[#This Row],[LOTE]],Tabla_imprenta[LOTE],0))</f>
        <v>0</v>
      </c>
      <c r="M56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6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56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53</v>
      </c>
      <c r="P569" s="170">
        <f>ROUNDUP(Tabla_control[[#This Row],[CANTIDAD IMPRIMIR]]/Tabla_control[[#This Row],[N TJ]],0)</f>
        <v>3667</v>
      </c>
      <c r="Q569" s="170">
        <f>IF(Tabla_control[[#This Row],[CANTIDAD TIRAJE]]&gt;10000,Tabla_control[[#This Row],[CANTIDAD TIRAJE]],Tabla_control[[#This Row],[CANTIDAD TIRAJE]]*2)</f>
        <v>7334</v>
      </c>
      <c r="R569" s="186" t="s">
        <v>173</v>
      </c>
      <c r="S569" s="4" t="s">
        <v>174</v>
      </c>
      <c r="T569" s="4"/>
      <c r="U569" s="4"/>
      <c r="V569" s="4"/>
      <c r="W569" s="185" t="s">
        <v>321</v>
      </c>
      <c r="X569" s="185"/>
      <c r="Y569" s="185"/>
      <c r="Z569" s="185"/>
      <c r="AA569" s="186" t="s">
        <v>321</v>
      </c>
      <c r="AB569" s="184" t="s">
        <v>4464</v>
      </c>
    </row>
    <row r="570" spans="1:28" hidden="1" x14ac:dyDescent="0.2">
      <c r="A570" s="175">
        <f>IF(COUNTIF(Tabla_imprenta[LOTE],Tabla_control[[#This Row],[LOTE]])=1,INDEX(Tabla_imprenta[FECHA EMISIÓN],MATCH(Tabla_control[[#This Row],[LOTE]],Tabla_imprenta[LOTE],0)),"REALIZADO")</f>
        <v>46143</v>
      </c>
      <c r="B570" s="142">
        <f>IF(COUNTIF(Tabla_imprenta[LOTE],Tabla_control[[#This Row],[LOTE]])=1,INDEX(Tabla_imprenta[CÓD. SOLICITUD],MATCH(Tabla_control[[#This Row],[LOTE]],Tabla_imprenta[LOTE],0)),"REALIZADO")</f>
        <v>0</v>
      </c>
      <c r="C570" s="177" t="str">
        <f>IF(COUNTIF(Tabla_imprenta[LOTE],Tabla_control[[#This Row],[LOTE]])=1,INDEX(Tabla_imprenta[PRODUCTO],MATCH(Tabla_control[[#This Row],[LOTE]],Tabla_imprenta[LOTE],0)),"REALIZADO")</f>
        <v>FENORAL 200 MG X 10 CAP. DURAS</v>
      </c>
      <c r="D570" s="142" t="str">
        <f>IF(COUNTIF(Tabla_imprenta[LOTE],Tabla_control[[#This Row],[LOTE]])=1,INDEX(Tabla_imprenta[FORMA FARMACEUTICA],MATCH(Tabla_control[[#This Row],[LOTE]],Tabla_imprenta[LOTE],0)),"REALIZADO")</f>
        <v>CÁPSULA DE LIBERACION PROLONGADA</v>
      </c>
      <c r="E570" s="177" t="str">
        <f>IF(COUNTIF(Tabla_imprenta[LOTE],Tabla_control[[#This Row],[LOTE]])=1,INDEX(Tabla_imprenta[INSTITUCIÓN],MATCH(Tabla_control[[#This Row],[LOTE]],Tabla_imprenta[LOTE],0)),"REALIZADO")</f>
        <v>COMERCIO</v>
      </c>
      <c r="F570" s="229" t="s">
        <v>5606</v>
      </c>
      <c r="G570" s="139">
        <f>IF(COUNTIF(Tabla_imprenta[LOTE],Tabla_control[[#This Row],[LOTE]])=1,INDEX(Tabla_imprenta[CANTIDAD ENVASE SECUNDARIO],MATCH(Tabla_control[[#This Row],[LOTE]],Tabla_imprenta[LOTE],0)),"ENTREGADO")</f>
        <v>3000</v>
      </c>
      <c r="H570" s="139">
        <f>IF(COUNTIF(Tabla_imprenta[LOTE],Tabla_control[[#This Row],[LOTE]])=1,INDEX(Tabla_imprenta[stock sap],MATCH(Tabla_control[[#This Row],[LOTE]],Tabla_imprenta[LOTE],0)),"ENTREGADO")</f>
        <v>4655</v>
      </c>
      <c r="I570" s="139" t="str">
        <f>IF(Tabla_control[[#This Row],[STOCK SAP]]&gt;Tabla_control[[#This Row],[CANTIDAD IMPRIMIR]],"cubre","no cubre")</f>
        <v>cubre</v>
      </c>
      <c r="J570" s="182">
        <f>IF(COUNTIF(Tabla_imprenta[LOTE],Tabla_control[[#This Row],[LOTE]])=1,INDEX(Tabla_imprenta[STOCK],MATCH(Tabla_control[[#This Row],[LOTE]],Tabla_imprenta[LOTE],0)),"ENTREGADO")</f>
        <v>2.886126973463218</v>
      </c>
      <c r="K57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70" s="148">
        <f>INDEX(Tabla_imprenta[FECHA CAJA],MATCH(Tabla_control[[#This Row],[LOTE]],Tabla_imprenta[LOTE],0))</f>
        <v>0</v>
      </c>
      <c r="M57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7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7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92</v>
      </c>
      <c r="P570" s="170">
        <f>ROUNDUP(Tabla_control[[#This Row],[CANTIDAD IMPRIMIR]]/Tabla_control[[#This Row],[N TJ]],0)</f>
        <v>1500</v>
      </c>
      <c r="Q570" s="170">
        <f>IF(Tabla_control[[#This Row],[CANTIDAD TIRAJE]]&gt;10000,Tabla_control[[#This Row],[CANTIDAD TIRAJE]],Tabla_control[[#This Row],[CANTIDAD TIRAJE]]*2)</f>
        <v>3000</v>
      </c>
      <c r="R570" s="186" t="s">
        <v>173</v>
      </c>
      <c r="S570" s="4" t="s">
        <v>174</v>
      </c>
      <c r="T570" s="4"/>
      <c r="U570" s="4"/>
      <c r="V570" s="4"/>
      <c r="W570" s="185" t="s">
        <v>321</v>
      </c>
      <c r="X570" s="185"/>
      <c r="Y570" s="185"/>
      <c r="Z570" s="185"/>
      <c r="AA570" s="186" t="s">
        <v>321</v>
      </c>
      <c r="AB570" s="184" t="s">
        <v>5700</v>
      </c>
    </row>
    <row r="571" spans="1:28" hidden="1" x14ac:dyDescent="0.2">
      <c r="A571" s="175">
        <f>IF(COUNTIF(Tabla_imprenta[LOTE],Tabla_control[[#This Row],[LOTE]])=1,INDEX(Tabla_imprenta[FECHA EMISIÓN],MATCH(Tabla_control[[#This Row],[LOTE]],Tabla_imprenta[LOTE],0)),"REALIZADO")</f>
        <v>46113</v>
      </c>
      <c r="B571" s="142">
        <f>IF(COUNTIF(Tabla_imprenta[LOTE],Tabla_control[[#This Row],[LOTE]])=1,INDEX(Tabla_imprenta[CÓD. SOLICITUD],MATCH(Tabla_control[[#This Row],[LOTE]],Tabla_imprenta[LOTE],0)),"REALIZADO")</f>
        <v>0</v>
      </c>
      <c r="C571" s="177" t="str">
        <f>IF(COUNTIF(Tabla_imprenta[LOTE],Tabla_control[[#This Row],[LOTE]])=1,INDEX(Tabla_imprenta[PRODUCTO],MATCH(Tabla_control[[#This Row],[LOTE]],Tabla_imprenta[LOTE],0)),"REALIZADO")</f>
        <v>METRONIDAZOL 250 MG X 100 ML SUSP. VETERINARIO</v>
      </c>
      <c r="D571" s="142" t="str">
        <f>IF(COUNTIF(Tabla_imprenta[LOTE],Tabla_control[[#This Row],[LOTE]])=1,INDEX(Tabla_imprenta[FORMA FARMACEUTICA],MATCH(Tabla_control[[#This Row],[LOTE]],Tabla_imprenta[LOTE],0)),"REALIZADO")</f>
        <v>SUSPENSIÓN</v>
      </c>
      <c r="E571" s="177" t="str">
        <f>IF(COUNTIF(Tabla_imprenta[LOTE],Tabla_control[[#This Row],[LOTE]])=1,INDEX(Tabla_imprenta[INSTITUCIÓN],MATCH(Tabla_control[[#This Row],[LOTE]],Tabla_imprenta[LOTE],0)),"REALIZADO")</f>
        <v>COMERCIO</v>
      </c>
      <c r="F571" s="181" t="s">
        <v>3053</v>
      </c>
      <c r="G571" s="139">
        <f>IF(COUNTIF(Tabla_imprenta[LOTE],Tabla_control[[#This Row],[LOTE]])=1,INDEX(Tabla_imprenta[CANTIDAD ENVASE SECUNDARIO],MATCH(Tabla_control[[#This Row],[LOTE]],Tabla_imprenta[LOTE],0)),"ENTREGADO")</f>
        <v>4902</v>
      </c>
      <c r="H571" s="139">
        <f>IF(COUNTIF(Tabla_imprenta[LOTE],Tabla_control[[#This Row],[LOTE]])=1,INDEX(Tabla_imprenta[stock sap],MATCH(Tabla_control[[#This Row],[LOTE]],Tabla_imprenta[LOTE],0)),"ENTREGADO")</f>
        <v>6000</v>
      </c>
      <c r="I571" s="139" t="str">
        <f>IF(Tabla_control[[#This Row],[STOCK SAP]]&gt;Tabla_control[[#This Row],[CANTIDAD IMPRIMIR]],"cubre","no cubre")</f>
        <v>cubre</v>
      </c>
      <c r="J571" s="182">
        <f>IF(COUNTIF(Tabla_imprenta[LOTE],Tabla_control[[#This Row],[LOTE]])=1,INDEX(Tabla_imprenta[STOCK],MATCH(Tabla_control[[#This Row],[LOTE]],Tabla_imprenta[LOTE],0)),"ENTREGADO")</f>
        <v>3.1404255319148935</v>
      </c>
      <c r="K57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71" s="148">
        <f>INDEX(Tabla_imprenta[FECHA CAJA],MATCH(Tabla_control[[#This Row],[LOTE]],Tabla_imprenta[LOTE],0))</f>
        <v>46162</v>
      </c>
      <c r="M57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57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7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73</v>
      </c>
      <c r="P571" s="170">
        <f>ROUNDUP(Tabla_control[[#This Row],[CANTIDAD IMPRIMIR]]/Tabla_control[[#This Row],[N TJ]],0)</f>
        <v>2451</v>
      </c>
      <c r="Q571" s="170">
        <f>IF(Tabla_control[[#This Row],[CANTIDAD TIRAJE]]&gt;10000,Tabla_control[[#This Row],[CANTIDAD TIRAJE]],Tabla_control[[#This Row],[CANTIDAD TIRAJE]]*2)</f>
        <v>4902</v>
      </c>
      <c r="R571" s="186" t="s">
        <v>176</v>
      </c>
      <c r="S571" s="4" t="s">
        <v>30</v>
      </c>
      <c r="T571" s="4"/>
      <c r="U571" s="4"/>
      <c r="V571" s="4"/>
      <c r="W571" s="187" t="s">
        <v>321</v>
      </c>
      <c r="X571" s="187"/>
      <c r="Y571" s="187"/>
      <c r="Z571" s="187"/>
      <c r="AA571" s="186" t="s">
        <v>321</v>
      </c>
      <c r="AB571" s="184" t="s">
        <v>3222</v>
      </c>
    </row>
    <row r="572" spans="1:28" x14ac:dyDescent="0.2">
      <c r="A572" s="175">
        <f>IF(COUNTIF(Tabla_imprenta[LOTE],Tabla_control[[#This Row],[LOTE]])=1,INDEX(Tabla_imprenta[FECHA EMISIÓN],MATCH(Tabla_control[[#This Row],[LOTE]],Tabla_imprenta[LOTE],0)),"REALIZADO")</f>
        <v>46143</v>
      </c>
      <c r="B572" s="142">
        <f>IF(COUNTIF(Tabla_imprenta[LOTE],Tabla_control[[#This Row],[LOTE]])=1,INDEX(Tabla_imprenta[CÓD. SOLICITUD],MATCH(Tabla_control[[#This Row],[LOTE]],Tabla_imprenta[LOTE],0)),"REALIZADO")</f>
        <v>0</v>
      </c>
      <c r="C572" s="177" t="str">
        <f>IF(COUNTIF(Tabla_imprenta[LOTE],Tabla_control[[#This Row],[LOTE]])=1,INDEX(Tabla_imprenta[PRODUCTO],MATCH(Tabla_control[[#This Row],[LOTE]],Tabla_imprenta[LOTE],0)),"REALIZADO")</f>
        <v>POLIGYN X 50 G CREMA VAGINAL</v>
      </c>
      <c r="D572" s="142" t="str">
        <f>IF(COUNTIF(Tabla_imprenta[LOTE],Tabla_control[[#This Row],[LOTE]])=1,INDEX(Tabla_imprenta[FORMA FARMACEUTICA],MATCH(Tabla_control[[#This Row],[LOTE]],Tabla_imprenta[LOTE],0)),"REALIZADO")</f>
        <v>CREMA VAGINAL</v>
      </c>
      <c r="E572" s="177" t="str">
        <f>IF(COUNTIF(Tabla_imprenta[LOTE],Tabla_control[[#This Row],[LOTE]])=1,INDEX(Tabla_imprenta[INSTITUCIÓN],MATCH(Tabla_control[[#This Row],[LOTE]],Tabla_imprenta[LOTE],0)),"REALIZADO")</f>
        <v>COMERCIO</v>
      </c>
      <c r="F572" s="229" t="s">
        <v>5531</v>
      </c>
      <c r="G572" s="139">
        <f>IF(COUNTIF(Tabla_imprenta[LOTE],Tabla_control[[#This Row],[LOTE]])=1,INDEX(Tabla_imprenta[CANTIDAD ENVASE SECUNDARIO],MATCH(Tabla_control[[#This Row],[LOTE]],Tabla_imprenta[LOTE],0)),"ENTREGADO")</f>
        <v>3500</v>
      </c>
      <c r="H572" s="139">
        <f>IF(COUNTIF(Tabla_imprenta[LOTE],Tabla_control[[#This Row],[LOTE]])=1,INDEX(Tabla_imprenta[stock sap],MATCH(Tabla_control[[#This Row],[LOTE]],Tabla_imprenta[LOTE],0)),"ENTREGADO")</f>
        <v>714</v>
      </c>
      <c r="I572" s="139" t="str">
        <f>IF(Tabla_control[[#This Row],[STOCK SAP]]&gt;Tabla_control[[#This Row],[CANTIDAD IMPRIMIR]],"cubre","no cubre")</f>
        <v>no cubre</v>
      </c>
      <c r="J572" s="182">
        <f>IF(COUNTIF(Tabla_imprenta[LOTE],Tabla_control[[#This Row],[LOTE]])=1,INDEX(Tabla_imprenta[STOCK],MATCH(Tabla_control[[#This Row],[LOTE]],Tabla_imprenta[LOTE],0)),"ENTREGADO")</f>
        <v>3.0161507402422618</v>
      </c>
      <c r="K57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72" s="148">
        <f>INDEX(Tabla_imprenta[FECHA CAJA],MATCH(Tabla_control[[#This Row],[LOTE]],Tabla_imprenta[LOTE],0))</f>
        <v>0</v>
      </c>
      <c r="M57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57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57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49</v>
      </c>
      <c r="P572" s="170">
        <f>ROUNDUP(Tabla_control[[#This Row],[CANTIDAD IMPRIMIR]]/Tabla_control[[#This Row],[N TJ]],0)</f>
        <v>3500</v>
      </c>
      <c r="Q572" s="170">
        <f>IF(Tabla_control[[#This Row],[CANTIDAD TIRAJE]]&gt;10000,Tabla_control[[#This Row],[CANTIDAD TIRAJE]],Tabla_control[[#This Row],[CANTIDAD TIRAJE]]*2)</f>
        <v>7000</v>
      </c>
      <c r="R572" s="186" t="s">
        <v>175</v>
      </c>
      <c r="S572" s="4" t="s">
        <v>174</v>
      </c>
      <c r="T572" s="4"/>
      <c r="U572" s="4"/>
      <c r="V572" s="4"/>
      <c r="W572" s="185" t="s">
        <v>2983</v>
      </c>
      <c r="X572" s="185" t="s">
        <v>88</v>
      </c>
      <c r="Y572" s="185" t="s">
        <v>88</v>
      </c>
      <c r="Z572" s="185" t="s">
        <v>88</v>
      </c>
      <c r="AA572" s="186" t="s">
        <v>171</v>
      </c>
      <c r="AB572" s="184" t="s">
        <v>5700</v>
      </c>
    </row>
    <row r="573" spans="1:28" x14ac:dyDescent="0.2">
      <c r="A573" s="175">
        <f>IF(COUNTIF(Tabla_imprenta[LOTE],Tabla_control[[#This Row],[LOTE]])=1,INDEX(Tabla_imprenta[FECHA EMISIÓN],MATCH(Tabla_control[[#This Row],[LOTE]],Tabla_imprenta[LOTE],0)),"REALIZADO")</f>
        <v>46143</v>
      </c>
      <c r="B573" s="142">
        <f>IF(COUNTIF(Tabla_imprenta[LOTE],Tabla_control[[#This Row],[LOTE]])=1,INDEX(Tabla_imprenta[CÓD. SOLICITUD],MATCH(Tabla_control[[#This Row],[LOTE]],Tabla_imprenta[LOTE],0)),"REALIZADO")</f>
        <v>0</v>
      </c>
      <c r="C573" s="177" t="str">
        <f>IF(COUNTIF(Tabla_imprenta[LOTE],Tabla_control[[#This Row],[LOTE]])=1,INDEX(Tabla_imprenta[PRODUCTO],MATCH(Tabla_control[[#This Row],[LOTE]],Tabla_imprenta[LOTE],0)),"REALIZADO")</f>
        <v>POLIGYN X 50 G CREMA VAGINAL</v>
      </c>
      <c r="D573" s="142" t="str">
        <f>IF(COUNTIF(Tabla_imprenta[LOTE],Tabla_control[[#This Row],[LOTE]])=1,INDEX(Tabla_imprenta[FORMA FARMACEUTICA],MATCH(Tabla_control[[#This Row],[LOTE]],Tabla_imprenta[LOTE],0)),"REALIZADO")</f>
        <v>CREMA VAGINAL</v>
      </c>
      <c r="E573" s="177" t="str">
        <f>IF(COUNTIF(Tabla_imprenta[LOTE],Tabla_control[[#This Row],[LOTE]])=1,INDEX(Tabla_imprenta[INSTITUCIÓN],MATCH(Tabla_control[[#This Row],[LOTE]],Tabla_imprenta[LOTE],0)),"REALIZADO")</f>
        <v>COMERCIO</v>
      </c>
      <c r="F573" s="229" t="s">
        <v>5629</v>
      </c>
      <c r="G573" s="139">
        <f>IF(COUNTIF(Tabla_imprenta[LOTE],Tabla_control[[#This Row],[LOTE]])=1,INDEX(Tabla_imprenta[CANTIDAD ENVASE SECUNDARIO],MATCH(Tabla_control[[#This Row],[LOTE]],Tabla_imprenta[LOTE],0)),"ENTREGADO")</f>
        <v>3500</v>
      </c>
      <c r="H573" s="139">
        <f>IF(COUNTIF(Tabla_imprenta[LOTE],Tabla_control[[#This Row],[LOTE]])=1,INDEX(Tabla_imprenta[stock sap],MATCH(Tabla_control[[#This Row],[LOTE]],Tabla_imprenta[LOTE],0)),"ENTREGADO")</f>
        <v>714</v>
      </c>
      <c r="I573" s="139" t="str">
        <f>IF(Tabla_control[[#This Row],[STOCK SAP]]&gt;Tabla_control[[#This Row],[CANTIDAD IMPRIMIR]],"cubre","no cubre")</f>
        <v>no cubre</v>
      </c>
      <c r="J573" s="182">
        <f>IF(COUNTIF(Tabla_imprenta[LOTE],Tabla_control[[#This Row],[LOTE]])=1,INDEX(Tabla_imprenta[STOCK],MATCH(Tabla_control[[#This Row],[LOTE]],Tabla_imprenta[LOTE],0)),"ENTREGADO")</f>
        <v>3.0161507402422618</v>
      </c>
      <c r="K57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73" s="148">
        <f>INDEX(Tabla_imprenta[FECHA CAJA],MATCH(Tabla_control[[#This Row],[LOTE]],Tabla_imprenta[LOTE],0))</f>
        <v>0</v>
      </c>
      <c r="M57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57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57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49</v>
      </c>
      <c r="P573" s="170">
        <f>ROUNDUP(Tabla_control[[#This Row],[CANTIDAD IMPRIMIR]]/Tabla_control[[#This Row],[N TJ]],0)</f>
        <v>3500</v>
      </c>
      <c r="Q573" s="170">
        <f>IF(Tabla_control[[#This Row],[CANTIDAD TIRAJE]]&gt;10000,Tabla_control[[#This Row],[CANTIDAD TIRAJE]],Tabla_control[[#This Row],[CANTIDAD TIRAJE]]*2)</f>
        <v>7000</v>
      </c>
      <c r="R573" s="186" t="s">
        <v>175</v>
      </c>
      <c r="S573" s="4" t="s">
        <v>174</v>
      </c>
      <c r="T573" s="4"/>
      <c r="U573" s="4"/>
      <c r="V573" s="4"/>
      <c r="W573" s="185" t="s">
        <v>2983</v>
      </c>
      <c r="X573" s="185" t="s">
        <v>88</v>
      </c>
      <c r="Y573" s="185" t="s">
        <v>88</v>
      </c>
      <c r="Z573" s="185" t="s">
        <v>88</v>
      </c>
      <c r="AA573" s="186" t="s">
        <v>171</v>
      </c>
      <c r="AB573" s="184" t="s">
        <v>5700</v>
      </c>
    </row>
    <row r="574" spans="1:28" x14ac:dyDescent="0.2">
      <c r="A574" s="175">
        <f>IF(COUNTIF(Tabla_imprenta[LOTE],Tabla_control[[#This Row],[LOTE]])=1,INDEX(Tabla_imprenta[FECHA EMISIÓN],MATCH(Tabla_control[[#This Row],[LOTE]],Tabla_imprenta[LOTE],0)),"REALIZADO")</f>
        <v>46143</v>
      </c>
      <c r="B574" s="142">
        <f>IF(COUNTIF(Tabla_imprenta[LOTE],Tabla_control[[#This Row],[LOTE]])=1,INDEX(Tabla_imprenta[CÓD. SOLICITUD],MATCH(Tabla_control[[#This Row],[LOTE]],Tabla_imprenta[LOTE],0)),"REALIZADO")</f>
        <v>0</v>
      </c>
      <c r="C574" s="177" t="str">
        <f>IF(COUNTIF(Tabla_imprenta[LOTE],Tabla_control[[#This Row],[LOTE]])=1,INDEX(Tabla_imprenta[PRODUCTO],MATCH(Tabla_control[[#This Row],[LOTE]],Tabla_imprenta[LOTE],0)),"REALIZADO")</f>
        <v>ROSUVAST 10 MG X 30 CAP. BLANDAS</v>
      </c>
      <c r="D574" s="142" t="str">
        <f>IF(COUNTIF(Tabla_imprenta[LOTE],Tabla_control[[#This Row],[LOTE]])=1,INDEX(Tabla_imprenta[FORMA FARMACEUTICA],MATCH(Tabla_control[[#This Row],[LOTE]],Tabla_imprenta[LOTE],0)),"REALIZADO")</f>
        <v>CÁPSULA BLANDA</v>
      </c>
      <c r="E574" s="177" t="str">
        <f>IF(COUNTIF(Tabla_imprenta[LOTE],Tabla_control[[#This Row],[LOTE]])=1,INDEX(Tabla_imprenta[INSTITUCIÓN],MATCH(Tabla_control[[#This Row],[LOTE]],Tabla_imprenta[LOTE],0)),"REALIZADO")</f>
        <v>COMERCIO</v>
      </c>
      <c r="F574" s="229" t="s">
        <v>5431</v>
      </c>
      <c r="G574" s="139">
        <f>IF(COUNTIF(Tabla_imprenta[LOTE],Tabla_control[[#This Row],[LOTE]])=1,INDEX(Tabla_imprenta[CANTIDAD ENVASE SECUNDARIO],MATCH(Tabla_control[[#This Row],[LOTE]],Tabla_imprenta[LOTE],0)),"ENTREGADO")</f>
        <v>666.66666666666663</v>
      </c>
      <c r="H574" s="139">
        <f>IF(COUNTIF(Tabla_imprenta[LOTE],Tabla_control[[#This Row],[LOTE]])=1,INDEX(Tabla_imprenta[stock sap],MATCH(Tabla_control[[#This Row],[LOTE]],Tabla_imprenta[LOTE],0)),"ENTREGADO")</f>
        <v>69</v>
      </c>
      <c r="I574" s="139" t="str">
        <f>IF(Tabla_control[[#This Row],[STOCK SAP]]&gt;Tabla_control[[#This Row],[CANTIDAD IMPRIMIR]],"cubre","no cubre")</f>
        <v>no cubre</v>
      </c>
      <c r="J574" s="182">
        <f>IF(COUNTIF(Tabla_imprenta[LOTE],Tabla_control[[#This Row],[LOTE]])=1,INDEX(Tabla_imprenta[STOCK],MATCH(Tabla_control[[#This Row],[LOTE]],Tabla_imprenta[LOTE],0)),"ENTREGADO")</f>
        <v>3.1471471471471473</v>
      </c>
      <c r="K57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74" s="148">
        <f>INDEX(Tabla_imprenta[FECHA CAJA],MATCH(Tabla_control[[#This Row],[LOTE]],Tabla_imprenta[LOTE],0))</f>
        <v>0</v>
      </c>
      <c r="M57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NARANJA</v>
      </c>
      <c r="N57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3</v>
      </c>
      <c r="O57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67</v>
      </c>
      <c r="P574" s="170">
        <f>ROUNDUP(Tabla_control[[#This Row],[CANTIDAD IMPRIMIR]]/Tabla_control[[#This Row],[N TJ]],0)</f>
        <v>223</v>
      </c>
      <c r="Q574" s="170">
        <f>IF(Tabla_control[[#This Row],[CANTIDAD TIRAJE]]&gt;10000,Tabla_control[[#This Row],[CANTIDAD TIRAJE]],Tabla_control[[#This Row],[CANTIDAD TIRAJE]]*2)</f>
        <v>446</v>
      </c>
      <c r="R574" s="186" t="s">
        <v>2206</v>
      </c>
      <c r="S574" s="4" t="s">
        <v>174</v>
      </c>
      <c r="T574" s="4"/>
      <c r="U574" s="4"/>
      <c r="V574" s="4"/>
      <c r="W574" s="185" t="s">
        <v>5722</v>
      </c>
      <c r="X574" s="185" t="s">
        <v>88</v>
      </c>
      <c r="Y574" s="185" t="s">
        <v>88</v>
      </c>
      <c r="Z574" s="185" t="s">
        <v>88</v>
      </c>
      <c r="AA574" s="186" t="s">
        <v>171</v>
      </c>
      <c r="AB574" s="184" t="s">
        <v>4464</v>
      </c>
    </row>
    <row r="575" spans="1:28" hidden="1" x14ac:dyDescent="0.2">
      <c r="A575" s="175">
        <f>IF(COUNTIF(Tabla_imprenta[LOTE],Tabla_control[[#This Row],[LOTE]])=1,INDEX(Tabla_imprenta[FECHA EMISIÓN],MATCH(Tabla_control[[#This Row],[LOTE]],Tabla_imprenta[LOTE],0)),"REALIZADO")</f>
        <v>46121</v>
      </c>
      <c r="B575" s="142">
        <f>IF(COUNTIF(Tabla_imprenta[LOTE],Tabla_control[[#This Row],[LOTE]])=1,INDEX(Tabla_imprenta[CÓD. SOLICITUD],MATCH(Tabla_control[[#This Row],[LOTE]],Tabla_imprenta[LOTE],0)),"REALIZADO")</f>
        <v>0</v>
      </c>
      <c r="C575" s="177" t="str">
        <f>IF(COUNTIF(Tabla_imprenta[LOTE],Tabla_control[[#This Row],[LOTE]])=1,INDEX(Tabla_imprenta[PRODUCTO],MATCH(Tabla_control[[#This Row],[LOTE]],Tabla_imprenta[LOTE],0)),"REALIZADO")</f>
        <v>CEFABIOTIC 400 MG X 2 CAP. DURAS MM</v>
      </c>
      <c r="D575" s="142" t="str">
        <f>IF(COUNTIF(Tabla_imprenta[LOTE],Tabla_control[[#This Row],[LOTE]])=1,INDEX(Tabla_imprenta[FORMA FARMACEUTICA],MATCH(Tabla_control[[#This Row],[LOTE]],Tabla_imprenta[LOTE],0)),"REALIZADO")</f>
        <v>CÁPSULA</v>
      </c>
      <c r="E575" s="177" t="str">
        <f>IF(COUNTIF(Tabla_imprenta[LOTE],Tabla_control[[#This Row],[LOTE]])=1,INDEX(Tabla_imprenta[INSTITUCIÓN],MATCH(Tabla_control[[#This Row],[LOTE]],Tabla_imprenta[LOTE],0)),"REALIZADO")</f>
        <v>MM-2026</v>
      </c>
      <c r="F575" s="181" t="s">
        <v>3274</v>
      </c>
      <c r="G575" s="139">
        <f>IF(COUNTIF(Tabla_imprenta[LOTE],Tabla_control[[#This Row],[LOTE]])=1,INDEX(Tabla_imprenta[CANTIDAD ENVASE SECUNDARIO],MATCH(Tabla_control[[#This Row],[LOTE]],Tabla_imprenta[LOTE],0)),"ENTREGADO")</f>
        <v>55000</v>
      </c>
      <c r="H575" s="139">
        <f>IF(COUNTIF(Tabla_imprenta[LOTE],Tabla_control[[#This Row],[LOTE]])=1,INDEX(Tabla_imprenta[stock sap],MATCH(Tabla_control[[#This Row],[LOTE]],Tabla_imprenta[LOTE],0)),"ENTREGADO")</f>
        <v>3420</v>
      </c>
      <c r="I575" s="139" t="str">
        <f>IF(Tabla_control[[#This Row],[STOCK SAP]]&gt;Tabla_control[[#This Row],[CANTIDAD IMPRIMIR]],"cubre","no cubre")</f>
        <v>no cubre</v>
      </c>
      <c r="J575" s="182">
        <f>IF(COUNTIF(Tabla_imprenta[LOTE],Tabla_control[[#This Row],[LOTE]])=1,INDEX(Tabla_imprenta[STOCK],MATCH(Tabla_control[[#This Row],[LOTE]],Tabla_imprenta[LOTE],0)),"ENTREGADO")</f>
        <v>3.2327163402866592</v>
      </c>
      <c r="K57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75" s="148">
        <f>INDEX(Tabla_imprenta[FECHA CAJA],MATCH(Tabla_control[[#This Row],[LOTE]],Tabla_imprenta[LOTE],0))</f>
        <v>0</v>
      </c>
      <c r="M57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7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5</v>
      </c>
      <c r="O57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117</v>
      </c>
      <c r="P575" s="170">
        <f>ROUNDUP(Tabla_control[[#This Row],[CANTIDAD IMPRIMIR]]/Tabla_control[[#This Row],[N TJ]],0)</f>
        <v>11000</v>
      </c>
      <c r="Q575" s="170">
        <f>IF(Tabla_control[[#This Row],[CANTIDAD TIRAJE]]&gt;10000,Tabla_control[[#This Row],[CANTIDAD TIRAJE]],Tabla_control[[#This Row],[CANTIDAD TIRAJE]]*2)</f>
        <v>11000</v>
      </c>
      <c r="R575" s="186" t="s">
        <v>173</v>
      </c>
      <c r="S575" s="4" t="s">
        <v>174</v>
      </c>
      <c r="T575" s="4"/>
      <c r="U575" s="4"/>
      <c r="V575" s="4"/>
      <c r="W575" s="185" t="s">
        <v>3223</v>
      </c>
      <c r="X575" s="185"/>
      <c r="Y575" s="185"/>
      <c r="Z575" s="185"/>
      <c r="AA575" s="186" t="s">
        <v>2031</v>
      </c>
      <c r="AB575" s="184" t="s">
        <v>3222</v>
      </c>
    </row>
    <row r="576" spans="1:28" hidden="1" x14ac:dyDescent="0.2">
      <c r="A576" s="175">
        <f>IF(COUNTIF(Tabla_imprenta[LOTE],Tabla_control[[#This Row],[LOTE]])=1,INDEX(Tabla_imprenta[FECHA EMISIÓN],MATCH(Tabla_control[[#This Row],[LOTE]],Tabla_imprenta[LOTE],0)),"REALIZADO")</f>
        <v>46143</v>
      </c>
      <c r="B576" s="142">
        <f>IF(COUNTIF(Tabla_imprenta[LOTE],Tabla_control[[#This Row],[LOTE]])=1,INDEX(Tabla_imprenta[CÓD. SOLICITUD],MATCH(Tabla_control[[#This Row],[LOTE]],Tabla_imprenta[LOTE],0)),"REALIZADO")</f>
        <v>0</v>
      </c>
      <c r="C576" s="177" t="str">
        <f>IF(COUNTIF(Tabla_imprenta[LOTE],Tabla_control[[#This Row],[LOTE]])=1,INDEX(Tabla_imprenta[PRODUCTO],MATCH(Tabla_control[[#This Row],[LOTE]],Tabla_imprenta[LOTE],0)),"REALIZADO")</f>
        <v>IBUPROFENO 200 MG X 100 ML SUSP.</v>
      </c>
      <c r="D576" s="142" t="str">
        <f>IF(COUNTIF(Tabla_imprenta[LOTE],Tabla_control[[#This Row],[LOTE]])=1,INDEX(Tabla_imprenta[FORMA FARMACEUTICA],MATCH(Tabla_control[[#This Row],[LOTE]],Tabla_imprenta[LOTE],0)),"REALIZADO")</f>
        <v>SUSPENSIÓN</v>
      </c>
      <c r="E576" s="177" t="str">
        <f>IF(COUNTIF(Tabla_imprenta[LOTE],Tabla_control[[#This Row],[LOTE]])=1,INDEX(Tabla_imprenta[INSTITUCIÓN],MATCH(Tabla_control[[#This Row],[LOTE]],Tabla_imprenta[LOTE],0)),"REALIZADO")</f>
        <v>COMERCIO</v>
      </c>
      <c r="F576" s="229" t="s">
        <v>5552</v>
      </c>
      <c r="G576" s="139">
        <f>IF(COUNTIF(Tabla_imprenta[LOTE],Tabla_control[[#This Row],[LOTE]])=1,INDEX(Tabla_imprenta[CANTIDAD ENVASE SECUNDARIO],MATCH(Tabla_control[[#This Row],[LOTE]],Tabla_imprenta[LOTE],0)),"ENTREGADO")</f>
        <v>9804</v>
      </c>
      <c r="H576" s="139">
        <f>IF(COUNTIF(Tabla_imprenta[LOTE],Tabla_control[[#This Row],[LOTE]])=1,INDEX(Tabla_imprenta[stock sap],MATCH(Tabla_control[[#This Row],[LOTE]],Tabla_imprenta[LOTE],0)),"ENTREGADO")</f>
        <v>11608</v>
      </c>
      <c r="I576" s="139" t="str">
        <f>IF(Tabla_control[[#This Row],[STOCK SAP]]&gt;Tabla_control[[#This Row],[CANTIDAD IMPRIMIR]],"cubre","no cubre")</f>
        <v>cubre</v>
      </c>
      <c r="J576" s="182">
        <f>IF(COUNTIF(Tabla_imprenta[LOTE],Tabla_control[[#This Row],[LOTE]])=1,INDEX(Tabla_imprenta[STOCK],MATCH(Tabla_control[[#This Row],[LOTE]],Tabla_imprenta[LOTE],0)),"ENTREGADO")</f>
        <v>3.3015231907941738</v>
      </c>
      <c r="K57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76" s="148">
        <f>INDEX(Tabla_imprenta[FECHA CAJA],MATCH(Tabla_control[[#This Row],[LOTE]],Tabla_imprenta[LOTE],0))</f>
        <v>0</v>
      </c>
      <c r="M57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7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7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76" s="170">
        <f>ROUNDUP(Tabla_control[[#This Row],[CANTIDAD IMPRIMIR]]/Tabla_control[[#This Row],[N TJ]],0)</f>
        <v>4902</v>
      </c>
      <c r="Q576" s="170">
        <f>IF(Tabla_control[[#This Row],[CANTIDAD TIRAJE]]&gt;10000,Tabla_control[[#This Row],[CANTIDAD TIRAJE]],Tabla_control[[#This Row],[CANTIDAD TIRAJE]]*2)</f>
        <v>9804</v>
      </c>
      <c r="R576" s="186" t="s">
        <v>172</v>
      </c>
      <c r="S576" s="4" t="s">
        <v>30</v>
      </c>
      <c r="T576" s="4"/>
      <c r="U576" s="4"/>
      <c r="V576" s="4"/>
      <c r="W576" s="185" t="s">
        <v>321</v>
      </c>
      <c r="X576" s="185"/>
      <c r="Y576" s="185"/>
      <c r="Z576" s="185"/>
      <c r="AA576" s="186" t="s">
        <v>321</v>
      </c>
      <c r="AB576" s="184" t="s">
        <v>5700</v>
      </c>
    </row>
    <row r="577" spans="1:28" x14ac:dyDescent="0.2">
      <c r="A577" s="175">
        <f>IF(COUNTIF(Tabla_imprenta[LOTE],Tabla_control[[#This Row],[LOTE]])=1,INDEX(Tabla_imprenta[FECHA EMISIÓN],MATCH(Tabla_control[[#This Row],[LOTE]],Tabla_imprenta[LOTE],0)),"REALIZADO")</f>
        <v>46143</v>
      </c>
      <c r="B577" s="142">
        <f>IF(COUNTIF(Tabla_imprenta[LOTE],Tabla_control[[#This Row],[LOTE]])=1,INDEX(Tabla_imprenta[CÓD. SOLICITUD],MATCH(Tabla_control[[#This Row],[LOTE]],Tabla_imprenta[LOTE],0)),"REALIZADO")</f>
        <v>0</v>
      </c>
      <c r="C577" s="177" t="str">
        <f>IF(COUNTIF(Tabla_imprenta[LOTE],Tabla_control[[#This Row],[LOTE]])=1,INDEX(Tabla_imprenta[PRODUCTO],MATCH(Tabla_control[[#This Row],[LOTE]],Tabla_imprenta[LOTE],0)),"REALIZADO")</f>
        <v>IBUPROFENO 200 MG X 100 ML SUSP.</v>
      </c>
      <c r="D577" s="142" t="str">
        <f>IF(COUNTIF(Tabla_imprenta[LOTE],Tabla_control[[#This Row],[LOTE]])=1,INDEX(Tabla_imprenta[FORMA FARMACEUTICA],MATCH(Tabla_control[[#This Row],[LOTE]],Tabla_imprenta[LOTE],0)),"REALIZADO")</f>
        <v>SUSPENSIÓN</v>
      </c>
      <c r="E577" s="177" t="str">
        <f>IF(COUNTIF(Tabla_imprenta[LOTE],Tabla_control[[#This Row],[LOTE]])=1,INDEX(Tabla_imprenta[INSTITUCIÓN],MATCH(Tabla_control[[#This Row],[LOTE]],Tabla_imprenta[LOTE],0)),"REALIZADO")</f>
        <v>COMERCIO</v>
      </c>
      <c r="F577" s="229" t="s">
        <v>5643</v>
      </c>
      <c r="G577" s="139">
        <f>IF(COUNTIF(Tabla_imprenta[LOTE],Tabla_control[[#This Row],[LOTE]])=1,INDEX(Tabla_imprenta[CANTIDAD ENVASE SECUNDARIO],MATCH(Tabla_control[[#This Row],[LOTE]],Tabla_imprenta[LOTE],0)),"ENTREGADO")</f>
        <v>9804</v>
      </c>
      <c r="H577" s="139">
        <f>IF(COUNTIF(Tabla_imprenta[LOTE],Tabla_control[[#This Row],[LOTE]])=1,INDEX(Tabla_imprenta[stock sap],MATCH(Tabla_control[[#This Row],[LOTE]],Tabla_imprenta[LOTE],0)),"ENTREGADO")</f>
        <v>11608</v>
      </c>
      <c r="I577" s="139" t="str">
        <f>IF(Tabla_control[[#This Row],[STOCK SAP]]&gt;Tabla_control[[#This Row],[CANTIDAD IMPRIMIR]],"cubre","no cubre")</f>
        <v>cubre</v>
      </c>
      <c r="J577" s="182">
        <f>IF(COUNTIF(Tabla_imprenta[LOTE],Tabla_control[[#This Row],[LOTE]])=1,INDEX(Tabla_imprenta[STOCK],MATCH(Tabla_control[[#This Row],[LOTE]],Tabla_imprenta[LOTE],0)),"ENTREGADO")</f>
        <v>3.3015231907941738</v>
      </c>
      <c r="K57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77" s="148">
        <f>INDEX(Tabla_imprenta[FECHA CAJA],MATCH(Tabla_control[[#This Row],[LOTE]],Tabla_imprenta[LOTE],0))</f>
        <v>0</v>
      </c>
      <c r="M57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7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7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77" s="170">
        <f>ROUNDUP(Tabla_control[[#This Row],[CANTIDAD IMPRIMIR]]/Tabla_control[[#This Row],[N TJ]],0)</f>
        <v>4902</v>
      </c>
      <c r="Q577" s="170">
        <f>IF(Tabla_control[[#This Row],[CANTIDAD TIRAJE]]&gt;10000,Tabla_control[[#This Row],[CANTIDAD TIRAJE]],Tabla_control[[#This Row],[CANTIDAD TIRAJE]]*2)</f>
        <v>9804</v>
      </c>
      <c r="R577" s="186" t="s">
        <v>172</v>
      </c>
      <c r="S577" s="4" t="s">
        <v>30</v>
      </c>
      <c r="T577" s="4"/>
      <c r="U577" s="4"/>
      <c r="V577" s="4"/>
      <c r="W577" s="185" t="s">
        <v>22</v>
      </c>
      <c r="X577" s="185"/>
      <c r="Y577" s="185"/>
      <c r="Z577" s="185"/>
      <c r="AA577" s="186" t="s">
        <v>171</v>
      </c>
      <c r="AB577" s="184" t="s">
        <v>5700</v>
      </c>
    </row>
    <row r="578" spans="1:28" x14ac:dyDescent="0.2">
      <c r="A578" s="175">
        <f>IF(COUNTIF(Tabla_imprenta[LOTE],Tabla_control[[#This Row],[LOTE]])=1,INDEX(Tabla_imprenta[FECHA EMISIÓN],MATCH(Tabla_control[[#This Row],[LOTE]],Tabla_imprenta[LOTE],0)),"REALIZADO")</f>
        <v>46143</v>
      </c>
      <c r="B578" s="142">
        <f>IF(COUNTIF(Tabla_imprenta[LOTE],Tabla_control[[#This Row],[LOTE]])=1,INDEX(Tabla_imprenta[CÓD. SOLICITUD],MATCH(Tabla_control[[#This Row],[LOTE]],Tabla_imprenta[LOTE],0)),"REALIZADO")</f>
        <v>0</v>
      </c>
      <c r="C578" s="177" t="str">
        <f>IF(COUNTIF(Tabla_imprenta[LOTE],Tabla_control[[#This Row],[LOTE]])=1,INDEX(Tabla_imprenta[PRODUCTO],MATCH(Tabla_control[[#This Row],[LOTE]],Tabla_imprenta[LOTE],0)),"REALIZADO")</f>
        <v>METRONIDAZOL 250 MG X 100 ML SUSP.</v>
      </c>
      <c r="D578" s="142" t="str">
        <f>IF(COUNTIF(Tabla_imprenta[LOTE],Tabla_control[[#This Row],[LOTE]])=1,INDEX(Tabla_imprenta[FORMA FARMACEUTICA],MATCH(Tabla_control[[#This Row],[LOTE]],Tabla_imprenta[LOTE],0)),"REALIZADO")</f>
        <v>SUSPENSIÓN</v>
      </c>
      <c r="E578" s="177" t="str">
        <f>IF(COUNTIF(Tabla_imprenta[LOTE],Tabla_control[[#This Row],[LOTE]])=1,INDEX(Tabla_imprenta[INSTITUCIÓN],MATCH(Tabla_control[[#This Row],[LOTE]],Tabla_imprenta[LOTE],0)),"REALIZADO")</f>
        <v>COMERCIO</v>
      </c>
      <c r="F578" s="229" t="s">
        <v>5638</v>
      </c>
      <c r="G578" s="139">
        <f>IF(COUNTIF(Tabla_imprenta[LOTE],Tabla_control[[#This Row],[LOTE]])=1,INDEX(Tabla_imprenta[CANTIDAD ENVASE SECUNDARIO],MATCH(Tabla_control[[#This Row],[LOTE]],Tabla_imprenta[LOTE],0)),"ENTREGADO")</f>
        <v>9804</v>
      </c>
      <c r="H578" s="139">
        <f>IF(COUNTIF(Tabla_imprenta[LOTE],Tabla_control[[#This Row],[LOTE]])=1,INDEX(Tabla_imprenta[stock sap],MATCH(Tabla_control[[#This Row],[LOTE]],Tabla_imprenta[LOTE],0)),"ENTREGADO")</f>
        <v>1025</v>
      </c>
      <c r="I578" s="139" t="str">
        <f>IF(Tabla_control[[#This Row],[STOCK SAP]]&gt;Tabla_control[[#This Row],[CANTIDAD IMPRIMIR]],"cubre","no cubre")</f>
        <v>no cubre</v>
      </c>
      <c r="J578" s="182">
        <f>IF(COUNTIF(Tabla_imprenta[LOTE],Tabla_control[[#This Row],[LOTE]])=1,INDEX(Tabla_imprenta[STOCK],MATCH(Tabla_control[[#This Row],[LOTE]],Tabla_imprenta[LOTE],0)),"ENTREGADO")</f>
        <v>3.4118853151580018</v>
      </c>
      <c r="K57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78" s="148">
        <f>INDEX(Tabla_imprenta[FECHA CAJA],MATCH(Tabla_control[[#This Row],[LOTE]],Tabla_imprenta[LOTE],0))</f>
        <v>0</v>
      </c>
      <c r="M57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7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7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78" s="170">
        <f>ROUNDUP(Tabla_control[[#This Row],[CANTIDAD IMPRIMIR]]/Tabla_control[[#This Row],[N TJ]],0)</f>
        <v>4902</v>
      </c>
      <c r="Q578" s="170">
        <f>IF(Tabla_control[[#This Row],[CANTIDAD TIRAJE]]&gt;10000,Tabla_control[[#This Row],[CANTIDAD TIRAJE]],Tabla_control[[#This Row],[CANTIDAD TIRAJE]]*2)</f>
        <v>9804</v>
      </c>
      <c r="R578" s="186" t="s">
        <v>172</v>
      </c>
      <c r="S578" s="4" t="s">
        <v>30</v>
      </c>
      <c r="T578" s="4"/>
      <c r="U578" s="4"/>
      <c r="V578" s="4"/>
      <c r="W578" s="185" t="s">
        <v>22</v>
      </c>
      <c r="X578" s="185"/>
      <c r="Y578" s="185"/>
      <c r="Z578" s="185"/>
      <c r="AA578" s="186" t="s">
        <v>171</v>
      </c>
      <c r="AB578" s="184" t="s">
        <v>5700</v>
      </c>
    </row>
    <row r="579" spans="1:28" x14ac:dyDescent="0.2">
      <c r="A579" s="175">
        <f>IF(COUNTIF(Tabla_imprenta[LOTE],Tabla_control[[#This Row],[LOTE]])=1,INDEX(Tabla_imprenta[FECHA EMISIÓN],MATCH(Tabla_control[[#This Row],[LOTE]],Tabla_imprenta[LOTE],0)),"REALIZADO")</f>
        <v>46143</v>
      </c>
      <c r="B579" s="142">
        <f>IF(COUNTIF(Tabla_imprenta[LOTE],Tabla_control[[#This Row],[LOTE]])=1,INDEX(Tabla_imprenta[CÓD. SOLICITUD],MATCH(Tabla_control[[#This Row],[LOTE]],Tabla_imprenta[LOTE],0)),"REALIZADO")</f>
        <v>0</v>
      </c>
      <c r="C579" s="177" t="str">
        <f>IF(COUNTIF(Tabla_imprenta[LOTE],Tabla_control[[#This Row],[LOTE]])=1,INDEX(Tabla_imprenta[PRODUCTO],MATCH(Tabla_control[[#This Row],[LOTE]],Tabla_imprenta[LOTE],0)),"REALIZADO")</f>
        <v>METRONIDAZOL 250 MG X 100 ML SUSP.</v>
      </c>
      <c r="D579" s="142" t="str">
        <f>IF(COUNTIF(Tabla_imprenta[LOTE],Tabla_control[[#This Row],[LOTE]])=1,INDEX(Tabla_imprenta[FORMA FARMACEUTICA],MATCH(Tabla_control[[#This Row],[LOTE]],Tabla_imprenta[LOTE],0)),"REALIZADO")</f>
        <v>SUSPENSIÓN</v>
      </c>
      <c r="E579" s="177" t="str">
        <f>IF(COUNTIF(Tabla_imprenta[LOTE],Tabla_control[[#This Row],[LOTE]])=1,INDEX(Tabla_imprenta[INSTITUCIÓN],MATCH(Tabla_control[[#This Row],[LOTE]],Tabla_imprenta[LOTE],0)),"REALIZADO")</f>
        <v>COMERCIO</v>
      </c>
      <c r="F579" s="229" t="s">
        <v>5693</v>
      </c>
      <c r="G579" s="139">
        <f>IF(COUNTIF(Tabla_imprenta[LOTE],Tabla_control[[#This Row],[LOTE]])=1,INDEX(Tabla_imprenta[CANTIDAD ENVASE SECUNDARIO],MATCH(Tabla_control[[#This Row],[LOTE]],Tabla_imprenta[LOTE],0)),"ENTREGADO")</f>
        <v>9804</v>
      </c>
      <c r="H579" s="139">
        <f>IF(COUNTIF(Tabla_imprenta[LOTE],Tabla_control[[#This Row],[LOTE]])=1,INDEX(Tabla_imprenta[stock sap],MATCH(Tabla_control[[#This Row],[LOTE]],Tabla_imprenta[LOTE],0)),"ENTREGADO")</f>
        <v>1025</v>
      </c>
      <c r="I579" s="139" t="str">
        <f>IF(Tabla_control[[#This Row],[STOCK SAP]]&gt;Tabla_control[[#This Row],[CANTIDAD IMPRIMIR]],"cubre","no cubre")</f>
        <v>no cubre</v>
      </c>
      <c r="J579" s="182">
        <f>IF(COUNTIF(Tabla_imprenta[LOTE],Tabla_control[[#This Row],[LOTE]])=1,INDEX(Tabla_imprenta[STOCK],MATCH(Tabla_control[[#This Row],[LOTE]],Tabla_imprenta[LOTE],0)),"ENTREGADO")</f>
        <v>3.4118853151580018</v>
      </c>
      <c r="K57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79" s="148">
        <f>INDEX(Tabla_imprenta[FECHA CAJA],MATCH(Tabla_control[[#This Row],[LOTE]],Tabla_imprenta[LOTE],0))</f>
        <v>0</v>
      </c>
      <c r="M57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7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7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79" s="170">
        <f>ROUNDUP(Tabla_control[[#This Row],[CANTIDAD IMPRIMIR]]/Tabla_control[[#This Row],[N TJ]],0)</f>
        <v>4902</v>
      </c>
      <c r="Q579" s="170">
        <f>IF(Tabla_control[[#This Row],[CANTIDAD TIRAJE]]&gt;10000,Tabla_control[[#This Row],[CANTIDAD TIRAJE]],Tabla_control[[#This Row],[CANTIDAD TIRAJE]]*2)</f>
        <v>9804</v>
      </c>
      <c r="R579" s="186" t="s">
        <v>172</v>
      </c>
      <c r="S579" s="4" t="s">
        <v>30</v>
      </c>
      <c r="T579" s="4"/>
      <c r="U579" s="4"/>
      <c r="V579" s="4"/>
      <c r="W579" s="185" t="s">
        <v>22</v>
      </c>
      <c r="X579" s="185"/>
      <c r="Y579" s="185"/>
      <c r="Z579" s="185"/>
      <c r="AA579" s="186" t="s">
        <v>171</v>
      </c>
      <c r="AB579" s="184" t="s">
        <v>5700</v>
      </c>
    </row>
    <row r="580" spans="1:28" x14ac:dyDescent="0.2">
      <c r="A580" s="175">
        <f>IF(COUNTIF(Tabla_imprenta[LOTE],Tabla_control[[#This Row],[LOTE]])=1,INDEX(Tabla_imprenta[FECHA EMISIÓN],MATCH(Tabla_control[[#This Row],[LOTE]],Tabla_imprenta[LOTE],0)),"REALIZADO")</f>
        <v>46143</v>
      </c>
      <c r="B580" s="142">
        <f>IF(COUNTIF(Tabla_imprenta[LOTE],Tabla_control[[#This Row],[LOTE]])=1,INDEX(Tabla_imprenta[CÓD. SOLICITUD],MATCH(Tabla_control[[#This Row],[LOTE]],Tabla_imprenta[LOTE],0)),"REALIZADO")</f>
        <v>0</v>
      </c>
      <c r="C580" s="177" t="str">
        <f>IF(COUNTIF(Tabla_imprenta[LOTE],Tabla_control[[#This Row],[LOTE]])=1,INDEX(Tabla_imprenta[PRODUCTO],MATCH(Tabla_control[[#This Row],[LOTE]],Tabla_imprenta[LOTE],0)),"REALIZADO")</f>
        <v>SULTRIN FORTE 400/80 MG X 100 ML SUSP. VETERINARIO</v>
      </c>
      <c r="D580" s="142" t="str">
        <f>IF(COUNTIF(Tabla_imprenta[LOTE],Tabla_control[[#This Row],[LOTE]])=1,INDEX(Tabla_imprenta[FORMA FARMACEUTICA],MATCH(Tabla_control[[#This Row],[LOTE]],Tabla_imprenta[LOTE],0)),"REALIZADO")</f>
        <v>SUSPENSIÓN</v>
      </c>
      <c r="E580" s="177" t="str">
        <f>IF(COUNTIF(Tabla_imprenta[LOTE],Tabla_control[[#This Row],[LOTE]])=1,INDEX(Tabla_imprenta[INSTITUCIÓN],MATCH(Tabla_control[[#This Row],[LOTE]],Tabla_imprenta[LOTE],0)),"REALIZADO")</f>
        <v>COMERCIO</v>
      </c>
      <c r="F580" s="229" t="s">
        <v>5612</v>
      </c>
      <c r="G580" s="139">
        <f>IF(COUNTIF(Tabla_imprenta[LOTE],Tabla_control[[#This Row],[LOTE]])=1,INDEX(Tabla_imprenta[CANTIDAD ENVASE SECUNDARIO],MATCH(Tabla_control[[#This Row],[LOTE]],Tabla_imprenta[LOTE],0)),"ENTREGADO")</f>
        <v>4902</v>
      </c>
      <c r="H580" s="139">
        <f>IF(COUNTIF(Tabla_imprenta[LOTE],Tabla_control[[#This Row],[LOTE]])=1,INDEX(Tabla_imprenta[stock sap],MATCH(Tabla_control[[#This Row],[LOTE]],Tabla_imprenta[LOTE],0)),"ENTREGADO")</f>
        <v>1098</v>
      </c>
      <c r="I580" s="139" t="str">
        <f>IF(Tabla_control[[#This Row],[STOCK SAP]]&gt;Tabla_control[[#This Row],[CANTIDAD IMPRIMIR]],"cubre","no cubre")</f>
        <v>no cubre</v>
      </c>
      <c r="J580" s="182">
        <f>IF(COUNTIF(Tabla_imprenta[LOTE],Tabla_control[[#This Row],[LOTE]])=1,INDEX(Tabla_imprenta[STOCK],MATCH(Tabla_control[[#This Row],[LOTE]],Tabla_imprenta[LOTE],0)),"ENTREGADO")</f>
        <v>3.3689601057239615</v>
      </c>
      <c r="K58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80" s="148">
        <f>INDEX(Tabla_imprenta[FECHA CAJA],MATCH(Tabla_control[[#This Row],[LOTE]],Tabla_imprenta[LOTE],0))</f>
        <v>0</v>
      </c>
      <c r="M58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VETERINARIO</v>
      </c>
      <c r="N58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8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73</v>
      </c>
      <c r="P580" s="170">
        <f>ROUNDUP(Tabla_control[[#This Row],[CANTIDAD IMPRIMIR]]/Tabla_control[[#This Row],[N TJ]],0)</f>
        <v>2451</v>
      </c>
      <c r="Q580" s="170">
        <f>IF(Tabla_control[[#This Row],[CANTIDAD TIRAJE]]&gt;10000,Tabla_control[[#This Row],[CANTIDAD TIRAJE]],Tabla_control[[#This Row],[CANTIDAD TIRAJE]]*2)</f>
        <v>4902</v>
      </c>
      <c r="R580" s="186" t="s">
        <v>176</v>
      </c>
      <c r="S580" s="4" t="s">
        <v>30</v>
      </c>
      <c r="T580" s="4"/>
      <c r="U580" s="4"/>
      <c r="V580" s="4"/>
      <c r="W580" s="185" t="s">
        <v>22</v>
      </c>
      <c r="X580" s="185"/>
      <c r="Y580" s="185"/>
      <c r="Z580" s="185"/>
      <c r="AA580" s="186" t="s">
        <v>171</v>
      </c>
      <c r="AB580" s="184" t="s">
        <v>5700</v>
      </c>
    </row>
    <row r="581" spans="1:28" hidden="1" x14ac:dyDescent="0.2">
      <c r="A581" s="175">
        <f>IF(COUNTIF(Tabla_imprenta[LOTE],Tabla_control[[#This Row],[LOTE]])=1,INDEX(Tabla_imprenta[FECHA EMISIÓN],MATCH(Tabla_control[[#This Row],[LOTE]],Tabla_imprenta[LOTE],0)),"REALIZADO")</f>
        <v>46143</v>
      </c>
      <c r="B581" s="142">
        <f>IF(COUNTIF(Tabla_imprenta[LOTE],Tabla_control[[#This Row],[LOTE]])=1,INDEX(Tabla_imprenta[CÓD. SOLICITUD],MATCH(Tabla_control[[#This Row],[LOTE]],Tabla_imprenta[LOTE],0)),"REALIZADO")</f>
        <v>0</v>
      </c>
      <c r="C581" s="177" t="str">
        <f>IF(COUNTIF(Tabla_imprenta[LOTE],Tabla_control[[#This Row],[LOTE]])=1,INDEX(Tabla_imprenta[PRODUCTO],MATCH(Tabla_control[[#This Row],[LOTE]],Tabla_imprenta[LOTE],0)),"REALIZADO")</f>
        <v>TRIBENZOL 100 MG X 60 ML POLVO PARA SUSP. + DILUYENTE</v>
      </c>
      <c r="D581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581" s="177" t="str">
        <f>IF(COUNTIF(Tabla_imprenta[LOTE],Tabla_control[[#This Row],[LOTE]])=1,INDEX(Tabla_imprenta[INSTITUCIÓN],MATCH(Tabla_control[[#This Row],[LOTE]],Tabla_imprenta[LOTE],0)),"REALIZADO")</f>
        <v>COMERCIO</v>
      </c>
      <c r="F581" s="229" t="s">
        <v>5535</v>
      </c>
      <c r="G581" s="139">
        <f>IF(COUNTIF(Tabla_imprenta[LOTE],Tabla_control[[#This Row],[LOTE]])=1,INDEX(Tabla_imprenta[CANTIDAD ENVASE SECUNDARIO],MATCH(Tabla_control[[#This Row],[LOTE]],Tabla_imprenta[LOTE],0)),"ENTREGADO")</f>
        <v>10500</v>
      </c>
      <c r="H581" s="139">
        <f>IF(COUNTIF(Tabla_imprenta[LOTE],Tabla_control[[#This Row],[LOTE]])=1,INDEX(Tabla_imprenta[stock sap],MATCH(Tabla_control[[#This Row],[LOTE]],Tabla_imprenta[LOTE],0)),"ENTREGADO")</f>
        <v>13091</v>
      </c>
      <c r="I581" s="139" t="str">
        <f>IF(Tabla_control[[#This Row],[STOCK SAP]]&gt;Tabla_control[[#This Row],[CANTIDAD IMPRIMIR]],"cubre","no cubre")</f>
        <v>cubre</v>
      </c>
      <c r="J581" s="182">
        <f>IF(COUNTIF(Tabla_imprenta[LOTE],Tabla_control[[#This Row],[LOTE]])=1,INDEX(Tabla_imprenta[STOCK],MATCH(Tabla_control[[#This Row],[LOTE]],Tabla_imprenta[LOTE],0)),"ENTREGADO")</f>
        <v>3.4688073394495413</v>
      </c>
      <c r="K58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81" s="148">
        <f>INDEX(Tabla_imprenta[FECHA CAJA],MATCH(Tabla_control[[#This Row],[LOTE]],Tabla_imprenta[LOTE],0))</f>
        <v>0</v>
      </c>
      <c r="M58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58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8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71</v>
      </c>
      <c r="P581" s="170">
        <f>ROUNDUP(Tabla_control[[#This Row],[CANTIDAD IMPRIMIR]]/Tabla_control[[#This Row],[N TJ]],0)</f>
        <v>5250</v>
      </c>
      <c r="Q581" s="170">
        <f>IF(Tabla_control[[#This Row],[CANTIDAD TIRAJE]]&gt;10000,Tabla_control[[#This Row],[CANTIDAD TIRAJE]],Tabla_control[[#This Row],[CANTIDAD TIRAJE]]*2)</f>
        <v>10500</v>
      </c>
      <c r="R581" s="186" t="s">
        <v>177</v>
      </c>
      <c r="S581" s="4" t="s">
        <v>31</v>
      </c>
      <c r="T581" s="4"/>
      <c r="U581" s="4"/>
      <c r="V581" s="4"/>
      <c r="W581" s="185" t="s">
        <v>321</v>
      </c>
      <c r="X581" s="185"/>
      <c r="Y581" s="185"/>
      <c r="Z581" s="185"/>
      <c r="AA581" s="186" t="s">
        <v>321</v>
      </c>
      <c r="AB581" s="184" t="s">
        <v>5700</v>
      </c>
    </row>
    <row r="582" spans="1:28" x14ac:dyDescent="0.2">
      <c r="A582" s="175">
        <f>IF(COUNTIF(Tabla_imprenta[LOTE],Tabla_control[[#This Row],[LOTE]])=1,INDEX(Tabla_imprenta[FECHA EMISIÓN],MATCH(Tabla_control[[#This Row],[LOTE]],Tabla_imprenta[LOTE],0)),"REALIZADO")</f>
        <v>46143</v>
      </c>
      <c r="B582" s="142">
        <f>IF(COUNTIF(Tabla_imprenta[LOTE],Tabla_control[[#This Row],[LOTE]])=1,INDEX(Tabla_imprenta[CÓD. SOLICITUD],MATCH(Tabla_control[[#This Row],[LOTE]],Tabla_imprenta[LOTE],0)),"REALIZADO")</f>
        <v>0</v>
      </c>
      <c r="C582" s="177" t="str">
        <f>IF(COUNTIF(Tabla_imprenta[LOTE],Tabla_control[[#This Row],[LOTE]])=1,INDEX(Tabla_imprenta[PRODUCTO],MATCH(Tabla_control[[#This Row],[LOTE]],Tabla_imprenta[LOTE],0)),"REALIZADO")</f>
        <v>AMBROXOL FORTE 30 MG X 100 ML JARABE</v>
      </c>
      <c r="D582" s="142" t="str">
        <f>IF(COUNTIF(Tabla_imprenta[LOTE],Tabla_control[[#This Row],[LOTE]])=1,INDEX(Tabla_imprenta[FORMA FARMACEUTICA],MATCH(Tabla_control[[#This Row],[LOTE]],Tabla_imprenta[LOTE],0)),"REALIZADO")</f>
        <v>JARABE</v>
      </c>
      <c r="E582" s="177" t="str">
        <f>IF(COUNTIF(Tabla_imprenta[LOTE],Tabla_control[[#This Row],[LOTE]])=1,INDEX(Tabla_imprenta[INSTITUCIÓN],MATCH(Tabla_control[[#This Row],[LOTE]],Tabla_imprenta[LOTE],0)),"REALIZADO")</f>
        <v>COMERCIO</v>
      </c>
      <c r="F582" s="229" t="s">
        <v>5673</v>
      </c>
      <c r="G582" s="139">
        <f>IF(COUNTIF(Tabla_imprenta[LOTE],Tabla_control[[#This Row],[LOTE]])=1,INDEX(Tabla_imprenta[CANTIDAD ENVASE SECUNDARIO],MATCH(Tabla_control[[#This Row],[LOTE]],Tabla_imprenta[LOTE],0)),"ENTREGADO")</f>
        <v>19802</v>
      </c>
      <c r="H582" s="139">
        <f>IF(COUNTIF(Tabla_imprenta[LOTE],Tabla_control[[#This Row],[LOTE]])=1,INDEX(Tabla_imprenta[stock sap],MATCH(Tabla_control[[#This Row],[LOTE]],Tabla_imprenta[LOTE],0)),"ENTREGADO")</f>
        <v>1778</v>
      </c>
      <c r="I582" s="139" t="str">
        <f>IF(Tabla_control[[#This Row],[STOCK SAP]]&gt;Tabla_control[[#This Row],[CANTIDAD IMPRIMIR]],"cubre","no cubre")</f>
        <v>no cubre</v>
      </c>
      <c r="J582" s="182">
        <f>IF(COUNTIF(Tabla_imprenta[LOTE],Tabla_control[[#This Row],[LOTE]])=1,INDEX(Tabla_imprenta[STOCK],MATCH(Tabla_control[[#This Row],[LOTE]],Tabla_imprenta[LOTE],0)),"ENTREGADO")</f>
        <v>3.5893156093051148</v>
      </c>
      <c r="K58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82" s="148">
        <f>INDEX(Tabla_imprenta[FECHA CAJA],MATCH(Tabla_control[[#This Row],[LOTE]],Tabla_imprenta[LOTE],0))</f>
        <v>0</v>
      </c>
      <c r="M58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8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8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8</v>
      </c>
      <c r="P582" s="170">
        <f>ROUNDUP(Tabla_control[[#This Row],[CANTIDAD IMPRIMIR]]/Tabla_control[[#This Row],[N TJ]],0)</f>
        <v>9901</v>
      </c>
      <c r="Q582" s="170">
        <f>IF(Tabla_control[[#This Row],[CANTIDAD TIRAJE]]&gt;10000,Tabla_control[[#This Row],[CANTIDAD TIRAJE]],Tabla_control[[#This Row],[CANTIDAD TIRAJE]]*2)</f>
        <v>19802</v>
      </c>
      <c r="R582" s="186" t="s">
        <v>172</v>
      </c>
      <c r="S582" s="4" t="s">
        <v>30</v>
      </c>
      <c r="T582" s="4"/>
      <c r="U582" s="4"/>
      <c r="V582" s="4"/>
      <c r="W582" s="185" t="s">
        <v>22</v>
      </c>
      <c r="X582" s="185"/>
      <c r="Y582" s="185"/>
      <c r="Z582" s="185"/>
      <c r="AA582" s="186" t="s">
        <v>171</v>
      </c>
      <c r="AB582" s="184" t="s">
        <v>5700</v>
      </c>
    </row>
    <row r="583" spans="1:28" x14ac:dyDescent="0.2">
      <c r="A583" s="175">
        <f>IF(COUNTIF(Tabla_imprenta[LOTE],Tabla_control[[#This Row],[LOTE]])=1,INDEX(Tabla_imprenta[FECHA EMISIÓN],MATCH(Tabla_control[[#This Row],[LOTE]],Tabla_imprenta[LOTE],0)),"REALIZADO")</f>
        <v>46143</v>
      </c>
      <c r="B583" s="142">
        <f>IF(COUNTIF(Tabla_imprenta[LOTE],Tabla_control[[#This Row],[LOTE]])=1,INDEX(Tabla_imprenta[CÓD. SOLICITUD],MATCH(Tabla_control[[#This Row],[LOTE]],Tabla_imprenta[LOTE],0)),"REALIZADO")</f>
        <v>0</v>
      </c>
      <c r="C583" s="177" t="str">
        <f>IF(COUNTIF(Tabla_imprenta[LOTE],Tabla_control[[#This Row],[LOTE]])=1,INDEX(Tabla_imprenta[PRODUCTO],MATCH(Tabla_control[[#This Row],[LOTE]],Tabla_imprenta[LOTE],0)),"REALIZADO")</f>
        <v>COTRIMOXAZOL 200/40 MG X 60 ML SUSP.</v>
      </c>
      <c r="D583" s="142" t="str">
        <f>IF(COUNTIF(Tabla_imprenta[LOTE],Tabla_control[[#This Row],[LOTE]])=1,INDEX(Tabla_imprenta[FORMA FARMACEUTICA],MATCH(Tabla_control[[#This Row],[LOTE]],Tabla_imprenta[LOTE],0)),"REALIZADO")</f>
        <v>SUSPENSIÓN</v>
      </c>
      <c r="E583" s="177" t="str">
        <f>IF(COUNTIF(Tabla_imprenta[LOTE],Tabla_control[[#This Row],[LOTE]])=1,INDEX(Tabla_imprenta[INSTITUCIÓN],MATCH(Tabla_control[[#This Row],[LOTE]],Tabla_imprenta[LOTE],0)),"REALIZADO")</f>
        <v>COMERCIO</v>
      </c>
      <c r="F583" s="229" t="s">
        <v>5621</v>
      </c>
      <c r="G583" s="139">
        <f>IF(COUNTIF(Tabla_imprenta[LOTE],Tabla_control[[#This Row],[LOTE]])=1,INDEX(Tabla_imprenta[CANTIDAD ENVASE SECUNDARIO],MATCH(Tabla_control[[#This Row],[LOTE]],Tabla_imprenta[LOTE],0)),"ENTREGADO")</f>
        <v>3225</v>
      </c>
      <c r="H583" s="139">
        <f>IF(COUNTIF(Tabla_imprenta[LOTE],Tabla_control[[#This Row],[LOTE]])=1,INDEX(Tabla_imprenta[stock sap],MATCH(Tabla_control[[#This Row],[LOTE]],Tabla_imprenta[LOTE],0)),"ENTREGADO")</f>
        <v>417</v>
      </c>
      <c r="I583" s="139" t="str">
        <f>IF(Tabla_control[[#This Row],[STOCK SAP]]&gt;Tabla_control[[#This Row],[CANTIDAD IMPRIMIR]],"cubre","no cubre")</f>
        <v>no cubre</v>
      </c>
      <c r="J583" s="182">
        <f>IF(COUNTIF(Tabla_imprenta[LOTE],Tabla_control[[#This Row],[LOTE]])=1,INDEX(Tabla_imprenta[STOCK],MATCH(Tabla_control[[#This Row],[LOTE]],Tabla_imprenta[LOTE],0)),"ENTREGADO")</f>
        <v>3.6361819090454768</v>
      </c>
      <c r="K58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83" s="148">
        <f>INDEX(Tabla_imprenta[FECHA CAJA],MATCH(Tabla_control[[#This Row],[LOTE]],Tabla_imprenta[LOTE],0))</f>
        <v>0</v>
      </c>
      <c r="M58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8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8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</v>
      </c>
      <c r="P583" s="170">
        <f>ROUNDUP(Tabla_control[[#This Row],[CANTIDAD IMPRIMIR]]/Tabla_control[[#This Row],[N TJ]],0)</f>
        <v>807</v>
      </c>
      <c r="Q583" s="170">
        <f>IF(Tabla_control[[#This Row],[CANTIDAD TIRAJE]]&gt;10000,Tabla_control[[#This Row],[CANTIDAD TIRAJE]],Tabla_control[[#This Row],[CANTIDAD TIRAJE]]*2)</f>
        <v>1614</v>
      </c>
      <c r="R583" s="186" t="s">
        <v>172</v>
      </c>
      <c r="S583" s="4" t="s">
        <v>30</v>
      </c>
      <c r="T583" s="4"/>
      <c r="U583" s="4"/>
      <c r="V583" s="4"/>
      <c r="W583" s="185" t="s">
        <v>22</v>
      </c>
      <c r="X583" s="185"/>
      <c r="Y583" s="185"/>
      <c r="Z583" s="185"/>
      <c r="AA583" s="186" t="s">
        <v>171</v>
      </c>
      <c r="AB583" s="184" t="s">
        <v>5700</v>
      </c>
    </row>
    <row r="584" spans="1:28" hidden="1" x14ac:dyDescent="0.2">
      <c r="A584" s="175">
        <f>IF(COUNTIF(Tabla_imprenta[LOTE],Tabla_control[[#This Row],[LOTE]])=1,INDEX(Tabla_imprenta[FECHA EMISIÓN],MATCH(Tabla_control[[#This Row],[LOTE]],Tabla_imprenta[LOTE],0)),"REALIZADO")</f>
        <v>46143</v>
      </c>
      <c r="B584" s="142">
        <f>IF(COUNTIF(Tabla_imprenta[LOTE],Tabla_control[[#This Row],[LOTE]])=1,INDEX(Tabla_imprenta[CÓD. SOLICITUD],MATCH(Tabla_control[[#This Row],[LOTE]],Tabla_imprenta[LOTE],0)),"REALIZADO")</f>
        <v>0</v>
      </c>
      <c r="C584" s="177" t="str">
        <f>IF(COUNTIF(Tabla_imprenta[LOTE],Tabla_control[[#This Row],[LOTE]])=1,INDEX(Tabla_imprenta[PRODUCTO],MATCH(Tabla_control[[#This Row],[LOTE]],Tabla_imprenta[LOTE],0)),"REALIZADO")</f>
        <v>BALMICIN X 20 ML GOTAS</v>
      </c>
      <c r="D584" s="142" t="str">
        <f>IF(COUNTIF(Tabla_imprenta[LOTE],Tabla_control[[#This Row],[LOTE]])=1,INDEX(Tabla_imprenta[FORMA FARMACEUTICA],MATCH(Tabla_control[[#This Row],[LOTE]],Tabla_imprenta[LOTE],0)),"REALIZADO")</f>
        <v>GOTAS</v>
      </c>
      <c r="E584" s="177" t="str">
        <f>IF(COUNTIF(Tabla_imprenta[LOTE],Tabla_control[[#This Row],[LOTE]])=1,INDEX(Tabla_imprenta[INSTITUCIÓN],MATCH(Tabla_control[[#This Row],[LOTE]],Tabla_imprenta[LOTE],0)),"REALIZADO")</f>
        <v>COMERCIO</v>
      </c>
      <c r="F584" s="229" t="s">
        <v>5600</v>
      </c>
      <c r="G584" s="139">
        <f>IF(COUNTIF(Tabla_imprenta[LOTE],Tabla_control[[#This Row],[LOTE]])=1,INDEX(Tabla_imprenta[CANTIDAD ENVASE SECUNDARIO],MATCH(Tabla_control[[#This Row],[LOTE]],Tabla_imprenta[LOTE],0)),"ENTREGADO")</f>
        <v>7000</v>
      </c>
      <c r="H584" s="139">
        <f>IF(COUNTIF(Tabla_imprenta[LOTE],Tabla_control[[#This Row],[LOTE]])=1,INDEX(Tabla_imprenta[stock sap],MATCH(Tabla_control[[#This Row],[LOTE]],Tabla_imprenta[LOTE],0)),"ENTREGADO")</f>
        <v>7098</v>
      </c>
      <c r="I584" s="139" t="str">
        <f>IF(Tabla_control[[#This Row],[STOCK SAP]]&gt;Tabla_control[[#This Row],[CANTIDAD IMPRIMIR]],"cubre","no cubre")</f>
        <v>cubre</v>
      </c>
      <c r="J584" s="182">
        <f>IF(COUNTIF(Tabla_imprenta[LOTE],Tabla_control[[#This Row],[LOTE]])=1,INDEX(Tabla_imprenta[STOCK],MATCH(Tabla_control[[#This Row],[LOTE]],Tabla_imprenta[LOTE],0)),"ENTREGADO")</f>
        <v>3.674757281553398</v>
      </c>
      <c r="K58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84" s="148">
        <f>INDEX(Tabla_imprenta[FECHA CAJA],MATCH(Tabla_control[[#This Row],[LOTE]],Tabla_imprenta[LOTE],0))</f>
        <v>0</v>
      </c>
      <c r="M58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58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58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25</v>
      </c>
      <c r="P584" s="170">
        <f>ROUNDUP(Tabla_control[[#This Row],[CANTIDAD IMPRIMIR]]/Tabla_control[[#This Row],[N TJ]],0)</f>
        <v>1167</v>
      </c>
      <c r="Q584" s="170">
        <f>IF(Tabla_control[[#This Row],[CANTIDAD TIRAJE]]&gt;10000,Tabla_control[[#This Row],[CANTIDAD TIRAJE]],Tabla_control[[#This Row],[CANTIDAD TIRAJE]]*2)</f>
        <v>2334</v>
      </c>
      <c r="R584" s="186" t="s">
        <v>177</v>
      </c>
      <c r="S584" s="4" t="s">
        <v>31</v>
      </c>
      <c r="T584" s="4"/>
      <c r="U584" s="4"/>
      <c r="V584" s="4"/>
      <c r="W584" s="185" t="s">
        <v>321</v>
      </c>
      <c r="X584" s="185"/>
      <c r="Y584" s="185"/>
      <c r="Z584" s="185"/>
      <c r="AA584" s="186" t="s">
        <v>321</v>
      </c>
      <c r="AB584" s="184" t="s">
        <v>5700</v>
      </c>
    </row>
    <row r="585" spans="1:28" x14ac:dyDescent="0.2">
      <c r="A585" s="175">
        <f>IF(COUNTIF(Tabla_imprenta[LOTE],Tabla_control[[#This Row],[LOTE]])=1,INDEX(Tabla_imprenta[FECHA EMISIÓN],MATCH(Tabla_control[[#This Row],[LOTE]],Tabla_imprenta[LOTE],0)),"REALIZADO")</f>
        <v>46143</v>
      </c>
      <c r="B585" s="142">
        <f>IF(COUNTIF(Tabla_imprenta[LOTE],Tabla_control[[#This Row],[LOTE]])=1,INDEX(Tabla_imprenta[CÓD. SOLICITUD],MATCH(Tabla_control[[#This Row],[LOTE]],Tabla_imprenta[LOTE],0)),"REALIZADO")</f>
        <v>0</v>
      </c>
      <c r="C585" s="177" t="str">
        <f>IF(COUNTIF(Tabla_imprenta[LOTE],Tabla_control[[#This Row],[LOTE]])=1,INDEX(Tabla_imprenta[PRODUCTO],MATCH(Tabla_control[[#This Row],[LOTE]],Tabla_imprenta[LOTE],0)),"REALIZADO")</f>
        <v>BROXILIN DUO 500/125 X 70 ML POLVO PARA SUSP. + DILUYENTE</v>
      </c>
      <c r="D585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585" s="177" t="str">
        <f>IF(COUNTIF(Tabla_imprenta[LOTE],Tabla_control[[#This Row],[LOTE]])=1,INDEX(Tabla_imprenta[INSTITUCIÓN],MATCH(Tabla_control[[#This Row],[LOTE]],Tabla_imprenta[LOTE],0)),"REALIZADO")</f>
        <v>COMERCIO</v>
      </c>
      <c r="F585" s="229" t="s">
        <v>5582</v>
      </c>
      <c r="G585" s="139">
        <f>IF(COUNTIF(Tabla_imprenta[LOTE],Tabla_control[[#This Row],[LOTE]])=1,INDEX(Tabla_imprenta[CANTIDAD ENVASE SECUNDARIO],MATCH(Tabla_control[[#This Row],[LOTE]],Tabla_imprenta[LOTE],0)),"ENTREGADO")</f>
        <v>3500</v>
      </c>
      <c r="H585" s="139">
        <f>IF(COUNTIF(Tabla_imprenta[LOTE],Tabla_control[[#This Row],[LOTE]])=1,INDEX(Tabla_imprenta[stock sap],MATCH(Tabla_control[[#This Row],[LOTE]],Tabla_imprenta[LOTE],0)),"ENTREGADO")</f>
        <v>1045</v>
      </c>
      <c r="I585" s="139" t="str">
        <f>IF(Tabla_control[[#This Row],[STOCK SAP]]&gt;Tabla_control[[#This Row],[CANTIDAD IMPRIMIR]],"cubre","no cubre")</f>
        <v>no cubre</v>
      </c>
      <c r="J585" s="182">
        <f>IF(COUNTIF(Tabla_imprenta[LOTE],Tabla_control[[#This Row],[LOTE]])=1,INDEX(Tabla_imprenta[STOCK],MATCH(Tabla_control[[#This Row],[LOTE]],Tabla_imprenta[LOTE],0)),"ENTREGADO")</f>
        <v>3.5510844003135613</v>
      </c>
      <c r="K58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85" s="148">
        <f>INDEX(Tabla_imprenta[FECHA CAJA],MATCH(Tabla_control[[#This Row],[LOTE]],Tabla_imprenta[LOTE],0))</f>
        <v>0</v>
      </c>
      <c r="M58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58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8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71</v>
      </c>
      <c r="P585" s="170">
        <f>ROUNDUP(Tabla_control[[#This Row],[CANTIDAD IMPRIMIR]]/Tabla_control[[#This Row],[N TJ]],0)</f>
        <v>1750</v>
      </c>
      <c r="Q585" s="170">
        <f>IF(Tabla_control[[#This Row],[CANTIDAD TIRAJE]]&gt;10000,Tabla_control[[#This Row],[CANTIDAD TIRAJE]],Tabla_control[[#This Row],[CANTIDAD TIRAJE]]*2)</f>
        <v>3500</v>
      </c>
      <c r="R585" s="186" t="s">
        <v>177</v>
      </c>
      <c r="S585" s="4" t="s">
        <v>31</v>
      </c>
      <c r="T585" s="4"/>
      <c r="U585" s="4"/>
      <c r="V585" s="4"/>
      <c r="W585" s="185" t="s">
        <v>5721</v>
      </c>
      <c r="X585" s="185"/>
      <c r="Y585" s="185"/>
      <c r="Z585" s="185"/>
      <c r="AA585" s="186" t="s">
        <v>171</v>
      </c>
      <c r="AB585" s="184" t="s">
        <v>5700</v>
      </c>
    </row>
    <row r="586" spans="1:28" hidden="1" x14ac:dyDescent="0.2">
      <c r="A586" s="175">
        <f>IF(COUNTIF(Tabla_imprenta[LOTE],Tabla_control[[#This Row],[LOTE]])=1,INDEX(Tabla_imprenta[FECHA EMISIÓN],MATCH(Tabla_control[[#This Row],[LOTE]],Tabla_imprenta[LOTE],0)),"REALIZADO")</f>
        <v>46143</v>
      </c>
      <c r="B586" s="142">
        <f>IF(COUNTIF(Tabla_imprenta[LOTE],Tabla_control[[#This Row],[LOTE]])=1,INDEX(Tabla_imprenta[CÓD. SOLICITUD],MATCH(Tabla_control[[#This Row],[LOTE]],Tabla_imprenta[LOTE],0)),"REALIZADO")</f>
        <v>0</v>
      </c>
      <c r="C586" s="177" t="str">
        <f>IF(COUNTIF(Tabla_imprenta[LOTE],Tabla_control[[#This Row],[LOTE]])=1,INDEX(Tabla_imprenta[PRODUCTO],MATCH(Tabla_control[[#This Row],[LOTE]],Tabla_imprenta[LOTE],0)),"REALIZADO")</f>
        <v>FLAMADIN 1% X 30 G GEL</v>
      </c>
      <c r="D586" s="142" t="str">
        <f>IF(COUNTIF(Tabla_imprenta[LOTE],Tabla_control[[#This Row],[LOTE]])=1,INDEX(Tabla_imprenta[FORMA FARMACEUTICA],MATCH(Tabla_control[[#This Row],[LOTE]],Tabla_imprenta[LOTE],0)),"REALIZADO")</f>
        <v>GEL</v>
      </c>
      <c r="E586" s="177" t="str">
        <f>IF(COUNTIF(Tabla_imprenta[LOTE],Tabla_control[[#This Row],[LOTE]])=1,INDEX(Tabla_imprenta[INSTITUCIÓN],MATCH(Tabla_control[[#This Row],[LOTE]],Tabla_imprenta[LOTE],0)),"REALIZADO")</f>
        <v>COMERCIO</v>
      </c>
      <c r="F586" s="229" t="s">
        <v>5372</v>
      </c>
      <c r="G586" s="139">
        <f>IF(COUNTIF(Tabla_imprenta[LOTE],Tabla_control[[#This Row],[LOTE]])=1,INDEX(Tabla_imprenta[CANTIDAD ENVASE SECUNDARIO],MATCH(Tabla_control[[#This Row],[LOTE]],Tabla_imprenta[LOTE],0)),"ENTREGADO")</f>
        <v>1500</v>
      </c>
      <c r="H586" s="139">
        <f>IF(COUNTIF(Tabla_imprenta[LOTE],Tabla_control[[#This Row],[LOTE]])=1,INDEX(Tabla_imprenta[stock sap],MATCH(Tabla_control[[#This Row],[LOTE]],Tabla_imprenta[LOTE],0)),"ENTREGADO")</f>
        <v>1722</v>
      </c>
      <c r="I586" s="139" t="str">
        <f>IF(Tabla_control[[#This Row],[STOCK SAP]]&gt;Tabla_control[[#This Row],[CANTIDAD IMPRIMIR]],"cubre","no cubre")</f>
        <v>cubre</v>
      </c>
      <c r="J586" s="182">
        <f>IF(COUNTIF(Tabla_imprenta[LOTE],Tabla_control[[#This Row],[LOTE]])=1,INDEX(Tabla_imprenta[STOCK],MATCH(Tabla_control[[#This Row],[LOTE]],Tabla_imprenta[LOTE],0)),"ENTREGADO")</f>
        <v>3.7370120340475488</v>
      </c>
      <c r="K58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86" s="148">
        <f>INDEX(Tabla_imprenta[FECHA CAJA],MATCH(Tabla_control[[#This Row],[LOTE]],Tabla_imprenta[LOTE],0))</f>
        <v>0</v>
      </c>
      <c r="M58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8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8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586" s="170">
        <f>ROUNDUP(Tabla_control[[#This Row],[CANTIDAD IMPRIMIR]]/Tabla_control[[#This Row],[N TJ]],0)</f>
        <v>375</v>
      </c>
      <c r="Q586" s="170">
        <f>IF(Tabla_control[[#This Row],[CANTIDAD TIRAJE]]&gt;10000,Tabla_control[[#This Row],[CANTIDAD TIRAJE]],Tabla_control[[#This Row],[CANTIDAD TIRAJE]]*2)</f>
        <v>750</v>
      </c>
      <c r="R586" s="186" t="s">
        <v>173</v>
      </c>
      <c r="S586" s="4" t="s">
        <v>174</v>
      </c>
      <c r="T586" s="4"/>
      <c r="U586" s="4"/>
      <c r="V586" s="4"/>
      <c r="W586" s="185" t="s">
        <v>321</v>
      </c>
      <c r="X586" s="185"/>
      <c r="Y586" s="185"/>
      <c r="Z586" s="185"/>
      <c r="AA586" s="186" t="s">
        <v>321</v>
      </c>
      <c r="AB586" s="184" t="s">
        <v>4464</v>
      </c>
    </row>
    <row r="587" spans="1:28" x14ac:dyDescent="0.2">
      <c r="A587" s="175">
        <f>IF(COUNTIF(Tabla_imprenta[LOTE],Tabla_control[[#This Row],[LOTE]])=1,INDEX(Tabla_imprenta[FECHA EMISIÓN],MATCH(Tabla_control[[#This Row],[LOTE]],Tabla_imprenta[LOTE],0)),"REALIZADO")</f>
        <v>46143</v>
      </c>
      <c r="B587" s="142">
        <f>IF(COUNTIF(Tabla_imprenta[LOTE],Tabla_control[[#This Row],[LOTE]])=1,INDEX(Tabla_imprenta[CÓD. SOLICITUD],MATCH(Tabla_control[[#This Row],[LOTE]],Tabla_imprenta[LOTE],0)),"REALIZADO")</f>
        <v>0</v>
      </c>
      <c r="C587" s="177" t="str">
        <f>IF(COUNTIF(Tabla_imprenta[LOTE],Tabla_control[[#This Row],[LOTE]])=1,INDEX(Tabla_imprenta[PRODUCTO],MATCH(Tabla_control[[#This Row],[LOTE]],Tabla_imprenta[LOTE],0)),"REALIZADO")</f>
        <v>ZITROMIN 500 MG X 10 ML POLVO PARA SUSP. MM</v>
      </c>
      <c r="D587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587" s="177" t="str">
        <f>IF(COUNTIF(Tabla_imprenta[LOTE],Tabla_control[[#This Row],[LOTE]])=1,INDEX(Tabla_imprenta[INSTITUCIÓN],MATCH(Tabla_control[[#This Row],[LOTE]],Tabla_imprenta[LOTE],0)),"REALIZADO")</f>
        <v>MM-2026</v>
      </c>
      <c r="F587" s="229" t="s">
        <v>5566</v>
      </c>
      <c r="G587" s="139">
        <f>IF(COUNTIF(Tabla_imprenta[LOTE],Tabla_control[[#This Row],[LOTE]])=1,INDEX(Tabla_imprenta[CANTIDAD ENVASE SECUNDARIO],MATCH(Tabla_control[[#This Row],[LOTE]],Tabla_imprenta[LOTE],0)),"ENTREGADO")</f>
        <v>15900</v>
      </c>
      <c r="H587" s="139">
        <f>IF(COUNTIF(Tabla_imprenta[LOTE],Tabla_control[[#This Row],[LOTE]])=1,INDEX(Tabla_imprenta[stock sap],MATCH(Tabla_control[[#This Row],[LOTE]],Tabla_imprenta[LOTE],0)),"ENTREGADO")</f>
        <v>706</v>
      </c>
      <c r="I587" s="139" t="str">
        <f>IF(Tabla_control[[#This Row],[STOCK SAP]]&gt;Tabla_control[[#This Row],[CANTIDAD IMPRIMIR]],"cubre","no cubre")</f>
        <v>no cubre</v>
      </c>
      <c r="J587" s="182">
        <f>IF(COUNTIF(Tabla_imprenta[LOTE],Tabla_control[[#This Row],[LOTE]])=1,INDEX(Tabla_imprenta[STOCK],MATCH(Tabla_control[[#This Row],[LOTE]],Tabla_imprenta[LOTE],0)),"ENTREGADO")</f>
        <v>3.7092911071182768</v>
      </c>
      <c r="K58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87" s="148">
        <f>INDEX(Tabla_imprenta[FECHA CAJA],MATCH(Tabla_control[[#This Row],[LOTE]],Tabla_imprenta[LOTE],0))</f>
        <v>0</v>
      </c>
      <c r="M58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587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87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76</v>
      </c>
      <c r="P587" s="170">
        <f>ROUNDUP(Tabla_control[[#This Row],[CANTIDAD IMPRIMIR]]/Tabla_control[[#This Row],[N TJ]],0)</f>
        <v>7950</v>
      </c>
      <c r="Q587" s="170">
        <f>IF(Tabla_control[[#This Row],[CANTIDAD TIRAJE]]&gt;10000,Tabla_control[[#This Row],[CANTIDAD TIRAJE]],Tabla_control[[#This Row],[CANTIDAD TIRAJE]]*2)</f>
        <v>15900</v>
      </c>
      <c r="R587" s="186" t="s">
        <v>177</v>
      </c>
      <c r="S587" s="4" t="s">
        <v>31</v>
      </c>
      <c r="T587" s="4"/>
      <c r="U587" s="4"/>
      <c r="V587" s="4"/>
      <c r="W587" s="185" t="s">
        <v>5721</v>
      </c>
      <c r="X587" s="185"/>
      <c r="Y587" s="185"/>
      <c r="Z587" s="185"/>
      <c r="AA587" s="186" t="s">
        <v>171</v>
      </c>
      <c r="AB587" s="184" t="s">
        <v>5700</v>
      </c>
    </row>
    <row r="588" spans="1:28" x14ac:dyDescent="0.2">
      <c r="A588" s="175">
        <f>IF(COUNTIF(Tabla_imprenta[LOTE],Tabla_control[[#This Row],[LOTE]])=1,INDEX(Tabla_imprenta[FECHA EMISIÓN],MATCH(Tabla_control[[#This Row],[LOTE]],Tabla_imprenta[LOTE],0)),"REALIZADO")</f>
        <v>46143</v>
      </c>
      <c r="B588" s="142">
        <f>IF(COUNTIF(Tabla_imprenta[LOTE],Tabla_control[[#This Row],[LOTE]])=1,INDEX(Tabla_imprenta[CÓD. SOLICITUD],MATCH(Tabla_control[[#This Row],[LOTE]],Tabla_imprenta[LOTE],0)),"REALIZADO")</f>
        <v>0</v>
      </c>
      <c r="C588" s="177" t="str">
        <f>IF(COUNTIF(Tabla_imprenta[LOTE],Tabla_control[[#This Row],[LOTE]])=1,INDEX(Tabla_imprenta[PRODUCTO],MATCH(Tabla_control[[#This Row],[LOTE]],Tabla_imprenta[LOTE],0)),"REALIZADO")</f>
        <v>KALENDA X 50 G CREMA VAGINAL</v>
      </c>
      <c r="D588" s="142" t="str">
        <f>IF(COUNTIF(Tabla_imprenta[LOTE],Tabla_control[[#This Row],[LOTE]])=1,INDEX(Tabla_imprenta[FORMA FARMACEUTICA],MATCH(Tabla_control[[#This Row],[LOTE]],Tabla_imprenta[LOTE],0)),"REALIZADO")</f>
        <v>CREMA VAGINAL</v>
      </c>
      <c r="E588" s="177" t="str">
        <f>IF(COUNTIF(Tabla_imprenta[LOTE],Tabla_control[[#This Row],[LOTE]])=1,INDEX(Tabla_imprenta[INSTITUCIÓN],MATCH(Tabla_control[[#This Row],[LOTE]],Tabla_imprenta[LOTE],0)),"REALIZADO")</f>
        <v>COMERCIO</v>
      </c>
      <c r="F588" s="229" t="s">
        <v>5558</v>
      </c>
      <c r="G588" s="139">
        <f>IF(COUNTIF(Tabla_imprenta[LOTE],Tabla_control[[#This Row],[LOTE]])=1,INDEX(Tabla_imprenta[CANTIDAD ENVASE SECUNDARIO],MATCH(Tabla_control[[#This Row],[LOTE]],Tabla_imprenta[LOTE],0)),"ENTREGADO")</f>
        <v>1700</v>
      </c>
      <c r="H588" s="139">
        <f>IF(COUNTIF(Tabla_imprenta[LOTE],Tabla_control[[#This Row],[LOTE]])=1,INDEX(Tabla_imprenta[stock sap],MATCH(Tabla_control[[#This Row],[LOTE]],Tabla_imprenta[LOTE],0)),"ENTREGADO")</f>
        <v>600</v>
      </c>
      <c r="I588" s="139" t="str">
        <f>IF(Tabla_control[[#This Row],[STOCK SAP]]&gt;Tabla_control[[#This Row],[CANTIDAD IMPRIMIR]],"cubre","no cubre")</f>
        <v>no cubre</v>
      </c>
      <c r="J588" s="182">
        <f>IF(COUNTIF(Tabla_imprenta[LOTE],Tabla_control[[#This Row],[LOTE]])=1,INDEX(Tabla_imprenta[STOCK],MATCH(Tabla_control[[#This Row],[LOTE]],Tabla_imprenta[LOTE],0)),"ENTREGADO")</f>
        <v>3.8038237738985874</v>
      </c>
      <c r="K58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88" s="148">
        <f>INDEX(Tabla_imprenta[FECHA CAJA],MATCH(Tabla_control[[#This Row],[LOTE]],Tabla_imprenta[LOTE],0))</f>
        <v>0</v>
      </c>
      <c r="M58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58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58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49</v>
      </c>
      <c r="P588" s="170">
        <f>ROUNDUP(Tabla_control[[#This Row],[CANTIDAD IMPRIMIR]]/Tabla_control[[#This Row],[N TJ]],0)</f>
        <v>1700</v>
      </c>
      <c r="Q588" s="170">
        <f>IF(Tabla_control[[#This Row],[CANTIDAD TIRAJE]]&gt;10000,Tabla_control[[#This Row],[CANTIDAD TIRAJE]],Tabla_control[[#This Row],[CANTIDAD TIRAJE]]*2)</f>
        <v>3400</v>
      </c>
      <c r="R588" s="186" t="s">
        <v>175</v>
      </c>
      <c r="S588" s="4" t="s">
        <v>174</v>
      </c>
      <c r="T588" s="4"/>
      <c r="U588" s="4"/>
      <c r="V588" s="4"/>
      <c r="W588" s="185" t="s">
        <v>2983</v>
      </c>
      <c r="X588" s="185" t="s">
        <v>88</v>
      </c>
      <c r="Y588" s="185" t="s">
        <v>88</v>
      </c>
      <c r="Z588" s="185" t="s">
        <v>88</v>
      </c>
      <c r="AA588" s="186" t="s">
        <v>171</v>
      </c>
      <c r="AB588" s="184" t="s">
        <v>5700</v>
      </c>
    </row>
    <row r="589" spans="1:28" x14ac:dyDescent="0.2">
      <c r="A589" s="175">
        <f>IF(COUNTIF(Tabla_imprenta[LOTE],Tabla_control[[#This Row],[LOTE]])=1,INDEX(Tabla_imprenta[FECHA EMISIÓN],MATCH(Tabla_control[[#This Row],[LOTE]],Tabla_imprenta[LOTE],0)),"REALIZADO")</f>
        <v>46143</v>
      </c>
      <c r="B589" s="142">
        <f>IF(COUNTIF(Tabla_imprenta[LOTE],Tabla_control[[#This Row],[LOTE]])=1,INDEX(Tabla_imprenta[CÓD. SOLICITUD],MATCH(Tabla_control[[#This Row],[LOTE]],Tabla_imprenta[LOTE],0)),"REALIZADO")</f>
        <v>0</v>
      </c>
      <c r="C589" s="177" t="str">
        <f>IF(COUNTIF(Tabla_imprenta[LOTE],Tabla_control[[#This Row],[LOTE]])=1,INDEX(Tabla_imprenta[PRODUCTO],MATCH(Tabla_control[[#This Row],[LOTE]],Tabla_imprenta[LOTE],0)),"REALIZADO")</f>
        <v>CEFABIOTIC X 100 ML POLVO PARA SUSP. + DILUYENTE</v>
      </c>
      <c r="D589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589" s="177" t="str">
        <f>IF(COUNTIF(Tabla_imprenta[LOTE],Tabla_control[[#This Row],[LOTE]])=1,INDEX(Tabla_imprenta[INSTITUCIÓN],MATCH(Tabla_control[[#This Row],[LOTE]],Tabla_imprenta[LOTE],0)),"REALIZADO")</f>
        <v>COMERCIO</v>
      </c>
      <c r="F589" s="229" t="s">
        <v>5595</v>
      </c>
      <c r="G589" s="139">
        <f>IF(COUNTIF(Tabla_imprenta[LOTE],Tabla_control[[#This Row],[LOTE]])=1,INDEX(Tabla_imprenta[CANTIDAD ENVASE SECUNDARIO],MATCH(Tabla_control[[#This Row],[LOTE]],Tabla_imprenta[LOTE],0)),"ENTREGADO")</f>
        <v>1000</v>
      </c>
      <c r="H589" s="139">
        <f>IF(COUNTIF(Tabla_imprenta[LOTE],Tabla_control[[#This Row],[LOTE]])=1,INDEX(Tabla_imprenta[stock sap],MATCH(Tabla_control[[#This Row],[LOTE]],Tabla_imprenta[LOTE],0)),"ENTREGADO")</f>
        <v>201</v>
      </c>
      <c r="I589" s="139" t="str">
        <f>IF(Tabla_control[[#This Row],[STOCK SAP]]&gt;Tabla_control[[#This Row],[CANTIDAD IMPRIMIR]],"cubre","no cubre")</f>
        <v>no cubre</v>
      </c>
      <c r="J589" s="182">
        <f>IF(COUNTIF(Tabla_imprenta[LOTE],Tabla_control[[#This Row],[LOTE]])=1,INDEX(Tabla_imprenta[STOCK],MATCH(Tabla_control[[#This Row],[LOTE]],Tabla_imprenta[LOTE],0)),"ENTREGADO")</f>
        <v>3.6761180941245257</v>
      </c>
      <c r="K58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89" s="148">
        <f>INDEX(Tabla_imprenta[FECHA CAJA],MATCH(Tabla_control[[#This Row],[LOTE]],Tabla_imprenta[LOTE],0))</f>
        <v>0</v>
      </c>
      <c r="M58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58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8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72</v>
      </c>
      <c r="P589" s="170">
        <f>ROUNDUP(Tabla_control[[#This Row],[CANTIDAD IMPRIMIR]]/Tabla_control[[#This Row],[N TJ]],0)</f>
        <v>500</v>
      </c>
      <c r="Q589" s="170">
        <f>IF(Tabla_control[[#This Row],[CANTIDAD TIRAJE]]&gt;10000,Tabla_control[[#This Row],[CANTIDAD TIRAJE]],Tabla_control[[#This Row],[CANTIDAD TIRAJE]]*2)</f>
        <v>1000</v>
      </c>
      <c r="R589" s="186" t="s">
        <v>177</v>
      </c>
      <c r="S589" s="4" t="s">
        <v>31</v>
      </c>
      <c r="T589" s="4"/>
      <c r="U589" s="4"/>
      <c r="V589" s="4"/>
      <c r="W589" s="185" t="s">
        <v>5721</v>
      </c>
      <c r="X589" s="185"/>
      <c r="Y589" s="185"/>
      <c r="Z589" s="185"/>
      <c r="AA589" s="186" t="s">
        <v>171</v>
      </c>
      <c r="AB589" s="184" t="s">
        <v>5700</v>
      </c>
    </row>
    <row r="590" spans="1:28" hidden="1" x14ac:dyDescent="0.2">
      <c r="A590" s="175">
        <f>IF(COUNTIF(Tabla_imprenta[LOTE],Tabla_control[[#This Row],[LOTE]])=1,INDEX(Tabla_imprenta[FECHA EMISIÓN],MATCH(Tabla_control[[#This Row],[LOTE]],Tabla_imprenta[LOTE],0)),"REALIZADO")</f>
        <v>46143</v>
      </c>
      <c r="B590" s="142">
        <f>IF(COUNTIF(Tabla_imprenta[LOTE],Tabla_control[[#This Row],[LOTE]])=1,INDEX(Tabla_imprenta[CÓD. SOLICITUD],MATCH(Tabla_control[[#This Row],[LOTE]],Tabla_imprenta[LOTE],0)),"REALIZADO")</f>
        <v>0</v>
      </c>
      <c r="C590" s="177" t="str">
        <f>IF(COUNTIF(Tabla_imprenta[LOTE],Tabla_control[[#This Row],[LOTE]])=1,INDEX(Tabla_imprenta[PRODUCTO],MATCH(Tabla_control[[#This Row],[LOTE]],Tabla_imprenta[LOTE],0)),"REALIZADO")</f>
        <v>AMOXICILINA 500 MG X 60 ML POLVO PARA SUSP.</v>
      </c>
      <c r="D590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590" s="177" t="str">
        <f>IF(COUNTIF(Tabla_imprenta[LOTE],Tabla_control[[#This Row],[LOTE]])=1,INDEX(Tabla_imprenta[INSTITUCIÓN],MATCH(Tabla_control[[#This Row],[LOTE]],Tabla_imprenta[LOTE],0)),"REALIZADO")</f>
        <v>COMERCIO</v>
      </c>
      <c r="F590" s="229" t="s">
        <v>5357</v>
      </c>
      <c r="G590" s="139">
        <f>IF(COUNTIF(Tabla_imprenta[LOTE],Tabla_control[[#This Row],[LOTE]])=1,INDEX(Tabla_imprenta[CANTIDAD ENVASE SECUNDARIO],MATCH(Tabla_control[[#This Row],[LOTE]],Tabla_imprenta[LOTE],0)),"ENTREGADO")</f>
        <v>24000</v>
      </c>
      <c r="H590" s="139">
        <f>IF(COUNTIF(Tabla_imprenta[LOTE],Tabla_control[[#This Row],[LOTE]])=1,INDEX(Tabla_imprenta[stock sap],MATCH(Tabla_control[[#This Row],[LOTE]],Tabla_imprenta[LOTE],0)),"ENTREGADO")</f>
        <v>1593</v>
      </c>
      <c r="I590" s="139" t="str">
        <f>IF(Tabla_control[[#This Row],[STOCK SAP]]&gt;Tabla_control[[#This Row],[CANTIDAD IMPRIMIR]],"cubre","no cubre")</f>
        <v>no cubre</v>
      </c>
      <c r="J590" s="182">
        <f>IF(COUNTIF(Tabla_imprenta[LOTE],Tabla_control[[#This Row],[LOTE]])=1,INDEX(Tabla_imprenta[STOCK],MATCH(Tabla_control[[#This Row],[LOTE]],Tabla_imprenta[LOTE],0)),"ENTREGADO")</f>
        <v>4.0707319864516398</v>
      </c>
      <c r="K59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90" s="148">
        <f>INDEX(Tabla_imprenta[FECHA CAJA],MATCH(Tabla_control[[#This Row],[LOTE]],Tabla_imprenta[LOTE],0))</f>
        <v>46152</v>
      </c>
      <c r="M59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9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9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</v>
      </c>
      <c r="P590" s="170">
        <f>ROUNDUP(Tabla_control[[#This Row],[CANTIDAD IMPRIMIR]]/Tabla_control[[#This Row],[N TJ]],0)</f>
        <v>6000</v>
      </c>
      <c r="Q590" s="170">
        <f>IF(Tabla_control[[#This Row],[CANTIDAD TIRAJE]]&gt;10000,Tabla_control[[#This Row],[CANTIDAD TIRAJE]],Tabla_control[[#This Row],[CANTIDAD TIRAJE]]*2)</f>
        <v>12000</v>
      </c>
      <c r="R590" s="186" t="s">
        <v>172</v>
      </c>
      <c r="S590" s="4" t="s">
        <v>31</v>
      </c>
      <c r="T590" s="4"/>
      <c r="U590" s="4"/>
      <c r="V590" s="4"/>
      <c r="W590" s="185" t="s">
        <v>3223</v>
      </c>
      <c r="X590" s="185"/>
      <c r="Y590" s="185"/>
      <c r="Z590" s="185"/>
      <c r="AA590" s="186" t="s">
        <v>2031</v>
      </c>
      <c r="AB590" s="184" t="s">
        <v>4464</v>
      </c>
    </row>
    <row r="591" spans="1:28" hidden="1" x14ac:dyDescent="0.2">
      <c r="A591" s="175">
        <f>IF(COUNTIF(Tabla_imprenta[LOTE],Tabla_control[[#This Row],[LOTE]])=1,INDEX(Tabla_imprenta[FECHA EMISIÓN],MATCH(Tabla_control[[#This Row],[LOTE]],Tabla_imprenta[LOTE],0)),"REALIZADO")</f>
        <v>46143</v>
      </c>
      <c r="B591" s="142">
        <f>IF(COUNTIF(Tabla_imprenta[LOTE],Tabla_control[[#This Row],[LOTE]])=1,INDEX(Tabla_imprenta[CÓD. SOLICITUD],MATCH(Tabla_control[[#This Row],[LOTE]],Tabla_imprenta[LOTE],0)),"REALIZADO")</f>
        <v>0</v>
      </c>
      <c r="C591" s="177" t="str">
        <f>IF(COUNTIF(Tabla_imprenta[LOTE],Tabla_control[[#This Row],[LOTE]])=1,INDEX(Tabla_imprenta[PRODUCTO],MATCH(Tabla_control[[#This Row],[LOTE]],Tabla_imprenta[LOTE],0)),"REALIZADO")</f>
        <v>AMOXICILINA 500 MG X 60 ML POLVO PARA SUSP.</v>
      </c>
      <c r="D591" s="142" t="str">
        <f>IF(COUNTIF(Tabla_imprenta[LOTE],Tabla_control[[#This Row],[LOTE]])=1,INDEX(Tabla_imprenta[FORMA FARMACEUTICA],MATCH(Tabla_control[[#This Row],[LOTE]],Tabla_imprenta[LOTE],0)),"REALIZADO")</f>
        <v>POLVO PARA SUSPENSIÓN</v>
      </c>
      <c r="E591" s="177" t="str">
        <f>IF(COUNTIF(Tabla_imprenta[LOTE],Tabla_control[[#This Row],[LOTE]])=1,INDEX(Tabla_imprenta[INSTITUCIÓN],MATCH(Tabla_control[[#This Row],[LOTE]],Tabla_imprenta[LOTE],0)),"REALIZADO")</f>
        <v>COMERCIO</v>
      </c>
      <c r="F591" s="229" t="s">
        <v>5358</v>
      </c>
      <c r="G591" s="139">
        <f>IF(COUNTIF(Tabla_imprenta[LOTE],Tabla_control[[#This Row],[LOTE]])=1,INDEX(Tabla_imprenta[CANTIDAD ENVASE SECUNDARIO],MATCH(Tabla_control[[#This Row],[LOTE]],Tabla_imprenta[LOTE],0)),"ENTREGADO")</f>
        <v>24000</v>
      </c>
      <c r="H591" s="139">
        <f>IF(COUNTIF(Tabla_imprenta[LOTE],Tabla_control[[#This Row],[LOTE]])=1,INDEX(Tabla_imprenta[stock sap],MATCH(Tabla_control[[#This Row],[LOTE]],Tabla_imprenta[LOTE],0)),"ENTREGADO")</f>
        <v>1593</v>
      </c>
      <c r="I591" s="139" t="str">
        <f>IF(Tabla_control[[#This Row],[STOCK SAP]]&gt;Tabla_control[[#This Row],[CANTIDAD IMPRIMIR]],"cubre","no cubre")</f>
        <v>no cubre</v>
      </c>
      <c r="J591" s="182">
        <f>IF(COUNTIF(Tabla_imprenta[LOTE],Tabla_control[[#This Row],[LOTE]])=1,INDEX(Tabla_imprenta[STOCK],MATCH(Tabla_control[[#This Row],[LOTE]],Tabla_imprenta[LOTE],0)),"ENTREGADO")</f>
        <v>4.0707319864516398</v>
      </c>
      <c r="K59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91" s="148">
        <f>INDEX(Tabla_imprenta[FECHA CAJA],MATCH(Tabla_control[[#This Row],[LOTE]],Tabla_imprenta[LOTE],0))</f>
        <v>46158</v>
      </c>
      <c r="M59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9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9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3</v>
      </c>
      <c r="P591" s="170">
        <f>ROUNDUP(Tabla_control[[#This Row],[CANTIDAD IMPRIMIR]]/Tabla_control[[#This Row],[N TJ]],0)</f>
        <v>6000</v>
      </c>
      <c r="Q591" s="170">
        <f>IF(Tabla_control[[#This Row],[CANTIDAD TIRAJE]]&gt;10000,Tabla_control[[#This Row],[CANTIDAD TIRAJE]],Tabla_control[[#This Row],[CANTIDAD TIRAJE]]*2)</f>
        <v>12000</v>
      </c>
      <c r="R591" s="186" t="s">
        <v>172</v>
      </c>
      <c r="S591" s="4" t="s">
        <v>31</v>
      </c>
      <c r="T591" s="4"/>
      <c r="U591" s="4"/>
      <c r="V591" s="4"/>
      <c r="W591" s="185" t="s">
        <v>3223</v>
      </c>
      <c r="X591" s="185"/>
      <c r="Y591" s="185"/>
      <c r="Z591" s="185"/>
      <c r="AA591" s="186" t="s">
        <v>2031</v>
      </c>
      <c r="AB591" s="184" t="s">
        <v>4464</v>
      </c>
    </row>
    <row r="592" spans="1:28" x14ac:dyDescent="0.2">
      <c r="A592" s="175">
        <f>IF(COUNTIF(Tabla_imprenta[LOTE],Tabla_control[[#This Row],[LOTE]])=1,INDEX(Tabla_imprenta[FECHA EMISIÓN],MATCH(Tabla_control[[#This Row],[LOTE]],Tabla_imprenta[LOTE],0)),"REALIZADO")</f>
        <v>46143</v>
      </c>
      <c r="B592" s="142">
        <f>IF(COUNTIF(Tabla_imprenta[LOTE],Tabla_control[[#This Row],[LOTE]])=1,INDEX(Tabla_imprenta[CÓD. SOLICITUD],MATCH(Tabla_control[[#This Row],[LOTE]],Tabla_imprenta[LOTE],0)),"REALIZADO")</f>
        <v>0</v>
      </c>
      <c r="C592" s="177" t="str">
        <f>IF(COUNTIF(Tabla_imprenta[LOTE],Tabla_control[[#This Row],[LOTE]])=1,INDEX(Tabla_imprenta[PRODUCTO],MATCH(Tabla_control[[#This Row],[LOTE]],Tabla_imprenta[LOTE],0)),"REALIZADO")</f>
        <v>KALENDA X 10 G CREMA VAGINAL MM</v>
      </c>
      <c r="D592" s="142" t="str">
        <f>IF(COUNTIF(Tabla_imprenta[LOTE],Tabla_control[[#This Row],[LOTE]])=1,INDEX(Tabla_imprenta[FORMA FARMACEUTICA],MATCH(Tabla_control[[#This Row],[LOTE]],Tabla_imprenta[LOTE],0)),"REALIZADO")</f>
        <v>CREMA VAGINAL</v>
      </c>
      <c r="E592" s="177" t="str">
        <f>IF(COUNTIF(Tabla_imprenta[LOTE],Tabla_control[[#This Row],[LOTE]])=1,INDEX(Tabla_imprenta[INSTITUCIÓN],MATCH(Tabla_control[[#This Row],[LOTE]],Tabla_imprenta[LOTE],0)),"REALIZADO")</f>
        <v>MM-2026</v>
      </c>
      <c r="F592" s="229" t="s">
        <v>5563</v>
      </c>
      <c r="G592" s="139">
        <f>IF(COUNTIF(Tabla_imprenta[LOTE],Tabla_control[[#This Row],[LOTE]])=1,INDEX(Tabla_imprenta[CANTIDAD ENVASE SECUNDARIO],MATCH(Tabla_control[[#This Row],[LOTE]],Tabla_imprenta[LOTE],0)),"ENTREGADO")</f>
        <v>10000</v>
      </c>
      <c r="H592" s="139">
        <f>IF(COUNTIF(Tabla_imprenta[LOTE],Tabla_control[[#This Row],[LOTE]])=1,INDEX(Tabla_imprenta[stock sap],MATCH(Tabla_control[[#This Row],[LOTE]],Tabla_imprenta[LOTE],0)),"ENTREGADO")</f>
        <v>1634</v>
      </c>
      <c r="I592" s="139" t="str">
        <f>IF(Tabla_control[[#This Row],[STOCK SAP]]&gt;Tabla_control[[#This Row],[CANTIDAD IMPRIMIR]],"cubre","no cubre")</f>
        <v>no cubre</v>
      </c>
      <c r="J592" s="182">
        <f>IF(COUNTIF(Tabla_imprenta[LOTE],Tabla_control[[#This Row],[LOTE]])=1,INDEX(Tabla_imprenta[STOCK],MATCH(Tabla_control[[#This Row],[LOTE]],Tabla_imprenta[LOTE],0)),"ENTREGADO")</f>
        <v>4.1966887417218546</v>
      </c>
      <c r="K59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92" s="148">
        <f>INDEX(Tabla_imprenta[FECHA CAJA],MATCH(Tabla_control[[#This Row],[LOTE]],Tabla_imprenta[LOTE],0))</f>
        <v>0</v>
      </c>
      <c r="M59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59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4</v>
      </c>
      <c r="O59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6</v>
      </c>
      <c r="P592" s="170">
        <f>ROUNDUP(Tabla_control[[#This Row],[CANTIDAD IMPRIMIR]]/Tabla_control[[#This Row],[N TJ]],0)</f>
        <v>2500</v>
      </c>
      <c r="Q592" s="170">
        <f>IF(Tabla_control[[#This Row],[CANTIDAD TIRAJE]]&gt;10000,Tabla_control[[#This Row],[CANTIDAD TIRAJE]],Tabla_control[[#This Row],[CANTIDAD TIRAJE]]*2)</f>
        <v>5000</v>
      </c>
      <c r="R592" s="186" t="s">
        <v>175</v>
      </c>
      <c r="S592" s="4" t="s">
        <v>174</v>
      </c>
      <c r="T592" s="4"/>
      <c r="U592" s="4"/>
      <c r="V592" s="4"/>
      <c r="W592" s="185" t="s">
        <v>2983</v>
      </c>
      <c r="X592" s="185" t="s">
        <v>88</v>
      </c>
      <c r="Y592" s="185" t="s">
        <v>88</v>
      </c>
      <c r="Z592" s="185" t="s">
        <v>88</v>
      </c>
      <c r="AA592" s="186" t="s">
        <v>171</v>
      </c>
      <c r="AB592" s="184" t="s">
        <v>5700</v>
      </c>
    </row>
    <row r="593" spans="1:28" hidden="1" x14ac:dyDescent="0.2">
      <c r="A593" s="175">
        <f>IF(COUNTIF(Tabla_imprenta[LOTE],Tabla_control[[#This Row],[LOTE]])=1,INDEX(Tabla_imprenta[FECHA EMISIÓN],MATCH(Tabla_control[[#This Row],[LOTE]],Tabla_imprenta[LOTE],0)),"REALIZADO")</f>
        <v>46113</v>
      </c>
      <c r="B593" s="142">
        <f>IF(COUNTIF(Tabla_imprenta[LOTE],Tabla_control[[#This Row],[LOTE]])=1,INDEX(Tabla_imprenta[CÓD. SOLICITUD],MATCH(Tabla_control[[#This Row],[LOTE]],Tabla_imprenta[LOTE],0)),"REALIZADO")</f>
        <v>0</v>
      </c>
      <c r="C593" s="177" t="str">
        <f>IF(COUNTIF(Tabla_imprenta[LOTE],Tabla_control[[#This Row],[LOTE]])=1,INDEX(Tabla_imprenta[PRODUCTO],MATCH(Tabla_control[[#This Row],[LOTE]],Tabla_imprenta[LOTE],0)),"REALIZADO")</f>
        <v>RELEVOX 20 MG X 2 CAP. DURAS MM</v>
      </c>
      <c r="D593" s="142" t="str">
        <f>IF(COUNTIF(Tabla_imprenta[LOTE],Tabla_control[[#This Row],[LOTE]])=1,INDEX(Tabla_imprenta[FORMA FARMACEUTICA],MATCH(Tabla_control[[#This Row],[LOTE]],Tabla_imprenta[LOTE],0)),"REALIZADO")</f>
        <v>CÁPSULA DE LIBERACION RETARDADA</v>
      </c>
      <c r="E593" s="177" t="str">
        <f>IF(COUNTIF(Tabla_imprenta[LOTE],Tabla_control[[#This Row],[LOTE]])=1,INDEX(Tabla_imprenta[INSTITUCIÓN],MATCH(Tabla_control[[#This Row],[LOTE]],Tabla_imprenta[LOTE],0)),"REALIZADO")</f>
        <v>MM-2026</v>
      </c>
      <c r="F593" s="181" t="s">
        <v>3020</v>
      </c>
      <c r="G593" s="139">
        <f>IF(COUNTIF(Tabla_imprenta[LOTE],Tabla_control[[#This Row],[LOTE]])=1,INDEX(Tabla_imprenta[CANTIDAD ENVASE SECUNDARIO],MATCH(Tabla_control[[#This Row],[LOTE]],Tabla_imprenta[LOTE],0)),"ENTREGADO")</f>
        <v>14000</v>
      </c>
      <c r="H593" s="139">
        <f>IF(COUNTIF(Tabla_imprenta[LOTE],Tabla_control[[#This Row],[LOTE]])=1,INDEX(Tabla_imprenta[stock sap],MATCH(Tabla_control[[#This Row],[LOTE]],Tabla_imprenta[LOTE],0)),"ENTREGADO")</f>
        <v>1503</v>
      </c>
      <c r="I593" s="139" t="str">
        <f>IF(Tabla_control[[#This Row],[STOCK SAP]]&gt;Tabla_control[[#This Row],[CANTIDAD IMPRIMIR]],"cubre","no cubre")</f>
        <v>no cubre</v>
      </c>
      <c r="J593" s="182">
        <f>IF(COUNTIF(Tabla_imprenta[LOTE],Tabla_control[[#This Row],[LOTE]])=1,INDEX(Tabla_imprenta[STOCK],MATCH(Tabla_control[[#This Row],[LOTE]],Tabla_imprenta[LOTE],0)),"ENTREGADO")</f>
        <v>4.3123325180952259</v>
      </c>
      <c r="K593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93" s="148">
        <f>INDEX(Tabla_imprenta[FECHA CAJA],MATCH(Tabla_control[[#This Row],[LOTE]],Tabla_imprenta[LOTE],0))</f>
        <v>46157</v>
      </c>
      <c r="M593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93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593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</v>
      </c>
      <c r="P593" s="170">
        <f>ROUNDUP(Tabla_control[[#This Row],[CANTIDAD IMPRIMIR]]/Tabla_control[[#This Row],[N TJ]],0)</f>
        <v>2334</v>
      </c>
      <c r="Q593" s="170">
        <f>IF(Tabla_control[[#This Row],[CANTIDAD TIRAJE]]&gt;10000,Tabla_control[[#This Row],[CANTIDAD TIRAJE]],Tabla_control[[#This Row],[CANTIDAD TIRAJE]]*2)</f>
        <v>4668</v>
      </c>
      <c r="R593" s="186" t="s">
        <v>173</v>
      </c>
      <c r="S593" s="4" t="s">
        <v>174</v>
      </c>
      <c r="T593" s="4"/>
      <c r="U593" s="4"/>
      <c r="V593" s="4"/>
      <c r="W593" s="185" t="s">
        <v>3223</v>
      </c>
      <c r="X593" s="185"/>
      <c r="Y593" s="185"/>
      <c r="Z593" s="185"/>
      <c r="AA593" s="186" t="s">
        <v>2031</v>
      </c>
      <c r="AB593" s="184" t="s">
        <v>3222</v>
      </c>
    </row>
    <row r="594" spans="1:28" x14ac:dyDescent="0.2">
      <c r="A594" s="175">
        <f>IF(COUNTIF(Tabla_imprenta[LOTE],Tabla_control[[#This Row],[LOTE]])=1,INDEX(Tabla_imprenta[FECHA EMISIÓN],MATCH(Tabla_control[[#This Row],[LOTE]],Tabla_imprenta[LOTE],0)),"REALIZADO")</f>
        <v>46143</v>
      </c>
      <c r="B594" s="142">
        <f>IF(COUNTIF(Tabla_imprenta[LOTE],Tabla_control[[#This Row],[LOTE]])=1,INDEX(Tabla_imprenta[CÓD. SOLICITUD],MATCH(Tabla_control[[#This Row],[LOTE]],Tabla_imprenta[LOTE],0)),"REALIZADO")</f>
        <v>0</v>
      </c>
      <c r="C594" s="177" t="str">
        <f>IF(COUNTIF(Tabla_imprenta[LOTE],Tabla_control[[#This Row],[LOTE]])=1,INDEX(Tabla_imprenta[PRODUCTO],MATCH(Tabla_control[[#This Row],[LOTE]],Tabla_imprenta[LOTE],0)),"REALIZADO")</f>
        <v>EXAMILL DERM X 10 G CREMA DERMICA MM</v>
      </c>
      <c r="D594" s="142" t="str">
        <f>IF(COUNTIF(Tabla_imprenta[LOTE],Tabla_control[[#This Row],[LOTE]])=1,INDEX(Tabla_imprenta[FORMA FARMACEUTICA],MATCH(Tabla_control[[#This Row],[LOTE]],Tabla_imprenta[LOTE],0)),"REALIZADO")</f>
        <v>FORMA COSMETICA: EMULSION</v>
      </c>
      <c r="E594" s="177" t="str">
        <f>IF(COUNTIF(Tabla_imprenta[LOTE],Tabla_control[[#This Row],[LOTE]])=1,INDEX(Tabla_imprenta[INSTITUCIÓN],MATCH(Tabla_control[[#This Row],[LOTE]],Tabla_imprenta[LOTE],0)),"REALIZADO")</f>
        <v>MM-2026</v>
      </c>
      <c r="F594" s="229" t="s">
        <v>5615</v>
      </c>
      <c r="G594" s="139">
        <f>IF(COUNTIF(Tabla_imprenta[LOTE],Tabla_control[[#This Row],[LOTE]])=1,INDEX(Tabla_imprenta[CANTIDAD ENVASE SECUNDARIO],MATCH(Tabla_control[[#This Row],[LOTE]],Tabla_imprenta[LOTE],0)),"ENTREGADO")</f>
        <v>10000</v>
      </c>
      <c r="H594" s="139">
        <f>IF(COUNTIF(Tabla_imprenta[LOTE],Tabla_control[[#This Row],[LOTE]])=1,INDEX(Tabla_imprenta[stock sap],MATCH(Tabla_control[[#This Row],[LOTE]],Tabla_imprenta[LOTE],0)),"ENTREGADO")</f>
        <v>2658</v>
      </c>
      <c r="I594" s="139" t="str">
        <f>IF(Tabla_control[[#This Row],[STOCK SAP]]&gt;Tabla_control[[#This Row],[CANTIDAD IMPRIMIR]],"cubre","no cubre")</f>
        <v>no cubre</v>
      </c>
      <c r="J594" s="182">
        <f>IF(COUNTIF(Tabla_imprenta[LOTE],Tabla_control[[#This Row],[LOTE]])=1,INDEX(Tabla_imprenta[STOCK],MATCH(Tabla_control[[#This Row],[LOTE]],Tabla_imprenta[LOTE],0)),"ENTREGADO")</f>
        <v>4.3597526555077408</v>
      </c>
      <c r="K594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94" s="148">
        <f>INDEX(Tabla_imprenta[FECHA CAJA],MATCH(Tabla_control[[#This Row],[LOTE]],Tabla_imprenta[LOTE],0))</f>
        <v>0</v>
      </c>
      <c r="M594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LÍNEA GENERAL</v>
      </c>
      <c r="N594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594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12</v>
      </c>
      <c r="P594" s="170">
        <f>ROUNDUP(Tabla_control[[#This Row],[CANTIDAD IMPRIMIR]]/Tabla_control[[#This Row],[N TJ]],0)</f>
        <v>1667</v>
      </c>
      <c r="Q594" s="170">
        <f>IF(Tabla_control[[#This Row],[CANTIDAD TIRAJE]]&gt;10000,Tabla_control[[#This Row],[CANTIDAD TIRAJE]],Tabla_control[[#This Row],[CANTIDAD TIRAJE]]*2)</f>
        <v>3334</v>
      </c>
      <c r="R594" s="186" t="s">
        <v>173</v>
      </c>
      <c r="S594" s="4" t="s">
        <v>174</v>
      </c>
      <c r="T594" s="4"/>
      <c r="U594" s="4"/>
      <c r="V594" s="4"/>
      <c r="W594" s="185" t="s">
        <v>2984</v>
      </c>
      <c r="X594" s="185" t="s">
        <v>88</v>
      </c>
      <c r="Y594" s="185" t="s">
        <v>88</v>
      </c>
      <c r="Z594" s="185" t="s">
        <v>88</v>
      </c>
      <c r="AA594" s="186" t="s">
        <v>171</v>
      </c>
      <c r="AB594" s="184" t="s">
        <v>5700</v>
      </c>
    </row>
    <row r="595" spans="1:28" x14ac:dyDescent="0.2">
      <c r="A595" s="175">
        <f>IF(COUNTIF(Tabla_imprenta[LOTE],Tabla_control[[#This Row],[LOTE]])=1,INDEX(Tabla_imprenta[FECHA EMISIÓN],MATCH(Tabla_control[[#This Row],[LOTE]],Tabla_imprenta[LOTE],0)),"REALIZADO")</f>
        <v>46143</v>
      </c>
      <c r="B595" s="142">
        <f>IF(COUNTIF(Tabla_imprenta[LOTE],Tabla_control[[#This Row],[LOTE]])=1,INDEX(Tabla_imprenta[CÓD. SOLICITUD],MATCH(Tabla_control[[#This Row],[LOTE]],Tabla_imprenta[LOTE],0)),"REALIZADO")</f>
        <v>0</v>
      </c>
      <c r="C595" s="177" t="str">
        <f>IF(COUNTIF(Tabla_imprenta[LOTE],Tabla_control[[#This Row],[LOTE]])=1,INDEX(Tabla_imprenta[PRODUCTO],MATCH(Tabla_control[[#This Row],[LOTE]],Tabla_imprenta[LOTE],0)),"REALIZADO")</f>
        <v>METOCLOPRAMIDA 5 MG X 20 ML GOTAS</v>
      </c>
      <c r="D595" s="142" t="str">
        <f>IF(COUNTIF(Tabla_imprenta[LOTE],Tabla_control[[#This Row],[LOTE]])=1,INDEX(Tabla_imprenta[FORMA FARMACEUTICA],MATCH(Tabla_control[[#This Row],[LOTE]],Tabla_imprenta[LOTE],0)),"REALIZADO")</f>
        <v>GOTAS</v>
      </c>
      <c r="E595" s="177" t="str">
        <f>IF(COUNTIF(Tabla_imprenta[LOTE],Tabla_control[[#This Row],[LOTE]])=1,INDEX(Tabla_imprenta[INSTITUCIÓN],MATCH(Tabla_control[[#This Row],[LOTE]],Tabla_imprenta[LOTE],0)),"REALIZADO")</f>
        <v>COMERCIO</v>
      </c>
      <c r="F595" s="229" t="s">
        <v>5670</v>
      </c>
      <c r="G595" s="139">
        <f>IF(COUNTIF(Tabla_imprenta[LOTE],Tabla_control[[#This Row],[LOTE]])=1,INDEX(Tabla_imprenta[CANTIDAD ENVASE SECUNDARIO],MATCH(Tabla_control[[#This Row],[LOTE]],Tabla_imprenta[LOTE],0)),"ENTREGADO")</f>
        <v>14285</v>
      </c>
      <c r="H595" s="139">
        <f>IF(COUNTIF(Tabla_imprenta[LOTE],Tabla_control[[#This Row],[LOTE]])=1,INDEX(Tabla_imprenta[stock sap],MATCH(Tabla_control[[#This Row],[LOTE]],Tabla_imprenta[LOTE],0)),"ENTREGADO")</f>
        <v>950</v>
      </c>
      <c r="I595" s="139" t="str">
        <f>IF(Tabla_control[[#This Row],[STOCK SAP]]&gt;Tabla_control[[#This Row],[CANTIDAD IMPRIMIR]],"cubre","no cubre")</f>
        <v>no cubre</v>
      </c>
      <c r="J595" s="182">
        <f>IF(COUNTIF(Tabla_imprenta[LOTE],Tabla_control[[#This Row],[LOTE]])=1,INDEX(Tabla_imprenta[STOCK],MATCH(Tabla_control[[#This Row],[LOTE]],Tabla_imprenta[LOTE],0)),"ENTREGADO")</f>
        <v>4.587473692623278</v>
      </c>
      <c r="K595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95" s="148">
        <f>INDEX(Tabla_imprenta[FECHA CAJA],MATCH(Tabla_control[[#This Row],[LOTE]],Tabla_imprenta[LOTE],0))</f>
        <v>0</v>
      </c>
      <c r="M595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GENÉRICO</v>
      </c>
      <c r="N595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6</v>
      </c>
      <c r="O595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25</v>
      </c>
      <c r="P595" s="170">
        <f>ROUNDUP(Tabla_control[[#This Row],[CANTIDAD IMPRIMIR]]/Tabla_control[[#This Row],[N TJ]],0)</f>
        <v>2381</v>
      </c>
      <c r="Q595" s="170">
        <f>IF(Tabla_control[[#This Row],[CANTIDAD TIRAJE]]&gt;10000,Tabla_control[[#This Row],[CANTIDAD TIRAJE]],Tabla_control[[#This Row],[CANTIDAD TIRAJE]]*2)</f>
        <v>4762</v>
      </c>
      <c r="R595" s="186" t="s">
        <v>172</v>
      </c>
      <c r="S595" s="4" t="s">
        <v>30</v>
      </c>
      <c r="T595" s="4"/>
      <c r="U595" s="4"/>
      <c r="V595" s="4"/>
      <c r="W595" s="185" t="s">
        <v>22</v>
      </c>
      <c r="X595" s="185"/>
      <c r="Y595" s="185"/>
      <c r="Z595" s="185"/>
      <c r="AA595" s="186" t="s">
        <v>171</v>
      </c>
      <c r="AB595" s="184" t="s">
        <v>5700</v>
      </c>
    </row>
    <row r="596" spans="1:28" hidden="1" x14ac:dyDescent="0.2">
      <c r="A596" s="175">
        <f>IF(COUNTIF(Tabla_imprenta[LOTE],Tabla_control[[#This Row],[LOTE]])=1,INDEX(Tabla_imprenta[FECHA EMISIÓN],MATCH(Tabla_control[[#This Row],[LOTE]],Tabla_imprenta[LOTE],0)),"REALIZADO")</f>
        <v>46143</v>
      </c>
      <c r="B596" s="142">
        <f>IF(COUNTIF(Tabla_imprenta[LOTE],Tabla_control[[#This Row],[LOTE]])=1,INDEX(Tabla_imprenta[CÓD. SOLICITUD],MATCH(Tabla_control[[#This Row],[LOTE]],Tabla_imprenta[LOTE],0)),"REALIZADO")</f>
        <v>0</v>
      </c>
      <c r="C596" s="177" t="str">
        <f>IF(COUNTIF(Tabla_imprenta[LOTE],Tabla_control[[#This Row],[LOTE]])=1,INDEX(Tabla_imprenta[PRODUCTO],MATCH(Tabla_control[[#This Row],[LOTE]],Tabla_imprenta[LOTE],0)),"REALIZADO")</f>
        <v>MUCOL 200 MG X 20 SOBRES POLVO GRANULADO</v>
      </c>
      <c r="D596" s="142" t="str">
        <f>IF(COUNTIF(Tabla_imprenta[LOTE],Tabla_control[[#This Row],[LOTE]])=1,INDEX(Tabla_imprenta[FORMA FARMACEUTICA],MATCH(Tabla_control[[#This Row],[LOTE]],Tabla_imprenta[LOTE],0)),"REALIZADO")</f>
        <v>POLVO GRANULADO</v>
      </c>
      <c r="E596" s="177" t="str">
        <f>IF(COUNTIF(Tabla_imprenta[LOTE],Tabla_control[[#This Row],[LOTE]])=1,INDEX(Tabla_imprenta[INSTITUCIÓN],MATCH(Tabla_control[[#This Row],[LOTE]],Tabla_imprenta[LOTE],0)),"REALIZADO")</f>
        <v>COMERCIO</v>
      </c>
      <c r="F596" s="229" t="s">
        <v>5667</v>
      </c>
      <c r="G596" s="139">
        <f>IF(COUNTIF(Tabla_imprenta[LOTE],Tabla_control[[#This Row],[LOTE]])=1,INDEX(Tabla_imprenta[CANTIDAD ENVASE SECUNDARIO],MATCH(Tabla_control[[#This Row],[LOTE]],Tabla_imprenta[LOTE],0)),"ENTREGADO")</f>
        <v>1000</v>
      </c>
      <c r="H596" s="139">
        <f>IF(COUNTIF(Tabla_imprenta[LOTE],Tabla_control[[#This Row],[LOTE]])=1,INDEX(Tabla_imprenta[stock sap],MATCH(Tabla_control[[#This Row],[LOTE]],Tabla_imprenta[LOTE],0)),"ENTREGADO")</f>
        <v>1426</v>
      </c>
      <c r="I596" s="139" t="str">
        <f>IF(Tabla_control[[#This Row],[STOCK SAP]]&gt;Tabla_control[[#This Row],[CANTIDAD IMPRIMIR]],"cubre","no cubre")</f>
        <v>cubre</v>
      </c>
      <c r="J596" s="182">
        <f>IF(COUNTIF(Tabla_imprenta[LOTE],Tabla_control[[#This Row],[LOTE]])=1,INDEX(Tabla_imprenta[STOCK],MATCH(Tabla_control[[#This Row],[LOTE]],Tabla_imprenta[LOTE],0)),"ENTREGADO")</f>
        <v>5.1149542217700912</v>
      </c>
      <c r="K596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96" s="148">
        <f>INDEX(Tabla_imprenta[FECHA CAJA],MATCH(Tabla_control[[#This Row],[LOTE]],Tabla_imprenta[LOTE],0))</f>
        <v>0</v>
      </c>
      <c r="M596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FULL COLOR</v>
      </c>
      <c r="N596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1</v>
      </c>
      <c r="O596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128</v>
      </c>
      <c r="P596" s="170">
        <f>ROUNDUP(Tabla_control[[#This Row],[CANTIDAD IMPRIMIR]]/Tabla_control[[#This Row],[N TJ]],0)</f>
        <v>1000</v>
      </c>
      <c r="Q596" s="170">
        <f>IF(Tabla_control[[#This Row],[CANTIDAD TIRAJE]]&gt;10000,Tabla_control[[#This Row],[CANTIDAD TIRAJE]],Tabla_control[[#This Row],[CANTIDAD TIRAJE]]*2)</f>
        <v>2000</v>
      </c>
      <c r="R596" s="186" t="s">
        <v>2030</v>
      </c>
      <c r="S596" s="4" t="s">
        <v>31</v>
      </c>
      <c r="T596" s="4"/>
      <c r="U596" s="4"/>
      <c r="V596" s="4"/>
      <c r="W596" s="185" t="s">
        <v>321</v>
      </c>
      <c r="X596" s="185"/>
      <c r="Y596" s="185"/>
      <c r="Z596" s="185"/>
      <c r="AA596" s="186" t="s">
        <v>321</v>
      </c>
      <c r="AB596" s="184" t="s">
        <v>5700</v>
      </c>
    </row>
    <row r="597" spans="1:28" hidden="1" x14ac:dyDescent="0.2">
      <c r="A597" s="175">
        <f>IF(COUNTIF(Tabla_imprenta[LOTE],Tabla_control[[#This Row],[LOTE]])=1,INDEX(Tabla_imprenta[FECHA EMISIÓN],MATCH(Tabla_control[[#This Row],[LOTE]],Tabla_imprenta[LOTE],0)),"REALIZADO")</f>
        <v>46143</v>
      </c>
      <c r="B597" s="142">
        <f>IF(COUNTIF(Tabla_imprenta[LOTE],Tabla_control[[#This Row],[LOTE]])=1,INDEX(Tabla_imprenta[CÓD. SOLICITUD],MATCH(Tabla_control[[#This Row],[LOTE]],Tabla_imprenta[LOTE],0)),"REALIZADO")</f>
        <v>0</v>
      </c>
      <c r="C597" s="177" t="str">
        <f>IF(COUNTIF(Tabla_imprenta[LOTE],Tabla_control[[#This Row],[LOTE]])=1,INDEX(Tabla_imprenta[PRODUCTO],MATCH(Tabla_control[[#This Row],[LOTE]],Tabla_imprenta[LOTE],0)),"REALIZADO")</f>
        <v>EXAMILL X 50 G CREMA VAGINAL</v>
      </c>
      <c r="D597" s="142" t="str">
        <f>IF(COUNTIF(Tabla_imprenta[LOTE],Tabla_control[[#This Row],[LOTE]])=1,INDEX(Tabla_imprenta[FORMA FARMACEUTICA],MATCH(Tabla_control[[#This Row],[LOTE]],Tabla_imprenta[LOTE],0)),"REALIZADO")</f>
        <v>FORMA COSMETICA: EMULSION</v>
      </c>
      <c r="E597" s="177" t="str">
        <f>IF(COUNTIF(Tabla_imprenta[LOTE],Tabla_control[[#This Row],[LOTE]])=1,INDEX(Tabla_imprenta[INSTITUCIÓN],MATCH(Tabla_control[[#This Row],[LOTE]],Tabla_imprenta[LOTE],0)),"REALIZADO")</f>
        <v>COMERCIO</v>
      </c>
      <c r="F597" s="229" t="s">
        <v>5550</v>
      </c>
      <c r="G597" s="139">
        <f>IF(COUNTIF(Tabla_imprenta[LOTE],Tabla_control[[#This Row],[LOTE]])=1,INDEX(Tabla_imprenta[CANTIDAD ENVASE SECUNDARIO],MATCH(Tabla_control[[#This Row],[LOTE]],Tabla_imprenta[LOTE],0)),"ENTREGADO")</f>
        <v>3500</v>
      </c>
      <c r="H597" s="139" t="e">
        <f>IF(COUNTIF(Tabla_imprenta[LOTE],Tabla_control[[#This Row],[LOTE]])=1,INDEX(Tabla_imprenta[stock sap],MATCH(Tabla_control[[#This Row],[LOTE]],Tabla_imprenta[LOTE],0)),"ENTREGADO")</f>
        <v>#N/A</v>
      </c>
      <c r="I597" s="139" t="e">
        <f>IF(Tabla_control[[#This Row],[STOCK SAP]]&gt;Tabla_control[[#This Row],[CANTIDAD IMPRIMIR]],"cubre","no cubre")</f>
        <v>#N/A</v>
      </c>
      <c r="J597" s="182">
        <f>IF(COUNTIF(Tabla_imprenta[LOTE],Tabla_control[[#This Row],[LOTE]])=1,INDEX(Tabla_imprenta[STOCK],MATCH(Tabla_control[[#This Row],[LOTE]],Tabla_imprenta[LOTE],0)),"ENTREGADO")</f>
        <v>4.9100254032019857</v>
      </c>
      <c r="K597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97" s="148">
        <f>INDEX(Tabla_imprenta[FECHA CAJA],MATCH(Tabla_control[[#This Row],[LOTE]],Tabla_imprenta[LOTE],0))</f>
        <v>0</v>
      </c>
      <c r="M597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GINECOLÓGICO</v>
      </c>
      <c r="N597" s="166" t="str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SF</v>
      </c>
      <c r="O597" s="166" t="str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SF</v>
      </c>
      <c r="P597" s="170" t="e">
        <f>ROUNDUP(Tabla_control[[#This Row],[CANTIDAD IMPRIMIR]]/Tabla_control[[#This Row],[N TJ]],0)</f>
        <v>#VALUE!</v>
      </c>
      <c r="Q597" s="170" t="e">
        <f>IF(Tabla_control[[#This Row],[CANTIDAD TIRAJE]]&gt;10000,Tabla_control[[#This Row],[CANTIDAD TIRAJE]],Tabla_control[[#This Row],[CANTIDAD TIRAJE]]*2)</f>
        <v>#VALUE!</v>
      </c>
      <c r="R597" s="186" t="s">
        <v>175</v>
      </c>
      <c r="S597" s="4" t="s">
        <v>174</v>
      </c>
      <c r="T597" s="4"/>
      <c r="U597" s="4"/>
      <c r="V597" s="4"/>
      <c r="W597" s="185" t="s">
        <v>321</v>
      </c>
      <c r="X597" s="185"/>
      <c r="Y597" s="185"/>
      <c r="Z597" s="185"/>
      <c r="AA597" s="186" t="s">
        <v>321</v>
      </c>
      <c r="AB597" s="184" t="s">
        <v>5700</v>
      </c>
    </row>
    <row r="598" spans="1:28" x14ac:dyDescent="0.2">
      <c r="A598" s="175">
        <f>IF(COUNTIF(Tabla_imprenta[LOTE],Tabla_control[[#This Row],[LOTE]])=1,INDEX(Tabla_imprenta[FECHA EMISIÓN],MATCH(Tabla_control[[#This Row],[LOTE]],Tabla_imprenta[LOTE],0)),"REALIZADO")</f>
        <v>46143</v>
      </c>
      <c r="B598" s="142">
        <f>IF(COUNTIF(Tabla_imprenta[LOTE],Tabla_control[[#This Row],[LOTE]])=1,INDEX(Tabla_imprenta[CÓD. SOLICITUD],MATCH(Tabla_control[[#This Row],[LOTE]],Tabla_imprenta[LOTE],0)),"REALIZADO")</f>
        <v>0</v>
      </c>
      <c r="C598" s="177" t="str">
        <f>IF(COUNTIF(Tabla_imprenta[LOTE],Tabla_control[[#This Row],[LOTE]])=1,INDEX(Tabla_imprenta[PRODUCTO],MATCH(Tabla_control[[#This Row],[LOTE]],Tabla_imprenta[LOTE],0)),"REALIZADO")</f>
        <v>PREDNISOX 20 MG X 30 ML SUSP. MM</v>
      </c>
      <c r="D598" s="142" t="str">
        <f>IF(COUNTIF(Tabla_imprenta[LOTE],Tabla_control[[#This Row],[LOTE]])=1,INDEX(Tabla_imprenta[FORMA FARMACEUTICA],MATCH(Tabla_control[[#This Row],[LOTE]],Tabla_imprenta[LOTE],0)),"REALIZADO")</f>
        <v>SUSPENSIÓN</v>
      </c>
      <c r="E598" s="177" t="str">
        <f>IF(COUNTIF(Tabla_imprenta[LOTE],Tabla_control[[#This Row],[LOTE]])=1,INDEX(Tabla_imprenta[INSTITUCIÓN],MATCH(Tabla_control[[#This Row],[LOTE]],Tabla_imprenta[LOTE],0)),"REALIZADO")</f>
        <v>MM-2026</v>
      </c>
      <c r="F598" s="229" t="s">
        <v>5569</v>
      </c>
      <c r="G598" s="139">
        <f>IF(COUNTIF(Tabla_imprenta[LOTE],Tabla_control[[#This Row],[LOTE]])=1,INDEX(Tabla_imprenta[CANTIDAD ENVASE SECUNDARIO],MATCH(Tabla_control[[#This Row],[LOTE]],Tabla_imprenta[LOTE],0)),"ENTREGADO")</f>
        <v>13000</v>
      </c>
      <c r="H598" s="139">
        <f>IF(COUNTIF(Tabla_imprenta[LOTE],Tabla_control[[#This Row],[LOTE]])=1,INDEX(Tabla_imprenta[stock sap],MATCH(Tabla_control[[#This Row],[LOTE]],Tabla_imprenta[LOTE],0)),"ENTREGADO")</f>
        <v>1090</v>
      </c>
      <c r="I598" s="139" t="str">
        <f>IF(Tabla_control[[#This Row],[STOCK SAP]]&gt;Tabla_control[[#This Row],[CANTIDAD IMPRIMIR]],"cubre","no cubre")</f>
        <v>no cubre</v>
      </c>
      <c r="J598" s="182">
        <f>IF(COUNTIF(Tabla_imprenta[LOTE],Tabla_control[[#This Row],[LOTE]])=1,INDEX(Tabla_imprenta[STOCK],MATCH(Tabla_control[[#This Row],[LOTE]],Tabla_imprenta[LOTE],0)),"ENTREGADO")</f>
        <v>5.2959568733153635</v>
      </c>
      <c r="K598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98" s="148">
        <f>INDEX(Tabla_imprenta[FECHA CAJA],MATCH(Tabla_control[[#This Row],[LOTE]],Tabla_imprenta[LOTE],0))</f>
        <v>0</v>
      </c>
      <c r="M598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598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598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77</v>
      </c>
      <c r="P598" s="170">
        <f>ROUNDUP(Tabla_control[[#This Row],[CANTIDAD IMPRIMIR]]/Tabla_control[[#This Row],[N TJ]],0)</f>
        <v>6500</v>
      </c>
      <c r="Q598" s="170">
        <f>IF(Tabla_control[[#This Row],[CANTIDAD TIRAJE]]&gt;10000,Tabla_control[[#This Row],[CANTIDAD TIRAJE]],Tabla_control[[#This Row],[CANTIDAD TIRAJE]]*2)</f>
        <v>13000</v>
      </c>
      <c r="R598" s="186" t="s">
        <v>177</v>
      </c>
      <c r="S598" s="4" t="s">
        <v>31</v>
      </c>
      <c r="T598" s="4"/>
      <c r="U598" s="4"/>
      <c r="V598" s="4"/>
      <c r="W598" s="185" t="s">
        <v>5721</v>
      </c>
      <c r="X598" s="185"/>
      <c r="Y598" s="185"/>
      <c r="Z598" s="185"/>
      <c r="AA598" s="186" t="s">
        <v>171</v>
      </c>
      <c r="AB598" s="184" t="s">
        <v>5700</v>
      </c>
    </row>
    <row r="599" spans="1:28" x14ac:dyDescent="0.2">
      <c r="A599" s="175">
        <f>IF(COUNTIF(Tabla_imprenta[LOTE],Tabla_control[[#This Row],[LOTE]])=1,INDEX(Tabla_imprenta[FECHA EMISIÓN],MATCH(Tabla_control[[#This Row],[LOTE]],Tabla_imprenta[LOTE],0)),"REALIZADO")</f>
        <v>46143</v>
      </c>
      <c r="B599" s="142">
        <f>IF(COUNTIF(Tabla_imprenta[LOTE],Tabla_control[[#This Row],[LOTE]])=1,INDEX(Tabla_imprenta[CÓD. SOLICITUD],MATCH(Tabla_control[[#This Row],[LOTE]],Tabla_imprenta[LOTE],0)),"REALIZADO")</f>
        <v>0</v>
      </c>
      <c r="C599" s="177" t="str">
        <f>IF(COUNTIF(Tabla_imprenta[LOTE],Tabla_control[[#This Row],[LOTE]])=1,INDEX(Tabla_imprenta[PRODUCTO],MATCH(Tabla_control[[#This Row],[LOTE]],Tabla_imprenta[LOTE],0)),"REALIZADO")</f>
        <v>GRISEOVINA 20 MG X 2 CAP. BLANDAS MM</v>
      </c>
      <c r="D599" s="142" t="str">
        <f>IF(COUNTIF(Tabla_imprenta[LOTE],Tabla_control[[#This Row],[LOTE]])=1,INDEX(Tabla_imprenta[FORMA FARMACEUTICA],MATCH(Tabla_control[[#This Row],[LOTE]],Tabla_imprenta[LOTE],0)),"REALIZADO")</f>
        <v>CÁPSULA BLANDA</v>
      </c>
      <c r="E599" s="177" t="str">
        <f>IF(COUNTIF(Tabla_imprenta[LOTE],Tabla_control[[#This Row],[LOTE]])=1,INDEX(Tabla_imprenta[INSTITUCIÓN],MATCH(Tabla_control[[#This Row],[LOTE]],Tabla_imprenta[LOTE],0)),"REALIZADO")</f>
        <v>MM-2026</v>
      </c>
      <c r="F599" s="229" t="s">
        <v>5403</v>
      </c>
      <c r="G599" s="139">
        <f>IF(COUNTIF(Tabla_imprenta[LOTE],Tabla_control[[#This Row],[LOTE]])=1,INDEX(Tabla_imprenta[CANTIDAD ENVASE SECUNDARIO],MATCH(Tabla_control[[#This Row],[LOTE]],Tabla_imprenta[LOTE],0)),"ENTREGADO")</f>
        <v>25000</v>
      </c>
      <c r="H599" s="139">
        <f>IF(COUNTIF(Tabla_imprenta[LOTE],Tabla_control[[#This Row],[LOTE]])=1,INDEX(Tabla_imprenta[stock sap],MATCH(Tabla_control[[#This Row],[LOTE]],Tabla_imprenta[LOTE],0)),"ENTREGADO")</f>
        <v>818</v>
      </c>
      <c r="I599" s="139" t="str">
        <f>IF(Tabla_control[[#This Row],[STOCK SAP]]&gt;Tabla_control[[#This Row],[CANTIDAD IMPRIMIR]],"cubre","no cubre")</f>
        <v>no cubre</v>
      </c>
      <c r="J599" s="182">
        <f>IF(COUNTIF(Tabla_imprenta[LOTE],Tabla_control[[#This Row],[LOTE]])=1,INDEX(Tabla_imprenta[STOCK],MATCH(Tabla_control[[#This Row],[LOTE]],Tabla_imprenta[LOTE],0)),"ENTREGADO")</f>
        <v>5.3331323447249437</v>
      </c>
      <c r="K599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599" s="148">
        <f>INDEX(Tabla_imprenta[FECHA CAJA],MATCH(Tabla_control[[#This Row],[LOTE]],Tabla_imprenta[LOTE],0))</f>
        <v>0</v>
      </c>
      <c r="M599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NARANJA</v>
      </c>
      <c r="N599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7</v>
      </c>
      <c r="O599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59</v>
      </c>
      <c r="P599" s="170">
        <f>ROUNDUP(Tabla_control[[#This Row],[CANTIDAD IMPRIMIR]]/Tabla_control[[#This Row],[N TJ]],0)</f>
        <v>3572</v>
      </c>
      <c r="Q599" s="170">
        <f>IF(Tabla_control[[#This Row],[CANTIDAD TIRAJE]]&gt;10000,Tabla_control[[#This Row],[CANTIDAD TIRAJE]],Tabla_control[[#This Row],[CANTIDAD TIRAJE]]*2)</f>
        <v>7144</v>
      </c>
      <c r="R599" s="186" t="s">
        <v>2206</v>
      </c>
      <c r="S599" s="4" t="s">
        <v>174</v>
      </c>
      <c r="T599" s="4"/>
      <c r="U599" s="4"/>
      <c r="V599" s="4"/>
      <c r="W599" s="185" t="s">
        <v>5722</v>
      </c>
      <c r="X599" s="185" t="s">
        <v>88</v>
      </c>
      <c r="Y599" s="185" t="s">
        <v>88</v>
      </c>
      <c r="Z599" s="185" t="s">
        <v>88</v>
      </c>
      <c r="AA599" s="186" t="s">
        <v>171</v>
      </c>
      <c r="AB599" s="184" t="s">
        <v>4464</v>
      </c>
    </row>
    <row r="600" spans="1:28" x14ac:dyDescent="0.2">
      <c r="A600" s="175">
        <f>IF(COUNTIF(Tabla_imprenta[LOTE],Tabla_control[[#This Row],[LOTE]])=1,INDEX(Tabla_imprenta[FECHA EMISIÓN],MATCH(Tabla_control[[#This Row],[LOTE]],Tabla_imprenta[LOTE],0)),"REALIZADO")</f>
        <v>46143</v>
      </c>
      <c r="B600" s="142">
        <f>IF(COUNTIF(Tabla_imprenta[LOTE],Tabla_control[[#This Row],[LOTE]])=1,INDEX(Tabla_imprenta[CÓD. SOLICITUD],MATCH(Tabla_control[[#This Row],[LOTE]],Tabla_imprenta[LOTE],0)),"REALIZADO")</f>
        <v>0</v>
      </c>
      <c r="C600" s="177" t="str">
        <f>IF(COUNTIF(Tabla_imprenta[LOTE],Tabla_control[[#This Row],[LOTE]])=1,INDEX(Tabla_imprenta[PRODUCTO],MATCH(Tabla_control[[#This Row],[LOTE]],Tabla_imprenta[LOTE],0)),"REALIZADO")</f>
        <v>TAMIFEN X 100 ML JARABE</v>
      </c>
      <c r="D600" s="142" t="str">
        <f>IF(COUNTIF(Tabla_imprenta[LOTE],Tabla_control[[#This Row],[LOTE]])=1,INDEX(Tabla_imprenta[FORMA FARMACEUTICA],MATCH(Tabla_control[[#This Row],[LOTE]],Tabla_imprenta[LOTE],0)),"REALIZADO")</f>
        <v>JARABE</v>
      </c>
      <c r="E600" s="177" t="str">
        <f>IF(COUNTIF(Tabla_imprenta[LOTE],Tabla_control[[#This Row],[LOTE]])=1,INDEX(Tabla_imprenta[INSTITUCIÓN],MATCH(Tabla_control[[#This Row],[LOTE]],Tabla_imprenta[LOTE],0)),"REALIZADO")</f>
        <v>COMERCIO</v>
      </c>
      <c r="F600" s="229" t="s">
        <v>5654</v>
      </c>
      <c r="G600" s="139">
        <f>IF(COUNTIF(Tabla_imprenta[LOTE],Tabla_control[[#This Row],[LOTE]])=1,INDEX(Tabla_imprenta[CANTIDAD ENVASE SECUNDARIO],MATCH(Tabla_control[[#This Row],[LOTE]],Tabla_imprenta[LOTE],0)),"ENTREGADO")</f>
        <v>8000</v>
      </c>
      <c r="H600" s="139">
        <f>IF(COUNTIF(Tabla_imprenta[LOTE],Tabla_control[[#This Row],[LOTE]])=1,INDEX(Tabla_imprenta[stock sap],MATCH(Tabla_control[[#This Row],[LOTE]],Tabla_imprenta[LOTE],0)),"ENTREGADO")</f>
        <v>7346</v>
      </c>
      <c r="I600" s="139" t="str">
        <f>IF(Tabla_control[[#This Row],[STOCK SAP]]&gt;Tabla_control[[#This Row],[CANTIDAD IMPRIMIR]],"cubre","no cubre")</f>
        <v>no cubre</v>
      </c>
      <c r="J600" s="182">
        <f>IF(COUNTIF(Tabla_imprenta[LOTE],Tabla_control[[#This Row],[LOTE]])=1,INDEX(Tabla_imprenta[STOCK],MATCH(Tabla_control[[#This Row],[LOTE]],Tabla_imprenta[LOTE],0)),"ENTREGADO")</f>
        <v>12.412899743624342</v>
      </c>
      <c r="K600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600" s="148">
        <f>INDEX(Tabla_imprenta[FECHA CAJA],MATCH(Tabla_control[[#This Row],[LOTE]],Tabla_imprenta[LOTE],0))</f>
        <v>0</v>
      </c>
      <c r="M600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600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600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75</v>
      </c>
      <c r="P600" s="170">
        <f>ROUNDUP(Tabla_control[[#This Row],[CANTIDAD IMPRIMIR]]/Tabla_control[[#This Row],[N TJ]],0)</f>
        <v>4000</v>
      </c>
      <c r="Q600" s="170">
        <f>IF(Tabla_control[[#This Row],[CANTIDAD TIRAJE]]&gt;10000,Tabla_control[[#This Row],[CANTIDAD TIRAJE]],Tabla_control[[#This Row],[CANTIDAD TIRAJE]]*2)</f>
        <v>8000</v>
      </c>
      <c r="R600" s="186" t="s">
        <v>177</v>
      </c>
      <c r="S600" s="4" t="s">
        <v>174</v>
      </c>
      <c r="T600" s="4"/>
      <c r="U600" s="4"/>
      <c r="V600" s="4"/>
      <c r="W600" s="185" t="s">
        <v>3233</v>
      </c>
      <c r="X600" s="185" t="s">
        <v>88</v>
      </c>
      <c r="Y600" s="185" t="s">
        <v>88</v>
      </c>
      <c r="Z600" s="185" t="s">
        <v>88</v>
      </c>
      <c r="AA600" s="186" t="s">
        <v>171</v>
      </c>
      <c r="AB600" s="184" t="s">
        <v>5700</v>
      </c>
    </row>
    <row r="601" spans="1:28" hidden="1" x14ac:dyDescent="0.2">
      <c r="A601" s="175">
        <f>IF(COUNTIF(Tabla_imprenta[LOTE],Tabla_control[[#This Row],[LOTE]])=1,INDEX(Tabla_imprenta[FECHA EMISIÓN],MATCH(Tabla_control[[#This Row],[LOTE]],Tabla_imprenta[LOTE],0)),"REALIZADO")</f>
        <v>46143</v>
      </c>
      <c r="B601" s="142">
        <f>IF(COUNTIF(Tabla_imprenta[LOTE],Tabla_control[[#This Row],[LOTE]])=1,INDEX(Tabla_imprenta[CÓD. SOLICITUD],MATCH(Tabla_control[[#This Row],[LOTE]],Tabla_imprenta[LOTE],0)),"REALIZADO")</f>
        <v>0</v>
      </c>
      <c r="C601" s="177" t="str">
        <f>IF(COUNTIF(Tabla_imprenta[LOTE],Tabla_control[[#This Row],[LOTE]])=1,INDEX(Tabla_imprenta[PRODUCTO],MATCH(Tabla_control[[#This Row],[LOTE]],Tabla_imprenta[LOTE],0)),"REALIZADO")</f>
        <v>GINBI X 30 CAP. BLANDAS</v>
      </c>
      <c r="D601" s="142" t="str">
        <f>IF(COUNTIF(Tabla_imprenta[LOTE],Tabla_control[[#This Row],[LOTE]])=1,INDEX(Tabla_imprenta[FORMA FARMACEUTICA],MATCH(Tabla_control[[#This Row],[LOTE]],Tabla_imprenta[LOTE],0)),"REALIZADO")</f>
        <v>CÁPSULA BLANDA</v>
      </c>
      <c r="E601" s="177" t="str">
        <f>IF(COUNTIF(Tabla_imprenta[LOTE],Tabla_control[[#This Row],[LOTE]])=1,INDEX(Tabla_imprenta[INSTITUCIÓN],MATCH(Tabla_control[[#This Row],[LOTE]],Tabla_imprenta[LOTE],0)),"REALIZADO")</f>
        <v>COMERCIO</v>
      </c>
      <c r="F601" s="229" t="s">
        <v>5369</v>
      </c>
      <c r="G601" s="139">
        <f>IF(COUNTIF(Tabla_imprenta[LOTE],Tabla_control[[#This Row],[LOTE]])=1,INDEX(Tabla_imprenta[CANTIDAD ENVASE SECUNDARIO],MATCH(Tabla_control[[#This Row],[LOTE]],Tabla_imprenta[LOTE],0)),"ENTREGADO")</f>
        <v>3333.3333333333335</v>
      </c>
      <c r="H601" s="139">
        <f>IF(COUNTIF(Tabla_imprenta[LOTE],Tabla_control[[#This Row],[LOTE]])=1,INDEX(Tabla_imprenta[stock sap],MATCH(Tabla_control[[#This Row],[LOTE]],Tabla_imprenta[LOTE],0)),"ENTREGADO")</f>
        <v>3913</v>
      </c>
      <c r="I601" s="139" t="str">
        <f>IF(Tabla_control[[#This Row],[STOCK SAP]]&gt;Tabla_control[[#This Row],[CANTIDAD IMPRIMIR]],"cubre","no cubre")</f>
        <v>cubre</v>
      </c>
      <c r="J601" s="182">
        <f>IF(COUNTIF(Tabla_imprenta[LOTE],Tabla_control[[#This Row],[LOTE]])=1,INDEX(Tabla_imprenta[STOCK],MATCH(Tabla_control[[#This Row],[LOTE]],Tabla_imprenta[LOTE],0)),"ENTREGADO")</f>
        <v>25.079919408999331</v>
      </c>
      <c r="K601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601" s="148">
        <f>INDEX(Tabla_imprenta[FECHA CAJA],MATCH(Tabla_control[[#This Row],[LOTE]],Tabla_imprenta[LOTE],0))</f>
        <v>0</v>
      </c>
      <c r="M601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IFALIFE</v>
      </c>
      <c r="N601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601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106</v>
      </c>
      <c r="P601" s="170">
        <f>ROUNDUP(Tabla_control[[#This Row],[CANTIDAD IMPRIMIR]]/Tabla_control[[#This Row],[N TJ]],0)</f>
        <v>1667</v>
      </c>
      <c r="Q601" s="170">
        <f>IF(Tabla_control[[#This Row],[CANTIDAD TIRAJE]]&gt;10000,Tabla_control[[#This Row],[CANTIDAD TIRAJE]],Tabla_control[[#This Row],[CANTIDAD TIRAJE]]*2)</f>
        <v>3334</v>
      </c>
      <c r="R601" s="186" t="s">
        <v>2305</v>
      </c>
      <c r="S601" s="4" t="s">
        <v>174</v>
      </c>
      <c r="T601" s="4"/>
      <c r="U601" s="4"/>
      <c r="V601" s="4"/>
      <c r="W601" s="185" t="s">
        <v>321</v>
      </c>
      <c r="X601" s="185"/>
      <c r="Y601" s="185"/>
      <c r="Z601" s="185"/>
      <c r="AA601" s="186" t="s">
        <v>321</v>
      </c>
      <c r="AB601" s="184" t="s">
        <v>4464</v>
      </c>
    </row>
    <row r="602" spans="1:28" hidden="1" x14ac:dyDescent="0.2">
      <c r="A602" s="175">
        <f>IF(COUNTIF(Tabla_imprenta[LOTE],Tabla_control[[#This Row],[LOTE]])=1,INDEX(Tabla_imprenta[FECHA EMISIÓN],MATCH(Tabla_control[[#This Row],[LOTE]],Tabla_imprenta[LOTE],0)),"REALIZADO")</f>
        <v>46143</v>
      </c>
      <c r="B602" s="142">
        <f>IF(COUNTIF(Tabla_imprenta[LOTE],Tabla_control[[#This Row],[LOTE]])=1,INDEX(Tabla_imprenta[CÓD. SOLICITUD],MATCH(Tabla_control[[#This Row],[LOTE]],Tabla_imprenta[LOTE],0)),"REALIZADO")</f>
        <v>0</v>
      </c>
      <c r="C602" s="177" t="str">
        <f>IF(COUNTIF(Tabla_imprenta[LOTE],Tabla_control[[#This Row],[LOTE]])=1,INDEX(Tabla_imprenta[PRODUCTO],MATCH(Tabla_control[[#This Row],[LOTE]],Tabla_imprenta[LOTE],0)),"REALIZADO")</f>
        <v>REDUTEM X 60 ML JARABE</v>
      </c>
      <c r="D602" s="142" t="str">
        <f>IF(COUNTIF(Tabla_imprenta[LOTE],Tabla_control[[#This Row],[LOTE]])=1,INDEX(Tabla_imprenta[FORMA FARMACEUTICA],MATCH(Tabla_control[[#This Row],[LOTE]],Tabla_imprenta[LOTE],0)),"REALIZADO")</f>
        <v>JARABE</v>
      </c>
      <c r="E602" s="177" t="str">
        <f>IF(COUNTIF(Tabla_imprenta[LOTE],Tabla_control[[#This Row],[LOTE]])=1,INDEX(Tabla_imprenta[INSTITUCIÓN],MATCH(Tabla_control[[#This Row],[LOTE]],Tabla_imprenta[LOTE],0)),"REALIZADO")</f>
        <v>COMERCIO</v>
      </c>
      <c r="F602" s="229" t="s">
        <v>5679</v>
      </c>
      <c r="G602" s="139">
        <f>IF(COUNTIF(Tabla_imprenta[LOTE],Tabla_control[[#This Row],[LOTE]])=1,INDEX(Tabla_imprenta[CANTIDAD ENVASE SECUNDARIO],MATCH(Tabla_control[[#This Row],[LOTE]],Tabla_imprenta[LOTE],0)),"ENTREGADO")</f>
        <v>9000</v>
      </c>
      <c r="H602" s="139">
        <f>IF(COUNTIF(Tabla_imprenta[LOTE],Tabla_control[[#This Row],[LOTE]])=1,INDEX(Tabla_imprenta[stock sap],MATCH(Tabla_control[[#This Row],[LOTE]],Tabla_imprenta[LOTE],0)),"ENTREGADO")</f>
        <v>10997</v>
      </c>
      <c r="I602" s="139" t="str">
        <f>IF(Tabla_control[[#This Row],[STOCK SAP]]&gt;Tabla_control[[#This Row],[CANTIDAD IMPRIMIR]],"cubre","no cubre")</f>
        <v>cubre</v>
      </c>
      <c r="J602" s="182">
        <f>IF(COUNTIF(Tabla_imprenta[LOTE],Tabla_control[[#This Row],[LOTE]])=1,INDEX(Tabla_imprenta[STOCK],MATCH(Tabla_control[[#This Row],[LOTE]],Tabla_imprenta[LOTE],0)),"ENTREGADO")</f>
        <v>31.263908701854493</v>
      </c>
      <c r="K602" s="149" t="str">
        <f>IF(COUNTIF(Tabla_imprenta[LOTE],Tabla_control[[#This Row],[LOTE]])=1,IF(OR(INDEX(Tabla_imprenta[FECHA PRODUCCIÓN],MATCH(Tabla_control[[#This Row],[LOTE]],Tabla_imprenta[LOTE],0))=0,INDEX(Tabla_imprenta[FECHA PRODUCCIÓN],MATCH(Tabla_control[[#This Row],[LOTE]],Tabla_imprenta[LOTE],0))=""),"SF",INDEX(Tabla_imprenta[FECHA PRODUCCIÓN],MATCH(Tabla_control[[#This Row],[LOTE]],Tabla_imprenta[LOTE],0))),"ENTREGADO")</f>
        <v>SF</v>
      </c>
      <c r="L602" s="148">
        <f>INDEX(Tabla_imprenta[FECHA CAJA],MATCH(Tabla_control[[#This Row],[LOTE]],Tabla_imprenta[LOTE],0))</f>
        <v>0</v>
      </c>
      <c r="M602" s="163" t="str">
        <f>IF(COUNTIF(Tabla_imprenta[LOTE],Tabla_control[[#This Row],[LOTE]])=1,IF(OR(INDEX(Tabla_imprenta[LINEA COMERCIAL],MATCH(Tabla_control[[#This Row],[LOTE]],Tabla_imprenta[LOTE],0))=0,INDEX(Tabla_imprenta[LINEA COMERCIAL],MATCH(Tabla_control[[#This Row],[LOTE]],Tabla_imprenta[LOTE],0))=""),"SF",INDEX(Tabla_imprenta[LINEA COMERCIAL],MATCH(Tabla_control[[#This Row],[LOTE]],Tabla_imprenta[LOTE],0))),"ENTREGADO")</f>
        <v>PEDIÁTRICO</v>
      </c>
      <c r="N602" s="166">
        <f>IF(COUNTIF(Tabla_imprenta[LOTE],Tabla_control[[#This Row],[LOTE]])=1,IF(OR(INDEX(Tabla_imprenta[CAJAS POR TJ],MATCH(Tabla_control[[#This Row],[LOTE]],Tabla_imprenta[LOTE],0))=0,INDEX(Tabla_imprenta[CAJAS POR TJ],MATCH(Tabla_control[[#This Row],[LOTE]],Tabla_imprenta[LOTE],0))=""),"SF",INDEX(Tabla_imprenta[CAJAS POR TJ],MATCH(Tabla_control[[#This Row],[LOTE]],Tabla_imprenta[LOTE],0))),"ENTREGADO")</f>
        <v>2</v>
      </c>
      <c r="O602" s="166">
        <f>IF(COUNTIF(Tabla_imprenta[LOTE],Tabla_control[[#This Row],[LOTE]])=1,IF(OR(INDEX(Tabla_imprenta[N TROQUEL],MATCH(Tabla_control[[#This Row],[LOTE]],Tabla_imprenta[LOTE],0))=0,INDEX(Tabla_imprenta[N TROQUEL],MATCH(Tabla_control[[#This Row],[LOTE]],Tabla_imprenta[LOTE],0))=""),"SF",INDEX(Tabla_imprenta[N TROQUEL],MATCH(Tabla_control[[#This Row],[LOTE]],Tabla_imprenta[LOTE],0))),"ENTREGADO")</f>
        <v>77</v>
      </c>
      <c r="P602" s="170">
        <f>ROUNDUP(Tabla_control[[#This Row],[CANTIDAD IMPRIMIR]]/Tabla_control[[#This Row],[N TJ]],0)</f>
        <v>4500</v>
      </c>
      <c r="Q602" s="170">
        <f>IF(Tabla_control[[#This Row],[CANTIDAD TIRAJE]]&gt;10000,Tabla_control[[#This Row],[CANTIDAD TIRAJE]],Tabla_control[[#This Row],[CANTIDAD TIRAJE]]*2)</f>
        <v>9000</v>
      </c>
      <c r="R602" s="186" t="s">
        <v>177</v>
      </c>
      <c r="S602" s="4" t="s">
        <v>31</v>
      </c>
      <c r="T602" s="4"/>
      <c r="U602" s="4"/>
      <c r="V602" s="4"/>
      <c r="W602" s="185" t="s">
        <v>321</v>
      </c>
      <c r="X602" s="185"/>
      <c r="Y602" s="185"/>
      <c r="Z602" s="185"/>
      <c r="AA602" s="186" t="s">
        <v>321</v>
      </c>
      <c r="AB602" s="184" t="s">
        <v>5700</v>
      </c>
    </row>
  </sheetData>
  <phoneticPr fontId="2" type="noConversion"/>
  <conditionalFormatting sqref="F2:F602">
    <cfRule type="duplicateValues" dxfId="43" priority="105"/>
  </conditionalFormatting>
  <conditionalFormatting sqref="J2:J602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C539-BC6A-4FB2-88FC-3257616E5A8D}">
  <sheetPr codeName="Hoja4"/>
  <dimension ref="A1:O11"/>
  <sheetViews>
    <sheetView topLeftCell="B1" zoomScale="190" zoomScaleNormal="190" workbookViewId="0">
      <selection activeCell="F9" sqref="F9"/>
    </sheetView>
  </sheetViews>
  <sheetFormatPr baseColWidth="10" defaultRowHeight="15" x14ac:dyDescent="0.25"/>
  <cols>
    <col min="2" max="2" width="17.28515625" customWidth="1"/>
    <col min="4" max="4" width="26" bestFit="1" customWidth="1"/>
    <col min="6" max="6" width="17.7109375" customWidth="1"/>
    <col min="8" max="8" width="22.28515625" bestFit="1" customWidth="1"/>
    <col min="10" max="10" width="17.42578125" customWidth="1"/>
    <col min="11" max="11" width="11.85546875" customWidth="1"/>
    <col min="12" max="12" width="18.85546875" customWidth="1"/>
    <col min="14" max="14" width="26.28515625" customWidth="1"/>
    <col min="15" max="15" width="14.7109375" customWidth="1"/>
  </cols>
  <sheetData>
    <row r="1" spans="1:15" x14ac:dyDescent="0.25">
      <c r="B1" t="s">
        <v>5470</v>
      </c>
      <c r="D1" t="s">
        <v>93</v>
      </c>
      <c r="F1" t="s">
        <v>5347</v>
      </c>
      <c r="H1" t="s">
        <v>5348</v>
      </c>
      <c r="J1" t="s">
        <v>5467</v>
      </c>
      <c r="L1" t="s">
        <v>5478</v>
      </c>
      <c r="N1" s="110" t="s">
        <v>5480</v>
      </c>
      <c r="O1" t="s">
        <v>5484</v>
      </c>
    </row>
    <row r="2" spans="1:15" x14ac:dyDescent="0.25">
      <c r="A2" s="259" t="s">
        <v>5473</v>
      </c>
      <c r="B2" s="231" t="s">
        <v>5472</v>
      </c>
      <c r="C2" s="259" t="s">
        <v>30</v>
      </c>
      <c r="D2" s="231" t="s">
        <v>5456</v>
      </c>
      <c r="E2" s="259" t="s">
        <v>54</v>
      </c>
      <c r="F2" s="231" t="s">
        <v>5460</v>
      </c>
      <c r="G2" s="259" t="s">
        <v>5457</v>
      </c>
      <c r="H2" s="233" t="s">
        <v>5465</v>
      </c>
      <c r="I2" s="259" t="s">
        <v>5468</v>
      </c>
      <c r="J2" s="231" t="s">
        <v>5469</v>
      </c>
      <c r="K2" s="259" t="s">
        <v>5477</v>
      </c>
      <c r="L2" s="231" t="s">
        <v>5479</v>
      </c>
      <c r="N2" s="234" t="s">
        <v>5481</v>
      </c>
    </row>
    <row r="3" spans="1:15" x14ac:dyDescent="0.25">
      <c r="A3" s="259"/>
      <c r="B3" t="s">
        <v>88</v>
      </c>
      <c r="C3" s="259"/>
      <c r="D3" s="1" t="s">
        <v>88</v>
      </c>
      <c r="E3" s="259"/>
      <c r="F3" s="1" t="s">
        <v>88</v>
      </c>
      <c r="G3" s="259"/>
      <c r="H3" s="1" t="s">
        <v>88</v>
      </c>
      <c r="I3" s="259"/>
      <c r="J3" s="233" t="s">
        <v>5476</v>
      </c>
      <c r="K3" s="259"/>
      <c r="L3" s="230" t="s">
        <v>88</v>
      </c>
      <c r="N3" s="234" t="s">
        <v>5482</v>
      </c>
    </row>
    <row r="4" spans="1:15" x14ac:dyDescent="0.25">
      <c r="A4" s="259" t="s">
        <v>5474</v>
      </c>
      <c r="B4" s="233" t="s">
        <v>5475</v>
      </c>
      <c r="C4" s="259" t="s">
        <v>5455</v>
      </c>
      <c r="D4" s="231" t="s">
        <v>5464</v>
      </c>
      <c r="E4" s="259" t="s">
        <v>5454</v>
      </c>
      <c r="F4" s="233" t="s">
        <v>5471</v>
      </c>
      <c r="G4" s="259" t="s">
        <v>5458</v>
      </c>
      <c r="H4" s="231" t="s">
        <v>5522</v>
      </c>
      <c r="I4" s="259"/>
      <c r="J4" t="s">
        <v>5523</v>
      </c>
      <c r="K4" s="259" t="s">
        <v>5524</v>
      </c>
      <c r="L4" s="231" t="s">
        <v>5476</v>
      </c>
      <c r="N4" s="234" t="s">
        <v>5483</v>
      </c>
    </row>
    <row r="5" spans="1:15" x14ac:dyDescent="0.25">
      <c r="A5" s="259"/>
      <c r="B5" t="s">
        <v>88</v>
      </c>
      <c r="C5" s="259"/>
      <c r="D5" s="1" t="s">
        <v>88</v>
      </c>
      <c r="E5" s="259"/>
      <c r="F5" s="1" t="s">
        <v>88</v>
      </c>
      <c r="G5" s="259"/>
      <c r="H5" s="1" t="s">
        <v>88</v>
      </c>
      <c r="J5" t="s">
        <v>88</v>
      </c>
      <c r="K5" s="259"/>
      <c r="L5" s="233" t="s">
        <v>5475</v>
      </c>
      <c r="N5" s="234" t="s">
        <v>5486</v>
      </c>
    </row>
    <row r="6" spans="1:15" x14ac:dyDescent="0.25">
      <c r="C6" s="259" t="s">
        <v>174</v>
      </c>
      <c r="D6" s="231" t="s">
        <v>5462</v>
      </c>
      <c r="F6" s="231"/>
      <c r="G6" s="258" t="s">
        <v>2311</v>
      </c>
      <c r="H6" s="231" t="s">
        <v>5463</v>
      </c>
      <c r="N6" s="235" t="s">
        <v>5485</v>
      </c>
    </row>
    <row r="7" spans="1:15" x14ac:dyDescent="0.25">
      <c r="C7" s="259"/>
      <c r="D7" s="232" t="s">
        <v>5461</v>
      </c>
      <c r="F7" s="1"/>
      <c r="G7" s="258"/>
      <c r="H7" s="1" t="s">
        <v>88</v>
      </c>
    </row>
    <row r="8" spans="1:15" x14ac:dyDescent="0.25">
      <c r="C8" s="259" t="s">
        <v>5453</v>
      </c>
      <c r="D8" s="231" t="s">
        <v>5461</v>
      </c>
      <c r="G8" s="258" t="s">
        <v>5459</v>
      </c>
      <c r="H8" s="231" t="s">
        <v>5466</v>
      </c>
    </row>
    <row r="9" spans="1:15" x14ac:dyDescent="0.25">
      <c r="C9" s="259"/>
      <c r="D9" s="1" t="s">
        <v>5463</v>
      </c>
      <c r="G9" s="258"/>
      <c r="H9" t="s">
        <v>88</v>
      </c>
    </row>
    <row r="10" spans="1:15" x14ac:dyDescent="0.25">
      <c r="G10" s="249"/>
      <c r="H10" s="235"/>
    </row>
    <row r="11" spans="1:15" x14ac:dyDescent="0.25">
      <c r="G11" s="249"/>
      <c r="H11" s="235"/>
    </row>
  </sheetData>
  <mergeCells count="15">
    <mergeCell ref="A2:A3"/>
    <mergeCell ref="A4:A5"/>
    <mergeCell ref="I2:I4"/>
    <mergeCell ref="K2:K3"/>
    <mergeCell ref="K4:K5"/>
    <mergeCell ref="G2:G3"/>
    <mergeCell ref="G4:G5"/>
    <mergeCell ref="G6:G7"/>
    <mergeCell ref="G8:G9"/>
    <mergeCell ref="E2:E3"/>
    <mergeCell ref="E4:E5"/>
    <mergeCell ref="C8:C9"/>
    <mergeCell ref="C2:C3"/>
    <mergeCell ref="C4:C5"/>
    <mergeCell ref="C6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EB85-AFDA-4E92-BD21-7F3E50133473}">
  <sheetPr codeName="Hoja5"/>
  <dimension ref="A1:M1032"/>
  <sheetViews>
    <sheetView zoomScale="130" zoomScaleNormal="130" workbookViewId="0">
      <selection activeCell="C656" sqref="A656:H656"/>
    </sheetView>
  </sheetViews>
  <sheetFormatPr baseColWidth="10" defaultRowHeight="15" x14ac:dyDescent="0.25"/>
  <cols>
    <col min="1" max="1" width="19.85546875" customWidth="1"/>
    <col min="2" max="2" width="20.28515625" customWidth="1"/>
    <col min="3" max="3" width="78.28515625" customWidth="1"/>
    <col min="5" max="5" width="12" customWidth="1"/>
    <col min="6" max="6" width="13.42578125" customWidth="1"/>
    <col min="8" max="8" width="12" customWidth="1"/>
  </cols>
  <sheetData>
    <row r="1" spans="1:8" x14ac:dyDescent="0.25">
      <c r="A1" t="s">
        <v>2306</v>
      </c>
      <c r="B1" t="s">
        <v>2000</v>
      </c>
      <c r="C1" t="s">
        <v>2001</v>
      </c>
      <c r="D1" t="s">
        <v>2002</v>
      </c>
      <c r="E1" t="s">
        <v>2307</v>
      </c>
      <c r="F1" t="s">
        <v>2308</v>
      </c>
      <c r="G1" t="s">
        <v>323</v>
      </c>
      <c r="H1" t="s">
        <v>322</v>
      </c>
    </row>
    <row r="2" spans="1:8" hidden="1" x14ac:dyDescent="0.25">
      <c r="A2" t="s">
        <v>2309</v>
      </c>
      <c r="B2" t="s">
        <v>2575</v>
      </c>
      <c r="C2" t="s">
        <v>2576</v>
      </c>
      <c r="D2" s="147">
        <v>26245</v>
      </c>
      <c r="E2">
        <v>0</v>
      </c>
      <c r="F2">
        <v>0</v>
      </c>
      <c r="G2" t="s">
        <v>324</v>
      </c>
    </row>
    <row r="3" spans="1:8" hidden="1" x14ac:dyDescent="0.25">
      <c r="A3" t="s">
        <v>2309</v>
      </c>
      <c r="B3" t="s">
        <v>2577</v>
      </c>
      <c r="C3" t="s">
        <v>2578</v>
      </c>
      <c r="D3" s="147">
        <v>6117</v>
      </c>
      <c r="E3">
        <v>0</v>
      </c>
      <c r="F3">
        <v>0</v>
      </c>
      <c r="G3" t="s">
        <v>324</v>
      </c>
    </row>
    <row r="4" spans="1:8" hidden="1" x14ac:dyDescent="0.25">
      <c r="A4" t="s">
        <v>2309</v>
      </c>
      <c r="B4" t="s">
        <v>2579</v>
      </c>
      <c r="C4" t="s">
        <v>2580</v>
      </c>
      <c r="D4" s="147">
        <v>20974</v>
      </c>
      <c r="E4">
        <v>0</v>
      </c>
      <c r="F4">
        <v>0</v>
      </c>
      <c r="G4" t="s">
        <v>324</v>
      </c>
    </row>
    <row r="5" spans="1:8" hidden="1" x14ac:dyDescent="0.25">
      <c r="A5" t="s">
        <v>2309</v>
      </c>
      <c r="B5" t="s">
        <v>2581</v>
      </c>
      <c r="C5" t="s">
        <v>2582</v>
      </c>
      <c r="D5" s="147">
        <v>1535</v>
      </c>
      <c r="E5">
        <v>0</v>
      </c>
      <c r="F5">
        <v>0</v>
      </c>
      <c r="G5" t="s">
        <v>324</v>
      </c>
    </row>
    <row r="6" spans="1:8" hidden="1" x14ac:dyDescent="0.25">
      <c r="A6" t="s">
        <v>2309</v>
      </c>
      <c r="B6" t="s">
        <v>2583</v>
      </c>
      <c r="C6" t="s">
        <v>2584</v>
      </c>
      <c r="D6" s="147">
        <v>13417</v>
      </c>
      <c r="E6">
        <v>0</v>
      </c>
      <c r="F6">
        <v>0</v>
      </c>
      <c r="G6" t="s">
        <v>324</v>
      </c>
    </row>
    <row r="7" spans="1:8" hidden="1" x14ac:dyDescent="0.25">
      <c r="A7" t="s">
        <v>2309</v>
      </c>
      <c r="B7" t="s">
        <v>2585</v>
      </c>
      <c r="C7" t="s">
        <v>2586</v>
      </c>
      <c r="D7" s="147">
        <v>3742</v>
      </c>
      <c r="E7">
        <v>0</v>
      </c>
      <c r="F7">
        <v>0</v>
      </c>
      <c r="G7" t="s">
        <v>324</v>
      </c>
    </row>
    <row r="8" spans="1:8" hidden="1" x14ac:dyDescent="0.25">
      <c r="A8" t="s">
        <v>2309</v>
      </c>
      <c r="B8" t="s">
        <v>5443</v>
      </c>
      <c r="C8" t="s">
        <v>5444</v>
      </c>
      <c r="D8" s="147">
        <v>1800</v>
      </c>
      <c r="E8">
        <v>0</v>
      </c>
      <c r="F8">
        <v>0</v>
      </c>
      <c r="G8" t="s">
        <v>324</v>
      </c>
    </row>
    <row r="9" spans="1:8" hidden="1" x14ac:dyDescent="0.25">
      <c r="A9" t="s">
        <v>2309</v>
      </c>
      <c r="B9" t="s">
        <v>2587</v>
      </c>
      <c r="C9" t="s">
        <v>2588</v>
      </c>
      <c r="D9" s="147">
        <v>1755</v>
      </c>
      <c r="E9">
        <v>0</v>
      </c>
      <c r="F9">
        <v>0</v>
      </c>
      <c r="G9" t="s">
        <v>324</v>
      </c>
    </row>
    <row r="10" spans="1:8" hidden="1" x14ac:dyDescent="0.25">
      <c r="A10" t="s">
        <v>2309</v>
      </c>
      <c r="B10" t="s">
        <v>2589</v>
      </c>
      <c r="C10" t="s">
        <v>2590</v>
      </c>
      <c r="D10" s="147">
        <v>10866</v>
      </c>
      <c r="E10">
        <v>1</v>
      </c>
      <c r="F10">
        <v>0</v>
      </c>
      <c r="G10" t="s">
        <v>324</v>
      </c>
    </row>
    <row r="11" spans="1:8" hidden="1" x14ac:dyDescent="0.25">
      <c r="A11" t="s">
        <v>2309</v>
      </c>
      <c r="B11" t="s">
        <v>2591</v>
      </c>
      <c r="C11" t="s">
        <v>2592</v>
      </c>
      <c r="D11" s="147">
        <v>1191</v>
      </c>
      <c r="E11">
        <v>0</v>
      </c>
      <c r="F11">
        <v>0</v>
      </c>
      <c r="G11" t="s">
        <v>324</v>
      </c>
    </row>
    <row r="12" spans="1:8" hidden="1" x14ac:dyDescent="0.25">
      <c r="A12" t="s">
        <v>2309</v>
      </c>
      <c r="B12" t="s">
        <v>2593</v>
      </c>
      <c r="C12" t="s">
        <v>2594</v>
      </c>
      <c r="D12" s="147">
        <v>1536</v>
      </c>
      <c r="E12">
        <v>0</v>
      </c>
      <c r="F12">
        <v>0</v>
      </c>
      <c r="G12" t="s">
        <v>324</v>
      </c>
    </row>
    <row r="13" spans="1:8" hidden="1" x14ac:dyDescent="0.25">
      <c r="A13" t="s">
        <v>2309</v>
      </c>
      <c r="B13" t="s">
        <v>2595</v>
      </c>
      <c r="C13" t="s">
        <v>2596</v>
      </c>
      <c r="D13" s="147">
        <v>1473</v>
      </c>
      <c r="E13">
        <v>0</v>
      </c>
      <c r="F13">
        <v>0</v>
      </c>
      <c r="G13" t="s">
        <v>324</v>
      </c>
    </row>
    <row r="14" spans="1:8" hidden="1" x14ac:dyDescent="0.25">
      <c r="A14" t="s">
        <v>2309</v>
      </c>
      <c r="B14" t="s">
        <v>2597</v>
      </c>
      <c r="C14" t="s">
        <v>2598</v>
      </c>
      <c r="D14" s="147">
        <v>2240</v>
      </c>
      <c r="E14">
        <v>0</v>
      </c>
      <c r="F14">
        <v>0</v>
      </c>
      <c r="G14" t="s">
        <v>324</v>
      </c>
    </row>
    <row r="15" spans="1:8" hidden="1" x14ac:dyDescent="0.25">
      <c r="A15" t="s">
        <v>2309</v>
      </c>
      <c r="B15" t="s">
        <v>2599</v>
      </c>
      <c r="C15" t="s">
        <v>2600</v>
      </c>
      <c r="D15" s="147">
        <v>1814</v>
      </c>
      <c r="E15">
        <v>0</v>
      </c>
      <c r="F15">
        <v>0</v>
      </c>
      <c r="G15" t="s">
        <v>324</v>
      </c>
    </row>
    <row r="16" spans="1:8" hidden="1" x14ac:dyDescent="0.25">
      <c r="A16" t="s">
        <v>2309</v>
      </c>
      <c r="B16" t="s">
        <v>2601</v>
      </c>
      <c r="C16" t="s">
        <v>2602</v>
      </c>
      <c r="D16" s="147">
        <v>1961</v>
      </c>
      <c r="E16">
        <v>0</v>
      </c>
      <c r="F16">
        <v>0</v>
      </c>
      <c r="G16" t="s">
        <v>324</v>
      </c>
    </row>
    <row r="17" spans="1:7" hidden="1" x14ac:dyDescent="0.25">
      <c r="A17" t="s">
        <v>2309</v>
      </c>
      <c r="B17" t="s">
        <v>2603</v>
      </c>
      <c r="C17" t="s">
        <v>2604</v>
      </c>
      <c r="D17" s="147">
        <v>1734</v>
      </c>
      <c r="E17">
        <v>0</v>
      </c>
      <c r="F17">
        <v>0</v>
      </c>
      <c r="G17" t="s">
        <v>324</v>
      </c>
    </row>
    <row r="18" spans="1:7" hidden="1" x14ac:dyDescent="0.25">
      <c r="A18" t="s">
        <v>2309</v>
      </c>
      <c r="B18" t="s">
        <v>2605</v>
      </c>
      <c r="C18" t="s">
        <v>2606</v>
      </c>
      <c r="D18" s="147">
        <v>2277</v>
      </c>
      <c r="E18">
        <v>0</v>
      </c>
      <c r="F18">
        <v>0</v>
      </c>
      <c r="G18" t="s">
        <v>324</v>
      </c>
    </row>
    <row r="19" spans="1:7" hidden="1" x14ac:dyDescent="0.25">
      <c r="A19" t="s">
        <v>2309</v>
      </c>
      <c r="B19" t="s">
        <v>2607</v>
      </c>
      <c r="C19" t="s">
        <v>2608</v>
      </c>
      <c r="D19" s="147">
        <v>2345</v>
      </c>
      <c r="E19">
        <v>0</v>
      </c>
      <c r="F19">
        <v>0</v>
      </c>
      <c r="G19" t="s">
        <v>324</v>
      </c>
    </row>
    <row r="20" spans="1:7" hidden="1" x14ac:dyDescent="0.25">
      <c r="A20" t="s">
        <v>2309</v>
      </c>
      <c r="B20" t="s">
        <v>2609</v>
      </c>
      <c r="C20" t="s">
        <v>2610</v>
      </c>
      <c r="D20" s="147">
        <v>2038</v>
      </c>
      <c r="E20">
        <v>0</v>
      </c>
      <c r="F20">
        <v>0</v>
      </c>
      <c r="G20" t="s">
        <v>324</v>
      </c>
    </row>
    <row r="21" spans="1:7" hidden="1" x14ac:dyDescent="0.25">
      <c r="A21" t="s">
        <v>2309</v>
      </c>
      <c r="B21" t="s">
        <v>2611</v>
      </c>
      <c r="C21" t="s">
        <v>2612</v>
      </c>
      <c r="D21" s="147">
        <v>27403</v>
      </c>
      <c r="E21">
        <v>0</v>
      </c>
      <c r="F21">
        <v>0</v>
      </c>
      <c r="G21" t="s">
        <v>324</v>
      </c>
    </row>
    <row r="22" spans="1:7" hidden="1" x14ac:dyDescent="0.25">
      <c r="A22" t="s">
        <v>2309</v>
      </c>
      <c r="B22" t="s">
        <v>2613</v>
      </c>
      <c r="C22" t="s">
        <v>2614</v>
      </c>
      <c r="D22" s="147">
        <v>2157</v>
      </c>
      <c r="E22">
        <v>0</v>
      </c>
      <c r="F22">
        <v>0</v>
      </c>
      <c r="G22" t="s">
        <v>324</v>
      </c>
    </row>
    <row r="23" spans="1:7" hidden="1" x14ac:dyDescent="0.25">
      <c r="A23" t="s">
        <v>2309</v>
      </c>
      <c r="B23" t="s">
        <v>2615</v>
      </c>
      <c r="C23" t="s">
        <v>2616</v>
      </c>
      <c r="D23" s="147">
        <v>1686</v>
      </c>
      <c r="E23">
        <v>0</v>
      </c>
      <c r="F23">
        <v>0</v>
      </c>
      <c r="G23" t="s">
        <v>324</v>
      </c>
    </row>
    <row r="24" spans="1:7" hidden="1" x14ac:dyDescent="0.25">
      <c r="A24" t="s">
        <v>2309</v>
      </c>
      <c r="B24" t="s">
        <v>2617</v>
      </c>
      <c r="C24" t="s">
        <v>2618</v>
      </c>
      <c r="D24" s="147">
        <v>2900</v>
      </c>
      <c r="E24">
        <v>0</v>
      </c>
      <c r="F24">
        <v>0</v>
      </c>
      <c r="G24" t="s">
        <v>324</v>
      </c>
    </row>
    <row r="25" spans="1:7" hidden="1" x14ac:dyDescent="0.25">
      <c r="A25" t="s">
        <v>2309</v>
      </c>
      <c r="B25" t="s">
        <v>2619</v>
      </c>
      <c r="C25" t="s">
        <v>2620</v>
      </c>
      <c r="D25" s="147">
        <v>1407</v>
      </c>
      <c r="E25">
        <v>0</v>
      </c>
      <c r="F25">
        <v>0</v>
      </c>
      <c r="G25" t="s">
        <v>324</v>
      </c>
    </row>
    <row r="26" spans="1:7" hidden="1" x14ac:dyDescent="0.25">
      <c r="A26" t="s">
        <v>2309</v>
      </c>
      <c r="B26" t="s">
        <v>2621</v>
      </c>
      <c r="C26" t="s">
        <v>2622</v>
      </c>
      <c r="D26" s="147">
        <v>1417</v>
      </c>
      <c r="E26">
        <v>0</v>
      </c>
      <c r="F26">
        <v>0</v>
      </c>
      <c r="G26" t="s">
        <v>324</v>
      </c>
    </row>
    <row r="27" spans="1:7" hidden="1" x14ac:dyDescent="0.25">
      <c r="A27" t="s">
        <v>2309</v>
      </c>
      <c r="B27" t="s">
        <v>2623</v>
      </c>
      <c r="C27" t="s">
        <v>2624</v>
      </c>
      <c r="D27" s="147">
        <v>1380</v>
      </c>
      <c r="E27">
        <v>0</v>
      </c>
      <c r="F27">
        <v>0</v>
      </c>
      <c r="G27" t="s">
        <v>324</v>
      </c>
    </row>
    <row r="28" spans="1:7" hidden="1" x14ac:dyDescent="0.25">
      <c r="A28" t="s">
        <v>2309</v>
      </c>
      <c r="B28" t="s">
        <v>2625</v>
      </c>
      <c r="C28" t="s">
        <v>2626</v>
      </c>
      <c r="D28" s="147">
        <v>15045</v>
      </c>
      <c r="E28">
        <v>200</v>
      </c>
      <c r="F28">
        <v>0</v>
      </c>
      <c r="G28" t="s">
        <v>324</v>
      </c>
    </row>
    <row r="29" spans="1:7" hidden="1" x14ac:dyDescent="0.25">
      <c r="A29" t="s">
        <v>2309</v>
      </c>
      <c r="B29" t="s">
        <v>2627</v>
      </c>
      <c r="C29" t="s">
        <v>2628</v>
      </c>
      <c r="D29" s="147">
        <v>102980</v>
      </c>
      <c r="E29">
        <v>0</v>
      </c>
      <c r="F29">
        <v>0</v>
      </c>
      <c r="G29" t="s">
        <v>324</v>
      </c>
    </row>
    <row r="30" spans="1:7" hidden="1" x14ac:dyDescent="0.25">
      <c r="A30" t="s">
        <v>2309</v>
      </c>
      <c r="B30" t="s">
        <v>2629</v>
      </c>
      <c r="C30" t="s">
        <v>2630</v>
      </c>
      <c r="D30" s="147">
        <v>20700</v>
      </c>
      <c r="E30">
        <v>0</v>
      </c>
      <c r="F30">
        <v>0</v>
      </c>
      <c r="G30" t="s">
        <v>324</v>
      </c>
    </row>
    <row r="31" spans="1:7" hidden="1" x14ac:dyDescent="0.25">
      <c r="A31" t="s">
        <v>2309</v>
      </c>
      <c r="B31" t="s">
        <v>2631</v>
      </c>
      <c r="C31" t="s">
        <v>2632</v>
      </c>
      <c r="D31" s="147">
        <v>9375</v>
      </c>
      <c r="E31">
        <v>0</v>
      </c>
      <c r="F31">
        <v>0</v>
      </c>
      <c r="G31" t="s">
        <v>324</v>
      </c>
    </row>
    <row r="32" spans="1:7" hidden="1" x14ac:dyDescent="0.25">
      <c r="A32" t="s">
        <v>2309</v>
      </c>
      <c r="B32" t="s">
        <v>2633</v>
      </c>
      <c r="C32" t="s">
        <v>2634</v>
      </c>
      <c r="D32" s="147">
        <v>105340</v>
      </c>
      <c r="E32">
        <v>0</v>
      </c>
      <c r="F32">
        <v>0</v>
      </c>
      <c r="G32" t="s">
        <v>324</v>
      </c>
    </row>
    <row r="33" spans="1:7" hidden="1" x14ac:dyDescent="0.25">
      <c r="A33" t="s">
        <v>2309</v>
      </c>
      <c r="B33" t="s">
        <v>2635</v>
      </c>
      <c r="C33" t="s">
        <v>2636</v>
      </c>
      <c r="D33" s="147">
        <v>1275</v>
      </c>
      <c r="E33">
        <v>0</v>
      </c>
      <c r="F33">
        <v>0</v>
      </c>
      <c r="G33" t="s">
        <v>324</v>
      </c>
    </row>
    <row r="34" spans="1:7" hidden="1" x14ac:dyDescent="0.25">
      <c r="A34" t="s">
        <v>2309</v>
      </c>
      <c r="B34" t="s">
        <v>2637</v>
      </c>
      <c r="C34" t="s">
        <v>2638</v>
      </c>
      <c r="D34" s="147">
        <v>32125</v>
      </c>
      <c r="E34">
        <v>0</v>
      </c>
      <c r="F34">
        <v>0</v>
      </c>
      <c r="G34" t="s">
        <v>324</v>
      </c>
    </row>
    <row r="35" spans="1:7" hidden="1" x14ac:dyDescent="0.25">
      <c r="A35" t="s">
        <v>2309</v>
      </c>
      <c r="B35" t="s">
        <v>2639</v>
      </c>
      <c r="C35" t="s">
        <v>2640</v>
      </c>
      <c r="D35" s="147">
        <v>16001</v>
      </c>
      <c r="E35">
        <v>0</v>
      </c>
      <c r="F35">
        <v>0</v>
      </c>
      <c r="G35" t="s">
        <v>324</v>
      </c>
    </row>
    <row r="36" spans="1:7" hidden="1" x14ac:dyDescent="0.25">
      <c r="A36" t="s">
        <v>2309</v>
      </c>
      <c r="B36" t="s">
        <v>2641</v>
      </c>
      <c r="C36" t="s">
        <v>2642</v>
      </c>
      <c r="D36" s="147">
        <v>1165</v>
      </c>
      <c r="E36">
        <v>0</v>
      </c>
      <c r="F36">
        <v>0</v>
      </c>
      <c r="G36" t="s">
        <v>324</v>
      </c>
    </row>
    <row r="37" spans="1:7" hidden="1" x14ac:dyDescent="0.25">
      <c r="A37" t="s">
        <v>2309</v>
      </c>
      <c r="B37" t="s">
        <v>2643</v>
      </c>
      <c r="C37" t="s">
        <v>2644</v>
      </c>
      <c r="D37" s="147">
        <v>1452</v>
      </c>
      <c r="E37">
        <v>0</v>
      </c>
      <c r="F37">
        <v>0</v>
      </c>
      <c r="G37" t="s">
        <v>324</v>
      </c>
    </row>
    <row r="38" spans="1:7" hidden="1" x14ac:dyDescent="0.25">
      <c r="A38" t="s">
        <v>2309</v>
      </c>
      <c r="B38" t="s">
        <v>5445</v>
      </c>
      <c r="C38" t="s">
        <v>5446</v>
      </c>
      <c r="D38" s="147">
        <v>8980</v>
      </c>
      <c r="E38">
        <v>0</v>
      </c>
      <c r="F38">
        <v>0</v>
      </c>
      <c r="G38" t="s">
        <v>324</v>
      </c>
    </row>
    <row r="39" spans="1:7" hidden="1" x14ac:dyDescent="0.25">
      <c r="A39" t="s">
        <v>2309</v>
      </c>
      <c r="B39" t="s">
        <v>5447</v>
      </c>
      <c r="C39" t="s">
        <v>5448</v>
      </c>
      <c r="D39" s="147">
        <v>16780</v>
      </c>
      <c r="E39">
        <v>0</v>
      </c>
      <c r="F39">
        <v>0</v>
      </c>
      <c r="G39" t="s">
        <v>324</v>
      </c>
    </row>
    <row r="40" spans="1:7" hidden="1" x14ac:dyDescent="0.25">
      <c r="A40" t="s">
        <v>2309</v>
      </c>
      <c r="B40" t="s">
        <v>2645</v>
      </c>
      <c r="C40" t="s">
        <v>2646</v>
      </c>
      <c r="D40" s="147">
        <v>172305</v>
      </c>
      <c r="E40">
        <v>0</v>
      </c>
      <c r="F40">
        <v>0</v>
      </c>
      <c r="G40" t="s">
        <v>324</v>
      </c>
    </row>
    <row r="41" spans="1:7" hidden="1" x14ac:dyDescent="0.25">
      <c r="A41" t="s">
        <v>2309</v>
      </c>
      <c r="B41" t="s">
        <v>2647</v>
      </c>
      <c r="C41" t="s">
        <v>2648</v>
      </c>
      <c r="D41" s="147">
        <v>2180</v>
      </c>
      <c r="E41">
        <v>0</v>
      </c>
      <c r="F41">
        <v>0</v>
      </c>
      <c r="G41" t="s">
        <v>324</v>
      </c>
    </row>
    <row r="42" spans="1:7" hidden="1" x14ac:dyDescent="0.25">
      <c r="A42" t="s">
        <v>2309</v>
      </c>
      <c r="B42" t="s">
        <v>2649</v>
      </c>
      <c r="C42" t="s">
        <v>2650</v>
      </c>
      <c r="D42" s="147">
        <v>2060</v>
      </c>
      <c r="E42">
        <v>0</v>
      </c>
      <c r="F42">
        <v>0</v>
      </c>
      <c r="G42" t="s">
        <v>324</v>
      </c>
    </row>
    <row r="43" spans="1:7" hidden="1" x14ac:dyDescent="0.25">
      <c r="A43" t="s">
        <v>2309</v>
      </c>
      <c r="B43" t="s">
        <v>2651</v>
      </c>
      <c r="C43" t="s">
        <v>2652</v>
      </c>
      <c r="D43" s="147">
        <v>345234</v>
      </c>
      <c r="E43" s="147">
        <v>6157</v>
      </c>
      <c r="F43">
        <v>0</v>
      </c>
      <c r="G43" t="s">
        <v>324</v>
      </c>
    </row>
    <row r="44" spans="1:7" hidden="1" x14ac:dyDescent="0.25">
      <c r="A44" t="s">
        <v>2309</v>
      </c>
      <c r="B44" t="s">
        <v>2653</v>
      </c>
      <c r="C44" t="s">
        <v>2654</v>
      </c>
      <c r="D44" s="147">
        <v>52932</v>
      </c>
      <c r="E44">
        <v>0</v>
      </c>
      <c r="F44">
        <v>0</v>
      </c>
      <c r="G44" t="s">
        <v>324</v>
      </c>
    </row>
    <row r="45" spans="1:7" hidden="1" x14ac:dyDescent="0.25">
      <c r="A45" t="s">
        <v>2309</v>
      </c>
      <c r="B45" t="s">
        <v>2655</v>
      </c>
      <c r="C45" t="s">
        <v>2656</v>
      </c>
      <c r="D45" s="147">
        <v>418656</v>
      </c>
      <c r="E45">
        <v>0</v>
      </c>
      <c r="F45">
        <v>0</v>
      </c>
      <c r="G45" t="s">
        <v>324</v>
      </c>
    </row>
    <row r="46" spans="1:7" hidden="1" x14ac:dyDescent="0.25">
      <c r="A46" t="s">
        <v>2309</v>
      </c>
      <c r="B46" t="s">
        <v>2657</v>
      </c>
      <c r="C46" t="s">
        <v>2658</v>
      </c>
      <c r="D46" s="147">
        <v>1515</v>
      </c>
      <c r="E46">
        <v>0</v>
      </c>
      <c r="F46">
        <v>0</v>
      </c>
      <c r="G46" t="s">
        <v>324</v>
      </c>
    </row>
    <row r="47" spans="1:7" hidden="1" x14ac:dyDescent="0.25">
      <c r="A47" t="s">
        <v>2309</v>
      </c>
      <c r="B47" t="s">
        <v>2659</v>
      </c>
      <c r="C47" t="s">
        <v>2660</v>
      </c>
      <c r="D47" s="147">
        <v>3005</v>
      </c>
      <c r="E47">
        <v>0</v>
      </c>
      <c r="F47">
        <v>0</v>
      </c>
      <c r="G47" t="s">
        <v>324</v>
      </c>
    </row>
    <row r="48" spans="1:7" hidden="1" x14ac:dyDescent="0.25">
      <c r="A48" t="s">
        <v>2309</v>
      </c>
      <c r="B48" t="s">
        <v>2661</v>
      </c>
      <c r="C48" t="s">
        <v>2662</v>
      </c>
      <c r="D48" s="147">
        <v>5594</v>
      </c>
      <c r="E48">
        <v>0</v>
      </c>
      <c r="F48">
        <v>0</v>
      </c>
      <c r="G48" t="s">
        <v>324</v>
      </c>
    </row>
    <row r="49" spans="1:7" hidden="1" x14ac:dyDescent="0.25">
      <c r="A49" t="s">
        <v>2309</v>
      </c>
      <c r="B49" t="s">
        <v>2663</v>
      </c>
      <c r="C49" t="s">
        <v>2664</v>
      </c>
      <c r="D49" s="147">
        <v>3413</v>
      </c>
      <c r="E49">
        <v>0</v>
      </c>
      <c r="F49">
        <v>0</v>
      </c>
      <c r="G49" t="s">
        <v>324</v>
      </c>
    </row>
    <row r="50" spans="1:7" hidden="1" x14ac:dyDescent="0.25">
      <c r="A50" t="s">
        <v>2309</v>
      </c>
      <c r="B50" t="s">
        <v>2665</v>
      </c>
      <c r="C50" t="s">
        <v>2666</v>
      </c>
      <c r="D50" s="147">
        <v>3410</v>
      </c>
      <c r="E50">
        <v>0</v>
      </c>
      <c r="F50">
        <v>0</v>
      </c>
      <c r="G50" t="s">
        <v>324</v>
      </c>
    </row>
    <row r="51" spans="1:7" hidden="1" x14ac:dyDescent="0.25">
      <c r="A51" t="s">
        <v>2309</v>
      </c>
      <c r="B51" t="s">
        <v>2667</v>
      </c>
      <c r="C51" t="s">
        <v>2668</v>
      </c>
      <c r="D51">
        <v>174</v>
      </c>
      <c r="E51">
        <v>0</v>
      </c>
      <c r="F51">
        <v>0</v>
      </c>
      <c r="G51" t="s">
        <v>324</v>
      </c>
    </row>
    <row r="52" spans="1:7" hidden="1" x14ac:dyDescent="0.25">
      <c r="A52" t="s">
        <v>2309</v>
      </c>
      <c r="B52" t="s">
        <v>2669</v>
      </c>
      <c r="C52" t="s">
        <v>2670</v>
      </c>
      <c r="D52">
        <v>813</v>
      </c>
      <c r="E52">
        <v>0</v>
      </c>
      <c r="F52">
        <v>0</v>
      </c>
      <c r="G52" t="s">
        <v>324</v>
      </c>
    </row>
    <row r="53" spans="1:7" hidden="1" x14ac:dyDescent="0.25">
      <c r="A53" t="s">
        <v>2309</v>
      </c>
      <c r="B53" t="s">
        <v>2671</v>
      </c>
      <c r="C53" t="s">
        <v>2672</v>
      </c>
      <c r="D53" s="147">
        <v>1496</v>
      </c>
      <c r="E53">
        <v>0</v>
      </c>
      <c r="F53">
        <v>0</v>
      </c>
      <c r="G53" t="s">
        <v>324</v>
      </c>
    </row>
    <row r="54" spans="1:7" hidden="1" x14ac:dyDescent="0.25">
      <c r="A54" t="s">
        <v>2309</v>
      </c>
      <c r="B54" t="s">
        <v>2673</v>
      </c>
      <c r="C54" t="s">
        <v>2674</v>
      </c>
      <c r="D54" s="147">
        <v>1682</v>
      </c>
      <c r="E54">
        <v>0</v>
      </c>
      <c r="F54">
        <v>0</v>
      </c>
      <c r="G54" t="s">
        <v>324</v>
      </c>
    </row>
    <row r="55" spans="1:7" hidden="1" x14ac:dyDescent="0.25">
      <c r="A55" t="s">
        <v>2309</v>
      </c>
      <c r="B55" t="s">
        <v>2675</v>
      </c>
      <c r="C55" t="s">
        <v>2676</v>
      </c>
      <c r="D55" s="147">
        <v>9633</v>
      </c>
      <c r="E55">
        <v>0</v>
      </c>
      <c r="F55">
        <v>0</v>
      </c>
      <c r="G55" t="s">
        <v>324</v>
      </c>
    </row>
    <row r="56" spans="1:7" hidden="1" x14ac:dyDescent="0.25">
      <c r="A56" t="s">
        <v>2309</v>
      </c>
      <c r="B56" t="s">
        <v>2677</v>
      </c>
      <c r="C56" t="s">
        <v>2678</v>
      </c>
      <c r="D56" s="147">
        <v>5018</v>
      </c>
      <c r="E56">
        <v>0</v>
      </c>
      <c r="F56">
        <v>0</v>
      </c>
      <c r="G56" t="s">
        <v>324</v>
      </c>
    </row>
    <row r="57" spans="1:7" hidden="1" x14ac:dyDescent="0.25">
      <c r="A57" t="s">
        <v>2309</v>
      </c>
      <c r="B57" t="s">
        <v>2679</v>
      </c>
      <c r="C57" t="s">
        <v>2680</v>
      </c>
      <c r="D57" s="147">
        <v>1363</v>
      </c>
      <c r="E57">
        <v>0</v>
      </c>
      <c r="F57">
        <v>0</v>
      </c>
      <c r="G57" t="s">
        <v>324</v>
      </c>
    </row>
    <row r="58" spans="1:7" hidden="1" x14ac:dyDescent="0.25">
      <c r="A58" t="s">
        <v>2309</v>
      </c>
      <c r="B58" t="s">
        <v>2681</v>
      </c>
      <c r="C58" t="s">
        <v>2682</v>
      </c>
      <c r="D58" s="147">
        <v>5800</v>
      </c>
      <c r="E58">
        <v>0</v>
      </c>
      <c r="F58">
        <v>0</v>
      </c>
      <c r="G58" t="s">
        <v>324</v>
      </c>
    </row>
    <row r="59" spans="1:7" hidden="1" x14ac:dyDescent="0.25">
      <c r="A59" t="s">
        <v>2309</v>
      </c>
      <c r="B59" t="s">
        <v>2683</v>
      </c>
      <c r="C59" t="s">
        <v>2684</v>
      </c>
      <c r="D59" s="147">
        <v>10415</v>
      </c>
      <c r="E59">
        <v>0</v>
      </c>
      <c r="F59">
        <v>0</v>
      </c>
      <c r="G59" t="s">
        <v>324</v>
      </c>
    </row>
    <row r="60" spans="1:7" hidden="1" x14ac:dyDescent="0.25">
      <c r="A60" t="s">
        <v>2309</v>
      </c>
      <c r="B60" t="s">
        <v>2685</v>
      </c>
      <c r="C60" t="s">
        <v>2686</v>
      </c>
      <c r="D60">
        <v>770</v>
      </c>
      <c r="E60">
        <v>0</v>
      </c>
      <c r="F60">
        <v>0</v>
      </c>
      <c r="G60" t="s">
        <v>324</v>
      </c>
    </row>
    <row r="61" spans="1:7" hidden="1" x14ac:dyDescent="0.25">
      <c r="A61" t="s">
        <v>2309</v>
      </c>
      <c r="B61" t="s">
        <v>2687</v>
      </c>
      <c r="C61" t="s">
        <v>2688</v>
      </c>
      <c r="D61" s="147">
        <v>4552</v>
      </c>
      <c r="E61">
        <v>120</v>
      </c>
      <c r="F61">
        <v>0</v>
      </c>
      <c r="G61" t="s">
        <v>324</v>
      </c>
    </row>
    <row r="62" spans="1:7" hidden="1" x14ac:dyDescent="0.25">
      <c r="A62" t="s">
        <v>2309</v>
      </c>
      <c r="B62" t="s">
        <v>2689</v>
      </c>
      <c r="C62" t="s">
        <v>2690</v>
      </c>
      <c r="D62" s="147">
        <v>3948</v>
      </c>
      <c r="E62">
        <v>0</v>
      </c>
      <c r="F62">
        <v>0</v>
      </c>
      <c r="G62" t="s">
        <v>324</v>
      </c>
    </row>
    <row r="63" spans="1:7" hidden="1" x14ac:dyDescent="0.25">
      <c r="A63" t="s">
        <v>2309</v>
      </c>
      <c r="B63" t="s">
        <v>2691</v>
      </c>
      <c r="C63" t="s">
        <v>2692</v>
      </c>
      <c r="D63">
        <v>348</v>
      </c>
      <c r="E63">
        <v>0</v>
      </c>
      <c r="F63">
        <v>0</v>
      </c>
      <c r="G63" t="s">
        <v>324</v>
      </c>
    </row>
    <row r="64" spans="1:7" hidden="1" x14ac:dyDescent="0.25">
      <c r="A64" t="s">
        <v>2309</v>
      </c>
      <c r="B64" t="s">
        <v>2693</v>
      </c>
      <c r="C64" t="s">
        <v>2694</v>
      </c>
      <c r="D64" s="147">
        <v>78961</v>
      </c>
      <c r="E64">
        <v>0</v>
      </c>
      <c r="F64">
        <v>0</v>
      </c>
      <c r="G64" t="s">
        <v>324</v>
      </c>
    </row>
    <row r="65" spans="1:7" hidden="1" x14ac:dyDescent="0.25">
      <c r="A65" t="s">
        <v>2309</v>
      </c>
      <c r="B65" t="s">
        <v>2695</v>
      </c>
      <c r="C65" t="s">
        <v>2696</v>
      </c>
      <c r="D65" s="147">
        <v>90293</v>
      </c>
      <c r="E65">
        <v>0</v>
      </c>
      <c r="F65">
        <v>0</v>
      </c>
      <c r="G65" t="s">
        <v>324</v>
      </c>
    </row>
    <row r="66" spans="1:7" hidden="1" x14ac:dyDescent="0.25">
      <c r="A66" t="s">
        <v>2309</v>
      </c>
      <c r="B66" t="s">
        <v>2697</v>
      </c>
      <c r="C66" t="s">
        <v>2698</v>
      </c>
      <c r="D66">
        <v>525</v>
      </c>
      <c r="E66">
        <v>0</v>
      </c>
      <c r="F66">
        <v>0</v>
      </c>
      <c r="G66" t="s">
        <v>324</v>
      </c>
    </row>
    <row r="67" spans="1:7" hidden="1" x14ac:dyDescent="0.25">
      <c r="A67" t="s">
        <v>2309</v>
      </c>
      <c r="B67" t="s">
        <v>2699</v>
      </c>
      <c r="C67" t="s">
        <v>2700</v>
      </c>
      <c r="D67" s="147">
        <v>1559</v>
      </c>
      <c r="E67">
        <v>0</v>
      </c>
      <c r="F67">
        <v>0</v>
      </c>
      <c r="G67" t="s">
        <v>324</v>
      </c>
    </row>
    <row r="68" spans="1:7" hidden="1" x14ac:dyDescent="0.25">
      <c r="A68" t="s">
        <v>2309</v>
      </c>
      <c r="B68" t="s">
        <v>2701</v>
      </c>
      <c r="C68" t="s">
        <v>2702</v>
      </c>
      <c r="D68">
        <v>568</v>
      </c>
      <c r="E68">
        <v>0</v>
      </c>
      <c r="F68">
        <v>0</v>
      </c>
      <c r="G68" t="s">
        <v>324</v>
      </c>
    </row>
    <row r="69" spans="1:7" hidden="1" x14ac:dyDescent="0.25">
      <c r="A69" t="s">
        <v>2309</v>
      </c>
      <c r="B69" t="s">
        <v>2703</v>
      </c>
      <c r="C69" t="s">
        <v>2704</v>
      </c>
      <c r="D69">
        <v>803</v>
      </c>
      <c r="E69">
        <v>0</v>
      </c>
      <c r="F69">
        <v>0</v>
      </c>
      <c r="G69" t="s">
        <v>324</v>
      </c>
    </row>
    <row r="70" spans="1:7" hidden="1" x14ac:dyDescent="0.25">
      <c r="A70" t="s">
        <v>2309</v>
      </c>
      <c r="B70" t="s">
        <v>2705</v>
      </c>
      <c r="C70" t="s">
        <v>2706</v>
      </c>
      <c r="D70" s="147">
        <v>1161</v>
      </c>
      <c r="E70">
        <v>0</v>
      </c>
      <c r="F70">
        <v>0</v>
      </c>
      <c r="G70" t="s">
        <v>324</v>
      </c>
    </row>
    <row r="71" spans="1:7" hidden="1" x14ac:dyDescent="0.25">
      <c r="A71" t="s">
        <v>2309</v>
      </c>
      <c r="B71" t="s">
        <v>2707</v>
      </c>
      <c r="C71" t="s">
        <v>2708</v>
      </c>
      <c r="D71" s="147">
        <v>1340</v>
      </c>
      <c r="E71">
        <v>0</v>
      </c>
      <c r="F71">
        <v>0</v>
      </c>
      <c r="G71" t="s">
        <v>324</v>
      </c>
    </row>
    <row r="72" spans="1:7" hidden="1" x14ac:dyDescent="0.25">
      <c r="A72" t="s">
        <v>2309</v>
      </c>
      <c r="B72" t="s">
        <v>2709</v>
      </c>
      <c r="C72" t="s">
        <v>2710</v>
      </c>
      <c r="D72" s="147">
        <v>29300</v>
      </c>
      <c r="E72">
        <v>0</v>
      </c>
      <c r="F72">
        <v>0</v>
      </c>
      <c r="G72" t="s">
        <v>324</v>
      </c>
    </row>
    <row r="73" spans="1:7" hidden="1" x14ac:dyDescent="0.25">
      <c r="A73" t="s">
        <v>2309</v>
      </c>
      <c r="B73" t="s">
        <v>2711</v>
      </c>
      <c r="C73" t="s">
        <v>2712</v>
      </c>
      <c r="D73" s="147">
        <v>514118</v>
      </c>
      <c r="E73">
        <v>0</v>
      </c>
      <c r="F73">
        <v>0</v>
      </c>
      <c r="G73" t="s">
        <v>324</v>
      </c>
    </row>
    <row r="74" spans="1:7" hidden="1" x14ac:dyDescent="0.25">
      <c r="A74" t="s">
        <v>2309</v>
      </c>
      <c r="B74" t="s">
        <v>2713</v>
      </c>
      <c r="C74" t="s">
        <v>2714</v>
      </c>
      <c r="D74" s="147">
        <v>110025</v>
      </c>
      <c r="E74">
        <v>0</v>
      </c>
      <c r="F74">
        <v>0</v>
      </c>
      <c r="G74" t="s">
        <v>324</v>
      </c>
    </row>
    <row r="75" spans="1:7" hidden="1" x14ac:dyDescent="0.25">
      <c r="A75" t="s">
        <v>2309</v>
      </c>
      <c r="B75" t="s">
        <v>2715</v>
      </c>
      <c r="C75" t="s">
        <v>2716</v>
      </c>
      <c r="D75" s="147">
        <v>84141</v>
      </c>
      <c r="E75">
        <v>0</v>
      </c>
      <c r="F75">
        <v>0</v>
      </c>
      <c r="G75" t="s">
        <v>324</v>
      </c>
    </row>
    <row r="76" spans="1:7" hidden="1" x14ac:dyDescent="0.25">
      <c r="A76" t="s">
        <v>2309</v>
      </c>
      <c r="B76" t="s">
        <v>2717</v>
      </c>
      <c r="C76" t="s">
        <v>2718</v>
      </c>
      <c r="D76" s="147">
        <v>405775</v>
      </c>
      <c r="E76">
        <v>0</v>
      </c>
      <c r="F76">
        <v>0</v>
      </c>
      <c r="G76" t="s">
        <v>324</v>
      </c>
    </row>
    <row r="77" spans="1:7" hidden="1" x14ac:dyDescent="0.25">
      <c r="A77" t="s">
        <v>2309</v>
      </c>
      <c r="B77" t="s">
        <v>2719</v>
      </c>
      <c r="C77" t="s">
        <v>2720</v>
      </c>
      <c r="D77" s="147">
        <v>11801</v>
      </c>
      <c r="E77">
        <v>0</v>
      </c>
      <c r="F77">
        <v>0</v>
      </c>
      <c r="G77" t="s">
        <v>324</v>
      </c>
    </row>
    <row r="78" spans="1:7" hidden="1" x14ac:dyDescent="0.25">
      <c r="A78" t="s">
        <v>2309</v>
      </c>
      <c r="B78" t="s">
        <v>2721</v>
      </c>
      <c r="C78" t="s">
        <v>2722</v>
      </c>
      <c r="D78" s="147">
        <v>3238</v>
      </c>
      <c r="E78">
        <v>0</v>
      </c>
      <c r="F78">
        <v>0</v>
      </c>
      <c r="G78" t="s">
        <v>324</v>
      </c>
    </row>
    <row r="79" spans="1:7" hidden="1" x14ac:dyDescent="0.25">
      <c r="A79" t="s">
        <v>2309</v>
      </c>
      <c r="B79" t="s">
        <v>2723</v>
      </c>
      <c r="C79" t="s">
        <v>2724</v>
      </c>
      <c r="D79" s="147">
        <v>8758</v>
      </c>
      <c r="E79">
        <v>0</v>
      </c>
      <c r="F79">
        <v>0</v>
      </c>
      <c r="G79" t="s">
        <v>324</v>
      </c>
    </row>
    <row r="80" spans="1:7" hidden="1" x14ac:dyDescent="0.25">
      <c r="A80" t="s">
        <v>2309</v>
      </c>
      <c r="B80" t="s">
        <v>2725</v>
      </c>
      <c r="C80" t="s">
        <v>2726</v>
      </c>
      <c r="D80" s="147">
        <v>10268</v>
      </c>
      <c r="E80">
        <v>0</v>
      </c>
      <c r="F80">
        <v>0</v>
      </c>
      <c r="G80" t="s">
        <v>324</v>
      </c>
    </row>
    <row r="81" spans="1:7" hidden="1" x14ac:dyDescent="0.25">
      <c r="A81" t="s">
        <v>2309</v>
      </c>
      <c r="B81" t="s">
        <v>2727</v>
      </c>
      <c r="C81" t="s">
        <v>2728</v>
      </c>
      <c r="D81" s="147">
        <v>31847</v>
      </c>
      <c r="E81">
        <v>0</v>
      </c>
      <c r="F81">
        <v>0</v>
      </c>
      <c r="G81" t="s">
        <v>324</v>
      </c>
    </row>
    <row r="82" spans="1:7" hidden="1" x14ac:dyDescent="0.25">
      <c r="A82" t="s">
        <v>2309</v>
      </c>
      <c r="B82" t="s">
        <v>2729</v>
      </c>
      <c r="C82" t="s">
        <v>2730</v>
      </c>
      <c r="D82" s="147">
        <v>1904</v>
      </c>
      <c r="E82">
        <v>0</v>
      </c>
      <c r="F82">
        <v>0</v>
      </c>
      <c r="G82" t="s">
        <v>324</v>
      </c>
    </row>
    <row r="83" spans="1:7" hidden="1" x14ac:dyDescent="0.25">
      <c r="A83" t="s">
        <v>2309</v>
      </c>
      <c r="B83" t="s">
        <v>2731</v>
      </c>
      <c r="C83" t="s">
        <v>2732</v>
      </c>
      <c r="D83" s="147">
        <v>13930</v>
      </c>
      <c r="E83">
        <v>0</v>
      </c>
      <c r="F83">
        <v>0</v>
      </c>
      <c r="G83" t="s">
        <v>324</v>
      </c>
    </row>
    <row r="84" spans="1:7" hidden="1" x14ac:dyDescent="0.25">
      <c r="A84" t="s">
        <v>2309</v>
      </c>
      <c r="B84" t="s">
        <v>2733</v>
      </c>
      <c r="C84" t="s">
        <v>2734</v>
      </c>
      <c r="D84" s="147">
        <v>37458</v>
      </c>
      <c r="E84">
        <v>0</v>
      </c>
      <c r="F84">
        <v>0</v>
      </c>
      <c r="G84" t="s">
        <v>324</v>
      </c>
    </row>
    <row r="85" spans="1:7" hidden="1" x14ac:dyDescent="0.25">
      <c r="A85" t="s">
        <v>2309</v>
      </c>
      <c r="B85" t="s">
        <v>2735</v>
      </c>
      <c r="C85" t="s">
        <v>2736</v>
      </c>
      <c r="D85" s="147">
        <v>12227</v>
      </c>
      <c r="E85">
        <v>0</v>
      </c>
      <c r="F85">
        <v>0</v>
      </c>
      <c r="G85" t="s">
        <v>324</v>
      </c>
    </row>
    <row r="86" spans="1:7" hidden="1" x14ac:dyDescent="0.25">
      <c r="A86" t="s">
        <v>2309</v>
      </c>
      <c r="B86" t="s">
        <v>2737</v>
      </c>
      <c r="C86" t="s">
        <v>2738</v>
      </c>
      <c r="D86" s="147">
        <v>26680</v>
      </c>
      <c r="E86">
        <v>0</v>
      </c>
      <c r="F86">
        <v>0</v>
      </c>
      <c r="G86" t="s">
        <v>324</v>
      </c>
    </row>
    <row r="87" spans="1:7" hidden="1" x14ac:dyDescent="0.25">
      <c r="A87" t="s">
        <v>2309</v>
      </c>
      <c r="B87" t="s">
        <v>2739</v>
      </c>
      <c r="C87" t="s">
        <v>2740</v>
      </c>
      <c r="D87" s="147">
        <v>6033</v>
      </c>
      <c r="E87">
        <v>0</v>
      </c>
      <c r="F87">
        <v>0</v>
      </c>
      <c r="G87" t="s">
        <v>324</v>
      </c>
    </row>
    <row r="88" spans="1:7" hidden="1" x14ac:dyDescent="0.25">
      <c r="A88" t="s">
        <v>2309</v>
      </c>
      <c r="B88" t="s">
        <v>2741</v>
      </c>
      <c r="C88" t="s">
        <v>2742</v>
      </c>
      <c r="D88" s="147">
        <v>9024</v>
      </c>
      <c r="E88">
        <v>0</v>
      </c>
      <c r="F88">
        <v>0</v>
      </c>
      <c r="G88" t="s">
        <v>324</v>
      </c>
    </row>
    <row r="89" spans="1:7" hidden="1" x14ac:dyDescent="0.25">
      <c r="A89" t="s">
        <v>2309</v>
      </c>
      <c r="B89" t="s">
        <v>2743</v>
      </c>
      <c r="C89" t="s">
        <v>2744</v>
      </c>
      <c r="D89" s="147">
        <v>46288</v>
      </c>
      <c r="E89">
        <v>0</v>
      </c>
      <c r="F89">
        <v>0</v>
      </c>
      <c r="G89" t="s">
        <v>324</v>
      </c>
    </row>
    <row r="90" spans="1:7" hidden="1" x14ac:dyDescent="0.25">
      <c r="A90" t="s">
        <v>2309</v>
      </c>
      <c r="B90" t="s">
        <v>2745</v>
      </c>
      <c r="C90" t="s">
        <v>2746</v>
      </c>
      <c r="D90">
        <v>874</v>
      </c>
      <c r="E90">
        <v>0</v>
      </c>
      <c r="F90">
        <v>0</v>
      </c>
      <c r="G90" t="s">
        <v>324</v>
      </c>
    </row>
    <row r="91" spans="1:7" hidden="1" x14ac:dyDescent="0.25">
      <c r="A91" t="s">
        <v>2309</v>
      </c>
      <c r="B91" t="s">
        <v>2747</v>
      </c>
      <c r="C91" t="s">
        <v>2748</v>
      </c>
      <c r="D91" s="147">
        <v>1564</v>
      </c>
      <c r="E91">
        <v>0</v>
      </c>
      <c r="F91">
        <v>0</v>
      </c>
      <c r="G91" t="s">
        <v>324</v>
      </c>
    </row>
    <row r="92" spans="1:7" hidden="1" x14ac:dyDescent="0.25">
      <c r="A92" t="s">
        <v>2309</v>
      </c>
      <c r="B92" t="s">
        <v>2749</v>
      </c>
      <c r="C92" t="s">
        <v>2750</v>
      </c>
      <c r="D92" s="147">
        <v>15290</v>
      </c>
      <c r="E92">
        <v>0</v>
      </c>
      <c r="F92">
        <v>0</v>
      </c>
      <c r="G92" t="s">
        <v>324</v>
      </c>
    </row>
    <row r="93" spans="1:7" hidden="1" x14ac:dyDescent="0.25">
      <c r="A93" t="s">
        <v>2309</v>
      </c>
      <c r="B93" t="s">
        <v>2751</v>
      </c>
      <c r="C93" t="s">
        <v>2752</v>
      </c>
      <c r="D93" s="147">
        <v>1722</v>
      </c>
      <c r="E93">
        <v>0</v>
      </c>
      <c r="F93">
        <v>0</v>
      </c>
      <c r="G93" t="s">
        <v>324</v>
      </c>
    </row>
    <row r="94" spans="1:7" hidden="1" x14ac:dyDescent="0.25">
      <c r="A94" t="s">
        <v>2309</v>
      </c>
      <c r="B94" t="s">
        <v>2753</v>
      </c>
      <c r="C94" t="s">
        <v>2754</v>
      </c>
      <c r="D94" s="147">
        <v>2848</v>
      </c>
      <c r="E94">
        <v>0</v>
      </c>
      <c r="F94">
        <v>0</v>
      </c>
      <c r="G94" t="s">
        <v>324</v>
      </c>
    </row>
    <row r="95" spans="1:7" hidden="1" x14ac:dyDescent="0.25">
      <c r="A95" t="s">
        <v>2309</v>
      </c>
      <c r="B95" t="s">
        <v>2755</v>
      </c>
      <c r="C95" t="s">
        <v>2756</v>
      </c>
      <c r="D95">
        <v>639</v>
      </c>
      <c r="E95">
        <v>0</v>
      </c>
      <c r="F95">
        <v>0</v>
      </c>
      <c r="G95" t="s">
        <v>324</v>
      </c>
    </row>
    <row r="96" spans="1:7" hidden="1" x14ac:dyDescent="0.25">
      <c r="A96" t="s">
        <v>2309</v>
      </c>
      <c r="B96" t="s">
        <v>2757</v>
      </c>
      <c r="C96" t="s">
        <v>2758</v>
      </c>
      <c r="D96" s="147">
        <v>15095</v>
      </c>
      <c r="E96">
        <v>0</v>
      </c>
      <c r="F96">
        <v>0</v>
      </c>
      <c r="G96" t="s">
        <v>324</v>
      </c>
    </row>
    <row r="97" spans="1:7" hidden="1" x14ac:dyDescent="0.25">
      <c r="A97" t="s">
        <v>2309</v>
      </c>
      <c r="B97" t="s">
        <v>2759</v>
      </c>
      <c r="C97" t="s">
        <v>2760</v>
      </c>
      <c r="D97" s="147">
        <v>27389</v>
      </c>
      <c r="E97">
        <v>0</v>
      </c>
      <c r="F97">
        <v>0</v>
      </c>
      <c r="G97" t="s">
        <v>324</v>
      </c>
    </row>
    <row r="98" spans="1:7" hidden="1" x14ac:dyDescent="0.25">
      <c r="A98" t="s">
        <v>2309</v>
      </c>
      <c r="B98" t="s">
        <v>2761</v>
      </c>
      <c r="C98" t="s">
        <v>2762</v>
      </c>
      <c r="D98" s="147">
        <v>1000</v>
      </c>
      <c r="E98">
        <v>0</v>
      </c>
      <c r="F98">
        <v>0</v>
      </c>
      <c r="G98" t="s">
        <v>324</v>
      </c>
    </row>
    <row r="99" spans="1:7" hidden="1" x14ac:dyDescent="0.25">
      <c r="A99" t="s">
        <v>2309</v>
      </c>
      <c r="B99" t="s">
        <v>2763</v>
      </c>
      <c r="C99" t="s">
        <v>2764</v>
      </c>
      <c r="D99" s="147">
        <v>1000</v>
      </c>
      <c r="E99">
        <v>0</v>
      </c>
      <c r="F99">
        <v>0</v>
      </c>
      <c r="G99" t="s">
        <v>324</v>
      </c>
    </row>
    <row r="100" spans="1:7" hidden="1" x14ac:dyDescent="0.25">
      <c r="A100" t="s">
        <v>2309</v>
      </c>
      <c r="B100" t="s">
        <v>2765</v>
      </c>
      <c r="C100" t="s">
        <v>2766</v>
      </c>
      <c r="D100" s="147">
        <v>26642</v>
      </c>
      <c r="E100">
        <v>0</v>
      </c>
      <c r="F100">
        <v>0</v>
      </c>
      <c r="G100" t="s">
        <v>324</v>
      </c>
    </row>
    <row r="101" spans="1:7" hidden="1" x14ac:dyDescent="0.25">
      <c r="A101" t="s">
        <v>2309</v>
      </c>
      <c r="B101" t="s">
        <v>2767</v>
      </c>
      <c r="C101" t="s">
        <v>2768</v>
      </c>
      <c r="D101" s="147">
        <v>13013</v>
      </c>
      <c r="E101">
        <v>0</v>
      </c>
      <c r="F101">
        <v>0</v>
      </c>
      <c r="G101" t="s">
        <v>324</v>
      </c>
    </row>
    <row r="102" spans="1:7" hidden="1" x14ac:dyDescent="0.25">
      <c r="A102" t="s">
        <v>2309</v>
      </c>
      <c r="B102" t="s">
        <v>2769</v>
      </c>
      <c r="C102" t="s">
        <v>2770</v>
      </c>
      <c r="D102" s="147">
        <v>1232</v>
      </c>
      <c r="E102">
        <v>0</v>
      </c>
      <c r="F102">
        <v>0</v>
      </c>
      <c r="G102" t="s">
        <v>324</v>
      </c>
    </row>
    <row r="103" spans="1:7" hidden="1" x14ac:dyDescent="0.25">
      <c r="A103" t="s">
        <v>2309</v>
      </c>
      <c r="B103" t="s">
        <v>2771</v>
      </c>
      <c r="C103" t="s">
        <v>2772</v>
      </c>
      <c r="D103" s="147">
        <v>1322</v>
      </c>
      <c r="E103">
        <v>0</v>
      </c>
      <c r="F103">
        <v>0</v>
      </c>
      <c r="G103" t="s">
        <v>324</v>
      </c>
    </row>
    <row r="104" spans="1:7" hidden="1" x14ac:dyDescent="0.25">
      <c r="A104" t="s">
        <v>2309</v>
      </c>
      <c r="B104" t="s">
        <v>2773</v>
      </c>
      <c r="C104" t="s">
        <v>2774</v>
      </c>
      <c r="D104" s="147">
        <v>2475</v>
      </c>
      <c r="E104">
        <v>0</v>
      </c>
      <c r="F104">
        <v>0</v>
      </c>
      <c r="G104" t="s">
        <v>324</v>
      </c>
    </row>
    <row r="105" spans="1:7" hidden="1" x14ac:dyDescent="0.25">
      <c r="A105" t="s">
        <v>2309</v>
      </c>
      <c r="B105" t="s">
        <v>2775</v>
      </c>
      <c r="C105" t="s">
        <v>2776</v>
      </c>
      <c r="D105" s="147">
        <v>17850</v>
      </c>
      <c r="E105">
        <v>0</v>
      </c>
      <c r="F105">
        <v>0</v>
      </c>
      <c r="G105" t="s">
        <v>324</v>
      </c>
    </row>
    <row r="106" spans="1:7" hidden="1" x14ac:dyDescent="0.25">
      <c r="A106" t="s">
        <v>2309</v>
      </c>
      <c r="B106" t="s">
        <v>2777</v>
      </c>
      <c r="C106" t="s">
        <v>2778</v>
      </c>
      <c r="D106" s="147">
        <v>2878</v>
      </c>
      <c r="E106">
        <v>0</v>
      </c>
      <c r="F106">
        <v>0</v>
      </c>
      <c r="G106" t="s">
        <v>324</v>
      </c>
    </row>
    <row r="107" spans="1:7" hidden="1" x14ac:dyDescent="0.25">
      <c r="A107" t="s">
        <v>2309</v>
      </c>
      <c r="B107" t="s">
        <v>2779</v>
      </c>
      <c r="C107" t="s">
        <v>2780</v>
      </c>
      <c r="D107" s="147">
        <v>17909</v>
      </c>
      <c r="E107">
        <v>0</v>
      </c>
      <c r="F107">
        <v>0</v>
      </c>
      <c r="G107" t="s">
        <v>324</v>
      </c>
    </row>
    <row r="108" spans="1:7" hidden="1" x14ac:dyDescent="0.25">
      <c r="A108" t="s">
        <v>2309</v>
      </c>
      <c r="B108" t="s">
        <v>2781</v>
      </c>
      <c r="C108" t="s">
        <v>2782</v>
      </c>
      <c r="D108">
        <v>853</v>
      </c>
      <c r="E108">
        <v>0</v>
      </c>
      <c r="F108">
        <v>0</v>
      </c>
      <c r="G108" t="s">
        <v>324</v>
      </c>
    </row>
    <row r="109" spans="1:7" hidden="1" x14ac:dyDescent="0.25">
      <c r="A109" t="s">
        <v>2309</v>
      </c>
      <c r="B109" t="s">
        <v>2783</v>
      </c>
      <c r="C109" t="s">
        <v>2784</v>
      </c>
      <c r="D109" s="147">
        <v>1362</v>
      </c>
      <c r="E109">
        <v>0</v>
      </c>
      <c r="F109">
        <v>0</v>
      </c>
      <c r="G109" t="s">
        <v>324</v>
      </c>
    </row>
    <row r="110" spans="1:7" hidden="1" x14ac:dyDescent="0.25">
      <c r="A110" t="s">
        <v>2309</v>
      </c>
      <c r="B110" t="s">
        <v>325</v>
      </c>
      <c r="C110" t="s">
        <v>326</v>
      </c>
      <c r="D110" s="147">
        <v>7607</v>
      </c>
      <c r="E110">
        <v>0</v>
      </c>
      <c r="F110">
        <v>0</v>
      </c>
      <c r="G110" t="s">
        <v>324</v>
      </c>
    </row>
    <row r="111" spans="1:7" hidden="1" x14ac:dyDescent="0.25">
      <c r="A111" t="s">
        <v>2309</v>
      </c>
      <c r="B111" t="s">
        <v>327</v>
      </c>
      <c r="C111" t="s">
        <v>328</v>
      </c>
      <c r="D111" s="147">
        <v>1558</v>
      </c>
      <c r="E111">
        <v>0</v>
      </c>
      <c r="F111">
        <v>0</v>
      </c>
      <c r="G111" t="s">
        <v>324</v>
      </c>
    </row>
    <row r="112" spans="1:7" hidden="1" x14ac:dyDescent="0.25">
      <c r="A112" t="s">
        <v>2309</v>
      </c>
      <c r="B112" t="s">
        <v>329</v>
      </c>
      <c r="C112" t="s">
        <v>330</v>
      </c>
      <c r="D112">
        <v>63</v>
      </c>
      <c r="E112">
        <v>0</v>
      </c>
      <c r="F112">
        <v>0</v>
      </c>
      <c r="G112" t="s">
        <v>324</v>
      </c>
    </row>
    <row r="113" spans="1:7" hidden="1" x14ac:dyDescent="0.25">
      <c r="A113" t="s">
        <v>2309</v>
      </c>
      <c r="B113" t="s">
        <v>331</v>
      </c>
      <c r="C113" t="s">
        <v>1936</v>
      </c>
      <c r="D113">
        <v>806</v>
      </c>
      <c r="E113">
        <v>0</v>
      </c>
      <c r="F113">
        <v>0</v>
      </c>
      <c r="G113" t="s">
        <v>324</v>
      </c>
    </row>
    <row r="114" spans="1:7" hidden="1" x14ac:dyDescent="0.25">
      <c r="A114" t="s">
        <v>2309</v>
      </c>
      <c r="B114" t="s">
        <v>332</v>
      </c>
      <c r="C114" t="s">
        <v>333</v>
      </c>
      <c r="D114">
        <v>320</v>
      </c>
      <c r="E114">
        <v>0</v>
      </c>
      <c r="F114">
        <v>0</v>
      </c>
      <c r="G114" t="s">
        <v>324</v>
      </c>
    </row>
    <row r="115" spans="1:7" hidden="1" x14ac:dyDescent="0.25">
      <c r="A115" t="s">
        <v>2309</v>
      </c>
      <c r="B115" t="s">
        <v>334</v>
      </c>
      <c r="C115" t="s">
        <v>335</v>
      </c>
      <c r="D115" s="147">
        <v>8299</v>
      </c>
      <c r="E115">
        <v>0</v>
      </c>
      <c r="F115">
        <v>0</v>
      </c>
      <c r="G115" t="s">
        <v>324</v>
      </c>
    </row>
    <row r="116" spans="1:7" hidden="1" x14ac:dyDescent="0.25">
      <c r="A116" t="s">
        <v>2309</v>
      </c>
      <c r="B116" t="s">
        <v>336</v>
      </c>
      <c r="C116" t="s">
        <v>337</v>
      </c>
      <c r="D116" s="147">
        <v>5129</v>
      </c>
      <c r="E116">
        <v>0</v>
      </c>
      <c r="F116">
        <v>0</v>
      </c>
      <c r="G116" t="s">
        <v>324</v>
      </c>
    </row>
    <row r="117" spans="1:7" hidden="1" x14ac:dyDescent="0.25">
      <c r="A117" t="s">
        <v>2309</v>
      </c>
      <c r="B117" t="s">
        <v>338</v>
      </c>
      <c r="C117" t="s">
        <v>339</v>
      </c>
      <c r="D117" s="147">
        <v>1364</v>
      </c>
      <c r="E117">
        <v>0</v>
      </c>
      <c r="F117">
        <v>0</v>
      </c>
      <c r="G117" t="s">
        <v>324</v>
      </c>
    </row>
    <row r="118" spans="1:7" hidden="1" x14ac:dyDescent="0.25">
      <c r="A118" t="s">
        <v>2309</v>
      </c>
      <c r="B118" t="s">
        <v>340</v>
      </c>
      <c r="C118" t="s">
        <v>341</v>
      </c>
      <c r="D118" s="147">
        <v>7960</v>
      </c>
      <c r="E118">
        <v>0</v>
      </c>
      <c r="F118">
        <v>0</v>
      </c>
      <c r="G118" t="s">
        <v>324</v>
      </c>
    </row>
    <row r="119" spans="1:7" hidden="1" x14ac:dyDescent="0.25">
      <c r="A119" t="s">
        <v>2309</v>
      </c>
      <c r="B119" t="s">
        <v>342</v>
      </c>
      <c r="C119" t="s">
        <v>343</v>
      </c>
      <c r="D119">
        <v>550</v>
      </c>
      <c r="E119">
        <v>0</v>
      </c>
      <c r="F119">
        <v>0</v>
      </c>
      <c r="G119" t="s">
        <v>324</v>
      </c>
    </row>
    <row r="120" spans="1:7" hidden="1" x14ac:dyDescent="0.25">
      <c r="A120" t="s">
        <v>2309</v>
      </c>
      <c r="B120" t="s">
        <v>2785</v>
      </c>
      <c r="C120" t="s">
        <v>2786</v>
      </c>
      <c r="D120" s="147">
        <v>1133</v>
      </c>
      <c r="E120">
        <v>0</v>
      </c>
      <c r="F120">
        <v>0</v>
      </c>
      <c r="G120" t="s">
        <v>324</v>
      </c>
    </row>
    <row r="121" spans="1:7" hidden="1" x14ac:dyDescent="0.25">
      <c r="A121" t="s">
        <v>2309</v>
      </c>
      <c r="B121" t="s">
        <v>344</v>
      </c>
      <c r="C121" t="s">
        <v>345</v>
      </c>
      <c r="D121" s="147">
        <v>2147</v>
      </c>
      <c r="E121">
        <v>0</v>
      </c>
      <c r="F121">
        <v>0</v>
      </c>
      <c r="G121" t="s">
        <v>324</v>
      </c>
    </row>
    <row r="122" spans="1:7" hidden="1" x14ac:dyDescent="0.25">
      <c r="A122" t="s">
        <v>2309</v>
      </c>
      <c r="B122" t="s">
        <v>346</v>
      </c>
      <c r="C122" t="s">
        <v>347</v>
      </c>
      <c r="D122">
        <v>72</v>
      </c>
      <c r="E122">
        <v>0</v>
      </c>
      <c r="F122">
        <v>0</v>
      </c>
      <c r="G122" t="s">
        <v>324</v>
      </c>
    </row>
    <row r="123" spans="1:7" hidden="1" x14ac:dyDescent="0.25">
      <c r="A123" t="s">
        <v>2309</v>
      </c>
      <c r="B123" t="s">
        <v>348</v>
      </c>
      <c r="C123" t="s">
        <v>349</v>
      </c>
      <c r="D123" s="147">
        <v>1000</v>
      </c>
      <c r="E123">
        <v>0</v>
      </c>
      <c r="F123">
        <v>0</v>
      </c>
      <c r="G123" t="s">
        <v>324</v>
      </c>
    </row>
    <row r="124" spans="1:7" hidden="1" x14ac:dyDescent="0.25">
      <c r="A124" t="s">
        <v>2309</v>
      </c>
      <c r="B124" t="s">
        <v>350</v>
      </c>
      <c r="C124" t="s">
        <v>351</v>
      </c>
      <c r="D124" s="147">
        <v>2785</v>
      </c>
      <c r="E124">
        <v>0</v>
      </c>
      <c r="F124">
        <v>0</v>
      </c>
      <c r="G124" t="s">
        <v>324</v>
      </c>
    </row>
    <row r="125" spans="1:7" hidden="1" x14ac:dyDescent="0.25">
      <c r="A125" t="s">
        <v>2309</v>
      </c>
      <c r="B125" t="s">
        <v>352</v>
      </c>
      <c r="C125" t="s">
        <v>353</v>
      </c>
      <c r="D125" s="147">
        <v>22979</v>
      </c>
      <c r="E125">
        <v>0</v>
      </c>
      <c r="F125">
        <v>0</v>
      </c>
      <c r="G125" t="s">
        <v>324</v>
      </c>
    </row>
    <row r="126" spans="1:7" hidden="1" x14ac:dyDescent="0.25">
      <c r="A126" t="s">
        <v>2309</v>
      </c>
      <c r="B126" t="s">
        <v>354</v>
      </c>
      <c r="C126" t="s">
        <v>355</v>
      </c>
      <c r="D126">
        <v>122</v>
      </c>
      <c r="E126">
        <v>0</v>
      </c>
      <c r="F126">
        <v>0</v>
      </c>
      <c r="G126" t="s">
        <v>324</v>
      </c>
    </row>
    <row r="127" spans="1:7" hidden="1" x14ac:dyDescent="0.25">
      <c r="A127" t="s">
        <v>2309</v>
      </c>
      <c r="B127" t="s">
        <v>1689</v>
      </c>
      <c r="C127" t="s">
        <v>1690</v>
      </c>
      <c r="D127" s="147">
        <v>10220</v>
      </c>
      <c r="E127">
        <v>0</v>
      </c>
      <c r="F127">
        <v>0</v>
      </c>
      <c r="G127" t="s">
        <v>324</v>
      </c>
    </row>
    <row r="128" spans="1:7" hidden="1" x14ac:dyDescent="0.25">
      <c r="A128" t="s">
        <v>2309</v>
      </c>
      <c r="B128" t="s">
        <v>356</v>
      </c>
      <c r="C128" t="s">
        <v>357</v>
      </c>
      <c r="D128" s="147">
        <v>4395</v>
      </c>
      <c r="E128">
        <v>0</v>
      </c>
      <c r="F128">
        <v>0</v>
      </c>
      <c r="G128" t="s">
        <v>324</v>
      </c>
    </row>
    <row r="129" spans="1:7" hidden="1" x14ac:dyDescent="0.25">
      <c r="A129" t="s">
        <v>2309</v>
      </c>
      <c r="B129" t="s">
        <v>1855</v>
      </c>
      <c r="C129" t="s">
        <v>1856</v>
      </c>
      <c r="D129" s="147">
        <v>2598</v>
      </c>
      <c r="E129">
        <v>0</v>
      </c>
      <c r="F129">
        <v>0</v>
      </c>
      <c r="G129" t="s">
        <v>324</v>
      </c>
    </row>
    <row r="130" spans="1:7" hidden="1" x14ac:dyDescent="0.25">
      <c r="A130" t="s">
        <v>2309</v>
      </c>
      <c r="B130" t="s">
        <v>358</v>
      </c>
      <c r="C130" t="s">
        <v>1907</v>
      </c>
      <c r="D130">
        <v>407</v>
      </c>
      <c r="E130">
        <v>0</v>
      </c>
      <c r="F130">
        <v>0</v>
      </c>
      <c r="G130" t="s">
        <v>324</v>
      </c>
    </row>
    <row r="131" spans="1:7" hidden="1" x14ac:dyDescent="0.25">
      <c r="A131" t="s">
        <v>2309</v>
      </c>
      <c r="B131" t="s">
        <v>359</v>
      </c>
      <c r="C131" t="s">
        <v>360</v>
      </c>
      <c r="D131" s="147">
        <v>5100</v>
      </c>
      <c r="E131">
        <v>0</v>
      </c>
      <c r="F131">
        <v>0</v>
      </c>
      <c r="G131" t="s">
        <v>324</v>
      </c>
    </row>
    <row r="132" spans="1:7" hidden="1" x14ac:dyDescent="0.25">
      <c r="A132" t="s">
        <v>2309</v>
      </c>
      <c r="B132" t="s">
        <v>361</v>
      </c>
      <c r="C132" t="s">
        <v>362</v>
      </c>
      <c r="D132" s="147">
        <v>5194</v>
      </c>
      <c r="E132">
        <v>0</v>
      </c>
      <c r="F132">
        <v>0</v>
      </c>
      <c r="G132" t="s">
        <v>324</v>
      </c>
    </row>
    <row r="133" spans="1:7" hidden="1" x14ac:dyDescent="0.25">
      <c r="A133" t="s">
        <v>2309</v>
      </c>
      <c r="B133" t="s">
        <v>363</v>
      </c>
      <c r="C133" t="s">
        <v>364</v>
      </c>
      <c r="D133" s="147">
        <v>1166</v>
      </c>
      <c r="E133">
        <v>0</v>
      </c>
      <c r="F133">
        <v>0</v>
      </c>
      <c r="G133" t="s">
        <v>324</v>
      </c>
    </row>
    <row r="134" spans="1:7" hidden="1" x14ac:dyDescent="0.25">
      <c r="A134" t="s">
        <v>2309</v>
      </c>
      <c r="B134" t="s">
        <v>365</v>
      </c>
      <c r="C134" t="s">
        <v>366</v>
      </c>
      <c r="D134">
        <v>725</v>
      </c>
      <c r="E134">
        <v>0</v>
      </c>
      <c r="F134">
        <v>0</v>
      </c>
      <c r="G134" t="s">
        <v>324</v>
      </c>
    </row>
    <row r="135" spans="1:7" hidden="1" x14ac:dyDescent="0.25">
      <c r="A135" t="s">
        <v>2309</v>
      </c>
      <c r="B135" t="s">
        <v>367</v>
      </c>
      <c r="C135" t="s">
        <v>368</v>
      </c>
      <c r="D135" s="147">
        <v>4266</v>
      </c>
      <c r="E135">
        <v>0</v>
      </c>
      <c r="F135">
        <v>0</v>
      </c>
      <c r="G135" t="s">
        <v>324</v>
      </c>
    </row>
    <row r="136" spans="1:7" hidden="1" x14ac:dyDescent="0.25">
      <c r="A136" t="s">
        <v>2309</v>
      </c>
      <c r="B136" t="s">
        <v>369</v>
      </c>
      <c r="C136" t="s">
        <v>370</v>
      </c>
      <c r="D136">
        <v>730</v>
      </c>
      <c r="E136">
        <v>0</v>
      </c>
      <c r="F136">
        <v>0</v>
      </c>
      <c r="G136" t="s">
        <v>324</v>
      </c>
    </row>
    <row r="137" spans="1:7" hidden="1" x14ac:dyDescent="0.25">
      <c r="A137" t="s">
        <v>2309</v>
      </c>
      <c r="B137" t="s">
        <v>371</v>
      </c>
      <c r="C137" t="s">
        <v>372</v>
      </c>
      <c r="D137" s="147">
        <v>4286</v>
      </c>
      <c r="E137">
        <v>0</v>
      </c>
      <c r="F137">
        <v>0</v>
      </c>
      <c r="G137" t="s">
        <v>324</v>
      </c>
    </row>
    <row r="138" spans="1:7" hidden="1" x14ac:dyDescent="0.25">
      <c r="A138" t="s">
        <v>2309</v>
      </c>
      <c r="B138" t="s">
        <v>373</v>
      </c>
      <c r="C138" t="s">
        <v>374</v>
      </c>
      <c r="D138" s="147">
        <v>3300</v>
      </c>
      <c r="E138">
        <v>0</v>
      </c>
      <c r="F138">
        <v>0</v>
      </c>
      <c r="G138" t="s">
        <v>324</v>
      </c>
    </row>
    <row r="139" spans="1:7" hidden="1" x14ac:dyDescent="0.25">
      <c r="A139" t="s">
        <v>2309</v>
      </c>
      <c r="B139" t="s">
        <v>375</v>
      </c>
      <c r="C139" t="s">
        <v>376</v>
      </c>
      <c r="D139" s="147">
        <v>3132</v>
      </c>
      <c r="E139">
        <v>0</v>
      </c>
      <c r="F139">
        <v>0</v>
      </c>
      <c r="G139" t="s">
        <v>324</v>
      </c>
    </row>
    <row r="140" spans="1:7" hidden="1" x14ac:dyDescent="0.25">
      <c r="A140" t="s">
        <v>2309</v>
      </c>
      <c r="B140" t="s">
        <v>377</v>
      </c>
      <c r="C140" t="s">
        <v>378</v>
      </c>
      <c r="D140" s="147">
        <v>2413</v>
      </c>
      <c r="E140">
        <v>0</v>
      </c>
      <c r="F140">
        <v>0</v>
      </c>
      <c r="G140" t="s">
        <v>324</v>
      </c>
    </row>
    <row r="141" spans="1:7" hidden="1" x14ac:dyDescent="0.25">
      <c r="A141" t="s">
        <v>2309</v>
      </c>
      <c r="B141" t="s">
        <v>379</v>
      </c>
      <c r="C141" t="s">
        <v>380</v>
      </c>
      <c r="D141" s="147">
        <v>14520</v>
      </c>
      <c r="E141">
        <v>0</v>
      </c>
      <c r="F141">
        <v>0</v>
      </c>
      <c r="G141" t="s">
        <v>324</v>
      </c>
    </row>
    <row r="142" spans="1:7" hidden="1" x14ac:dyDescent="0.25">
      <c r="A142" t="s">
        <v>2309</v>
      </c>
      <c r="B142" t="s">
        <v>381</v>
      </c>
      <c r="C142" t="s">
        <v>382</v>
      </c>
      <c r="D142">
        <v>830</v>
      </c>
      <c r="E142">
        <v>0</v>
      </c>
      <c r="F142">
        <v>0</v>
      </c>
      <c r="G142" t="s">
        <v>324</v>
      </c>
    </row>
    <row r="143" spans="1:7" hidden="1" x14ac:dyDescent="0.25">
      <c r="A143" t="s">
        <v>2309</v>
      </c>
      <c r="B143" t="s">
        <v>383</v>
      </c>
      <c r="C143" t="s">
        <v>384</v>
      </c>
      <c r="D143" s="147">
        <v>1460</v>
      </c>
      <c r="E143">
        <v>0</v>
      </c>
      <c r="F143">
        <v>0</v>
      </c>
      <c r="G143" t="s">
        <v>324</v>
      </c>
    </row>
    <row r="144" spans="1:7" hidden="1" x14ac:dyDescent="0.25">
      <c r="A144" t="s">
        <v>2309</v>
      </c>
      <c r="B144" t="s">
        <v>385</v>
      </c>
      <c r="C144" t="s">
        <v>386</v>
      </c>
      <c r="D144" s="147">
        <v>27850</v>
      </c>
      <c r="E144">
        <v>0</v>
      </c>
      <c r="F144">
        <v>0</v>
      </c>
      <c r="G144" t="s">
        <v>324</v>
      </c>
    </row>
    <row r="145" spans="1:7" hidden="1" x14ac:dyDescent="0.25">
      <c r="A145" t="s">
        <v>2309</v>
      </c>
      <c r="B145" t="s">
        <v>387</v>
      </c>
      <c r="C145" t="s">
        <v>388</v>
      </c>
      <c r="D145" s="147">
        <v>4814</v>
      </c>
      <c r="E145">
        <v>0</v>
      </c>
      <c r="F145">
        <v>0</v>
      </c>
      <c r="G145" t="s">
        <v>324</v>
      </c>
    </row>
    <row r="146" spans="1:7" hidden="1" x14ac:dyDescent="0.25">
      <c r="A146" t="s">
        <v>2309</v>
      </c>
      <c r="B146" t="s">
        <v>389</v>
      </c>
      <c r="C146" t="s">
        <v>390</v>
      </c>
      <c r="D146" s="147">
        <v>16242</v>
      </c>
      <c r="E146">
        <v>0</v>
      </c>
      <c r="F146">
        <v>0</v>
      </c>
      <c r="G146" t="s">
        <v>324</v>
      </c>
    </row>
    <row r="147" spans="1:7" hidden="1" x14ac:dyDescent="0.25">
      <c r="A147" t="s">
        <v>2309</v>
      </c>
      <c r="B147" t="s">
        <v>391</v>
      </c>
      <c r="C147" t="s">
        <v>392</v>
      </c>
      <c r="D147" s="147">
        <v>3807</v>
      </c>
      <c r="E147">
        <v>0</v>
      </c>
      <c r="F147">
        <v>0</v>
      </c>
      <c r="G147" t="s">
        <v>324</v>
      </c>
    </row>
    <row r="148" spans="1:7" hidden="1" x14ac:dyDescent="0.25">
      <c r="A148" t="s">
        <v>2309</v>
      </c>
      <c r="B148" t="s">
        <v>393</v>
      </c>
      <c r="C148" t="s">
        <v>394</v>
      </c>
      <c r="D148" s="147">
        <v>7220</v>
      </c>
      <c r="E148">
        <v>0</v>
      </c>
      <c r="F148">
        <v>0</v>
      </c>
      <c r="G148" t="s">
        <v>324</v>
      </c>
    </row>
    <row r="149" spans="1:7" hidden="1" x14ac:dyDescent="0.25">
      <c r="A149" t="s">
        <v>2309</v>
      </c>
      <c r="B149" t="s">
        <v>395</v>
      </c>
      <c r="C149" t="s">
        <v>396</v>
      </c>
      <c r="D149" s="147">
        <v>2844</v>
      </c>
      <c r="E149">
        <v>0</v>
      </c>
      <c r="F149">
        <v>0</v>
      </c>
      <c r="G149" t="s">
        <v>324</v>
      </c>
    </row>
    <row r="150" spans="1:7" hidden="1" x14ac:dyDescent="0.25">
      <c r="A150" t="s">
        <v>2309</v>
      </c>
      <c r="B150" t="s">
        <v>397</v>
      </c>
      <c r="C150" t="s">
        <v>398</v>
      </c>
      <c r="D150">
        <v>612</v>
      </c>
      <c r="E150">
        <v>0</v>
      </c>
      <c r="F150">
        <v>0</v>
      </c>
      <c r="G150" t="s">
        <v>324</v>
      </c>
    </row>
    <row r="151" spans="1:7" hidden="1" x14ac:dyDescent="0.25">
      <c r="A151" t="s">
        <v>2309</v>
      </c>
      <c r="B151" t="s">
        <v>399</v>
      </c>
      <c r="C151" t="s">
        <v>400</v>
      </c>
      <c r="D151" s="147">
        <v>1835</v>
      </c>
      <c r="E151">
        <v>0</v>
      </c>
      <c r="F151">
        <v>0</v>
      </c>
      <c r="G151" t="s">
        <v>324</v>
      </c>
    </row>
    <row r="152" spans="1:7" hidden="1" x14ac:dyDescent="0.25">
      <c r="A152" t="s">
        <v>2309</v>
      </c>
      <c r="B152" t="s">
        <v>401</v>
      </c>
      <c r="C152" t="s">
        <v>402</v>
      </c>
      <c r="D152" s="147">
        <v>3698</v>
      </c>
      <c r="E152">
        <v>0</v>
      </c>
      <c r="F152">
        <v>0</v>
      </c>
      <c r="G152" t="s">
        <v>324</v>
      </c>
    </row>
    <row r="153" spans="1:7" hidden="1" x14ac:dyDescent="0.25">
      <c r="A153" t="s">
        <v>2309</v>
      </c>
      <c r="B153" t="s">
        <v>403</v>
      </c>
      <c r="C153" t="s">
        <v>404</v>
      </c>
      <c r="D153">
        <v>541</v>
      </c>
      <c r="E153">
        <v>0</v>
      </c>
      <c r="F153">
        <v>0</v>
      </c>
      <c r="G153" t="s">
        <v>324</v>
      </c>
    </row>
    <row r="154" spans="1:7" hidden="1" x14ac:dyDescent="0.25">
      <c r="A154" t="s">
        <v>2309</v>
      </c>
      <c r="B154" t="s">
        <v>405</v>
      </c>
      <c r="C154" t="s">
        <v>406</v>
      </c>
      <c r="D154" s="147">
        <v>2091</v>
      </c>
      <c r="E154">
        <v>0</v>
      </c>
      <c r="F154">
        <v>0</v>
      </c>
      <c r="G154" t="s">
        <v>324</v>
      </c>
    </row>
    <row r="155" spans="1:7" hidden="1" x14ac:dyDescent="0.25">
      <c r="A155" t="s">
        <v>2309</v>
      </c>
      <c r="B155" t="s">
        <v>407</v>
      </c>
      <c r="C155" t="s">
        <v>408</v>
      </c>
      <c r="D155">
        <v>88</v>
      </c>
      <c r="E155">
        <v>0</v>
      </c>
      <c r="F155">
        <v>0</v>
      </c>
      <c r="G155" t="s">
        <v>324</v>
      </c>
    </row>
    <row r="156" spans="1:7" hidden="1" x14ac:dyDescent="0.25">
      <c r="A156" t="s">
        <v>2309</v>
      </c>
      <c r="B156" t="s">
        <v>409</v>
      </c>
      <c r="C156" t="s">
        <v>410</v>
      </c>
      <c r="D156" s="147">
        <v>6275</v>
      </c>
      <c r="E156">
        <v>0</v>
      </c>
      <c r="F156">
        <v>0</v>
      </c>
      <c r="G156" t="s">
        <v>324</v>
      </c>
    </row>
    <row r="157" spans="1:7" hidden="1" x14ac:dyDescent="0.25">
      <c r="A157" t="s">
        <v>2309</v>
      </c>
      <c r="B157" t="s">
        <v>411</v>
      </c>
      <c r="C157" t="s">
        <v>412</v>
      </c>
      <c r="D157" s="147">
        <v>16921</v>
      </c>
      <c r="E157">
        <v>0</v>
      </c>
      <c r="F157">
        <v>0</v>
      </c>
      <c r="G157" t="s">
        <v>324</v>
      </c>
    </row>
    <row r="158" spans="1:7" hidden="1" x14ac:dyDescent="0.25">
      <c r="A158" t="s">
        <v>2309</v>
      </c>
      <c r="B158" t="s">
        <v>413</v>
      </c>
      <c r="C158" t="s">
        <v>414</v>
      </c>
      <c r="D158">
        <v>504</v>
      </c>
      <c r="E158">
        <v>0</v>
      </c>
      <c r="F158">
        <v>0</v>
      </c>
      <c r="G158" t="s">
        <v>324</v>
      </c>
    </row>
    <row r="159" spans="1:7" hidden="1" x14ac:dyDescent="0.25">
      <c r="A159" t="s">
        <v>2309</v>
      </c>
      <c r="B159" t="s">
        <v>415</v>
      </c>
      <c r="C159" t="s">
        <v>416</v>
      </c>
      <c r="D159" s="147">
        <v>1563</v>
      </c>
      <c r="E159">
        <v>0</v>
      </c>
      <c r="F159">
        <v>0</v>
      </c>
      <c r="G159" t="s">
        <v>324</v>
      </c>
    </row>
    <row r="160" spans="1:7" hidden="1" x14ac:dyDescent="0.25">
      <c r="A160" t="s">
        <v>2309</v>
      </c>
      <c r="B160" t="s">
        <v>1691</v>
      </c>
      <c r="C160" t="s">
        <v>1692</v>
      </c>
      <c r="D160">
        <v>585</v>
      </c>
      <c r="E160">
        <v>0</v>
      </c>
      <c r="F160">
        <v>0</v>
      </c>
      <c r="G160" t="s">
        <v>324</v>
      </c>
    </row>
    <row r="161" spans="1:7" hidden="1" x14ac:dyDescent="0.25">
      <c r="A161" t="s">
        <v>2309</v>
      </c>
      <c r="B161" t="s">
        <v>417</v>
      </c>
      <c r="C161" t="s">
        <v>418</v>
      </c>
      <c r="D161">
        <v>605</v>
      </c>
      <c r="E161">
        <v>0</v>
      </c>
      <c r="F161">
        <v>0</v>
      </c>
      <c r="G161" t="s">
        <v>324</v>
      </c>
    </row>
    <row r="162" spans="1:7" hidden="1" x14ac:dyDescent="0.25">
      <c r="A162" t="s">
        <v>2309</v>
      </c>
      <c r="B162" t="s">
        <v>419</v>
      </c>
      <c r="C162" t="s">
        <v>420</v>
      </c>
      <c r="D162" s="147">
        <v>7959</v>
      </c>
      <c r="E162">
        <v>0</v>
      </c>
      <c r="F162">
        <v>0</v>
      </c>
      <c r="G162" t="s">
        <v>324</v>
      </c>
    </row>
    <row r="163" spans="1:7" hidden="1" x14ac:dyDescent="0.25">
      <c r="A163" t="s">
        <v>2309</v>
      </c>
      <c r="B163" t="s">
        <v>421</v>
      </c>
      <c r="C163" t="s">
        <v>422</v>
      </c>
      <c r="D163" s="147">
        <v>2034</v>
      </c>
      <c r="E163">
        <v>0</v>
      </c>
      <c r="F163">
        <v>0</v>
      </c>
      <c r="G163" t="s">
        <v>324</v>
      </c>
    </row>
    <row r="164" spans="1:7" hidden="1" x14ac:dyDescent="0.25">
      <c r="A164" t="s">
        <v>2309</v>
      </c>
      <c r="B164" t="s">
        <v>423</v>
      </c>
      <c r="C164" t="s">
        <v>424</v>
      </c>
      <c r="D164" s="147">
        <v>3135</v>
      </c>
      <c r="E164">
        <v>0</v>
      </c>
      <c r="F164">
        <v>0</v>
      </c>
      <c r="G164" t="s">
        <v>324</v>
      </c>
    </row>
    <row r="165" spans="1:7" hidden="1" x14ac:dyDescent="0.25">
      <c r="A165" t="s">
        <v>2309</v>
      </c>
      <c r="B165" t="s">
        <v>425</v>
      </c>
      <c r="C165" t="s">
        <v>426</v>
      </c>
      <c r="D165" s="147">
        <v>8305</v>
      </c>
      <c r="E165">
        <v>0</v>
      </c>
      <c r="F165">
        <v>0</v>
      </c>
      <c r="G165" t="s">
        <v>324</v>
      </c>
    </row>
    <row r="166" spans="1:7" hidden="1" x14ac:dyDescent="0.25">
      <c r="A166" t="s">
        <v>2309</v>
      </c>
      <c r="B166" t="s">
        <v>427</v>
      </c>
      <c r="C166" t="s">
        <v>428</v>
      </c>
      <c r="D166" s="147">
        <v>1060</v>
      </c>
      <c r="E166">
        <v>0</v>
      </c>
      <c r="F166">
        <v>0</v>
      </c>
      <c r="G166" t="s">
        <v>324</v>
      </c>
    </row>
    <row r="167" spans="1:7" hidden="1" x14ac:dyDescent="0.25">
      <c r="A167" t="s">
        <v>2309</v>
      </c>
      <c r="B167" t="s">
        <v>429</v>
      </c>
      <c r="C167" t="s">
        <v>430</v>
      </c>
      <c r="D167" s="147">
        <v>3440</v>
      </c>
      <c r="E167">
        <v>0</v>
      </c>
      <c r="F167">
        <v>0</v>
      </c>
      <c r="G167" t="s">
        <v>324</v>
      </c>
    </row>
    <row r="168" spans="1:7" hidden="1" x14ac:dyDescent="0.25">
      <c r="A168" t="s">
        <v>2309</v>
      </c>
      <c r="B168" t="s">
        <v>2787</v>
      </c>
      <c r="C168" t="s">
        <v>2788</v>
      </c>
      <c r="D168">
        <v>610</v>
      </c>
      <c r="E168">
        <v>0</v>
      </c>
      <c r="F168">
        <v>0</v>
      </c>
      <c r="G168" t="s">
        <v>324</v>
      </c>
    </row>
    <row r="169" spans="1:7" hidden="1" x14ac:dyDescent="0.25">
      <c r="A169" t="s">
        <v>2309</v>
      </c>
      <c r="B169" t="s">
        <v>431</v>
      </c>
      <c r="C169" t="s">
        <v>432</v>
      </c>
      <c r="D169" s="147">
        <v>3100</v>
      </c>
      <c r="E169">
        <v>0</v>
      </c>
      <c r="F169">
        <v>0</v>
      </c>
      <c r="G169" t="s">
        <v>324</v>
      </c>
    </row>
    <row r="170" spans="1:7" hidden="1" x14ac:dyDescent="0.25">
      <c r="A170" t="s">
        <v>2309</v>
      </c>
      <c r="B170" t="s">
        <v>433</v>
      </c>
      <c r="C170" t="s">
        <v>434</v>
      </c>
      <c r="D170" s="147">
        <v>4148</v>
      </c>
      <c r="E170">
        <v>0</v>
      </c>
      <c r="F170">
        <v>0</v>
      </c>
      <c r="G170" t="s">
        <v>324</v>
      </c>
    </row>
    <row r="171" spans="1:7" hidden="1" x14ac:dyDescent="0.25">
      <c r="A171" t="s">
        <v>2309</v>
      </c>
      <c r="B171" t="s">
        <v>435</v>
      </c>
      <c r="C171" t="s">
        <v>436</v>
      </c>
      <c r="D171" s="147">
        <v>3732</v>
      </c>
      <c r="E171">
        <v>0</v>
      </c>
      <c r="F171">
        <v>0</v>
      </c>
      <c r="G171" t="s">
        <v>324</v>
      </c>
    </row>
    <row r="172" spans="1:7" hidden="1" x14ac:dyDescent="0.25">
      <c r="A172" t="s">
        <v>2309</v>
      </c>
      <c r="B172" t="s">
        <v>437</v>
      </c>
      <c r="C172" t="s">
        <v>1818</v>
      </c>
      <c r="D172">
        <v>590</v>
      </c>
      <c r="E172">
        <v>0</v>
      </c>
      <c r="F172">
        <v>0</v>
      </c>
      <c r="G172" t="s">
        <v>324</v>
      </c>
    </row>
    <row r="173" spans="1:7" hidden="1" x14ac:dyDescent="0.25">
      <c r="A173" t="s">
        <v>2309</v>
      </c>
      <c r="B173" t="s">
        <v>2968</v>
      </c>
      <c r="C173" t="s">
        <v>2969</v>
      </c>
      <c r="D173">
        <v>300</v>
      </c>
      <c r="E173">
        <v>0</v>
      </c>
      <c r="F173">
        <v>0</v>
      </c>
      <c r="G173" t="s">
        <v>324</v>
      </c>
    </row>
    <row r="174" spans="1:7" hidden="1" x14ac:dyDescent="0.25">
      <c r="A174" t="s">
        <v>2309</v>
      </c>
      <c r="B174" t="s">
        <v>438</v>
      </c>
      <c r="C174" t="s">
        <v>439</v>
      </c>
      <c r="D174">
        <v>143</v>
      </c>
      <c r="E174">
        <v>0</v>
      </c>
      <c r="F174">
        <v>0</v>
      </c>
      <c r="G174" t="s">
        <v>324</v>
      </c>
    </row>
    <row r="175" spans="1:7" hidden="1" x14ac:dyDescent="0.25">
      <c r="A175" t="s">
        <v>2309</v>
      </c>
      <c r="B175" t="s">
        <v>440</v>
      </c>
      <c r="C175" t="s">
        <v>441</v>
      </c>
      <c r="D175" s="147">
        <v>1850</v>
      </c>
      <c r="E175">
        <v>0</v>
      </c>
      <c r="F175">
        <v>0</v>
      </c>
      <c r="G175" t="s">
        <v>324</v>
      </c>
    </row>
    <row r="176" spans="1:7" hidden="1" x14ac:dyDescent="0.25">
      <c r="A176" t="s">
        <v>2309</v>
      </c>
      <c r="B176" t="s">
        <v>442</v>
      </c>
      <c r="C176" t="s">
        <v>443</v>
      </c>
      <c r="D176" s="147">
        <v>1764</v>
      </c>
      <c r="E176">
        <v>0</v>
      </c>
      <c r="F176">
        <v>0</v>
      </c>
      <c r="G176" t="s">
        <v>324</v>
      </c>
    </row>
    <row r="177" spans="1:7" hidden="1" x14ac:dyDescent="0.25">
      <c r="A177" t="s">
        <v>2309</v>
      </c>
      <c r="B177" t="s">
        <v>444</v>
      </c>
      <c r="C177" t="s">
        <v>445</v>
      </c>
      <c r="D177">
        <v>671</v>
      </c>
      <c r="E177">
        <v>0</v>
      </c>
      <c r="F177">
        <v>0</v>
      </c>
      <c r="G177" t="s">
        <v>324</v>
      </c>
    </row>
    <row r="178" spans="1:7" hidden="1" x14ac:dyDescent="0.25">
      <c r="A178" t="s">
        <v>2309</v>
      </c>
      <c r="B178" t="s">
        <v>1693</v>
      </c>
      <c r="C178" t="s">
        <v>1694</v>
      </c>
      <c r="D178" s="147">
        <v>1213</v>
      </c>
      <c r="E178">
        <v>0</v>
      </c>
      <c r="F178">
        <v>0</v>
      </c>
      <c r="G178" t="s">
        <v>324</v>
      </c>
    </row>
    <row r="179" spans="1:7" hidden="1" x14ac:dyDescent="0.25">
      <c r="A179" t="s">
        <v>2309</v>
      </c>
      <c r="B179" t="s">
        <v>446</v>
      </c>
      <c r="C179" t="s">
        <v>447</v>
      </c>
      <c r="D179">
        <v>140</v>
      </c>
      <c r="E179">
        <v>0</v>
      </c>
      <c r="F179">
        <v>0</v>
      </c>
      <c r="G179" t="s">
        <v>324</v>
      </c>
    </row>
    <row r="180" spans="1:7" hidden="1" x14ac:dyDescent="0.25">
      <c r="A180" t="s">
        <v>2309</v>
      </c>
      <c r="B180" t="s">
        <v>448</v>
      </c>
      <c r="C180" t="s">
        <v>449</v>
      </c>
      <c r="D180" s="147">
        <v>3029</v>
      </c>
      <c r="E180">
        <v>0</v>
      </c>
      <c r="F180">
        <v>0</v>
      </c>
      <c r="G180" t="s">
        <v>324</v>
      </c>
    </row>
    <row r="181" spans="1:7" hidden="1" x14ac:dyDescent="0.25">
      <c r="A181" t="s">
        <v>2309</v>
      </c>
      <c r="B181" t="s">
        <v>450</v>
      </c>
      <c r="C181" t="s">
        <v>451</v>
      </c>
      <c r="D181" s="147">
        <v>32240</v>
      </c>
      <c r="E181">
        <v>0</v>
      </c>
      <c r="F181">
        <v>0</v>
      </c>
      <c r="G181" t="s">
        <v>324</v>
      </c>
    </row>
    <row r="182" spans="1:7" hidden="1" x14ac:dyDescent="0.25">
      <c r="A182" t="s">
        <v>2309</v>
      </c>
      <c r="B182" t="s">
        <v>452</v>
      </c>
      <c r="C182" t="s">
        <v>453</v>
      </c>
      <c r="D182" s="147">
        <v>2769</v>
      </c>
      <c r="E182">
        <v>0</v>
      </c>
      <c r="F182">
        <v>0</v>
      </c>
      <c r="G182" t="s">
        <v>324</v>
      </c>
    </row>
    <row r="183" spans="1:7" hidden="1" x14ac:dyDescent="0.25">
      <c r="A183" t="s">
        <v>2309</v>
      </c>
      <c r="B183" t="s">
        <v>454</v>
      </c>
      <c r="C183" t="s">
        <v>455</v>
      </c>
      <c r="D183" s="147">
        <v>12335</v>
      </c>
      <c r="E183">
        <v>0</v>
      </c>
      <c r="F183">
        <v>0</v>
      </c>
      <c r="G183" t="s">
        <v>324</v>
      </c>
    </row>
    <row r="184" spans="1:7" hidden="1" x14ac:dyDescent="0.25">
      <c r="A184" t="s">
        <v>2309</v>
      </c>
      <c r="B184" t="s">
        <v>456</v>
      </c>
      <c r="C184" t="s">
        <v>457</v>
      </c>
      <c r="D184" s="147">
        <v>3159</v>
      </c>
      <c r="E184">
        <v>0</v>
      </c>
      <c r="F184">
        <v>0</v>
      </c>
      <c r="G184" t="s">
        <v>324</v>
      </c>
    </row>
    <row r="185" spans="1:7" hidden="1" x14ac:dyDescent="0.25">
      <c r="A185" t="s">
        <v>2309</v>
      </c>
      <c r="B185" t="s">
        <v>458</v>
      </c>
      <c r="C185" t="s">
        <v>459</v>
      </c>
      <c r="D185" s="147">
        <v>24388</v>
      </c>
      <c r="E185">
        <v>0</v>
      </c>
      <c r="F185">
        <v>0</v>
      </c>
      <c r="G185" t="s">
        <v>324</v>
      </c>
    </row>
    <row r="186" spans="1:7" hidden="1" x14ac:dyDescent="0.25">
      <c r="A186" t="s">
        <v>2309</v>
      </c>
      <c r="B186" t="s">
        <v>460</v>
      </c>
      <c r="C186" t="s">
        <v>2310</v>
      </c>
      <c r="D186" s="147">
        <v>4793</v>
      </c>
      <c r="E186">
        <v>0</v>
      </c>
      <c r="F186">
        <v>0</v>
      </c>
      <c r="G186" t="s">
        <v>324</v>
      </c>
    </row>
    <row r="187" spans="1:7" hidden="1" x14ac:dyDescent="0.25">
      <c r="A187" t="s">
        <v>2309</v>
      </c>
      <c r="B187" t="s">
        <v>461</v>
      </c>
      <c r="C187" t="s">
        <v>462</v>
      </c>
      <c r="D187" s="147">
        <v>18506</v>
      </c>
      <c r="E187">
        <v>0</v>
      </c>
      <c r="F187">
        <v>0</v>
      </c>
      <c r="G187" t="s">
        <v>324</v>
      </c>
    </row>
    <row r="188" spans="1:7" hidden="1" x14ac:dyDescent="0.25">
      <c r="A188" t="s">
        <v>2309</v>
      </c>
      <c r="B188" t="s">
        <v>463</v>
      </c>
      <c r="C188" t="s">
        <v>464</v>
      </c>
      <c r="D188" s="147">
        <v>2531</v>
      </c>
      <c r="E188">
        <v>0</v>
      </c>
      <c r="F188">
        <v>0</v>
      </c>
      <c r="G188" t="s">
        <v>324</v>
      </c>
    </row>
    <row r="189" spans="1:7" hidden="1" x14ac:dyDescent="0.25">
      <c r="A189" t="s">
        <v>2309</v>
      </c>
      <c r="B189" t="s">
        <v>465</v>
      </c>
      <c r="C189" t="s">
        <v>466</v>
      </c>
      <c r="D189">
        <v>18</v>
      </c>
      <c r="E189">
        <v>0</v>
      </c>
      <c r="F189">
        <v>0</v>
      </c>
      <c r="G189" t="s">
        <v>324</v>
      </c>
    </row>
    <row r="190" spans="1:7" hidden="1" x14ac:dyDescent="0.25">
      <c r="A190" t="s">
        <v>2309</v>
      </c>
      <c r="B190" t="s">
        <v>467</v>
      </c>
      <c r="C190" t="s">
        <v>468</v>
      </c>
      <c r="D190" s="147">
        <v>2385</v>
      </c>
      <c r="E190">
        <v>0</v>
      </c>
      <c r="F190">
        <v>0</v>
      </c>
      <c r="G190" t="s">
        <v>324</v>
      </c>
    </row>
    <row r="191" spans="1:7" hidden="1" x14ac:dyDescent="0.25">
      <c r="A191" t="s">
        <v>2309</v>
      </c>
      <c r="B191" t="s">
        <v>469</v>
      </c>
      <c r="C191" t="s">
        <v>470</v>
      </c>
      <c r="D191" s="147">
        <v>2290</v>
      </c>
      <c r="E191">
        <v>0</v>
      </c>
      <c r="F191">
        <v>0</v>
      </c>
      <c r="G191" t="s">
        <v>324</v>
      </c>
    </row>
    <row r="192" spans="1:7" hidden="1" x14ac:dyDescent="0.25">
      <c r="A192" t="s">
        <v>2309</v>
      </c>
      <c r="B192" t="s">
        <v>471</v>
      </c>
      <c r="C192" t="s">
        <v>472</v>
      </c>
      <c r="D192" s="147">
        <v>6840</v>
      </c>
      <c r="E192">
        <v>0</v>
      </c>
      <c r="F192">
        <v>0</v>
      </c>
      <c r="G192" t="s">
        <v>324</v>
      </c>
    </row>
    <row r="193" spans="1:7" hidden="1" x14ac:dyDescent="0.25">
      <c r="A193" t="s">
        <v>2309</v>
      </c>
      <c r="B193" t="s">
        <v>473</v>
      </c>
      <c r="C193" t="s">
        <v>474</v>
      </c>
      <c r="D193" s="147">
        <v>6213</v>
      </c>
      <c r="E193">
        <v>0</v>
      </c>
      <c r="F193">
        <v>0</v>
      </c>
      <c r="G193" t="s">
        <v>324</v>
      </c>
    </row>
    <row r="194" spans="1:7" hidden="1" x14ac:dyDescent="0.25">
      <c r="A194" t="s">
        <v>2309</v>
      </c>
      <c r="B194" t="s">
        <v>475</v>
      </c>
      <c r="C194" t="s">
        <v>476</v>
      </c>
      <c r="D194">
        <v>539</v>
      </c>
      <c r="E194">
        <v>0</v>
      </c>
      <c r="F194">
        <v>0</v>
      </c>
      <c r="G194" t="s">
        <v>324</v>
      </c>
    </row>
    <row r="195" spans="1:7" hidden="1" x14ac:dyDescent="0.25">
      <c r="A195" t="s">
        <v>2309</v>
      </c>
      <c r="B195" t="s">
        <v>477</v>
      </c>
      <c r="C195" t="s">
        <v>478</v>
      </c>
      <c r="D195">
        <v>500</v>
      </c>
      <c r="E195">
        <v>0</v>
      </c>
      <c r="F195">
        <v>0</v>
      </c>
      <c r="G195" t="s">
        <v>324</v>
      </c>
    </row>
    <row r="196" spans="1:7" hidden="1" x14ac:dyDescent="0.25">
      <c r="A196" t="s">
        <v>2309</v>
      </c>
      <c r="B196" t="s">
        <v>479</v>
      </c>
      <c r="C196" t="s">
        <v>1900</v>
      </c>
      <c r="D196" s="147">
        <v>1542</v>
      </c>
      <c r="E196">
        <v>0</v>
      </c>
      <c r="F196">
        <v>0</v>
      </c>
      <c r="G196" t="s">
        <v>324</v>
      </c>
    </row>
    <row r="197" spans="1:7" hidden="1" x14ac:dyDescent="0.25">
      <c r="A197" t="s">
        <v>2309</v>
      </c>
      <c r="B197" t="s">
        <v>480</v>
      </c>
      <c r="C197" t="s">
        <v>481</v>
      </c>
      <c r="D197" s="147">
        <v>1478</v>
      </c>
      <c r="E197">
        <v>0</v>
      </c>
      <c r="F197">
        <v>0</v>
      </c>
      <c r="G197" t="s">
        <v>324</v>
      </c>
    </row>
    <row r="198" spans="1:7" hidden="1" x14ac:dyDescent="0.25">
      <c r="A198" t="s">
        <v>2309</v>
      </c>
      <c r="B198" t="s">
        <v>1695</v>
      </c>
      <c r="C198" t="s">
        <v>1696</v>
      </c>
      <c r="D198" s="147">
        <v>1695</v>
      </c>
      <c r="E198">
        <v>0</v>
      </c>
      <c r="F198">
        <v>0</v>
      </c>
      <c r="G198" t="s">
        <v>324</v>
      </c>
    </row>
    <row r="199" spans="1:7" hidden="1" x14ac:dyDescent="0.25">
      <c r="A199" t="s">
        <v>2309</v>
      </c>
      <c r="B199" t="s">
        <v>482</v>
      </c>
      <c r="C199" t="s">
        <v>483</v>
      </c>
      <c r="D199" s="147">
        <v>3450</v>
      </c>
      <c r="E199">
        <v>0</v>
      </c>
      <c r="F199">
        <v>0</v>
      </c>
      <c r="G199" t="s">
        <v>324</v>
      </c>
    </row>
    <row r="200" spans="1:7" hidden="1" x14ac:dyDescent="0.25">
      <c r="A200" t="s">
        <v>2309</v>
      </c>
      <c r="B200" t="s">
        <v>484</v>
      </c>
      <c r="C200" t="s">
        <v>485</v>
      </c>
      <c r="D200" s="147">
        <v>9696</v>
      </c>
      <c r="E200">
        <v>0</v>
      </c>
      <c r="F200">
        <v>0</v>
      </c>
      <c r="G200" t="s">
        <v>324</v>
      </c>
    </row>
    <row r="201" spans="1:7" hidden="1" x14ac:dyDescent="0.25">
      <c r="A201" t="s">
        <v>2309</v>
      </c>
      <c r="B201" t="s">
        <v>486</v>
      </c>
      <c r="C201" t="s">
        <v>487</v>
      </c>
      <c r="D201" s="147">
        <v>1753</v>
      </c>
      <c r="E201">
        <v>0</v>
      </c>
      <c r="F201">
        <v>0</v>
      </c>
      <c r="G201" t="s">
        <v>324</v>
      </c>
    </row>
    <row r="202" spans="1:7" hidden="1" x14ac:dyDescent="0.25">
      <c r="A202" t="s">
        <v>2309</v>
      </c>
      <c r="B202" t="s">
        <v>1697</v>
      </c>
      <c r="C202" t="s">
        <v>1698</v>
      </c>
      <c r="D202" s="147">
        <v>1128</v>
      </c>
      <c r="E202">
        <v>0</v>
      </c>
      <c r="F202">
        <v>0</v>
      </c>
      <c r="G202" t="s">
        <v>324</v>
      </c>
    </row>
    <row r="203" spans="1:7" hidden="1" x14ac:dyDescent="0.25">
      <c r="A203" t="s">
        <v>2309</v>
      </c>
      <c r="B203" t="s">
        <v>488</v>
      </c>
      <c r="C203" t="s">
        <v>489</v>
      </c>
      <c r="D203" s="147">
        <v>3013</v>
      </c>
      <c r="E203">
        <v>0</v>
      </c>
      <c r="F203">
        <v>0</v>
      </c>
      <c r="G203" t="s">
        <v>324</v>
      </c>
    </row>
    <row r="204" spans="1:7" hidden="1" x14ac:dyDescent="0.25">
      <c r="A204" t="s">
        <v>2309</v>
      </c>
      <c r="B204" t="s">
        <v>490</v>
      </c>
      <c r="C204" t="s">
        <v>491</v>
      </c>
      <c r="D204" s="147">
        <v>1293</v>
      </c>
      <c r="E204">
        <v>0</v>
      </c>
      <c r="F204">
        <v>0</v>
      </c>
      <c r="G204" t="s">
        <v>324</v>
      </c>
    </row>
    <row r="205" spans="1:7" hidden="1" x14ac:dyDescent="0.25">
      <c r="A205" t="s">
        <v>2309</v>
      </c>
      <c r="B205" t="s">
        <v>492</v>
      </c>
      <c r="C205" t="s">
        <v>493</v>
      </c>
      <c r="D205" s="147">
        <v>5461</v>
      </c>
      <c r="E205">
        <v>0</v>
      </c>
      <c r="F205">
        <v>0</v>
      </c>
      <c r="G205" t="s">
        <v>324</v>
      </c>
    </row>
    <row r="206" spans="1:7" hidden="1" x14ac:dyDescent="0.25">
      <c r="A206" t="s">
        <v>2309</v>
      </c>
      <c r="B206" t="s">
        <v>494</v>
      </c>
      <c r="C206" t="s">
        <v>495</v>
      </c>
      <c r="D206" s="147">
        <v>31107</v>
      </c>
      <c r="E206">
        <v>0</v>
      </c>
      <c r="F206">
        <v>0</v>
      </c>
      <c r="G206" t="s">
        <v>324</v>
      </c>
    </row>
    <row r="207" spans="1:7" hidden="1" x14ac:dyDescent="0.25">
      <c r="A207" t="s">
        <v>2309</v>
      </c>
      <c r="B207" t="s">
        <v>496</v>
      </c>
      <c r="C207" t="s">
        <v>497</v>
      </c>
      <c r="D207">
        <v>787</v>
      </c>
      <c r="E207">
        <v>0</v>
      </c>
      <c r="F207">
        <v>0</v>
      </c>
      <c r="G207" t="s">
        <v>324</v>
      </c>
    </row>
    <row r="208" spans="1:7" hidden="1" x14ac:dyDescent="0.25">
      <c r="A208" t="s">
        <v>2309</v>
      </c>
      <c r="B208" t="s">
        <v>498</v>
      </c>
      <c r="C208" t="s">
        <v>499</v>
      </c>
      <c r="D208" s="147">
        <v>2687</v>
      </c>
      <c r="E208">
        <v>0</v>
      </c>
      <c r="F208">
        <v>0</v>
      </c>
      <c r="G208" t="s">
        <v>324</v>
      </c>
    </row>
    <row r="209" spans="1:7" hidden="1" x14ac:dyDescent="0.25">
      <c r="A209" t="s">
        <v>2309</v>
      </c>
      <c r="B209" t="s">
        <v>500</v>
      </c>
      <c r="C209" t="s">
        <v>501</v>
      </c>
      <c r="D209" s="147">
        <v>8027</v>
      </c>
      <c r="E209">
        <v>0</v>
      </c>
      <c r="F209">
        <v>0</v>
      </c>
      <c r="G209" t="s">
        <v>324</v>
      </c>
    </row>
    <row r="210" spans="1:7" hidden="1" x14ac:dyDescent="0.25">
      <c r="A210" t="s">
        <v>2309</v>
      </c>
      <c r="B210" t="s">
        <v>502</v>
      </c>
      <c r="C210" t="s">
        <v>503</v>
      </c>
      <c r="D210" s="147">
        <v>5528</v>
      </c>
      <c r="E210">
        <v>0</v>
      </c>
      <c r="F210">
        <v>0</v>
      </c>
      <c r="G210" t="s">
        <v>324</v>
      </c>
    </row>
    <row r="211" spans="1:7" hidden="1" x14ac:dyDescent="0.25">
      <c r="A211" t="s">
        <v>2309</v>
      </c>
      <c r="B211" t="s">
        <v>504</v>
      </c>
      <c r="C211" t="s">
        <v>505</v>
      </c>
      <c r="D211" s="147">
        <v>1390</v>
      </c>
      <c r="E211">
        <v>0</v>
      </c>
      <c r="F211">
        <v>0</v>
      </c>
      <c r="G211" t="s">
        <v>324</v>
      </c>
    </row>
    <row r="212" spans="1:7" hidden="1" x14ac:dyDescent="0.25">
      <c r="A212" t="s">
        <v>2309</v>
      </c>
      <c r="B212" t="s">
        <v>506</v>
      </c>
      <c r="C212" t="s">
        <v>507</v>
      </c>
      <c r="D212" s="147">
        <v>4335</v>
      </c>
      <c r="E212">
        <v>0</v>
      </c>
      <c r="F212">
        <v>0</v>
      </c>
      <c r="G212" t="s">
        <v>324</v>
      </c>
    </row>
    <row r="213" spans="1:7" hidden="1" x14ac:dyDescent="0.25">
      <c r="A213" t="s">
        <v>2309</v>
      </c>
      <c r="B213" t="s">
        <v>508</v>
      </c>
      <c r="C213" t="s">
        <v>509</v>
      </c>
      <c r="D213" s="147">
        <v>10020</v>
      </c>
      <c r="E213">
        <v>0</v>
      </c>
      <c r="F213">
        <v>0</v>
      </c>
      <c r="G213" t="s">
        <v>324</v>
      </c>
    </row>
    <row r="214" spans="1:7" hidden="1" x14ac:dyDescent="0.25">
      <c r="A214" t="s">
        <v>2309</v>
      </c>
      <c r="B214" t="s">
        <v>510</v>
      </c>
      <c r="C214" t="s">
        <v>511</v>
      </c>
      <c r="D214" s="147">
        <v>1370</v>
      </c>
      <c r="E214">
        <v>0</v>
      </c>
      <c r="F214">
        <v>0</v>
      </c>
      <c r="G214" t="s">
        <v>324</v>
      </c>
    </row>
    <row r="215" spans="1:7" hidden="1" x14ac:dyDescent="0.25">
      <c r="A215" t="s">
        <v>2309</v>
      </c>
      <c r="B215" t="s">
        <v>512</v>
      </c>
      <c r="C215" t="s">
        <v>513</v>
      </c>
      <c r="D215" s="147">
        <v>2198</v>
      </c>
      <c r="E215">
        <v>0</v>
      </c>
      <c r="F215">
        <v>0</v>
      </c>
      <c r="G215" t="s">
        <v>324</v>
      </c>
    </row>
    <row r="216" spans="1:7" hidden="1" x14ac:dyDescent="0.25">
      <c r="A216" t="s">
        <v>2309</v>
      </c>
      <c r="B216" t="s">
        <v>514</v>
      </c>
      <c r="C216" t="s">
        <v>515</v>
      </c>
      <c r="D216" s="147">
        <v>2977</v>
      </c>
      <c r="E216">
        <v>0</v>
      </c>
      <c r="F216">
        <v>0</v>
      </c>
      <c r="G216" t="s">
        <v>324</v>
      </c>
    </row>
    <row r="217" spans="1:7" hidden="1" x14ac:dyDescent="0.25">
      <c r="A217" t="s">
        <v>2309</v>
      </c>
      <c r="B217" t="s">
        <v>516</v>
      </c>
      <c r="C217" t="s">
        <v>517</v>
      </c>
      <c r="D217" s="147">
        <v>6331</v>
      </c>
      <c r="E217">
        <v>0</v>
      </c>
      <c r="F217">
        <v>0</v>
      </c>
      <c r="G217" t="s">
        <v>324</v>
      </c>
    </row>
    <row r="218" spans="1:7" hidden="1" x14ac:dyDescent="0.25">
      <c r="A218" t="s">
        <v>2309</v>
      </c>
      <c r="B218" t="s">
        <v>518</v>
      </c>
      <c r="C218" t="s">
        <v>519</v>
      </c>
      <c r="D218" s="147">
        <v>18770</v>
      </c>
      <c r="E218">
        <v>0</v>
      </c>
      <c r="F218">
        <v>0</v>
      </c>
      <c r="G218" t="s">
        <v>324</v>
      </c>
    </row>
    <row r="219" spans="1:7" hidden="1" x14ac:dyDescent="0.25">
      <c r="A219" t="s">
        <v>2309</v>
      </c>
      <c r="B219" t="s">
        <v>2789</v>
      </c>
      <c r="C219" t="s">
        <v>2790</v>
      </c>
      <c r="D219">
        <v>320</v>
      </c>
      <c r="E219">
        <v>0</v>
      </c>
      <c r="F219">
        <v>0</v>
      </c>
      <c r="G219" t="s">
        <v>324</v>
      </c>
    </row>
    <row r="220" spans="1:7" hidden="1" x14ac:dyDescent="0.25">
      <c r="A220" t="s">
        <v>2309</v>
      </c>
      <c r="B220" t="s">
        <v>520</v>
      </c>
      <c r="C220" t="s">
        <v>521</v>
      </c>
      <c r="D220" s="147">
        <v>2153</v>
      </c>
      <c r="E220">
        <v>0</v>
      </c>
      <c r="F220">
        <v>0</v>
      </c>
      <c r="G220" t="s">
        <v>324</v>
      </c>
    </row>
    <row r="221" spans="1:7" hidden="1" x14ac:dyDescent="0.25">
      <c r="A221" t="s">
        <v>2309</v>
      </c>
      <c r="B221" t="s">
        <v>522</v>
      </c>
      <c r="C221" t="s">
        <v>523</v>
      </c>
      <c r="D221" s="147">
        <v>1565</v>
      </c>
      <c r="E221">
        <v>0</v>
      </c>
      <c r="F221">
        <v>0</v>
      </c>
      <c r="G221" t="s">
        <v>324</v>
      </c>
    </row>
    <row r="222" spans="1:7" hidden="1" x14ac:dyDescent="0.25">
      <c r="A222" t="s">
        <v>2309</v>
      </c>
      <c r="B222" t="s">
        <v>524</v>
      </c>
      <c r="C222" t="s">
        <v>525</v>
      </c>
      <c r="D222" s="147">
        <v>4197</v>
      </c>
      <c r="E222">
        <v>0</v>
      </c>
      <c r="F222">
        <v>0</v>
      </c>
      <c r="G222" t="s">
        <v>324</v>
      </c>
    </row>
    <row r="223" spans="1:7" hidden="1" x14ac:dyDescent="0.25">
      <c r="A223" t="s">
        <v>2309</v>
      </c>
      <c r="B223" t="s">
        <v>526</v>
      </c>
      <c r="C223" t="s">
        <v>527</v>
      </c>
      <c r="D223" s="147">
        <v>5079</v>
      </c>
      <c r="E223">
        <v>0</v>
      </c>
      <c r="F223">
        <v>0</v>
      </c>
      <c r="G223" t="s">
        <v>324</v>
      </c>
    </row>
    <row r="224" spans="1:7" hidden="1" x14ac:dyDescent="0.25">
      <c r="A224" t="s">
        <v>2309</v>
      </c>
      <c r="B224" t="s">
        <v>528</v>
      </c>
      <c r="C224" t="s">
        <v>529</v>
      </c>
      <c r="D224" s="147">
        <v>1716</v>
      </c>
      <c r="E224">
        <v>0</v>
      </c>
      <c r="F224">
        <v>0</v>
      </c>
      <c r="G224" t="s">
        <v>324</v>
      </c>
    </row>
    <row r="225" spans="1:7" hidden="1" x14ac:dyDescent="0.25">
      <c r="A225" t="s">
        <v>2309</v>
      </c>
      <c r="B225" t="s">
        <v>530</v>
      </c>
      <c r="C225" t="s">
        <v>531</v>
      </c>
      <c r="D225" s="147">
        <v>1743</v>
      </c>
      <c r="E225">
        <v>0</v>
      </c>
      <c r="F225">
        <v>0</v>
      </c>
      <c r="G225" t="s">
        <v>324</v>
      </c>
    </row>
    <row r="226" spans="1:7" hidden="1" x14ac:dyDescent="0.25">
      <c r="A226" t="s">
        <v>2309</v>
      </c>
      <c r="B226" t="s">
        <v>532</v>
      </c>
      <c r="C226" t="s">
        <v>533</v>
      </c>
      <c r="D226" s="147">
        <v>1272</v>
      </c>
      <c r="E226">
        <v>0</v>
      </c>
      <c r="F226">
        <v>0</v>
      </c>
      <c r="G226" t="s">
        <v>324</v>
      </c>
    </row>
    <row r="227" spans="1:7" hidden="1" x14ac:dyDescent="0.25">
      <c r="A227" t="s">
        <v>2309</v>
      </c>
      <c r="B227" t="s">
        <v>534</v>
      </c>
      <c r="C227" t="s">
        <v>535</v>
      </c>
      <c r="D227" s="147">
        <v>3399</v>
      </c>
      <c r="E227">
        <v>0</v>
      </c>
      <c r="F227">
        <v>0</v>
      </c>
      <c r="G227" t="s">
        <v>324</v>
      </c>
    </row>
    <row r="228" spans="1:7" hidden="1" x14ac:dyDescent="0.25">
      <c r="A228" t="s">
        <v>2309</v>
      </c>
      <c r="B228" t="s">
        <v>536</v>
      </c>
      <c r="C228" t="s">
        <v>537</v>
      </c>
      <c r="D228" s="147">
        <v>1489</v>
      </c>
      <c r="E228">
        <v>0</v>
      </c>
      <c r="F228">
        <v>0</v>
      </c>
      <c r="G228" t="s">
        <v>324</v>
      </c>
    </row>
    <row r="229" spans="1:7" hidden="1" x14ac:dyDescent="0.25">
      <c r="A229" t="s">
        <v>2309</v>
      </c>
      <c r="B229" t="s">
        <v>538</v>
      </c>
      <c r="C229" t="s">
        <v>539</v>
      </c>
      <c r="D229" s="147">
        <v>1167</v>
      </c>
      <c r="E229">
        <v>0</v>
      </c>
      <c r="F229">
        <v>0</v>
      </c>
      <c r="G229" t="s">
        <v>324</v>
      </c>
    </row>
    <row r="230" spans="1:7" hidden="1" x14ac:dyDescent="0.25">
      <c r="A230" t="s">
        <v>2309</v>
      </c>
      <c r="B230" t="s">
        <v>540</v>
      </c>
      <c r="C230" t="s">
        <v>541</v>
      </c>
      <c r="D230">
        <v>680</v>
      </c>
      <c r="E230">
        <v>0</v>
      </c>
      <c r="F230">
        <v>0</v>
      </c>
      <c r="G230" t="s">
        <v>324</v>
      </c>
    </row>
    <row r="231" spans="1:7" hidden="1" x14ac:dyDescent="0.25">
      <c r="A231" t="s">
        <v>2309</v>
      </c>
      <c r="B231" t="s">
        <v>1755</v>
      </c>
      <c r="C231" t="s">
        <v>1756</v>
      </c>
      <c r="D231" s="147">
        <v>3160</v>
      </c>
      <c r="E231">
        <v>0</v>
      </c>
      <c r="F231">
        <v>0</v>
      </c>
      <c r="G231" t="s">
        <v>324</v>
      </c>
    </row>
    <row r="232" spans="1:7" hidden="1" x14ac:dyDescent="0.25">
      <c r="A232" t="s">
        <v>2309</v>
      </c>
      <c r="B232" t="s">
        <v>542</v>
      </c>
      <c r="C232" t="s">
        <v>543</v>
      </c>
      <c r="D232" s="147">
        <v>2723</v>
      </c>
      <c r="E232">
        <v>0</v>
      </c>
      <c r="F232">
        <v>0</v>
      </c>
      <c r="G232" t="s">
        <v>324</v>
      </c>
    </row>
    <row r="233" spans="1:7" hidden="1" x14ac:dyDescent="0.25">
      <c r="A233" t="s">
        <v>2309</v>
      </c>
      <c r="B233" t="s">
        <v>5324</v>
      </c>
      <c r="C233" t="s">
        <v>5449</v>
      </c>
      <c r="D233">
        <v>425</v>
      </c>
      <c r="E233">
        <v>0</v>
      </c>
      <c r="F233">
        <v>0</v>
      </c>
      <c r="G233" t="s">
        <v>324</v>
      </c>
    </row>
    <row r="234" spans="1:7" hidden="1" x14ac:dyDescent="0.25">
      <c r="A234" t="s">
        <v>2309</v>
      </c>
      <c r="B234" t="s">
        <v>544</v>
      </c>
      <c r="C234" t="s">
        <v>545</v>
      </c>
      <c r="D234" s="147">
        <v>7710</v>
      </c>
      <c r="E234">
        <v>0</v>
      </c>
      <c r="F234">
        <v>0</v>
      </c>
      <c r="G234" t="s">
        <v>324</v>
      </c>
    </row>
    <row r="235" spans="1:7" hidden="1" x14ac:dyDescent="0.25">
      <c r="A235" t="s">
        <v>2309</v>
      </c>
      <c r="B235" t="s">
        <v>546</v>
      </c>
      <c r="C235" t="s">
        <v>547</v>
      </c>
      <c r="D235" s="147">
        <v>1403</v>
      </c>
      <c r="E235">
        <v>0</v>
      </c>
      <c r="F235">
        <v>0</v>
      </c>
      <c r="G235" t="s">
        <v>324</v>
      </c>
    </row>
    <row r="236" spans="1:7" hidden="1" x14ac:dyDescent="0.25">
      <c r="A236" t="s">
        <v>2309</v>
      </c>
      <c r="B236" t="s">
        <v>548</v>
      </c>
      <c r="C236" t="s">
        <v>549</v>
      </c>
      <c r="D236" s="147">
        <v>10253</v>
      </c>
      <c r="E236">
        <v>0</v>
      </c>
      <c r="F236">
        <v>0</v>
      </c>
      <c r="G236" t="s">
        <v>324</v>
      </c>
    </row>
    <row r="237" spans="1:7" hidden="1" x14ac:dyDescent="0.25">
      <c r="A237" t="s">
        <v>2309</v>
      </c>
      <c r="B237" t="s">
        <v>550</v>
      </c>
      <c r="C237" t="s">
        <v>551</v>
      </c>
      <c r="D237" s="147">
        <v>4212</v>
      </c>
      <c r="E237">
        <v>0</v>
      </c>
      <c r="F237">
        <v>0</v>
      </c>
      <c r="G237" t="s">
        <v>324</v>
      </c>
    </row>
    <row r="238" spans="1:7" hidden="1" x14ac:dyDescent="0.25">
      <c r="A238" t="s">
        <v>2309</v>
      </c>
      <c r="B238" t="s">
        <v>552</v>
      </c>
      <c r="C238" t="s">
        <v>553</v>
      </c>
      <c r="D238" s="147">
        <v>1886</v>
      </c>
      <c r="E238">
        <v>0</v>
      </c>
      <c r="F238">
        <v>0</v>
      </c>
      <c r="G238" t="s">
        <v>324</v>
      </c>
    </row>
    <row r="239" spans="1:7" hidden="1" x14ac:dyDescent="0.25">
      <c r="A239" t="s">
        <v>2309</v>
      </c>
      <c r="B239" t="s">
        <v>554</v>
      </c>
      <c r="C239" t="s">
        <v>555</v>
      </c>
      <c r="D239">
        <v>612</v>
      </c>
      <c r="E239">
        <v>0</v>
      </c>
      <c r="F239">
        <v>0</v>
      </c>
      <c r="G239" t="s">
        <v>324</v>
      </c>
    </row>
    <row r="240" spans="1:7" hidden="1" x14ac:dyDescent="0.25">
      <c r="A240" t="s">
        <v>2309</v>
      </c>
      <c r="B240" t="s">
        <v>556</v>
      </c>
      <c r="C240" t="s">
        <v>557</v>
      </c>
      <c r="D240" s="147">
        <v>13245</v>
      </c>
      <c r="E240">
        <v>0</v>
      </c>
      <c r="F240">
        <v>0</v>
      </c>
      <c r="G240" t="s">
        <v>324</v>
      </c>
    </row>
    <row r="241" spans="1:7" hidden="1" x14ac:dyDescent="0.25">
      <c r="A241" t="s">
        <v>2309</v>
      </c>
      <c r="B241" t="s">
        <v>558</v>
      </c>
      <c r="C241" t="s">
        <v>559</v>
      </c>
      <c r="D241" s="147">
        <v>2277</v>
      </c>
      <c r="E241">
        <v>0</v>
      </c>
      <c r="F241">
        <v>0</v>
      </c>
      <c r="G241" t="s">
        <v>324</v>
      </c>
    </row>
    <row r="242" spans="1:7" hidden="1" x14ac:dyDescent="0.25">
      <c r="A242" t="s">
        <v>2309</v>
      </c>
      <c r="B242" t="s">
        <v>560</v>
      </c>
      <c r="C242" t="s">
        <v>561</v>
      </c>
      <c r="D242">
        <v>447</v>
      </c>
      <c r="E242">
        <v>0</v>
      </c>
      <c r="F242">
        <v>0</v>
      </c>
      <c r="G242" t="s">
        <v>324</v>
      </c>
    </row>
    <row r="243" spans="1:7" hidden="1" x14ac:dyDescent="0.25">
      <c r="A243" t="s">
        <v>2309</v>
      </c>
      <c r="B243" t="s">
        <v>562</v>
      </c>
      <c r="C243" t="s">
        <v>563</v>
      </c>
      <c r="D243" s="147">
        <v>1876</v>
      </c>
      <c r="E243">
        <v>0</v>
      </c>
      <c r="F243">
        <v>0</v>
      </c>
      <c r="G243" t="s">
        <v>324</v>
      </c>
    </row>
    <row r="244" spans="1:7" hidden="1" x14ac:dyDescent="0.25">
      <c r="A244" t="s">
        <v>2309</v>
      </c>
      <c r="B244" t="s">
        <v>564</v>
      </c>
      <c r="C244" t="s">
        <v>565</v>
      </c>
      <c r="D244" s="147">
        <v>1951</v>
      </c>
      <c r="E244">
        <v>0</v>
      </c>
      <c r="F244">
        <v>0</v>
      </c>
      <c r="G244" t="s">
        <v>324</v>
      </c>
    </row>
    <row r="245" spans="1:7" hidden="1" x14ac:dyDescent="0.25">
      <c r="A245" t="s">
        <v>2309</v>
      </c>
      <c r="B245" t="s">
        <v>566</v>
      </c>
      <c r="C245" t="s">
        <v>567</v>
      </c>
      <c r="D245" s="147">
        <v>24742</v>
      </c>
      <c r="E245">
        <v>0</v>
      </c>
      <c r="F245">
        <v>0</v>
      </c>
      <c r="G245" t="s">
        <v>324</v>
      </c>
    </row>
    <row r="246" spans="1:7" hidden="1" x14ac:dyDescent="0.25">
      <c r="A246" t="s">
        <v>2309</v>
      </c>
      <c r="B246" t="s">
        <v>568</v>
      </c>
      <c r="C246" t="s">
        <v>569</v>
      </c>
      <c r="D246" s="147">
        <v>1301</v>
      </c>
      <c r="E246">
        <v>0</v>
      </c>
      <c r="F246">
        <v>0</v>
      </c>
      <c r="G246" t="s">
        <v>324</v>
      </c>
    </row>
    <row r="247" spans="1:7" hidden="1" x14ac:dyDescent="0.25">
      <c r="A247" t="s">
        <v>2309</v>
      </c>
      <c r="B247" t="s">
        <v>570</v>
      </c>
      <c r="C247" t="s">
        <v>571</v>
      </c>
      <c r="D247" s="147">
        <v>1222</v>
      </c>
      <c r="E247">
        <v>0</v>
      </c>
      <c r="F247">
        <v>0</v>
      </c>
      <c r="G247" t="s">
        <v>324</v>
      </c>
    </row>
    <row r="248" spans="1:7" hidden="1" x14ac:dyDescent="0.25">
      <c r="A248" t="s">
        <v>2309</v>
      </c>
      <c r="B248" t="s">
        <v>572</v>
      </c>
      <c r="C248" t="s">
        <v>573</v>
      </c>
      <c r="D248" s="147">
        <v>24060</v>
      </c>
      <c r="E248">
        <v>0</v>
      </c>
      <c r="F248">
        <v>0</v>
      </c>
      <c r="G248" t="s">
        <v>324</v>
      </c>
    </row>
    <row r="249" spans="1:7" hidden="1" x14ac:dyDescent="0.25">
      <c r="A249" t="s">
        <v>2309</v>
      </c>
      <c r="B249" t="s">
        <v>574</v>
      </c>
      <c r="C249" t="s">
        <v>575</v>
      </c>
      <c r="D249" s="147">
        <v>7396</v>
      </c>
      <c r="E249">
        <v>0</v>
      </c>
      <c r="F249">
        <v>0</v>
      </c>
      <c r="G249" t="s">
        <v>324</v>
      </c>
    </row>
    <row r="250" spans="1:7" hidden="1" x14ac:dyDescent="0.25">
      <c r="A250" t="s">
        <v>2309</v>
      </c>
      <c r="B250" t="s">
        <v>576</v>
      </c>
      <c r="C250" t="s">
        <v>577</v>
      </c>
      <c r="D250" s="147">
        <v>1610</v>
      </c>
      <c r="E250">
        <v>0</v>
      </c>
      <c r="F250">
        <v>0</v>
      </c>
      <c r="G250" t="s">
        <v>324</v>
      </c>
    </row>
    <row r="251" spans="1:7" hidden="1" x14ac:dyDescent="0.25">
      <c r="A251" t="s">
        <v>2309</v>
      </c>
      <c r="B251" t="s">
        <v>1699</v>
      </c>
      <c r="C251" t="s">
        <v>1700</v>
      </c>
      <c r="D251" s="147">
        <v>2856</v>
      </c>
      <c r="E251">
        <v>0</v>
      </c>
      <c r="F251">
        <v>0</v>
      </c>
      <c r="G251" t="s">
        <v>324</v>
      </c>
    </row>
    <row r="252" spans="1:7" hidden="1" x14ac:dyDescent="0.25">
      <c r="A252" t="s">
        <v>2309</v>
      </c>
      <c r="B252" t="s">
        <v>578</v>
      </c>
      <c r="C252" t="s">
        <v>579</v>
      </c>
      <c r="D252" s="147">
        <v>11374</v>
      </c>
      <c r="E252">
        <v>0</v>
      </c>
      <c r="F252">
        <v>0</v>
      </c>
      <c r="G252" t="s">
        <v>324</v>
      </c>
    </row>
    <row r="253" spans="1:7" hidden="1" x14ac:dyDescent="0.25">
      <c r="A253" t="s">
        <v>2309</v>
      </c>
      <c r="B253" t="s">
        <v>580</v>
      </c>
      <c r="C253" t="s">
        <v>581</v>
      </c>
      <c r="D253" s="147">
        <v>4564</v>
      </c>
      <c r="E253">
        <v>0</v>
      </c>
      <c r="F253">
        <v>0</v>
      </c>
      <c r="G253" t="s">
        <v>324</v>
      </c>
    </row>
    <row r="254" spans="1:7" hidden="1" x14ac:dyDescent="0.25">
      <c r="A254" t="s">
        <v>2309</v>
      </c>
      <c r="B254" t="s">
        <v>582</v>
      </c>
      <c r="C254" t="s">
        <v>583</v>
      </c>
      <c r="D254" s="147">
        <v>1493</v>
      </c>
      <c r="E254">
        <v>0</v>
      </c>
      <c r="F254">
        <v>0</v>
      </c>
      <c r="G254" t="s">
        <v>324</v>
      </c>
    </row>
    <row r="255" spans="1:7" hidden="1" x14ac:dyDescent="0.25">
      <c r="A255" t="s">
        <v>2309</v>
      </c>
      <c r="B255" t="s">
        <v>584</v>
      </c>
      <c r="C255" t="s">
        <v>585</v>
      </c>
      <c r="D255">
        <v>896</v>
      </c>
      <c r="E255">
        <v>0</v>
      </c>
      <c r="F255">
        <v>0</v>
      </c>
      <c r="G255" t="s">
        <v>324</v>
      </c>
    </row>
    <row r="256" spans="1:7" hidden="1" x14ac:dyDescent="0.25">
      <c r="A256" t="s">
        <v>2309</v>
      </c>
      <c r="B256" t="s">
        <v>586</v>
      </c>
      <c r="C256" t="s">
        <v>587</v>
      </c>
      <c r="D256" s="147">
        <v>2219</v>
      </c>
      <c r="E256">
        <v>0</v>
      </c>
      <c r="F256">
        <v>0</v>
      </c>
      <c r="G256" t="s">
        <v>324</v>
      </c>
    </row>
    <row r="257" spans="1:7" hidden="1" x14ac:dyDescent="0.25">
      <c r="A257" t="s">
        <v>2309</v>
      </c>
      <c r="B257" t="s">
        <v>588</v>
      </c>
      <c r="C257" t="s">
        <v>589</v>
      </c>
      <c r="D257" s="147">
        <v>1067</v>
      </c>
      <c r="E257">
        <v>0</v>
      </c>
      <c r="F257">
        <v>0</v>
      </c>
      <c r="G257" t="s">
        <v>324</v>
      </c>
    </row>
    <row r="258" spans="1:7" hidden="1" x14ac:dyDescent="0.25">
      <c r="A258" t="s">
        <v>2309</v>
      </c>
      <c r="B258" t="s">
        <v>590</v>
      </c>
      <c r="C258" t="s">
        <v>591</v>
      </c>
      <c r="D258" s="147">
        <v>9087</v>
      </c>
      <c r="E258">
        <v>0</v>
      </c>
      <c r="F258">
        <v>0</v>
      </c>
      <c r="G258" t="s">
        <v>324</v>
      </c>
    </row>
    <row r="259" spans="1:7" hidden="1" x14ac:dyDescent="0.25">
      <c r="A259" t="s">
        <v>2309</v>
      </c>
      <c r="B259" t="s">
        <v>592</v>
      </c>
      <c r="C259" t="s">
        <v>593</v>
      </c>
      <c r="D259">
        <v>348</v>
      </c>
      <c r="E259">
        <v>0</v>
      </c>
      <c r="F259">
        <v>0</v>
      </c>
      <c r="G259" t="s">
        <v>324</v>
      </c>
    </row>
    <row r="260" spans="1:7" hidden="1" x14ac:dyDescent="0.25">
      <c r="A260" t="s">
        <v>2309</v>
      </c>
      <c r="B260" t="s">
        <v>594</v>
      </c>
      <c r="C260" t="s">
        <v>595</v>
      </c>
      <c r="D260">
        <v>446</v>
      </c>
      <c r="E260">
        <v>0</v>
      </c>
      <c r="F260">
        <v>0</v>
      </c>
      <c r="G260" t="s">
        <v>324</v>
      </c>
    </row>
    <row r="261" spans="1:7" hidden="1" x14ac:dyDescent="0.25">
      <c r="A261" t="s">
        <v>2309</v>
      </c>
      <c r="B261" t="s">
        <v>596</v>
      </c>
      <c r="C261" t="s">
        <v>597</v>
      </c>
      <c r="D261" s="147">
        <v>1324</v>
      </c>
      <c r="E261">
        <v>0</v>
      </c>
      <c r="F261">
        <v>0</v>
      </c>
      <c r="G261" t="s">
        <v>324</v>
      </c>
    </row>
    <row r="262" spans="1:7" hidden="1" x14ac:dyDescent="0.25">
      <c r="A262" t="s">
        <v>2309</v>
      </c>
      <c r="B262" t="s">
        <v>598</v>
      </c>
      <c r="C262" t="s">
        <v>599</v>
      </c>
      <c r="D262" s="147">
        <v>33415</v>
      </c>
      <c r="E262">
        <v>0</v>
      </c>
      <c r="F262">
        <v>0</v>
      </c>
      <c r="G262" t="s">
        <v>324</v>
      </c>
    </row>
    <row r="263" spans="1:7" hidden="1" x14ac:dyDescent="0.25">
      <c r="A263" t="s">
        <v>2309</v>
      </c>
      <c r="B263" t="s">
        <v>600</v>
      </c>
      <c r="C263" t="s">
        <v>601</v>
      </c>
      <c r="D263" s="147">
        <v>1488</v>
      </c>
      <c r="E263">
        <v>0</v>
      </c>
      <c r="F263">
        <v>0</v>
      </c>
      <c r="G263" t="s">
        <v>324</v>
      </c>
    </row>
    <row r="264" spans="1:7" hidden="1" x14ac:dyDescent="0.25">
      <c r="A264" t="s">
        <v>2309</v>
      </c>
      <c r="B264" t="s">
        <v>602</v>
      </c>
      <c r="C264" t="s">
        <v>603</v>
      </c>
      <c r="D264">
        <v>77</v>
      </c>
      <c r="E264">
        <v>0</v>
      </c>
      <c r="F264">
        <v>0</v>
      </c>
      <c r="G264" t="s">
        <v>324</v>
      </c>
    </row>
    <row r="265" spans="1:7" hidden="1" x14ac:dyDescent="0.25">
      <c r="A265" t="s">
        <v>2309</v>
      </c>
      <c r="B265" t="s">
        <v>604</v>
      </c>
      <c r="C265" t="s">
        <v>605</v>
      </c>
      <c r="D265">
        <v>225</v>
      </c>
      <c r="E265">
        <v>0</v>
      </c>
      <c r="F265">
        <v>0</v>
      </c>
      <c r="G265" t="s">
        <v>324</v>
      </c>
    </row>
    <row r="266" spans="1:7" hidden="1" x14ac:dyDescent="0.25">
      <c r="A266" t="s">
        <v>2309</v>
      </c>
      <c r="B266" t="s">
        <v>606</v>
      </c>
      <c r="C266" t="s">
        <v>607</v>
      </c>
      <c r="D266" s="147">
        <v>3663</v>
      </c>
      <c r="E266">
        <v>0</v>
      </c>
      <c r="F266">
        <v>0</v>
      </c>
      <c r="G266" t="s">
        <v>324</v>
      </c>
    </row>
    <row r="267" spans="1:7" hidden="1" x14ac:dyDescent="0.25">
      <c r="A267" t="s">
        <v>2309</v>
      </c>
      <c r="B267" t="s">
        <v>608</v>
      </c>
      <c r="C267" t="s">
        <v>609</v>
      </c>
      <c r="D267" s="147">
        <v>1630</v>
      </c>
      <c r="E267">
        <v>0</v>
      </c>
      <c r="F267">
        <v>0</v>
      </c>
      <c r="G267" t="s">
        <v>324</v>
      </c>
    </row>
    <row r="268" spans="1:7" hidden="1" x14ac:dyDescent="0.25">
      <c r="A268" t="s">
        <v>2309</v>
      </c>
      <c r="B268" t="s">
        <v>610</v>
      </c>
      <c r="C268" t="s">
        <v>611</v>
      </c>
      <c r="D268" s="147">
        <v>6393</v>
      </c>
      <c r="E268">
        <v>0</v>
      </c>
      <c r="F268">
        <v>0</v>
      </c>
      <c r="G268" t="s">
        <v>324</v>
      </c>
    </row>
    <row r="269" spans="1:7" hidden="1" x14ac:dyDescent="0.25">
      <c r="A269" t="s">
        <v>2309</v>
      </c>
      <c r="B269" t="s">
        <v>612</v>
      </c>
      <c r="C269" t="s">
        <v>613</v>
      </c>
      <c r="D269" s="147">
        <v>4661</v>
      </c>
      <c r="E269">
        <v>0</v>
      </c>
      <c r="F269">
        <v>0</v>
      </c>
      <c r="G269" t="s">
        <v>324</v>
      </c>
    </row>
    <row r="270" spans="1:7" hidden="1" x14ac:dyDescent="0.25">
      <c r="A270" t="s">
        <v>2309</v>
      </c>
      <c r="B270" t="s">
        <v>614</v>
      </c>
      <c r="C270" t="s">
        <v>615</v>
      </c>
      <c r="D270">
        <v>249</v>
      </c>
      <c r="E270">
        <v>0</v>
      </c>
      <c r="F270">
        <v>0</v>
      </c>
      <c r="G270" t="s">
        <v>324</v>
      </c>
    </row>
    <row r="271" spans="1:7" hidden="1" x14ac:dyDescent="0.25">
      <c r="A271" t="s">
        <v>2309</v>
      </c>
      <c r="B271" t="s">
        <v>616</v>
      </c>
      <c r="C271" t="s">
        <v>617</v>
      </c>
      <c r="D271" s="147">
        <v>6645</v>
      </c>
      <c r="E271">
        <v>0</v>
      </c>
      <c r="F271">
        <v>0</v>
      </c>
      <c r="G271" t="s">
        <v>324</v>
      </c>
    </row>
    <row r="272" spans="1:7" hidden="1" x14ac:dyDescent="0.25">
      <c r="A272" t="s">
        <v>2309</v>
      </c>
      <c r="B272" t="s">
        <v>618</v>
      </c>
      <c r="C272" t="s">
        <v>619</v>
      </c>
      <c r="D272" s="147">
        <v>1842</v>
      </c>
      <c r="E272">
        <v>0</v>
      </c>
      <c r="F272">
        <v>0</v>
      </c>
      <c r="G272" t="s">
        <v>324</v>
      </c>
    </row>
    <row r="273" spans="1:7" hidden="1" x14ac:dyDescent="0.25">
      <c r="A273" t="s">
        <v>2309</v>
      </c>
      <c r="B273" t="s">
        <v>620</v>
      </c>
      <c r="C273" t="s">
        <v>621</v>
      </c>
      <c r="D273" s="147">
        <v>3012</v>
      </c>
      <c r="E273">
        <v>0</v>
      </c>
      <c r="F273">
        <v>0</v>
      </c>
      <c r="G273" t="s">
        <v>324</v>
      </c>
    </row>
    <row r="274" spans="1:7" hidden="1" x14ac:dyDescent="0.25">
      <c r="A274" t="s">
        <v>2309</v>
      </c>
      <c r="B274" t="s">
        <v>1849</v>
      </c>
      <c r="C274" t="s">
        <v>1850</v>
      </c>
      <c r="D274">
        <v>810</v>
      </c>
      <c r="E274">
        <v>0</v>
      </c>
      <c r="F274">
        <v>0</v>
      </c>
      <c r="G274" t="s">
        <v>324</v>
      </c>
    </row>
    <row r="275" spans="1:7" hidden="1" x14ac:dyDescent="0.25">
      <c r="A275" t="s">
        <v>2309</v>
      </c>
      <c r="B275" t="s">
        <v>622</v>
      </c>
      <c r="C275" t="s">
        <v>623</v>
      </c>
      <c r="D275" s="147">
        <v>1612</v>
      </c>
      <c r="E275">
        <v>0</v>
      </c>
      <c r="F275">
        <v>0</v>
      </c>
      <c r="G275" t="s">
        <v>324</v>
      </c>
    </row>
    <row r="276" spans="1:7" hidden="1" x14ac:dyDescent="0.25">
      <c r="A276" t="s">
        <v>2309</v>
      </c>
      <c r="B276" t="s">
        <v>624</v>
      </c>
      <c r="C276" t="s">
        <v>625</v>
      </c>
      <c r="D276" s="147">
        <v>3655</v>
      </c>
      <c r="E276">
        <v>0</v>
      </c>
      <c r="F276">
        <v>0</v>
      </c>
      <c r="G276" t="s">
        <v>324</v>
      </c>
    </row>
    <row r="277" spans="1:7" hidden="1" x14ac:dyDescent="0.25">
      <c r="A277" t="s">
        <v>2309</v>
      </c>
      <c r="B277" t="s">
        <v>626</v>
      </c>
      <c r="C277" t="s">
        <v>627</v>
      </c>
      <c r="D277" s="147">
        <v>1756</v>
      </c>
      <c r="E277">
        <v>0</v>
      </c>
      <c r="F277">
        <v>0</v>
      </c>
      <c r="G277" t="s">
        <v>324</v>
      </c>
    </row>
    <row r="278" spans="1:7" hidden="1" x14ac:dyDescent="0.25">
      <c r="A278" t="s">
        <v>2309</v>
      </c>
      <c r="B278" t="s">
        <v>628</v>
      </c>
      <c r="C278" t="s">
        <v>629</v>
      </c>
      <c r="D278" s="147">
        <v>7097</v>
      </c>
      <c r="E278">
        <v>0</v>
      </c>
      <c r="F278">
        <v>0</v>
      </c>
      <c r="G278" t="s">
        <v>324</v>
      </c>
    </row>
    <row r="279" spans="1:7" hidden="1" x14ac:dyDescent="0.25">
      <c r="A279" t="s">
        <v>2309</v>
      </c>
      <c r="B279" t="s">
        <v>630</v>
      </c>
      <c r="C279" t="s">
        <v>631</v>
      </c>
      <c r="D279" s="147">
        <v>4220</v>
      </c>
      <c r="E279">
        <v>0</v>
      </c>
      <c r="F279">
        <v>0</v>
      </c>
      <c r="G279" t="s">
        <v>324</v>
      </c>
    </row>
    <row r="280" spans="1:7" hidden="1" x14ac:dyDescent="0.25">
      <c r="A280" t="s">
        <v>2309</v>
      </c>
      <c r="B280" t="s">
        <v>632</v>
      </c>
      <c r="C280" t="s">
        <v>633</v>
      </c>
      <c r="D280" s="147">
        <v>1208</v>
      </c>
      <c r="E280">
        <v>0</v>
      </c>
      <c r="F280">
        <v>0</v>
      </c>
      <c r="G280" t="s">
        <v>324</v>
      </c>
    </row>
    <row r="281" spans="1:7" hidden="1" x14ac:dyDescent="0.25">
      <c r="A281" t="s">
        <v>2309</v>
      </c>
      <c r="B281" t="s">
        <v>634</v>
      </c>
      <c r="C281" t="s">
        <v>635</v>
      </c>
      <c r="D281" s="147">
        <v>3131</v>
      </c>
      <c r="E281">
        <v>0</v>
      </c>
      <c r="F281">
        <v>0</v>
      </c>
      <c r="G281" t="s">
        <v>324</v>
      </c>
    </row>
    <row r="282" spans="1:7" hidden="1" x14ac:dyDescent="0.25">
      <c r="A282" t="s">
        <v>2309</v>
      </c>
      <c r="B282" t="s">
        <v>636</v>
      </c>
      <c r="C282" t="s">
        <v>637</v>
      </c>
      <c r="D282">
        <v>686</v>
      </c>
      <c r="E282">
        <v>0</v>
      </c>
      <c r="F282">
        <v>0</v>
      </c>
      <c r="G282" t="s">
        <v>324</v>
      </c>
    </row>
    <row r="283" spans="1:7" hidden="1" x14ac:dyDescent="0.25">
      <c r="A283" t="s">
        <v>2309</v>
      </c>
      <c r="B283" t="s">
        <v>638</v>
      </c>
      <c r="C283" t="s">
        <v>639</v>
      </c>
      <c r="D283" s="147">
        <v>1075</v>
      </c>
      <c r="E283">
        <v>0</v>
      </c>
      <c r="F283">
        <v>0</v>
      </c>
      <c r="G283" t="s">
        <v>324</v>
      </c>
    </row>
    <row r="284" spans="1:7" hidden="1" x14ac:dyDescent="0.25">
      <c r="A284" t="s">
        <v>2309</v>
      </c>
      <c r="B284" t="s">
        <v>640</v>
      </c>
      <c r="C284" t="s">
        <v>641</v>
      </c>
      <c r="D284" s="147">
        <v>3095</v>
      </c>
      <c r="E284">
        <v>0</v>
      </c>
      <c r="F284">
        <v>0</v>
      </c>
      <c r="G284" t="s">
        <v>324</v>
      </c>
    </row>
    <row r="285" spans="1:7" hidden="1" x14ac:dyDescent="0.25">
      <c r="A285" t="s">
        <v>2309</v>
      </c>
      <c r="B285" t="s">
        <v>642</v>
      </c>
      <c r="C285" t="s">
        <v>643</v>
      </c>
      <c r="D285" s="147">
        <v>2099</v>
      </c>
      <c r="E285">
        <v>0</v>
      </c>
      <c r="F285">
        <v>0</v>
      </c>
      <c r="G285" t="s">
        <v>324</v>
      </c>
    </row>
    <row r="286" spans="1:7" hidden="1" x14ac:dyDescent="0.25">
      <c r="A286" t="s">
        <v>2309</v>
      </c>
      <c r="B286" t="s">
        <v>644</v>
      </c>
      <c r="C286" t="s">
        <v>645</v>
      </c>
      <c r="D286" s="147">
        <v>13116</v>
      </c>
      <c r="E286">
        <v>0</v>
      </c>
      <c r="F286">
        <v>0</v>
      </c>
      <c r="G286" t="s">
        <v>324</v>
      </c>
    </row>
    <row r="287" spans="1:7" hidden="1" x14ac:dyDescent="0.25">
      <c r="A287" t="s">
        <v>2309</v>
      </c>
      <c r="B287" t="s">
        <v>646</v>
      </c>
      <c r="C287" t="s">
        <v>647</v>
      </c>
      <c r="D287" s="147">
        <v>18547</v>
      </c>
      <c r="E287">
        <v>0</v>
      </c>
      <c r="F287">
        <v>0</v>
      </c>
      <c r="G287" t="s">
        <v>324</v>
      </c>
    </row>
    <row r="288" spans="1:7" hidden="1" x14ac:dyDescent="0.25">
      <c r="A288" t="s">
        <v>2309</v>
      </c>
      <c r="B288" t="s">
        <v>648</v>
      </c>
      <c r="C288" t="s">
        <v>649</v>
      </c>
      <c r="D288" s="147">
        <v>1166</v>
      </c>
      <c r="E288">
        <v>0</v>
      </c>
      <c r="F288">
        <v>0</v>
      </c>
      <c r="G288" t="s">
        <v>324</v>
      </c>
    </row>
    <row r="289" spans="1:7" hidden="1" x14ac:dyDescent="0.25">
      <c r="A289" t="s">
        <v>2309</v>
      </c>
      <c r="B289" t="s">
        <v>650</v>
      </c>
      <c r="C289" t="s">
        <v>651</v>
      </c>
      <c r="D289">
        <v>907</v>
      </c>
      <c r="E289">
        <v>0</v>
      </c>
      <c r="F289">
        <v>0</v>
      </c>
      <c r="G289" t="s">
        <v>324</v>
      </c>
    </row>
    <row r="290" spans="1:7" hidden="1" x14ac:dyDescent="0.25">
      <c r="A290" t="s">
        <v>2309</v>
      </c>
      <c r="B290" t="s">
        <v>652</v>
      </c>
      <c r="C290" t="s">
        <v>653</v>
      </c>
      <c r="D290" s="147">
        <v>1049</v>
      </c>
      <c r="E290">
        <v>0</v>
      </c>
      <c r="F290">
        <v>0</v>
      </c>
      <c r="G290" t="s">
        <v>324</v>
      </c>
    </row>
    <row r="291" spans="1:7" x14ac:dyDescent="0.25">
      <c r="A291" t="s">
        <v>2309</v>
      </c>
      <c r="B291" t="s">
        <v>654</v>
      </c>
      <c r="C291" t="s">
        <v>655</v>
      </c>
      <c r="D291" s="147">
        <v>2559</v>
      </c>
      <c r="E291">
        <v>0</v>
      </c>
      <c r="F291">
        <v>0</v>
      </c>
      <c r="G291" t="s">
        <v>324</v>
      </c>
    </row>
    <row r="292" spans="1:7" x14ac:dyDescent="0.25">
      <c r="A292" t="s">
        <v>2309</v>
      </c>
      <c r="B292" t="s">
        <v>656</v>
      </c>
      <c r="C292" t="s">
        <v>657</v>
      </c>
      <c r="D292" s="147">
        <v>1650</v>
      </c>
      <c r="E292">
        <v>0</v>
      </c>
      <c r="F292">
        <v>0</v>
      </c>
      <c r="G292" t="s">
        <v>324</v>
      </c>
    </row>
    <row r="293" spans="1:7" hidden="1" x14ac:dyDescent="0.25">
      <c r="A293" t="s">
        <v>2309</v>
      </c>
      <c r="B293" t="s">
        <v>658</v>
      </c>
      <c r="C293" t="s">
        <v>659</v>
      </c>
      <c r="D293" s="147">
        <v>2516</v>
      </c>
      <c r="E293">
        <v>0</v>
      </c>
      <c r="F293">
        <v>0</v>
      </c>
      <c r="G293" t="s">
        <v>324</v>
      </c>
    </row>
    <row r="294" spans="1:7" hidden="1" x14ac:dyDescent="0.25">
      <c r="A294" t="s">
        <v>2309</v>
      </c>
      <c r="B294" t="s">
        <v>660</v>
      </c>
      <c r="C294" t="s">
        <v>661</v>
      </c>
      <c r="D294" s="147">
        <v>2200</v>
      </c>
      <c r="E294">
        <v>0</v>
      </c>
      <c r="F294">
        <v>0</v>
      </c>
      <c r="G294" t="s">
        <v>324</v>
      </c>
    </row>
    <row r="295" spans="1:7" hidden="1" x14ac:dyDescent="0.25">
      <c r="A295" t="s">
        <v>2309</v>
      </c>
      <c r="B295" t="s">
        <v>662</v>
      </c>
      <c r="C295" t="s">
        <v>1868</v>
      </c>
      <c r="D295" s="147">
        <v>4966</v>
      </c>
      <c r="E295">
        <v>0</v>
      </c>
      <c r="F295">
        <v>0</v>
      </c>
      <c r="G295" t="s">
        <v>324</v>
      </c>
    </row>
    <row r="296" spans="1:7" hidden="1" x14ac:dyDescent="0.25">
      <c r="A296" t="s">
        <v>2309</v>
      </c>
      <c r="B296" t="s">
        <v>663</v>
      </c>
      <c r="C296" t="s">
        <v>664</v>
      </c>
      <c r="D296">
        <v>64</v>
      </c>
      <c r="E296">
        <v>0</v>
      </c>
      <c r="F296">
        <v>0</v>
      </c>
      <c r="G296" t="s">
        <v>324</v>
      </c>
    </row>
    <row r="297" spans="1:7" hidden="1" x14ac:dyDescent="0.25">
      <c r="A297" t="s">
        <v>2309</v>
      </c>
      <c r="B297" t="s">
        <v>665</v>
      </c>
      <c r="C297" t="s">
        <v>666</v>
      </c>
      <c r="D297" s="147">
        <v>1120</v>
      </c>
      <c r="E297">
        <v>0</v>
      </c>
      <c r="F297">
        <v>0</v>
      </c>
      <c r="G297" t="s">
        <v>324</v>
      </c>
    </row>
    <row r="298" spans="1:7" hidden="1" x14ac:dyDescent="0.25">
      <c r="A298" t="s">
        <v>2309</v>
      </c>
      <c r="B298" t="s">
        <v>667</v>
      </c>
      <c r="C298" t="s">
        <v>668</v>
      </c>
      <c r="D298" s="147">
        <v>4308</v>
      </c>
      <c r="E298">
        <v>0</v>
      </c>
      <c r="F298">
        <v>0</v>
      </c>
      <c r="G298" t="s">
        <v>324</v>
      </c>
    </row>
    <row r="299" spans="1:7" hidden="1" x14ac:dyDescent="0.25">
      <c r="A299" t="s">
        <v>2309</v>
      </c>
      <c r="B299" t="s">
        <v>669</v>
      </c>
      <c r="C299" t="s">
        <v>670</v>
      </c>
      <c r="D299" s="147">
        <v>9685</v>
      </c>
      <c r="E299">
        <v>0</v>
      </c>
      <c r="F299">
        <v>0</v>
      </c>
      <c r="G299" t="s">
        <v>324</v>
      </c>
    </row>
    <row r="300" spans="1:7" hidden="1" x14ac:dyDescent="0.25">
      <c r="A300" t="s">
        <v>2309</v>
      </c>
      <c r="B300" t="s">
        <v>671</v>
      </c>
      <c r="C300" t="s">
        <v>672</v>
      </c>
      <c r="D300" s="147">
        <v>22279</v>
      </c>
      <c r="E300">
        <v>0</v>
      </c>
      <c r="F300">
        <v>0</v>
      </c>
      <c r="G300" t="s">
        <v>324</v>
      </c>
    </row>
    <row r="301" spans="1:7" hidden="1" x14ac:dyDescent="0.25">
      <c r="A301" t="s">
        <v>2309</v>
      </c>
      <c r="B301" t="s">
        <v>673</v>
      </c>
      <c r="C301" t="s">
        <v>674</v>
      </c>
      <c r="D301">
        <v>298</v>
      </c>
      <c r="E301">
        <v>0</v>
      </c>
      <c r="F301">
        <v>0</v>
      </c>
      <c r="G301" t="s">
        <v>324</v>
      </c>
    </row>
    <row r="302" spans="1:7" hidden="1" x14ac:dyDescent="0.25">
      <c r="A302" t="s">
        <v>2309</v>
      </c>
      <c r="B302" t="s">
        <v>675</v>
      </c>
      <c r="C302" t="s">
        <v>676</v>
      </c>
      <c r="D302" s="147">
        <v>3119</v>
      </c>
      <c r="E302">
        <v>0</v>
      </c>
      <c r="F302">
        <v>0</v>
      </c>
      <c r="G302" t="s">
        <v>324</v>
      </c>
    </row>
    <row r="303" spans="1:7" hidden="1" x14ac:dyDescent="0.25">
      <c r="A303" t="s">
        <v>2309</v>
      </c>
      <c r="B303" t="s">
        <v>2791</v>
      </c>
      <c r="C303" t="s">
        <v>2792</v>
      </c>
      <c r="D303">
        <v>315</v>
      </c>
      <c r="E303">
        <v>0</v>
      </c>
      <c r="F303">
        <v>0</v>
      </c>
      <c r="G303" t="s">
        <v>324</v>
      </c>
    </row>
    <row r="304" spans="1:7" hidden="1" x14ac:dyDescent="0.25">
      <c r="A304" t="s">
        <v>2309</v>
      </c>
      <c r="B304" t="s">
        <v>677</v>
      </c>
      <c r="C304" t="s">
        <v>678</v>
      </c>
      <c r="D304" s="147">
        <v>13002</v>
      </c>
      <c r="E304">
        <v>0</v>
      </c>
      <c r="F304">
        <v>0</v>
      </c>
      <c r="G304" t="s">
        <v>324</v>
      </c>
    </row>
    <row r="305" spans="1:7" hidden="1" x14ac:dyDescent="0.25">
      <c r="A305" t="s">
        <v>2309</v>
      </c>
      <c r="B305" t="s">
        <v>679</v>
      </c>
      <c r="C305" t="s">
        <v>680</v>
      </c>
      <c r="D305">
        <v>425</v>
      </c>
      <c r="E305">
        <v>0</v>
      </c>
      <c r="F305">
        <v>0</v>
      </c>
      <c r="G305" t="s">
        <v>324</v>
      </c>
    </row>
    <row r="306" spans="1:7" hidden="1" x14ac:dyDescent="0.25">
      <c r="A306" t="s">
        <v>2309</v>
      </c>
      <c r="B306" t="s">
        <v>681</v>
      </c>
      <c r="C306" t="s">
        <v>682</v>
      </c>
      <c r="D306" s="147">
        <v>1459</v>
      </c>
      <c r="E306">
        <v>0</v>
      </c>
      <c r="F306">
        <v>0</v>
      </c>
      <c r="G306" t="s">
        <v>324</v>
      </c>
    </row>
    <row r="307" spans="1:7" hidden="1" x14ac:dyDescent="0.25">
      <c r="A307" t="s">
        <v>2309</v>
      </c>
      <c r="B307" t="s">
        <v>683</v>
      </c>
      <c r="C307" t="s">
        <v>684</v>
      </c>
      <c r="D307">
        <v>610</v>
      </c>
      <c r="E307">
        <v>0</v>
      </c>
      <c r="F307">
        <v>0</v>
      </c>
      <c r="G307" t="s">
        <v>324</v>
      </c>
    </row>
    <row r="308" spans="1:7" hidden="1" x14ac:dyDescent="0.25">
      <c r="A308" t="s">
        <v>2309</v>
      </c>
      <c r="B308" t="s">
        <v>685</v>
      </c>
      <c r="C308" t="s">
        <v>686</v>
      </c>
      <c r="D308" s="147">
        <v>10373</v>
      </c>
      <c r="E308">
        <v>0</v>
      </c>
      <c r="F308">
        <v>0</v>
      </c>
      <c r="G308" t="s">
        <v>324</v>
      </c>
    </row>
    <row r="309" spans="1:7" hidden="1" x14ac:dyDescent="0.25">
      <c r="A309" t="s">
        <v>2309</v>
      </c>
      <c r="B309" t="s">
        <v>687</v>
      </c>
      <c r="C309" t="s">
        <v>688</v>
      </c>
      <c r="D309">
        <v>420</v>
      </c>
      <c r="E309">
        <v>0</v>
      </c>
      <c r="F309">
        <v>0</v>
      </c>
      <c r="G309" t="s">
        <v>324</v>
      </c>
    </row>
    <row r="310" spans="1:7" hidden="1" x14ac:dyDescent="0.25">
      <c r="A310" t="s">
        <v>2309</v>
      </c>
      <c r="B310" t="s">
        <v>689</v>
      </c>
      <c r="C310" t="s">
        <v>690</v>
      </c>
      <c r="D310" s="147">
        <v>3635</v>
      </c>
      <c r="E310">
        <v>0</v>
      </c>
      <c r="F310">
        <v>0</v>
      </c>
      <c r="G310" t="s">
        <v>324</v>
      </c>
    </row>
    <row r="311" spans="1:7" hidden="1" x14ac:dyDescent="0.25">
      <c r="A311" t="s">
        <v>2309</v>
      </c>
      <c r="B311" t="s">
        <v>691</v>
      </c>
      <c r="C311" t="s">
        <v>692</v>
      </c>
      <c r="D311" s="147">
        <v>1511</v>
      </c>
      <c r="E311">
        <v>0</v>
      </c>
      <c r="F311">
        <v>0</v>
      </c>
      <c r="G311" t="s">
        <v>324</v>
      </c>
    </row>
    <row r="312" spans="1:7" hidden="1" x14ac:dyDescent="0.25">
      <c r="A312" t="s">
        <v>2309</v>
      </c>
      <c r="B312" t="s">
        <v>693</v>
      </c>
      <c r="C312" t="s">
        <v>694</v>
      </c>
      <c r="D312" s="147">
        <v>2262</v>
      </c>
      <c r="E312">
        <v>0</v>
      </c>
      <c r="F312">
        <v>0</v>
      </c>
      <c r="G312" t="s">
        <v>324</v>
      </c>
    </row>
    <row r="313" spans="1:7" hidden="1" x14ac:dyDescent="0.25">
      <c r="A313" t="s">
        <v>2309</v>
      </c>
      <c r="B313" t="s">
        <v>695</v>
      </c>
      <c r="C313" t="s">
        <v>696</v>
      </c>
      <c r="D313" s="147">
        <v>6315</v>
      </c>
      <c r="E313">
        <v>0</v>
      </c>
      <c r="F313">
        <v>0</v>
      </c>
      <c r="G313" t="s">
        <v>324</v>
      </c>
    </row>
    <row r="314" spans="1:7" hidden="1" x14ac:dyDescent="0.25">
      <c r="A314" t="s">
        <v>2309</v>
      </c>
      <c r="B314" t="s">
        <v>697</v>
      </c>
      <c r="C314" t="s">
        <v>698</v>
      </c>
      <c r="D314">
        <v>337</v>
      </c>
      <c r="E314">
        <v>0</v>
      </c>
      <c r="F314">
        <v>0</v>
      </c>
      <c r="G314" t="s">
        <v>324</v>
      </c>
    </row>
    <row r="315" spans="1:7" hidden="1" x14ac:dyDescent="0.25">
      <c r="A315" t="s">
        <v>2309</v>
      </c>
      <c r="B315" t="s">
        <v>699</v>
      </c>
      <c r="C315" t="s">
        <v>700</v>
      </c>
      <c r="D315">
        <v>191</v>
      </c>
      <c r="E315">
        <v>0</v>
      </c>
      <c r="F315">
        <v>0</v>
      </c>
      <c r="G315" t="s">
        <v>324</v>
      </c>
    </row>
    <row r="316" spans="1:7" hidden="1" x14ac:dyDescent="0.25">
      <c r="A316" t="s">
        <v>2309</v>
      </c>
      <c r="B316" t="s">
        <v>701</v>
      </c>
      <c r="C316" t="s">
        <v>702</v>
      </c>
      <c r="D316">
        <v>690</v>
      </c>
      <c r="E316">
        <v>0</v>
      </c>
      <c r="F316">
        <v>0</v>
      </c>
      <c r="G316" t="s">
        <v>324</v>
      </c>
    </row>
    <row r="317" spans="1:7" hidden="1" x14ac:dyDescent="0.25">
      <c r="A317" t="s">
        <v>2309</v>
      </c>
      <c r="B317" t="s">
        <v>703</v>
      </c>
      <c r="C317" t="s">
        <v>704</v>
      </c>
      <c r="D317" s="147">
        <v>8879</v>
      </c>
      <c r="E317">
        <v>0</v>
      </c>
      <c r="F317">
        <v>0</v>
      </c>
      <c r="G317" t="s">
        <v>324</v>
      </c>
    </row>
    <row r="318" spans="1:7" hidden="1" x14ac:dyDescent="0.25">
      <c r="A318" t="s">
        <v>2309</v>
      </c>
      <c r="B318" t="s">
        <v>705</v>
      </c>
      <c r="C318" t="s">
        <v>706</v>
      </c>
      <c r="D318" s="147">
        <v>3800</v>
      </c>
      <c r="E318">
        <v>0</v>
      </c>
      <c r="F318">
        <v>0</v>
      </c>
      <c r="G318" t="s">
        <v>324</v>
      </c>
    </row>
    <row r="319" spans="1:7" hidden="1" x14ac:dyDescent="0.25">
      <c r="A319" t="s">
        <v>2309</v>
      </c>
      <c r="B319" t="s">
        <v>707</v>
      </c>
      <c r="C319" t="s">
        <v>708</v>
      </c>
      <c r="D319" s="147">
        <v>2437</v>
      </c>
      <c r="E319">
        <v>0</v>
      </c>
      <c r="F319">
        <v>0</v>
      </c>
      <c r="G319" t="s">
        <v>324</v>
      </c>
    </row>
    <row r="320" spans="1:7" hidden="1" x14ac:dyDescent="0.25">
      <c r="A320" t="s">
        <v>2309</v>
      </c>
      <c r="B320" t="s">
        <v>709</v>
      </c>
      <c r="C320" t="s">
        <v>710</v>
      </c>
      <c r="D320" s="147">
        <v>2878</v>
      </c>
      <c r="E320">
        <v>0</v>
      </c>
      <c r="F320">
        <v>0</v>
      </c>
      <c r="G320" t="s">
        <v>324</v>
      </c>
    </row>
    <row r="321" spans="1:7" hidden="1" x14ac:dyDescent="0.25">
      <c r="A321" t="s">
        <v>2309</v>
      </c>
      <c r="B321" t="s">
        <v>711</v>
      </c>
      <c r="C321" t="s">
        <v>712</v>
      </c>
      <c r="D321" s="147">
        <v>2698</v>
      </c>
      <c r="E321">
        <v>0</v>
      </c>
      <c r="F321">
        <v>0</v>
      </c>
      <c r="G321" t="s">
        <v>324</v>
      </c>
    </row>
    <row r="322" spans="1:7" hidden="1" x14ac:dyDescent="0.25">
      <c r="A322" t="s">
        <v>2309</v>
      </c>
      <c r="B322" t="s">
        <v>713</v>
      </c>
      <c r="C322" t="s">
        <v>714</v>
      </c>
      <c r="D322" s="147">
        <v>2398</v>
      </c>
      <c r="E322">
        <v>0</v>
      </c>
      <c r="F322">
        <v>0</v>
      </c>
      <c r="G322" t="s">
        <v>324</v>
      </c>
    </row>
    <row r="323" spans="1:7" hidden="1" x14ac:dyDescent="0.25">
      <c r="A323" t="s">
        <v>2309</v>
      </c>
      <c r="B323" t="s">
        <v>715</v>
      </c>
      <c r="C323" t="s">
        <v>716</v>
      </c>
      <c r="D323" s="147">
        <v>7000</v>
      </c>
      <c r="E323">
        <v>0</v>
      </c>
      <c r="F323">
        <v>0</v>
      </c>
      <c r="G323" t="s">
        <v>324</v>
      </c>
    </row>
    <row r="324" spans="1:7" hidden="1" x14ac:dyDescent="0.25">
      <c r="A324" t="s">
        <v>2309</v>
      </c>
      <c r="B324" t="s">
        <v>717</v>
      </c>
      <c r="C324" t="s">
        <v>718</v>
      </c>
      <c r="D324" s="147">
        <v>3276</v>
      </c>
      <c r="E324">
        <v>0</v>
      </c>
      <c r="F324">
        <v>0</v>
      </c>
      <c r="G324" t="s">
        <v>324</v>
      </c>
    </row>
    <row r="325" spans="1:7" hidden="1" x14ac:dyDescent="0.25">
      <c r="A325" t="s">
        <v>2309</v>
      </c>
      <c r="B325" t="s">
        <v>719</v>
      </c>
      <c r="C325" t="s">
        <v>720</v>
      </c>
      <c r="D325" s="147">
        <v>29513</v>
      </c>
      <c r="E325">
        <v>0</v>
      </c>
      <c r="F325">
        <v>0</v>
      </c>
      <c r="G325" t="s">
        <v>324</v>
      </c>
    </row>
    <row r="326" spans="1:7" hidden="1" x14ac:dyDescent="0.25">
      <c r="A326" t="s">
        <v>2309</v>
      </c>
      <c r="B326" t="s">
        <v>721</v>
      </c>
      <c r="C326" t="s">
        <v>722</v>
      </c>
      <c r="D326" s="147">
        <v>1298</v>
      </c>
      <c r="E326">
        <v>0</v>
      </c>
      <c r="F326">
        <v>0</v>
      </c>
      <c r="G326" t="s">
        <v>324</v>
      </c>
    </row>
    <row r="327" spans="1:7" hidden="1" x14ac:dyDescent="0.25">
      <c r="A327" t="s">
        <v>2309</v>
      </c>
      <c r="B327" t="s">
        <v>723</v>
      </c>
      <c r="C327" t="s">
        <v>724</v>
      </c>
      <c r="D327">
        <v>988</v>
      </c>
      <c r="E327">
        <v>0</v>
      </c>
      <c r="F327">
        <v>0</v>
      </c>
      <c r="G327" t="s">
        <v>324</v>
      </c>
    </row>
    <row r="328" spans="1:7" hidden="1" x14ac:dyDescent="0.25">
      <c r="A328" t="s">
        <v>2309</v>
      </c>
      <c r="B328" t="s">
        <v>725</v>
      </c>
      <c r="C328" t="s">
        <v>726</v>
      </c>
      <c r="D328" s="147">
        <v>1000</v>
      </c>
      <c r="E328">
        <v>0</v>
      </c>
      <c r="F328">
        <v>0</v>
      </c>
      <c r="G328" t="s">
        <v>324</v>
      </c>
    </row>
    <row r="329" spans="1:7" hidden="1" x14ac:dyDescent="0.25">
      <c r="A329" t="s">
        <v>2309</v>
      </c>
      <c r="B329" t="s">
        <v>727</v>
      </c>
      <c r="C329" t="s">
        <v>728</v>
      </c>
      <c r="D329" s="147">
        <v>1626</v>
      </c>
      <c r="E329">
        <v>0</v>
      </c>
      <c r="F329">
        <v>0</v>
      </c>
      <c r="G329" t="s">
        <v>324</v>
      </c>
    </row>
    <row r="330" spans="1:7" hidden="1" x14ac:dyDescent="0.25">
      <c r="A330" t="s">
        <v>2309</v>
      </c>
      <c r="B330" t="s">
        <v>729</v>
      </c>
      <c r="C330" t="s">
        <v>730</v>
      </c>
      <c r="D330">
        <v>934</v>
      </c>
      <c r="E330">
        <v>0</v>
      </c>
      <c r="F330">
        <v>0</v>
      </c>
      <c r="G330" t="s">
        <v>324</v>
      </c>
    </row>
    <row r="331" spans="1:7" hidden="1" x14ac:dyDescent="0.25">
      <c r="A331" t="s">
        <v>2309</v>
      </c>
      <c r="B331" t="s">
        <v>731</v>
      </c>
      <c r="C331" t="s">
        <v>732</v>
      </c>
      <c r="D331" s="147">
        <v>2482</v>
      </c>
      <c r="E331">
        <v>0</v>
      </c>
      <c r="F331">
        <v>0</v>
      </c>
      <c r="G331" t="s">
        <v>324</v>
      </c>
    </row>
    <row r="332" spans="1:7" hidden="1" x14ac:dyDescent="0.25">
      <c r="A332" t="s">
        <v>2309</v>
      </c>
      <c r="B332" t="s">
        <v>733</v>
      </c>
      <c r="C332" t="s">
        <v>734</v>
      </c>
      <c r="D332" s="147">
        <v>3014</v>
      </c>
      <c r="E332">
        <v>0</v>
      </c>
      <c r="F332">
        <v>0</v>
      </c>
      <c r="G332" t="s">
        <v>324</v>
      </c>
    </row>
    <row r="333" spans="1:7" hidden="1" x14ac:dyDescent="0.25">
      <c r="A333" t="s">
        <v>2309</v>
      </c>
      <c r="B333" t="s">
        <v>735</v>
      </c>
      <c r="C333" t="s">
        <v>736</v>
      </c>
      <c r="D333" s="147">
        <v>12755</v>
      </c>
      <c r="E333">
        <v>0</v>
      </c>
      <c r="F333">
        <v>0</v>
      </c>
      <c r="G333" t="s">
        <v>324</v>
      </c>
    </row>
    <row r="334" spans="1:7" hidden="1" x14ac:dyDescent="0.25">
      <c r="A334" t="s">
        <v>2309</v>
      </c>
      <c r="B334" t="s">
        <v>737</v>
      </c>
      <c r="C334" t="s">
        <v>738</v>
      </c>
      <c r="D334">
        <v>340</v>
      </c>
      <c r="E334">
        <v>0</v>
      </c>
      <c r="F334">
        <v>0</v>
      </c>
      <c r="G334" t="s">
        <v>324</v>
      </c>
    </row>
    <row r="335" spans="1:7" hidden="1" x14ac:dyDescent="0.25">
      <c r="A335" t="s">
        <v>2309</v>
      </c>
      <c r="B335" t="s">
        <v>739</v>
      </c>
      <c r="C335" t="s">
        <v>740</v>
      </c>
      <c r="D335">
        <v>710</v>
      </c>
      <c r="E335">
        <v>0</v>
      </c>
      <c r="F335">
        <v>0</v>
      </c>
      <c r="G335" t="s">
        <v>324</v>
      </c>
    </row>
    <row r="336" spans="1:7" hidden="1" x14ac:dyDescent="0.25">
      <c r="A336" t="s">
        <v>2309</v>
      </c>
      <c r="B336" t="s">
        <v>741</v>
      </c>
      <c r="C336" t="s">
        <v>742</v>
      </c>
      <c r="D336" s="147">
        <v>7836</v>
      </c>
      <c r="E336">
        <v>0</v>
      </c>
      <c r="F336">
        <v>0</v>
      </c>
      <c r="G336" t="s">
        <v>324</v>
      </c>
    </row>
    <row r="337" spans="1:7" hidden="1" x14ac:dyDescent="0.25">
      <c r="A337" t="s">
        <v>2309</v>
      </c>
      <c r="B337" t="s">
        <v>743</v>
      </c>
      <c r="C337" t="s">
        <v>744</v>
      </c>
      <c r="D337" s="147">
        <v>11002</v>
      </c>
      <c r="E337">
        <v>0</v>
      </c>
      <c r="F337">
        <v>0</v>
      </c>
      <c r="G337" t="s">
        <v>324</v>
      </c>
    </row>
    <row r="338" spans="1:7" hidden="1" x14ac:dyDescent="0.25">
      <c r="A338" t="s">
        <v>2309</v>
      </c>
      <c r="B338" t="s">
        <v>745</v>
      </c>
      <c r="C338" t="s">
        <v>746</v>
      </c>
      <c r="D338" s="147">
        <v>1297</v>
      </c>
      <c r="E338">
        <v>0</v>
      </c>
      <c r="F338">
        <v>0</v>
      </c>
      <c r="G338" t="s">
        <v>324</v>
      </c>
    </row>
    <row r="339" spans="1:7" hidden="1" x14ac:dyDescent="0.25">
      <c r="A339" t="s">
        <v>2309</v>
      </c>
      <c r="B339" t="s">
        <v>747</v>
      </c>
      <c r="C339" t="s">
        <v>748</v>
      </c>
      <c r="D339" s="147">
        <v>1879</v>
      </c>
      <c r="E339">
        <v>0</v>
      </c>
      <c r="F339">
        <v>0</v>
      </c>
      <c r="G339" t="s">
        <v>324</v>
      </c>
    </row>
    <row r="340" spans="1:7" hidden="1" x14ac:dyDescent="0.25">
      <c r="A340" t="s">
        <v>2309</v>
      </c>
      <c r="B340" t="s">
        <v>749</v>
      </c>
      <c r="C340" t="s">
        <v>750</v>
      </c>
      <c r="D340" s="147">
        <v>1303</v>
      </c>
      <c r="E340">
        <v>0</v>
      </c>
      <c r="F340">
        <v>0</v>
      </c>
      <c r="G340" t="s">
        <v>324</v>
      </c>
    </row>
    <row r="341" spans="1:7" hidden="1" x14ac:dyDescent="0.25">
      <c r="A341" t="s">
        <v>2309</v>
      </c>
      <c r="B341" t="s">
        <v>751</v>
      </c>
      <c r="C341" t="s">
        <v>752</v>
      </c>
      <c r="D341" s="147">
        <v>5729</v>
      </c>
      <c r="E341">
        <v>0</v>
      </c>
      <c r="F341">
        <v>0</v>
      </c>
      <c r="G341" t="s">
        <v>324</v>
      </c>
    </row>
    <row r="342" spans="1:7" hidden="1" x14ac:dyDescent="0.25">
      <c r="A342" t="s">
        <v>2309</v>
      </c>
      <c r="B342" t="s">
        <v>753</v>
      </c>
      <c r="C342" t="s">
        <v>754</v>
      </c>
      <c r="D342" s="147">
        <v>1805</v>
      </c>
      <c r="E342">
        <v>0</v>
      </c>
      <c r="F342">
        <v>0</v>
      </c>
      <c r="G342" t="s">
        <v>324</v>
      </c>
    </row>
    <row r="343" spans="1:7" hidden="1" x14ac:dyDescent="0.25">
      <c r="A343" t="s">
        <v>2309</v>
      </c>
      <c r="B343" t="s">
        <v>1701</v>
      </c>
      <c r="C343" t="s">
        <v>1702</v>
      </c>
      <c r="D343">
        <v>99</v>
      </c>
      <c r="E343">
        <v>0</v>
      </c>
      <c r="F343">
        <v>0</v>
      </c>
      <c r="G343" t="s">
        <v>324</v>
      </c>
    </row>
    <row r="344" spans="1:7" hidden="1" x14ac:dyDescent="0.25">
      <c r="A344" t="s">
        <v>2309</v>
      </c>
      <c r="B344" t="s">
        <v>755</v>
      </c>
      <c r="C344" t="s">
        <v>756</v>
      </c>
      <c r="D344" s="147">
        <v>2677</v>
      </c>
      <c r="E344">
        <v>0</v>
      </c>
      <c r="F344">
        <v>0</v>
      </c>
      <c r="G344" t="s">
        <v>324</v>
      </c>
    </row>
    <row r="345" spans="1:7" hidden="1" x14ac:dyDescent="0.25">
      <c r="A345" t="s">
        <v>2309</v>
      </c>
      <c r="B345" t="s">
        <v>1703</v>
      </c>
      <c r="C345" t="s">
        <v>1704</v>
      </c>
      <c r="D345">
        <v>208</v>
      </c>
      <c r="E345">
        <v>0</v>
      </c>
      <c r="F345">
        <v>0</v>
      </c>
      <c r="G345" t="s">
        <v>324</v>
      </c>
    </row>
    <row r="346" spans="1:7" hidden="1" x14ac:dyDescent="0.25">
      <c r="A346" t="s">
        <v>2309</v>
      </c>
      <c r="B346" t="s">
        <v>759</v>
      </c>
      <c r="C346" t="s">
        <v>760</v>
      </c>
      <c r="D346" s="147">
        <v>3015</v>
      </c>
      <c r="E346">
        <v>0</v>
      </c>
      <c r="F346">
        <v>0</v>
      </c>
      <c r="G346" t="s">
        <v>324</v>
      </c>
    </row>
    <row r="347" spans="1:7" hidden="1" x14ac:dyDescent="0.25">
      <c r="A347" t="s">
        <v>2309</v>
      </c>
      <c r="B347" t="s">
        <v>761</v>
      </c>
      <c r="C347" t="s">
        <v>762</v>
      </c>
      <c r="D347" s="147">
        <v>9493</v>
      </c>
      <c r="E347">
        <v>0</v>
      </c>
      <c r="F347">
        <v>0</v>
      </c>
      <c r="G347" t="s">
        <v>324</v>
      </c>
    </row>
    <row r="348" spans="1:7" hidden="1" x14ac:dyDescent="0.25">
      <c r="A348" t="s">
        <v>2309</v>
      </c>
      <c r="B348" t="s">
        <v>763</v>
      </c>
      <c r="C348" t="s">
        <v>764</v>
      </c>
      <c r="D348" s="147">
        <v>1844</v>
      </c>
      <c r="E348">
        <v>0</v>
      </c>
      <c r="F348">
        <v>0</v>
      </c>
      <c r="G348" t="s">
        <v>324</v>
      </c>
    </row>
    <row r="349" spans="1:7" hidden="1" x14ac:dyDescent="0.25">
      <c r="A349" t="s">
        <v>2309</v>
      </c>
      <c r="B349" t="s">
        <v>765</v>
      </c>
      <c r="C349" t="s">
        <v>766</v>
      </c>
      <c r="D349">
        <v>234</v>
      </c>
      <c r="E349">
        <v>0</v>
      </c>
      <c r="F349">
        <v>0</v>
      </c>
      <c r="G349" t="s">
        <v>324</v>
      </c>
    </row>
    <row r="350" spans="1:7" hidden="1" x14ac:dyDescent="0.25">
      <c r="A350" t="s">
        <v>2309</v>
      </c>
      <c r="B350" t="s">
        <v>767</v>
      </c>
      <c r="C350" t="s">
        <v>1927</v>
      </c>
      <c r="D350" s="147">
        <v>1082</v>
      </c>
      <c r="E350">
        <v>0</v>
      </c>
      <c r="F350">
        <v>0</v>
      </c>
      <c r="G350" t="s">
        <v>324</v>
      </c>
    </row>
    <row r="351" spans="1:7" hidden="1" x14ac:dyDescent="0.25">
      <c r="A351" t="s">
        <v>2309</v>
      </c>
      <c r="B351" t="s">
        <v>768</v>
      </c>
      <c r="C351" t="s">
        <v>769</v>
      </c>
      <c r="D351" s="147">
        <v>3037</v>
      </c>
      <c r="E351">
        <v>0</v>
      </c>
      <c r="F351">
        <v>0</v>
      </c>
      <c r="G351" t="s">
        <v>324</v>
      </c>
    </row>
    <row r="352" spans="1:7" hidden="1" x14ac:dyDescent="0.25">
      <c r="A352" t="s">
        <v>2309</v>
      </c>
      <c r="B352" t="s">
        <v>770</v>
      </c>
      <c r="C352" t="s">
        <v>771</v>
      </c>
      <c r="D352" s="147">
        <v>5500</v>
      </c>
      <c r="E352">
        <v>0</v>
      </c>
      <c r="F352">
        <v>0</v>
      </c>
      <c r="G352" t="s">
        <v>324</v>
      </c>
    </row>
    <row r="353" spans="1:7" hidden="1" x14ac:dyDescent="0.25">
      <c r="A353" t="s">
        <v>2309</v>
      </c>
      <c r="B353" t="s">
        <v>772</v>
      </c>
      <c r="C353" t="s">
        <v>773</v>
      </c>
      <c r="D353" s="147">
        <v>1778</v>
      </c>
      <c r="E353">
        <v>0</v>
      </c>
      <c r="F353">
        <v>0</v>
      </c>
      <c r="G353" t="s">
        <v>324</v>
      </c>
    </row>
    <row r="354" spans="1:7" hidden="1" x14ac:dyDescent="0.25">
      <c r="A354" t="s">
        <v>2309</v>
      </c>
      <c r="B354" t="s">
        <v>3910</v>
      </c>
      <c r="C354" t="s">
        <v>3912</v>
      </c>
      <c r="D354" s="147">
        <v>9410</v>
      </c>
      <c r="E354">
        <v>0</v>
      </c>
      <c r="F354">
        <v>0</v>
      </c>
      <c r="G354" t="s">
        <v>324</v>
      </c>
    </row>
    <row r="355" spans="1:7" hidden="1" x14ac:dyDescent="0.25">
      <c r="A355" t="s">
        <v>2309</v>
      </c>
      <c r="B355" t="s">
        <v>774</v>
      </c>
      <c r="C355" t="s">
        <v>775</v>
      </c>
      <c r="D355" s="147">
        <v>2485</v>
      </c>
      <c r="E355">
        <v>0</v>
      </c>
      <c r="F355">
        <v>0</v>
      </c>
      <c r="G355" t="s">
        <v>324</v>
      </c>
    </row>
    <row r="356" spans="1:7" hidden="1" x14ac:dyDescent="0.25">
      <c r="A356" t="s">
        <v>2309</v>
      </c>
      <c r="B356" t="s">
        <v>776</v>
      </c>
      <c r="C356" t="s">
        <v>777</v>
      </c>
      <c r="D356" s="147">
        <v>2804</v>
      </c>
      <c r="E356">
        <v>0</v>
      </c>
      <c r="F356">
        <v>0</v>
      </c>
      <c r="G356" t="s">
        <v>324</v>
      </c>
    </row>
    <row r="357" spans="1:7" hidden="1" x14ac:dyDescent="0.25">
      <c r="A357" t="s">
        <v>2309</v>
      </c>
      <c r="B357" t="s">
        <v>778</v>
      </c>
      <c r="C357" t="s">
        <v>779</v>
      </c>
      <c r="D357" s="147">
        <v>12352</v>
      </c>
      <c r="E357">
        <v>0</v>
      </c>
      <c r="F357">
        <v>0</v>
      </c>
      <c r="G357" t="s">
        <v>324</v>
      </c>
    </row>
    <row r="358" spans="1:7" hidden="1" x14ac:dyDescent="0.25">
      <c r="A358" t="s">
        <v>2309</v>
      </c>
      <c r="B358" t="s">
        <v>780</v>
      </c>
      <c r="C358" t="s">
        <v>781</v>
      </c>
      <c r="D358">
        <v>940</v>
      </c>
      <c r="E358">
        <v>0</v>
      </c>
      <c r="F358">
        <v>0</v>
      </c>
      <c r="G358" t="s">
        <v>324</v>
      </c>
    </row>
    <row r="359" spans="1:7" hidden="1" x14ac:dyDescent="0.25">
      <c r="A359" t="s">
        <v>2309</v>
      </c>
      <c r="B359" t="s">
        <v>782</v>
      </c>
      <c r="C359" t="s">
        <v>783</v>
      </c>
      <c r="D359" s="147">
        <v>1228</v>
      </c>
      <c r="E359">
        <v>0</v>
      </c>
      <c r="F359">
        <v>0</v>
      </c>
      <c r="G359" t="s">
        <v>324</v>
      </c>
    </row>
    <row r="360" spans="1:7" hidden="1" x14ac:dyDescent="0.25">
      <c r="A360" t="s">
        <v>2309</v>
      </c>
      <c r="B360" t="s">
        <v>784</v>
      </c>
      <c r="C360" t="s">
        <v>785</v>
      </c>
      <c r="D360" s="147">
        <v>2256</v>
      </c>
      <c r="E360">
        <v>0</v>
      </c>
      <c r="F360">
        <v>0</v>
      </c>
      <c r="G360" t="s">
        <v>324</v>
      </c>
    </row>
    <row r="361" spans="1:7" hidden="1" x14ac:dyDescent="0.25">
      <c r="A361" t="s">
        <v>2309</v>
      </c>
      <c r="B361" t="s">
        <v>786</v>
      </c>
      <c r="C361" t="s">
        <v>787</v>
      </c>
      <c r="D361">
        <v>997</v>
      </c>
      <c r="E361">
        <v>0</v>
      </c>
      <c r="F361">
        <v>0</v>
      </c>
      <c r="G361" t="s">
        <v>324</v>
      </c>
    </row>
    <row r="362" spans="1:7" hidden="1" x14ac:dyDescent="0.25">
      <c r="A362" t="s">
        <v>2309</v>
      </c>
      <c r="B362" t="s">
        <v>788</v>
      </c>
      <c r="C362" t="s">
        <v>789</v>
      </c>
      <c r="D362">
        <v>281</v>
      </c>
      <c r="E362">
        <v>0</v>
      </c>
      <c r="F362">
        <v>0</v>
      </c>
      <c r="G362" t="s">
        <v>324</v>
      </c>
    </row>
    <row r="363" spans="1:7" hidden="1" x14ac:dyDescent="0.25">
      <c r="A363" t="s">
        <v>2309</v>
      </c>
      <c r="B363" t="s">
        <v>790</v>
      </c>
      <c r="C363" t="s">
        <v>791</v>
      </c>
      <c r="D363" s="147">
        <v>2299</v>
      </c>
      <c r="E363">
        <v>0</v>
      </c>
      <c r="F363">
        <v>0</v>
      </c>
      <c r="G363" t="s">
        <v>324</v>
      </c>
    </row>
    <row r="364" spans="1:7" hidden="1" x14ac:dyDescent="0.25">
      <c r="A364" t="s">
        <v>2309</v>
      </c>
      <c r="B364" t="s">
        <v>792</v>
      </c>
      <c r="C364" t="s">
        <v>793</v>
      </c>
      <c r="D364" s="147">
        <v>1284</v>
      </c>
      <c r="E364">
        <v>0</v>
      </c>
      <c r="F364">
        <v>0</v>
      </c>
      <c r="G364" t="s">
        <v>324</v>
      </c>
    </row>
    <row r="365" spans="1:7" hidden="1" x14ac:dyDescent="0.25">
      <c r="A365" t="s">
        <v>2309</v>
      </c>
      <c r="B365" t="s">
        <v>794</v>
      </c>
      <c r="C365" t="s">
        <v>795</v>
      </c>
      <c r="D365" s="147">
        <v>3063</v>
      </c>
      <c r="E365">
        <v>0</v>
      </c>
      <c r="F365">
        <v>0</v>
      </c>
      <c r="G365" t="s">
        <v>324</v>
      </c>
    </row>
    <row r="366" spans="1:7" hidden="1" x14ac:dyDescent="0.25">
      <c r="A366" t="s">
        <v>2309</v>
      </c>
      <c r="B366" t="s">
        <v>796</v>
      </c>
      <c r="C366" t="s">
        <v>797</v>
      </c>
      <c r="D366">
        <v>224</v>
      </c>
      <c r="E366">
        <v>0</v>
      </c>
      <c r="F366">
        <v>0</v>
      </c>
      <c r="G366" t="s">
        <v>324</v>
      </c>
    </row>
    <row r="367" spans="1:7" hidden="1" x14ac:dyDescent="0.25">
      <c r="A367" t="s">
        <v>2309</v>
      </c>
      <c r="B367" t="s">
        <v>1779</v>
      </c>
      <c r="C367" t="s">
        <v>1780</v>
      </c>
      <c r="D367" s="147">
        <v>1593</v>
      </c>
      <c r="E367">
        <v>0</v>
      </c>
      <c r="F367">
        <v>0</v>
      </c>
      <c r="G367" t="s">
        <v>324</v>
      </c>
    </row>
    <row r="368" spans="1:7" hidden="1" x14ac:dyDescent="0.25">
      <c r="A368" t="s">
        <v>2309</v>
      </c>
      <c r="B368" t="s">
        <v>1799</v>
      </c>
      <c r="C368" t="s">
        <v>1800</v>
      </c>
      <c r="D368" s="147">
        <v>7131</v>
      </c>
      <c r="E368">
        <v>0</v>
      </c>
      <c r="F368">
        <v>0</v>
      </c>
      <c r="G368" t="s">
        <v>324</v>
      </c>
    </row>
    <row r="369" spans="1:7" hidden="1" x14ac:dyDescent="0.25">
      <c r="A369" t="s">
        <v>2309</v>
      </c>
      <c r="B369" t="s">
        <v>798</v>
      </c>
      <c r="C369" t="s">
        <v>799</v>
      </c>
      <c r="D369" s="147">
        <v>1974</v>
      </c>
      <c r="E369">
        <v>0</v>
      </c>
      <c r="F369">
        <v>0</v>
      </c>
      <c r="G369" t="s">
        <v>324</v>
      </c>
    </row>
    <row r="370" spans="1:7" hidden="1" x14ac:dyDescent="0.25">
      <c r="A370" t="s">
        <v>2309</v>
      </c>
      <c r="B370" t="s">
        <v>800</v>
      </c>
      <c r="C370" t="s">
        <v>1895</v>
      </c>
      <c r="D370" s="147">
        <v>1203</v>
      </c>
      <c r="E370">
        <v>0</v>
      </c>
      <c r="F370">
        <v>0</v>
      </c>
      <c r="G370" t="s">
        <v>324</v>
      </c>
    </row>
    <row r="371" spans="1:7" hidden="1" x14ac:dyDescent="0.25">
      <c r="A371" t="s">
        <v>2309</v>
      </c>
      <c r="B371" t="s">
        <v>801</v>
      </c>
      <c r="C371" t="s">
        <v>802</v>
      </c>
      <c r="D371" s="147">
        <v>2354</v>
      </c>
      <c r="E371">
        <v>0</v>
      </c>
      <c r="F371">
        <v>0</v>
      </c>
      <c r="G371" t="s">
        <v>324</v>
      </c>
    </row>
    <row r="372" spans="1:7" hidden="1" x14ac:dyDescent="0.25">
      <c r="A372" t="s">
        <v>2309</v>
      </c>
      <c r="B372" t="s">
        <v>803</v>
      </c>
      <c r="C372" t="s">
        <v>804</v>
      </c>
      <c r="D372">
        <v>850</v>
      </c>
      <c r="E372">
        <v>0</v>
      </c>
      <c r="F372">
        <v>0</v>
      </c>
      <c r="G372" t="s">
        <v>324</v>
      </c>
    </row>
    <row r="373" spans="1:7" hidden="1" x14ac:dyDescent="0.25">
      <c r="A373" t="s">
        <v>2309</v>
      </c>
      <c r="B373" t="s">
        <v>1795</v>
      </c>
      <c r="C373" t="s">
        <v>1796</v>
      </c>
      <c r="D373" s="147">
        <v>1800</v>
      </c>
      <c r="E373">
        <v>0</v>
      </c>
      <c r="F373">
        <v>0</v>
      </c>
      <c r="G373" t="s">
        <v>324</v>
      </c>
    </row>
    <row r="374" spans="1:7" hidden="1" x14ac:dyDescent="0.25">
      <c r="A374" t="s">
        <v>2309</v>
      </c>
      <c r="B374" t="s">
        <v>805</v>
      </c>
      <c r="C374" t="s">
        <v>806</v>
      </c>
      <c r="D374">
        <v>365</v>
      </c>
      <c r="E374">
        <v>0</v>
      </c>
      <c r="F374">
        <v>0</v>
      </c>
      <c r="G374" t="s">
        <v>324</v>
      </c>
    </row>
    <row r="375" spans="1:7" hidden="1" x14ac:dyDescent="0.25">
      <c r="A375" t="s">
        <v>2309</v>
      </c>
      <c r="B375" t="s">
        <v>807</v>
      </c>
      <c r="C375" t="s">
        <v>808</v>
      </c>
      <c r="D375" s="147">
        <v>3079</v>
      </c>
      <c r="E375">
        <v>0</v>
      </c>
      <c r="F375">
        <v>0</v>
      </c>
      <c r="G375" t="s">
        <v>324</v>
      </c>
    </row>
    <row r="376" spans="1:7" hidden="1" x14ac:dyDescent="0.25">
      <c r="A376" t="s">
        <v>2309</v>
      </c>
      <c r="B376" t="s">
        <v>811</v>
      </c>
      <c r="C376" t="s">
        <v>812</v>
      </c>
      <c r="D376">
        <v>956</v>
      </c>
      <c r="E376">
        <v>0</v>
      </c>
      <c r="F376">
        <v>0</v>
      </c>
      <c r="G376" t="s">
        <v>324</v>
      </c>
    </row>
    <row r="377" spans="1:7" hidden="1" x14ac:dyDescent="0.25">
      <c r="A377" t="s">
        <v>2309</v>
      </c>
      <c r="B377" t="s">
        <v>813</v>
      </c>
      <c r="C377" t="s">
        <v>814</v>
      </c>
      <c r="D377">
        <v>467</v>
      </c>
      <c r="E377">
        <v>0</v>
      </c>
      <c r="F377">
        <v>0</v>
      </c>
      <c r="G377" t="s">
        <v>324</v>
      </c>
    </row>
    <row r="378" spans="1:7" hidden="1" x14ac:dyDescent="0.25">
      <c r="A378" t="s">
        <v>2309</v>
      </c>
      <c r="B378" t="s">
        <v>815</v>
      </c>
      <c r="C378" t="s">
        <v>816</v>
      </c>
      <c r="D378" s="147">
        <v>21024</v>
      </c>
      <c r="E378">
        <v>0</v>
      </c>
      <c r="F378">
        <v>0</v>
      </c>
      <c r="G378" t="s">
        <v>324</v>
      </c>
    </row>
    <row r="379" spans="1:7" hidden="1" x14ac:dyDescent="0.25">
      <c r="A379" t="s">
        <v>2309</v>
      </c>
      <c r="B379" t="s">
        <v>817</v>
      </c>
      <c r="C379" t="s">
        <v>818</v>
      </c>
      <c r="D379" s="147">
        <v>1351</v>
      </c>
      <c r="E379">
        <v>0</v>
      </c>
      <c r="F379">
        <v>0</v>
      </c>
      <c r="G379" t="s">
        <v>324</v>
      </c>
    </row>
    <row r="380" spans="1:7" hidden="1" x14ac:dyDescent="0.25">
      <c r="A380" t="s">
        <v>2309</v>
      </c>
      <c r="B380" t="s">
        <v>1705</v>
      </c>
      <c r="C380" t="s">
        <v>1706</v>
      </c>
      <c r="D380">
        <v>432</v>
      </c>
      <c r="E380">
        <v>0</v>
      </c>
      <c r="F380">
        <v>0</v>
      </c>
      <c r="G380" t="s">
        <v>324</v>
      </c>
    </row>
    <row r="381" spans="1:7" hidden="1" x14ac:dyDescent="0.25">
      <c r="A381" t="s">
        <v>2309</v>
      </c>
      <c r="B381" t="s">
        <v>1816</v>
      </c>
      <c r="C381" t="s">
        <v>1817</v>
      </c>
      <c r="D381">
        <v>558</v>
      </c>
      <c r="E381">
        <v>0</v>
      </c>
      <c r="F381">
        <v>0</v>
      </c>
      <c r="G381" t="s">
        <v>324</v>
      </c>
    </row>
    <row r="382" spans="1:7" hidden="1" x14ac:dyDescent="0.25">
      <c r="A382" t="s">
        <v>2309</v>
      </c>
      <c r="B382" t="s">
        <v>819</v>
      </c>
      <c r="C382" t="s">
        <v>820</v>
      </c>
      <c r="D382" s="147">
        <v>4259</v>
      </c>
      <c r="E382">
        <v>0</v>
      </c>
      <c r="F382">
        <v>0</v>
      </c>
      <c r="G382" t="s">
        <v>324</v>
      </c>
    </row>
    <row r="383" spans="1:7" hidden="1" x14ac:dyDescent="0.25">
      <c r="A383" t="s">
        <v>2309</v>
      </c>
      <c r="B383" t="s">
        <v>821</v>
      </c>
      <c r="C383" t="s">
        <v>822</v>
      </c>
      <c r="D383" s="147">
        <v>1021</v>
      </c>
      <c r="E383">
        <v>0</v>
      </c>
      <c r="F383">
        <v>0</v>
      </c>
      <c r="G383" t="s">
        <v>324</v>
      </c>
    </row>
    <row r="384" spans="1:7" hidden="1" x14ac:dyDescent="0.25">
      <c r="A384" t="s">
        <v>2309</v>
      </c>
      <c r="B384" t="s">
        <v>823</v>
      </c>
      <c r="C384" t="s">
        <v>824</v>
      </c>
      <c r="D384" s="147">
        <v>1508</v>
      </c>
      <c r="E384">
        <v>0</v>
      </c>
      <c r="F384">
        <v>0</v>
      </c>
      <c r="G384" t="s">
        <v>324</v>
      </c>
    </row>
    <row r="385" spans="1:7" hidden="1" x14ac:dyDescent="0.25">
      <c r="A385" t="s">
        <v>2309</v>
      </c>
      <c r="B385" t="s">
        <v>825</v>
      </c>
      <c r="C385" t="s">
        <v>826</v>
      </c>
      <c r="D385" s="147">
        <v>1083</v>
      </c>
      <c r="E385">
        <v>0</v>
      </c>
      <c r="F385">
        <v>0</v>
      </c>
      <c r="G385" t="s">
        <v>324</v>
      </c>
    </row>
    <row r="386" spans="1:7" hidden="1" x14ac:dyDescent="0.25">
      <c r="A386" t="s">
        <v>2309</v>
      </c>
      <c r="B386" t="s">
        <v>3300</v>
      </c>
      <c r="C386" t="s">
        <v>3980</v>
      </c>
      <c r="D386">
        <v>732</v>
      </c>
      <c r="E386">
        <v>0</v>
      </c>
      <c r="F386">
        <v>0</v>
      </c>
      <c r="G386" t="s">
        <v>324</v>
      </c>
    </row>
    <row r="387" spans="1:7" hidden="1" x14ac:dyDescent="0.25">
      <c r="A387" t="s">
        <v>2309</v>
      </c>
      <c r="B387" t="s">
        <v>827</v>
      </c>
      <c r="C387" t="s">
        <v>828</v>
      </c>
      <c r="D387">
        <v>812</v>
      </c>
      <c r="E387">
        <v>0</v>
      </c>
      <c r="F387">
        <v>0</v>
      </c>
      <c r="G387" t="s">
        <v>324</v>
      </c>
    </row>
    <row r="388" spans="1:7" hidden="1" x14ac:dyDescent="0.25">
      <c r="A388" t="s">
        <v>2309</v>
      </c>
      <c r="B388" t="s">
        <v>829</v>
      </c>
      <c r="C388" t="s">
        <v>830</v>
      </c>
      <c r="D388" s="147">
        <v>1668</v>
      </c>
      <c r="E388">
        <v>0</v>
      </c>
      <c r="F388">
        <v>0</v>
      </c>
      <c r="G388" t="s">
        <v>324</v>
      </c>
    </row>
    <row r="389" spans="1:7" hidden="1" x14ac:dyDescent="0.25">
      <c r="A389" t="s">
        <v>2309</v>
      </c>
      <c r="B389" t="s">
        <v>831</v>
      </c>
      <c r="C389" t="s">
        <v>832</v>
      </c>
      <c r="D389">
        <v>832</v>
      </c>
      <c r="E389">
        <v>0</v>
      </c>
      <c r="F389">
        <v>0</v>
      </c>
      <c r="G389" t="s">
        <v>324</v>
      </c>
    </row>
    <row r="390" spans="1:7" hidden="1" x14ac:dyDescent="0.25">
      <c r="A390" t="s">
        <v>2309</v>
      </c>
      <c r="B390" t="s">
        <v>833</v>
      </c>
      <c r="C390" t="s">
        <v>834</v>
      </c>
      <c r="D390" s="147">
        <v>1045</v>
      </c>
      <c r="E390">
        <v>0</v>
      </c>
      <c r="F390">
        <v>0</v>
      </c>
      <c r="G390" t="s">
        <v>324</v>
      </c>
    </row>
    <row r="391" spans="1:7" hidden="1" x14ac:dyDescent="0.25">
      <c r="A391" t="s">
        <v>2309</v>
      </c>
      <c r="B391" t="s">
        <v>1885</v>
      </c>
      <c r="C391" t="s">
        <v>1886</v>
      </c>
      <c r="D391">
        <v>435</v>
      </c>
      <c r="E391">
        <v>0</v>
      </c>
      <c r="F391">
        <v>0</v>
      </c>
      <c r="G391" t="s">
        <v>324</v>
      </c>
    </row>
    <row r="392" spans="1:7" hidden="1" x14ac:dyDescent="0.25">
      <c r="A392" t="s">
        <v>2309</v>
      </c>
      <c r="B392" t="s">
        <v>1956</v>
      </c>
      <c r="C392" t="s">
        <v>1957</v>
      </c>
      <c r="D392">
        <v>744</v>
      </c>
      <c r="E392">
        <v>0</v>
      </c>
      <c r="F392">
        <v>0</v>
      </c>
      <c r="G392" t="s">
        <v>324</v>
      </c>
    </row>
    <row r="393" spans="1:7" hidden="1" x14ac:dyDescent="0.25">
      <c r="A393" t="s">
        <v>2309</v>
      </c>
      <c r="B393" t="s">
        <v>1954</v>
      </c>
      <c r="C393" t="s">
        <v>1955</v>
      </c>
      <c r="D393">
        <v>287</v>
      </c>
      <c r="E393">
        <v>0</v>
      </c>
      <c r="F393">
        <v>0</v>
      </c>
      <c r="G393" t="s">
        <v>324</v>
      </c>
    </row>
    <row r="394" spans="1:7" hidden="1" x14ac:dyDescent="0.25">
      <c r="A394" t="s">
        <v>2309</v>
      </c>
      <c r="B394" t="s">
        <v>835</v>
      </c>
      <c r="C394" t="s">
        <v>836</v>
      </c>
      <c r="D394" s="147">
        <v>5109</v>
      </c>
      <c r="E394">
        <v>0</v>
      </c>
      <c r="F394">
        <v>0</v>
      </c>
      <c r="G394" t="s">
        <v>324</v>
      </c>
    </row>
    <row r="395" spans="1:7" hidden="1" x14ac:dyDescent="0.25">
      <c r="A395" t="s">
        <v>2309</v>
      </c>
      <c r="B395" t="s">
        <v>837</v>
      </c>
      <c r="C395" t="s">
        <v>838</v>
      </c>
      <c r="D395">
        <v>201</v>
      </c>
      <c r="E395">
        <v>0</v>
      </c>
      <c r="F395">
        <v>0</v>
      </c>
      <c r="G395" t="s">
        <v>324</v>
      </c>
    </row>
    <row r="396" spans="1:7" hidden="1" x14ac:dyDescent="0.25">
      <c r="A396" t="s">
        <v>2309</v>
      </c>
      <c r="B396" t="s">
        <v>839</v>
      </c>
      <c r="C396" t="s">
        <v>840</v>
      </c>
      <c r="D396" s="147">
        <v>1464</v>
      </c>
      <c r="E396">
        <v>0</v>
      </c>
      <c r="F396">
        <v>0</v>
      </c>
      <c r="G396" t="s">
        <v>324</v>
      </c>
    </row>
    <row r="397" spans="1:7" hidden="1" x14ac:dyDescent="0.25">
      <c r="A397" t="s">
        <v>2309</v>
      </c>
      <c r="B397" t="s">
        <v>841</v>
      </c>
      <c r="C397" t="s">
        <v>842</v>
      </c>
      <c r="D397" s="147">
        <v>1050</v>
      </c>
      <c r="E397">
        <v>0</v>
      </c>
      <c r="F397">
        <v>0</v>
      </c>
      <c r="G397" t="s">
        <v>324</v>
      </c>
    </row>
    <row r="398" spans="1:7" hidden="1" x14ac:dyDescent="0.25">
      <c r="A398" t="s">
        <v>2309</v>
      </c>
      <c r="B398" t="s">
        <v>2793</v>
      </c>
      <c r="C398" t="s">
        <v>2794</v>
      </c>
      <c r="D398" s="147">
        <v>7422</v>
      </c>
      <c r="E398">
        <v>0</v>
      </c>
      <c r="F398">
        <v>0</v>
      </c>
      <c r="G398" t="s">
        <v>324</v>
      </c>
    </row>
    <row r="399" spans="1:7" hidden="1" x14ac:dyDescent="0.25">
      <c r="A399" t="s">
        <v>2309</v>
      </c>
      <c r="B399" t="s">
        <v>843</v>
      </c>
      <c r="C399" t="s">
        <v>844</v>
      </c>
      <c r="D399" s="147">
        <v>1147</v>
      </c>
      <c r="E399">
        <v>0</v>
      </c>
      <c r="F399">
        <v>0</v>
      </c>
      <c r="G399" t="s">
        <v>324</v>
      </c>
    </row>
    <row r="400" spans="1:7" hidden="1" x14ac:dyDescent="0.25">
      <c r="A400" t="s">
        <v>2309</v>
      </c>
      <c r="B400" t="s">
        <v>845</v>
      </c>
      <c r="C400" t="s">
        <v>846</v>
      </c>
      <c r="D400" s="147">
        <v>1612</v>
      </c>
      <c r="E400">
        <v>0</v>
      </c>
      <c r="F400">
        <v>0</v>
      </c>
      <c r="G400" t="s">
        <v>324</v>
      </c>
    </row>
    <row r="401" spans="1:7" hidden="1" x14ac:dyDescent="0.25">
      <c r="A401" t="s">
        <v>2309</v>
      </c>
      <c r="B401" t="s">
        <v>847</v>
      </c>
      <c r="C401" t="s">
        <v>848</v>
      </c>
      <c r="D401" s="147">
        <v>3095</v>
      </c>
      <c r="E401">
        <v>0</v>
      </c>
      <c r="F401">
        <v>0</v>
      </c>
      <c r="G401" t="s">
        <v>324</v>
      </c>
    </row>
    <row r="402" spans="1:7" hidden="1" x14ac:dyDescent="0.25">
      <c r="A402" t="s">
        <v>2309</v>
      </c>
      <c r="B402" t="s">
        <v>849</v>
      </c>
      <c r="C402" t="s">
        <v>850</v>
      </c>
      <c r="D402" s="147">
        <v>4643</v>
      </c>
      <c r="E402">
        <v>0</v>
      </c>
      <c r="F402">
        <v>0</v>
      </c>
      <c r="G402" t="s">
        <v>324</v>
      </c>
    </row>
    <row r="403" spans="1:7" hidden="1" x14ac:dyDescent="0.25">
      <c r="A403" t="s">
        <v>2309</v>
      </c>
      <c r="B403" t="s">
        <v>2795</v>
      </c>
      <c r="C403" t="s">
        <v>2796</v>
      </c>
      <c r="D403" s="147">
        <v>2011</v>
      </c>
      <c r="E403">
        <v>0</v>
      </c>
      <c r="F403">
        <v>0</v>
      </c>
      <c r="G403" t="s">
        <v>324</v>
      </c>
    </row>
    <row r="404" spans="1:7" hidden="1" x14ac:dyDescent="0.25">
      <c r="A404" t="s">
        <v>2309</v>
      </c>
      <c r="B404" t="s">
        <v>1707</v>
      </c>
      <c r="C404" t="s">
        <v>1708</v>
      </c>
      <c r="D404" s="147">
        <v>3731</v>
      </c>
      <c r="E404">
        <v>0</v>
      </c>
      <c r="F404">
        <v>0</v>
      </c>
      <c r="G404" t="s">
        <v>324</v>
      </c>
    </row>
    <row r="405" spans="1:7" hidden="1" x14ac:dyDescent="0.25">
      <c r="A405" t="s">
        <v>2309</v>
      </c>
      <c r="B405" t="s">
        <v>851</v>
      </c>
      <c r="C405" t="s">
        <v>852</v>
      </c>
      <c r="D405">
        <v>985</v>
      </c>
      <c r="E405">
        <v>0</v>
      </c>
      <c r="F405">
        <v>0</v>
      </c>
      <c r="G405" t="s">
        <v>324</v>
      </c>
    </row>
    <row r="406" spans="1:7" hidden="1" x14ac:dyDescent="0.25">
      <c r="A406" t="s">
        <v>2309</v>
      </c>
      <c r="B406" t="s">
        <v>853</v>
      </c>
      <c r="C406" t="s">
        <v>854</v>
      </c>
      <c r="D406">
        <v>290</v>
      </c>
      <c r="E406">
        <v>0</v>
      </c>
      <c r="F406">
        <v>0</v>
      </c>
      <c r="G406" t="s">
        <v>324</v>
      </c>
    </row>
    <row r="407" spans="1:7" hidden="1" x14ac:dyDescent="0.25">
      <c r="A407" t="s">
        <v>2309</v>
      </c>
      <c r="B407" t="s">
        <v>855</v>
      </c>
      <c r="C407" t="s">
        <v>856</v>
      </c>
      <c r="D407" s="147">
        <v>6281</v>
      </c>
      <c r="E407">
        <v>0</v>
      </c>
      <c r="F407">
        <v>0</v>
      </c>
      <c r="G407" t="s">
        <v>324</v>
      </c>
    </row>
    <row r="408" spans="1:7" hidden="1" x14ac:dyDescent="0.25">
      <c r="A408" t="s">
        <v>2309</v>
      </c>
      <c r="B408" t="s">
        <v>857</v>
      </c>
      <c r="C408" t="s">
        <v>858</v>
      </c>
      <c r="D408" s="147">
        <v>1767</v>
      </c>
      <c r="E408">
        <v>0</v>
      </c>
      <c r="F408">
        <v>0</v>
      </c>
      <c r="G408" t="s">
        <v>324</v>
      </c>
    </row>
    <row r="409" spans="1:7" hidden="1" x14ac:dyDescent="0.25">
      <c r="A409" t="s">
        <v>2309</v>
      </c>
      <c r="B409" t="s">
        <v>859</v>
      </c>
      <c r="C409" t="s">
        <v>860</v>
      </c>
      <c r="D409" s="147">
        <v>4172</v>
      </c>
      <c r="E409">
        <v>0</v>
      </c>
      <c r="F409">
        <v>0</v>
      </c>
      <c r="G409" t="s">
        <v>324</v>
      </c>
    </row>
    <row r="410" spans="1:7" hidden="1" x14ac:dyDescent="0.25">
      <c r="A410" t="s">
        <v>2309</v>
      </c>
      <c r="B410" t="s">
        <v>861</v>
      </c>
      <c r="C410" t="s">
        <v>862</v>
      </c>
      <c r="D410" s="147">
        <v>2316</v>
      </c>
      <c r="E410">
        <v>0</v>
      </c>
      <c r="F410">
        <v>0</v>
      </c>
      <c r="G410" t="s">
        <v>324</v>
      </c>
    </row>
    <row r="411" spans="1:7" hidden="1" x14ac:dyDescent="0.25">
      <c r="A411" t="s">
        <v>2309</v>
      </c>
      <c r="B411" t="s">
        <v>863</v>
      </c>
      <c r="C411" t="s">
        <v>864</v>
      </c>
      <c r="D411">
        <v>564</v>
      </c>
      <c r="E411">
        <v>0</v>
      </c>
      <c r="F411">
        <v>0</v>
      </c>
      <c r="G411" t="s">
        <v>324</v>
      </c>
    </row>
    <row r="412" spans="1:7" hidden="1" x14ac:dyDescent="0.25">
      <c r="A412" t="s">
        <v>2309</v>
      </c>
      <c r="B412" t="s">
        <v>865</v>
      </c>
      <c r="C412" t="s">
        <v>866</v>
      </c>
      <c r="D412" s="147">
        <v>1473</v>
      </c>
      <c r="E412">
        <v>0</v>
      </c>
      <c r="F412">
        <v>0</v>
      </c>
      <c r="G412" t="s">
        <v>324</v>
      </c>
    </row>
    <row r="413" spans="1:7" hidden="1" x14ac:dyDescent="0.25">
      <c r="A413" t="s">
        <v>2309</v>
      </c>
      <c r="B413" t="s">
        <v>867</v>
      </c>
      <c r="C413" t="s">
        <v>868</v>
      </c>
      <c r="D413" s="147">
        <v>5071</v>
      </c>
      <c r="E413">
        <v>0</v>
      </c>
      <c r="F413">
        <v>0</v>
      </c>
      <c r="G413" t="s">
        <v>324</v>
      </c>
    </row>
    <row r="414" spans="1:7" hidden="1" x14ac:dyDescent="0.25">
      <c r="A414" t="s">
        <v>2309</v>
      </c>
      <c r="B414" t="s">
        <v>2797</v>
      </c>
      <c r="C414" t="s">
        <v>2798</v>
      </c>
      <c r="D414" s="147">
        <v>3182</v>
      </c>
      <c r="E414">
        <v>0</v>
      </c>
      <c r="F414">
        <v>0</v>
      </c>
      <c r="G414" t="s">
        <v>324</v>
      </c>
    </row>
    <row r="415" spans="1:7" hidden="1" x14ac:dyDescent="0.25">
      <c r="A415" t="s">
        <v>2309</v>
      </c>
      <c r="B415" t="s">
        <v>869</v>
      </c>
      <c r="C415" t="s">
        <v>870</v>
      </c>
      <c r="D415" s="147">
        <v>1623</v>
      </c>
      <c r="E415">
        <v>0</v>
      </c>
      <c r="F415">
        <v>0</v>
      </c>
      <c r="G415" t="s">
        <v>324</v>
      </c>
    </row>
    <row r="416" spans="1:7" hidden="1" x14ac:dyDescent="0.25">
      <c r="A416" t="s">
        <v>2309</v>
      </c>
      <c r="B416" t="s">
        <v>3307</v>
      </c>
      <c r="C416" t="s">
        <v>4338</v>
      </c>
      <c r="D416" s="147">
        <v>12260</v>
      </c>
      <c r="E416">
        <v>0</v>
      </c>
      <c r="F416">
        <v>0</v>
      </c>
      <c r="G416" t="s">
        <v>324</v>
      </c>
    </row>
    <row r="417" spans="1:7" hidden="1" x14ac:dyDescent="0.25">
      <c r="A417" t="s">
        <v>2309</v>
      </c>
      <c r="B417" t="s">
        <v>871</v>
      </c>
      <c r="C417" t="s">
        <v>872</v>
      </c>
      <c r="D417" s="147">
        <v>1641</v>
      </c>
      <c r="E417">
        <v>0</v>
      </c>
      <c r="F417">
        <v>0</v>
      </c>
      <c r="G417" t="s">
        <v>324</v>
      </c>
    </row>
    <row r="418" spans="1:7" hidden="1" x14ac:dyDescent="0.25">
      <c r="A418" t="s">
        <v>2309</v>
      </c>
      <c r="B418" t="s">
        <v>873</v>
      </c>
      <c r="C418" t="s">
        <v>874</v>
      </c>
      <c r="D418" s="147">
        <v>1000</v>
      </c>
      <c r="E418">
        <v>0</v>
      </c>
      <c r="F418">
        <v>0</v>
      </c>
      <c r="G418" t="s">
        <v>324</v>
      </c>
    </row>
    <row r="419" spans="1:7" hidden="1" x14ac:dyDescent="0.25">
      <c r="A419" t="s">
        <v>2309</v>
      </c>
      <c r="B419" t="s">
        <v>875</v>
      </c>
      <c r="C419" t="s">
        <v>876</v>
      </c>
      <c r="D419">
        <v>552</v>
      </c>
      <c r="E419">
        <v>0</v>
      </c>
      <c r="F419">
        <v>0</v>
      </c>
      <c r="G419" t="s">
        <v>324</v>
      </c>
    </row>
    <row r="420" spans="1:7" hidden="1" x14ac:dyDescent="0.25">
      <c r="A420" t="s">
        <v>2309</v>
      </c>
      <c r="B420" t="s">
        <v>877</v>
      </c>
      <c r="C420" t="s">
        <v>878</v>
      </c>
      <c r="D420">
        <v>586</v>
      </c>
      <c r="E420">
        <v>0</v>
      </c>
      <c r="F420">
        <v>0</v>
      </c>
      <c r="G420" t="s">
        <v>324</v>
      </c>
    </row>
    <row r="421" spans="1:7" hidden="1" x14ac:dyDescent="0.25">
      <c r="A421" t="s">
        <v>2309</v>
      </c>
      <c r="B421" t="s">
        <v>879</v>
      </c>
      <c r="C421" t="s">
        <v>880</v>
      </c>
      <c r="D421" s="147">
        <v>1550</v>
      </c>
      <c r="E421">
        <v>0</v>
      </c>
      <c r="F421">
        <v>0</v>
      </c>
      <c r="G421" t="s">
        <v>324</v>
      </c>
    </row>
    <row r="422" spans="1:7" hidden="1" x14ac:dyDescent="0.25">
      <c r="A422" t="s">
        <v>2309</v>
      </c>
      <c r="B422" t="s">
        <v>881</v>
      </c>
      <c r="C422" t="s">
        <v>882</v>
      </c>
      <c r="D422" s="147">
        <v>1040</v>
      </c>
      <c r="E422">
        <v>0</v>
      </c>
      <c r="F422">
        <v>0</v>
      </c>
      <c r="G422" t="s">
        <v>324</v>
      </c>
    </row>
    <row r="423" spans="1:7" hidden="1" x14ac:dyDescent="0.25">
      <c r="A423" t="s">
        <v>2309</v>
      </c>
      <c r="B423" t="s">
        <v>883</v>
      </c>
      <c r="C423" t="s">
        <v>884</v>
      </c>
      <c r="D423" s="147">
        <v>1904</v>
      </c>
      <c r="E423">
        <v>0</v>
      </c>
      <c r="F423">
        <v>0</v>
      </c>
      <c r="G423" t="s">
        <v>324</v>
      </c>
    </row>
    <row r="424" spans="1:7" hidden="1" x14ac:dyDescent="0.25">
      <c r="A424" t="s">
        <v>2309</v>
      </c>
      <c r="B424" t="s">
        <v>885</v>
      </c>
      <c r="C424" t="s">
        <v>886</v>
      </c>
      <c r="D424" s="147">
        <v>1198</v>
      </c>
      <c r="E424">
        <v>0</v>
      </c>
      <c r="F424">
        <v>0</v>
      </c>
      <c r="G424" t="s">
        <v>324</v>
      </c>
    </row>
    <row r="425" spans="1:7" hidden="1" x14ac:dyDescent="0.25">
      <c r="A425" t="s">
        <v>2309</v>
      </c>
      <c r="B425" t="s">
        <v>887</v>
      </c>
      <c r="C425" t="s">
        <v>888</v>
      </c>
      <c r="D425">
        <v>115</v>
      </c>
      <c r="E425">
        <v>0</v>
      </c>
      <c r="F425">
        <v>0</v>
      </c>
      <c r="G425" t="s">
        <v>324</v>
      </c>
    </row>
    <row r="426" spans="1:7" hidden="1" x14ac:dyDescent="0.25">
      <c r="A426" t="s">
        <v>2309</v>
      </c>
      <c r="B426" t="s">
        <v>889</v>
      </c>
      <c r="C426" t="s">
        <v>890</v>
      </c>
      <c r="D426">
        <v>151</v>
      </c>
      <c r="E426">
        <v>0</v>
      </c>
      <c r="F426">
        <v>0</v>
      </c>
      <c r="G426" t="s">
        <v>324</v>
      </c>
    </row>
    <row r="427" spans="1:7" hidden="1" x14ac:dyDescent="0.25">
      <c r="A427" t="s">
        <v>2309</v>
      </c>
      <c r="B427" t="s">
        <v>891</v>
      </c>
      <c r="C427" t="s">
        <v>892</v>
      </c>
      <c r="D427" s="147">
        <v>6463</v>
      </c>
      <c r="E427">
        <v>0</v>
      </c>
      <c r="F427">
        <v>0</v>
      </c>
      <c r="G427" t="s">
        <v>324</v>
      </c>
    </row>
    <row r="428" spans="1:7" hidden="1" x14ac:dyDescent="0.25">
      <c r="A428" t="s">
        <v>2309</v>
      </c>
      <c r="B428" t="s">
        <v>893</v>
      </c>
      <c r="C428" t="s">
        <v>894</v>
      </c>
      <c r="D428" s="147">
        <v>1368</v>
      </c>
      <c r="E428">
        <v>0</v>
      </c>
      <c r="F428">
        <v>0</v>
      </c>
      <c r="G428" t="s">
        <v>324</v>
      </c>
    </row>
    <row r="429" spans="1:7" hidden="1" x14ac:dyDescent="0.25">
      <c r="A429" t="s">
        <v>2309</v>
      </c>
      <c r="B429" t="s">
        <v>895</v>
      </c>
      <c r="C429" t="s">
        <v>896</v>
      </c>
      <c r="D429" s="147">
        <v>5846</v>
      </c>
      <c r="E429">
        <v>0</v>
      </c>
      <c r="F429">
        <v>0</v>
      </c>
      <c r="G429" t="s">
        <v>324</v>
      </c>
    </row>
    <row r="430" spans="1:7" hidden="1" x14ac:dyDescent="0.25">
      <c r="A430" t="s">
        <v>2309</v>
      </c>
      <c r="B430" t="s">
        <v>897</v>
      </c>
      <c r="C430" t="s">
        <v>898</v>
      </c>
      <c r="D430">
        <v>314</v>
      </c>
      <c r="E430">
        <v>0</v>
      </c>
      <c r="F430">
        <v>0</v>
      </c>
      <c r="G430" t="s">
        <v>324</v>
      </c>
    </row>
    <row r="431" spans="1:7" hidden="1" x14ac:dyDescent="0.25">
      <c r="A431" t="s">
        <v>2309</v>
      </c>
      <c r="B431" t="s">
        <v>1775</v>
      </c>
      <c r="C431" t="s">
        <v>1776</v>
      </c>
      <c r="D431" s="147">
        <v>1013</v>
      </c>
      <c r="E431">
        <v>0</v>
      </c>
      <c r="F431">
        <v>0</v>
      </c>
      <c r="G431" t="s">
        <v>324</v>
      </c>
    </row>
    <row r="432" spans="1:7" hidden="1" x14ac:dyDescent="0.25">
      <c r="A432" t="s">
        <v>2309</v>
      </c>
      <c r="B432" t="s">
        <v>899</v>
      </c>
      <c r="C432" t="s">
        <v>900</v>
      </c>
      <c r="D432" s="147">
        <v>14365</v>
      </c>
      <c r="E432">
        <v>0</v>
      </c>
      <c r="F432">
        <v>0</v>
      </c>
      <c r="G432" t="s">
        <v>324</v>
      </c>
    </row>
    <row r="433" spans="1:7" hidden="1" x14ac:dyDescent="0.25">
      <c r="A433" t="s">
        <v>2309</v>
      </c>
      <c r="B433" t="s">
        <v>901</v>
      </c>
      <c r="C433" t="s">
        <v>902</v>
      </c>
      <c r="D433" s="147">
        <v>12530</v>
      </c>
      <c r="E433">
        <v>0</v>
      </c>
      <c r="F433">
        <v>0</v>
      </c>
      <c r="G433" t="s">
        <v>324</v>
      </c>
    </row>
    <row r="434" spans="1:7" hidden="1" x14ac:dyDescent="0.25">
      <c r="A434" t="s">
        <v>2309</v>
      </c>
      <c r="B434" t="s">
        <v>903</v>
      </c>
      <c r="C434" t="s">
        <v>904</v>
      </c>
      <c r="D434" s="147">
        <v>7186</v>
      </c>
      <c r="E434">
        <v>0</v>
      </c>
      <c r="F434">
        <v>0</v>
      </c>
      <c r="G434" t="s">
        <v>324</v>
      </c>
    </row>
    <row r="435" spans="1:7" hidden="1" x14ac:dyDescent="0.25">
      <c r="A435" t="s">
        <v>2309</v>
      </c>
      <c r="B435" t="s">
        <v>905</v>
      </c>
      <c r="C435" t="s">
        <v>906</v>
      </c>
      <c r="D435" s="147">
        <v>1378</v>
      </c>
      <c r="E435">
        <v>0</v>
      </c>
      <c r="F435">
        <v>0</v>
      </c>
      <c r="G435" t="s">
        <v>324</v>
      </c>
    </row>
    <row r="436" spans="1:7" hidden="1" x14ac:dyDescent="0.25">
      <c r="A436" t="s">
        <v>2309</v>
      </c>
      <c r="B436" t="s">
        <v>907</v>
      </c>
      <c r="C436" t="s">
        <v>908</v>
      </c>
      <c r="D436" s="147">
        <v>1351</v>
      </c>
      <c r="E436">
        <v>0</v>
      </c>
      <c r="F436">
        <v>0</v>
      </c>
      <c r="G436" t="s">
        <v>324</v>
      </c>
    </row>
    <row r="437" spans="1:7" hidden="1" x14ac:dyDescent="0.25">
      <c r="A437" t="s">
        <v>2309</v>
      </c>
      <c r="B437" t="s">
        <v>909</v>
      </c>
      <c r="C437" t="s">
        <v>910</v>
      </c>
      <c r="D437" s="147">
        <v>12522</v>
      </c>
      <c r="E437">
        <v>0</v>
      </c>
      <c r="F437">
        <v>0</v>
      </c>
      <c r="G437" t="s">
        <v>324</v>
      </c>
    </row>
    <row r="438" spans="1:7" hidden="1" x14ac:dyDescent="0.25">
      <c r="A438" t="s">
        <v>2309</v>
      </c>
      <c r="B438" t="s">
        <v>911</v>
      </c>
      <c r="C438" t="s">
        <v>912</v>
      </c>
      <c r="D438" s="147">
        <v>1422</v>
      </c>
      <c r="E438">
        <v>0</v>
      </c>
      <c r="F438">
        <v>0</v>
      </c>
      <c r="G438" t="s">
        <v>324</v>
      </c>
    </row>
    <row r="439" spans="1:7" hidden="1" x14ac:dyDescent="0.25">
      <c r="A439" t="s">
        <v>2309</v>
      </c>
      <c r="B439" t="s">
        <v>913</v>
      </c>
      <c r="C439" t="s">
        <v>914</v>
      </c>
      <c r="D439" s="147">
        <v>2289</v>
      </c>
      <c r="E439">
        <v>0</v>
      </c>
      <c r="F439">
        <v>0</v>
      </c>
      <c r="G439" t="s">
        <v>324</v>
      </c>
    </row>
    <row r="440" spans="1:7" hidden="1" x14ac:dyDescent="0.25">
      <c r="A440" t="s">
        <v>2309</v>
      </c>
      <c r="B440" t="s">
        <v>915</v>
      </c>
      <c r="C440" t="s">
        <v>916</v>
      </c>
      <c r="D440" s="147">
        <v>2347</v>
      </c>
      <c r="E440">
        <v>0</v>
      </c>
      <c r="F440">
        <v>0</v>
      </c>
      <c r="G440" t="s">
        <v>324</v>
      </c>
    </row>
    <row r="441" spans="1:7" hidden="1" x14ac:dyDescent="0.25">
      <c r="A441" t="s">
        <v>2309</v>
      </c>
      <c r="B441" t="s">
        <v>917</v>
      </c>
      <c r="C441" t="s">
        <v>918</v>
      </c>
      <c r="D441" s="147">
        <v>2561</v>
      </c>
      <c r="E441">
        <v>0</v>
      </c>
      <c r="F441">
        <v>0</v>
      </c>
      <c r="G441" t="s">
        <v>324</v>
      </c>
    </row>
    <row r="442" spans="1:7" hidden="1" x14ac:dyDescent="0.25">
      <c r="A442" t="s">
        <v>2309</v>
      </c>
      <c r="B442" t="s">
        <v>1709</v>
      </c>
      <c r="C442" t="s">
        <v>1710</v>
      </c>
      <c r="D442">
        <v>858</v>
      </c>
      <c r="E442">
        <v>0</v>
      </c>
      <c r="F442">
        <v>0</v>
      </c>
      <c r="G442" t="s">
        <v>324</v>
      </c>
    </row>
    <row r="443" spans="1:7" hidden="1" x14ac:dyDescent="0.25">
      <c r="A443" t="s">
        <v>2309</v>
      </c>
      <c r="B443" t="s">
        <v>919</v>
      </c>
      <c r="C443" t="s">
        <v>920</v>
      </c>
      <c r="D443">
        <v>512</v>
      </c>
      <c r="E443">
        <v>0</v>
      </c>
      <c r="F443">
        <v>0</v>
      </c>
      <c r="G443" t="s">
        <v>324</v>
      </c>
    </row>
    <row r="444" spans="1:7" hidden="1" x14ac:dyDescent="0.25">
      <c r="A444" t="s">
        <v>2309</v>
      </c>
      <c r="B444" t="s">
        <v>921</v>
      </c>
      <c r="C444" t="s">
        <v>922</v>
      </c>
      <c r="D444">
        <v>615</v>
      </c>
      <c r="E444">
        <v>0</v>
      </c>
      <c r="F444">
        <v>0</v>
      </c>
      <c r="G444" t="s">
        <v>324</v>
      </c>
    </row>
    <row r="445" spans="1:7" hidden="1" x14ac:dyDescent="0.25">
      <c r="A445" t="s">
        <v>2309</v>
      </c>
      <c r="B445" t="s">
        <v>923</v>
      </c>
      <c r="C445" t="s">
        <v>924</v>
      </c>
      <c r="D445" s="147">
        <v>2665</v>
      </c>
      <c r="E445">
        <v>0</v>
      </c>
      <c r="F445">
        <v>0</v>
      </c>
      <c r="G445" t="s">
        <v>324</v>
      </c>
    </row>
    <row r="446" spans="1:7" hidden="1" x14ac:dyDescent="0.25">
      <c r="A446" t="s">
        <v>2309</v>
      </c>
      <c r="B446" t="s">
        <v>925</v>
      </c>
      <c r="C446" t="s">
        <v>926</v>
      </c>
      <c r="D446" s="147">
        <v>7054</v>
      </c>
      <c r="E446">
        <v>0</v>
      </c>
      <c r="F446">
        <v>0</v>
      </c>
      <c r="G446" t="s">
        <v>324</v>
      </c>
    </row>
    <row r="447" spans="1:7" hidden="1" x14ac:dyDescent="0.25">
      <c r="A447" t="s">
        <v>2309</v>
      </c>
      <c r="B447" t="s">
        <v>927</v>
      </c>
      <c r="C447" t="s">
        <v>928</v>
      </c>
      <c r="D447">
        <v>417</v>
      </c>
      <c r="E447">
        <v>0</v>
      </c>
      <c r="F447">
        <v>0</v>
      </c>
      <c r="G447" t="s">
        <v>324</v>
      </c>
    </row>
    <row r="448" spans="1:7" hidden="1" x14ac:dyDescent="0.25">
      <c r="A448" t="s">
        <v>2309</v>
      </c>
      <c r="B448" t="s">
        <v>929</v>
      </c>
      <c r="C448" t="s">
        <v>930</v>
      </c>
      <c r="D448">
        <v>538</v>
      </c>
      <c r="E448">
        <v>0</v>
      </c>
      <c r="F448">
        <v>0</v>
      </c>
      <c r="G448" t="s">
        <v>324</v>
      </c>
    </row>
    <row r="449" spans="1:7" hidden="1" x14ac:dyDescent="0.25">
      <c r="A449" t="s">
        <v>2309</v>
      </c>
      <c r="B449" t="s">
        <v>1711</v>
      </c>
      <c r="C449" t="s">
        <v>1712</v>
      </c>
      <c r="D449" s="147">
        <v>12593</v>
      </c>
      <c r="E449">
        <v>0</v>
      </c>
      <c r="F449">
        <v>0</v>
      </c>
      <c r="G449" t="s">
        <v>324</v>
      </c>
    </row>
    <row r="450" spans="1:7" hidden="1" x14ac:dyDescent="0.25">
      <c r="A450" t="s">
        <v>2309</v>
      </c>
      <c r="B450" t="s">
        <v>933</v>
      </c>
      <c r="C450" t="s">
        <v>934</v>
      </c>
      <c r="D450">
        <v>105</v>
      </c>
      <c r="E450">
        <v>0</v>
      </c>
      <c r="F450">
        <v>0</v>
      </c>
      <c r="G450" t="s">
        <v>324</v>
      </c>
    </row>
    <row r="451" spans="1:7" hidden="1" x14ac:dyDescent="0.25">
      <c r="A451" t="s">
        <v>2309</v>
      </c>
      <c r="B451" t="s">
        <v>935</v>
      </c>
      <c r="C451" t="s">
        <v>936</v>
      </c>
      <c r="D451">
        <v>146</v>
      </c>
      <c r="E451">
        <v>0</v>
      </c>
      <c r="F451">
        <v>0</v>
      </c>
      <c r="G451" t="s">
        <v>324</v>
      </c>
    </row>
    <row r="452" spans="1:7" hidden="1" x14ac:dyDescent="0.25">
      <c r="A452" t="s">
        <v>2309</v>
      </c>
      <c r="B452" t="s">
        <v>937</v>
      </c>
      <c r="C452" t="s">
        <v>938</v>
      </c>
      <c r="D452" s="147">
        <v>1205</v>
      </c>
      <c r="E452">
        <v>0</v>
      </c>
      <c r="F452">
        <v>0</v>
      </c>
      <c r="G452" t="s">
        <v>324</v>
      </c>
    </row>
    <row r="453" spans="1:7" hidden="1" x14ac:dyDescent="0.25">
      <c r="A453" t="s">
        <v>2309</v>
      </c>
      <c r="B453" t="s">
        <v>939</v>
      </c>
      <c r="C453" t="s">
        <v>940</v>
      </c>
      <c r="D453">
        <v>269</v>
      </c>
      <c r="E453">
        <v>0</v>
      </c>
      <c r="F453">
        <v>0</v>
      </c>
      <c r="G453" t="s">
        <v>324</v>
      </c>
    </row>
    <row r="454" spans="1:7" hidden="1" x14ac:dyDescent="0.25">
      <c r="A454" t="s">
        <v>2309</v>
      </c>
      <c r="B454" t="s">
        <v>941</v>
      </c>
      <c r="C454" t="s">
        <v>942</v>
      </c>
      <c r="D454" s="147">
        <v>2563</v>
      </c>
      <c r="E454">
        <v>0</v>
      </c>
      <c r="F454">
        <v>0</v>
      </c>
      <c r="G454" t="s">
        <v>324</v>
      </c>
    </row>
    <row r="455" spans="1:7" hidden="1" x14ac:dyDescent="0.25">
      <c r="A455" t="s">
        <v>2309</v>
      </c>
      <c r="B455" t="s">
        <v>943</v>
      </c>
      <c r="C455" t="s">
        <v>944</v>
      </c>
      <c r="D455">
        <v>473</v>
      </c>
      <c r="E455">
        <v>0</v>
      </c>
      <c r="F455">
        <v>0</v>
      </c>
      <c r="G455" t="s">
        <v>324</v>
      </c>
    </row>
    <row r="456" spans="1:7" hidden="1" x14ac:dyDescent="0.25">
      <c r="A456" t="s">
        <v>2309</v>
      </c>
      <c r="B456" t="s">
        <v>945</v>
      </c>
      <c r="C456" t="s">
        <v>946</v>
      </c>
      <c r="D456">
        <v>192</v>
      </c>
      <c r="E456">
        <v>0</v>
      </c>
      <c r="F456">
        <v>0</v>
      </c>
      <c r="G456" t="s">
        <v>324</v>
      </c>
    </row>
    <row r="457" spans="1:7" hidden="1" x14ac:dyDescent="0.25">
      <c r="A457" t="s">
        <v>2309</v>
      </c>
      <c r="B457" t="s">
        <v>947</v>
      </c>
      <c r="C457" t="s">
        <v>948</v>
      </c>
      <c r="D457" s="147">
        <v>5116</v>
      </c>
      <c r="E457">
        <v>0</v>
      </c>
      <c r="F457">
        <v>0</v>
      </c>
      <c r="G457" t="s">
        <v>324</v>
      </c>
    </row>
    <row r="458" spans="1:7" hidden="1" x14ac:dyDescent="0.25">
      <c r="A458" t="s">
        <v>2309</v>
      </c>
      <c r="B458" t="s">
        <v>949</v>
      </c>
      <c r="C458" t="s">
        <v>950</v>
      </c>
      <c r="D458">
        <v>510</v>
      </c>
      <c r="E458">
        <v>0</v>
      </c>
      <c r="F458">
        <v>0</v>
      </c>
      <c r="G458" t="s">
        <v>324</v>
      </c>
    </row>
    <row r="459" spans="1:7" hidden="1" x14ac:dyDescent="0.25">
      <c r="A459" t="s">
        <v>2309</v>
      </c>
      <c r="B459" t="s">
        <v>951</v>
      </c>
      <c r="C459" t="s">
        <v>952</v>
      </c>
      <c r="D459" s="147">
        <v>2600</v>
      </c>
      <c r="E459">
        <v>0</v>
      </c>
      <c r="F459">
        <v>0</v>
      </c>
      <c r="G459" t="s">
        <v>324</v>
      </c>
    </row>
    <row r="460" spans="1:7" hidden="1" x14ac:dyDescent="0.25">
      <c r="A460" t="s">
        <v>2309</v>
      </c>
      <c r="B460" t="s">
        <v>953</v>
      </c>
      <c r="C460" t="s">
        <v>954</v>
      </c>
      <c r="D460" s="147">
        <v>3340</v>
      </c>
      <c r="E460">
        <v>0</v>
      </c>
      <c r="F460">
        <v>0</v>
      </c>
      <c r="G460" t="s">
        <v>324</v>
      </c>
    </row>
    <row r="461" spans="1:7" hidden="1" x14ac:dyDescent="0.25">
      <c r="A461" t="s">
        <v>2309</v>
      </c>
      <c r="B461" t="s">
        <v>955</v>
      </c>
      <c r="C461" t="s">
        <v>956</v>
      </c>
      <c r="D461">
        <v>300</v>
      </c>
      <c r="E461">
        <v>0</v>
      </c>
      <c r="F461">
        <v>0</v>
      </c>
      <c r="G461" t="s">
        <v>324</v>
      </c>
    </row>
    <row r="462" spans="1:7" hidden="1" x14ac:dyDescent="0.25">
      <c r="A462" t="s">
        <v>2309</v>
      </c>
      <c r="B462" t="s">
        <v>957</v>
      </c>
      <c r="C462" t="s">
        <v>958</v>
      </c>
      <c r="D462">
        <v>141</v>
      </c>
      <c r="E462">
        <v>0</v>
      </c>
      <c r="F462">
        <v>0</v>
      </c>
      <c r="G462" t="s">
        <v>324</v>
      </c>
    </row>
    <row r="463" spans="1:7" hidden="1" x14ac:dyDescent="0.25">
      <c r="A463" t="s">
        <v>2309</v>
      </c>
      <c r="B463" t="s">
        <v>959</v>
      </c>
      <c r="C463" t="s">
        <v>960</v>
      </c>
      <c r="D463">
        <v>500</v>
      </c>
      <c r="E463">
        <v>0</v>
      </c>
      <c r="F463">
        <v>0</v>
      </c>
      <c r="G463" t="s">
        <v>324</v>
      </c>
    </row>
    <row r="464" spans="1:7" hidden="1" x14ac:dyDescent="0.25">
      <c r="A464" t="s">
        <v>2309</v>
      </c>
      <c r="B464" t="s">
        <v>961</v>
      </c>
      <c r="C464" t="s">
        <v>962</v>
      </c>
      <c r="D464" s="147">
        <v>1480</v>
      </c>
      <c r="E464">
        <v>0</v>
      </c>
      <c r="F464">
        <v>0</v>
      </c>
      <c r="G464" t="s">
        <v>324</v>
      </c>
    </row>
    <row r="465" spans="1:7" hidden="1" x14ac:dyDescent="0.25">
      <c r="A465" t="s">
        <v>2309</v>
      </c>
      <c r="B465" t="s">
        <v>963</v>
      </c>
      <c r="C465" t="s">
        <v>964</v>
      </c>
      <c r="D465">
        <v>209</v>
      </c>
      <c r="E465">
        <v>0</v>
      </c>
      <c r="F465">
        <v>0</v>
      </c>
      <c r="G465" t="s">
        <v>324</v>
      </c>
    </row>
    <row r="466" spans="1:7" hidden="1" x14ac:dyDescent="0.25">
      <c r="A466" t="s">
        <v>2309</v>
      </c>
      <c r="B466" t="s">
        <v>965</v>
      </c>
      <c r="C466" t="s">
        <v>966</v>
      </c>
      <c r="D466" s="147">
        <v>2000</v>
      </c>
      <c r="E466">
        <v>0</v>
      </c>
      <c r="F466">
        <v>0</v>
      </c>
      <c r="G466" t="s">
        <v>324</v>
      </c>
    </row>
    <row r="467" spans="1:7" hidden="1" x14ac:dyDescent="0.25">
      <c r="A467" t="s">
        <v>2309</v>
      </c>
      <c r="B467" t="s">
        <v>967</v>
      </c>
      <c r="C467" t="s">
        <v>968</v>
      </c>
      <c r="D467">
        <v>338</v>
      </c>
      <c r="E467">
        <v>0</v>
      </c>
      <c r="F467">
        <v>0</v>
      </c>
      <c r="G467" t="s">
        <v>324</v>
      </c>
    </row>
    <row r="468" spans="1:7" hidden="1" x14ac:dyDescent="0.25">
      <c r="A468" t="s">
        <v>2309</v>
      </c>
      <c r="B468" t="s">
        <v>969</v>
      </c>
      <c r="C468" t="s">
        <v>970</v>
      </c>
      <c r="D468">
        <v>839</v>
      </c>
      <c r="E468">
        <v>0</v>
      </c>
      <c r="F468">
        <v>0</v>
      </c>
      <c r="G468" t="s">
        <v>324</v>
      </c>
    </row>
    <row r="469" spans="1:7" hidden="1" x14ac:dyDescent="0.25">
      <c r="A469" t="s">
        <v>2309</v>
      </c>
      <c r="B469" t="s">
        <v>3982</v>
      </c>
      <c r="C469" t="s">
        <v>3984</v>
      </c>
      <c r="D469" s="147">
        <v>2298</v>
      </c>
      <c r="E469">
        <v>0</v>
      </c>
      <c r="F469">
        <v>0</v>
      </c>
      <c r="G469" t="s">
        <v>324</v>
      </c>
    </row>
    <row r="470" spans="1:7" hidden="1" x14ac:dyDescent="0.25">
      <c r="A470" t="s">
        <v>2309</v>
      </c>
      <c r="B470" t="s">
        <v>971</v>
      </c>
      <c r="C470" t="s">
        <v>972</v>
      </c>
      <c r="D470">
        <v>624</v>
      </c>
      <c r="E470">
        <v>0</v>
      </c>
      <c r="F470">
        <v>0</v>
      </c>
      <c r="G470" t="s">
        <v>324</v>
      </c>
    </row>
    <row r="471" spans="1:7" hidden="1" x14ac:dyDescent="0.25">
      <c r="A471" t="s">
        <v>2309</v>
      </c>
      <c r="B471" t="s">
        <v>973</v>
      </c>
      <c r="C471" t="s">
        <v>974</v>
      </c>
      <c r="D471">
        <v>840</v>
      </c>
      <c r="E471">
        <v>0</v>
      </c>
      <c r="F471">
        <v>0</v>
      </c>
      <c r="G471" t="s">
        <v>324</v>
      </c>
    </row>
    <row r="472" spans="1:7" hidden="1" x14ac:dyDescent="0.25">
      <c r="A472" t="s">
        <v>2309</v>
      </c>
      <c r="B472" t="s">
        <v>975</v>
      </c>
      <c r="C472" t="s">
        <v>976</v>
      </c>
      <c r="D472">
        <v>952</v>
      </c>
      <c r="E472">
        <v>0</v>
      </c>
      <c r="F472">
        <v>0</v>
      </c>
      <c r="G472" t="s">
        <v>324</v>
      </c>
    </row>
    <row r="473" spans="1:7" hidden="1" x14ac:dyDescent="0.25">
      <c r="A473" t="s">
        <v>2309</v>
      </c>
      <c r="B473" t="s">
        <v>1793</v>
      </c>
      <c r="C473" t="s">
        <v>1794</v>
      </c>
      <c r="D473" s="147">
        <v>1220</v>
      </c>
      <c r="E473">
        <v>0</v>
      </c>
      <c r="F473">
        <v>0</v>
      </c>
      <c r="G473" t="s">
        <v>324</v>
      </c>
    </row>
    <row r="474" spans="1:7" hidden="1" x14ac:dyDescent="0.25">
      <c r="A474" t="s">
        <v>2309</v>
      </c>
      <c r="B474" t="s">
        <v>977</v>
      </c>
      <c r="C474" t="s">
        <v>978</v>
      </c>
      <c r="D474">
        <v>607</v>
      </c>
      <c r="E474">
        <v>0</v>
      </c>
      <c r="F474">
        <v>0</v>
      </c>
      <c r="G474" t="s">
        <v>324</v>
      </c>
    </row>
    <row r="475" spans="1:7" hidden="1" x14ac:dyDescent="0.25">
      <c r="A475" t="s">
        <v>2309</v>
      </c>
      <c r="B475" t="s">
        <v>979</v>
      </c>
      <c r="C475" t="s">
        <v>980</v>
      </c>
      <c r="D475">
        <v>313</v>
      </c>
      <c r="E475">
        <v>0</v>
      </c>
      <c r="F475">
        <v>0</v>
      </c>
      <c r="G475" t="s">
        <v>324</v>
      </c>
    </row>
    <row r="476" spans="1:7" hidden="1" x14ac:dyDescent="0.25">
      <c r="A476" t="s">
        <v>2309</v>
      </c>
      <c r="B476" t="s">
        <v>981</v>
      </c>
      <c r="C476" t="s">
        <v>982</v>
      </c>
      <c r="D476" s="147">
        <v>10930</v>
      </c>
      <c r="E476">
        <v>0</v>
      </c>
      <c r="F476">
        <v>0</v>
      </c>
      <c r="G476" t="s">
        <v>324</v>
      </c>
    </row>
    <row r="477" spans="1:7" hidden="1" x14ac:dyDescent="0.25">
      <c r="A477" t="s">
        <v>2309</v>
      </c>
      <c r="B477" t="s">
        <v>983</v>
      </c>
      <c r="C477" t="s">
        <v>984</v>
      </c>
      <c r="D477" s="147">
        <v>1867</v>
      </c>
      <c r="E477">
        <v>0</v>
      </c>
      <c r="F477">
        <v>0</v>
      </c>
      <c r="G477" t="s">
        <v>324</v>
      </c>
    </row>
    <row r="478" spans="1:7" hidden="1" x14ac:dyDescent="0.25">
      <c r="A478" t="s">
        <v>2309</v>
      </c>
      <c r="B478" t="s">
        <v>985</v>
      </c>
      <c r="C478" t="s">
        <v>986</v>
      </c>
      <c r="D478" s="147">
        <v>2028</v>
      </c>
      <c r="E478">
        <v>0</v>
      </c>
      <c r="F478">
        <v>0</v>
      </c>
      <c r="G478" t="s">
        <v>324</v>
      </c>
    </row>
    <row r="479" spans="1:7" hidden="1" x14ac:dyDescent="0.25">
      <c r="A479" t="s">
        <v>2309</v>
      </c>
      <c r="B479" t="s">
        <v>987</v>
      </c>
      <c r="C479" t="s">
        <v>988</v>
      </c>
      <c r="D479">
        <v>265</v>
      </c>
      <c r="E479">
        <v>0</v>
      </c>
      <c r="F479">
        <v>0</v>
      </c>
      <c r="G479" t="s">
        <v>324</v>
      </c>
    </row>
    <row r="480" spans="1:7" hidden="1" x14ac:dyDescent="0.25">
      <c r="A480" t="s">
        <v>2309</v>
      </c>
      <c r="B480" t="s">
        <v>989</v>
      </c>
      <c r="C480" t="s">
        <v>990</v>
      </c>
      <c r="D480" s="147">
        <v>2127</v>
      </c>
      <c r="E480">
        <v>0</v>
      </c>
      <c r="F480">
        <v>0</v>
      </c>
      <c r="G480" t="s">
        <v>324</v>
      </c>
    </row>
    <row r="481" spans="1:7" hidden="1" x14ac:dyDescent="0.25">
      <c r="A481" t="s">
        <v>2309</v>
      </c>
      <c r="B481" t="s">
        <v>991</v>
      </c>
      <c r="C481" t="s">
        <v>992</v>
      </c>
      <c r="D481">
        <v>167</v>
      </c>
      <c r="E481">
        <v>0</v>
      </c>
      <c r="F481">
        <v>0</v>
      </c>
      <c r="G481" t="s">
        <v>324</v>
      </c>
    </row>
    <row r="482" spans="1:7" hidden="1" x14ac:dyDescent="0.25">
      <c r="A482" t="s">
        <v>2309</v>
      </c>
      <c r="B482" t="s">
        <v>993</v>
      </c>
      <c r="C482" t="s">
        <v>994</v>
      </c>
      <c r="D482" s="147">
        <v>2880</v>
      </c>
      <c r="E482">
        <v>0</v>
      </c>
      <c r="F482">
        <v>0</v>
      </c>
      <c r="G482" t="s">
        <v>324</v>
      </c>
    </row>
    <row r="483" spans="1:7" hidden="1" x14ac:dyDescent="0.25">
      <c r="A483" t="s">
        <v>2309</v>
      </c>
      <c r="B483" t="s">
        <v>995</v>
      </c>
      <c r="C483" t="s">
        <v>996</v>
      </c>
      <c r="D483" s="147">
        <v>3194</v>
      </c>
      <c r="E483">
        <v>0</v>
      </c>
      <c r="F483">
        <v>0</v>
      </c>
      <c r="G483" t="s">
        <v>324</v>
      </c>
    </row>
    <row r="484" spans="1:7" hidden="1" x14ac:dyDescent="0.25">
      <c r="A484" t="s">
        <v>2309</v>
      </c>
      <c r="B484" t="s">
        <v>1713</v>
      </c>
      <c r="C484" t="s">
        <v>1714</v>
      </c>
      <c r="D484">
        <v>334</v>
      </c>
      <c r="E484">
        <v>0</v>
      </c>
      <c r="F484">
        <v>0</v>
      </c>
      <c r="G484" t="s">
        <v>324</v>
      </c>
    </row>
    <row r="485" spans="1:7" hidden="1" x14ac:dyDescent="0.25">
      <c r="A485" t="s">
        <v>2309</v>
      </c>
      <c r="B485" t="s">
        <v>997</v>
      </c>
      <c r="C485" t="s">
        <v>998</v>
      </c>
      <c r="D485" s="147">
        <v>2950</v>
      </c>
      <c r="E485">
        <v>0</v>
      </c>
      <c r="F485">
        <v>0</v>
      </c>
      <c r="G485" t="s">
        <v>324</v>
      </c>
    </row>
    <row r="486" spans="1:7" hidden="1" x14ac:dyDescent="0.25">
      <c r="A486" t="s">
        <v>2309</v>
      </c>
      <c r="B486" t="s">
        <v>999</v>
      </c>
      <c r="C486" t="s">
        <v>1000</v>
      </c>
      <c r="D486" s="147">
        <v>1038</v>
      </c>
      <c r="E486">
        <v>0</v>
      </c>
      <c r="F486">
        <v>0</v>
      </c>
      <c r="G486" t="s">
        <v>324</v>
      </c>
    </row>
    <row r="487" spans="1:7" hidden="1" x14ac:dyDescent="0.25">
      <c r="A487" t="s">
        <v>2309</v>
      </c>
      <c r="B487" t="s">
        <v>1001</v>
      </c>
      <c r="C487" t="s">
        <v>1002</v>
      </c>
      <c r="D487" s="147">
        <v>4951</v>
      </c>
      <c r="E487">
        <v>0</v>
      </c>
      <c r="F487">
        <v>0</v>
      </c>
      <c r="G487" t="s">
        <v>324</v>
      </c>
    </row>
    <row r="488" spans="1:7" hidden="1" x14ac:dyDescent="0.25">
      <c r="A488" t="s">
        <v>2309</v>
      </c>
      <c r="B488" t="s">
        <v>1003</v>
      </c>
      <c r="C488" t="s">
        <v>1004</v>
      </c>
      <c r="D488">
        <v>719</v>
      </c>
      <c r="E488">
        <v>0</v>
      </c>
      <c r="F488">
        <v>0</v>
      </c>
      <c r="G488" t="s">
        <v>324</v>
      </c>
    </row>
    <row r="489" spans="1:7" hidden="1" x14ac:dyDescent="0.25">
      <c r="A489" t="s">
        <v>2309</v>
      </c>
      <c r="B489" t="s">
        <v>1005</v>
      </c>
      <c r="C489" t="s">
        <v>1006</v>
      </c>
      <c r="D489" s="147">
        <v>1087</v>
      </c>
      <c r="E489">
        <v>0</v>
      </c>
      <c r="F489">
        <v>0</v>
      </c>
      <c r="G489" t="s">
        <v>324</v>
      </c>
    </row>
    <row r="490" spans="1:7" hidden="1" x14ac:dyDescent="0.25">
      <c r="A490" t="s">
        <v>2309</v>
      </c>
      <c r="B490" t="s">
        <v>1007</v>
      </c>
      <c r="C490" t="s">
        <v>1008</v>
      </c>
      <c r="D490">
        <v>22</v>
      </c>
      <c r="E490">
        <v>0</v>
      </c>
      <c r="F490">
        <v>0</v>
      </c>
      <c r="G490" t="s">
        <v>324</v>
      </c>
    </row>
    <row r="491" spans="1:7" hidden="1" x14ac:dyDescent="0.25">
      <c r="A491" t="s">
        <v>2309</v>
      </c>
      <c r="B491" t="s">
        <v>1009</v>
      </c>
      <c r="C491" t="s">
        <v>1010</v>
      </c>
      <c r="D491">
        <v>28</v>
      </c>
      <c r="E491">
        <v>0</v>
      </c>
      <c r="F491">
        <v>0</v>
      </c>
      <c r="G491" t="s">
        <v>324</v>
      </c>
    </row>
    <row r="492" spans="1:7" hidden="1" x14ac:dyDescent="0.25">
      <c r="A492" t="s">
        <v>2309</v>
      </c>
      <c r="B492" t="s">
        <v>1011</v>
      </c>
      <c r="C492" t="s">
        <v>1012</v>
      </c>
      <c r="D492">
        <v>205</v>
      </c>
      <c r="E492">
        <v>0</v>
      </c>
      <c r="F492">
        <v>0</v>
      </c>
      <c r="G492" t="s">
        <v>324</v>
      </c>
    </row>
    <row r="493" spans="1:7" hidden="1" x14ac:dyDescent="0.25">
      <c r="A493" t="s">
        <v>2309</v>
      </c>
      <c r="B493" t="s">
        <v>1013</v>
      </c>
      <c r="C493" t="s">
        <v>1014</v>
      </c>
      <c r="D493" s="147">
        <v>1061</v>
      </c>
      <c r="E493">
        <v>0</v>
      </c>
      <c r="F493">
        <v>0</v>
      </c>
      <c r="G493" t="s">
        <v>324</v>
      </c>
    </row>
    <row r="494" spans="1:7" hidden="1" x14ac:dyDescent="0.25">
      <c r="A494" t="s">
        <v>2309</v>
      </c>
      <c r="B494" t="s">
        <v>1015</v>
      </c>
      <c r="C494" t="s">
        <v>1016</v>
      </c>
      <c r="D494">
        <v>68</v>
      </c>
      <c r="E494">
        <v>0</v>
      </c>
      <c r="F494">
        <v>0</v>
      </c>
      <c r="G494" t="s">
        <v>324</v>
      </c>
    </row>
    <row r="495" spans="1:7" hidden="1" x14ac:dyDescent="0.25">
      <c r="A495" t="s">
        <v>2309</v>
      </c>
      <c r="B495" t="s">
        <v>1017</v>
      </c>
      <c r="C495" t="s">
        <v>1018</v>
      </c>
      <c r="D495">
        <v>297</v>
      </c>
      <c r="E495">
        <v>0</v>
      </c>
      <c r="F495">
        <v>0</v>
      </c>
      <c r="G495" t="s">
        <v>324</v>
      </c>
    </row>
    <row r="496" spans="1:7" hidden="1" x14ac:dyDescent="0.25">
      <c r="A496" t="s">
        <v>2309</v>
      </c>
      <c r="B496" t="s">
        <v>1019</v>
      </c>
      <c r="C496" t="s">
        <v>1020</v>
      </c>
      <c r="D496" s="147">
        <v>7856</v>
      </c>
      <c r="E496">
        <v>0</v>
      </c>
      <c r="F496">
        <v>0</v>
      </c>
      <c r="G496" t="s">
        <v>324</v>
      </c>
    </row>
    <row r="497" spans="1:7" hidden="1" x14ac:dyDescent="0.25">
      <c r="A497" t="s">
        <v>2309</v>
      </c>
      <c r="B497" t="s">
        <v>1021</v>
      </c>
      <c r="C497" t="s">
        <v>1022</v>
      </c>
      <c r="D497" s="147">
        <v>1356</v>
      </c>
      <c r="E497">
        <v>0</v>
      </c>
      <c r="F497">
        <v>0</v>
      </c>
      <c r="G497" t="s">
        <v>324</v>
      </c>
    </row>
    <row r="498" spans="1:7" hidden="1" x14ac:dyDescent="0.25">
      <c r="A498" t="s">
        <v>2309</v>
      </c>
      <c r="B498" t="s">
        <v>1023</v>
      </c>
      <c r="C498" t="s">
        <v>1024</v>
      </c>
      <c r="D498">
        <v>24</v>
      </c>
      <c r="E498">
        <v>0</v>
      </c>
      <c r="F498">
        <v>0</v>
      </c>
      <c r="G498" t="s">
        <v>324</v>
      </c>
    </row>
    <row r="499" spans="1:7" hidden="1" x14ac:dyDescent="0.25">
      <c r="A499" t="s">
        <v>2309</v>
      </c>
      <c r="B499" t="s">
        <v>1025</v>
      </c>
      <c r="C499" t="s">
        <v>1026</v>
      </c>
      <c r="D499">
        <v>857</v>
      </c>
      <c r="E499">
        <v>0</v>
      </c>
      <c r="F499">
        <v>0</v>
      </c>
      <c r="G499" t="s">
        <v>324</v>
      </c>
    </row>
    <row r="500" spans="1:7" hidden="1" x14ac:dyDescent="0.25">
      <c r="A500" t="s">
        <v>2309</v>
      </c>
      <c r="B500" t="s">
        <v>1027</v>
      </c>
      <c r="C500" t="s">
        <v>1028</v>
      </c>
      <c r="D500" s="147">
        <v>2291</v>
      </c>
      <c r="E500">
        <v>0</v>
      </c>
      <c r="F500">
        <v>0</v>
      </c>
      <c r="G500" t="s">
        <v>324</v>
      </c>
    </row>
    <row r="501" spans="1:7" hidden="1" x14ac:dyDescent="0.25">
      <c r="A501" t="s">
        <v>2309</v>
      </c>
      <c r="B501" t="s">
        <v>1029</v>
      </c>
      <c r="C501" t="s">
        <v>1030</v>
      </c>
      <c r="D501">
        <v>529</v>
      </c>
      <c r="E501">
        <v>0</v>
      </c>
      <c r="F501">
        <v>0</v>
      </c>
      <c r="G501" t="s">
        <v>324</v>
      </c>
    </row>
    <row r="502" spans="1:7" hidden="1" x14ac:dyDescent="0.25">
      <c r="A502" t="s">
        <v>2309</v>
      </c>
      <c r="B502" t="s">
        <v>1031</v>
      </c>
      <c r="C502" t="s">
        <v>1032</v>
      </c>
      <c r="D502">
        <v>250</v>
      </c>
      <c r="E502">
        <v>0</v>
      </c>
      <c r="F502">
        <v>0</v>
      </c>
      <c r="G502" t="s">
        <v>324</v>
      </c>
    </row>
    <row r="503" spans="1:7" hidden="1" x14ac:dyDescent="0.25">
      <c r="A503" t="s">
        <v>2309</v>
      </c>
      <c r="B503" t="s">
        <v>1033</v>
      </c>
      <c r="C503" t="s">
        <v>1034</v>
      </c>
      <c r="D503" s="147">
        <v>2272</v>
      </c>
      <c r="E503">
        <v>0</v>
      </c>
      <c r="F503">
        <v>0</v>
      </c>
      <c r="G503" t="s">
        <v>324</v>
      </c>
    </row>
    <row r="504" spans="1:7" hidden="1" x14ac:dyDescent="0.25">
      <c r="A504" t="s">
        <v>2309</v>
      </c>
      <c r="B504" t="s">
        <v>1035</v>
      </c>
      <c r="C504" t="s">
        <v>1036</v>
      </c>
      <c r="D504" s="147">
        <v>4075</v>
      </c>
      <c r="E504">
        <v>0</v>
      </c>
      <c r="F504">
        <v>0</v>
      </c>
      <c r="G504" t="s">
        <v>324</v>
      </c>
    </row>
    <row r="505" spans="1:7" hidden="1" x14ac:dyDescent="0.25">
      <c r="A505" t="s">
        <v>2309</v>
      </c>
      <c r="B505" t="s">
        <v>1037</v>
      </c>
      <c r="C505" t="s">
        <v>1038</v>
      </c>
      <c r="D505" s="147">
        <v>2658</v>
      </c>
      <c r="E505">
        <v>0</v>
      </c>
      <c r="F505">
        <v>0</v>
      </c>
      <c r="G505" t="s">
        <v>324</v>
      </c>
    </row>
    <row r="506" spans="1:7" hidden="1" x14ac:dyDescent="0.25">
      <c r="A506" t="s">
        <v>2309</v>
      </c>
      <c r="B506" t="s">
        <v>1039</v>
      </c>
      <c r="C506" t="s">
        <v>1040</v>
      </c>
      <c r="D506" s="147">
        <v>6555</v>
      </c>
      <c r="E506">
        <v>0</v>
      </c>
      <c r="F506">
        <v>0</v>
      </c>
      <c r="G506" t="s">
        <v>324</v>
      </c>
    </row>
    <row r="507" spans="1:7" hidden="1" x14ac:dyDescent="0.25">
      <c r="A507" t="s">
        <v>2309</v>
      </c>
      <c r="B507" t="s">
        <v>1041</v>
      </c>
      <c r="C507" t="s">
        <v>1042</v>
      </c>
      <c r="D507" s="147">
        <v>2625</v>
      </c>
      <c r="E507">
        <v>0</v>
      </c>
      <c r="F507">
        <v>0</v>
      </c>
      <c r="G507" t="s">
        <v>324</v>
      </c>
    </row>
    <row r="508" spans="1:7" hidden="1" x14ac:dyDescent="0.25">
      <c r="A508" t="s">
        <v>2309</v>
      </c>
      <c r="B508" t="s">
        <v>1783</v>
      </c>
      <c r="C508" t="s">
        <v>1784</v>
      </c>
      <c r="D508" s="147">
        <v>8346</v>
      </c>
      <c r="E508">
        <v>0</v>
      </c>
      <c r="F508">
        <v>0</v>
      </c>
      <c r="G508" t="s">
        <v>324</v>
      </c>
    </row>
    <row r="509" spans="1:7" hidden="1" x14ac:dyDescent="0.25">
      <c r="A509" t="s">
        <v>2309</v>
      </c>
      <c r="B509" t="s">
        <v>1812</v>
      </c>
      <c r="C509" t="s">
        <v>1813</v>
      </c>
      <c r="D509" s="147">
        <v>4655</v>
      </c>
      <c r="E509">
        <v>0</v>
      </c>
      <c r="F509">
        <v>0</v>
      </c>
      <c r="G509" t="s">
        <v>324</v>
      </c>
    </row>
    <row r="510" spans="1:7" hidden="1" x14ac:dyDescent="0.25">
      <c r="A510" t="s">
        <v>2309</v>
      </c>
      <c r="B510" t="s">
        <v>1043</v>
      </c>
      <c r="C510" t="s">
        <v>1044</v>
      </c>
      <c r="D510">
        <v>894</v>
      </c>
      <c r="E510">
        <v>0</v>
      </c>
      <c r="F510">
        <v>0</v>
      </c>
      <c r="G510" t="s">
        <v>324</v>
      </c>
    </row>
    <row r="511" spans="1:7" hidden="1" x14ac:dyDescent="0.25">
      <c r="A511" t="s">
        <v>2309</v>
      </c>
      <c r="B511" t="s">
        <v>1045</v>
      </c>
      <c r="C511" t="s">
        <v>1046</v>
      </c>
      <c r="D511" s="147">
        <v>6110</v>
      </c>
      <c r="E511">
        <v>0</v>
      </c>
      <c r="F511">
        <v>0</v>
      </c>
      <c r="G511" t="s">
        <v>324</v>
      </c>
    </row>
    <row r="512" spans="1:7" hidden="1" x14ac:dyDescent="0.25">
      <c r="A512" t="s">
        <v>2309</v>
      </c>
      <c r="B512" t="s">
        <v>1047</v>
      </c>
      <c r="C512" t="s">
        <v>1048</v>
      </c>
      <c r="D512">
        <v>241</v>
      </c>
      <c r="E512">
        <v>0</v>
      </c>
      <c r="F512">
        <v>0</v>
      </c>
      <c r="G512" t="s">
        <v>324</v>
      </c>
    </row>
    <row r="513" spans="1:7" hidden="1" x14ac:dyDescent="0.25">
      <c r="A513" t="s">
        <v>2309</v>
      </c>
      <c r="B513" t="s">
        <v>1049</v>
      </c>
      <c r="C513" t="s">
        <v>1050</v>
      </c>
      <c r="D513">
        <v>338</v>
      </c>
      <c r="E513">
        <v>0</v>
      </c>
      <c r="F513">
        <v>0</v>
      </c>
      <c r="G513" t="s">
        <v>324</v>
      </c>
    </row>
    <row r="514" spans="1:7" hidden="1" x14ac:dyDescent="0.25">
      <c r="A514" t="s">
        <v>2309</v>
      </c>
      <c r="B514" t="s">
        <v>1051</v>
      </c>
      <c r="C514" t="s">
        <v>1052</v>
      </c>
      <c r="D514">
        <v>700</v>
      </c>
      <c r="E514">
        <v>0</v>
      </c>
      <c r="F514">
        <v>0</v>
      </c>
      <c r="G514" t="s">
        <v>324</v>
      </c>
    </row>
    <row r="515" spans="1:7" hidden="1" x14ac:dyDescent="0.25">
      <c r="A515" t="s">
        <v>2309</v>
      </c>
      <c r="B515" t="s">
        <v>1053</v>
      </c>
      <c r="C515" t="s">
        <v>1054</v>
      </c>
      <c r="D515" s="147">
        <v>12044</v>
      </c>
      <c r="E515">
        <v>0</v>
      </c>
      <c r="F515">
        <v>0</v>
      </c>
      <c r="G515" t="s">
        <v>324</v>
      </c>
    </row>
    <row r="516" spans="1:7" hidden="1" x14ac:dyDescent="0.25">
      <c r="A516" t="s">
        <v>2309</v>
      </c>
      <c r="B516" t="s">
        <v>4311</v>
      </c>
      <c r="C516" t="s">
        <v>4313</v>
      </c>
      <c r="D516">
        <v>372</v>
      </c>
      <c r="E516">
        <v>0</v>
      </c>
      <c r="F516">
        <v>0</v>
      </c>
      <c r="G516" t="s">
        <v>324</v>
      </c>
    </row>
    <row r="517" spans="1:7" hidden="1" x14ac:dyDescent="0.25">
      <c r="A517" t="s">
        <v>2309</v>
      </c>
      <c r="B517" t="s">
        <v>1055</v>
      </c>
      <c r="C517" t="s">
        <v>1056</v>
      </c>
      <c r="D517" s="147">
        <v>1809</v>
      </c>
      <c r="E517">
        <v>0</v>
      </c>
      <c r="F517">
        <v>0</v>
      </c>
      <c r="G517" t="s">
        <v>324</v>
      </c>
    </row>
    <row r="518" spans="1:7" hidden="1" x14ac:dyDescent="0.25">
      <c r="A518" t="s">
        <v>2309</v>
      </c>
      <c r="B518" t="s">
        <v>1057</v>
      </c>
      <c r="C518" t="s">
        <v>1058</v>
      </c>
      <c r="D518">
        <v>453</v>
      </c>
      <c r="E518">
        <v>0</v>
      </c>
      <c r="F518">
        <v>0</v>
      </c>
      <c r="G518" t="s">
        <v>324</v>
      </c>
    </row>
    <row r="519" spans="1:7" hidden="1" x14ac:dyDescent="0.25">
      <c r="A519" t="s">
        <v>2309</v>
      </c>
      <c r="B519" t="s">
        <v>2799</v>
      </c>
      <c r="C519" t="s">
        <v>2800</v>
      </c>
      <c r="D519" s="147">
        <v>7896</v>
      </c>
      <c r="E519">
        <v>0</v>
      </c>
      <c r="F519">
        <v>0</v>
      </c>
      <c r="G519" t="s">
        <v>324</v>
      </c>
    </row>
    <row r="520" spans="1:7" hidden="1" x14ac:dyDescent="0.25">
      <c r="A520" t="s">
        <v>2309</v>
      </c>
      <c r="B520" t="s">
        <v>1059</v>
      </c>
      <c r="C520" t="s">
        <v>1060</v>
      </c>
      <c r="D520" s="147">
        <v>11151</v>
      </c>
      <c r="E520">
        <v>0</v>
      </c>
      <c r="F520">
        <v>0</v>
      </c>
      <c r="G520" t="s">
        <v>324</v>
      </c>
    </row>
    <row r="521" spans="1:7" hidden="1" x14ac:dyDescent="0.25">
      <c r="A521" t="s">
        <v>2309</v>
      </c>
      <c r="B521" t="s">
        <v>1061</v>
      </c>
      <c r="C521" t="s">
        <v>1062</v>
      </c>
      <c r="D521" s="147">
        <v>2202</v>
      </c>
      <c r="E521">
        <v>0</v>
      </c>
      <c r="F521">
        <v>0</v>
      </c>
      <c r="G521" t="s">
        <v>324</v>
      </c>
    </row>
    <row r="522" spans="1:7" hidden="1" x14ac:dyDescent="0.25">
      <c r="A522" t="s">
        <v>2309</v>
      </c>
      <c r="B522" t="s">
        <v>1063</v>
      </c>
      <c r="C522" t="s">
        <v>1064</v>
      </c>
      <c r="D522" s="147">
        <v>4052</v>
      </c>
      <c r="E522">
        <v>0</v>
      </c>
      <c r="F522">
        <v>0</v>
      </c>
      <c r="G522" t="s">
        <v>324</v>
      </c>
    </row>
    <row r="523" spans="1:7" hidden="1" x14ac:dyDescent="0.25">
      <c r="A523" t="s">
        <v>2309</v>
      </c>
      <c r="B523" t="s">
        <v>1065</v>
      </c>
      <c r="C523" t="s">
        <v>1066</v>
      </c>
      <c r="D523" s="147">
        <v>1892</v>
      </c>
      <c r="E523">
        <v>0</v>
      </c>
      <c r="F523">
        <v>0</v>
      </c>
      <c r="G523" t="s">
        <v>324</v>
      </c>
    </row>
    <row r="524" spans="1:7" hidden="1" x14ac:dyDescent="0.25">
      <c r="A524" t="s">
        <v>2309</v>
      </c>
      <c r="B524" t="s">
        <v>1067</v>
      </c>
      <c r="C524" t="s">
        <v>1068</v>
      </c>
      <c r="D524" s="147">
        <v>3954</v>
      </c>
      <c r="E524">
        <v>0</v>
      </c>
      <c r="F524">
        <v>0</v>
      </c>
      <c r="G524" t="s">
        <v>324</v>
      </c>
    </row>
    <row r="525" spans="1:7" hidden="1" x14ac:dyDescent="0.25">
      <c r="A525" t="s">
        <v>2309</v>
      </c>
      <c r="B525" t="s">
        <v>1069</v>
      </c>
      <c r="C525" t="s">
        <v>1070</v>
      </c>
      <c r="D525" s="147">
        <v>1751</v>
      </c>
      <c r="E525">
        <v>0</v>
      </c>
      <c r="F525">
        <v>0</v>
      </c>
      <c r="G525" t="s">
        <v>324</v>
      </c>
    </row>
    <row r="526" spans="1:7" hidden="1" x14ac:dyDescent="0.25">
      <c r="A526" t="s">
        <v>2309</v>
      </c>
      <c r="B526" t="s">
        <v>1071</v>
      </c>
      <c r="C526" t="s">
        <v>1072</v>
      </c>
      <c r="D526">
        <v>948</v>
      </c>
      <c r="E526">
        <v>0</v>
      </c>
      <c r="F526">
        <v>0</v>
      </c>
      <c r="G526" t="s">
        <v>324</v>
      </c>
    </row>
    <row r="527" spans="1:7" hidden="1" x14ac:dyDescent="0.25">
      <c r="A527" t="s">
        <v>2309</v>
      </c>
      <c r="B527" t="s">
        <v>1073</v>
      </c>
      <c r="C527" t="s">
        <v>1074</v>
      </c>
      <c r="D527" s="147">
        <v>1722</v>
      </c>
      <c r="E527">
        <v>0</v>
      </c>
      <c r="F527">
        <v>0</v>
      </c>
      <c r="G527" t="s">
        <v>324</v>
      </c>
    </row>
    <row r="528" spans="1:7" hidden="1" x14ac:dyDescent="0.25">
      <c r="A528" t="s">
        <v>2309</v>
      </c>
      <c r="B528" t="s">
        <v>1715</v>
      </c>
      <c r="C528" t="s">
        <v>1901</v>
      </c>
      <c r="D528" s="147">
        <v>1569</v>
      </c>
      <c r="E528">
        <v>0</v>
      </c>
      <c r="F528">
        <v>0</v>
      </c>
      <c r="G528" t="s">
        <v>324</v>
      </c>
    </row>
    <row r="529" spans="1:7" hidden="1" x14ac:dyDescent="0.25">
      <c r="A529" t="s">
        <v>2309</v>
      </c>
      <c r="B529" t="s">
        <v>1075</v>
      </c>
      <c r="C529" t="s">
        <v>1076</v>
      </c>
      <c r="D529" s="147">
        <v>2746</v>
      </c>
      <c r="E529">
        <v>0</v>
      </c>
      <c r="F529">
        <v>0</v>
      </c>
      <c r="G529" t="s">
        <v>324</v>
      </c>
    </row>
    <row r="530" spans="1:7" hidden="1" x14ac:dyDescent="0.25">
      <c r="A530" t="s">
        <v>2309</v>
      </c>
      <c r="B530" t="s">
        <v>1077</v>
      </c>
      <c r="C530" t="s">
        <v>1078</v>
      </c>
      <c r="D530">
        <v>494</v>
      </c>
      <c r="E530">
        <v>0</v>
      </c>
      <c r="F530">
        <v>0</v>
      </c>
      <c r="G530" t="s">
        <v>324</v>
      </c>
    </row>
    <row r="531" spans="1:7" hidden="1" x14ac:dyDescent="0.25">
      <c r="A531" t="s">
        <v>2309</v>
      </c>
      <c r="B531" t="s">
        <v>1079</v>
      </c>
      <c r="C531" t="s">
        <v>1080</v>
      </c>
      <c r="D531" s="147">
        <v>7309</v>
      </c>
      <c r="E531">
        <v>0</v>
      </c>
      <c r="F531">
        <v>0</v>
      </c>
      <c r="G531" t="s">
        <v>324</v>
      </c>
    </row>
    <row r="532" spans="1:7" hidden="1" x14ac:dyDescent="0.25">
      <c r="A532" t="s">
        <v>2309</v>
      </c>
      <c r="B532" t="s">
        <v>1081</v>
      </c>
      <c r="C532" t="s">
        <v>1082</v>
      </c>
      <c r="D532" s="147">
        <v>1363</v>
      </c>
      <c r="E532">
        <v>0</v>
      </c>
      <c r="F532">
        <v>0</v>
      </c>
      <c r="G532" t="s">
        <v>324</v>
      </c>
    </row>
    <row r="533" spans="1:7" hidden="1" x14ac:dyDescent="0.25">
      <c r="A533" t="s">
        <v>2309</v>
      </c>
      <c r="B533" t="s">
        <v>1083</v>
      </c>
      <c r="C533" t="s">
        <v>1084</v>
      </c>
      <c r="D533" s="147">
        <v>2250</v>
      </c>
      <c r="E533">
        <v>0</v>
      </c>
      <c r="F533">
        <v>0</v>
      </c>
      <c r="G533" t="s">
        <v>324</v>
      </c>
    </row>
    <row r="534" spans="1:7" hidden="1" x14ac:dyDescent="0.25">
      <c r="A534" t="s">
        <v>2309</v>
      </c>
      <c r="B534" t="s">
        <v>1085</v>
      </c>
      <c r="C534" t="s">
        <v>1857</v>
      </c>
      <c r="D534" s="147">
        <v>3449</v>
      </c>
      <c r="E534">
        <v>0</v>
      </c>
      <c r="F534">
        <v>0</v>
      </c>
      <c r="G534" t="s">
        <v>324</v>
      </c>
    </row>
    <row r="535" spans="1:7" hidden="1" x14ac:dyDescent="0.25">
      <c r="A535" t="s">
        <v>2309</v>
      </c>
      <c r="B535" t="s">
        <v>1086</v>
      </c>
      <c r="C535" t="s">
        <v>1087</v>
      </c>
      <c r="D535" s="147">
        <v>4929</v>
      </c>
      <c r="E535">
        <v>0</v>
      </c>
      <c r="F535">
        <v>0</v>
      </c>
      <c r="G535" t="s">
        <v>324</v>
      </c>
    </row>
    <row r="536" spans="1:7" hidden="1" x14ac:dyDescent="0.25">
      <c r="A536" t="s">
        <v>2309</v>
      </c>
      <c r="B536" t="s">
        <v>1088</v>
      </c>
      <c r="C536" t="s">
        <v>1089</v>
      </c>
      <c r="D536">
        <v>900</v>
      </c>
      <c r="E536">
        <v>0</v>
      </c>
      <c r="F536">
        <v>0</v>
      </c>
      <c r="G536" t="s">
        <v>324</v>
      </c>
    </row>
    <row r="537" spans="1:7" hidden="1" x14ac:dyDescent="0.25">
      <c r="A537" t="s">
        <v>2309</v>
      </c>
      <c r="B537" t="s">
        <v>1090</v>
      </c>
      <c r="C537" t="s">
        <v>1091</v>
      </c>
      <c r="D537">
        <v>622</v>
      </c>
      <c r="E537">
        <v>0</v>
      </c>
      <c r="F537">
        <v>0</v>
      </c>
      <c r="G537" t="s">
        <v>324</v>
      </c>
    </row>
    <row r="538" spans="1:7" hidden="1" x14ac:dyDescent="0.25">
      <c r="A538" t="s">
        <v>2309</v>
      </c>
      <c r="B538" t="s">
        <v>1092</v>
      </c>
      <c r="C538" t="s">
        <v>1093</v>
      </c>
      <c r="D538">
        <v>793</v>
      </c>
      <c r="E538">
        <v>0</v>
      </c>
      <c r="F538">
        <v>0</v>
      </c>
      <c r="G538" t="s">
        <v>324</v>
      </c>
    </row>
    <row r="539" spans="1:7" hidden="1" x14ac:dyDescent="0.25">
      <c r="A539" t="s">
        <v>2309</v>
      </c>
      <c r="B539" t="s">
        <v>1094</v>
      </c>
      <c r="C539" t="s">
        <v>1095</v>
      </c>
      <c r="D539">
        <v>100</v>
      </c>
      <c r="E539">
        <v>0</v>
      </c>
      <c r="F539">
        <v>0</v>
      </c>
      <c r="G539" t="s">
        <v>324</v>
      </c>
    </row>
    <row r="540" spans="1:7" hidden="1" x14ac:dyDescent="0.25">
      <c r="A540" t="s">
        <v>2309</v>
      </c>
      <c r="B540" t="s">
        <v>1096</v>
      </c>
      <c r="C540" t="s">
        <v>1097</v>
      </c>
      <c r="D540">
        <v>487</v>
      </c>
      <c r="E540">
        <v>0</v>
      </c>
      <c r="F540">
        <v>0</v>
      </c>
      <c r="G540" t="s">
        <v>324</v>
      </c>
    </row>
    <row r="541" spans="1:7" hidden="1" x14ac:dyDescent="0.25">
      <c r="A541" t="s">
        <v>2309</v>
      </c>
      <c r="B541" t="s">
        <v>1098</v>
      </c>
      <c r="C541" t="s">
        <v>1099</v>
      </c>
      <c r="D541">
        <v>173</v>
      </c>
      <c r="E541">
        <v>0</v>
      </c>
      <c r="F541">
        <v>0</v>
      </c>
      <c r="G541" t="s">
        <v>324</v>
      </c>
    </row>
    <row r="542" spans="1:7" hidden="1" x14ac:dyDescent="0.25">
      <c r="A542" t="s">
        <v>2309</v>
      </c>
      <c r="B542" t="s">
        <v>1100</v>
      </c>
      <c r="C542" t="s">
        <v>1101</v>
      </c>
      <c r="D542" s="147">
        <v>2399</v>
      </c>
      <c r="E542">
        <v>0</v>
      </c>
      <c r="F542">
        <v>0</v>
      </c>
      <c r="G542" t="s">
        <v>324</v>
      </c>
    </row>
    <row r="543" spans="1:7" hidden="1" x14ac:dyDescent="0.25">
      <c r="A543" t="s">
        <v>2309</v>
      </c>
      <c r="B543" t="s">
        <v>1102</v>
      </c>
      <c r="C543" t="s">
        <v>1103</v>
      </c>
      <c r="D543">
        <v>340</v>
      </c>
      <c r="E543">
        <v>0</v>
      </c>
      <c r="F543">
        <v>0</v>
      </c>
      <c r="G543" t="s">
        <v>324</v>
      </c>
    </row>
    <row r="544" spans="1:7" hidden="1" x14ac:dyDescent="0.25">
      <c r="A544" t="s">
        <v>2309</v>
      </c>
      <c r="B544" t="s">
        <v>1104</v>
      </c>
      <c r="C544" t="s">
        <v>1105</v>
      </c>
      <c r="D544" s="147">
        <v>2211</v>
      </c>
      <c r="E544">
        <v>0</v>
      </c>
      <c r="F544">
        <v>0</v>
      </c>
      <c r="G544" t="s">
        <v>324</v>
      </c>
    </row>
    <row r="545" spans="1:7" hidden="1" x14ac:dyDescent="0.25">
      <c r="A545" t="s">
        <v>2309</v>
      </c>
      <c r="B545" t="s">
        <v>1106</v>
      </c>
      <c r="C545" t="s">
        <v>1107</v>
      </c>
      <c r="D545">
        <v>428</v>
      </c>
      <c r="E545">
        <v>0</v>
      </c>
      <c r="F545">
        <v>0</v>
      </c>
      <c r="G545" t="s">
        <v>324</v>
      </c>
    </row>
    <row r="546" spans="1:7" hidden="1" x14ac:dyDescent="0.25">
      <c r="A546" t="s">
        <v>2309</v>
      </c>
      <c r="B546" t="s">
        <v>1108</v>
      </c>
      <c r="C546" t="s">
        <v>1109</v>
      </c>
      <c r="D546">
        <v>505</v>
      </c>
      <c r="E546">
        <v>0</v>
      </c>
      <c r="F546">
        <v>0</v>
      </c>
      <c r="G546" t="s">
        <v>324</v>
      </c>
    </row>
    <row r="547" spans="1:7" hidden="1" x14ac:dyDescent="0.25">
      <c r="A547" t="s">
        <v>2309</v>
      </c>
      <c r="B547" t="s">
        <v>3291</v>
      </c>
      <c r="C547" t="s">
        <v>4993</v>
      </c>
      <c r="D547" s="147">
        <v>1720</v>
      </c>
      <c r="E547">
        <v>0</v>
      </c>
      <c r="F547">
        <v>0</v>
      </c>
      <c r="G547" t="s">
        <v>324</v>
      </c>
    </row>
    <row r="548" spans="1:7" hidden="1" x14ac:dyDescent="0.25">
      <c r="A548" t="s">
        <v>2309</v>
      </c>
      <c r="B548" t="s">
        <v>1110</v>
      </c>
      <c r="C548" t="s">
        <v>1111</v>
      </c>
      <c r="D548">
        <v>472</v>
      </c>
      <c r="E548">
        <v>0</v>
      </c>
      <c r="F548">
        <v>0</v>
      </c>
      <c r="G548" t="s">
        <v>324</v>
      </c>
    </row>
    <row r="549" spans="1:7" hidden="1" x14ac:dyDescent="0.25">
      <c r="A549" t="s">
        <v>2309</v>
      </c>
      <c r="B549" t="s">
        <v>1112</v>
      </c>
      <c r="C549" t="s">
        <v>1113</v>
      </c>
      <c r="D549">
        <v>556</v>
      </c>
      <c r="E549">
        <v>0</v>
      </c>
      <c r="F549">
        <v>0</v>
      </c>
      <c r="G549" t="s">
        <v>324</v>
      </c>
    </row>
    <row r="550" spans="1:7" hidden="1" x14ac:dyDescent="0.25">
      <c r="A550" t="s">
        <v>2309</v>
      </c>
      <c r="B550" t="s">
        <v>1114</v>
      </c>
      <c r="C550" t="s">
        <v>1115</v>
      </c>
      <c r="D550">
        <v>57</v>
      </c>
      <c r="E550">
        <v>0</v>
      </c>
      <c r="F550">
        <v>0</v>
      </c>
      <c r="G550" t="s">
        <v>324</v>
      </c>
    </row>
    <row r="551" spans="1:7" hidden="1" x14ac:dyDescent="0.25">
      <c r="A551" t="s">
        <v>2309</v>
      </c>
      <c r="B551" t="s">
        <v>1116</v>
      </c>
      <c r="C551" t="s">
        <v>1117</v>
      </c>
      <c r="D551" s="147">
        <v>1875</v>
      </c>
      <c r="E551">
        <v>0</v>
      </c>
      <c r="F551">
        <v>0</v>
      </c>
      <c r="G551" t="s">
        <v>324</v>
      </c>
    </row>
    <row r="552" spans="1:7" hidden="1" x14ac:dyDescent="0.25">
      <c r="A552" t="s">
        <v>2309</v>
      </c>
      <c r="B552" t="s">
        <v>1716</v>
      </c>
      <c r="C552" t="s">
        <v>1717</v>
      </c>
      <c r="D552" s="147">
        <v>6958</v>
      </c>
      <c r="E552">
        <v>0</v>
      </c>
      <c r="F552">
        <v>0</v>
      </c>
      <c r="G552" t="s">
        <v>324</v>
      </c>
    </row>
    <row r="553" spans="1:7" hidden="1" x14ac:dyDescent="0.25">
      <c r="A553" t="s">
        <v>2309</v>
      </c>
      <c r="B553" t="s">
        <v>1118</v>
      </c>
      <c r="C553" t="s">
        <v>1119</v>
      </c>
      <c r="D553">
        <v>209</v>
      </c>
      <c r="E553">
        <v>0</v>
      </c>
      <c r="F553">
        <v>0</v>
      </c>
      <c r="G553" t="s">
        <v>324</v>
      </c>
    </row>
    <row r="554" spans="1:7" hidden="1" x14ac:dyDescent="0.25">
      <c r="A554" t="s">
        <v>2309</v>
      </c>
      <c r="B554" t="s">
        <v>1120</v>
      </c>
      <c r="C554" t="s">
        <v>1121</v>
      </c>
      <c r="D554">
        <v>172</v>
      </c>
      <c r="E554">
        <v>0</v>
      </c>
      <c r="F554">
        <v>0</v>
      </c>
      <c r="G554" t="s">
        <v>324</v>
      </c>
    </row>
    <row r="555" spans="1:7" hidden="1" x14ac:dyDescent="0.25">
      <c r="A555" t="s">
        <v>2309</v>
      </c>
      <c r="B555" t="s">
        <v>1122</v>
      </c>
      <c r="C555" t="s">
        <v>1123</v>
      </c>
      <c r="D555" s="147">
        <v>1089</v>
      </c>
      <c r="E555">
        <v>0</v>
      </c>
      <c r="F555">
        <v>0</v>
      </c>
      <c r="G555" t="s">
        <v>324</v>
      </c>
    </row>
    <row r="556" spans="1:7" hidden="1" x14ac:dyDescent="0.25">
      <c r="A556" t="s">
        <v>2309</v>
      </c>
      <c r="B556" t="s">
        <v>1124</v>
      </c>
      <c r="C556" t="s">
        <v>1125</v>
      </c>
      <c r="D556" s="147">
        <v>2157</v>
      </c>
      <c r="E556">
        <v>0</v>
      </c>
      <c r="F556">
        <v>0</v>
      </c>
      <c r="G556" t="s">
        <v>324</v>
      </c>
    </row>
    <row r="557" spans="1:7" hidden="1" x14ac:dyDescent="0.25">
      <c r="A557" t="s">
        <v>2309</v>
      </c>
      <c r="B557" t="s">
        <v>1126</v>
      </c>
      <c r="C557" t="s">
        <v>1127</v>
      </c>
      <c r="D557" s="147">
        <v>1450</v>
      </c>
      <c r="E557">
        <v>0</v>
      </c>
      <c r="F557">
        <v>0</v>
      </c>
      <c r="G557" t="s">
        <v>324</v>
      </c>
    </row>
    <row r="558" spans="1:7" hidden="1" x14ac:dyDescent="0.25">
      <c r="A558" t="s">
        <v>2309</v>
      </c>
      <c r="B558" t="s">
        <v>1824</v>
      </c>
      <c r="C558" t="s">
        <v>1825</v>
      </c>
      <c r="D558" s="147">
        <v>1415</v>
      </c>
      <c r="E558">
        <v>0</v>
      </c>
      <c r="F558">
        <v>0</v>
      </c>
      <c r="G558" t="s">
        <v>324</v>
      </c>
    </row>
    <row r="559" spans="1:7" hidden="1" x14ac:dyDescent="0.25">
      <c r="A559" t="s">
        <v>2309</v>
      </c>
      <c r="B559" t="s">
        <v>1128</v>
      </c>
      <c r="C559" t="s">
        <v>1129</v>
      </c>
      <c r="D559" s="147">
        <v>3213</v>
      </c>
      <c r="E559">
        <v>0</v>
      </c>
      <c r="F559">
        <v>0</v>
      </c>
      <c r="G559" t="s">
        <v>324</v>
      </c>
    </row>
    <row r="560" spans="1:7" hidden="1" x14ac:dyDescent="0.25">
      <c r="A560" t="s">
        <v>2309</v>
      </c>
      <c r="B560" t="s">
        <v>1130</v>
      </c>
      <c r="C560" t="s">
        <v>1131</v>
      </c>
      <c r="D560" s="147">
        <v>4496</v>
      </c>
      <c r="E560">
        <v>0</v>
      </c>
      <c r="F560">
        <v>0</v>
      </c>
      <c r="G560" t="s">
        <v>324</v>
      </c>
    </row>
    <row r="561" spans="1:7" hidden="1" x14ac:dyDescent="0.25">
      <c r="A561" t="s">
        <v>2309</v>
      </c>
      <c r="B561" t="s">
        <v>1132</v>
      </c>
      <c r="C561" t="s">
        <v>1133</v>
      </c>
      <c r="D561" s="147">
        <v>11608</v>
      </c>
      <c r="E561">
        <v>0</v>
      </c>
      <c r="F561">
        <v>0</v>
      </c>
      <c r="G561" t="s">
        <v>324</v>
      </c>
    </row>
    <row r="562" spans="1:7" hidden="1" x14ac:dyDescent="0.25">
      <c r="A562" t="s">
        <v>2309</v>
      </c>
      <c r="B562" t="s">
        <v>1134</v>
      </c>
      <c r="C562" t="s">
        <v>1135</v>
      </c>
      <c r="D562">
        <v>445</v>
      </c>
      <c r="E562">
        <v>0</v>
      </c>
      <c r="F562">
        <v>0</v>
      </c>
      <c r="G562" t="s">
        <v>324</v>
      </c>
    </row>
    <row r="563" spans="1:7" hidden="1" x14ac:dyDescent="0.25">
      <c r="A563" t="s">
        <v>2309</v>
      </c>
      <c r="B563" t="s">
        <v>1763</v>
      </c>
      <c r="C563" t="s">
        <v>1764</v>
      </c>
      <c r="D563" s="147">
        <v>2420</v>
      </c>
      <c r="E563">
        <v>0</v>
      </c>
      <c r="F563">
        <v>0</v>
      </c>
      <c r="G563" t="s">
        <v>324</v>
      </c>
    </row>
    <row r="564" spans="1:7" hidden="1" x14ac:dyDescent="0.25">
      <c r="A564" t="s">
        <v>2309</v>
      </c>
      <c r="B564" t="s">
        <v>1136</v>
      </c>
      <c r="C564" t="s">
        <v>1137</v>
      </c>
      <c r="D564">
        <v>226</v>
      </c>
      <c r="E564">
        <v>0</v>
      </c>
      <c r="F564">
        <v>0</v>
      </c>
      <c r="G564" t="s">
        <v>324</v>
      </c>
    </row>
    <row r="565" spans="1:7" hidden="1" x14ac:dyDescent="0.25">
      <c r="A565" t="s">
        <v>2309</v>
      </c>
      <c r="B565" t="s">
        <v>1138</v>
      </c>
      <c r="C565" t="s">
        <v>1139</v>
      </c>
      <c r="D565" s="147">
        <v>13295</v>
      </c>
      <c r="E565">
        <v>0</v>
      </c>
      <c r="F565">
        <v>0</v>
      </c>
      <c r="G565" t="s">
        <v>324</v>
      </c>
    </row>
    <row r="566" spans="1:7" hidden="1" x14ac:dyDescent="0.25">
      <c r="A566" t="s">
        <v>2309</v>
      </c>
      <c r="B566" t="s">
        <v>1140</v>
      </c>
      <c r="C566" t="s">
        <v>1141</v>
      </c>
      <c r="D566" s="147">
        <v>2600</v>
      </c>
      <c r="E566">
        <v>0</v>
      </c>
      <c r="F566">
        <v>0</v>
      </c>
      <c r="G566" t="s">
        <v>324</v>
      </c>
    </row>
    <row r="567" spans="1:7" hidden="1" x14ac:dyDescent="0.25">
      <c r="A567" t="s">
        <v>2309</v>
      </c>
      <c r="B567" t="s">
        <v>1142</v>
      </c>
      <c r="C567" t="s">
        <v>1143</v>
      </c>
      <c r="D567" s="147">
        <v>1346</v>
      </c>
      <c r="E567">
        <v>0</v>
      </c>
      <c r="F567">
        <v>0</v>
      </c>
      <c r="G567" t="s">
        <v>324</v>
      </c>
    </row>
    <row r="568" spans="1:7" hidden="1" x14ac:dyDescent="0.25">
      <c r="A568" t="s">
        <v>2309</v>
      </c>
      <c r="B568" t="s">
        <v>1144</v>
      </c>
      <c r="C568" t="s">
        <v>1145</v>
      </c>
      <c r="D568" s="147">
        <v>11996</v>
      </c>
      <c r="E568">
        <v>0</v>
      </c>
      <c r="F568">
        <v>0</v>
      </c>
      <c r="G568" t="s">
        <v>324</v>
      </c>
    </row>
    <row r="569" spans="1:7" hidden="1" x14ac:dyDescent="0.25">
      <c r="A569" t="s">
        <v>2309</v>
      </c>
      <c r="B569" t="s">
        <v>1146</v>
      </c>
      <c r="C569" t="s">
        <v>1147</v>
      </c>
      <c r="D569" s="147">
        <v>1306</v>
      </c>
      <c r="E569">
        <v>0</v>
      </c>
      <c r="F569">
        <v>0</v>
      </c>
      <c r="G569" t="s">
        <v>324</v>
      </c>
    </row>
    <row r="570" spans="1:7" hidden="1" x14ac:dyDescent="0.25">
      <c r="A570" t="s">
        <v>2309</v>
      </c>
      <c r="B570" t="s">
        <v>1148</v>
      </c>
      <c r="C570" t="s">
        <v>1149</v>
      </c>
      <c r="D570" s="147">
        <v>3268</v>
      </c>
      <c r="E570">
        <v>0</v>
      </c>
      <c r="F570">
        <v>0</v>
      </c>
      <c r="G570" t="s">
        <v>324</v>
      </c>
    </row>
    <row r="571" spans="1:7" hidden="1" x14ac:dyDescent="0.25">
      <c r="A571" t="s">
        <v>2309</v>
      </c>
      <c r="B571" t="s">
        <v>1150</v>
      </c>
      <c r="C571" t="s">
        <v>1151</v>
      </c>
      <c r="D571" s="147">
        <v>2439</v>
      </c>
      <c r="E571">
        <v>0</v>
      </c>
      <c r="F571">
        <v>0</v>
      </c>
      <c r="G571" t="s">
        <v>324</v>
      </c>
    </row>
    <row r="572" spans="1:7" hidden="1" x14ac:dyDescent="0.25">
      <c r="A572" t="s">
        <v>2309</v>
      </c>
      <c r="B572" t="s">
        <v>1152</v>
      </c>
      <c r="C572" t="s">
        <v>1153</v>
      </c>
      <c r="D572" s="147">
        <v>27870</v>
      </c>
      <c r="E572">
        <v>0</v>
      </c>
      <c r="F572">
        <v>0</v>
      </c>
      <c r="G572" t="s">
        <v>324</v>
      </c>
    </row>
    <row r="573" spans="1:7" hidden="1" x14ac:dyDescent="0.25">
      <c r="A573" t="s">
        <v>2309</v>
      </c>
      <c r="B573" t="s">
        <v>1154</v>
      </c>
      <c r="C573" t="s">
        <v>1155</v>
      </c>
      <c r="D573" s="147">
        <v>6776</v>
      </c>
      <c r="E573">
        <v>0</v>
      </c>
      <c r="F573">
        <v>0</v>
      </c>
      <c r="G573" t="s">
        <v>324</v>
      </c>
    </row>
    <row r="574" spans="1:7" hidden="1" x14ac:dyDescent="0.25">
      <c r="A574" t="s">
        <v>2309</v>
      </c>
      <c r="B574" t="s">
        <v>1156</v>
      </c>
      <c r="C574" t="s">
        <v>1157</v>
      </c>
      <c r="D574">
        <v>962</v>
      </c>
      <c r="E574">
        <v>0</v>
      </c>
      <c r="F574">
        <v>0</v>
      </c>
      <c r="G574" t="s">
        <v>324</v>
      </c>
    </row>
    <row r="575" spans="1:7" hidden="1" x14ac:dyDescent="0.25">
      <c r="A575" t="s">
        <v>2309</v>
      </c>
      <c r="B575" t="s">
        <v>1158</v>
      </c>
      <c r="C575" t="s">
        <v>1159</v>
      </c>
      <c r="D575">
        <v>308</v>
      </c>
      <c r="E575">
        <v>0</v>
      </c>
      <c r="F575">
        <v>0</v>
      </c>
      <c r="G575" t="s">
        <v>324</v>
      </c>
    </row>
    <row r="576" spans="1:7" hidden="1" x14ac:dyDescent="0.25">
      <c r="A576" t="s">
        <v>2309</v>
      </c>
      <c r="B576" t="s">
        <v>1160</v>
      </c>
      <c r="C576" t="s">
        <v>1161</v>
      </c>
      <c r="D576" s="147">
        <v>5579</v>
      </c>
      <c r="E576">
        <v>0</v>
      </c>
      <c r="F576">
        <v>0</v>
      </c>
      <c r="G576" t="s">
        <v>324</v>
      </c>
    </row>
    <row r="577" spans="1:7" hidden="1" x14ac:dyDescent="0.25">
      <c r="A577" t="s">
        <v>2309</v>
      </c>
      <c r="B577" t="s">
        <v>1162</v>
      </c>
      <c r="C577" t="s">
        <v>1163</v>
      </c>
      <c r="D577">
        <v>867</v>
      </c>
      <c r="E577">
        <v>0</v>
      </c>
      <c r="F577">
        <v>0</v>
      </c>
      <c r="G577" t="s">
        <v>324</v>
      </c>
    </row>
    <row r="578" spans="1:7" hidden="1" x14ac:dyDescent="0.25">
      <c r="A578" t="s">
        <v>2309</v>
      </c>
      <c r="B578" t="s">
        <v>1164</v>
      </c>
      <c r="C578" t="s">
        <v>1165</v>
      </c>
      <c r="D578" s="147">
        <v>5071</v>
      </c>
      <c r="E578">
        <v>0</v>
      </c>
      <c r="F578">
        <v>0</v>
      </c>
      <c r="G578" t="s">
        <v>324</v>
      </c>
    </row>
    <row r="579" spans="1:7" hidden="1" x14ac:dyDescent="0.25">
      <c r="A579" t="s">
        <v>2309</v>
      </c>
      <c r="B579" t="s">
        <v>1166</v>
      </c>
      <c r="C579" t="s">
        <v>1167</v>
      </c>
      <c r="D579" s="147">
        <v>5428</v>
      </c>
      <c r="E579">
        <v>0</v>
      </c>
      <c r="F579">
        <v>0</v>
      </c>
      <c r="G579" t="s">
        <v>324</v>
      </c>
    </row>
    <row r="580" spans="1:7" hidden="1" x14ac:dyDescent="0.25">
      <c r="A580" t="s">
        <v>2309</v>
      </c>
      <c r="B580" t="s">
        <v>1168</v>
      </c>
      <c r="C580" t="s">
        <v>1169</v>
      </c>
      <c r="D580" s="147">
        <v>3969</v>
      </c>
      <c r="E580">
        <v>0</v>
      </c>
      <c r="F580">
        <v>0</v>
      </c>
      <c r="G580" t="s">
        <v>324</v>
      </c>
    </row>
    <row r="581" spans="1:7" hidden="1" x14ac:dyDescent="0.25">
      <c r="A581" t="s">
        <v>2309</v>
      </c>
      <c r="B581" t="s">
        <v>1170</v>
      </c>
      <c r="C581" t="s">
        <v>1171</v>
      </c>
      <c r="D581" s="147">
        <v>4925</v>
      </c>
      <c r="E581">
        <v>0</v>
      </c>
      <c r="F581">
        <v>0</v>
      </c>
      <c r="G581" t="s">
        <v>324</v>
      </c>
    </row>
    <row r="582" spans="1:7" hidden="1" x14ac:dyDescent="0.25">
      <c r="A582" t="s">
        <v>2309</v>
      </c>
      <c r="B582" t="s">
        <v>1172</v>
      </c>
      <c r="C582" t="s">
        <v>1173</v>
      </c>
      <c r="D582">
        <v>967</v>
      </c>
      <c r="E582">
        <v>0</v>
      </c>
      <c r="F582">
        <v>0</v>
      </c>
      <c r="G582" t="s">
        <v>324</v>
      </c>
    </row>
    <row r="583" spans="1:7" hidden="1" x14ac:dyDescent="0.25">
      <c r="A583" t="s">
        <v>2309</v>
      </c>
      <c r="B583" t="s">
        <v>1174</v>
      </c>
      <c r="C583" t="s">
        <v>1175</v>
      </c>
      <c r="D583">
        <v>303</v>
      </c>
      <c r="E583">
        <v>0</v>
      </c>
      <c r="F583">
        <v>0</v>
      </c>
      <c r="G583" t="s">
        <v>324</v>
      </c>
    </row>
    <row r="584" spans="1:7" hidden="1" x14ac:dyDescent="0.25">
      <c r="A584" t="s">
        <v>2309</v>
      </c>
      <c r="B584" t="s">
        <v>1176</v>
      </c>
      <c r="C584" t="s">
        <v>1177</v>
      </c>
      <c r="D584">
        <v>600</v>
      </c>
      <c r="E584">
        <v>0</v>
      </c>
      <c r="F584">
        <v>0</v>
      </c>
      <c r="G584" t="s">
        <v>324</v>
      </c>
    </row>
    <row r="585" spans="1:7" hidden="1" x14ac:dyDescent="0.25">
      <c r="A585" t="s">
        <v>2309</v>
      </c>
      <c r="B585" t="s">
        <v>1178</v>
      </c>
      <c r="C585" t="s">
        <v>1179</v>
      </c>
      <c r="D585" s="147">
        <v>1634</v>
      </c>
      <c r="E585">
        <v>0</v>
      </c>
      <c r="F585">
        <v>0</v>
      </c>
      <c r="G585" t="s">
        <v>324</v>
      </c>
    </row>
    <row r="586" spans="1:7" hidden="1" x14ac:dyDescent="0.25">
      <c r="A586" t="s">
        <v>2309</v>
      </c>
      <c r="B586" t="s">
        <v>1180</v>
      </c>
      <c r="C586" t="s">
        <v>1181</v>
      </c>
      <c r="D586" s="147">
        <v>1927</v>
      </c>
      <c r="E586">
        <v>0</v>
      </c>
      <c r="F586">
        <v>0</v>
      </c>
      <c r="G586" t="s">
        <v>324</v>
      </c>
    </row>
    <row r="587" spans="1:7" hidden="1" x14ac:dyDescent="0.25">
      <c r="A587" t="s">
        <v>2309</v>
      </c>
      <c r="B587" t="s">
        <v>1182</v>
      </c>
      <c r="C587" t="s">
        <v>1183</v>
      </c>
      <c r="D587">
        <v>987</v>
      </c>
      <c r="E587">
        <v>0</v>
      </c>
      <c r="F587">
        <v>0</v>
      </c>
      <c r="G587" t="s">
        <v>324</v>
      </c>
    </row>
    <row r="588" spans="1:7" hidden="1" x14ac:dyDescent="0.25">
      <c r="A588" t="s">
        <v>2309</v>
      </c>
      <c r="B588" t="s">
        <v>1184</v>
      </c>
      <c r="C588" t="s">
        <v>1185</v>
      </c>
      <c r="D588" s="147">
        <v>2995</v>
      </c>
      <c r="E588">
        <v>0</v>
      </c>
      <c r="F588">
        <v>0</v>
      </c>
      <c r="G588" t="s">
        <v>324</v>
      </c>
    </row>
    <row r="589" spans="1:7" hidden="1" x14ac:dyDescent="0.25">
      <c r="A589" t="s">
        <v>2309</v>
      </c>
      <c r="B589" t="s">
        <v>1186</v>
      </c>
      <c r="C589" t="s">
        <v>1187</v>
      </c>
      <c r="D589">
        <v>153</v>
      </c>
      <c r="E589">
        <v>0</v>
      </c>
      <c r="F589">
        <v>0</v>
      </c>
      <c r="G589" t="s">
        <v>324</v>
      </c>
    </row>
    <row r="590" spans="1:7" hidden="1" x14ac:dyDescent="0.25">
      <c r="A590" t="s">
        <v>2309</v>
      </c>
      <c r="B590" t="s">
        <v>1188</v>
      </c>
      <c r="C590" t="s">
        <v>1189</v>
      </c>
      <c r="D590" s="147">
        <v>1238</v>
      </c>
      <c r="E590">
        <v>0</v>
      </c>
      <c r="F590">
        <v>0</v>
      </c>
      <c r="G590" t="s">
        <v>324</v>
      </c>
    </row>
    <row r="591" spans="1:7" hidden="1" x14ac:dyDescent="0.25">
      <c r="A591" t="s">
        <v>2309</v>
      </c>
      <c r="B591" t="s">
        <v>1190</v>
      </c>
      <c r="C591" t="s">
        <v>1191</v>
      </c>
      <c r="D591" s="147">
        <v>1794</v>
      </c>
      <c r="E591">
        <v>0</v>
      </c>
      <c r="F591">
        <v>0</v>
      </c>
      <c r="G591" t="s">
        <v>324</v>
      </c>
    </row>
    <row r="592" spans="1:7" hidden="1" x14ac:dyDescent="0.25">
      <c r="A592" t="s">
        <v>2309</v>
      </c>
      <c r="B592" t="s">
        <v>1192</v>
      </c>
      <c r="C592" t="s">
        <v>1193</v>
      </c>
      <c r="D592" s="147">
        <v>1115</v>
      </c>
      <c r="E592">
        <v>0</v>
      </c>
      <c r="F592">
        <v>0</v>
      </c>
      <c r="G592" t="s">
        <v>324</v>
      </c>
    </row>
    <row r="593" spans="1:7" hidden="1" x14ac:dyDescent="0.25">
      <c r="A593" t="s">
        <v>2309</v>
      </c>
      <c r="B593" t="s">
        <v>1194</v>
      </c>
      <c r="C593" t="s">
        <v>1195</v>
      </c>
      <c r="D593" s="147">
        <v>3244</v>
      </c>
      <c r="E593">
        <v>0</v>
      </c>
      <c r="F593">
        <v>0</v>
      </c>
      <c r="G593" t="s">
        <v>324</v>
      </c>
    </row>
    <row r="594" spans="1:7" hidden="1" x14ac:dyDescent="0.25">
      <c r="A594" t="s">
        <v>2309</v>
      </c>
      <c r="B594" t="s">
        <v>1196</v>
      </c>
      <c r="C594" t="s">
        <v>1197</v>
      </c>
      <c r="D594">
        <v>658</v>
      </c>
      <c r="E594">
        <v>0</v>
      </c>
      <c r="F594">
        <v>0</v>
      </c>
      <c r="G594" t="s">
        <v>324</v>
      </c>
    </row>
    <row r="595" spans="1:7" hidden="1" x14ac:dyDescent="0.25">
      <c r="A595" t="s">
        <v>2309</v>
      </c>
      <c r="B595" t="s">
        <v>1198</v>
      </c>
      <c r="C595" t="s">
        <v>1199</v>
      </c>
      <c r="D595" s="147">
        <v>1595</v>
      </c>
      <c r="E595">
        <v>0</v>
      </c>
      <c r="F595">
        <v>0</v>
      </c>
      <c r="G595" t="s">
        <v>324</v>
      </c>
    </row>
    <row r="596" spans="1:7" hidden="1" x14ac:dyDescent="0.25">
      <c r="A596" t="s">
        <v>2309</v>
      </c>
      <c r="B596" t="s">
        <v>1200</v>
      </c>
      <c r="C596" t="s">
        <v>1201</v>
      </c>
      <c r="D596">
        <v>112</v>
      </c>
      <c r="E596">
        <v>0</v>
      </c>
      <c r="F596">
        <v>0</v>
      </c>
      <c r="G596" t="s">
        <v>324</v>
      </c>
    </row>
    <row r="597" spans="1:7" hidden="1" x14ac:dyDescent="0.25">
      <c r="A597" t="s">
        <v>2309</v>
      </c>
      <c r="B597" t="s">
        <v>1202</v>
      </c>
      <c r="C597" t="s">
        <v>1203</v>
      </c>
      <c r="D597" s="147">
        <v>1157</v>
      </c>
      <c r="E597">
        <v>0</v>
      </c>
      <c r="F597">
        <v>0</v>
      </c>
      <c r="G597" t="s">
        <v>324</v>
      </c>
    </row>
    <row r="598" spans="1:7" hidden="1" x14ac:dyDescent="0.25">
      <c r="A598" t="s">
        <v>2309</v>
      </c>
      <c r="B598" t="s">
        <v>1204</v>
      </c>
      <c r="C598" t="s">
        <v>1205</v>
      </c>
      <c r="D598">
        <v>660</v>
      </c>
      <c r="E598">
        <v>0</v>
      </c>
      <c r="F598">
        <v>0</v>
      </c>
      <c r="G598" t="s">
        <v>324</v>
      </c>
    </row>
    <row r="599" spans="1:7" hidden="1" x14ac:dyDescent="0.25">
      <c r="A599" t="s">
        <v>2309</v>
      </c>
      <c r="B599" t="s">
        <v>1206</v>
      </c>
      <c r="C599" t="s">
        <v>1207</v>
      </c>
      <c r="D599">
        <v>848</v>
      </c>
      <c r="E599">
        <v>0</v>
      </c>
      <c r="F599">
        <v>0</v>
      </c>
      <c r="G599" t="s">
        <v>324</v>
      </c>
    </row>
    <row r="600" spans="1:7" hidden="1" x14ac:dyDescent="0.25">
      <c r="A600" t="s">
        <v>2309</v>
      </c>
      <c r="B600" t="s">
        <v>1208</v>
      </c>
      <c r="C600" t="s">
        <v>1209</v>
      </c>
      <c r="D600">
        <v>854</v>
      </c>
      <c r="E600">
        <v>0</v>
      </c>
      <c r="F600">
        <v>0</v>
      </c>
      <c r="G600" t="s">
        <v>324</v>
      </c>
    </row>
    <row r="601" spans="1:7" hidden="1" x14ac:dyDescent="0.25">
      <c r="A601" t="s">
        <v>2309</v>
      </c>
      <c r="B601" t="s">
        <v>1210</v>
      </c>
      <c r="C601" t="s">
        <v>1211</v>
      </c>
      <c r="D601" s="147">
        <v>2166</v>
      </c>
      <c r="E601">
        <v>0</v>
      </c>
      <c r="F601">
        <v>0</v>
      </c>
      <c r="G601" t="s">
        <v>324</v>
      </c>
    </row>
    <row r="602" spans="1:7" hidden="1" x14ac:dyDescent="0.25">
      <c r="A602" t="s">
        <v>2309</v>
      </c>
      <c r="B602" t="s">
        <v>2801</v>
      </c>
      <c r="C602" t="s">
        <v>2802</v>
      </c>
      <c r="D602">
        <v>367</v>
      </c>
      <c r="E602">
        <v>0</v>
      </c>
      <c r="F602">
        <v>0</v>
      </c>
      <c r="G602" t="s">
        <v>324</v>
      </c>
    </row>
    <row r="603" spans="1:7" hidden="1" x14ac:dyDescent="0.25">
      <c r="A603" t="s">
        <v>2309</v>
      </c>
      <c r="B603" t="s">
        <v>1212</v>
      </c>
      <c r="C603" t="s">
        <v>1213</v>
      </c>
      <c r="D603" s="147">
        <v>20581</v>
      </c>
      <c r="E603">
        <v>0</v>
      </c>
      <c r="F603">
        <v>0</v>
      </c>
      <c r="G603" t="s">
        <v>324</v>
      </c>
    </row>
    <row r="604" spans="1:7" hidden="1" x14ac:dyDescent="0.25">
      <c r="A604" t="s">
        <v>2309</v>
      </c>
      <c r="B604" t="s">
        <v>1718</v>
      </c>
      <c r="C604" t="s">
        <v>1719</v>
      </c>
      <c r="D604" s="147">
        <v>3260</v>
      </c>
      <c r="E604">
        <v>0</v>
      </c>
      <c r="F604">
        <v>0</v>
      </c>
      <c r="G604" t="s">
        <v>324</v>
      </c>
    </row>
    <row r="605" spans="1:7" hidden="1" x14ac:dyDescent="0.25">
      <c r="A605" t="s">
        <v>2309</v>
      </c>
      <c r="B605" t="s">
        <v>1214</v>
      </c>
      <c r="C605" t="s">
        <v>1215</v>
      </c>
      <c r="D605" s="147">
        <v>1086</v>
      </c>
      <c r="E605">
        <v>0</v>
      </c>
      <c r="F605">
        <v>0</v>
      </c>
      <c r="G605" t="s">
        <v>324</v>
      </c>
    </row>
    <row r="606" spans="1:7" hidden="1" x14ac:dyDescent="0.25">
      <c r="A606" t="s">
        <v>2309</v>
      </c>
      <c r="B606" t="s">
        <v>1216</v>
      </c>
      <c r="C606" t="s">
        <v>1217</v>
      </c>
      <c r="D606" s="147">
        <v>2755</v>
      </c>
      <c r="E606">
        <v>0</v>
      </c>
      <c r="F606">
        <v>0</v>
      </c>
      <c r="G606" t="s">
        <v>324</v>
      </c>
    </row>
    <row r="607" spans="1:7" hidden="1" x14ac:dyDescent="0.25">
      <c r="A607" t="s">
        <v>2309</v>
      </c>
      <c r="B607" t="s">
        <v>1218</v>
      </c>
      <c r="C607" t="s">
        <v>1219</v>
      </c>
      <c r="D607" s="147">
        <v>2333</v>
      </c>
      <c r="E607">
        <v>0</v>
      </c>
      <c r="F607">
        <v>0</v>
      </c>
      <c r="G607" t="s">
        <v>324</v>
      </c>
    </row>
    <row r="608" spans="1:7" hidden="1" x14ac:dyDescent="0.25">
      <c r="A608" t="s">
        <v>2309</v>
      </c>
      <c r="B608" t="s">
        <v>1220</v>
      </c>
      <c r="C608" t="s">
        <v>1221</v>
      </c>
      <c r="D608">
        <v>475</v>
      </c>
      <c r="E608">
        <v>0</v>
      </c>
      <c r="F608">
        <v>0</v>
      </c>
      <c r="G608" t="s">
        <v>324</v>
      </c>
    </row>
    <row r="609" spans="1:7" hidden="1" x14ac:dyDescent="0.25">
      <c r="A609" t="s">
        <v>2309</v>
      </c>
      <c r="B609" t="s">
        <v>1222</v>
      </c>
      <c r="C609" t="s">
        <v>1223</v>
      </c>
      <c r="D609" s="147">
        <v>1182</v>
      </c>
      <c r="E609">
        <v>0</v>
      </c>
      <c r="F609">
        <v>0</v>
      </c>
      <c r="G609" t="s">
        <v>324</v>
      </c>
    </row>
    <row r="610" spans="1:7" hidden="1" x14ac:dyDescent="0.25">
      <c r="A610" t="s">
        <v>2309</v>
      </c>
      <c r="B610" t="s">
        <v>1224</v>
      </c>
      <c r="C610" t="s">
        <v>1225</v>
      </c>
      <c r="D610">
        <v>213</v>
      </c>
      <c r="E610">
        <v>0</v>
      </c>
      <c r="F610">
        <v>0</v>
      </c>
      <c r="G610" t="s">
        <v>324</v>
      </c>
    </row>
    <row r="611" spans="1:7" hidden="1" x14ac:dyDescent="0.25">
      <c r="A611" t="s">
        <v>2309</v>
      </c>
      <c r="B611" t="s">
        <v>1226</v>
      </c>
      <c r="C611" t="s">
        <v>1227</v>
      </c>
      <c r="D611">
        <v>250</v>
      </c>
      <c r="E611">
        <v>0</v>
      </c>
      <c r="F611">
        <v>0</v>
      </c>
      <c r="G611" t="s">
        <v>324</v>
      </c>
    </row>
    <row r="612" spans="1:7" hidden="1" x14ac:dyDescent="0.25">
      <c r="A612" t="s">
        <v>2309</v>
      </c>
      <c r="B612" t="s">
        <v>1228</v>
      </c>
      <c r="C612" t="s">
        <v>1229</v>
      </c>
      <c r="D612" s="147">
        <v>10185</v>
      </c>
      <c r="E612">
        <v>0</v>
      </c>
      <c r="F612">
        <v>0</v>
      </c>
      <c r="G612" t="s">
        <v>324</v>
      </c>
    </row>
    <row r="613" spans="1:7" hidden="1" x14ac:dyDescent="0.25">
      <c r="A613" t="s">
        <v>2309</v>
      </c>
      <c r="B613" t="s">
        <v>1230</v>
      </c>
      <c r="C613" t="s">
        <v>1231</v>
      </c>
      <c r="D613">
        <v>961</v>
      </c>
      <c r="E613">
        <v>0</v>
      </c>
      <c r="F613">
        <v>0</v>
      </c>
      <c r="G613" t="s">
        <v>324</v>
      </c>
    </row>
    <row r="614" spans="1:7" hidden="1" x14ac:dyDescent="0.25">
      <c r="A614" t="s">
        <v>2309</v>
      </c>
      <c r="B614" t="s">
        <v>1232</v>
      </c>
      <c r="C614" t="s">
        <v>1233</v>
      </c>
      <c r="D614">
        <v>507</v>
      </c>
      <c r="E614">
        <v>0</v>
      </c>
      <c r="F614">
        <v>0</v>
      </c>
      <c r="G614" t="s">
        <v>324</v>
      </c>
    </row>
    <row r="615" spans="1:7" hidden="1" x14ac:dyDescent="0.25">
      <c r="A615" t="s">
        <v>2309</v>
      </c>
      <c r="B615" t="s">
        <v>1234</v>
      </c>
      <c r="C615" t="s">
        <v>1235</v>
      </c>
      <c r="D615">
        <v>423</v>
      </c>
      <c r="E615">
        <v>0</v>
      </c>
      <c r="F615">
        <v>0</v>
      </c>
      <c r="G615" t="s">
        <v>324</v>
      </c>
    </row>
    <row r="616" spans="1:7" hidden="1" x14ac:dyDescent="0.25">
      <c r="A616" t="s">
        <v>2309</v>
      </c>
      <c r="B616" t="s">
        <v>1864</v>
      </c>
      <c r="C616" t="s">
        <v>1865</v>
      </c>
      <c r="D616">
        <v>975</v>
      </c>
      <c r="E616">
        <v>0</v>
      </c>
      <c r="F616">
        <v>0</v>
      </c>
      <c r="G616" t="s">
        <v>324</v>
      </c>
    </row>
    <row r="617" spans="1:7" hidden="1" x14ac:dyDescent="0.25">
      <c r="A617" t="s">
        <v>2309</v>
      </c>
      <c r="B617" t="s">
        <v>1236</v>
      </c>
      <c r="C617" t="s">
        <v>1237</v>
      </c>
      <c r="D617" s="147">
        <v>9816</v>
      </c>
      <c r="E617">
        <v>0</v>
      </c>
      <c r="F617">
        <v>0</v>
      </c>
      <c r="G617" t="s">
        <v>324</v>
      </c>
    </row>
    <row r="618" spans="1:7" hidden="1" x14ac:dyDescent="0.25">
      <c r="A618" t="s">
        <v>2309</v>
      </c>
      <c r="B618" t="s">
        <v>1238</v>
      </c>
      <c r="C618" t="s">
        <v>1239</v>
      </c>
      <c r="D618" s="147">
        <v>26965</v>
      </c>
      <c r="E618">
        <v>0</v>
      </c>
      <c r="F618">
        <v>0</v>
      </c>
      <c r="G618" t="s">
        <v>324</v>
      </c>
    </row>
    <row r="619" spans="1:7" hidden="1" x14ac:dyDescent="0.25">
      <c r="A619" t="s">
        <v>2309</v>
      </c>
      <c r="B619" t="s">
        <v>1720</v>
      </c>
      <c r="C619" t="s">
        <v>1721</v>
      </c>
      <c r="D619">
        <v>964</v>
      </c>
      <c r="E619">
        <v>0</v>
      </c>
      <c r="F619">
        <v>0</v>
      </c>
      <c r="G619" t="s">
        <v>324</v>
      </c>
    </row>
    <row r="620" spans="1:7" hidden="1" x14ac:dyDescent="0.25">
      <c r="A620" t="s">
        <v>2309</v>
      </c>
      <c r="B620" t="s">
        <v>1722</v>
      </c>
      <c r="C620" t="s">
        <v>1723</v>
      </c>
      <c r="D620">
        <v>929</v>
      </c>
      <c r="E620">
        <v>0</v>
      </c>
      <c r="F620">
        <v>0</v>
      </c>
      <c r="G620" t="s">
        <v>324</v>
      </c>
    </row>
    <row r="621" spans="1:7" hidden="1" x14ac:dyDescent="0.25">
      <c r="A621" t="s">
        <v>2309</v>
      </c>
      <c r="B621" t="s">
        <v>1240</v>
      </c>
      <c r="C621" t="s">
        <v>1241</v>
      </c>
      <c r="D621" s="147">
        <v>1094</v>
      </c>
      <c r="E621">
        <v>0</v>
      </c>
      <c r="F621">
        <v>0</v>
      </c>
      <c r="G621" t="s">
        <v>324</v>
      </c>
    </row>
    <row r="622" spans="1:7" hidden="1" x14ac:dyDescent="0.25">
      <c r="A622" t="s">
        <v>2309</v>
      </c>
      <c r="B622" t="s">
        <v>1242</v>
      </c>
      <c r="C622" t="s">
        <v>1243</v>
      </c>
      <c r="D622" s="147">
        <v>7029</v>
      </c>
      <c r="E622">
        <v>0</v>
      </c>
      <c r="F622">
        <v>0</v>
      </c>
      <c r="G622" t="s">
        <v>324</v>
      </c>
    </row>
    <row r="623" spans="1:7" hidden="1" x14ac:dyDescent="0.25">
      <c r="A623" t="s">
        <v>2309</v>
      </c>
      <c r="B623" t="s">
        <v>1244</v>
      </c>
      <c r="C623" t="s">
        <v>1245</v>
      </c>
      <c r="D623" s="147">
        <v>1679</v>
      </c>
      <c r="E623">
        <v>0</v>
      </c>
      <c r="F623">
        <v>0</v>
      </c>
      <c r="G623" t="s">
        <v>324</v>
      </c>
    </row>
    <row r="624" spans="1:7" hidden="1" x14ac:dyDescent="0.25">
      <c r="A624" t="s">
        <v>2309</v>
      </c>
      <c r="B624" t="s">
        <v>1246</v>
      </c>
      <c r="C624" t="s">
        <v>1247</v>
      </c>
      <c r="D624">
        <v>950</v>
      </c>
      <c r="E624">
        <v>0</v>
      </c>
      <c r="F624">
        <v>0</v>
      </c>
      <c r="G624" t="s">
        <v>324</v>
      </c>
    </row>
    <row r="625" spans="1:7" hidden="1" x14ac:dyDescent="0.25">
      <c r="A625" t="s">
        <v>2309</v>
      </c>
      <c r="B625" t="s">
        <v>1248</v>
      </c>
      <c r="C625" t="s">
        <v>1249</v>
      </c>
      <c r="D625">
        <v>118</v>
      </c>
      <c r="E625">
        <v>0</v>
      </c>
      <c r="F625">
        <v>0</v>
      </c>
      <c r="G625" t="s">
        <v>324</v>
      </c>
    </row>
    <row r="626" spans="1:7" hidden="1" x14ac:dyDescent="0.25">
      <c r="A626" t="s">
        <v>2309</v>
      </c>
      <c r="B626" t="s">
        <v>1250</v>
      </c>
      <c r="C626" t="s">
        <v>1251</v>
      </c>
      <c r="D626">
        <v>769</v>
      </c>
      <c r="E626">
        <v>0</v>
      </c>
      <c r="F626">
        <v>0</v>
      </c>
      <c r="G626" t="s">
        <v>324</v>
      </c>
    </row>
    <row r="627" spans="1:7" hidden="1" x14ac:dyDescent="0.25">
      <c r="A627" t="s">
        <v>2309</v>
      </c>
      <c r="B627" t="s">
        <v>1252</v>
      </c>
      <c r="C627" t="s">
        <v>1253</v>
      </c>
      <c r="D627">
        <v>497</v>
      </c>
      <c r="E627">
        <v>0</v>
      </c>
      <c r="F627">
        <v>0</v>
      </c>
      <c r="G627" t="s">
        <v>324</v>
      </c>
    </row>
    <row r="628" spans="1:7" hidden="1" x14ac:dyDescent="0.25">
      <c r="A628" t="s">
        <v>2309</v>
      </c>
      <c r="B628" t="s">
        <v>1254</v>
      </c>
      <c r="C628" t="s">
        <v>1255</v>
      </c>
      <c r="D628" s="147">
        <v>6000</v>
      </c>
      <c r="E628">
        <v>0</v>
      </c>
      <c r="F628">
        <v>0</v>
      </c>
      <c r="G628" t="s">
        <v>324</v>
      </c>
    </row>
    <row r="629" spans="1:7" hidden="1" x14ac:dyDescent="0.25">
      <c r="A629" t="s">
        <v>2309</v>
      </c>
      <c r="B629" t="s">
        <v>1256</v>
      </c>
      <c r="C629" t="s">
        <v>1257</v>
      </c>
      <c r="D629" s="147">
        <v>1025</v>
      </c>
      <c r="E629">
        <v>0</v>
      </c>
      <c r="F629">
        <v>0</v>
      </c>
      <c r="G629" t="s">
        <v>324</v>
      </c>
    </row>
    <row r="630" spans="1:7" hidden="1" x14ac:dyDescent="0.25">
      <c r="A630" t="s">
        <v>2309</v>
      </c>
      <c r="B630" t="s">
        <v>1258</v>
      </c>
      <c r="C630" t="s">
        <v>1259</v>
      </c>
      <c r="D630" s="147">
        <v>1768</v>
      </c>
      <c r="E630">
        <v>0</v>
      </c>
      <c r="F630">
        <v>0</v>
      </c>
      <c r="G630" t="s">
        <v>324</v>
      </c>
    </row>
    <row r="631" spans="1:7" hidden="1" x14ac:dyDescent="0.25">
      <c r="A631" t="s">
        <v>2309</v>
      </c>
      <c r="B631" t="s">
        <v>1260</v>
      </c>
      <c r="C631" t="s">
        <v>1261</v>
      </c>
      <c r="D631">
        <v>219</v>
      </c>
      <c r="E631">
        <v>0</v>
      </c>
      <c r="F631">
        <v>0</v>
      </c>
      <c r="G631" t="s">
        <v>324</v>
      </c>
    </row>
    <row r="632" spans="1:7" hidden="1" x14ac:dyDescent="0.25">
      <c r="A632" t="s">
        <v>2309</v>
      </c>
      <c r="B632" t="s">
        <v>1262</v>
      </c>
      <c r="C632" t="s">
        <v>1263</v>
      </c>
      <c r="D632">
        <v>151</v>
      </c>
      <c r="E632">
        <v>0</v>
      </c>
      <c r="F632">
        <v>0</v>
      </c>
      <c r="G632" t="s">
        <v>324</v>
      </c>
    </row>
    <row r="633" spans="1:7" hidden="1" x14ac:dyDescent="0.25">
      <c r="A633" t="s">
        <v>2309</v>
      </c>
      <c r="B633" t="s">
        <v>1264</v>
      </c>
      <c r="C633" t="s">
        <v>1265</v>
      </c>
      <c r="D633" s="147">
        <v>1440</v>
      </c>
      <c r="E633">
        <v>0</v>
      </c>
      <c r="F633">
        <v>0</v>
      </c>
      <c r="G633" t="s">
        <v>324</v>
      </c>
    </row>
    <row r="634" spans="1:7" hidden="1" x14ac:dyDescent="0.25">
      <c r="A634" t="s">
        <v>2309</v>
      </c>
      <c r="B634" t="s">
        <v>1266</v>
      </c>
      <c r="C634" t="s">
        <v>1267</v>
      </c>
      <c r="D634">
        <v>972</v>
      </c>
      <c r="E634">
        <v>0</v>
      </c>
      <c r="F634">
        <v>0</v>
      </c>
      <c r="G634" t="s">
        <v>324</v>
      </c>
    </row>
    <row r="635" spans="1:7" hidden="1" x14ac:dyDescent="0.25">
      <c r="A635" t="s">
        <v>2309</v>
      </c>
      <c r="B635" t="s">
        <v>1268</v>
      </c>
      <c r="C635" t="s">
        <v>1269</v>
      </c>
      <c r="D635">
        <v>806</v>
      </c>
      <c r="E635">
        <v>0</v>
      </c>
      <c r="F635">
        <v>0</v>
      </c>
      <c r="G635" t="s">
        <v>324</v>
      </c>
    </row>
    <row r="636" spans="1:7" hidden="1" x14ac:dyDescent="0.25">
      <c r="A636" t="s">
        <v>2309</v>
      </c>
      <c r="B636" t="s">
        <v>2803</v>
      </c>
      <c r="C636" t="s">
        <v>2804</v>
      </c>
      <c r="D636" s="147">
        <v>1927</v>
      </c>
      <c r="E636">
        <v>0</v>
      </c>
      <c r="F636">
        <v>0</v>
      </c>
      <c r="G636" t="s">
        <v>324</v>
      </c>
    </row>
    <row r="637" spans="1:7" hidden="1" x14ac:dyDescent="0.25">
      <c r="A637" t="s">
        <v>2309</v>
      </c>
      <c r="B637" t="s">
        <v>1801</v>
      </c>
      <c r="C637" t="s">
        <v>1802</v>
      </c>
      <c r="D637">
        <v>844</v>
      </c>
      <c r="E637">
        <v>0</v>
      </c>
      <c r="F637">
        <v>0</v>
      </c>
      <c r="G637" t="s">
        <v>324</v>
      </c>
    </row>
    <row r="638" spans="1:7" hidden="1" x14ac:dyDescent="0.25">
      <c r="A638" t="s">
        <v>2309</v>
      </c>
      <c r="B638" t="s">
        <v>1272</v>
      </c>
      <c r="C638" t="s">
        <v>1273</v>
      </c>
      <c r="D638">
        <v>457</v>
      </c>
      <c r="E638">
        <v>0</v>
      </c>
      <c r="F638">
        <v>0</v>
      </c>
      <c r="G638" t="s">
        <v>324</v>
      </c>
    </row>
    <row r="639" spans="1:7" hidden="1" x14ac:dyDescent="0.25">
      <c r="A639" t="s">
        <v>2309</v>
      </c>
      <c r="B639" t="s">
        <v>2805</v>
      </c>
      <c r="C639" t="s">
        <v>2806</v>
      </c>
      <c r="D639" s="147">
        <v>3482</v>
      </c>
      <c r="E639">
        <v>0</v>
      </c>
      <c r="F639">
        <v>0</v>
      </c>
      <c r="G639" t="s">
        <v>324</v>
      </c>
    </row>
    <row r="640" spans="1:7" hidden="1" x14ac:dyDescent="0.25">
      <c r="A640" t="s">
        <v>2309</v>
      </c>
      <c r="B640" t="s">
        <v>1274</v>
      </c>
      <c r="C640" t="s">
        <v>1275</v>
      </c>
      <c r="D640">
        <v>596</v>
      </c>
      <c r="E640">
        <v>0</v>
      </c>
      <c r="F640">
        <v>0</v>
      </c>
      <c r="G640" t="s">
        <v>324</v>
      </c>
    </row>
    <row r="641" spans="1:7" hidden="1" x14ac:dyDescent="0.25">
      <c r="A641" t="s">
        <v>2309</v>
      </c>
      <c r="B641" t="s">
        <v>1276</v>
      </c>
      <c r="C641" t="s">
        <v>1277</v>
      </c>
      <c r="D641" s="147">
        <v>1312</v>
      </c>
      <c r="E641">
        <v>0</v>
      </c>
      <c r="F641">
        <v>0</v>
      </c>
      <c r="G641" t="s">
        <v>324</v>
      </c>
    </row>
    <row r="642" spans="1:7" hidden="1" x14ac:dyDescent="0.25">
      <c r="A642" t="s">
        <v>2309</v>
      </c>
      <c r="B642" t="s">
        <v>1278</v>
      </c>
      <c r="C642" t="s">
        <v>1279</v>
      </c>
      <c r="D642" s="147">
        <v>6484</v>
      </c>
      <c r="E642">
        <v>0</v>
      </c>
      <c r="F642">
        <v>0</v>
      </c>
      <c r="G642" t="s">
        <v>324</v>
      </c>
    </row>
    <row r="643" spans="1:7" hidden="1" x14ac:dyDescent="0.25">
      <c r="A643" t="s">
        <v>2309</v>
      </c>
      <c r="B643" t="s">
        <v>1280</v>
      </c>
      <c r="C643" t="s">
        <v>1281</v>
      </c>
      <c r="D643">
        <v>604</v>
      </c>
      <c r="E643">
        <v>0</v>
      </c>
      <c r="F643">
        <v>0</v>
      </c>
      <c r="G643" t="s">
        <v>324</v>
      </c>
    </row>
    <row r="644" spans="1:7" hidden="1" x14ac:dyDescent="0.25">
      <c r="A644" t="s">
        <v>2309</v>
      </c>
      <c r="B644" t="s">
        <v>1282</v>
      </c>
      <c r="C644" t="s">
        <v>1283</v>
      </c>
      <c r="D644" s="147">
        <v>6648</v>
      </c>
      <c r="E644">
        <v>0</v>
      </c>
      <c r="F644">
        <v>0</v>
      </c>
      <c r="G644" t="s">
        <v>324</v>
      </c>
    </row>
    <row r="645" spans="1:7" hidden="1" x14ac:dyDescent="0.25">
      <c r="A645" t="s">
        <v>2309</v>
      </c>
      <c r="B645" t="s">
        <v>1284</v>
      </c>
      <c r="C645" t="s">
        <v>1285</v>
      </c>
      <c r="D645">
        <v>614</v>
      </c>
      <c r="E645">
        <v>0</v>
      </c>
      <c r="F645">
        <v>0</v>
      </c>
      <c r="G645" t="s">
        <v>324</v>
      </c>
    </row>
    <row r="646" spans="1:7" hidden="1" x14ac:dyDescent="0.25">
      <c r="A646" t="s">
        <v>2309</v>
      </c>
      <c r="B646" t="s">
        <v>1286</v>
      </c>
      <c r="C646" t="s">
        <v>1287</v>
      </c>
      <c r="D646" s="147">
        <v>1261</v>
      </c>
      <c r="E646">
        <v>0</v>
      </c>
      <c r="F646">
        <v>0</v>
      </c>
      <c r="G646" t="s">
        <v>324</v>
      </c>
    </row>
    <row r="647" spans="1:7" hidden="1" x14ac:dyDescent="0.25">
      <c r="A647" t="s">
        <v>2309</v>
      </c>
      <c r="B647" t="s">
        <v>1288</v>
      </c>
      <c r="C647" t="s">
        <v>1289</v>
      </c>
      <c r="D647">
        <v>211</v>
      </c>
      <c r="E647">
        <v>0</v>
      </c>
      <c r="F647">
        <v>0</v>
      </c>
      <c r="G647" t="s">
        <v>324</v>
      </c>
    </row>
    <row r="648" spans="1:7" hidden="1" x14ac:dyDescent="0.25">
      <c r="A648" t="s">
        <v>2309</v>
      </c>
      <c r="B648" t="s">
        <v>1807</v>
      </c>
      <c r="C648" t="s">
        <v>1808</v>
      </c>
      <c r="D648">
        <v>354</v>
      </c>
      <c r="E648">
        <v>0</v>
      </c>
      <c r="F648">
        <v>0</v>
      </c>
      <c r="G648" t="s">
        <v>324</v>
      </c>
    </row>
    <row r="649" spans="1:7" hidden="1" x14ac:dyDescent="0.25">
      <c r="A649" t="s">
        <v>2309</v>
      </c>
      <c r="B649" t="s">
        <v>1290</v>
      </c>
      <c r="C649" t="s">
        <v>1291</v>
      </c>
      <c r="D649">
        <v>863</v>
      </c>
      <c r="E649">
        <v>0</v>
      </c>
      <c r="F649">
        <v>0</v>
      </c>
      <c r="G649" t="s">
        <v>324</v>
      </c>
    </row>
    <row r="650" spans="1:7" hidden="1" x14ac:dyDescent="0.25">
      <c r="A650" t="s">
        <v>2309</v>
      </c>
      <c r="B650" t="s">
        <v>1292</v>
      </c>
      <c r="C650" t="s">
        <v>1293</v>
      </c>
      <c r="D650" s="147">
        <v>5911</v>
      </c>
      <c r="E650">
        <v>0</v>
      </c>
      <c r="F650">
        <v>0</v>
      </c>
      <c r="G650" t="s">
        <v>324</v>
      </c>
    </row>
    <row r="651" spans="1:7" hidden="1" x14ac:dyDescent="0.25">
      <c r="A651" t="s">
        <v>2309</v>
      </c>
      <c r="B651" t="s">
        <v>1789</v>
      </c>
      <c r="C651" t="s">
        <v>1790</v>
      </c>
      <c r="D651" s="147">
        <v>4522</v>
      </c>
      <c r="E651">
        <v>0</v>
      </c>
      <c r="F651">
        <v>0</v>
      </c>
      <c r="G651" t="s">
        <v>324</v>
      </c>
    </row>
    <row r="652" spans="1:7" hidden="1" x14ac:dyDescent="0.25">
      <c r="A652" t="s">
        <v>2309</v>
      </c>
      <c r="B652" t="s">
        <v>1294</v>
      </c>
      <c r="C652" t="s">
        <v>1295</v>
      </c>
      <c r="D652">
        <v>312</v>
      </c>
      <c r="E652">
        <v>0</v>
      </c>
      <c r="F652">
        <v>0</v>
      </c>
      <c r="G652" t="s">
        <v>324</v>
      </c>
    </row>
    <row r="653" spans="1:7" hidden="1" x14ac:dyDescent="0.25">
      <c r="A653" t="s">
        <v>2309</v>
      </c>
      <c r="B653" t="s">
        <v>1296</v>
      </c>
      <c r="C653" t="s">
        <v>1297</v>
      </c>
      <c r="D653" s="147">
        <v>9464</v>
      </c>
      <c r="E653">
        <v>0</v>
      </c>
      <c r="F653">
        <v>0</v>
      </c>
      <c r="G653" t="s">
        <v>324</v>
      </c>
    </row>
    <row r="654" spans="1:7" hidden="1" x14ac:dyDescent="0.25">
      <c r="A654" t="s">
        <v>2309</v>
      </c>
      <c r="B654" t="s">
        <v>1298</v>
      </c>
      <c r="C654" t="s">
        <v>1299</v>
      </c>
      <c r="D654" s="147">
        <v>11429</v>
      </c>
      <c r="E654">
        <v>0</v>
      </c>
      <c r="F654">
        <v>0</v>
      </c>
      <c r="G654" t="s">
        <v>324</v>
      </c>
    </row>
    <row r="655" spans="1:7" hidden="1" x14ac:dyDescent="0.25">
      <c r="A655" t="s">
        <v>2309</v>
      </c>
      <c r="B655" t="s">
        <v>1300</v>
      </c>
      <c r="C655" t="s">
        <v>1301</v>
      </c>
      <c r="D655" s="147">
        <v>7186</v>
      </c>
      <c r="E655">
        <v>0</v>
      </c>
      <c r="F655">
        <v>0</v>
      </c>
      <c r="G655" t="s">
        <v>324</v>
      </c>
    </row>
    <row r="656" spans="1:7" x14ac:dyDescent="0.25">
      <c r="A656" t="s">
        <v>2309</v>
      </c>
      <c r="B656" t="s">
        <v>1302</v>
      </c>
      <c r="C656" t="s">
        <v>1303</v>
      </c>
      <c r="D656">
        <v>606</v>
      </c>
      <c r="E656">
        <v>0</v>
      </c>
      <c r="F656">
        <v>0</v>
      </c>
      <c r="G656" t="s">
        <v>324</v>
      </c>
    </row>
    <row r="657" spans="1:7" hidden="1" x14ac:dyDescent="0.25">
      <c r="A657" t="s">
        <v>2309</v>
      </c>
      <c r="B657" t="s">
        <v>1304</v>
      </c>
      <c r="C657" t="s">
        <v>1305</v>
      </c>
      <c r="D657">
        <v>789</v>
      </c>
      <c r="E657">
        <v>0</v>
      </c>
      <c r="F657">
        <v>0</v>
      </c>
      <c r="G657" t="s">
        <v>324</v>
      </c>
    </row>
    <row r="658" spans="1:7" hidden="1" x14ac:dyDescent="0.25">
      <c r="A658" t="s">
        <v>2309</v>
      </c>
      <c r="B658" t="s">
        <v>1306</v>
      </c>
      <c r="C658" t="s">
        <v>1307</v>
      </c>
      <c r="D658">
        <v>714</v>
      </c>
      <c r="E658">
        <v>0</v>
      </c>
      <c r="F658">
        <v>0</v>
      </c>
      <c r="G658" t="s">
        <v>324</v>
      </c>
    </row>
    <row r="659" spans="1:7" hidden="1" x14ac:dyDescent="0.25">
      <c r="A659" t="s">
        <v>2309</v>
      </c>
      <c r="B659" t="s">
        <v>1308</v>
      </c>
      <c r="C659" t="s">
        <v>1309</v>
      </c>
      <c r="D659" s="147">
        <v>2800</v>
      </c>
      <c r="E659">
        <v>0</v>
      </c>
      <c r="F659">
        <v>0</v>
      </c>
      <c r="G659" t="s">
        <v>324</v>
      </c>
    </row>
    <row r="660" spans="1:7" hidden="1" x14ac:dyDescent="0.25">
      <c r="A660" t="s">
        <v>2309</v>
      </c>
      <c r="B660" t="s">
        <v>1310</v>
      </c>
      <c r="C660" t="s">
        <v>1311</v>
      </c>
      <c r="D660" s="147">
        <v>19637</v>
      </c>
      <c r="E660">
        <v>0</v>
      </c>
      <c r="F660">
        <v>0</v>
      </c>
      <c r="G660" t="s">
        <v>324</v>
      </c>
    </row>
    <row r="661" spans="1:7" hidden="1" x14ac:dyDescent="0.25">
      <c r="A661" t="s">
        <v>2309</v>
      </c>
      <c r="B661" t="s">
        <v>1312</v>
      </c>
      <c r="C661" t="s">
        <v>1313</v>
      </c>
      <c r="D661">
        <v>603</v>
      </c>
      <c r="E661">
        <v>0</v>
      </c>
      <c r="F661">
        <v>0</v>
      </c>
      <c r="G661" t="s">
        <v>324</v>
      </c>
    </row>
    <row r="662" spans="1:7" hidden="1" x14ac:dyDescent="0.25">
      <c r="A662" t="s">
        <v>2309</v>
      </c>
      <c r="B662" t="s">
        <v>1314</v>
      </c>
      <c r="C662" t="s">
        <v>1315</v>
      </c>
      <c r="D662">
        <v>543</v>
      </c>
      <c r="E662">
        <v>0</v>
      </c>
      <c r="F662">
        <v>0</v>
      </c>
      <c r="G662" t="s">
        <v>324</v>
      </c>
    </row>
    <row r="663" spans="1:7" hidden="1" x14ac:dyDescent="0.25">
      <c r="A663" t="s">
        <v>2309</v>
      </c>
      <c r="B663" t="s">
        <v>1316</v>
      </c>
      <c r="C663" t="s">
        <v>1317</v>
      </c>
      <c r="D663">
        <v>640</v>
      </c>
      <c r="E663">
        <v>0</v>
      </c>
      <c r="F663">
        <v>0</v>
      </c>
      <c r="G663" t="s">
        <v>324</v>
      </c>
    </row>
    <row r="664" spans="1:7" hidden="1" x14ac:dyDescent="0.25">
      <c r="A664" t="s">
        <v>2309</v>
      </c>
      <c r="B664" t="s">
        <v>1318</v>
      </c>
      <c r="C664" t="s">
        <v>1319</v>
      </c>
      <c r="D664">
        <v>818</v>
      </c>
      <c r="E664">
        <v>0</v>
      </c>
      <c r="F664">
        <v>0</v>
      </c>
      <c r="G664" t="s">
        <v>324</v>
      </c>
    </row>
    <row r="665" spans="1:7" hidden="1" x14ac:dyDescent="0.25">
      <c r="A665" t="s">
        <v>2309</v>
      </c>
      <c r="B665" t="s">
        <v>1320</v>
      </c>
      <c r="C665" t="s">
        <v>1321</v>
      </c>
      <c r="D665" s="147">
        <v>1570</v>
      </c>
      <c r="E665">
        <v>0</v>
      </c>
      <c r="F665">
        <v>0</v>
      </c>
      <c r="G665" t="s">
        <v>324</v>
      </c>
    </row>
    <row r="666" spans="1:7" hidden="1" x14ac:dyDescent="0.25">
      <c r="A666" t="s">
        <v>2309</v>
      </c>
      <c r="B666" t="s">
        <v>1322</v>
      </c>
      <c r="C666" t="s">
        <v>1323</v>
      </c>
      <c r="D666">
        <v>222</v>
      </c>
      <c r="E666">
        <v>0</v>
      </c>
      <c r="F666">
        <v>0</v>
      </c>
      <c r="G666" t="s">
        <v>324</v>
      </c>
    </row>
    <row r="667" spans="1:7" hidden="1" x14ac:dyDescent="0.25">
      <c r="A667" t="s">
        <v>2309</v>
      </c>
      <c r="B667" t="s">
        <v>1324</v>
      </c>
      <c r="C667" t="s">
        <v>1325</v>
      </c>
      <c r="D667">
        <v>757</v>
      </c>
      <c r="E667">
        <v>0</v>
      </c>
      <c r="F667">
        <v>0</v>
      </c>
      <c r="G667" t="s">
        <v>324</v>
      </c>
    </row>
    <row r="668" spans="1:7" hidden="1" x14ac:dyDescent="0.25">
      <c r="A668" t="s">
        <v>2309</v>
      </c>
      <c r="B668" t="s">
        <v>1326</v>
      </c>
      <c r="C668" t="s">
        <v>1327</v>
      </c>
      <c r="D668">
        <v>142</v>
      </c>
      <c r="E668">
        <v>0</v>
      </c>
      <c r="F668">
        <v>0</v>
      </c>
      <c r="G668" t="s">
        <v>324</v>
      </c>
    </row>
    <row r="669" spans="1:7" hidden="1" x14ac:dyDescent="0.25">
      <c r="A669" t="s">
        <v>2309</v>
      </c>
      <c r="B669" t="s">
        <v>1328</v>
      </c>
      <c r="C669" t="s">
        <v>1329</v>
      </c>
      <c r="D669" s="147">
        <v>1550</v>
      </c>
      <c r="E669">
        <v>0</v>
      </c>
      <c r="F669">
        <v>0</v>
      </c>
      <c r="G669" t="s">
        <v>324</v>
      </c>
    </row>
    <row r="670" spans="1:7" hidden="1" x14ac:dyDescent="0.25">
      <c r="A670" t="s">
        <v>2309</v>
      </c>
      <c r="B670" t="s">
        <v>1330</v>
      </c>
      <c r="C670" t="s">
        <v>1331</v>
      </c>
      <c r="D670" s="147">
        <v>2715</v>
      </c>
      <c r="E670">
        <v>0</v>
      </c>
      <c r="F670">
        <v>0</v>
      </c>
      <c r="G670" t="s">
        <v>324</v>
      </c>
    </row>
    <row r="671" spans="1:7" hidden="1" x14ac:dyDescent="0.25">
      <c r="A671" t="s">
        <v>2309</v>
      </c>
      <c r="B671" t="s">
        <v>1332</v>
      </c>
      <c r="C671" t="s">
        <v>1333</v>
      </c>
      <c r="D671" s="147">
        <v>4203</v>
      </c>
      <c r="E671">
        <v>0</v>
      </c>
      <c r="F671">
        <v>0</v>
      </c>
      <c r="G671" t="s">
        <v>324</v>
      </c>
    </row>
    <row r="672" spans="1:7" hidden="1" x14ac:dyDescent="0.25">
      <c r="A672" t="s">
        <v>2309</v>
      </c>
      <c r="B672" t="s">
        <v>1334</v>
      </c>
      <c r="C672" t="s">
        <v>1335</v>
      </c>
      <c r="D672" s="147">
        <v>1731</v>
      </c>
      <c r="E672">
        <v>0</v>
      </c>
      <c r="F672">
        <v>0</v>
      </c>
      <c r="G672" t="s">
        <v>324</v>
      </c>
    </row>
    <row r="673" spans="1:7" hidden="1" x14ac:dyDescent="0.25">
      <c r="A673" t="s">
        <v>2309</v>
      </c>
      <c r="B673" t="s">
        <v>4952</v>
      </c>
      <c r="C673" t="s">
        <v>4954</v>
      </c>
      <c r="D673" s="147">
        <v>15050</v>
      </c>
      <c r="E673">
        <v>0</v>
      </c>
      <c r="F673">
        <v>0</v>
      </c>
      <c r="G673" t="s">
        <v>324</v>
      </c>
    </row>
    <row r="674" spans="1:7" hidden="1" x14ac:dyDescent="0.25">
      <c r="A674" t="s">
        <v>2309</v>
      </c>
      <c r="B674" t="s">
        <v>1336</v>
      </c>
      <c r="C674" t="s">
        <v>1947</v>
      </c>
      <c r="D674">
        <v>830</v>
      </c>
      <c r="E674">
        <v>0</v>
      </c>
      <c r="F674">
        <v>0</v>
      </c>
      <c r="G674" t="s">
        <v>324</v>
      </c>
    </row>
    <row r="675" spans="1:7" hidden="1" x14ac:dyDescent="0.25">
      <c r="A675" t="s">
        <v>2309</v>
      </c>
      <c r="B675" t="s">
        <v>1337</v>
      </c>
      <c r="C675" t="s">
        <v>1338</v>
      </c>
      <c r="D675">
        <v>900</v>
      </c>
      <c r="E675">
        <v>0</v>
      </c>
      <c r="F675">
        <v>0</v>
      </c>
      <c r="G675" t="s">
        <v>324</v>
      </c>
    </row>
    <row r="676" spans="1:7" hidden="1" x14ac:dyDescent="0.25">
      <c r="A676" t="s">
        <v>2309</v>
      </c>
      <c r="B676" t="s">
        <v>3385</v>
      </c>
      <c r="C676" t="s">
        <v>5450</v>
      </c>
      <c r="D676" s="147">
        <v>1503</v>
      </c>
      <c r="E676">
        <v>0</v>
      </c>
      <c r="F676">
        <v>0</v>
      </c>
      <c r="G676" t="s">
        <v>324</v>
      </c>
    </row>
    <row r="677" spans="1:7" hidden="1" x14ac:dyDescent="0.25">
      <c r="A677" t="s">
        <v>2309</v>
      </c>
      <c r="B677" t="s">
        <v>1339</v>
      </c>
      <c r="C677" t="s">
        <v>1340</v>
      </c>
      <c r="D677" s="147">
        <v>1727</v>
      </c>
      <c r="E677">
        <v>0</v>
      </c>
      <c r="F677">
        <v>0</v>
      </c>
      <c r="G677" t="s">
        <v>324</v>
      </c>
    </row>
    <row r="678" spans="1:7" hidden="1" x14ac:dyDescent="0.25">
      <c r="A678" t="s">
        <v>2309</v>
      </c>
      <c r="B678" t="s">
        <v>1341</v>
      </c>
      <c r="C678" t="s">
        <v>1342</v>
      </c>
      <c r="D678" s="147">
        <v>6857</v>
      </c>
      <c r="E678">
        <v>0</v>
      </c>
      <c r="F678">
        <v>0</v>
      </c>
      <c r="G678" t="s">
        <v>324</v>
      </c>
    </row>
    <row r="679" spans="1:7" hidden="1" x14ac:dyDescent="0.25">
      <c r="A679" t="s">
        <v>2309</v>
      </c>
      <c r="B679" t="s">
        <v>1343</v>
      </c>
      <c r="C679" t="s">
        <v>1344</v>
      </c>
      <c r="D679" s="147">
        <v>1406</v>
      </c>
      <c r="E679">
        <v>0</v>
      </c>
      <c r="F679">
        <v>0</v>
      </c>
      <c r="G679" t="s">
        <v>324</v>
      </c>
    </row>
    <row r="680" spans="1:7" hidden="1" x14ac:dyDescent="0.25">
      <c r="A680" t="s">
        <v>2309</v>
      </c>
      <c r="B680" t="s">
        <v>1345</v>
      </c>
      <c r="C680" t="s">
        <v>1346</v>
      </c>
      <c r="D680" s="147">
        <v>1056</v>
      </c>
      <c r="E680">
        <v>0</v>
      </c>
      <c r="F680">
        <v>0</v>
      </c>
      <c r="G680" t="s">
        <v>324</v>
      </c>
    </row>
    <row r="681" spans="1:7" hidden="1" x14ac:dyDescent="0.25">
      <c r="A681" t="s">
        <v>2309</v>
      </c>
      <c r="B681" t="s">
        <v>1347</v>
      </c>
      <c r="C681" t="s">
        <v>1348</v>
      </c>
      <c r="D681" s="147">
        <v>9159</v>
      </c>
      <c r="E681">
        <v>0</v>
      </c>
      <c r="F681">
        <v>0</v>
      </c>
      <c r="G681" t="s">
        <v>324</v>
      </c>
    </row>
    <row r="682" spans="1:7" hidden="1" x14ac:dyDescent="0.25">
      <c r="A682" t="s">
        <v>2309</v>
      </c>
      <c r="B682" t="s">
        <v>1822</v>
      </c>
      <c r="C682" t="s">
        <v>1823</v>
      </c>
      <c r="D682">
        <v>875</v>
      </c>
      <c r="E682">
        <v>0</v>
      </c>
      <c r="F682">
        <v>0</v>
      </c>
      <c r="G682" t="s">
        <v>324</v>
      </c>
    </row>
    <row r="683" spans="1:7" hidden="1" x14ac:dyDescent="0.25">
      <c r="A683" t="s">
        <v>2309</v>
      </c>
      <c r="B683" t="s">
        <v>1349</v>
      </c>
      <c r="C683" t="s">
        <v>1350</v>
      </c>
      <c r="D683" s="147">
        <v>1220</v>
      </c>
      <c r="E683">
        <v>0</v>
      </c>
      <c r="F683">
        <v>0</v>
      </c>
      <c r="G683" t="s">
        <v>324</v>
      </c>
    </row>
    <row r="684" spans="1:7" hidden="1" x14ac:dyDescent="0.25">
      <c r="A684" t="s">
        <v>2309</v>
      </c>
      <c r="B684" t="s">
        <v>1351</v>
      </c>
      <c r="C684" t="s">
        <v>1352</v>
      </c>
      <c r="D684" s="147">
        <v>5082</v>
      </c>
      <c r="E684">
        <v>0</v>
      </c>
      <c r="F684">
        <v>0</v>
      </c>
      <c r="G684" t="s">
        <v>324</v>
      </c>
    </row>
    <row r="685" spans="1:7" hidden="1" x14ac:dyDescent="0.25">
      <c r="A685" t="s">
        <v>2309</v>
      </c>
      <c r="B685" t="s">
        <v>1353</v>
      </c>
      <c r="C685" t="s">
        <v>1354</v>
      </c>
      <c r="D685">
        <v>380</v>
      </c>
      <c r="E685">
        <v>0</v>
      </c>
      <c r="F685">
        <v>0</v>
      </c>
      <c r="G685" t="s">
        <v>324</v>
      </c>
    </row>
    <row r="686" spans="1:7" hidden="1" x14ac:dyDescent="0.25">
      <c r="A686" t="s">
        <v>2309</v>
      </c>
      <c r="B686" t="s">
        <v>1355</v>
      </c>
      <c r="C686" t="s">
        <v>1356</v>
      </c>
      <c r="D686" s="147">
        <v>3157</v>
      </c>
      <c r="E686">
        <v>0</v>
      </c>
      <c r="F686">
        <v>0</v>
      </c>
      <c r="G686" t="s">
        <v>324</v>
      </c>
    </row>
    <row r="687" spans="1:7" hidden="1" x14ac:dyDescent="0.25">
      <c r="A687" t="s">
        <v>2309</v>
      </c>
      <c r="B687" t="s">
        <v>1759</v>
      </c>
      <c r="C687" t="s">
        <v>1760</v>
      </c>
      <c r="D687" s="147">
        <v>8180</v>
      </c>
      <c r="E687">
        <v>0</v>
      </c>
      <c r="F687">
        <v>0</v>
      </c>
      <c r="G687" t="s">
        <v>324</v>
      </c>
    </row>
    <row r="688" spans="1:7" hidden="1" x14ac:dyDescent="0.25">
      <c r="A688" t="s">
        <v>2309</v>
      </c>
      <c r="B688" t="s">
        <v>1357</v>
      </c>
      <c r="C688" t="s">
        <v>1358</v>
      </c>
      <c r="D688">
        <v>20</v>
      </c>
      <c r="E688">
        <v>0</v>
      </c>
      <c r="F688">
        <v>0</v>
      </c>
      <c r="G688" t="s">
        <v>324</v>
      </c>
    </row>
    <row r="689" spans="1:7" hidden="1" x14ac:dyDescent="0.25">
      <c r="A689" t="s">
        <v>2309</v>
      </c>
      <c r="B689" t="s">
        <v>1359</v>
      </c>
      <c r="C689" t="s">
        <v>1360</v>
      </c>
      <c r="D689" s="147">
        <v>1505</v>
      </c>
      <c r="E689">
        <v>0</v>
      </c>
      <c r="F689">
        <v>0</v>
      </c>
      <c r="G689" t="s">
        <v>324</v>
      </c>
    </row>
    <row r="690" spans="1:7" hidden="1" x14ac:dyDescent="0.25">
      <c r="A690" t="s">
        <v>2309</v>
      </c>
      <c r="B690" t="s">
        <v>1361</v>
      </c>
      <c r="C690" t="s">
        <v>1362</v>
      </c>
      <c r="D690">
        <v>69</v>
      </c>
      <c r="E690">
        <v>0</v>
      </c>
      <c r="F690">
        <v>0</v>
      </c>
      <c r="G690" t="s">
        <v>324</v>
      </c>
    </row>
    <row r="691" spans="1:7" hidden="1" x14ac:dyDescent="0.25">
      <c r="A691" t="s">
        <v>2309</v>
      </c>
      <c r="B691" t="s">
        <v>1363</v>
      </c>
      <c r="C691" t="s">
        <v>1364</v>
      </c>
      <c r="D691" s="147">
        <v>4898</v>
      </c>
      <c r="E691">
        <v>0</v>
      </c>
      <c r="F691">
        <v>0</v>
      </c>
      <c r="G691" t="s">
        <v>324</v>
      </c>
    </row>
    <row r="692" spans="1:7" hidden="1" x14ac:dyDescent="0.25">
      <c r="A692" t="s">
        <v>2309</v>
      </c>
      <c r="B692" t="s">
        <v>1365</v>
      </c>
      <c r="C692" t="s">
        <v>1366</v>
      </c>
      <c r="D692">
        <v>300</v>
      </c>
      <c r="E692">
        <v>0</v>
      </c>
      <c r="F692">
        <v>0</v>
      </c>
      <c r="G692" t="s">
        <v>324</v>
      </c>
    </row>
    <row r="693" spans="1:7" hidden="1" x14ac:dyDescent="0.25">
      <c r="A693" t="s">
        <v>2309</v>
      </c>
      <c r="B693" t="s">
        <v>1367</v>
      </c>
      <c r="C693" t="s">
        <v>1368</v>
      </c>
      <c r="D693" s="147">
        <v>1051</v>
      </c>
      <c r="E693">
        <v>0</v>
      </c>
      <c r="F693">
        <v>0</v>
      </c>
      <c r="G693" t="s">
        <v>324</v>
      </c>
    </row>
    <row r="694" spans="1:7" hidden="1" x14ac:dyDescent="0.25">
      <c r="A694" t="s">
        <v>2309</v>
      </c>
      <c r="B694" t="s">
        <v>1369</v>
      </c>
      <c r="C694" t="s">
        <v>1370</v>
      </c>
      <c r="D694" s="147">
        <v>1932</v>
      </c>
      <c r="E694">
        <v>0</v>
      </c>
      <c r="F694">
        <v>0</v>
      </c>
      <c r="G694" t="s">
        <v>324</v>
      </c>
    </row>
    <row r="695" spans="1:7" hidden="1" x14ac:dyDescent="0.25">
      <c r="A695" t="s">
        <v>2309</v>
      </c>
      <c r="B695" t="s">
        <v>1839</v>
      </c>
      <c r="C695" t="s">
        <v>1840</v>
      </c>
      <c r="D695" s="147">
        <v>3481</v>
      </c>
      <c r="E695">
        <v>0</v>
      </c>
      <c r="F695">
        <v>0</v>
      </c>
      <c r="G695" t="s">
        <v>324</v>
      </c>
    </row>
    <row r="696" spans="1:7" hidden="1" x14ac:dyDescent="0.25">
      <c r="A696" t="s">
        <v>2309</v>
      </c>
      <c r="B696" t="s">
        <v>1371</v>
      </c>
      <c r="C696" t="s">
        <v>1372</v>
      </c>
      <c r="D696" s="147">
        <v>1215</v>
      </c>
      <c r="E696">
        <v>0</v>
      </c>
      <c r="F696">
        <v>0</v>
      </c>
      <c r="G696" t="s">
        <v>324</v>
      </c>
    </row>
    <row r="697" spans="1:7" hidden="1" x14ac:dyDescent="0.25">
      <c r="A697" t="s">
        <v>2309</v>
      </c>
      <c r="B697" t="s">
        <v>1373</v>
      </c>
      <c r="C697" t="s">
        <v>1374</v>
      </c>
      <c r="D697" s="147">
        <v>3838</v>
      </c>
      <c r="E697">
        <v>0</v>
      </c>
      <c r="F697">
        <v>0</v>
      </c>
      <c r="G697" t="s">
        <v>324</v>
      </c>
    </row>
    <row r="698" spans="1:7" hidden="1" x14ac:dyDescent="0.25">
      <c r="A698" t="s">
        <v>2309</v>
      </c>
      <c r="B698" t="s">
        <v>1375</v>
      </c>
      <c r="C698" t="s">
        <v>1953</v>
      </c>
      <c r="D698" s="147">
        <v>3677</v>
      </c>
      <c r="E698">
        <v>0</v>
      </c>
      <c r="F698">
        <v>0</v>
      </c>
      <c r="G698" t="s">
        <v>324</v>
      </c>
    </row>
    <row r="699" spans="1:7" hidden="1" x14ac:dyDescent="0.25">
      <c r="A699" t="s">
        <v>2309</v>
      </c>
      <c r="B699" t="s">
        <v>1376</v>
      </c>
      <c r="C699" t="s">
        <v>1834</v>
      </c>
      <c r="D699" s="147">
        <v>3110</v>
      </c>
      <c r="E699">
        <v>0</v>
      </c>
      <c r="F699">
        <v>0</v>
      </c>
      <c r="G699" t="s">
        <v>324</v>
      </c>
    </row>
    <row r="700" spans="1:7" hidden="1" x14ac:dyDescent="0.25">
      <c r="A700" t="s">
        <v>2309</v>
      </c>
      <c r="B700" t="s">
        <v>1377</v>
      </c>
      <c r="C700" t="s">
        <v>1378</v>
      </c>
      <c r="D700" s="147">
        <v>1672</v>
      </c>
      <c r="E700">
        <v>0</v>
      </c>
      <c r="F700">
        <v>0</v>
      </c>
      <c r="G700" t="s">
        <v>324</v>
      </c>
    </row>
    <row r="701" spans="1:7" hidden="1" x14ac:dyDescent="0.25">
      <c r="A701" t="s">
        <v>2309</v>
      </c>
      <c r="B701" t="s">
        <v>1379</v>
      </c>
      <c r="C701" t="s">
        <v>1380</v>
      </c>
      <c r="D701" s="147">
        <v>3420</v>
      </c>
      <c r="E701">
        <v>0</v>
      </c>
      <c r="F701">
        <v>0</v>
      </c>
      <c r="G701" t="s">
        <v>324</v>
      </c>
    </row>
    <row r="702" spans="1:7" hidden="1" x14ac:dyDescent="0.25">
      <c r="A702" t="s">
        <v>2309</v>
      </c>
      <c r="B702" t="s">
        <v>1381</v>
      </c>
      <c r="C702" t="s">
        <v>2004</v>
      </c>
      <c r="D702" s="147">
        <v>1584</v>
      </c>
      <c r="E702">
        <v>0</v>
      </c>
      <c r="F702">
        <v>0</v>
      </c>
      <c r="G702" t="s">
        <v>324</v>
      </c>
    </row>
    <row r="703" spans="1:7" hidden="1" x14ac:dyDescent="0.25">
      <c r="A703" t="s">
        <v>2309</v>
      </c>
      <c r="B703" t="s">
        <v>1382</v>
      </c>
      <c r="C703" t="s">
        <v>1383</v>
      </c>
      <c r="D703" s="147">
        <v>1804</v>
      </c>
      <c r="E703">
        <v>0</v>
      </c>
      <c r="F703">
        <v>0</v>
      </c>
      <c r="G703" t="s">
        <v>324</v>
      </c>
    </row>
    <row r="704" spans="1:7" hidden="1" x14ac:dyDescent="0.25">
      <c r="A704" t="s">
        <v>2309</v>
      </c>
      <c r="B704" t="s">
        <v>1384</v>
      </c>
      <c r="C704" t="s">
        <v>2005</v>
      </c>
      <c r="D704" s="147">
        <v>1409</v>
      </c>
      <c r="E704">
        <v>0</v>
      </c>
      <c r="F704">
        <v>0</v>
      </c>
      <c r="G704" t="s">
        <v>324</v>
      </c>
    </row>
    <row r="705" spans="1:7" hidden="1" x14ac:dyDescent="0.25">
      <c r="A705" t="s">
        <v>2309</v>
      </c>
      <c r="B705" t="s">
        <v>1724</v>
      </c>
      <c r="C705" t="s">
        <v>1725</v>
      </c>
      <c r="D705">
        <v>701</v>
      </c>
      <c r="E705">
        <v>0</v>
      </c>
      <c r="F705">
        <v>0</v>
      </c>
      <c r="G705" t="s">
        <v>324</v>
      </c>
    </row>
    <row r="706" spans="1:7" hidden="1" x14ac:dyDescent="0.25">
      <c r="A706" t="s">
        <v>2309</v>
      </c>
      <c r="B706" t="s">
        <v>1385</v>
      </c>
      <c r="C706" t="s">
        <v>1386</v>
      </c>
      <c r="D706" s="147">
        <v>2606</v>
      </c>
      <c r="E706">
        <v>0</v>
      </c>
      <c r="F706">
        <v>0</v>
      </c>
      <c r="G706" t="s">
        <v>324</v>
      </c>
    </row>
    <row r="707" spans="1:7" hidden="1" x14ac:dyDescent="0.25">
      <c r="A707" t="s">
        <v>2309</v>
      </c>
      <c r="B707" t="s">
        <v>1387</v>
      </c>
      <c r="C707" t="s">
        <v>1388</v>
      </c>
      <c r="D707" s="147">
        <v>1251</v>
      </c>
      <c r="E707">
        <v>0</v>
      </c>
      <c r="F707">
        <v>0</v>
      </c>
      <c r="G707" t="s">
        <v>324</v>
      </c>
    </row>
    <row r="708" spans="1:7" hidden="1" x14ac:dyDescent="0.25">
      <c r="A708" t="s">
        <v>2309</v>
      </c>
      <c r="B708" t="s">
        <v>1389</v>
      </c>
      <c r="C708" t="s">
        <v>1390</v>
      </c>
      <c r="D708" s="147">
        <v>1035</v>
      </c>
      <c r="E708">
        <v>0</v>
      </c>
      <c r="F708">
        <v>0</v>
      </c>
      <c r="G708" t="s">
        <v>324</v>
      </c>
    </row>
    <row r="709" spans="1:7" hidden="1" x14ac:dyDescent="0.25">
      <c r="A709" t="s">
        <v>2309</v>
      </c>
      <c r="B709" t="s">
        <v>1391</v>
      </c>
      <c r="C709" t="s">
        <v>1392</v>
      </c>
      <c r="D709" s="147">
        <v>1435</v>
      </c>
      <c r="E709">
        <v>0</v>
      </c>
      <c r="F709">
        <v>0</v>
      </c>
      <c r="G709" t="s">
        <v>324</v>
      </c>
    </row>
    <row r="710" spans="1:7" hidden="1" x14ac:dyDescent="0.25">
      <c r="A710" t="s">
        <v>2309</v>
      </c>
      <c r="B710" t="s">
        <v>1393</v>
      </c>
      <c r="C710" t="s">
        <v>2006</v>
      </c>
      <c r="D710">
        <v>972</v>
      </c>
      <c r="E710">
        <v>0</v>
      </c>
      <c r="F710">
        <v>0</v>
      </c>
      <c r="G710" t="s">
        <v>324</v>
      </c>
    </row>
    <row r="711" spans="1:7" hidden="1" x14ac:dyDescent="0.25">
      <c r="A711" t="s">
        <v>2309</v>
      </c>
      <c r="B711" t="s">
        <v>1394</v>
      </c>
      <c r="C711" t="s">
        <v>2007</v>
      </c>
      <c r="D711">
        <v>961</v>
      </c>
      <c r="E711">
        <v>0</v>
      </c>
      <c r="F711">
        <v>0</v>
      </c>
      <c r="G711" t="s">
        <v>324</v>
      </c>
    </row>
    <row r="712" spans="1:7" hidden="1" x14ac:dyDescent="0.25">
      <c r="A712" t="s">
        <v>2309</v>
      </c>
      <c r="B712" t="s">
        <v>1395</v>
      </c>
      <c r="C712" t="s">
        <v>1396</v>
      </c>
      <c r="D712" s="147">
        <v>7721</v>
      </c>
      <c r="E712">
        <v>0</v>
      </c>
      <c r="F712">
        <v>0</v>
      </c>
      <c r="G712" t="s">
        <v>324</v>
      </c>
    </row>
    <row r="713" spans="1:7" hidden="1" x14ac:dyDescent="0.25">
      <c r="A713" t="s">
        <v>2309</v>
      </c>
      <c r="B713" t="s">
        <v>1397</v>
      </c>
      <c r="C713" t="s">
        <v>1398</v>
      </c>
      <c r="D713" s="147">
        <v>2360</v>
      </c>
      <c r="E713">
        <v>0</v>
      </c>
      <c r="F713">
        <v>0</v>
      </c>
      <c r="G713" t="s">
        <v>324</v>
      </c>
    </row>
    <row r="714" spans="1:7" hidden="1" x14ac:dyDescent="0.25">
      <c r="A714" t="s">
        <v>2309</v>
      </c>
      <c r="B714" t="s">
        <v>1399</v>
      </c>
      <c r="C714" t="s">
        <v>1400</v>
      </c>
      <c r="D714" s="147">
        <v>4272</v>
      </c>
      <c r="E714">
        <v>0</v>
      </c>
      <c r="F714">
        <v>0</v>
      </c>
      <c r="G714" t="s">
        <v>324</v>
      </c>
    </row>
    <row r="715" spans="1:7" hidden="1" x14ac:dyDescent="0.25">
      <c r="A715" t="s">
        <v>2309</v>
      </c>
      <c r="B715" t="s">
        <v>1401</v>
      </c>
      <c r="C715" t="s">
        <v>1402</v>
      </c>
      <c r="D715" s="147">
        <v>11751</v>
      </c>
      <c r="E715">
        <v>0</v>
      </c>
      <c r="F715">
        <v>0</v>
      </c>
      <c r="G715" t="s">
        <v>324</v>
      </c>
    </row>
    <row r="716" spans="1:7" hidden="1" x14ac:dyDescent="0.25">
      <c r="A716" t="s">
        <v>2309</v>
      </c>
      <c r="B716" t="s">
        <v>2807</v>
      </c>
      <c r="C716" t="s">
        <v>2808</v>
      </c>
      <c r="D716" s="147">
        <v>1736</v>
      </c>
      <c r="E716">
        <v>0</v>
      </c>
      <c r="F716">
        <v>0</v>
      </c>
      <c r="G716" t="s">
        <v>324</v>
      </c>
    </row>
    <row r="717" spans="1:7" hidden="1" x14ac:dyDescent="0.25">
      <c r="A717" t="s">
        <v>2309</v>
      </c>
      <c r="B717" t="s">
        <v>1403</v>
      </c>
      <c r="C717" t="s">
        <v>1404</v>
      </c>
      <c r="D717" s="147">
        <v>4180</v>
      </c>
      <c r="E717">
        <v>0</v>
      </c>
      <c r="F717">
        <v>0</v>
      </c>
      <c r="G717" t="s">
        <v>324</v>
      </c>
    </row>
    <row r="718" spans="1:7" hidden="1" x14ac:dyDescent="0.25">
      <c r="A718" t="s">
        <v>2309</v>
      </c>
      <c r="B718" t="s">
        <v>1405</v>
      </c>
      <c r="C718" t="s">
        <v>1406</v>
      </c>
      <c r="D718" s="147">
        <v>1122</v>
      </c>
      <c r="E718">
        <v>0</v>
      </c>
      <c r="F718">
        <v>0</v>
      </c>
      <c r="G718" t="s">
        <v>324</v>
      </c>
    </row>
    <row r="719" spans="1:7" hidden="1" x14ac:dyDescent="0.25">
      <c r="A719" t="s">
        <v>2309</v>
      </c>
      <c r="B719" t="s">
        <v>1407</v>
      </c>
      <c r="C719" t="s">
        <v>1408</v>
      </c>
      <c r="D719">
        <v>818</v>
      </c>
      <c r="E719">
        <v>0</v>
      </c>
      <c r="F719">
        <v>0</v>
      </c>
      <c r="G719" t="s">
        <v>324</v>
      </c>
    </row>
    <row r="720" spans="1:7" hidden="1" x14ac:dyDescent="0.25">
      <c r="A720" t="s">
        <v>2309</v>
      </c>
      <c r="B720" t="s">
        <v>1409</v>
      </c>
      <c r="C720" t="s">
        <v>2008</v>
      </c>
      <c r="D720" s="147">
        <v>1486</v>
      </c>
      <c r="E720">
        <v>0</v>
      </c>
      <c r="F720">
        <v>0</v>
      </c>
      <c r="G720" t="s">
        <v>324</v>
      </c>
    </row>
    <row r="721" spans="1:7" hidden="1" x14ac:dyDescent="0.25">
      <c r="A721" t="s">
        <v>2309</v>
      </c>
      <c r="B721" t="s">
        <v>1410</v>
      </c>
      <c r="C721" t="s">
        <v>1411</v>
      </c>
      <c r="D721" s="147">
        <v>2169</v>
      </c>
      <c r="E721">
        <v>0</v>
      </c>
      <c r="F721">
        <v>0</v>
      </c>
      <c r="G721" t="s">
        <v>324</v>
      </c>
    </row>
    <row r="722" spans="1:7" hidden="1" x14ac:dyDescent="0.25">
      <c r="A722" t="s">
        <v>2309</v>
      </c>
      <c r="B722" t="s">
        <v>1412</v>
      </c>
      <c r="C722" t="s">
        <v>1413</v>
      </c>
      <c r="D722" s="147">
        <v>2347</v>
      </c>
      <c r="E722">
        <v>0</v>
      </c>
      <c r="F722">
        <v>0</v>
      </c>
      <c r="G722" t="s">
        <v>324</v>
      </c>
    </row>
    <row r="723" spans="1:7" hidden="1" x14ac:dyDescent="0.25">
      <c r="A723" t="s">
        <v>2309</v>
      </c>
      <c r="B723" t="s">
        <v>1414</v>
      </c>
      <c r="C723" t="s">
        <v>1415</v>
      </c>
      <c r="D723" s="147">
        <v>2241</v>
      </c>
      <c r="E723">
        <v>0</v>
      </c>
      <c r="F723">
        <v>0</v>
      </c>
      <c r="G723" t="s">
        <v>324</v>
      </c>
    </row>
    <row r="724" spans="1:7" hidden="1" x14ac:dyDescent="0.25">
      <c r="A724" t="s">
        <v>2309</v>
      </c>
      <c r="B724" t="s">
        <v>1416</v>
      </c>
      <c r="C724" t="s">
        <v>1417</v>
      </c>
      <c r="D724" s="147">
        <v>2368</v>
      </c>
      <c r="E724">
        <v>0</v>
      </c>
      <c r="F724">
        <v>0</v>
      </c>
      <c r="G724" t="s">
        <v>324</v>
      </c>
    </row>
    <row r="725" spans="1:7" hidden="1" x14ac:dyDescent="0.25">
      <c r="A725" t="s">
        <v>2309</v>
      </c>
      <c r="B725" t="s">
        <v>1418</v>
      </c>
      <c r="C725" t="s">
        <v>1419</v>
      </c>
      <c r="D725" s="147">
        <v>2408</v>
      </c>
      <c r="E725">
        <v>0</v>
      </c>
      <c r="F725">
        <v>0</v>
      </c>
      <c r="G725" t="s">
        <v>324</v>
      </c>
    </row>
    <row r="726" spans="1:7" hidden="1" x14ac:dyDescent="0.25">
      <c r="A726" t="s">
        <v>2309</v>
      </c>
      <c r="B726" t="s">
        <v>1420</v>
      </c>
      <c r="C726" t="s">
        <v>1421</v>
      </c>
      <c r="D726" s="147">
        <v>8094</v>
      </c>
      <c r="E726">
        <v>0</v>
      </c>
      <c r="F726">
        <v>0</v>
      </c>
      <c r="G726" t="s">
        <v>324</v>
      </c>
    </row>
    <row r="727" spans="1:7" x14ac:dyDescent="0.25">
      <c r="A727" t="s">
        <v>2309</v>
      </c>
      <c r="B727" t="s">
        <v>1422</v>
      </c>
      <c r="C727" t="s">
        <v>1423</v>
      </c>
      <c r="D727">
        <v>586</v>
      </c>
      <c r="E727">
        <v>0</v>
      </c>
      <c r="F727">
        <v>0</v>
      </c>
      <c r="G727" t="s">
        <v>324</v>
      </c>
    </row>
    <row r="728" spans="1:7" hidden="1" x14ac:dyDescent="0.25">
      <c r="A728" t="s">
        <v>2309</v>
      </c>
      <c r="B728" t="s">
        <v>1424</v>
      </c>
      <c r="C728" t="s">
        <v>2009</v>
      </c>
      <c r="D728" s="147">
        <v>1752</v>
      </c>
      <c r="E728">
        <v>0</v>
      </c>
      <c r="F728">
        <v>0</v>
      </c>
      <c r="G728" t="s">
        <v>324</v>
      </c>
    </row>
    <row r="729" spans="1:7" hidden="1" x14ac:dyDescent="0.25">
      <c r="A729" t="s">
        <v>2309</v>
      </c>
      <c r="B729" t="s">
        <v>1425</v>
      </c>
      <c r="C729" t="s">
        <v>2010</v>
      </c>
      <c r="D729" s="147">
        <v>1933</v>
      </c>
      <c r="E729">
        <v>0</v>
      </c>
      <c r="F729">
        <v>0</v>
      </c>
      <c r="G729" t="s">
        <v>324</v>
      </c>
    </row>
    <row r="730" spans="1:7" hidden="1" x14ac:dyDescent="0.25">
      <c r="A730" t="s">
        <v>2309</v>
      </c>
      <c r="B730" t="s">
        <v>1426</v>
      </c>
      <c r="C730" t="s">
        <v>1902</v>
      </c>
      <c r="D730" s="147">
        <v>1353</v>
      </c>
      <c r="E730">
        <v>0</v>
      </c>
      <c r="F730">
        <v>0</v>
      </c>
      <c r="G730" t="s">
        <v>324</v>
      </c>
    </row>
    <row r="731" spans="1:7" hidden="1" x14ac:dyDescent="0.25">
      <c r="A731" t="s">
        <v>2309</v>
      </c>
      <c r="B731" t="s">
        <v>1427</v>
      </c>
      <c r="C731" t="s">
        <v>1428</v>
      </c>
      <c r="D731" s="147">
        <v>1722</v>
      </c>
      <c r="E731">
        <v>0</v>
      </c>
      <c r="F731">
        <v>0</v>
      </c>
      <c r="G731" t="s">
        <v>324</v>
      </c>
    </row>
    <row r="732" spans="1:7" hidden="1" x14ac:dyDescent="0.25">
      <c r="A732" t="s">
        <v>2309</v>
      </c>
      <c r="B732" t="s">
        <v>1429</v>
      </c>
      <c r="C732" t="s">
        <v>1430</v>
      </c>
      <c r="D732" s="147">
        <v>2072</v>
      </c>
      <c r="E732">
        <v>0</v>
      </c>
      <c r="F732">
        <v>0</v>
      </c>
      <c r="G732" t="s">
        <v>324</v>
      </c>
    </row>
    <row r="733" spans="1:7" hidden="1" x14ac:dyDescent="0.25">
      <c r="A733" t="s">
        <v>2309</v>
      </c>
      <c r="B733" t="s">
        <v>1431</v>
      </c>
      <c r="C733" t="s">
        <v>1432</v>
      </c>
      <c r="D733" s="147">
        <v>1712</v>
      </c>
      <c r="E733">
        <v>0</v>
      </c>
      <c r="F733">
        <v>0</v>
      </c>
      <c r="G733" t="s">
        <v>324</v>
      </c>
    </row>
    <row r="734" spans="1:7" hidden="1" x14ac:dyDescent="0.25">
      <c r="A734" t="s">
        <v>2309</v>
      </c>
      <c r="B734" t="s">
        <v>1433</v>
      </c>
      <c r="C734" t="s">
        <v>1434</v>
      </c>
      <c r="D734" s="147">
        <v>5611</v>
      </c>
      <c r="E734">
        <v>0</v>
      </c>
      <c r="F734">
        <v>0</v>
      </c>
      <c r="G734" t="s">
        <v>324</v>
      </c>
    </row>
    <row r="735" spans="1:7" hidden="1" x14ac:dyDescent="0.25">
      <c r="A735" t="s">
        <v>2309</v>
      </c>
      <c r="B735" t="s">
        <v>1435</v>
      </c>
      <c r="C735" t="s">
        <v>1926</v>
      </c>
      <c r="D735" s="147">
        <v>2449</v>
      </c>
      <c r="E735">
        <v>0</v>
      </c>
      <c r="F735">
        <v>0</v>
      </c>
      <c r="G735" t="s">
        <v>324</v>
      </c>
    </row>
    <row r="736" spans="1:7" hidden="1" x14ac:dyDescent="0.25">
      <c r="A736" t="s">
        <v>2309</v>
      </c>
      <c r="B736" t="s">
        <v>1436</v>
      </c>
      <c r="C736" t="s">
        <v>1925</v>
      </c>
      <c r="D736" s="147">
        <v>2641</v>
      </c>
      <c r="E736">
        <v>0</v>
      </c>
      <c r="F736">
        <v>0</v>
      </c>
      <c r="G736" t="s">
        <v>324</v>
      </c>
    </row>
    <row r="737" spans="1:7" hidden="1" x14ac:dyDescent="0.25">
      <c r="A737" t="s">
        <v>2309</v>
      </c>
      <c r="B737" t="s">
        <v>1437</v>
      </c>
      <c r="C737" t="s">
        <v>1906</v>
      </c>
      <c r="D737" s="147">
        <v>1485</v>
      </c>
      <c r="E737">
        <v>0</v>
      </c>
      <c r="F737">
        <v>0</v>
      </c>
      <c r="G737" t="s">
        <v>324</v>
      </c>
    </row>
    <row r="738" spans="1:7" hidden="1" x14ac:dyDescent="0.25">
      <c r="A738" t="s">
        <v>2309</v>
      </c>
      <c r="B738" t="s">
        <v>1438</v>
      </c>
      <c r="C738" t="s">
        <v>1439</v>
      </c>
      <c r="D738" s="147">
        <v>1518</v>
      </c>
      <c r="E738">
        <v>0</v>
      </c>
      <c r="F738">
        <v>0</v>
      </c>
      <c r="G738" t="s">
        <v>324</v>
      </c>
    </row>
    <row r="739" spans="1:7" hidden="1" x14ac:dyDescent="0.25">
      <c r="A739" t="s">
        <v>2309</v>
      </c>
      <c r="B739" t="s">
        <v>1440</v>
      </c>
      <c r="C739" t="s">
        <v>1441</v>
      </c>
      <c r="D739">
        <v>912</v>
      </c>
      <c r="E739">
        <v>0</v>
      </c>
      <c r="F739">
        <v>0</v>
      </c>
      <c r="G739" t="s">
        <v>324</v>
      </c>
    </row>
    <row r="740" spans="1:7" hidden="1" x14ac:dyDescent="0.25">
      <c r="A740" t="s">
        <v>2309</v>
      </c>
      <c r="B740" t="s">
        <v>1442</v>
      </c>
      <c r="C740" t="s">
        <v>1443</v>
      </c>
      <c r="D740">
        <v>820</v>
      </c>
      <c r="E740">
        <v>0</v>
      </c>
      <c r="F740">
        <v>0</v>
      </c>
      <c r="G740" t="s">
        <v>324</v>
      </c>
    </row>
    <row r="741" spans="1:7" hidden="1" x14ac:dyDescent="0.25">
      <c r="A741" t="s">
        <v>2309</v>
      </c>
      <c r="B741" t="s">
        <v>1444</v>
      </c>
      <c r="C741" t="s">
        <v>1445</v>
      </c>
      <c r="D741" s="147">
        <v>4809</v>
      </c>
      <c r="E741">
        <v>0</v>
      </c>
      <c r="F741">
        <v>0</v>
      </c>
      <c r="G741" t="s">
        <v>324</v>
      </c>
    </row>
    <row r="742" spans="1:7" hidden="1" x14ac:dyDescent="0.25">
      <c r="A742" t="s">
        <v>2309</v>
      </c>
      <c r="B742" t="s">
        <v>1446</v>
      </c>
      <c r="C742" t="s">
        <v>1447</v>
      </c>
      <c r="D742" s="147">
        <v>1098</v>
      </c>
      <c r="E742">
        <v>0</v>
      </c>
      <c r="F742">
        <v>0</v>
      </c>
      <c r="G742" t="s">
        <v>324</v>
      </c>
    </row>
    <row r="743" spans="1:7" hidden="1" x14ac:dyDescent="0.25">
      <c r="A743" t="s">
        <v>2309</v>
      </c>
      <c r="B743" t="s">
        <v>2809</v>
      </c>
      <c r="C743" t="s">
        <v>2810</v>
      </c>
      <c r="D743">
        <v>494</v>
      </c>
      <c r="E743">
        <v>0</v>
      </c>
      <c r="F743">
        <v>0</v>
      </c>
      <c r="G743" t="s">
        <v>324</v>
      </c>
    </row>
    <row r="744" spans="1:7" hidden="1" x14ac:dyDescent="0.25">
      <c r="A744" t="s">
        <v>2309</v>
      </c>
      <c r="B744" t="s">
        <v>1448</v>
      </c>
      <c r="C744" t="s">
        <v>2011</v>
      </c>
      <c r="D744">
        <v>527</v>
      </c>
      <c r="E744">
        <v>0</v>
      </c>
      <c r="F744">
        <v>0</v>
      </c>
      <c r="G744" t="s">
        <v>324</v>
      </c>
    </row>
    <row r="745" spans="1:7" hidden="1" x14ac:dyDescent="0.25">
      <c r="A745" t="s">
        <v>2309</v>
      </c>
      <c r="B745" t="s">
        <v>1449</v>
      </c>
      <c r="C745" t="s">
        <v>1450</v>
      </c>
      <c r="D745">
        <v>150</v>
      </c>
      <c r="E745">
        <v>0</v>
      </c>
      <c r="F745">
        <v>0</v>
      </c>
      <c r="G745" t="s">
        <v>324</v>
      </c>
    </row>
    <row r="746" spans="1:7" hidden="1" x14ac:dyDescent="0.25">
      <c r="A746" t="s">
        <v>2309</v>
      </c>
      <c r="B746" t="s">
        <v>1451</v>
      </c>
      <c r="C746" t="s">
        <v>2012</v>
      </c>
      <c r="D746" s="147">
        <v>8828</v>
      </c>
      <c r="E746">
        <v>0</v>
      </c>
      <c r="F746">
        <v>0</v>
      </c>
      <c r="G746" t="s">
        <v>324</v>
      </c>
    </row>
    <row r="747" spans="1:7" hidden="1" x14ac:dyDescent="0.25">
      <c r="A747" t="s">
        <v>2309</v>
      </c>
      <c r="B747" t="s">
        <v>1452</v>
      </c>
      <c r="C747" t="s">
        <v>1453</v>
      </c>
      <c r="D747" s="147">
        <v>1246</v>
      </c>
      <c r="E747">
        <v>0</v>
      </c>
      <c r="F747">
        <v>0</v>
      </c>
      <c r="G747" t="s">
        <v>324</v>
      </c>
    </row>
    <row r="748" spans="1:7" hidden="1" x14ac:dyDescent="0.25">
      <c r="A748" t="s">
        <v>2309</v>
      </c>
      <c r="B748" t="s">
        <v>1454</v>
      </c>
      <c r="C748" t="s">
        <v>2013</v>
      </c>
      <c r="D748" s="147">
        <v>1942</v>
      </c>
      <c r="E748">
        <v>0</v>
      </c>
      <c r="F748">
        <v>0</v>
      </c>
      <c r="G748" t="s">
        <v>324</v>
      </c>
    </row>
    <row r="749" spans="1:7" hidden="1" x14ac:dyDescent="0.25">
      <c r="A749" t="s">
        <v>2309</v>
      </c>
      <c r="B749" t="s">
        <v>2970</v>
      </c>
      <c r="C749" t="s">
        <v>2971</v>
      </c>
      <c r="D749" s="147">
        <v>2011</v>
      </c>
      <c r="E749">
        <v>0</v>
      </c>
      <c r="F749">
        <v>0</v>
      </c>
      <c r="G749" t="s">
        <v>324</v>
      </c>
    </row>
    <row r="750" spans="1:7" hidden="1" x14ac:dyDescent="0.25">
      <c r="A750" t="s">
        <v>2309</v>
      </c>
      <c r="B750" t="s">
        <v>1726</v>
      </c>
      <c r="C750" t="s">
        <v>1727</v>
      </c>
      <c r="D750">
        <v>909</v>
      </c>
      <c r="E750">
        <v>0</v>
      </c>
      <c r="F750">
        <v>0</v>
      </c>
      <c r="G750" t="s">
        <v>324</v>
      </c>
    </row>
    <row r="751" spans="1:7" hidden="1" x14ac:dyDescent="0.25">
      <c r="A751" t="s">
        <v>2309</v>
      </c>
      <c r="B751" t="s">
        <v>1455</v>
      </c>
      <c r="C751" t="s">
        <v>1456</v>
      </c>
      <c r="D751" s="147">
        <v>1852</v>
      </c>
      <c r="E751">
        <v>0</v>
      </c>
      <c r="F751">
        <v>0</v>
      </c>
      <c r="G751" t="s">
        <v>324</v>
      </c>
    </row>
    <row r="752" spans="1:7" hidden="1" x14ac:dyDescent="0.25">
      <c r="A752" t="s">
        <v>2309</v>
      </c>
      <c r="B752" t="s">
        <v>1777</v>
      </c>
      <c r="C752" t="s">
        <v>1778</v>
      </c>
      <c r="D752" s="147">
        <v>11857</v>
      </c>
      <c r="E752">
        <v>0</v>
      </c>
      <c r="F752">
        <v>0</v>
      </c>
      <c r="G752" t="s">
        <v>324</v>
      </c>
    </row>
    <row r="753" spans="1:7" hidden="1" x14ac:dyDescent="0.25">
      <c r="A753" t="s">
        <v>2309</v>
      </c>
      <c r="B753" t="s">
        <v>1457</v>
      </c>
      <c r="C753" t="s">
        <v>1821</v>
      </c>
      <c r="D753">
        <v>680</v>
      </c>
      <c r="E753">
        <v>0</v>
      </c>
      <c r="F753">
        <v>0</v>
      </c>
      <c r="G753" t="s">
        <v>324</v>
      </c>
    </row>
    <row r="754" spans="1:7" hidden="1" x14ac:dyDescent="0.25">
      <c r="A754" t="s">
        <v>2309</v>
      </c>
      <c r="B754" t="s">
        <v>1458</v>
      </c>
      <c r="C754" t="s">
        <v>1459</v>
      </c>
      <c r="D754" s="147">
        <v>8019</v>
      </c>
      <c r="E754">
        <v>0</v>
      </c>
      <c r="F754">
        <v>0</v>
      </c>
      <c r="G754" t="s">
        <v>324</v>
      </c>
    </row>
    <row r="755" spans="1:7" hidden="1" x14ac:dyDescent="0.25">
      <c r="A755" t="s">
        <v>2309</v>
      </c>
      <c r="B755" t="s">
        <v>1460</v>
      </c>
      <c r="C755" t="s">
        <v>1461</v>
      </c>
      <c r="D755" s="147">
        <v>1144</v>
      </c>
      <c r="E755">
        <v>0</v>
      </c>
      <c r="F755">
        <v>0</v>
      </c>
      <c r="G755" t="s">
        <v>324</v>
      </c>
    </row>
    <row r="756" spans="1:7" hidden="1" x14ac:dyDescent="0.25">
      <c r="A756" t="s">
        <v>2309</v>
      </c>
      <c r="B756" t="s">
        <v>1462</v>
      </c>
      <c r="C756" t="s">
        <v>1463</v>
      </c>
      <c r="D756" s="147">
        <v>1700</v>
      </c>
      <c r="E756">
        <v>0</v>
      </c>
      <c r="F756">
        <v>0</v>
      </c>
      <c r="G756" t="s">
        <v>324</v>
      </c>
    </row>
    <row r="757" spans="1:7" hidden="1" x14ac:dyDescent="0.25">
      <c r="A757" t="s">
        <v>2309</v>
      </c>
      <c r="B757" t="s">
        <v>1819</v>
      </c>
      <c r="C757" t="s">
        <v>1820</v>
      </c>
      <c r="D757" s="147">
        <v>1613</v>
      </c>
      <c r="E757">
        <v>0</v>
      </c>
      <c r="F757">
        <v>0</v>
      </c>
      <c r="G757" t="s">
        <v>324</v>
      </c>
    </row>
    <row r="758" spans="1:7" hidden="1" x14ac:dyDescent="0.25">
      <c r="A758" t="s">
        <v>2309</v>
      </c>
      <c r="B758" t="s">
        <v>1464</v>
      </c>
      <c r="C758" t="s">
        <v>1465</v>
      </c>
      <c r="D758">
        <v>726</v>
      </c>
      <c r="E758">
        <v>0</v>
      </c>
      <c r="F758">
        <v>0</v>
      </c>
      <c r="G758" t="s">
        <v>324</v>
      </c>
    </row>
    <row r="759" spans="1:7" hidden="1" x14ac:dyDescent="0.25">
      <c r="A759" t="s">
        <v>2309</v>
      </c>
      <c r="B759" t="s">
        <v>2972</v>
      </c>
      <c r="C759" t="s">
        <v>2973</v>
      </c>
      <c r="D759" s="147">
        <v>13091</v>
      </c>
      <c r="E759">
        <v>0</v>
      </c>
      <c r="F759">
        <v>0</v>
      </c>
      <c r="G759" t="s">
        <v>324</v>
      </c>
    </row>
    <row r="760" spans="1:7" hidden="1" x14ac:dyDescent="0.25">
      <c r="A760" t="s">
        <v>2309</v>
      </c>
      <c r="B760" t="s">
        <v>1728</v>
      </c>
      <c r="C760" t="s">
        <v>1918</v>
      </c>
      <c r="D760" s="147">
        <v>4713</v>
      </c>
      <c r="E760">
        <v>0</v>
      </c>
      <c r="F760">
        <v>0</v>
      </c>
      <c r="G760" t="s">
        <v>324</v>
      </c>
    </row>
    <row r="761" spans="1:7" hidden="1" x14ac:dyDescent="0.25">
      <c r="A761" t="s">
        <v>2309</v>
      </c>
      <c r="B761" t="s">
        <v>1466</v>
      </c>
      <c r="C761" t="s">
        <v>1467</v>
      </c>
      <c r="D761" s="147">
        <v>8500</v>
      </c>
      <c r="E761">
        <v>0</v>
      </c>
      <c r="F761">
        <v>0</v>
      </c>
      <c r="G761" t="s">
        <v>324</v>
      </c>
    </row>
    <row r="762" spans="1:7" hidden="1" x14ac:dyDescent="0.25">
      <c r="A762" t="s">
        <v>2309</v>
      </c>
      <c r="B762" t="s">
        <v>1468</v>
      </c>
      <c r="C762" t="s">
        <v>1469</v>
      </c>
      <c r="D762" s="147">
        <v>1545</v>
      </c>
      <c r="E762">
        <v>0</v>
      </c>
      <c r="F762">
        <v>0</v>
      </c>
      <c r="G762" t="s">
        <v>324</v>
      </c>
    </row>
    <row r="763" spans="1:7" hidden="1" x14ac:dyDescent="0.25">
      <c r="A763" t="s">
        <v>2309</v>
      </c>
      <c r="B763" t="s">
        <v>1470</v>
      </c>
      <c r="C763" t="s">
        <v>1471</v>
      </c>
      <c r="D763" s="147">
        <v>3414</v>
      </c>
      <c r="E763">
        <v>0</v>
      </c>
      <c r="F763">
        <v>0</v>
      </c>
      <c r="G763" t="s">
        <v>324</v>
      </c>
    </row>
    <row r="764" spans="1:7" hidden="1" x14ac:dyDescent="0.25">
      <c r="A764" t="s">
        <v>2309</v>
      </c>
      <c r="B764" t="s">
        <v>1472</v>
      </c>
      <c r="C764" t="s">
        <v>1473</v>
      </c>
      <c r="D764" s="147">
        <v>5289</v>
      </c>
      <c r="E764">
        <v>0</v>
      </c>
      <c r="F764">
        <v>0</v>
      </c>
      <c r="G764" t="s">
        <v>324</v>
      </c>
    </row>
    <row r="765" spans="1:7" hidden="1" x14ac:dyDescent="0.25">
      <c r="A765" t="s">
        <v>2309</v>
      </c>
      <c r="B765" t="s">
        <v>1474</v>
      </c>
      <c r="C765" t="s">
        <v>1475</v>
      </c>
      <c r="D765" s="147">
        <v>3080</v>
      </c>
      <c r="E765">
        <v>0</v>
      </c>
      <c r="F765">
        <v>0</v>
      </c>
      <c r="G765" t="s">
        <v>324</v>
      </c>
    </row>
    <row r="766" spans="1:7" hidden="1" x14ac:dyDescent="0.25">
      <c r="A766" t="s">
        <v>2309</v>
      </c>
      <c r="B766" t="s">
        <v>1476</v>
      </c>
      <c r="C766" t="s">
        <v>1477</v>
      </c>
      <c r="D766">
        <v>298</v>
      </c>
      <c r="E766">
        <v>0</v>
      </c>
      <c r="F766">
        <v>0</v>
      </c>
      <c r="G766" t="s">
        <v>324</v>
      </c>
    </row>
    <row r="767" spans="1:7" hidden="1" x14ac:dyDescent="0.25">
      <c r="A767" t="s">
        <v>2309</v>
      </c>
      <c r="B767" t="s">
        <v>1478</v>
      </c>
      <c r="C767" t="s">
        <v>1479</v>
      </c>
      <c r="D767" s="147">
        <v>1003</v>
      </c>
      <c r="E767">
        <v>0</v>
      </c>
      <c r="F767">
        <v>0</v>
      </c>
      <c r="G767" t="s">
        <v>324</v>
      </c>
    </row>
    <row r="768" spans="1:7" hidden="1" x14ac:dyDescent="0.25">
      <c r="A768" t="s">
        <v>2309</v>
      </c>
      <c r="B768" t="s">
        <v>1480</v>
      </c>
      <c r="C768" t="s">
        <v>1481</v>
      </c>
      <c r="D768" s="147">
        <v>5807</v>
      </c>
      <c r="E768">
        <v>0</v>
      </c>
      <c r="F768">
        <v>0</v>
      </c>
      <c r="G768" t="s">
        <v>324</v>
      </c>
    </row>
    <row r="769" spans="1:7" hidden="1" x14ac:dyDescent="0.25">
      <c r="A769" t="s">
        <v>2309</v>
      </c>
      <c r="B769" t="s">
        <v>1482</v>
      </c>
      <c r="C769" t="s">
        <v>1483</v>
      </c>
      <c r="D769" s="147">
        <v>3093</v>
      </c>
      <c r="E769">
        <v>0</v>
      </c>
      <c r="F769">
        <v>0</v>
      </c>
      <c r="G769" t="s">
        <v>324</v>
      </c>
    </row>
    <row r="770" spans="1:7" hidden="1" x14ac:dyDescent="0.25">
      <c r="A770" t="s">
        <v>2309</v>
      </c>
      <c r="B770" t="s">
        <v>1484</v>
      </c>
      <c r="C770" t="s">
        <v>1485</v>
      </c>
      <c r="D770">
        <v>466</v>
      </c>
      <c r="E770">
        <v>0</v>
      </c>
      <c r="F770">
        <v>0</v>
      </c>
      <c r="G770" t="s">
        <v>324</v>
      </c>
    </row>
    <row r="771" spans="1:7" hidden="1" x14ac:dyDescent="0.25">
      <c r="A771" t="s">
        <v>2309</v>
      </c>
      <c r="B771" t="s">
        <v>1486</v>
      </c>
      <c r="C771" t="s">
        <v>1487</v>
      </c>
      <c r="D771">
        <v>550</v>
      </c>
      <c r="E771">
        <v>0</v>
      </c>
      <c r="F771">
        <v>0</v>
      </c>
      <c r="G771" t="s">
        <v>324</v>
      </c>
    </row>
    <row r="772" spans="1:7" hidden="1" x14ac:dyDescent="0.25">
      <c r="A772" t="s">
        <v>2309</v>
      </c>
      <c r="B772" t="s">
        <v>1488</v>
      </c>
      <c r="C772" t="s">
        <v>1489</v>
      </c>
      <c r="D772" s="147">
        <v>3647</v>
      </c>
      <c r="E772">
        <v>0</v>
      </c>
      <c r="F772">
        <v>0</v>
      </c>
      <c r="G772" t="s">
        <v>324</v>
      </c>
    </row>
    <row r="773" spans="1:7" hidden="1" x14ac:dyDescent="0.25">
      <c r="A773" t="s">
        <v>2309</v>
      </c>
      <c r="B773" t="s">
        <v>1490</v>
      </c>
      <c r="C773" t="s">
        <v>1814</v>
      </c>
      <c r="D773" s="147">
        <v>1445</v>
      </c>
      <c r="E773">
        <v>0</v>
      </c>
      <c r="F773">
        <v>0</v>
      </c>
      <c r="G773" t="s">
        <v>324</v>
      </c>
    </row>
    <row r="774" spans="1:7" hidden="1" x14ac:dyDescent="0.25">
      <c r="A774" t="s">
        <v>2309</v>
      </c>
      <c r="B774" t="s">
        <v>1491</v>
      </c>
      <c r="C774" t="s">
        <v>1492</v>
      </c>
      <c r="D774" s="147">
        <v>11555</v>
      </c>
      <c r="E774">
        <v>0</v>
      </c>
      <c r="F774">
        <v>0</v>
      </c>
      <c r="G774" t="s">
        <v>324</v>
      </c>
    </row>
    <row r="775" spans="1:7" hidden="1" x14ac:dyDescent="0.25">
      <c r="A775" t="s">
        <v>2309</v>
      </c>
      <c r="B775" t="s">
        <v>1493</v>
      </c>
      <c r="C775" t="s">
        <v>1494</v>
      </c>
      <c r="D775" s="147">
        <v>13807</v>
      </c>
      <c r="E775">
        <v>0</v>
      </c>
      <c r="F775">
        <v>0</v>
      </c>
      <c r="G775" t="s">
        <v>324</v>
      </c>
    </row>
    <row r="776" spans="1:7" hidden="1" x14ac:dyDescent="0.25">
      <c r="A776" t="s">
        <v>2309</v>
      </c>
      <c r="B776" t="s">
        <v>1495</v>
      </c>
      <c r="C776" t="s">
        <v>1496</v>
      </c>
      <c r="D776">
        <v>706</v>
      </c>
      <c r="E776">
        <v>0</v>
      </c>
      <c r="F776">
        <v>0</v>
      </c>
      <c r="G776" t="s">
        <v>324</v>
      </c>
    </row>
    <row r="777" spans="1:7" hidden="1" x14ac:dyDescent="0.25">
      <c r="A777" t="s">
        <v>2309</v>
      </c>
      <c r="B777" t="s">
        <v>1497</v>
      </c>
      <c r="C777" t="s">
        <v>1498</v>
      </c>
      <c r="D777" s="147">
        <v>5767</v>
      </c>
      <c r="E777">
        <v>0</v>
      </c>
      <c r="F777">
        <v>0</v>
      </c>
      <c r="G777" t="s">
        <v>324</v>
      </c>
    </row>
    <row r="778" spans="1:7" hidden="1" x14ac:dyDescent="0.25">
      <c r="A778" t="s">
        <v>2309</v>
      </c>
      <c r="B778" t="s">
        <v>1845</v>
      </c>
      <c r="C778" t="s">
        <v>1846</v>
      </c>
      <c r="D778" s="147">
        <v>2180</v>
      </c>
      <c r="E778">
        <v>0</v>
      </c>
      <c r="F778">
        <v>0</v>
      </c>
      <c r="G778" t="s">
        <v>324</v>
      </c>
    </row>
    <row r="779" spans="1:7" hidden="1" x14ac:dyDescent="0.25">
      <c r="A779" t="s">
        <v>2309</v>
      </c>
      <c r="B779" t="s">
        <v>1499</v>
      </c>
      <c r="C779" t="s">
        <v>1500</v>
      </c>
      <c r="D779" s="147">
        <v>2547</v>
      </c>
      <c r="E779">
        <v>0</v>
      </c>
      <c r="F779">
        <v>0</v>
      </c>
      <c r="G779" t="s">
        <v>324</v>
      </c>
    </row>
    <row r="780" spans="1:7" hidden="1" x14ac:dyDescent="0.25">
      <c r="A780" t="s">
        <v>2309</v>
      </c>
      <c r="B780" t="s">
        <v>1502</v>
      </c>
      <c r="C780" t="s">
        <v>1503</v>
      </c>
      <c r="D780" s="147">
        <v>1500</v>
      </c>
      <c r="E780">
        <v>0</v>
      </c>
      <c r="F780">
        <v>0</v>
      </c>
      <c r="G780" t="s">
        <v>324</v>
      </c>
    </row>
    <row r="781" spans="1:7" hidden="1" x14ac:dyDescent="0.25">
      <c r="A781" t="s">
        <v>2309</v>
      </c>
      <c r="B781" t="s">
        <v>2811</v>
      </c>
      <c r="C781" t="s">
        <v>2812</v>
      </c>
      <c r="D781" s="147">
        <v>7000</v>
      </c>
      <c r="E781">
        <v>0</v>
      </c>
      <c r="F781">
        <v>0</v>
      </c>
      <c r="G781" t="s">
        <v>324</v>
      </c>
    </row>
    <row r="782" spans="1:7" hidden="1" x14ac:dyDescent="0.25">
      <c r="A782" t="s">
        <v>2309</v>
      </c>
      <c r="B782" t="s">
        <v>2813</v>
      </c>
      <c r="C782" t="s">
        <v>2814</v>
      </c>
      <c r="D782" s="147">
        <v>3500</v>
      </c>
      <c r="E782">
        <v>0</v>
      </c>
      <c r="F782">
        <v>0</v>
      </c>
      <c r="G782" t="s">
        <v>324</v>
      </c>
    </row>
    <row r="783" spans="1:7" hidden="1" x14ac:dyDescent="0.25">
      <c r="A783" t="s">
        <v>2309</v>
      </c>
      <c r="B783" t="s">
        <v>2815</v>
      </c>
      <c r="C783" t="s">
        <v>2816</v>
      </c>
      <c r="D783" s="147">
        <v>48595</v>
      </c>
      <c r="E783">
        <v>0</v>
      </c>
      <c r="F783">
        <v>0</v>
      </c>
      <c r="G783" t="s">
        <v>324</v>
      </c>
    </row>
    <row r="784" spans="1:7" hidden="1" x14ac:dyDescent="0.25">
      <c r="A784" t="s">
        <v>2309</v>
      </c>
      <c r="B784" t="s">
        <v>2817</v>
      </c>
      <c r="C784" t="s">
        <v>2818</v>
      </c>
      <c r="D784" s="147">
        <v>2000</v>
      </c>
      <c r="E784">
        <v>0</v>
      </c>
      <c r="F784">
        <v>0</v>
      </c>
      <c r="G784" t="s">
        <v>324</v>
      </c>
    </row>
    <row r="785" spans="1:7" hidden="1" x14ac:dyDescent="0.25">
      <c r="A785" t="s">
        <v>2309</v>
      </c>
      <c r="B785" t="s">
        <v>2819</v>
      </c>
      <c r="C785" t="s">
        <v>2820</v>
      </c>
      <c r="D785" s="147">
        <v>11000</v>
      </c>
      <c r="E785">
        <v>0</v>
      </c>
      <c r="F785">
        <v>0</v>
      </c>
      <c r="G785" t="s">
        <v>324</v>
      </c>
    </row>
    <row r="786" spans="1:7" hidden="1" x14ac:dyDescent="0.25">
      <c r="A786" t="s">
        <v>2309</v>
      </c>
      <c r="B786" t="s">
        <v>2821</v>
      </c>
      <c r="C786" t="s">
        <v>2822</v>
      </c>
      <c r="D786" s="147">
        <v>8000</v>
      </c>
      <c r="E786">
        <v>0</v>
      </c>
      <c r="F786">
        <v>0</v>
      </c>
      <c r="G786" t="s">
        <v>324</v>
      </c>
    </row>
    <row r="787" spans="1:7" hidden="1" x14ac:dyDescent="0.25">
      <c r="A787" t="s">
        <v>2309</v>
      </c>
      <c r="B787" t="s">
        <v>2823</v>
      </c>
      <c r="C787" t="s">
        <v>2824</v>
      </c>
      <c r="D787" s="147">
        <v>10000</v>
      </c>
      <c r="E787">
        <v>0</v>
      </c>
      <c r="F787">
        <v>0</v>
      </c>
      <c r="G787" t="s">
        <v>324</v>
      </c>
    </row>
    <row r="788" spans="1:7" hidden="1" x14ac:dyDescent="0.25">
      <c r="A788" t="s">
        <v>2309</v>
      </c>
      <c r="B788" t="s">
        <v>2825</v>
      </c>
      <c r="C788" t="s">
        <v>2826</v>
      </c>
      <c r="D788" s="147">
        <v>1500</v>
      </c>
      <c r="E788">
        <v>0</v>
      </c>
      <c r="F788">
        <v>0</v>
      </c>
      <c r="G788" t="s">
        <v>324</v>
      </c>
    </row>
    <row r="789" spans="1:7" hidden="1" x14ac:dyDescent="0.25">
      <c r="A789" t="s">
        <v>2309</v>
      </c>
      <c r="B789" t="s">
        <v>2827</v>
      </c>
      <c r="C789" t="s">
        <v>2828</v>
      </c>
      <c r="D789" s="147">
        <v>9000</v>
      </c>
      <c r="E789">
        <v>0</v>
      </c>
      <c r="F789">
        <v>0</v>
      </c>
      <c r="G789" t="s">
        <v>324</v>
      </c>
    </row>
    <row r="790" spans="1:7" hidden="1" x14ac:dyDescent="0.25">
      <c r="A790" t="s">
        <v>2309</v>
      </c>
      <c r="B790" t="s">
        <v>2974</v>
      </c>
      <c r="C790" t="s">
        <v>2975</v>
      </c>
      <c r="D790" s="147">
        <v>7500</v>
      </c>
      <c r="E790">
        <v>0</v>
      </c>
      <c r="F790">
        <v>0</v>
      </c>
      <c r="G790" t="s">
        <v>324</v>
      </c>
    </row>
    <row r="791" spans="1:7" hidden="1" x14ac:dyDescent="0.25">
      <c r="A791" t="s">
        <v>2309</v>
      </c>
      <c r="B791" t="s">
        <v>2829</v>
      </c>
      <c r="C791" t="s">
        <v>2830</v>
      </c>
      <c r="D791" s="147">
        <v>13000</v>
      </c>
      <c r="E791">
        <v>0</v>
      </c>
      <c r="F791">
        <v>0</v>
      </c>
      <c r="G791" t="s">
        <v>324</v>
      </c>
    </row>
    <row r="792" spans="1:7" hidden="1" x14ac:dyDescent="0.25">
      <c r="A792" t="s">
        <v>2309</v>
      </c>
      <c r="B792" t="s">
        <v>2831</v>
      </c>
      <c r="C792" t="s">
        <v>2832</v>
      </c>
      <c r="D792" s="147">
        <v>5000</v>
      </c>
      <c r="E792">
        <v>0</v>
      </c>
      <c r="F792">
        <v>0</v>
      </c>
      <c r="G792" t="s">
        <v>324</v>
      </c>
    </row>
    <row r="793" spans="1:7" hidden="1" x14ac:dyDescent="0.25">
      <c r="A793" t="s">
        <v>2309</v>
      </c>
      <c r="B793" t="s">
        <v>2833</v>
      </c>
      <c r="C793" t="s">
        <v>2834</v>
      </c>
      <c r="D793" s="147">
        <v>10251</v>
      </c>
      <c r="E793">
        <v>0</v>
      </c>
      <c r="F793">
        <v>0</v>
      </c>
      <c r="G793" t="s">
        <v>324</v>
      </c>
    </row>
    <row r="794" spans="1:7" hidden="1" x14ac:dyDescent="0.25">
      <c r="A794" t="s">
        <v>2309</v>
      </c>
      <c r="B794" t="s">
        <v>1504</v>
      </c>
      <c r="C794" t="s">
        <v>1505</v>
      </c>
      <c r="D794">
        <v>50</v>
      </c>
      <c r="E794">
        <v>0</v>
      </c>
      <c r="F794">
        <v>0</v>
      </c>
      <c r="G794" t="s">
        <v>1501</v>
      </c>
    </row>
    <row r="795" spans="1:7" hidden="1" x14ac:dyDescent="0.25">
      <c r="A795" t="s">
        <v>2309</v>
      </c>
      <c r="B795" t="s">
        <v>1506</v>
      </c>
      <c r="C795" t="s">
        <v>1507</v>
      </c>
      <c r="D795">
        <v>50</v>
      </c>
      <c r="E795">
        <v>0</v>
      </c>
      <c r="F795">
        <v>0</v>
      </c>
      <c r="G795" t="s">
        <v>1501</v>
      </c>
    </row>
    <row r="796" spans="1:7" hidden="1" x14ac:dyDescent="0.25">
      <c r="A796" t="s">
        <v>2309</v>
      </c>
      <c r="B796" t="s">
        <v>1508</v>
      </c>
      <c r="C796" t="s">
        <v>1509</v>
      </c>
      <c r="D796" s="147">
        <v>20156</v>
      </c>
      <c r="E796">
        <v>0</v>
      </c>
      <c r="F796">
        <v>0</v>
      </c>
      <c r="G796" t="s">
        <v>324</v>
      </c>
    </row>
    <row r="797" spans="1:7" hidden="1" x14ac:dyDescent="0.25">
      <c r="A797" t="s">
        <v>2309</v>
      </c>
      <c r="B797" t="s">
        <v>1853</v>
      </c>
      <c r="C797" t="s">
        <v>1854</v>
      </c>
      <c r="D797" s="147">
        <v>10000</v>
      </c>
      <c r="E797">
        <v>0</v>
      </c>
      <c r="F797">
        <v>0</v>
      </c>
      <c r="G797" t="s">
        <v>324</v>
      </c>
    </row>
    <row r="798" spans="1:7" hidden="1" x14ac:dyDescent="0.25">
      <c r="A798" t="s">
        <v>2309</v>
      </c>
      <c r="B798" t="s">
        <v>1510</v>
      </c>
      <c r="C798" t="s">
        <v>1511</v>
      </c>
      <c r="D798">
        <v>2</v>
      </c>
      <c r="E798">
        <v>0</v>
      </c>
      <c r="F798">
        <v>0</v>
      </c>
      <c r="G798" t="s">
        <v>1501</v>
      </c>
    </row>
    <row r="799" spans="1:7" hidden="1" x14ac:dyDescent="0.25">
      <c r="A799" t="s">
        <v>2309</v>
      </c>
      <c r="B799" t="s">
        <v>1512</v>
      </c>
      <c r="C799" t="s">
        <v>1513</v>
      </c>
      <c r="D799" s="147">
        <v>27000</v>
      </c>
      <c r="E799">
        <v>0</v>
      </c>
      <c r="F799">
        <v>0</v>
      </c>
      <c r="G799" t="s">
        <v>324</v>
      </c>
    </row>
    <row r="800" spans="1:7" hidden="1" x14ac:dyDescent="0.25">
      <c r="A800" t="s">
        <v>2309</v>
      </c>
      <c r="B800" t="s">
        <v>1514</v>
      </c>
      <c r="C800" t="s">
        <v>1515</v>
      </c>
      <c r="D800" s="147">
        <v>6500</v>
      </c>
      <c r="E800">
        <v>0</v>
      </c>
      <c r="F800">
        <v>0</v>
      </c>
      <c r="G800" t="s">
        <v>324</v>
      </c>
    </row>
    <row r="801" spans="1:7" hidden="1" x14ac:dyDescent="0.25">
      <c r="A801" t="s">
        <v>2309</v>
      </c>
      <c r="B801" t="s">
        <v>1516</v>
      </c>
      <c r="C801" t="s">
        <v>1517</v>
      </c>
      <c r="D801" s="147">
        <v>3620</v>
      </c>
      <c r="E801">
        <v>0</v>
      </c>
      <c r="F801">
        <v>0</v>
      </c>
      <c r="G801" t="s">
        <v>324</v>
      </c>
    </row>
    <row r="802" spans="1:7" hidden="1" x14ac:dyDescent="0.25">
      <c r="A802" t="s">
        <v>2309</v>
      </c>
      <c r="B802" t="s">
        <v>1518</v>
      </c>
      <c r="C802" t="s">
        <v>1519</v>
      </c>
      <c r="D802" s="147">
        <v>16000</v>
      </c>
      <c r="E802">
        <v>0</v>
      </c>
      <c r="F802">
        <v>0</v>
      </c>
      <c r="G802" t="s">
        <v>324</v>
      </c>
    </row>
    <row r="803" spans="1:7" hidden="1" x14ac:dyDescent="0.25">
      <c r="A803" t="s">
        <v>2309</v>
      </c>
      <c r="B803" t="s">
        <v>1520</v>
      </c>
      <c r="C803" t="s">
        <v>1521</v>
      </c>
      <c r="D803" s="147">
        <v>6000</v>
      </c>
      <c r="E803">
        <v>0</v>
      </c>
      <c r="F803">
        <v>0</v>
      </c>
      <c r="G803" t="s">
        <v>324</v>
      </c>
    </row>
    <row r="804" spans="1:7" hidden="1" x14ac:dyDescent="0.25">
      <c r="A804" t="s">
        <v>2309</v>
      </c>
      <c r="B804" t="s">
        <v>1522</v>
      </c>
      <c r="C804" t="s">
        <v>1523</v>
      </c>
      <c r="D804">
        <v>11</v>
      </c>
      <c r="E804">
        <v>0</v>
      </c>
      <c r="F804">
        <v>0</v>
      </c>
      <c r="G804" t="s">
        <v>1501</v>
      </c>
    </row>
    <row r="805" spans="1:7" hidden="1" x14ac:dyDescent="0.25">
      <c r="A805" t="s">
        <v>2309</v>
      </c>
      <c r="B805" t="s">
        <v>1524</v>
      </c>
      <c r="C805" t="s">
        <v>1525</v>
      </c>
      <c r="D805">
        <v>239</v>
      </c>
      <c r="E805">
        <v>0</v>
      </c>
      <c r="F805">
        <v>0</v>
      </c>
      <c r="G805" t="s">
        <v>324</v>
      </c>
    </row>
    <row r="806" spans="1:7" hidden="1" x14ac:dyDescent="0.25">
      <c r="A806" t="s">
        <v>2309</v>
      </c>
      <c r="B806" t="s">
        <v>1526</v>
      </c>
      <c r="C806" t="s">
        <v>1527</v>
      </c>
      <c r="D806" s="147">
        <v>18000</v>
      </c>
      <c r="E806">
        <v>0</v>
      </c>
      <c r="F806">
        <v>0</v>
      </c>
      <c r="G806" t="s">
        <v>324</v>
      </c>
    </row>
    <row r="807" spans="1:7" hidden="1" x14ac:dyDescent="0.25">
      <c r="A807" t="s">
        <v>2309</v>
      </c>
      <c r="B807" t="s">
        <v>1528</v>
      </c>
      <c r="C807" t="s">
        <v>1529</v>
      </c>
      <c r="D807" s="147">
        <v>3400</v>
      </c>
      <c r="E807">
        <v>0</v>
      </c>
      <c r="F807">
        <v>0</v>
      </c>
      <c r="G807" t="s">
        <v>324</v>
      </c>
    </row>
    <row r="808" spans="1:7" hidden="1" x14ac:dyDescent="0.25">
      <c r="A808" t="s">
        <v>2309</v>
      </c>
      <c r="B808" t="s">
        <v>1530</v>
      </c>
      <c r="C808" t="s">
        <v>1531</v>
      </c>
      <c r="D808" s="147">
        <v>11000</v>
      </c>
      <c r="E808">
        <v>0</v>
      </c>
      <c r="F808">
        <v>0</v>
      </c>
      <c r="G808" t="s">
        <v>324</v>
      </c>
    </row>
    <row r="809" spans="1:7" hidden="1" x14ac:dyDescent="0.25">
      <c r="A809" t="s">
        <v>2309</v>
      </c>
      <c r="B809" t="s">
        <v>1532</v>
      </c>
      <c r="C809" t="s">
        <v>1533</v>
      </c>
      <c r="D809" s="147">
        <v>2000</v>
      </c>
      <c r="E809">
        <v>0</v>
      </c>
      <c r="F809">
        <v>0</v>
      </c>
      <c r="G809" t="s">
        <v>324</v>
      </c>
    </row>
    <row r="810" spans="1:7" hidden="1" x14ac:dyDescent="0.25">
      <c r="A810" t="s">
        <v>2309</v>
      </c>
      <c r="B810" t="s">
        <v>1534</v>
      </c>
      <c r="C810" t="s">
        <v>1535</v>
      </c>
      <c r="D810" s="147">
        <v>4000</v>
      </c>
      <c r="E810">
        <v>0</v>
      </c>
      <c r="F810">
        <v>0</v>
      </c>
      <c r="G810" t="s">
        <v>324</v>
      </c>
    </row>
    <row r="811" spans="1:7" hidden="1" x14ac:dyDescent="0.25">
      <c r="A811" t="s">
        <v>2309</v>
      </c>
      <c r="B811" t="s">
        <v>1536</v>
      </c>
      <c r="C811" t="s">
        <v>1537</v>
      </c>
      <c r="D811" s="147">
        <v>19500</v>
      </c>
      <c r="E811">
        <v>0</v>
      </c>
      <c r="F811">
        <v>0</v>
      </c>
      <c r="G811" t="s">
        <v>324</v>
      </c>
    </row>
    <row r="812" spans="1:7" hidden="1" x14ac:dyDescent="0.25">
      <c r="A812" t="s">
        <v>2309</v>
      </c>
      <c r="B812" t="s">
        <v>1538</v>
      </c>
      <c r="C812" t="s">
        <v>1539</v>
      </c>
      <c r="D812">
        <v>200</v>
      </c>
      <c r="E812">
        <v>0</v>
      </c>
      <c r="F812">
        <v>0</v>
      </c>
      <c r="G812" t="s">
        <v>324</v>
      </c>
    </row>
    <row r="813" spans="1:7" hidden="1" x14ac:dyDescent="0.25">
      <c r="A813" t="s">
        <v>2309</v>
      </c>
      <c r="B813" t="s">
        <v>1540</v>
      </c>
      <c r="C813" t="s">
        <v>1541</v>
      </c>
      <c r="D813" s="147">
        <v>13870</v>
      </c>
      <c r="E813">
        <v>0</v>
      </c>
      <c r="F813">
        <v>0</v>
      </c>
      <c r="G813" t="s">
        <v>324</v>
      </c>
    </row>
    <row r="814" spans="1:7" hidden="1" x14ac:dyDescent="0.25">
      <c r="A814" t="s">
        <v>2309</v>
      </c>
      <c r="B814" t="s">
        <v>1542</v>
      </c>
      <c r="C814" t="s">
        <v>1543</v>
      </c>
      <c r="D814" s="147">
        <v>4000</v>
      </c>
      <c r="E814">
        <v>0</v>
      </c>
      <c r="F814">
        <v>0</v>
      </c>
      <c r="G814" t="s">
        <v>324</v>
      </c>
    </row>
    <row r="815" spans="1:7" hidden="1" x14ac:dyDescent="0.25">
      <c r="A815" t="s">
        <v>2309</v>
      </c>
      <c r="B815" t="s">
        <v>1544</v>
      </c>
      <c r="C815" t="s">
        <v>1545</v>
      </c>
      <c r="D815" s="147">
        <v>5500</v>
      </c>
      <c r="E815">
        <v>0</v>
      </c>
      <c r="F815">
        <v>0</v>
      </c>
      <c r="G815" t="s">
        <v>324</v>
      </c>
    </row>
    <row r="816" spans="1:7" hidden="1" x14ac:dyDescent="0.25">
      <c r="A816" t="s">
        <v>2309</v>
      </c>
      <c r="B816" t="s">
        <v>1546</v>
      </c>
      <c r="C816" t="s">
        <v>1547</v>
      </c>
      <c r="D816">
        <v>49</v>
      </c>
      <c r="E816">
        <v>0</v>
      </c>
      <c r="F816">
        <v>0</v>
      </c>
      <c r="G816" t="s">
        <v>1501</v>
      </c>
    </row>
    <row r="817" spans="1:7" hidden="1" x14ac:dyDescent="0.25">
      <c r="A817" t="s">
        <v>2309</v>
      </c>
      <c r="B817" t="s">
        <v>1548</v>
      </c>
      <c r="C817" t="s">
        <v>1549</v>
      </c>
      <c r="D817">
        <v>250</v>
      </c>
      <c r="E817">
        <v>0</v>
      </c>
      <c r="F817">
        <v>0</v>
      </c>
      <c r="G817" t="s">
        <v>324</v>
      </c>
    </row>
    <row r="818" spans="1:7" hidden="1" x14ac:dyDescent="0.25">
      <c r="A818" t="s">
        <v>2309</v>
      </c>
      <c r="B818" t="s">
        <v>1550</v>
      </c>
      <c r="C818" t="s">
        <v>1551</v>
      </c>
      <c r="D818" s="147">
        <v>12500</v>
      </c>
      <c r="E818">
        <v>0</v>
      </c>
      <c r="F818">
        <v>0</v>
      </c>
      <c r="G818" t="s">
        <v>324</v>
      </c>
    </row>
    <row r="819" spans="1:7" hidden="1" x14ac:dyDescent="0.25">
      <c r="A819" t="s">
        <v>2309</v>
      </c>
      <c r="B819" t="s">
        <v>1552</v>
      </c>
      <c r="C819" t="s">
        <v>1553</v>
      </c>
      <c r="D819" s="147">
        <v>4500</v>
      </c>
      <c r="E819">
        <v>0</v>
      </c>
      <c r="F819">
        <v>0</v>
      </c>
      <c r="G819" t="s">
        <v>324</v>
      </c>
    </row>
    <row r="820" spans="1:7" hidden="1" x14ac:dyDescent="0.25">
      <c r="A820" t="s">
        <v>2309</v>
      </c>
      <c r="B820" t="s">
        <v>1554</v>
      </c>
      <c r="C820" t="s">
        <v>1555</v>
      </c>
      <c r="D820" s="147">
        <v>2500</v>
      </c>
      <c r="E820">
        <v>0</v>
      </c>
      <c r="F820">
        <v>0</v>
      </c>
      <c r="G820" t="s">
        <v>324</v>
      </c>
    </row>
    <row r="821" spans="1:7" hidden="1" x14ac:dyDescent="0.25">
      <c r="A821" t="s">
        <v>2309</v>
      </c>
      <c r="B821" t="s">
        <v>5451</v>
      </c>
      <c r="C821" t="s">
        <v>1556</v>
      </c>
      <c r="D821" s="147">
        <v>11856</v>
      </c>
      <c r="E821">
        <v>0</v>
      </c>
      <c r="F821">
        <v>0</v>
      </c>
      <c r="G821" t="s">
        <v>324</v>
      </c>
    </row>
    <row r="822" spans="1:7" hidden="1" x14ac:dyDescent="0.25">
      <c r="A822" t="s">
        <v>2309</v>
      </c>
      <c r="B822" t="s">
        <v>1557</v>
      </c>
      <c r="C822" t="s">
        <v>1558</v>
      </c>
      <c r="D822" s="147">
        <v>16000</v>
      </c>
      <c r="E822">
        <v>0</v>
      </c>
      <c r="F822">
        <v>0</v>
      </c>
      <c r="G822" t="s">
        <v>324</v>
      </c>
    </row>
    <row r="823" spans="1:7" hidden="1" x14ac:dyDescent="0.25">
      <c r="A823" t="s">
        <v>2309</v>
      </c>
      <c r="B823" t="s">
        <v>1559</v>
      </c>
      <c r="C823" t="s">
        <v>1560</v>
      </c>
      <c r="D823" s="147">
        <v>4490</v>
      </c>
      <c r="E823">
        <v>0</v>
      </c>
      <c r="F823">
        <v>0</v>
      </c>
      <c r="G823" t="s">
        <v>324</v>
      </c>
    </row>
    <row r="824" spans="1:7" hidden="1" x14ac:dyDescent="0.25">
      <c r="A824" t="s">
        <v>2309</v>
      </c>
      <c r="B824" t="s">
        <v>1561</v>
      </c>
      <c r="C824" t="s">
        <v>1562</v>
      </c>
      <c r="D824" s="147">
        <v>4780</v>
      </c>
      <c r="E824">
        <v>0</v>
      </c>
      <c r="F824">
        <v>0</v>
      </c>
      <c r="G824" t="s">
        <v>324</v>
      </c>
    </row>
    <row r="825" spans="1:7" hidden="1" x14ac:dyDescent="0.25">
      <c r="A825" t="s">
        <v>2309</v>
      </c>
      <c r="B825" t="s">
        <v>1563</v>
      </c>
      <c r="C825" t="s">
        <v>1564</v>
      </c>
      <c r="D825" s="147">
        <v>10000</v>
      </c>
      <c r="E825">
        <v>0</v>
      </c>
      <c r="F825">
        <v>0</v>
      </c>
      <c r="G825" t="s">
        <v>324</v>
      </c>
    </row>
    <row r="826" spans="1:7" hidden="1" x14ac:dyDescent="0.25">
      <c r="A826" t="s">
        <v>2309</v>
      </c>
      <c r="B826" t="s">
        <v>1565</v>
      </c>
      <c r="C826" t="s">
        <v>1566</v>
      </c>
      <c r="D826" s="147">
        <v>9000</v>
      </c>
      <c r="E826">
        <v>0</v>
      </c>
      <c r="F826">
        <v>0</v>
      </c>
      <c r="G826" t="s">
        <v>324</v>
      </c>
    </row>
    <row r="827" spans="1:7" hidden="1" x14ac:dyDescent="0.25">
      <c r="A827" t="s">
        <v>2309</v>
      </c>
      <c r="B827" t="s">
        <v>1567</v>
      </c>
      <c r="C827" t="s">
        <v>1568</v>
      </c>
      <c r="D827" s="147">
        <v>9310</v>
      </c>
      <c r="E827">
        <v>0</v>
      </c>
      <c r="F827">
        <v>0</v>
      </c>
      <c r="G827" t="s">
        <v>324</v>
      </c>
    </row>
    <row r="828" spans="1:7" hidden="1" x14ac:dyDescent="0.25">
      <c r="A828" t="s">
        <v>2309</v>
      </c>
      <c r="B828" t="s">
        <v>1569</v>
      </c>
      <c r="C828" t="s">
        <v>1570</v>
      </c>
      <c r="D828" s="147">
        <v>10000</v>
      </c>
      <c r="E828">
        <v>0</v>
      </c>
      <c r="F828">
        <v>0</v>
      </c>
      <c r="G828" t="s">
        <v>324</v>
      </c>
    </row>
    <row r="829" spans="1:7" hidden="1" x14ac:dyDescent="0.25">
      <c r="A829" t="s">
        <v>2309</v>
      </c>
      <c r="B829" t="s">
        <v>1571</v>
      </c>
      <c r="C829" t="s">
        <v>1572</v>
      </c>
      <c r="D829" s="147">
        <v>4550</v>
      </c>
      <c r="E829">
        <v>0</v>
      </c>
      <c r="F829">
        <v>0</v>
      </c>
      <c r="G829" t="s">
        <v>324</v>
      </c>
    </row>
    <row r="830" spans="1:7" hidden="1" x14ac:dyDescent="0.25">
      <c r="A830" t="s">
        <v>2309</v>
      </c>
      <c r="B830" t="s">
        <v>1573</v>
      </c>
      <c r="C830" t="s">
        <v>1574</v>
      </c>
      <c r="D830" s="147">
        <v>3760</v>
      </c>
      <c r="E830">
        <v>0</v>
      </c>
      <c r="F830">
        <v>0</v>
      </c>
      <c r="G830" t="s">
        <v>324</v>
      </c>
    </row>
    <row r="831" spans="1:7" hidden="1" x14ac:dyDescent="0.25">
      <c r="A831" t="s">
        <v>2309</v>
      </c>
      <c r="B831" t="s">
        <v>1575</v>
      </c>
      <c r="C831" t="s">
        <v>1576</v>
      </c>
      <c r="D831" s="147">
        <v>8900</v>
      </c>
      <c r="E831">
        <v>0</v>
      </c>
      <c r="F831">
        <v>0</v>
      </c>
      <c r="G831" t="s">
        <v>324</v>
      </c>
    </row>
    <row r="832" spans="1:7" hidden="1" x14ac:dyDescent="0.25">
      <c r="A832" t="s">
        <v>2309</v>
      </c>
      <c r="B832" t="s">
        <v>1577</v>
      </c>
      <c r="C832" t="s">
        <v>1578</v>
      </c>
      <c r="D832" s="147">
        <v>6650</v>
      </c>
      <c r="E832">
        <v>0</v>
      </c>
      <c r="F832">
        <v>0</v>
      </c>
      <c r="G832" t="s">
        <v>324</v>
      </c>
    </row>
    <row r="833" spans="1:7" hidden="1" x14ac:dyDescent="0.25">
      <c r="A833" t="s">
        <v>2309</v>
      </c>
      <c r="B833" t="s">
        <v>1579</v>
      </c>
      <c r="C833" t="s">
        <v>1580</v>
      </c>
      <c r="D833">
        <v>500</v>
      </c>
      <c r="E833">
        <v>0</v>
      </c>
      <c r="F833">
        <v>0</v>
      </c>
      <c r="G833" t="s">
        <v>324</v>
      </c>
    </row>
    <row r="834" spans="1:7" hidden="1" x14ac:dyDescent="0.25">
      <c r="A834" t="s">
        <v>2309</v>
      </c>
      <c r="B834" t="s">
        <v>1581</v>
      </c>
      <c r="C834" t="s">
        <v>1582</v>
      </c>
      <c r="D834">
        <v>96</v>
      </c>
      <c r="E834">
        <v>0</v>
      </c>
      <c r="F834">
        <v>0</v>
      </c>
      <c r="G834" t="s">
        <v>1501</v>
      </c>
    </row>
    <row r="835" spans="1:7" hidden="1" x14ac:dyDescent="0.25">
      <c r="A835" t="s">
        <v>2309</v>
      </c>
      <c r="B835" t="s">
        <v>1583</v>
      </c>
      <c r="C835" t="s">
        <v>1584</v>
      </c>
      <c r="D835" s="147">
        <v>8000</v>
      </c>
      <c r="E835">
        <v>0</v>
      </c>
      <c r="F835">
        <v>0</v>
      </c>
      <c r="G835" t="s">
        <v>324</v>
      </c>
    </row>
    <row r="836" spans="1:7" hidden="1" x14ac:dyDescent="0.25">
      <c r="A836" t="s">
        <v>2309</v>
      </c>
      <c r="B836" t="s">
        <v>1585</v>
      </c>
      <c r="C836" t="s">
        <v>1586</v>
      </c>
      <c r="D836" s="147">
        <v>16500</v>
      </c>
      <c r="E836">
        <v>0</v>
      </c>
      <c r="F836">
        <v>0</v>
      </c>
      <c r="G836" t="s">
        <v>324</v>
      </c>
    </row>
    <row r="837" spans="1:7" hidden="1" x14ac:dyDescent="0.25">
      <c r="A837" t="s">
        <v>2309</v>
      </c>
      <c r="B837" t="s">
        <v>1587</v>
      </c>
      <c r="C837" t="s">
        <v>1588</v>
      </c>
      <c r="D837">
        <v>65</v>
      </c>
      <c r="E837">
        <v>0</v>
      </c>
      <c r="F837">
        <v>0</v>
      </c>
      <c r="G837" t="s">
        <v>1501</v>
      </c>
    </row>
    <row r="838" spans="1:7" hidden="1" x14ac:dyDescent="0.25">
      <c r="A838" t="s">
        <v>2309</v>
      </c>
      <c r="B838" t="s">
        <v>1962</v>
      </c>
      <c r="C838" t="s">
        <v>1963</v>
      </c>
      <c r="D838" s="147">
        <v>9500</v>
      </c>
      <c r="E838">
        <v>0</v>
      </c>
      <c r="F838">
        <v>0</v>
      </c>
      <c r="G838" t="s">
        <v>1501</v>
      </c>
    </row>
    <row r="839" spans="1:7" hidden="1" x14ac:dyDescent="0.25">
      <c r="A839" t="s">
        <v>2309</v>
      </c>
      <c r="B839" t="s">
        <v>1589</v>
      </c>
      <c r="C839" t="s">
        <v>1590</v>
      </c>
      <c r="D839" s="147">
        <v>6386</v>
      </c>
      <c r="E839">
        <v>0</v>
      </c>
      <c r="F839">
        <v>0</v>
      </c>
      <c r="G839" t="s">
        <v>324</v>
      </c>
    </row>
    <row r="840" spans="1:7" hidden="1" x14ac:dyDescent="0.25">
      <c r="A840" t="s">
        <v>2309</v>
      </c>
      <c r="B840" t="s">
        <v>1729</v>
      </c>
      <c r="C840" t="s">
        <v>1730</v>
      </c>
      <c r="D840" s="147">
        <v>9000</v>
      </c>
      <c r="E840">
        <v>0</v>
      </c>
      <c r="F840">
        <v>0</v>
      </c>
      <c r="G840" t="s">
        <v>1501</v>
      </c>
    </row>
    <row r="841" spans="1:7" hidden="1" x14ac:dyDescent="0.25">
      <c r="A841" t="s">
        <v>2309</v>
      </c>
      <c r="B841" t="s">
        <v>1591</v>
      </c>
      <c r="C841" t="s">
        <v>1592</v>
      </c>
      <c r="D841">
        <v>31</v>
      </c>
      <c r="E841">
        <v>0</v>
      </c>
      <c r="F841">
        <v>0</v>
      </c>
      <c r="G841" t="s">
        <v>1501</v>
      </c>
    </row>
    <row r="842" spans="1:7" hidden="1" x14ac:dyDescent="0.25">
      <c r="A842" t="s">
        <v>2309</v>
      </c>
      <c r="B842" t="s">
        <v>1593</v>
      </c>
      <c r="C842" t="s">
        <v>1594</v>
      </c>
      <c r="D842">
        <v>110</v>
      </c>
      <c r="E842">
        <v>0</v>
      </c>
      <c r="F842">
        <v>0</v>
      </c>
      <c r="G842" t="s">
        <v>1501</v>
      </c>
    </row>
    <row r="843" spans="1:7" hidden="1" x14ac:dyDescent="0.25">
      <c r="A843" t="s">
        <v>2309</v>
      </c>
      <c r="B843" t="s">
        <v>1595</v>
      </c>
      <c r="C843" t="s">
        <v>1596</v>
      </c>
      <c r="D843">
        <v>69</v>
      </c>
      <c r="E843">
        <v>0</v>
      </c>
      <c r="F843">
        <v>0</v>
      </c>
      <c r="G843" t="s">
        <v>1501</v>
      </c>
    </row>
    <row r="844" spans="1:7" hidden="1" x14ac:dyDescent="0.25">
      <c r="A844" t="s">
        <v>2309</v>
      </c>
      <c r="B844" t="s">
        <v>1597</v>
      </c>
      <c r="C844" t="s">
        <v>1598</v>
      </c>
      <c r="D844" s="147">
        <v>10500</v>
      </c>
      <c r="E844">
        <v>0</v>
      </c>
      <c r="F844">
        <v>0</v>
      </c>
      <c r="G844" t="s">
        <v>324</v>
      </c>
    </row>
    <row r="845" spans="1:7" hidden="1" x14ac:dyDescent="0.25">
      <c r="A845" t="s">
        <v>2309</v>
      </c>
      <c r="B845" t="s">
        <v>1826</v>
      </c>
      <c r="C845" t="s">
        <v>1827</v>
      </c>
      <c r="D845" s="147">
        <v>20600</v>
      </c>
      <c r="E845">
        <v>0</v>
      </c>
      <c r="F845">
        <v>0</v>
      </c>
      <c r="G845" t="s">
        <v>324</v>
      </c>
    </row>
    <row r="846" spans="1:7" hidden="1" x14ac:dyDescent="0.25">
      <c r="A846" t="s">
        <v>2309</v>
      </c>
      <c r="B846" t="s">
        <v>1889</v>
      </c>
      <c r="C846" t="s">
        <v>1890</v>
      </c>
      <c r="D846">
        <v>111</v>
      </c>
      <c r="E846">
        <v>0</v>
      </c>
      <c r="F846">
        <v>0</v>
      </c>
      <c r="G846" t="s">
        <v>324</v>
      </c>
    </row>
    <row r="847" spans="1:7" hidden="1" x14ac:dyDescent="0.25">
      <c r="A847" t="s">
        <v>2309</v>
      </c>
      <c r="B847" t="s">
        <v>1841</v>
      </c>
      <c r="C847" t="s">
        <v>1842</v>
      </c>
      <c r="D847" s="147">
        <v>3150</v>
      </c>
      <c r="E847">
        <v>0</v>
      </c>
      <c r="F847">
        <v>0</v>
      </c>
      <c r="G847" t="s">
        <v>324</v>
      </c>
    </row>
    <row r="848" spans="1:7" hidden="1" x14ac:dyDescent="0.25">
      <c r="A848" t="s">
        <v>2309</v>
      </c>
      <c r="B848" t="s">
        <v>1828</v>
      </c>
      <c r="C848" t="s">
        <v>1829</v>
      </c>
      <c r="D848">
        <v>500</v>
      </c>
      <c r="E848">
        <v>0</v>
      </c>
      <c r="F848">
        <v>0</v>
      </c>
      <c r="G848" t="s">
        <v>324</v>
      </c>
    </row>
    <row r="849" spans="1:7" hidden="1" x14ac:dyDescent="0.25">
      <c r="A849" t="s">
        <v>2309</v>
      </c>
      <c r="B849" t="s">
        <v>1599</v>
      </c>
      <c r="C849" t="s">
        <v>1600</v>
      </c>
      <c r="D849" s="147">
        <v>2016</v>
      </c>
      <c r="E849">
        <v>0</v>
      </c>
      <c r="F849">
        <v>0</v>
      </c>
      <c r="G849" t="s">
        <v>324</v>
      </c>
    </row>
    <row r="850" spans="1:7" hidden="1" x14ac:dyDescent="0.25">
      <c r="A850" t="s">
        <v>2309</v>
      </c>
      <c r="B850" t="s">
        <v>1601</v>
      </c>
      <c r="C850" t="s">
        <v>1602</v>
      </c>
      <c r="D850" s="147">
        <v>3064</v>
      </c>
      <c r="E850">
        <v>0</v>
      </c>
      <c r="F850">
        <v>0</v>
      </c>
      <c r="G850" t="s">
        <v>324</v>
      </c>
    </row>
    <row r="851" spans="1:7" hidden="1" x14ac:dyDescent="0.25">
      <c r="A851" t="s">
        <v>2309</v>
      </c>
      <c r="B851" t="s">
        <v>1847</v>
      </c>
      <c r="C851" t="s">
        <v>1848</v>
      </c>
      <c r="D851">
        <v>821</v>
      </c>
      <c r="E851">
        <v>0</v>
      </c>
      <c r="F851">
        <v>0</v>
      </c>
      <c r="G851" t="s">
        <v>324</v>
      </c>
    </row>
    <row r="852" spans="1:7" hidden="1" x14ac:dyDescent="0.25">
      <c r="A852" t="s">
        <v>2309</v>
      </c>
      <c r="B852" t="s">
        <v>1731</v>
      </c>
      <c r="C852" t="s">
        <v>1732</v>
      </c>
      <c r="D852">
        <v>580</v>
      </c>
      <c r="E852">
        <v>0</v>
      </c>
      <c r="F852">
        <v>0</v>
      </c>
      <c r="G852" t="s">
        <v>324</v>
      </c>
    </row>
    <row r="853" spans="1:7" hidden="1" x14ac:dyDescent="0.25">
      <c r="A853" t="s">
        <v>2309</v>
      </c>
      <c r="B853" t="s">
        <v>1603</v>
      </c>
      <c r="C853" t="s">
        <v>1604</v>
      </c>
      <c r="D853" s="147">
        <v>1017</v>
      </c>
      <c r="E853">
        <v>0</v>
      </c>
      <c r="F853">
        <v>0</v>
      </c>
      <c r="G853" t="s">
        <v>324</v>
      </c>
    </row>
    <row r="854" spans="1:7" hidden="1" x14ac:dyDescent="0.25">
      <c r="A854" t="s">
        <v>2309</v>
      </c>
      <c r="B854" t="s">
        <v>1605</v>
      </c>
      <c r="C854" t="s">
        <v>1905</v>
      </c>
      <c r="D854" s="147">
        <v>1331</v>
      </c>
      <c r="E854">
        <v>0</v>
      </c>
      <c r="F854">
        <v>0</v>
      </c>
      <c r="G854" t="s">
        <v>324</v>
      </c>
    </row>
    <row r="855" spans="1:7" hidden="1" x14ac:dyDescent="0.25">
      <c r="A855" t="s">
        <v>2309</v>
      </c>
      <c r="B855" t="s">
        <v>2835</v>
      </c>
      <c r="C855" t="s">
        <v>2836</v>
      </c>
      <c r="D855" s="147">
        <v>3120</v>
      </c>
      <c r="E855">
        <v>0</v>
      </c>
      <c r="F855">
        <v>0</v>
      </c>
      <c r="G855" t="s">
        <v>324</v>
      </c>
    </row>
    <row r="856" spans="1:7" hidden="1" x14ac:dyDescent="0.25">
      <c r="A856" t="s">
        <v>2309</v>
      </c>
      <c r="B856" t="s">
        <v>2837</v>
      </c>
      <c r="C856" t="s">
        <v>2838</v>
      </c>
      <c r="D856" s="147">
        <v>2320</v>
      </c>
      <c r="E856">
        <v>0</v>
      </c>
      <c r="F856">
        <v>0</v>
      </c>
      <c r="G856" t="s">
        <v>324</v>
      </c>
    </row>
    <row r="857" spans="1:7" hidden="1" x14ac:dyDescent="0.25">
      <c r="A857" t="s">
        <v>2309</v>
      </c>
      <c r="B857" t="s">
        <v>1733</v>
      </c>
      <c r="C857" t="s">
        <v>1734</v>
      </c>
      <c r="D857" s="147">
        <v>4714</v>
      </c>
      <c r="E857">
        <v>0</v>
      </c>
      <c r="F857">
        <v>0</v>
      </c>
      <c r="G857" t="s">
        <v>324</v>
      </c>
    </row>
    <row r="858" spans="1:7" hidden="1" x14ac:dyDescent="0.25">
      <c r="A858" t="s">
        <v>2309</v>
      </c>
      <c r="B858" t="s">
        <v>1606</v>
      </c>
      <c r="C858" t="s">
        <v>1607</v>
      </c>
      <c r="D858" s="147">
        <v>1600</v>
      </c>
      <c r="E858">
        <v>0</v>
      </c>
      <c r="F858">
        <v>0</v>
      </c>
      <c r="G858" t="s">
        <v>324</v>
      </c>
    </row>
    <row r="859" spans="1:7" hidden="1" x14ac:dyDescent="0.25">
      <c r="A859" t="s">
        <v>2309</v>
      </c>
      <c r="B859" t="s">
        <v>1608</v>
      </c>
      <c r="C859" t="s">
        <v>1609</v>
      </c>
      <c r="D859">
        <v>947</v>
      </c>
      <c r="E859">
        <v>0</v>
      </c>
      <c r="F859">
        <v>0</v>
      </c>
      <c r="G859" t="s">
        <v>324</v>
      </c>
    </row>
    <row r="860" spans="1:7" hidden="1" x14ac:dyDescent="0.25">
      <c r="A860" t="s">
        <v>2309</v>
      </c>
      <c r="B860" t="s">
        <v>2839</v>
      </c>
      <c r="C860" t="s">
        <v>2840</v>
      </c>
      <c r="D860" s="147">
        <v>23727</v>
      </c>
      <c r="E860">
        <v>0</v>
      </c>
      <c r="F860">
        <v>0</v>
      </c>
      <c r="G860" t="s">
        <v>324</v>
      </c>
    </row>
    <row r="861" spans="1:7" hidden="1" x14ac:dyDescent="0.25">
      <c r="A861" t="s">
        <v>2309</v>
      </c>
      <c r="B861" t="s">
        <v>2841</v>
      </c>
      <c r="C861" t="s">
        <v>2842</v>
      </c>
      <c r="D861" s="147">
        <v>21602</v>
      </c>
      <c r="E861">
        <v>0</v>
      </c>
      <c r="F861">
        <v>0</v>
      </c>
      <c r="G861" t="s">
        <v>324</v>
      </c>
    </row>
    <row r="862" spans="1:7" hidden="1" x14ac:dyDescent="0.25">
      <c r="A862" t="s">
        <v>2309</v>
      </c>
      <c r="B862" t="s">
        <v>1610</v>
      </c>
      <c r="C862" t="s">
        <v>1611</v>
      </c>
      <c r="D862" s="147">
        <v>11623</v>
      </c>
      <c r="E862">
        <v>0</v>
      </c>
      <c r="F862">
        <v>0</v>
      </c>
      <c r="G862" t="s">
        <v>324</v>
      </c>
    </row>
    <row r="863" spans="1:7" hidden="1" x14ac:dyDescent="0.25">
      <c r="A863" t="s">
        <v>2309</v>
      </c>
      <c r="B863" t="s">
        <v>2843</v>
      </c>
      <c r="C863" t="s">
        <v>2844</v>
      </c>
      <c r="D863">
        <v>223</v>
      </c>
      <c r="E863">
        <v>0</v>
      </c>
      <c r="F863">
        <v>0</v>
      </c>
      <c r="G863" t="s">
        <v>324</v>
      </c>
    </row>
    <row r="864" spans="1:7" hidden="1" x14ac:dyDescent="0.25">
      <c r="A864" t="s">
        <v>2309</v>
      </c>
      <c r="B864" t="s">
        <v>2845</v>
      </c>
      <c r="C864" t="s">
        <v>2846</v>
      </c>
      <c r="D864" s="147">
        <v>1000</v>
      </c>
      <c r="E864">
        <v>0</v>
      </c>
      <c r="F864">
        <v>0</v>
      </c>
      <c r="G864" t="s">
        <v>324</v>
      </c>
    </row>
    <row r="865" spans="1:7" hidden="1" x14ac:dyDescent="0.25">
      <c r="A865" t="s">
        <v>2309</v>
      </c>
      <c r="B865" t="s">
        <v>2847</v>
      </c>
      <c r="C865" t="s">
        <v>2848</v>
      </c>
      <c r="D865" s="147">
        <v>6406</v>
      </c>
      <c r="E865">
        <v>0</v>
      </c>
      <c r="F865">
        <v>0</v>
      </c>
      <c r="G865" t="s">
        <v>324</v>
      </c>
    </row>
    <row r="866" spans="1:7" hidden="1" x14ac:dyDescent="0.25">
      <c r="A866" t="s">
        <v>2309</v>
      </c>
      <c r="B866" t="s">
        <v>2849</v>
      </c>
      <c r="C866" t="s">
        <v>2850</v>
      </c>
      <c r="D866" s="147">
        <v>19598</v>
      </c>
      <c r="E866">
        <v>0</v>
      </c>
      <c r="F866">
        <v>0</v>
      </c>
      <c r="G866" t="s">
        <v>324</v>
      </c>
    </row>
    <row r="867" spans="1:7" hidden="1" x14ac:dyDescent="0.25">
      <c r="A867" t="s">
        <v>2309</v>
      </c>
      <c r="B867" t="s">
        <v>2851</v>
      </c>
      <c r="C867" t="s">
        <v>2852</v>
      </c>
      <c r="D867" s="147">
        <v>40157</v>
      </c>
      <c r="E867">
        <v>0</v>
      </c>
      <c r="F867">
        <v>0</v>
      </c>
      <c r="G867" t="s">
        <v>324</v>
      </c>
    </row>
    <row r="868" spans="1:7" hidden="1" x14ac:dyDescent="0.25">
      <c r="A868" t="s">
        <v>2309</v>
      </c>
      <c r="B868" t="s">
        <v>1612</v>
      </c>
      <c r="C868" t="s">
        <v>1613</v>
      </c>
      <c r="D868" s="147">
        <v>4760</v>
      </c>
      <c r="E868">
        <v>0</v>
      </c>
      <c r="F868">
        <v>0</v>
      </c>
      <c r="G868" t="s">
        <v>324</v>
      </c>
    </row>
    <row r="869" spans="1:7" hidden="1" x14ac:dyDescent="0.25">
      <c r="A869" t="s">
        <v>2309</v>
      </c>
      <c r="B869" t="s">
        <v>1614</v>
      </c>
      <c r="C869" t="s">
        <v>1615</v>
      </c>
      <c r="D869" s="147">
        <v>1535</v>
      </c>
      <c r="E869">
        <v>0</v>
      </c>
      <c r="F869">
        <v>0</v>
      </c>
      <c r="G869" t="s">
        <v>324</v>
      </c>
    </row>
    <row r="870" spans="1:7" hidden="1" x14ac:dyDescent="0.25">
      <c r="A870" t="s">
        <v>2309</v>
      </c>
      <c r="B870" t="s">
        <v>1616</v>
      </c>
      <c r="C870" t="s">
        <v>1617</v>
      </c>
      <c r="D870">
        <v>583</v>
      </c>
      <c r="E870">
        <v>0</v>
      </c>
      <c r="F870">
        <v>0</v>
      </c>
      <c r="G870" t="s">
        <v>324</v>
      </c>
    </row>
    <row r="871" spans="1:7" hidden="1" x14ac:dyDescent="0.25">
      <c r="A871" t="s">
        <v>2309</v>
      </c>
      <c r="B871" t="s">
        <v>1618</v>
      </c>
      <c r="C871" t="s">
        <v>1619</v>
      </c>
      <c r="D871" s="147">
        <v>4374</v>
      </c>
      <c r="E871">
        <v>0</v>
      </c>
      <c r="F871">
        <v>0</v>
      </c>
      <c r="G871" t="s">
        <v>324</v>
      </c>
    </row>
    <row r="872" spans="1:7" hidden="1" x14ac:dyDescent="0.25">
      <c r="A872" t="s">
        <v>2309</v>
      </c>
      <c r="B872" t="s">
        <v>1620</v>
      </c>
      <c r="C872" t="s">
        <v>1621</v>
      </c>
      <c r="D872" s="147">
        <v>1425</v>
      </c>
      <c r="E872">
        <v>0</v>
      </c>
      <c r="F872">
        <v>0</v>
      </c>
      <c r="G872" t="s">
        <v>324</v>
      </c>
    </row>
    <row r="873" spans="1:7" hidden="1" x14ac:dyDescent="0.25">
      <c r="A873" t="s">
        <v>2309</v>
      </c>
      <c r="B873" t="s">
        <v>1622</v>
      </c>
      <c r="C873" t="s">
        <v>1623</v>
      </c>
      <c r="D873">
        <v>853</v>
      </c>
      <c r="E873">
        <v>0</v>
      </c>
      <c r="F873">
        <v>0</v>
      </c>
      <c r="G873" t="s">
        <v>324</v>
      </c>
    </row>
    <row r="874" spans="1:7" hidden="1" x14ac:dyDescent="0.25">
      <c r="A874" t="s">
        <v>2309</v>
      </c>
      <c r="B874" t="s">
        <v>1624</v>
      </c>
      <c r="C874" t="s">
        <v>1625</v>
      </c>
      <c r="D874" s="147">
        <v>5787</v>
      </c>
      <c r="E874">
        <v>0</v>
      </c>
      <c r="F874">
        <v>0</v>
      </c>
      <c r="G874" t="s">
        <v>324</v>
      </c>
    </row>
    <row r="875" spans="1:7" hidden="1" x14ac:dyDescent="0.25">
      <c r="A875" t="s">
        <v>2309</v>
      </c>
      <c r="B875" t="s">
        <v>1626</v>
      </c>
      <c r="C875" t="s">
        <v>1627</v>
      </c>
      <c r="D875" s="147">
        <v>7000</v>
      </c>
      <c r="E875">
        <v>0</v>
      </c>
      <c r="F875">
        <v>0</v>
      </c>
      <c r="G875" t="s">
        <v>324</v>
      </c>
    </row>
    <row r="876" spans="1:7" hidden="1" x14ac:dyDescent="0.25">
      <c r="A876" t="s">
        <v>2309</v>
      </c>
      <c r="B876" t="s">
        <v>1628</v>
      </c>
      <c r="C876" t="s">
        <v>1629</v>
      </c>
      <c r="D876">
        <v>121</v>
      </c>
      <c r="E876">
        <v>0</v>
      </c>
      <c r="F876">
        <v>0</v>
      </c>
      <c r="G876" t="s">
        <v>324</v>
      </c>
    </row>
    <row r="877" spans="1:7" hidden="1" x14ac:dyDescent="0.25">
      <c r="A877" t="s">
        <v>2309</v>
      </c>
      <c r="B877" t="s">
        <v>1809</v>
      </c>
      <c r="C877" t="s">
        <v>1810</v>
      </c>
      <c r="D877" s="147">
        <v>1741</v>
      </c>
      <c r="E877">
        <v>0</v>
      </c>
      <c r="F877">
        <v>0</v>
      </c>
      <c r="G877" t="s">
        <v>324</v>
      </c>
    </row>
    <row r="878" spans="1:7" hidden="1" x14ac:dyDescent="0.25">
      <c r="A878" t="s">
        <v>2309</v>
      </c>
      <c r="B878" t="s">
        <v>1632</v>
      </c>
      <c r="C878" t="s">
        <v>1633</v>
      </c>
      <c r="D878" s="147">
        <v>2649</v>
      </c>
      <c r="E878">
        <v>0</v>
      </c>
      <c r="F878">
        <v>0</v>
      </c>
      <c r="G878" t="s">
        <v>324</v>
      </c>
    </row>
    <row r="879" spans="1:7" hidden="1" x14ac:dyDescent="0.25">
      <c r="A879" t="s">
        <v>2309</v>
      </c>
      <c r="B879" t="s">
        <v>1835</v>
      </c>
      <c r="C879" t="s">
        <v>1836</v>
      </c>
      <c r="D879" s="147">
        <v>4157</v>
      </c>
      <c r="E879">
        <v>0</v>
      </c>
      <c r="F879">
        <v>0</v>
      </c>
      <c r="G879" t="s">
        <v>324</v>
      </c>
    </row>
    <row r="880" spans="1:7" hidden="1" x14ac:dyDescent="0.25">
      <c r="A880" t="s">
        <v>2309</v>
      </c>
      <c r="B880" t="s">
        <v>1634</v>
      </c>
      <c r="C880" t="s">
        <v>1635</v>
      </c>
      <c r="D880" s="147">
        <v>1321</v>
      </c>
      <c r="E880">
        <v>0</v>
      </c>
      <c r="F880">
        <v>0</v>
      </c>
      <c r="G880" t="s">
        <v>324</v>
      </c>
    </row>
    <row r="881" spans="1:7" hidden="1" x14ac:dyDescent="0.25">
      <c r="A881" t="s">
        <v>2309</v>
      </c>
      <c r="B881" t="s">
        <v>1636</v>
      </c>
      <c r="C881" t="s">
        <v>1637</v>
      </c>
      <c r="D881">
        <v>152</v>
      </c>
      <c r="E881">
        <v>0</v>
      </c>
      <c r="F881">
        <v>0</v>
      </c>
      <c r="G881" t="s">
        <v>324</v>
      </c>
    </row>
    <row r="882" spans="1:7" hidden="1" x14ac:dyDescent="0.25">
      <c r="A882" t="s">
        <v>2309</v>
      </c>
      <c r="B882" t="s">
        <v>1638</v>
      </c>
      <c r="C882" t="s">
        <v>1688</v>
      </c>
      <c r="D882" s="147">
        <v>2816</v>
      </c>
      <c r="E882">
        <v>0</v>
      </c>
      <c r="F882">
        <v>0</v>
      </c>
      <c r="G882" t="s">
        <v>324</v>
      </c>
    </row>
    <row r="883" spans="1:7" hidden="1" x14ac:dyDescent="0.25">
      <c r="A883" t="s">
        <v>2309</v>
      </c>
      <c r="B883" t="s">
        <v>1639</v>
      </c>
      <c r="C883" t="s">
        <v>1640</v>
      </c>
      <c r="D883">
        <v>779</v>
      </c>
      <c r="E883">
        <v>0</v>
      </c>
      <c r="F883">
        <v>0</v>
      </c>
      <c r="G883" t="s">
        <v>324</v>
      </c>
    </row>
    <row r="884" spans="1:7" hidden="1" x14ac:dyDescent="0.25">
      <c r="A884" t="s">
        <v>2309</v>
      </c>
      <c r="B884" t="s">
        <v>1757</v>
      </c>
      <c r="C884" t="s">
        <v>1758</v>
      </c>
      <c r="D884" s="147">
        <v>9162</v>
      </c>
      <c r="E884">
        <v>0</v>
      </c>
      <c r="F884">
        <v>0</v>
      </c>
      <c r="G884" t="s">
        <v>324</v>
      </c>
    </row>
    <row r="885" spans="1:7" hidden="1" x14ac:dyDescent="0.25">
      <c r="A885" t="s">
        <v>2309</v>
      </c>
      <c r="B885" t="s">
        <v>1641</v>
      </c>
      <c r="C885" t="s">
        <v>1642</v>
      </c>
      <c r="D885" s="147">
        <v>1031</v>
      </c>
      <c r="E885">
        <v>0</v>
      </c>
      <c r="F885">
        <v>0</v>
      </c>
      <c r="G885" t="s">
        <v>324</v>
      </c>
    </row>
    <row r="886" spans="1:7" hidden="1" x14ac:dyDescent="0.25">
      <c r="A886" t="s">
        <v>2309</v>
      </c>
      <c r="B886" t="s">
        <v>1643</v>
      </c>
      <c r="C886" t="s">
        <v>1644</v>
      </c>
      <c r="D886" s="147">
        <v>2691</v>
      </c>
      <c r="E886">
        <v>0</v>
      </c>
      <c r="F886">
        <v>0</v>
      </c>
      <c r="G886" t="s">
        <v>324</v>
      </c>
    </row>
    <row r="887" spans="1:7" hidden="1" x14ac:dyDescent="0.25">
      <c r="A887" t="s">
        <v>2309</v>
      </c>
      <c r="B887" t="s">
        <v>1645</v>
      </c>
      <c r="C887" t="s">
        <v>1646</v>
      </c>
      <c r="D887">
        <v>618</v>
      </c>
      <c r="E887">
        <v>0</v>
      </c>
      <c r="F887">
        <v>0</v>
      </c>
      <c r="G887" t="s">
        <v>324</v>
      </c>
    </row>
    <row r="888" spans="1:7" hidden="1" x14ac:dyDescent="0.25">
      <c r="A888" t="s">
        <v>2309</v>
      </c>
      <c r="B888" t="s">
        <v>1647</v>
      </c>
      <c r="C888" t="s">
        <v>1648</v>
      </c>
      <c r="D888" s="147">
        <v>1155</v>
      </c>
      <c r="E888">
        <v>0</v>
      </c>
      <c r="F888">
        <v>0</v>
      </c>
      <c r="G888" t="s">
        <v>324</v>
      </c>
    </row>
    <row r="889" spans="1:7" hidden="1" x14ac:dyDescent="0.25">
      <c r="A889" t="s">
        <v>2309</v>
      </c>
      <c r="B889" t="s">
        <v>1649</v>
      </c>
      <c r="C889" t="s">
        <v>1650</v>
      </c>
      <c r="D889" s="147">
        <v>1904</v>
      </c>
      <c r="E889">
        <v>0</v>
      </c>
      <c r="F889">
        <v>0</v>
      </c>
      <c r="G889" t="s">
        <v>324</v>
      </c>
    </row>
    <row r="890" spans="1:7" hidden="1" x14ac:dyDescent="0.25">
      <c r="A890" t="s">
        <v>2309</v>
      </c>
      <c r="B890" t="s">
        <v>1651</v>
      </c>
      <c r="C890" t="s">
        <v>1950</v>
      </c>
      <c r="D890" s="147">
        <v>3795</v>
      </c>
      <c r="E890">
        <v>0</v>
      </c>
      <c r="F890">
        <v>0</v>
      </c>
      <c r="G890" t="s">
        <v>324</v>
      </c>
    </row>
    <row r="891" spans="1:7" hidden="1" x14ac:dyDescent="0.25">
      <c r="A891" t="s">
        <v>2309</v>
      </c>
      <c r="B891" t="s">
        <v>1652</v>
      </c>
      <c r="C891" t="s">
        <v>1653</v>
      </c>
      <c r="D891" s="147">
        <v>1441</v>
      </c>
      <c r="E891">
        <v>0</v>
      </c>
      <c r="F891">
        <v>0</v>
      </c>
      <c r="G891" t="s">
        <v>324</v>
      </c>
    </row>
    <row r="892" spans="1:7" hidden="1" x14ac:dyDescent="0.25">
      <c r="A892" t="s">
        <v>2309</v>
      </c>
      <c r="B892" t="s">
        <v>1781</v>
      </c>
      <c r="C892" t="s">
        <v>1782</v>
      </c>
      <c r="D892" s="147">
        <v>4506</v>
      </c>
      <c r="E892">
        <v>0</v>
      </c>
      <c r="F892">
        <v>0</v>
      </c>
      <c r="G892" t="s">
        <v>324</v>
      </c>
    </row>
    <row r="893" spans="1:7" hidden="1" x14ac:dyDescent="0.25">
      <c r="A893" t="s">
        <v>2309</v>
      </c>
      <c r="B893" t="s">
        <v>1654</v>
      </c>
      <c r="C893" t="s">
        <v>1655</v>
      </c>
      <c r="D893">
        <v>869</v>
      </c>
      <c r="E893">
        <v>0</v>
      </c>
      <c r="F893">
        <v>0</v>
      </c>
      <c r="G893" t="s">
        <v>324</v>
      </c>
    </row>
    <row r="894" spans="1:7" hidden="1" x14ac:dyDescent="0.25">
      <c r="A894" t="s">
        <v>2309</v>
      </c>
      <c r="B894" t="s">
        <v>1656</v>
      </c>
      <c r="C894" t="s">
        <v>1657</v>
      </c>
      <c r="D894">
        <v>187</v>
      </c>
      <c r="E894">
        <v>0</v>
      </c>
      <c r="F894">
        <v>0</v>
      </c>
      <c r="G894" t="s">
        <v>324</v>
      </c>
    </row>
    <row r="895" spans="1:7" hidden="1" x14ac:dyDescent="0.25">
      <c r="A895" t="s">
        <v>2309</v>
      </c>
      <c r="B895" t="s">
        <v>1658</v>
      </c>
      <c r="C895" t="s">
        <v>1659</v>
      </c>
      <c r="D895">
        <v>822</v>
      </c>
      <c r="E895">
        <v>0</v>
      </c>
      <c r="F895">
        <v>0</v>
      </c>
      <c r="G895" t="s">
        <v>324</v>
      </c>
    </row>
    <row r="896" spans="1:7" hidden="1" x14ac:dyDescent="0.25">
      <c r="A896" t="s">
        <v>2309</v>
      </c>
      <c r="B896" t="s">
        <v>1660</v>
      </c>
      <c r="C896" t="s">
        <v>1661</v>
      </c>
      <c r="D896">
        <v>858</v>
      </c>
      <c r="E896">
        <v>0</v>
      </c>
      <c r="F896">
        <v>0</v>
      </c>
      <c r="G896" t="s">
        <v>324</v>
      </c>
    </row>
    <row r="897" spans="1:7" hidden="1" x14ac:dyDescent="0.25">
      <c r="A897" t="s">
        <v>2309</v>
      </c>
      <c r="B897" t="s">
        <v>1662</v>
      </c>
      <c r="C897" t="s">
        <v>1663</v>
      </c>
      <c r="D897" s="147">
        <v>1307</v>
      </c>
      <c r="E897">
        <v>0</v>
      </c>
      <c r="F897">
        <v>0</v>
      </c>
      <c r="G897" t="s">
        <v>324</v>
      </c>
    </row>
    <row r="898" spans="1:7" hidden="1" x14ac:dyDescent="0.25">
      <c r="A898" t="s">
        <v>2309</v>
      </c>
      <c r="B898" t="s">
        <v>1664</v>
      </c>
      <c r="C898" t="s">
        <v>1665</v>
      </c>
      <c r="D898">
        <v>600</v>
      </c>
      <c r="E898">
        <v>0</v>
      </c>
      <c r="F898">
        <v>0</v>
      </c>
      <c r="G898" t="s">
        <v>324</v>
      </c>
    </row>
    <row r="899" spans="1:7" hidden="1" x14ac:dyDescent="0.25">
      <c r="A899" t="s">
        <v>2309</v>
      </c>
      <c r="B899" t="s">
        <v>1666</v>
      </c>
      <c r="C899" t="s">
        <v>1667</v>
      </c>
      <c r="D899" s="147">
        <v>1655</v>
      </c>
      <c r="E899">
        <v>0</v>
      </c>
      <c r="F899">
        <v>0</v>
      </c>
      <c r="G899" t="s">
        <v>324</v>
      </c>
    </row>
    <row r="900" spans="1:7" hidden="1" x14ac:dyDescent="0.25">
      <c r="A900" t="s">
        <v>2309</v>
      </c>
      <c r="B900" t="s">
        <v>2853</v>
      </c>
      <c r="C900" t="s">
        <v>2854</v>
      </c>
      <c r="D900">
        <v>253</v>
      </c>
      <c r="E900">
        <v>0</v>
      </c>
      <c r="F900">
        <v>0</v>
      </c>
      <c r="G900" t="s">
        <v>324</v>
      </c>
    </row>
    <row r="901" spans="1:7" hidden="1" x14ac:dyDescent="0.25">
      <c r="A901" t="s">
        <v>2309</v>
      </c>
      <c r="B901" t="s">
        <v>1668</v>
      </c>
      <c r="C901" t="s">
        <v>1669</v>
      </c>
      <c r="D901" s="147">
        <v>8205</v>
      </c>
      <c r="E901">
        <v>0</v>
      </c>
      <c r="F901">
        <v>0</v>
      </c>
      <c r="G901" t="s">
        <v>324</v>
      </c>
    </row>
    <row r="902" spans="1:7" hidden="1" x14ac:dyDescent="0.25">
      <c r="A902" t="s">
        <v>2309</v>
      </c>
      <c r="B902" t="s">
        <v>1670</v>
      </c>
      <c r="C902" t="s">
        <v>1671</v>
      </c>
      <c r="D902">
        <v>512</v>
      </c>
      <c r="E902">
        <v>0</v>
      </c>
      <c r="F902">
        <v>0</v>
      </c>
      <c r="G902" t="s">
        <v>324</v>
      </c>
    </row>
    <row r="903" spans="1:7" hidden="1" x14ac:dyDescent="0.25">
      <c r="A903" t="s">
        <v>2309</v>
      </c>
      <c r="B903" t="s">
        <v>1672</v>
      </c>
      <c r="C903" t="s">
        <v>1673</v>
      </c>
      <c r="D903" s="147">
        <v>3839</v>
      </c>
      <c r="E903">
        <v>0</v>
      </c>
      <c r="F903">
        <v>0</v>
      </c>
      <c r="G903" t="s">
        <v>324</v>
      </c>
    </row>
    <row r="904" spans="1:7" hidden="1" x14ac:dyDescent="0.25">
      <c r="A904" t="s">
        <v>2309</v>
      </c>
      <c r="B904" t="s">
        <v>1674</v>
      </c>
      <c r="C904" t="s">
        <v>1675</v>
      </c>
      <c r="D904" s="147">
        <v>6026</v>
      </c>
      <c r="E904">
        <v>0</v>
      </c>
      <c r="F904">
        <v>0</v>
      </c>
      <c r="G904" t="s">
        <v>324</v>
      </c>
    </row>
    <row r="905" spans="1:7" hidden="1" x14ac:dyDescent="0.25">
      <c r="A905" t="s">
        <v>2309</v>
      </c>
      <c r="B905" t="s">
        <v>1676</v>
      </c>
      <c r="C905" t="s">
        <v>1677</v>
      </c>
      <c r="D905" s="147">
        <v>1850</v>
      </c>
      <c r="E905">
        <v>0</v>
      </c>
      <c r="F905">
        <v>0</v>
      </c>
      <c r="G905" t="s">
        <v>324</v>
      </c>
    </row>
    <row r="906" spans="1:7" hidden="1" x14ac:dyDescent="0.25">
      <c r="A906" t="s">
        <v>2309</v>
      </c>
      <c r="B906" t="s">
        <v>1678</v>
      </c>
      <c r="C906" t="s">
        <v>1679</v>
      </c>
      <c r="D906" s="147">
        <v>12383</v>
      </c>
      <c r="E906">
        <v>0</v>
      </c>
      <c r="F906">
        <v>0</v>
      </c>
      <c r="G906" t="s">
        <v>324</v>
      </c>
    </row>
    <row r="907" spans="1:7" hidden="1" x14ac:dyDescent="0.25">
      <c r="A907" t="s">
        <v>2309</v>
      </c>
      <c r="B907" t="s">
        <v>1791</v>
      </c>
      <c r="C907" t="s">
        <v>1792</v>
      </c>
      <c r="D907" s="147">
        <v>6450</v>
      </c>
      <c r="E907">
        <v>0</v>
      </c>
      <c r="F907">
        <v>0</v>
      </c>
      <c r="G907" t="s">
        <v>324</v>
      </c>
    </row>
    <row r="908" spans="1:7" hidden="1" x14ac:dyDescent="0.25">
      <c r="A908" t="s">
        <v>2309</v>
      </c>
      <c r="B908" t="s">
        <v>1737</v>
      </c>
      <c r="C908" t="s">
        <v>1738</v>
      </c>
      <c r="D908" s="147">
        <v>1667</v>
      </c>
      <c r="E908">
        <v>0</v>
      </c>
      <c r="F908">
        <v>0</v>
      </c>
      <c r="G908" t="s">
        <v>324</v>
      </c>
    </row>
    <row r="909" spans="1:7" hidden="1" x14ac:dyDescent="0.25">
      <c r="A909" t="s">
        <v>2309</v>
      </c>
      <c r="B909" t="s">
        <v>2855</v>
      </c>
      <c r="C909" t="s">
        <v>2856</v>
      </c>
      <c r="D909" s="147">
        <v>38863</v>
      </c>
      <c r="E909">
        <v>0</v>
      </c>
      <c r="F909">
        <v>0</v>
      </c>
      <c r="G909" t="s">
        <v>324</v>
      </c>
    </row>
    <row r="910" spans="1:7" hidden="1" x14ac:dyDescent="0.25">
      <c r="A910" t="s">
        <v>2309</v>
      </c>
      <c r="B910" t="s">
        <v>2857</v>
      </c>
      <c r="C910" t="s">
        <v>2858</v>
      </c>
      <c r="D910">
        <v>915</v>
      </c>
      <c r="E910">
        <v>0</v>
      </c>
      <c r="F910">
        <v>0</v>
      </c>
      <c r="G910" t="s">
        <v>324</v>
      </c>
    </row>
    <row r="911" spans="1:7" hidden="1" x14ac:dyDescent="0.25">
      <c r="A911" t="s">
        <v>2309</v>
      </c>
      <c r="B911" t="s">
        <v>2859</v>
      </c>
      <c r="C911" t="s">
        <v>2860</v>
      </c>
      <c r="D911" s="147">
        <v>11565</v>
      </c>
      <c r="E911">
        <v>0</v>
      </c>
      <c r="F911">
        <v>0</v>
      </c>
      <c r="G911" t="s">
        <v>324</v>
      </c>
    </row>
    <row r="912" spans="1:7" hidden="1" x14ac:dyDescent="0.25">
      <c r="A912" t="s">
        <v>2309</v>
      </c>
      <c r="B912" t="s">
        <v>2861</v>
      </c>
      <c r="C912" t="s">
        <v>2862</v>
      </c>
      <c r="D912" s="147">
        <v>1868</v>
      </c>
      <c r="E912">
        <v>0</v>
      </c>
      <c r="F912">
        <v>0</v>
      </c>
      <c r="G912" t="s">
        <v>324</v>
      </c>
    </row>
    <row r="913" spans="1:7" hidden="1" x14ac:dyDescent="0.25">
      <c r="A913" t="s">
        <v>2309</v>
      </c>
      <c r="B913" t="s">
        <v>2863</v>
      </c>
      <c r="C913" t="s">
        <v>2864</v>
      </c>
      <c r="D913" s="147">
        <v>1268</v>
      </c>
      <c r="E913">
        <v>0</v>
      </c>
      <c r="F913">
        <v>0</v>
      </c>
      <c r="G913" t="s">
        <v>324</v>
      </c>
    </row>
    <row r="914" spans="1:7" hidden="1" x14ac:dyDescent="0.25">
      <c r="A914" t="s">
        <v>2309</v>
      </c>
      <c r="B914" t="s">
        <v>2865</v>
      </c>
      <c r="C914" t="s">
        <v>2866</v>
      </c>
      <c r="D914" s="147">
        <v>19925</v>
      </c>
      <c r="E914">
        <v>0</v>
      </c>
      <c r="F914">
        <v>0</v>
      </c>
      <c r="G914" t="s">
        <v>324</v>
      </c>
    </row>
    <row r="915" spans="1:7" hidden="1" x14ac:dyDescent="0.25">
      <c r="A915" t="s">
        <v>2309</v>
      </c>
      <c r="B915" t="s">
        <v>2867</v>
      </c>
      <c r="C915" t="s">
        <v>2868</v>
      </c>
      <c r="D915" s="147">
        <v>3379</v>
      </c>
      <c r="E915">
        <v>0</v>
      </c>
      <c r="F915">
        <v>0</v>
      </c>
      <c r="G915" t="s">
        <v>324</v>
      </c>
    </row>
    <row r="916" spans="1:7" hidden="1" x14ac:dyDescent="0.25">
      <c r="A916" t="s">
        <v>2309</v>
      </c>
      <c r="B916" t="s">
        <v>2869</v>
      </c>
      <c r="C916" t="s">
        <v>2870</v>
      </c>
      <c r="D916" s="147">
        <v>9806</v>
      </c>
      <c r="E916">
        <v>0</v>
      </c>
      <c r="F916">
        <v>0</v>
      </c>
      <c r="G916" t="s">
        <v>324</v>
      </c>
    </row>
    <row r="917" spans="1:7" hidden="1" x14ac:dyDescent="0.25">
      <c r="A917" t="s">
        <v>2309</v>
      </c>
      <c r="B917" t="s">
        <v>2871</v>
      </c>
      <c r="C917" t="s">
        <v>2872</v>
      </c>
      <c r="D917" s="147">
        <v>2417</v>
      </c>
      <c r="E917">
        <v>0</v>
      </c>
      <c r="F917">
        <v>0</v>
      </c>
      <c r="G917" t="s">
        <v>324</v>
      </c>
    </row>
    <row r="918" spans="1:7" hidden="1" x14ac:dyDescent="0.25">
      <c r="A918" t="s">
        <v>2309</v>
      </c>
      <c r="B918" t="s">
        <v>2873</v>
      </c>
      <c r="C918" t="s">
        <v>2874</v>
      </c>
      <c r="D918" s="147">
        <v>1253</v>
      </c>
      <c r="E918">
        <v>0</v>
      </c>
      <c r="F918">
        <v>0</v>
      </c>
      <c r="G918" t="s">
        <v>324</v>
      </c>
    </row>
    <row r="919" spans="1:7" hidden="1" x14ac:dyDescent="0.25">
      <c r="A919" t="s">
        <v>2309</v>
      </c>
      <c r="B919" t="s">
        <v>2875</v>
      </c>
      <c r="C919" t="s">
        <v>2876</v>
      </c>
      <c r="D919">
        <v>513</v>
      </c>
      <c r="E919">
        <v>0</v>
      </c>
      <c r="F919">
        <v>0</v>
      </c>
      <c r="G919" t="s">
        <v>324</v>
      </c>
    </row>
    <row r="920" spans="1:7" hidden="1" x14ac:dyDescent="0.25">
      <c r="A920" t="s">
        <v>2309</v>
      </c>
      <c r="B920" t="s">
        <v>2877</v>
      </c>
      <c r="C920" t="s">
        <v>2878</v>
      </c>
      <c r="D920" s="147">
        <v>2021</v>
      </c>
      <c r="E920">
        <v>0</v>
      </c>
      <c r="F920">
        <v>0</v>
      </c>
      <c r="G920" t="s">
        <v>324</v>
      </c>
    </row>
    <row r="921" spans="1:7" hidden="1" x14ac:dyDescent="0.25">
      <c r="A921" t="s">
        <v>2309</v>
      </c>
      <c r="B921" t="s">
        <v>2879</v>
      </c>
      <c r="C921" t="s">
        <v>2880</v>
      </c>
      <c r="D921" s="147">
        <v>4000</v>
      </c>
      <c r="E921">
        <v>0</v>
      </c>
      <c r="F921">
        <v>0</v>
      </c>
      <c r="G921" t="s">
        <v>324</v>
      </c>
    </row>
    <row r="922" spans="1:7" hidden="1" x14ac:dyDescent="0.25">
      <c r="A922" t="s">
        <v>2309</v>
      </c>
      <c r="B922" t="s">
        <v>1893</v>
      </c>
      <c r="C922" t="s">
        <v>1894</v>
      </c>
      <c r="D922">
        <v>185</v>
      </c>
      <c r="E922">
        <v>0</v>
      </c>
      <c r="F922">
        <v>0</v>
      </c>
      <c r="G922" t="s">
        <v>324</v>
      </c>
    </row>
    <row r="923" spans="1:7" hidden="1" x14ac:dyDescent="0.25">
      <c r="A923" t="s">
        <v>2309</v>
      </c>
      <c r="B923" t="s">
        <v>1680</v>
      </c>
      <c r="C923" t="s">
        <v>1681</v>
      </c>
      <c r="D923">
        <v>379</v>
      </c>
      <c r="E923">
        <v>0</v>
      </c>
      <c r="F923">
        <v>0</v>
      </c>
      <c r="G923" t="s">
        <v>324</v>
      </c>
    </row>
    <row r="924" spans="1:7" hidden="1" x14ac:dyDescent="0.25">
      <c r="A924" t="s">
        <v>2309</v>
      </c>
      <c r="B924" t="s">
        <v>1682</v>
      </c>
      <c r="C924" t="s">
        <v>1683</v>
      </c>
      <c r="D924">
        <v>256</v>
      </c>
      <c r="E924">
        <v>0</v>
      </c>
      <c r="F924">
        <v>0</v>
      </c>
      <c r="G924" t="s">
        <v>324</v>
      </c>
    </row>
    <row r="925" spans="1:7" hidden="1" x14ac:dyDescent="0.25">
      <c r="A925" t="s">
        <v>2309</v>
      </c>
      <c r="B925" t="s">
        <v>1684</v>
      </c>
      <c r="C925" t="s">
        <v>1685</v>
      </c>
      <c r="D925">
        <v>160</v>
      </c>
      <c r="E925">
        <v>0</v>
      </c>
      <c r="F925">
        <v>0</v>
      </c>
      <c r="G925" t="s">
        <v>324</v>
      </c>
    </row>
    <row r="926" spans="1:7" hidden="1" x14ac:dyDescent="0.25">
      <c r="A926" t="s">
        <v>2309</v>
      </c>
      <c r="B926" t="s">
        <v>2881</v>
      </c>
      <c r="C926" t="s">
        <v>2882</v>
      </c>
      <c r="D926" s="147">
        <v>1697</v>
      </c>
      <c r="E926">
        <v>0</v>
      </c>
      <c r="F926">
        <v>0</v>
      </c>
      <c r="G926" t="s">
        <v>324</v>
      </c>
    </row>
    <row r="927" spans="1:7" hidden="1" x14ac:dyDescent="0.25">
      <c r="A927" t="s">
        <v>2309</v>
      </c>
      <c r="B927" t="s">
        <v>2883</v>
      </c>
      <c r="C927" t="s">
        <v>2884</v>
      </c>
      <c r="D927" s="147">
        <v>16076</v>
      </c>
      <c r="E927">
        <v>0</v>
      </c>
      <c r="F927">
        <v>0</v>
      </c>
      <c r="G927" t="s">
        <v>324</v>
      </c>
    </row>
    <row r="928" spans="1:7" hidden="1" x14ac:dyDescent="0.25">
      <c r="A928" t="s">
        <v>2309</v>
      </c>
      <c r="B928" t="s">
        <v>1686</v>
      </c>
      <c r="C928" t="s">
        <v>1687</v>
      </c>
      <c r="D928">
        <v>800</v>
      </c>
      <c r="E928">
        <v>0</v>
      </c>
      <c r="F928">
        <v>0</v>
      </c>
      <c r="G928" t="s">
        <v>324</v>
      </c>
    </row>
    <row r="929" spans="1:7" hidden="1" x14ac:dyDescent="0.25">
      <c r="A929" t="s">
        <v>2309</v>
      </c>
      <c r="B929" t="s">
        <v>1739</v>
      </c>
      <c r="C929" t="s">
        <v>1740</v>
      </c>
      <c r="D929" s="147">
        <v>15847</v>
      </c>
      <c r="E929">
        <v>0</v>
      </c>
      <c r="F929">
        <v>0</v>
      </c>
      <c r="G929" t="s">
        <v>324</v>
      </c>
    </row>
    <row r="930" spans="1:7" hidden="1" x14ac:dyDescent="0.25">
      <c r="A930" t="s">
        <v>2309</v>
      </c>
      <c r="B930" t="s">
        <v>1741</v>
      </c>
      <c r="C930" t="s">
        <v>1742</v>
      </c>
      <c r="D930" s="147">
        <v>7098</v>
      </c>
      <c r="E930">
        <v>0</v>
      </c>
      <c r="F930">
        <v>0</v>
      </c>
      <c r="G930" t="s">
        <v>324</v>
      </c>
    </row>
    <row r="931" spans="1:7" hidden="1" x14ac:dyDescent="0.25">
      <c r="A931" t="s">
        <v>2309</v>
      </c>
      <c r="B931" t="s">
        <v>1743</v>
      </c>
      <c r="C931" t="s">
        <v>1744</v>
      </c>
      <c r="D931">
        <v>294</v>
      </c>
      <c r="E931">
        <v>0</v>
      </c>
      <c r="F931">
        <v>0</v>
      </c>
      <c r="G931" t="s">
        <v>324</v>
      </c>
    </row>
    <row r="932" spans="1:7" hidden="1" x14ac:dyDescent="0.25">
      <c r="A932" t="s">
        <v>2309</v>
      </c>
      <c r="B932" t="s">
        <v>1745</v>
      </c>
      <c r="C932" t="s">
        <v>1746</v>
      </c>
      <c r="D932">
        <v>133</v>
      </c>
      <c r="E932">
        <v>0</v>
      </c>
      <c r="F932">
        <v>0</v>
      </c>
      <c r="G932" t="s">
        <v>324</v>
      </c>
    </row>
    <row r="933" spans="1:7" hidden="1" x14ac:dyDescent="0.25">
      <c r="A933" t="s">
        <v>2309</v>
      </c>
      <c r="B933" t="s">
        <v>1749</v>
      </c>
      <c r="C933" t="s">
        <v>1750</v>
      </c>
      <c r="D933" s="147">
        <v>1116</v>
      </c>
      <c r="E933">
        <v>0</v>
      </c>
      <c r="F933">
        <v>0</v>
      </c>
      <c r="G933" t="s">
        <v>324</v>
      </c>
    </row>
    <row r="934" spans="1:7" hidden="1" x14ac:dyDescent="0.25">
      <c r="A934" t="s">
        <v>2309</v>
      </c>
      <c r="B934" t="s">
        <v>1751</v>
      </c>
      <c r="C934" t="s">
        <v>1752</v>
      </c>
      <c r="D934" s="147">
        <v>1287</v>
      </c>
      <c r="E934">
        <v>0</v>
      </c>
      <c r="F934">
        <v>0</v>
      </c>
      <c r="G934" t="s">
        <v>324</v>
      </c>
    </row>
    <row r="935" spans="1:7" hidden="1" x14ac:dyDescent="0.25">
      <c r="A935" t="s">
        <v>2309</v>
      </c>
      <c r="B935" t="s">
        <v>1753</v>
      </c>
      <c r="C935" t="s">
        <v>1754</v>
      </c>
      <c r="D935" s="147">
        <v>12766</v>
      </c>
      <c r="E935">
        <v>0</v>
      </c>
      <c r="F935">
        <v>0</v>
      </c>
      <c r="G935" t="s">
        <v>324</v>
      </c>
    </row>
    <row r="936" spans="1:7" hidden="1" x14ac:dyDescent="0.25">
      <c r="A936" t="s">
        <v>2309</v>
      </c>
      <c r="B936" t="s">
        <v>1761</v>
      </c>
      <c r="C936" t="s">
        <v>1762</v>
      </c>
      <c r="D936">
        <v>146</v>
      </c>
      <c r="E936">
        <v>0</v>
      </c>
      <c r="F936">
        <v>0</v>
      </c>
      <c r="G936" t="s">
        <v>324</v>
      </c>
    </row>
    <row r="937" spans="1:7" hidden="1" x14ac:dyDescent="0.25">
      <c r="A937" t="s">
        <v>2309</v>
      </c>
      <c r="B937" t="s">
        <v>1903</v>
      </c>
      <c r="C937" t="s">
        <v>1904</v>
      </c>
      <c r="D937">
        <v>317</v>
      </c>
      <c r="E937">
        <v>0</v>
      </c>
      <c r="F937">
        <v>0</v>
      </c>
      <c r="G937" t="s">
        <v>324</v>
      </c>
    </row>
    <row r="938" spans="1:7" hidden="1" x14ac:dyDescent="0.25">
      <c r="A938" t="s">
        <v>2309</v>
      </c>
      <c r="B938" t="s">
        <v>1773</v>
      </c>
      <c r="C938" t="s">
        <v>1774</v>
      </c>
      <c r="D938">
        <v>847</v>
      </c>
      <c r="E938">
        <v>0</v>
      </c>
      <c r="F938">
        <v>0</v>
      </c>
      <c r="G938" t="s">
        <v>324</v>
      </c>
    </row>
    <row r="939" spans="1:7" hidden="1" x14ac:dyDescent="0.25">
      <c r="A939" t="s">
        <v>2309</v>
      </c>
      <c r="B939" t="s">
        <v>1771</v>
      </c>
      <c r="C939" t="s">
        <v>1772</v>
      </c>
      <c r="D939" s="147">
        <v>1034</v>
      </c>
      <c r="E939">
        <v>0</v>
      </c>
      <c r="F939">
        <v>0</v>
      </c>
      <c r="G939" t="s">
        <v>324</v>
      </c>
    </row>
    <row r="940" spans="1:7" hidden="1" x14ac:dyDescent="0.25">
      <c r="A940" t="s">
        <v>2309</v>
      </c>
      <c r="B940" t="s">
        <v>1767</v>
      </c>
      <c r="C940" t="s">
        <v>1768</v>
      </c>
      <c r="D940" s="147">
        <v>1450</v>
      </c>
      <c r="E940">
        <v>0</v>
      </c>
      <c r="F940">
        <v>0</v>
      </c>
      <c r="G940" t="s">
        <v>324</v>
      </c>
    </row>
    <row r="941" spans="1:7" hidden="1" x14ac:dyDescent="0.25">
      <c r="A941" t="s">
        <v>2309</v>
      </c>
      <c r="B941" t="s">
        <v>1769</v>
      </c>
      <c r="C941" t="s">
        <v>1770</v>
      </c>
      <c r="D941">
        <v>250</v>
      </c>
      <c r="E941">
        <v>0</v>
      </c>
      <c r="F941">
        <v>0</v>
      </c>
      <c r="G941" t="s">
        <v>324</v>
      </c>
    </row>
    <row r="942" spans="1:7" hidden="1" x14ac:dyDescent="0.25">
      <c r="A942" t="s">
        <v>2309</v>
      </c>
      <c r="B942" t="s">
        <v>1765</v>
      </c>
      <c r="C942" t="s">
        <v>1766</v>
      </c>
      <c r="D942" s="147">
        <v>2000</v>
      </c>
      <c r="E942">
        <v>0</v>
      </c>
      <c r="F942">
        <v>0</v>
      </c>
      <c r="G942" t="s">
        <v>324</v>
      </c>
    </row>
    <row r="943" spans="1:7" hidden="1" x14ac:dyDescent="0.25">
      <c r="A943" t="s">
        <v>2309</v>
      </c>
      <c r="B943" t="s">
        <v>1785</v>
      </c>
      <c r="C943" t="s">
        <v>1786</v>
      </c>
      <c r="D943" s="147">
        <v>4292</v>
      </c>
      <c r="E943">
        <v>0</v>
      </c>
      <c r="F943">
        <v>0</v>
      </c>
      <c r="G943" t="s">
        <v>324</v>
      </c>
    </row>
    <row r="944" spans="1:7" hidden="1" x14ac:dyDescent="0.25">
      <c r="A944" t="s">
        <v>2309</v>
      </c>
      <c r="B944" t="s">
        <v>1787</v>
      </c>
      <c r="C944" t="s">
        <v>1788</v>
      </c>
      <c r="D944">
        <v>750</v>
      </c>
      <c r="E944">
        <v>0</v>
      </c>
      <c r="F944">
        <v>0</v>
      </c>
      <c r="G944" t="s">
        <v>324</v>
      </c>
    </row>
    <row r="945" spans="1:7" hidden="1" x14ac:dyDescent="0.25">
      <c r="A945" t="s">
        <v>2309</v>
      </c>
      <c r="B945" t="s">
        <v>1803</v>
      </c>
      <c r="C945" t="s">
        <v>1804</v>
      </c>
      <c r="D945">
        <v>130</v>
      </c>
      <c r="E945">
        <v>0</v>
      </c>
      <c r="F945">
        <v>0</v>
      </c>
      <c r="G945" t="s">
        <v>324</v>
      </c>
    </row>
    <row r="946" spans="1:7" hidden="1" x14ac:dyDescent="0.25">
      <c r="A946" t="s">
        <v>2309</v>
      </c>
      <c r="B946" t="s">
        <v>1805</v>
      </c>
      <c r="C946" t="s">
        <v>1806</v>
      </c>
      <c r="D946" s="147">
        <v>12532</v>
      </c>
      <c r="E946">
        <v>0</v>
      </c>
      <c r="F946">
        <v>0</v>
      </c>
      <c r="G946" t="s">
        <v>324</v>
      </c>
    </row>
    <row r="947" spans="1:7" hidden="1" x14ac:dyDescent="0.25">
      <c r="A947" t="s">
        <v>2309</v>
      </c>
      <c r="B947" t="s">
        <v>5228</v>
      </c>
      <c r="C947" t="s">
        <v>5230</v>
      </c>
      <c r="D947" s="147">
        <v>2119</v>
      </c>
      <c r="E947">
        <v>0</v>
      </c>
      <c r="F947">
        <v>0</v>
      </c>
      <c r="G947" t="s">
        <v>324</v>
      </c>
    </row>
    <row r="948" spans="1:7" hidden="1" x14ac:dyDescent="0.25">
      <c r="A948" t="s">
        <v>2309</v>
      </c>
      <c r="B948" t="s">
        <v>1797</v>
      </c>
      <c r="C948" t="s">
        <v>1798</v>
      </c>
      <c r="D948" s="147">
        <v>2224</v>
      </c>
      <c r="E948">
        <v>0</v>
      </c>
      <c r="F948">
        <v>0</v>
      </c>
      <c r="G948" t="s">
        <v>324</v>
      </c>
    </row>
    <row r="949" spans="1:7" hidden="1" x14ac:dyDescent="0.25">
      <c r="A949" t="s">
        <v>2309</v>
      </c>
      <c r="B949" t="s">
        <v>1811</v>
      </c>
      <c r="C949" t="s">
        <v>1815</v>
      </c>
      <c r="D949" s="147">
        <v>1100</v>
      </c>
      <c r="E949">
        <v>0</v>
      </c>
      <c r="F949">
        <v>0</v>
      </c>
      <c r="G949" t="s">
        <v>324</v>
      </c>
    </row>
    <row r="950" spans="1:7" hidden="1" x14ac:dyDescent="0.25">
      <c r="A950" t="s">
        <v>2309</v>
      </c>
      <c r="B950" t="s">
        <v>1832</v>
      </c>
      <c r="C950" t="s">
        <v>1833</v>
      </c>
      <c r="D950">
        <v>814</v>
      </c>
      <c r="E950">
        <v>0</v>
      </c>
      <c r="F950">
        <v>0</v>
      </c>
      <c r="G950" t="s">
        <v>324</v>
      </c>
    </row>
    <row r="951" spans="1:7" hidden="1" x14ac:dyDescent="0.25">
      <c r="A951" t="s">
        <v>2309</v>
      </c>
      <c r="B951" t="s">
        <v>1830</v>
      </c>
      <c r="C951" t="s">
        <v>1831</v>
      </c>
      <c r="D951" s="147">
        <v>22500</v>
      </c>
      <c r="E951">
        <v>0</v>
      </c>
      <c r="F951">
        <v>0</v>
      </c>
      <c r="G951" t="s">
        <v>324</v>
      </c>
    </row>
    <row r="952" spans="1:7" hidden="1" x14ac:dyDescent="0.25">
      <c r="A952" t="s">
        <v>2309</v>
      </c>
      <c r="B952" t="s">
        <v>2885</v>
      </c>
      <c r="C952" t="s">
        <v>2886</v>
      </c>
      <c r="D952" s="147">
        <v>5529</v>
      </c>
      <c r="E952">
        <v>0</v>
      </c>
      <c r="F952">
        <v>0</v>
      </c>
      <c r="G952" t="s">
        <v>324</v>
      </c>
    </row>
    <row r="953" spans="1:7" hidden="1" x14ac:dyDescent="0.25">
      <c r="A953" t="s">
        <v>2309</v>
      </c>
      <c r="B953" t="s">
        <v>1837</v>
      </c>
      <c r="C953" t="s">
        <v>1838</v>
      </c>
      <c r="D953" s="147">
        <v>3942</v>
      </c>
      <c r="E953">
        <v>0</v>
      </c>
      <c r="F953">
        <v>0</v>
      </c>
      <c r="G953" t="s">
        <v>324</v>
      </c>
    </row>
    <row r="954" spans="1:7" hidden="1" x14ac:dyDescent="0.25">
      <c r="A954" t="s">
        <v>2309</v>
      </c>
      <c r="B954" t="s">
        <v>1862</v>
      </c>
      <c r="C954" t="s">
        <v>1863</v>
      </c>
      <c r="D954" s="147">
        <v>6665</v>
      </c>
      <c r="E954">
        <v>0</v>
      </c>
      <c r="F954">
        <v>0</v>
      </c>
      <c r="G954" t="s">
        <v>324</v>
      </c>
    </row>
    <row r="955" spans="1:7" hidden="1" x14ac:dyDescent="0.25">
      <c r="A955" t="s">
        <v>2309</v>
      </c>
      <c r="B955" t="s">
        <v>1843</v>
      </c>
      <c r="C955" t="s">
        <v>1844</v>
      </c>
      <c r="D955" s="147">
        <v>1704</v>
      </c>
      <c r="E955">
        <v>0</v>
      </c>
      <c r="F955">
        <v>0</v>
      </c>
      <c r="G955" t="s">
        <v>324</v>
      </c>
    </row>
    <row r="956" spans="1:7" hidden="1" x14ac:dyDescent="0.25">
      <c r="A956" t="s">
        <v>2309</v>
      </c>
      <c r="B956" t="s">
        <v>1851</v>
      </c>
      <c r="C956" t="s">
        <v>1852</v>
      </c>
      <c r="D956">
        <v>164</v>
      </c>
      <c r="E956">
        <v>0</v>
      </c>
      <c r="F956">
        <v>0</v>
      </c>
      <c r="G956" t="s">
        <v>324</v>
      </c>
    </row>
    <row r="957" spans="1:7" hidden="1" x14ac:dyDescent="0.25">
      <c r="A957" t="s">
        <v>2309</v>
      </c>
      <c r="B957" t="s">
        <v>1860</v>
      </c>
      <c r="C957" t="s">
        <v>1861</v>
      </c>
      <c r="D957">
        <v>831</v>
      </c>
      <c r="E957">
        <v>0</v>
      </c>
      <c r="F957">
        <v>0</v>
      </c>
      <c r="G957" t="s">
        <v>324</v>
      </c>
    </row>
    <row r="958" spans="1:7" hidden="1" x14ac:dyDescent="0.25">
      <c r="A958" t="s">
        <v>2309</v>
      </c>
      <c r="B958" t="s">
        <v>1858</v>
      </c>
      <c r="C958" t="s">
        <v>1859</v>
      </c>
      <c r="D958">
        <v>100</v>
      </c>
      <c r="E958">
        <v>0</v>
      </c>
      <c r="F958">
        <v>0</v>
      </c>
      <c r="G958" t="s">
        <v>324</v>
      </c>
    </row>
    <row r="959" spans="1:7" hidden="1" x14ac:dyDescent="0.25">
      <c r="A959" t="s">
        <v>2309</v>
      </c>
      <c r="B959" t="s">
        <v>1891</v>
      </c>
      <c r="C959" t="s">
        <v>1892</v>
      </c>
      <c r="D959" s="147">
        <v>1073</v>
      </c>
      <c r="E959">
        <v>0</v>
      </c>
      <c r="F959">
        <v>0</v>
      </c>
      <c r="G959" t="s">
        <v>324</v>
      </c>
    </row>
    <row r="960" spans="1:7" hidden="1" x14ac:dyDescent="0.25">
      <c r="A960" t="s">
        <v>2309</v>
      </c>
      <c r="B960" t="s">
        <v>1866</v>
      </c>
      <c r="C960" t="s">
        <v>1867</v>
      </c>
      <c r="D960" s="147">
        <v>1264</v>
      </c>
      <c r="E960">
        <v>0</v>
      </c>
      <c r="F960">
        <v>0</v>
      </c>
      <c r="G960" t="s">
        <v>324</v>
      </c>
    </row>
    <row r="961" spans="1:7" hidden="1" x14ac:dyDescent="0.25">
      <c r="A961" t="s">
        <v>2309</v>
      </c>
      <c r="B961" t="s">
        <v>2887</v>
      </c>
      <c r="C961" t="s">
        <v>2888</v>
      </c>
      <c r="D961" s="147">
        <v>7009</v>
      </c>
      <c r="E961">
        <v>0</v>
      </c>
      <c r="F961">
        <v>0</v>
      </c>
      <c r="G961" t="s">
        <v>324</v>
      </c>
    </row>
    <row r="962" spans="1:7" hidden="1" x14ac:dyDescent="0.25">
      <c r="A962" t="s">
        <v>2309</v>
      </c>
      <c r="B962" t="s">
        <v>2889</v>
      </c>
      <c r="C962" t="s">
        <v>2890</v>
      </c>
      <c r="D962" s="147">
        <v>1676</v>
      </c>
      <c r="E962">
        <v>0</v>
      </c>
      <c r="F962">
        <v>0</v>
      </c>
      <c r="G962" t="s">
        <v>324</v>
      </c>
    </row>
    <row r="963" spans="1:7" hidden="1" x14ac:dyDescent="0.25">
      <c r="A963" t="s">
        <v>2309</v>
      </c>
      <c r="B963" t="s">
        <v>1869</v>
      </c>
      <c r="C963" t="s">
        <v>1870</v>
      </c>
      <c r="D963" s="147">
        <v>1090</v>
      </c>
      <c r="E963">
        <v>0</v>
      </c>
      <c r="F963">
        <v>0</v>
      </c>
      <c r="G963" t="s">
        <v>324</v>
      </c>
    </row>
    <row r="964" spans="1:7" hidden="1" x14ac:dyDescent="0.25">
      <c r="A964" t="s">
        <v>2309</v>
      </c>
      <c r="B964" t="s">
        <v>1896</v>
      </c>
      <c r="C964" t="s">
        <v>1897</v>
      </c>
      <c r="D964" s="147">
        <v>1375</v>
      </c>
      <c r="E964">
        <v>0</v>
      </c>
      <c r="F964">
        <v>0</v>
      </c>
      <c r="G964" t="s">
        <v>324</v>
      </c>
    </row>
    <row r="965" spans="1:7" hidden="1" x14ac:dyDescent="0.25">
      <c r="A965" t="s">
        <v>2309</v>
      </c>
      <c r="B965" t="s">
        <v>2891</v>
      </c>
      <c r="C965" t="s">
        <v>2892</v>
      </c>
      <c r="D965" s="147">
        <v>1204</v>
      </c>
      <c r="E965">
        <v>0</v>
      </c>
      <c r="F965">
        <v>0</v>
      </c>
      <c r="G965" t="s">
        <v>324</v>
      </c>
    </row>
    <row r="966" spans="1:7" hidden="1" x14ac:dyDescent="0.25">
      <c r="A966" t="s">
        <v>2309</v>
      </c>
      <c r="B966" t="s">
        <v>1871</v>
      </c>
      <c r="C966" t="s">
        <v>1872</v>
      </c>
      <c r="D966" s="147">
        <v>6705</v>
      </c>
      <c r="E966">
        <v>0</v>
      </c>
      <c r="F966">
        <v>0</v>
      </c>
      <c r="G966" t="s">
        <v>324</v>
      </c>
    </row>
    <row r="967" spans="1:7" hidden="1" x14ac:dyDescent="0.25">
      <c r="A967" t="s">
        <v>2309</v>
      </c>
      <c r="B967" t="s">
        <v>2893</v>
      </c>
      <c r="C967" t="s">
        <v>2423</v>
      </c>
      <c r="D967" s="147">
        <v>14500</v>
      </c>
      <c r="E967">
        <v>0</v>
      </c>
      <c r="F967">
        <v>0</v>
      </c>
      <c r="G967" t="s">
        <v>324</v>
      </c>
    </row>
    <row r="968" spans="1:7" hidden="1" x14ac:dyDescent="0.25">
      <c r="A968" t="s">
        <v>2309</v>
      </c>
      <c r="B968" t="s">
        <v>1873</v>
      </c>
      <c r="C968" t="s">
        <v>1874</v>
      </c>
      <c r="D968" s="147">
        <v>2000</v>
      </c>
      <c r="E968">
        <v>0</v>
      </c>
      <c r="F968">
        <v>0</v>
      </c>
      <c r="G968" t="s">
        <v>324</v>
      </c>
    </row>
    <row r="969" spans="1:7" hidden="1" x14ac:dyDescent="0.25">
      <c r="A969" t="s">
        <v>2309</v>
      </c>
      <c r="B969" t="s">
        <v>1875</v>
      </c>
      <c r="C969" t="s">
        <v>1876</v>
      </c>
      <c r="D969" s="147">
        <v>4000</v>
      </c>
      <c r="E969">
        <v>0</v>
      </c>
      <c r="F969">
        <v>0</v>
      </c>
      <c r="G969" t="s">
        <v>324</v>
      </c>
    </row>
    <row r="970" spans="1:7" hidden="1" x14ac:dyDescent="0.25">
      <c r="A970" t="s">
        <v>2309</v>
      </c>
      <c r="B970" t="s">
        <v>1877</v>
      </c>
      <c r="C970" t="s">
        <v>1878</v>
      </c>
      <c r="D970" s="147">
        <v>12370</v>
      </c>
      <c r="E970">
        <v>0</v>
      </c>
      <c r="F970">
        <v>0</v>
      </c>
      <c r="G970" t="s">
        <v>324</v>
      </c>
    </row>
    <row r="971" spans="1:7" hidden="1" x14ac:dyDescent="0.25">
      <c r="A971" t="s">
        <v>2309</v>
      </c>
      <c r="B971" t="s">
        <v>1879</v>
      </c>
      <c r="C971" t="s">
        <v>1880</v>
      </c>
      <c r="D971" s="147">
        <v>13500</v>
      </c>
      <c r="E971">
        <v>0</v>
      </c>
      <c r="F971">
        <v>0</v>
      </c>
      <c r="G971" t="s">
        <v>324</v>
      </c>
    </row>
    <row r="972" spans="1:7" hidden="1" x14ac:dyDescent="0.25">
      <c r="A972" t="s">
        <v>2309</v>
      </c>
      <c r="B972" t="s">
        <v>1881</v>
      </c>
      <c r="C972" t="s">
        <v>1882</v>
      </c>
      <c r="D972" s="147">
        <v>18500</v>
      </c>
      <c r="E972">
        <v>0</v>
      </c>
      <c r="F972">
        <v>0</v>
      </c>
      <c r="G972" t="s">
        <v>324</v>
      </c>
    </row>
    <row r="973" spans="1:7" hidden="1" x14ac:dyDescent="0.25">
      <c r="A973" t="s">
        <v>2309</v>
      </c>
      <c r="B973" t="s">
        <v>1883</v>
      </c>
      <c r="C973" t="s">
        <v>1884</v>
      </c>
      <c r="D973">
        <v>500</v>
      </c>
      <c r="E973">
        <v>0</v>
      </c>
      <c r="F973">
        <v>0</v>
      </c>
      <c r="G973" t="s">
        <v>324</v>
      </c>
    </row>
    <row r="974" spans="1:7" hidden="1" x14ac:dyDescent="0.25">
      <c r="A974" t="s">
        <v>2309</v>
      </c>
      <c r="B974" t="s">
        <v>1887</v>
      </c>
      <c r="C974" t="s">
        <v>1888</v>
      </c>
      <c r="D974">
        <v>467</v>
      </c>
      <c r="E974">
        <v>0</v>
      </c>
      <c r="F974">
        <v>0</v>
      </c>
      <c r="G974" t="s">
        <v>324</v>
      </c>
    </row>
    <row r="975" spans="1:7" hidden="1" x14ac:dyDescent="0.25">
      <c r="A975" t="s">
        <v>2309</v>
      </c>
      <c r="B975" t="s">
        <v>1941</v>
      </c>
      <c r="C975" t="s">
        <v>1942</v>
      </c>
      <c r="D975" s="147">
        <v>1490</v>
      </c>
      <c r="E975">
        <v>0</v>
      </c>
      <c r="F975">
        <v>0</v>
      </c>
      <c r="G975" t="s">
        <v>324</v>
      </c>
    </row>
    <row r="976" spans="1:7" hidden="1" x14ac:dyDescent="0.25">
      <c r="A976" t="s">
        <v>2309</v>
      </c>
      <c r="B976" t="s">
        <v>1939</v>
      </c>
      <c r="C976" t="s">
        <v>1940</v>
      </c>
      <c r="D976" s="147">
        <v>1426</v>
      </c>
      <c r="E976">
        <v>0</v>
      </c>
      <c r="F976">
        <v>0</v>
      </c>
      <c r="G976" t="s">
        <v>324</v>
      </c>
    </row>
    <row r="977" spans="1:7" hidden="1" x14ac:dyDescent="0.25">
      <c r="A977" t="s">
        <v>2309</v>
      </c>
      <c r="B977" t="s">
        <v>1943</v>
      </c>
      <c r="C977" t="s">
        <v>1944</v>
      </c>
      <c r="D977">
        <v>500</v>
      </c>
      <c r="E977">
        <v>0</v>
      </c>
      <c r="F977">
        <v>0</v>
      </c>
      <c r="G977" t="s">
        <v>324</v>
      </c>
    </row>
    <row r="978" spans="1:7" hidden="1" x14ac:dyDescent="0.25">
      <c r="A978" t="s">
        <v>2309</v>
      </c>
      <c r="B978" t="s">
        <v>1945</v>
      </c>
      <c r="C978" t="s">
        <v>1946</v>
      </c>
      <c r="D978" s="147">
        <v>3165</v>
      </c>
      <c r="E978">
        <v>0</v>
      </c>
      <c r="F978">
        <v>0</v>
      </c>
      <c r="G978" t="s">
        <v>324</v>
      </c>
    </row>
    <row r="979" spans="1:7" hidden="1" x14ac:dyDescent="0.25">
      <c r="A979" t="s">
        <v>2309</v>
      </c>
      <c r="B979" t="s">
        <v>2976</v>
      </c>
      <c r="C979" t="s">
        <v>2977</v>
      </c>
      <c r="D979" s="147">
        <v>4556</v>
      </c>
      <c r="E979">
        <v>0</v>
      </c>
      <c r="F979">
        <v>0</v>
      </c>
      <c r="G979" t="s">
        <v>324</v>
      </c>
    </row>
    <row r="980" spans="1:7" hidden="1" x14ac:dyDescent="0.25">
      <c r="A980" t="s">
        <v>2309</v>
      </c>
      <c r="B980" t="s">
        <v>1912</v>
      </c>
      <c r="C980" t="s">
        <v>1913</v>
      </c>
      <c r="D980" s="147">
        <v>1168</v>
      </c>
      <c r="E980">
        <v>0</v>
      </c>
      <c r="F980">
        <v>0</v>
      </c>
      <c r="G980" t="s">
        <v>324</v>
      </c>
    </row>
    <row r="981" spans="1:7" hidden="1" x14ac:dyDescent="0.25">
      <c r="A981" t="s">
        <v>2309</v>
      </c>
      <c r="B981" t="s">
        <v>1908</v>
      </c>
      <c r="C981" t="s">
        <v>1909</v>
      </c>
      <c r="D981" s="147">
        <v>1552</v>
      </c>
      <c r="E981">
        <v>0</v>
      </c>
      <c r="F981">
        <v>0</v>
      </c>
      <c r="G981" t="s">
        <v>324</v>
      </c>
    </row>
    <row r="982" spans="1:7" hidden="1" x14ac:dyDescent="0.25">
      <c r="A982" t="s">
        <v>2309</v>
      </c>
      <c r="B982" t="s">
        <v>1921</v>
      </c>
      <c r="C982" t="s">
        <v>1922</v>
      </c>
      <c r="D982" s="147">
        <v>1033</v>
      </c>
      <c r="E982">
        <v>0</v>
      </c>
      <c r="F982">
        <v>0</v>
      </c>
      <c r="G982" t="s">
        <v>324</v>
      </c>
    </row>
    <row r="983" spans="1:7" hidden="1" x14ac:dyDescent="0.25">
      <c r="A983" t="s">
        <v>2309</v>
      </c>
      <c r="B983" t="s">
        <v>1919</v>
      </c>
      <c r="C983" t="s">
        <v>1920</v>
      </c>
      <c r="D983" s="147">
        <v>1213</v>
      </c>
      <c r="E983">
        <v>0</v>
      </c>
      <c r="F983">
        <v>0</v>
      </c>
      <c r="G983" t="s">
        <v>324</v>
      </c>
    </row>
    <row r="984" spans="1:7" hidden="1" x14ac:dyDescent="0.25">
      <c r="A984" t="s">
        <v>2309</v>
      </c>
      <c r="B984" t="s">
        <v>1898</v>
      </c>
      <c r="C984" t="s">
        <v>1899</v>
      </c>
      <c r="D984">
        <v>100</v>
      </c>
      <c r="E984">
        <v>0</v>
      </c>
      <c r="F984">
        <v>0</v>
      </c>
      <c r="G984" t="s">
        <v>324</v>
      </c>
    </row>
    <row r="985" spans="1:7" hidden="1" x14ac:dyDescent="0.25">
      <c r="A985" t="s">
        <v>2309</v>
      </c>
      <c r="B985" t="s">
        <v>2894</v>
      </c>
      <c r="C985" t="s">
        <v>2895</v>
      </c>
      <c r="D985" s="147">
        <v>26413</v>
      </c>
      <c r="E985">
        <v>0</v>
      </c>
      <c r="F985">
        <v>0</v>
      </c>
      <c r="G985" t="s">
        <v>324</v>
      </c>
    </row>
    <row r="986" spans="1:7" hidden="1" x14ac:dyDescent="0.25">
      <c r="A986" t="s">
        <v>2309</v>
      </c>
      <c r="B986" t="s">
        <v>1923</v>
      </c>
      <c r="C986" t="s">
        <v>1924</v>
      </c>
      <c r="D986" s="147">
        <v>2632</v>
      </c>
      <c r="E986">
        <v>0</v>
      </c>
      <c r="F986">
        <v>0</v>
      </c>
      <c r="G986" t="s">
        <v>324</v>
      </c>
    </row>
    <row r="987" spans="1:7" hidden="1" x14ac:dyDescent="0.25">
      <c r="A987" t="s">
        <v>2309</v>
      </c>
      <c r="B987" t="s">
        <v>1910</v>
      </c>
      <c r="C987" t="s">
        <v>1911</v>
      </c>
      <c r="D987" s="147">
        <v>1001</v>
      </c>
      <c r="E987">
        <v>0</v>
      </c>
      <c r="F987">
        <v>0</v>
      </c>
      <c r="G987" t="s">
        <v>324</v>
      </c>
    </row>
    <row r="988" spans="1:7" hidden="1" x14ac:dyDescent="0.25">
      <c r="A988" t="s">
        <v>2309</v>
      </c>
      <c r="B988" t="s">
        <v>1914</v>
      </c>
      <c r="C988" t="s">
        <v>1915</v>
      </c>
      <c r="D988">
        <v>400</v>
      </c>
      <c r="E988">
        <v>0</v>
      </c>
      <c r="F988">
        <v>0</v>
      </c>
      <c r="G988" t="s">
        <v>324</v>
      </c>
    </row>
    <row r="989" spans="1:7" hidden="1" x14ac:dyDescent="0.25">
      <c r="A989" t="s">
        <v>2309</v>
      </c>
      <c r="B989" t="s">
        <v>1916</v>
      </c>
      <c r="C989" t="s">
        <v>1917</v>
      </c>
      <c r="D989" s="147">
        <v>5500</v>
      </c>
      <c r="E989">
        <v>0</v>
      </c>
      <c r="F989">
        <v>0</v>
      </c>
      <c r="G989" t="s">
        <v>324</v>
      </c>
    </row>
    <row r="990" spans="1:7" hidden="1" x14ac:dyDescent="0.25">
      <c r="A990" t="s">
        <v>2309</v>
      </c>
      <c r="B990" t="s">
        <v>2896</v>
      </c>
      <c r="C990" t="s">
        <v>2897</v>
      </c>
      <c r="D990" s="147">
        <v>10132</v>
      </c>
      <c r="E990">
        <v>0</v>
      </c>
      <c r="F990">
        <v>0</v>
      </c>
      <c r="G990" t="s">
        <v>324</v>
      </c>
    </row>
    <row r="991" spans="1:7" hidden="1" x14ac:dyDescent="0.25">
      <c r="A991" t="s">
        <v>2309</v>
      </c>
      <c r="B991" t="s">
        <v>2898</v>
      </c>
      <c r="C991" t="s">
        <v>2899</v>
      </c>
      <c r="D991" s="147">
        <v>31914</v>
      </c>
      <c r="E991">
        <v>0</v>
      </c>
      <c r="F991">
        <v>0</v>
      </c>
      <c r="G991" t="s">
        <v>324</v>
      </c>
    </row>
    <row r="992" spans="1:7" hidden="1" x14ac:dyDescent="0.25">
      <c r="A992" t="s">
        <v>2309</v>
      </c>
      <c r="B992" t="s">
        <v>1930</v>
      </c>
      <c r="C992" t="s">
        <v>1931</v>
      </c>
      <c r="D992" s="147">
        <v>11263</v>
      </c>
      <c r="E992">
        <v>0</v>
      </c>
      <c r="F992">
        <v>0</v>
      </c>
      <c r="G992" t="s">
        <v>324</v>
      </c>
    </row>
    <row r="993" spans="1:7" hidden="1" x14ac:dyDescent="0.25">
      <c r="A993" t="s">
        <v>2309</v>
      </c>
      <c r="B993" t="s">
        <v>1932</v>
      </c>
      <c r="C993" t="s">
        <v>1933</v>
      </c>
      <c r="D993" s="147">
        <v>14628</v>
      </c>
      <c r="E993">
        <v>0</v>
      </c>
      <c r="F993">
        <v>0</v>
      </c>
      <c r="G993" t="s">
        <v>324</v>
      </c>
    </row>
    <row r="994" spans="1:7" hidden="1" x14ac:dyDescent="0.25">
      <c r="A994" t="s">
        <v>2309</v>
      </c>
      <c r="B994" t="s">
        <v>1928</v>
      </c>
      <c r="C994" t="s">
        <v>1929</v>
      </c>
      <c r="D994" s="147">
        <v>6500</v>
      </c>
      <c r="E994">
        <v>0</v>
      </c>
      <c r="F994">
        <v>0</v>
      </c>
      <c r="G994" t="s">
        <v>324</v>
      </c>
    </row>
    <row r="995" spans="1:7" hidden="1" x14ac:dyDescent="0.25">
      <c r="A995" t="s">
        <v>2309</v>
      </c>
      <c r="B995" t="s">
        <v>1934</v>
      </c>
      <c r="C995" t="s">
        <v>1935</v>
      </c>
      <c r="D995" s="147">
        <v>5203</v>
      </c>
      <c r="E995">
        <v>0</v>
      </c>
      <c r="F995">
        <v>0</v>
      </c>
      <c r="G995" t="s">
        <v>324</v>
      </c>
    </row>
    <row r="996" spans="1:7" hidden="1" x14ac:dyDescent="0.25">
      <c r="A996" t="s">
        <v>2309</v>
      </c>
      <c r="B996" t="s">
        <v>1937</v>
      </c>
      <c r="C996" t="s">
        <v>1938</v>
      </c>
      <c r="D996" s="147">
        <v>1077</v>
      </c>
      <c r="E996">
        <v>0</v>
      </c>
      <c r="F996">
        <v>0</v>
      </c>
      <c r="G996" t="s">
        <v>324</v>
      </c>
    </row>
    <row r="997" spans="1:7" hidden="1" x14ac:dyDescent="0.25">
      <c r="A997" t="s">
        <v>2309</v>
      </c>
      <c r="B997" t="s">
        <v>2900</v>
      </c>
      <c r="C997" t="s">
        <v>2901</v>
      </c>
      <c r="D997">
        <v>917</v>
      </c>
      <c r="E997">
        <v>0</v>
      </c>
      <c r="F997">
        <v>0</v>
      </c>
      <c r="G997" t="s">
        <v>324</v>
      </c>
    </row>
    <row r="998" spans="1:7" hidden="1" x14ac:dyDescent="0.25">
      <c r="A998" t="s">
        <v>2309</v>
      </c>
      <c r="B998" t="s">
        <v>2902</v>
      </c>
      <c r="C998" t="s">
        <v>2903</v>
      </c>
      <c r="D998" s="147">
        <v>8390</v>
      </c>
      <c r="E998">
        <v>0</v>
      </c>
      <c r="F998">
        <v>0</v>
      </c>
      <c r="G998" t="s">
        <v>324</v>
      </c>
    </row>
    <row r="999" spans="1:7" hidden="1" x14ac:dyDescent="0.25">
      <c r="A999" t="s">
        <v>2309</v>
      </c>
      <c r="B999" t="s">
        <v>2904</v>
      </c>
      <c r="C999" t="s">
        <v>2905</v>
      </c>
      <c r="D999" s="147">
        <v>3130</v>
      </c>
      <c r="E999">
        <v>0</v>
      </c>
      <c r="F999">
        <v>0</v>
      </c>
      <c r="G999" t="s">
        <v>324</v>
      </c>
    </row>
    <row r="1000" spans="1:7" hidden="1" x14ac:dyDescent="0.25">
      <c r="A1000" t="s">
        <v>2309</v>
      </c>
      <c r="B1000" t="s">
        <v>2906</v>
      </c>
      <c r="C1000" t="s">
        <v>2907</v>
      </c>
      <c r="D1000" s="147">
        <v>5500</v>
      </c>
      <c r="E1000">
        <v>0</v>
      </c>
      <c r="F1000">
        <v>0</v>
      </c>
      <c r="G1000" t="s">
        <v>324</v>
      </c>
    </row>
    <row r="1001" spans="1:7" hidden="1" x14ac:dyDescent="0.25">
      <c r="A1001" t="s">
        <v>2309</v>
      </c>
      <c r="B1001" t="s">
        <v>1948</v>
      </c>
      <c r="C1001" t="s">
        <v>1949</v>
      </c>
      <c r="D1001" s="147">
        <v>3807</v>
      </c>
      <c r="E1001">
        <v>0</v>
      </c>
      <c r="F1001">
        <v>0</v>
      </c>
      <c r="G1001" t="s">
        <v>324</v>
      </c>
    </row>
    <row r="1002" spans="1:7" hidden="1" x14ac:dyDescent="0.25">
      <c r="A1002" t="s">
        <v>2309</v>
      </c>
      <c r="B1002" t="s">
        <v>1951</v>
      </c>
      <c r="C1002" t="s">
        <v>1952</v>
      </c>
      <c r="D1002" s="147">
        <v>2645</v>
      </c>
      <c r="E1002">
        <v>0</v>
      </c>
      <c r="F1002">
        <v>0</v>
      </c>
      <c r="G1002" t="s">
        <v>324</v>
      </c>
    </row>
    <row r="1003" spans="1:7" hidden="1" x14ac:dyDescent="0.25">
      <c r="A1003" t="s">
        <v>2309</v>
      </c>
      <c r="B1003" t="s">
        <v>2908</v>
      </c>
      <c r="C1003" t="s">
        <v>2909</v>
      </c>
      <c r="D1003" s="147">
        <v>4130</v>
      </c>
      <c r="E1003">
        <v>0</v>
      </c>
      <c r="F1003">
        <v>0</v>
      </c>
      <c r="G1003" t="s">
        <v>324</v>
      </c>
    </row>
    <row r="1004" spans="1:7" hidden="1" x14ac:dyDescent="0.25">
      <c r="A1004" t="s">
        <v>2309</v>
      </c>
      <c r="B1004" t="s">
        <v>2910</v>
      </c>
      <c r="C1004" t="s">
        <v>2911</v>
      </c>
      <c r="D1004" s="147">
        <v>14047</v>
      </c>
      <c r="E1004">
        <v>0</v>
      </c>
      <c r="F1004">
        <v>0</v>
      </c>
      <c r="G1004" t="s">
        <v>324</v>
      </c>
    </row>
    <row r="1005" spans="1:7" hidden="1" x14ac:dyDescent="0.25">
      <c r="A1005" t="s">
        <v>2309</v>
      </c>
      <c r="B1005" t="s">
        <v>1958</v>
      </c>
      <c r="C1005" t="s">
        <v>1959</v>
      </c>
      <c r="D1005">
        <v>200</v>
      </c>
      <c r="E1005">
        <v>0</v>
      </c>
      <c r="F1005">
        <v>0</v>
      </c>
      <c r="G1005" t="s">
        <v>324</v>
      </c>
    </row>
    <row r="1006" spans="1:7" hidden="1" x14ac:dyDescent="0.25">
      <c r="A1006" t="s">
        <v>2309</v>
      </c>
      <c r="B1006" t="s">
        <v>1960</v>
      </c>
      <c r="C1006" t="s">
        <v>1961</v>
      </c>
      <c r="D1006" s="147">
        <v>1183</v>
      </c>
      <c r="E1006">
        <v>0</v>
      </c>
      <c r="F1006">
        <v>0</v>
      </c>
      <c r="G1006" t="s">
        <v>324</v>
      </c>
    </row>
    <row r="1007" spans="1:7" hidden="1" x14ac:dyDescent="0.25">
      <c r="A1007" t="s">
        <v>2309</v>
      </c>
      <c r="B1007" t="s">
        <v>5320</v>
      </c>
      <c r="C1007" t="s">
        <v>5452</v>
      </c>
      <c r="D1007">
        <v>530</v>
      </c>
      <c r="E1007">
        <v>0</v>
      </c>
      <c r="F1007">
        <v>0</v>
      </c>
      <c r="G1007" t="s">
        <v>324</v>
      </c>
    </row>
    <row r="1008" spans="1:7" hidden="1" x14ac:dyDescent="0.25">
      <c r="A1008" t="s">
        <v>2309</v>
      </c>
      <c r="B1008" t="s">
        <v>2912</v>
      </c>
      <c r="C1008" t="s">
        <v>2913</v>
      </c>
      <c r="D1008" s="147">
        <v>11636</v>
      </c>
      <c r="E1008">
        <v>0</v>
      </c>
      <c r="F1008">
        <v>0</v>
      </c>
      <c r="G1008" t="s">
        <v>324</v>
      </c>
    </row>
    <row r="1009" spans="1:7" hidden="1" x14ac:dyDescent="0.25">
      <c r="A1009" t="s">
        <v>2309</v>
      </c>
      <c r="B1009" t="s">
        <v>2914</v>
      </c>
      <c r="C1009" t="s">
        <v>2915</v>
      </c>
      <c r="D1009" s="147">
        <v>4505</v>
      </c>
      <c r="E1009">
        <v>0</v>
      </c>
      <c r="F1009">
        <v>0</v>
      </c>
      <c r="G1009" t="s">
        <v>324</v>
      </c>
    </row>
    <row r="1010" spans="1:7" hidden="1" x14ac:dyDescent="0.25">
      <c r="A1010" t="s">
        <v>2309</v>
      </c>
      <c r="B1010" t="s">
        <v>2916</v>
      </c>
      <c r="C1010" t="s">
        <v>2917</v>
      </c>
      <c r="D1010" s="147">
        <v>11121</v>
      </c>
      <c r="E1010">
        <v>0</v>
      </c>
      <c r="F1010">
        <v>0</v>
      </c>
      <c r="G1010" t="s">
        <v>324</v>
      </c>
    </row>
    <row r="1011" spans="1:7" hidden="1" x14ac:dyDescent="0.25">
      <c r="A1011" t="s">
        <v>2309</v>
      </c>
      <c r="B1011" t="s">
        <v>2918</v>
      </c>
      <c r="C1011" t="s">
        <v>2919</v>
      </c>
      <c r="D1011" s="147">
        <v>12136</v>
      </c>
      <c r="E1011">
        <v>0</v>
      </c>
      <c r="F1011">
        <v>0</v>
      </c>
      <c r="G1011" t="s">
        <v>324</v>
      </c>
    </row>
    <row r="1012" spans="1:7" hidden="1" x14ac:dyDescent="0.25">
      <c r="A1012" t="s">
        <v>2309</v>
      </c>
      <c r="B1012" t="s">
        <v>1970</v>
      </c>
      <c r="C1012" t="s">
        <v>1971</v>
      </c>
      <c r="D1012" s="147">
        <v>3913</v>
      </c>
      <c r="E1012">
        <v>0</v>
      </c>
      <c r="F1012">
        <v>0</v>
      </c>
      <c r="G1012" t="s">
        <v>324</v>
      </c>
    </row>
    <row r="1013" spans="1:7" hidden="1" x14ac:dyDescent="0.25">
      <c r="A1013" t="s">
        <v>2309</v>
      </c>
      <c r="B1013" t="s">
        <v>1974</v>
      </c>
      <c r="C1013" t="s">
        <v>1975</v>
      </c>
      <c r="D1013" s="147">
        <v>7346</v>
      </c>
      <c r="E1013">
        <v>0</v>
      </c>
      <c r="F1013">
        <v>0</v>
      </c>
      <c r="G1013" t="s">
        <v>324</v>
      </c>
    </row>
    <row r="1014" spans="1:7" hidden="1" x14ac:dyDescent="0.25">
      <c r="A1014" t="s">
        <v>2309</v>
      </c>
      <c r="B1014" t="s">
        <v>1972</v>
      </c>
      <c r="C1014" t="s">
        <v>1973</v>
      </c>
      <c r="D1014" s="147">
        <v>1425</v>
      </c>
      <c r="E1014">
        <v>0</v>
      </c>
      <c r="F1014">
        <v>0</v>
      </c>
      <c r="G1014" t="s">
        <v>324</v>
      </c>
    </row>
    <row r="1015" spans="1:7" hidden="1" x14ac:dyDescent="0.25">
      <c r="A1015" t="s">
        <v>2309</v>
      </c>
      <c r="B1015" t="s">
        <v>1976</v>
      </c>
      <c r="C1015" t="s">
        <v>1977</v>
      </c>
      <c r="D1015" s="147">
        <v>1318</v>
      </c>
      <c r="E1015">
        <v>0</v>
      </c>
      <c r="F1015">
        <v>0</v>
      </c>
      <c r="G1015" t="s">
        <v>324</v>
      </c>
    </row>
    <row r="1016" spans="1:7" hidden="1" x14ac:dyDescent="0.25">
      <c r="A1016" t="s">
        <v>2309</v>
      </c>
      <c r="B1016" t="s">
        <v>1964</v>
      </c>
      <c r="C1016" t="s">
        <v>1965</v>
      </c>
      <c r="D1016" s="147">
        <v>2441</v>
      </c>
      <c r="E1016">
        <v>0</v>
      </c>
      <c r="F1016">
        <v>0</v>
      </c>
      <c r="G1016" t="s">
        <v>324</v>
      </c>
    </row>
    <row r="1017" spans="1:7" hidden="1" x14ac:dyDescent="0.25">
      <c r="A1017" t="s">
        <v>2309</v>
      </c>
      <c r="B1017" t="s">
        <v>1966</v>
      </c>
      <c r="C1017" t="s">
        <v>1967</v>
      </c>
      <c r="D1017" s="147">
        <v>5800</v>
      </c>
      <c r="E1017">
        <v>0</v>
      </c>
      <c r="F1017">
        <v>0</v>
      </c>
      <c r="G1017" t="s">
        <v>324</v>
      </c>
    </row>
    <row r="1018" spans="1:7" hidden="1" x14ac:dyDescent="0.25">
      <c r="A1018" t="s">
        <v>2309</v>
      </c>
      <c r="B1018" t="s">
        <v>1968</v>
      </c>
      <c r="C1018" t="s">
        <v>1969</v>
      </c>
      <c r="D1018">
        <v>250</v>
      </c>
      <c r="E1018">
        <v>0</v>
      </c>
      <c r="F1018">
        <v>0</v>
      </c>
      <c r="G1018" t="s">
        <v>324</v>
      </c>
    </row>
    <row r="1019" spans="1:7" hidden="1" x14ac:dyDescent="0.25">
      <c r="A1019" t="s">
        <v>2309</v>
      </c>
      <c r="B1019" t="s">
        <v>2014</v>
      </c>
      <c r="C1019" t="s">
        <v>2015</v>
      </c>
      <c r="D1019">
        <v>841</v>
      </c>
      <c r="E1019">
        <v>0</v>
      </c>
      <c r="F1019">
        <v>0</v>
      </c>
      <c r="G1019" t="s">
        <v>324</v>
      </c>
    </row>
    <row r="1020" spans="1:7" hidden="1" x14ac:dyDescent="0.25">
      <c r="A1020" t="s">
        <v>2309</v>
      </c>
      <c r="B1020" t="s">
        <v>1982</v>
      </c>
      <c r="C1020" t="s">
        <v>1983</v>
      </c>
      <c r="D1020">
        <v>690</v>
      </c>
      <c r="E1020">
        <v>0</v>
      </c>
      <c r="F1020">
        <v>0</v>
      </c>
      <c r="G1020" t="s">
        <v>324</v>
      </c>
    </row>
    <row r="1021" spans="1:7" hidden="1" x14ac:dyDescent="0.25">
      <c r="A1021" t="s">
        <v>2309</v>
      </c>
      <c r="B1021" t="s">
        <v>1980</v>
      </c>
      <c r="C1021" t="s">
        <v>1981</v>
      </c>
      <c r="D1021">
        <v>428</v>
      </c>
      <c r="E1021">
        <v>0</v>
      </c>
      <c r="F1021">
        <v>0</v>
      </c>
      <c r="G1021" t="s">
        <v>324</v>
      </c>
    </row>
    <row r="1022" spans="1:7" hidden="1" x14ac:dyDescent="0.25">
      <c r="A1022" t="s">
        <v>2309</v>
      </c>
      <c r="B1022" t="s">
        <v>1984</v>
      </c>
      <c r="C1022" t="s">
        <v>1985</v>
      </c>
      <c r="D1022" s="147">
        <v>2440</v>
      </c>
      <c r="E1022">
        <v>0</v>
      </c>
      <c r="F1022">
        <v>0</v>
      </c>
      <c r="G1022" t="s">
        <v>324</v>
      </c>
    </row>
    <row r="1023" spans="1:7" hidden="1" x14ac:dyDescent="0.25">
      <c r="A1023" t="s">
        <v>2309</v>
      </c>
      <c r="B1023" t="s">
        <v>1986</v>
      </c>
      <c r="C1023" t="s">
        <v>1987</v>
      </c>
      <c r="D1023" s="147">
        <v>1294</v>
      </c>
      <c r="E1023">
        <v>0</v>
      </c>
      <c r="F1023">
        <v>0</v>
      </c>
      <c r="G1023" t="s">
        <v>324</v>
      </c>
    </row>
    <row r="1024" spans="1:7" hidden="1" x14ac:dyDescent="0.25">
      <c r="A1024" t="s">
        <v>2309</v>
      </c>
      <c r="B1024" t="s">
        <v>1990</v>
      </c>
      <c r="C1024" t="s">
        <v>1991</v>
      </c>
      <c r="D1024" s="147">
        <v>1429</v>
      </c>
      <c r="E1024">
        <v>0</v>
      </c>
      <c r="F1024">
        <v>0</v>
      </c>
      <c r="G1024" t="s">
        <v>324</v>
      </c>
    </row>
    <row r="1025" spans="1:13" hidden="1" x14ac:dyDescent="0.25">
      <c r="A1025" t="s">
        <v>2309</v>
      </c>
      <c r="B1025" t="s">
        <v>2920</v>
      </c>
      <c r="C1025" t="s">
        <v>2921</v>
      </c>
      <c r="D1025">
        <v>944</v>
      </c>
      <c r="E1025">
        <v>0</v>
      </c>
      <c r="F1025">
        <v>0</v>
      </c>
      <c r="G1025" t="s">
        <v>324</v>
      </c>
    </row>
    <row r="1026" spans="1:13" hidden="1" x14ac:dyDescent="0.25">
      <c r="A1026" t="s">
        <v>2309</v>
      </c>
      <c r="B1026" t="s">
        <v>2922</v>
      </c>
      <c r="C1026" t="s">
        <v>2923</v>
      </c>
      <c r="D1026">
        <v>923</v>
      </c>
      <c r="E1026">
        <v>0</v>
      </c>
      <c r="F1026">
        <v>0</v>
      </c>
      <c r="G1026" t="s">
        <v>324</v>
      </c>
    </row>
    <row r="1027" spans="1:13" hidden="1" x14ac:dyDescent="0.25">
      <c r="A1027" t="s">
        <v>2309</v>
      </c>
      <c r="B1027" t="s">
        <v>1992</v>
      </c>
      <c r="C1027" t="s">
        <v>1993</v>
      </c>
      <c r="D1027" s="147">
        <v>10997</v>
      </c>
      <c r="E1027">
        <v>0</v>
      </c>
      <c r="F1027">
        <v>0</v>
      </c>
      <c r="G1027" t="s">
        <v>324</v>
      </c>
    </row>
    <row r="1028" spans="1:13" hidden="1" x14ac:dyDescent="0.25">
      <c r="A1028" t="s">
        <v>2309</v>
      </c>
      <c r="B1028" t="s">
        <v>1988</v>
      </c>
      <c r="C1028" t="s">
        <v>1989</v>
      </c>
      <c r="D1028" s="147">
        <v>9387</v>
      </c>
      <c r="E1028">
        <v>0</v>
      </c>
      <c r="F1028">
        <v>0</v>
      </c>
      <c r="G1028" t="s">
        <v>324</v>
      </c>
    </row>
    <row r="1029" spans="1:13" hidden="1" x14ac:dyDescent="0.25">
      <c r="A1029" t="s">
        <v>2309</v>
      </c>
      <c r="B1029" t="s">
        <v>1978</v>
      </c>
      <c r="C1029" t="s">
        <v>1979</v>
      </c>
      <c r="D1029" s="147">
        <v>1000</v>
      </c>
      <c r="E1029">
        <v>0</v>
      </c>
      <c r="F1029">
        <v>0</v>
      </c>
      <c r="G1029" t="s">
        <v>324</v>
      </c>
    </row>
    <row r="1030" spans="1:13" hidden="1" x14ac:dyDescent="0.25">
      <c r="A1030" t="s">
        <v>2309</v>
      </c>
      <c r="B1030" t="s">
        <v>1994</v>
      </c>
      <c r="C1030" t="s">
        <v>1995</v>
      </c>
      <c r="D1030">
        <v>204</v>
      </c>
      <c r="E1030">
        <v>0</v>
      </c>
      <c r="F1030">
        <v>0</v>
      </c>
      <c r="G1030" t="s">
        <v>324</v>
      </c>
    </row>
    <row r="1031" spans="1:13" hidden="1" x14ac:dyDescent="0.25">
      <c r="A1031" t="s">
        <v>2309</v>
      </c>
      <c r="B1031" t="s">
        <v>1998</v>
      </c>
      <c r="C1031" t="s">
        <v>1999</v>
      </c>
      <c r="D1031" s="147">
        <v>1090</v>
      </c>
      <c r="E1031">
        <v>0</v>
      </c>
      <c r="F1031">
        <v>0</v>
      </c>
      <c r="G1031" t="s">
        <v>324</v>
      </c>
      <c r="J1031" s="150"/>
      <c r="K1031" s="150"/>
      <c r="L1031" s="150"/>
      <c r="M1031" s="150"/>
    </row>
    <row r="1032" spans="1:13" hidden="1" x14ac:dyDescent="0.25">
      <c r="A1032" t="s">
        <v>2309</v>
      </c>
      <c r="B1032" t="s">
        <v>1996</v>
      </c>
      <c r="C1032" t="s">
        <v>1997</v>
      </c>
      <c r="D1032" s="147">
        <v>1231</v>
      </c>
      <c r="E1032">
        <v>0</v>
      </c>
      <c r="F1032">
        <v>0</v>
      </c>
      <c r="G1032" t="s">
        <v>324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C6F3-1DF3-4F72-87BD-828CBE5AB460}">
  <sheetPr codeName="Hoja7">
    <pageSetUpPr fitToPage="1"/>
  </sheetPr>
  <dimension ref="A1:Z68"/>
  <sheetViews>
    <sheetView showGridLines="0" zoomScale="130" zoomScaleNormal="130" workbookViewId="0">
      <selection activeCell="H2" sqref="H2"/>
    </sheetView>
  </sheetViews>
  <sheetFormatPr baseColWidth="10" defaultRowHeight="15" x14ac:dyDescent="0.25"/>
  <cols>
    <col min="1" max="1" width="44.7109375" style="8" bestFit="1" customWidth="1"/>
    <col min="2" max="2" width="10.42578125" style="8" bestFit="1" customWidth="1"/>
    <col min="3" max="3" width="11.5703125" style="8" customWidth="1"/>
    <col min="4" max="4" width="7.5703125" style="8" bestFit="1" customWidth="1"/>
    <col min="5" max="5" width="17.140625" style="8" hidden="1" customWidth="1"/>
    <col min="6" max="6" width="12" style="8" customWidth="1"/>
    <col min="7" max="9" width="12.7109375" style="8" customWidth="1"/>
    <col min="10" max="11" width="11.28515625" style="8" customWidth="1"/>
    <col min="12" max="12" width="9.85546875" style="8" customWidth="1"/>
    <col min="13" max="13" width="12.28515625" style="8" bestFit="1" customWidth="1"/>
    <col min="14" max="14" width="10.140625" style="8" customWidth="1"/>
    <col min="15" max="15" width="11.5703125" style="8" customWidth="1"/>
    <col min="16" max="16384" width="11.42578125" style="8"/>
  </cols>
  <sheetData>
    <row r="1" spans="1:26" x14ac:dyDescent="0.25">
      <c r="A1" s="161" t="s">
        <v>5346</v>
      </c>
      <c r="B1" s="161"/>
      <c r="C1" s="161"/>
      <c r="D1" s="161"/>
      <c r="E1" s="161"/>
      <c r="F1" s="161"/>
      <c r="G1" s="161"/>
      <c r="H1" s="161"/>
      <c r="I1" s="161"/>
      <c r="J1" s="161"/>
      <c r="K1" s="156" t="s">
        <v>36</v>
      </c>
      <c r="L1" s="156" t="s">
        <v>37</v>
      </c>
      <c r="M1" s="156" t="s">
        <v>38</v>
      </c>
      <c r="N1" s="156" t="s">
        <v>39</v>
      </c>
      <c r="O1" s="156" t="s">
        <v>40</v>
      </c>
      <c r="P1" s="156" t="s">
        <v>36</v>
      </c>
      <c r="Q1" s="156" t="s">
        <v>37</v>
      </c>
      <c r="R1" s="156" t="s">
        <v>38</v>
      </c>
      <c r="S1" s="156" t="s">
        <v>39</v>
      </c>
      <c r="T1" s="156" t="s">
        <v>36</v>
      </c>
      <c r="U1" s="156" t="s">
        <v>37</v>
      </c>
      <c r="V1" s="156" t="s">
        <v>38</v>
      </c>
      <c r="W1" s="156" t="s">
        <v>39</v>
      </c>
      <c r="X1" s="156" t="s">
        <v>40</v>
      </c>
      <c r="Y1" s="156" t="s">
        <v>36</v>
      </c>
    </row>
    <row r="2" spans="1:26" ht="30" customHeight="1" x14ac:dyDescent="0.25">
      <c r="A2" s="173" t="s">
        <v>2</v>
      </c>
      <c r="B2" s="210" t="s">
        <v>5350</v>
      </c>
      <c r="C2" s="8" t="s">
        <v>5337</v>
      </c>
      <c r="D2" s="8" t="s">
        <v>5</v>
      </c>
      <c r="E2" s="173" t="s">
        <v>3235</v>
      </c>
      <c r="F2" s="173" t="s">
        <v>7</v>
      </c>
      <c r="G2" s="162" t="s">
        <v>26</v>
      </c>
      <c r="H2" s="162" t="s">
        <v>104</v>
      </c>
      <c r="I2" s="162" t="s">
        <v>5345</v>
      </c>
      <c r="J2" s="173" t="s">
        <v>3236</v>
      </c>
      <c r="K2" s="195" t="s">
        <v>5328</v>
      </c>
      <c r="L2" s="157" t="s">
        <v>5329</v>
      </c>
      <c r="M2" s="157" t="s">
        <v>5330</v>
      </c>
      <c r="N2" s="157" t="s">
        <v>5331</v>
      </c>
      <c r="O2" s="157" t="s">
        <v>5332</v>
      </c>
      <c r="P2" s="157" t="s">
        <v>5333</v>
      </c>
      <c r="Q2" s="157" t="s">
        <v>5334</v>
      </c>
      <c r="R2" s="157" t="s">
        <v>5335</v>
      </c>
      <c r="S2" s="157" t="s">
        <v>5336</v>
      </c>
      <c r="T2" s="157" t="s">
        <v>5338</v>
      </c>
      <c r="U2" s="157" t="s">
        <v>5339</v>
      </c>
      <c r="V2" s="157" t="s">
        <v>5340</v>
      </c>
      <c r="W2" s="209" t="s">
        <v>5341</v>
      </c>
      <c r="X2" s="209" t="s">
        <v>5342</v>
      </c>
      <c r="Y2" s="209" t="s">
        <v>5343</v>
      </c>
      <c r="Z2" s="209" t="s">
        <v>5349</v>
      </c>
    </row>
    <row r="3" spans="1:26" x14ac:dyDescent="0.25">
      <c r="A3" s="200" t="str">
        <f>_xlfn.IFNA(INDEX(Tabla_control[PRODUCTO],MATCH(tabla_cronograma_extra[[#This Row],[LOTE]],Tabla_control[LOTE],0)),"-")</f>
        <v>MUCOL 600 MG X 20 SOBRES POLVO GRANULADO</v>
      </c>
      <c r="B3" s="227">
        <f>_xlfn.IFNA(INDEX(Tabla_control[CANTIDAD IMPRIMIR],MATCH(tabla_cronograma_extra[[#This Row],[LOTE]],Tabla_control[LOTE],0)),"-")</f>
        <v>1700</v>
      </c>
      <c r="C3" s="158">
        <f>_xlfn.IFNA(INDEX(Tabla_control[PREDICCION],MATCH(tabla_cronograma_extra[[#This Row],[LOTE]],Tabla_control[LOTE],0)),"-")</f>
        <v>3400</v>
      </c>
      <c r="D3" s="181" t="s">
        <v>3168</v>
      </c>
      <c r="E3" s="200" t="str">
        <f>_xlfn.IFNA(INDEX(Tabla_control[INSTITUCIÓN],MATCH(tabla_cronograma_extra[[#This Row],[LOTE]],Tabla_control[LOTE],0)),"-")</f>
        <v>COMERCIO</v>
      </c>
      <c r="F3" s="203">
        <f>_xlfn.IFNA(INDEX(Tabla_control[STOCK],MATCH(tabla_cronograma_extra[[#This Row],[LOTE]],Tabla_control[LOTE],0)),"-")</f>
        <v>6.783867631851086</v>
      </c>
      <c r="G3" s="198" t="str">
        <f>_xlfn.IFNA(INDEX(Tabla_control[FECHA PRODUCCIÓN],MATCH(tabla_cronograma_extra[[#This Row],[LOTE]],Tabla_control[LOTE],0)),"-")</f>
        <v>ENTREGADO</v>
      </c>
      <c r="H3" s="205" t="s">
        <v>5344</v>
      </c>
      <c r="I3" s="207" t="e">
        <f>(tabla_cronograma_extra[[#This Row],[FECHA PRODUCCIÓN]]-tabla_cronograma_extra[[#This Row],[FECHA]])</f>
        <v>#VALUE!</v>
      </c>
      <c r="J3" s="202">
        <v>46132</v>
      </c>
      <c r="K3" s="211">
        <v>6800</v>
      </c>
      <c r="L3" s="211"/>
      <c r="M3" s="211"/>
      <c r="N3" s="211"/>
      <c r="O3" s="211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226"/>
    </row>
    <row r="4" spans="1:26" x14ac:dyDescent="0.25">
      <c r="A4" s="200" t="str">
        <f>_xlfn.IFNA(INDEX(Tabla_control[PRODUCTO],MATCH(tabla_cronograma_extra[[#This Row],[LOTE]],Tabla_control[LOTE],0)),"-")</f>
        <v>NISTATINA 100.000 UI X 15 G CREMA DERMICA</v>
      </c>
      <c r="B4" s="227">
        <f>_xlfn.IFNA(INDEX(Tabla_control[CANTIDAD IMPRIMIR],MATCH(tabla_cronograma_extra[[#This Row],[LOTE]],Tabla_control[LOTE],0)),"-")</f>
        <v>17400</v>
      </c>
      <c r="C4" s="158">
        <f>_xlfn.IFNA(INDEX(Tabla_control[PREDICCION],MATCH(tabla_cronograma_extra[[#This Row],[LOTE]],Tabla_control[LOTE],0)),"-")</f>
        <v>8700</v>
      </c>
      <c r="D4" s="181" t="s">
        <v>3132</v>
      </c>
      <c r="E4" s="200" t="str">
        <f>_xlfn.IFNA(INDEX(Tabla_control[INSTITUCIÓN],MATCH(tabla_cronograma_extra[[#This Row],[LOTE]],Tabla_control[LOTE],0)),"-")</f>
        <v>COMERCIO</v>
      </c>
      <c r="F4" s="203">
        <f>_xlfn.IFNA(INDEX(Tabla_control[STOCK],MATCH(tabla_cronograma_extra[[#This Row],[LOTE]],Tabla_control[LOTE],0)),"-")</f>
        <v>3.2389423076923078</v>
      </c>
      <c r="G4" s="198" t="str">
        <f>_xlfn.IFNA(INDEX(Tabla_control[FECHA PRODUCCIÓN],MATCH(tabla_cronograma_extra[[#This Row],[LOTE]],Tabla_control[LOTE],0)),"-")</f>
        <v>ENTREGADO</v>
      </c>
      <c r="H4" s="205" t="s">
        <v>5344</v>
      </c>
      <c r="I4" s="207" t="e">
        <f>(tabla_cronograma_extra[[#This Row],[FECHA PRODUCCIÓN]]-tabla_cronograma_extra[[#This Row],[FECHA]])</f>
        <v>#VALUE!</v>
      </c>
      <c r="J4" s="202">
        <v>46132</v>
      </c>
      <c r="K4" s="211">
        <v>8700</v>
      </c>
      <c r="L4" s="211"/>
      <c r="M4" s="211"/>
      <c r="N4" s="211"/>
      <c r="O4" s="211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217"/>
    </row>
    <row r="5" spans="1:26" x14ac:dyDescent="0.25">
      <c r="A5" s="200" t="str">
        <f>_xlfn.IFNA(INDEX(Tabla_control[PRODUCTO],MATCH(tabla_cronograma_extra[[#This Row],[LOTE]],Tabla_control[LOTE],0)),"-")</f>
        <v>REALIZADO</v>
      </c>
      <c r="B5" s="227" t="str">
        <f>_xlfn.IFNA(INDEX(Tabla_control[CANTIDAD IMPRIMIR],MATCH(tabla_cronograma_extra[[#This Row],[LOTE]],Tabla_control[LOTE],0)),"-")</f>
        <v>ENTREGADO</v>
      </c>
      <c r="C5" s="158" t="e">
        <f>_xlfn.IFNA(INDEX(Tabla_control[PREDICCION],MATCH(tabla_cronograma_extra[[#This Row],[LOTE]],Tabla_control[LOTE],0)),"-")</f>
        <v>#VALUE!</v>
      </c>
      <c r="D5" s="181" t="s">
        <v>3093</v>
      </c>
      <c r="E5" s="200" t="str">
        <f>_xlfn.IFNA(INDEX(Tabla_control[INSTITUCIÓN],MATCH(tabla_cronograma_extra[[#This Row],[LOTE]],Tabla_control[LOTE],0)),"-")</f>
        <v>REALIZADO</v>
      </c>
      <c r="F5" s="203" t="str">
        <f>_xlfn.IFNA(INDEX(Tabla_control[STOCK],MATCH(tabla_cronograma_extra[[#This Row],[LOTE]],Tabla_control[LOTE],0)),"-")</f>
        <v>ENTREGADO</v>
      </c>
      <c r="G5" s="198" t="str">
        <f>_xlfn.IFNA(INDEX(Tabla_control[FECHA PRODUCCIÓN],MATCH(tabla_cronograma_extra[[#This Row],[LOTE]],Tabla_control[LOTE],0)),"-")</f>
        <v>ENTREGADO</v>
      </c>
      <c r="H5" s="205" t="s">
        <v>5344</v>
      </c>
      <c r="I5" s="207" t="e">
        <f>(tabla_cronograma_extra[[#This Row],[FECHA PRODUCCIÓN]]-tabla_cronograma_extra[[#This Row],[FECHA]])</f>
        <v>#VALUE!</v>
      </c>
      <c r="J5" s="202">
        <v>46133</v>
      </c>
      <c r="K5" s="211"/>
      <c r="L5" s="211">
        <v>5700</v>
      </c>
      <c r="M5" s="211"/>
      <c r="N5" s="211"/>
      <c r="O5" s="211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217"/>
    </row>
    <row r="6" spans="1:26" x14ac:dyDescent="0.25">
      <c r="A6" s="200" t="str">
        <f>_xlfn.IFNA(INDEX(Tabla_control[PRODUCTO],MATCH(tabla_cronograma_extra[[#This Row],[LOTE]],Tabla_control[LOTE],0)),"-")</f>
        <v>HIDROCORTISONA 1% X 15 G CREMA DERMICA</v>
      </c>
      <c r="B6" s="227">
        <f>_xlfn.IFNA(INDEX(Tabla_control[CANTIDAD IMPRIMIR],MATCH(tabla_cronograma_extra[[#This Row],[LOTE]],Tabla_control[LOTE],0)),"-")</f>
        <v>11400</v>
      </c>
      <c r="C6" s="158">
        <f>_xlfn.IFNA(INDEX(Tabla_control[PREDICCION],MATCH(tabla_cronograma_extra[[#This Row],[LOTE]],Tabla_control[LOTE],0)),"-")</f>
        <v>5700</v>
      </c>
      <c r="D6" s="181" t="s">
        <v>3230</v>
      </c>
      <c r="E6" s="200" t="str">
        <f>_xlfn.IFNA(INDEX(Tabla_control[INSTITUCIÓN],MATCH(tabla_cronograma_extra[[#This Row],[LOTE]],Tabla_control[LOTE],0)),"-")</f>
        <v>COMERCIO</v>
      </c>
      <c r="F6" s="203">
        <f>_xlfn.IFNA(INDEX(Tabla_control[STOCK],MATCH(tabla_cronograma_extra[[#This Row],[LOTE]],Tabla_control[LOTE],0)),"-")</f>
        <v>1.5089103092900005</v>
      </c>
      <c r="G6" s="198" t="str">
        <f>_xlfn.IFNA(INDEX(Tabla_control[FECHA PRODUCCIÓN],MATCH(tabla_cronograma_extra[[#This Row],[LOTE]],Tabla_control[LOTE],0)),"-")</f>
        <v>ENTREGADO</v>
      </c>
      <c r="H6" s="205" t="s">
        <v>5344</v>
      </c>
      <c r="I6" s="207" t="e">
        <f>(tabla_cronograma_extra[[#This Row],[FECHA PRODUCCIÓN]]-tabla_cronograma_extra[[#This Row],[FECHA]])</f>
        <v>#VALUE!</v>
      </c>
      <c r="J6" s="202">
        <v>46133</v>
      </c>
      <c r="K6" s="212"/>
      <c r="L6" s="211">
        <v>5700</v>
      </c>
      <c r="M6" s="211"/>
      <c r="N6" s="211"/>
      <c r="O6" s="211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217"/>
    </row>
    <row r="7" spans="1:26" x14ac:dyDescent="0.25">
      <c r="A7" s="200" t="str">
        <f>_xlfn.IFNA(INDEX(Tabla_control[PRODUCTO],MATCH(tabla_cronograma_extra[[#This Row],[LOTE]],Tabla_control[LOTE],0)),"-")</f>
        <v>HIDROCORTISONA 1% X 15 G CREMA DERMICA</v>
      </c>
      <c r="B7" s="227">
        <f>_xlfn.IFNA(INDEX(Tabla_control[CANTIDAD IMPRIMIR],MATCH(tabla_cronograma_extra[[#This Row],[LOTE]],Tabla_control[LOTE],0)),"-")</f>
        <v>17100</v>
      </c>
      <c r="C7" s="158">
        <f>_xlfn.IFNA(INDEX(Tabla_control[PREDICCION],MATCH(tabla_cronograma_extra[[#This Row],[LOTE]],Tabla_control[LOTE],0)),"-")</f>
        <v>8550</v>
      </c>
      <c r="D7" s="181" t="s">
        <v>3229</v>
      </c>
      <c r="E7" s="200" t="str">
        <f>_xlfn.IFNA(INDEX(Tabla_control[INSTITUCIÓN],MATCH(tabla_cronograma_extra[[#This Row],[LOTE]],Tabla_control[LOTE],0)),"-")</f>
        <v>COMERCIO</v>
      </c>
      <c r="F7" s="203">
        <f>_xlfn.IFNA(INDEX(Tabla_control[STOCK],MATCH(tabla_cronograma_extra[[#This Row],[LOTE]],Tabla_control[LOTE],0)),"-")</f>
        <v>1.5089103092900005</v>
      </c>
      <c r="G7" s="198" t="str">
        <f>_xlfn.IFNA(INDEX(Tabla_control[FECHA PRODUCCIÓN],MATCH(tabla_cronograma_extra[[#This Row],[LOTE]],Tabla_control[LOTE],0)),"-")</f>
        <v>ENTREGADO</v>
      </c>
      <c r="H7" s="205" t="s">
        <v>5344</v>
      </c>
      <c r="I7" s="207" t="e">
        <f>(tabla_cronograma_extra[[#This Row],[FECHA PRODUCCIÓN]]-tabla_cronograma_extra[[#This Row],[FECHA]])</f>
        <v>#VALUE!</v>
      </c>
      <c r="J7" s="202">
        <v>46133</v>
      </c>
      <c r="K7" s="212"/>
      <c r="L7" s="211">
        <v>8550</v>
      </c>
      <c r="M7" s="211"/>
      <c r="N7" s="211"/>
      <c r="O7" s="211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217"/>
    </row>
    <row r="8" spans="1:26" x14ac:dyDescent="0.25">
      <c r="A8" s="200" t="str">
        <f>_xlfn.IFNA(INDEX(Tabla_control[PRODUCTO],MATCH(tabla_cronograma_extra[[#This Row],[LOTE]],Tabla_control[LOTE],0)),"-")</f>
        <v>HIDROCORTISONA 1% X 15 G CREMA DERMICA</v>
      </c>
      <c r="B8" s="227">
        <f>_xlfn.IFNA(INDEX(Tabla_control[CANTIDAD IMPRIMIR],MATCH(tabla_cronograma_extra[[#This Row],[LOTE]],Tabla_control[LOTE],0)),"-")</f>
        <v>17100</v>
      </c>
      <c r="C8" s="158">
        <f>_xlfn.IFNA(INDEX(Tabla_control[PREDICCION],MATCH(tabla_cronograma_extra[[#This Row],[LOTE]],Tabla_control[LOTE],0)),"-")</f>
        <v>8550</v>
      </c>
      <c r="D8" s="181" t="s">
        <v>3228</v>
      </c>
      <c r="E8" s="200" t="str">
        <f>_xlfn.IFNA(INDEX(Tabla_control[INSTITUCIÓN],MATCH(tabla_cronograma_extra[[#This Row],[LOTE]],Tabla_control[LOTE],0)),"-")</f>
        <v>COMERCIO</v>
      </c>
      <c r="F8" s="203">
        <f>_xlfn.IFNA(INDEX(Tabla_control[STOCK],MATCH(tabla_cronograma_extra[[#This Row],[LOTE]],Tabla_control[LOTE],0)),"-")</f>
        <v>1.5089103092900005</v>
      </c>
      <c r="G8" s="198" t="str">
        <f>_xlfn.IFNA(INDEX(Tabla_control[FECHA PRODUCCIÓN],MATCH(tabla_cronograma_extra[[#This Row],[LOTE]],Tabla_control[LOTE],0)),"-")</f>
        <v>ENTREGADO</v>
      </c>
      <c r="H8" s="205" t="s">
        <v>5344</v>
      </c>
      <c r="I8" s="207" t="e">
        <f>(tabla_cronograma_extra[[#This Row],[FECHA PRODUCCIÓN]]-tabla_cronograma_extra[[#This Row],[FECHA]])</f>
        <v>#VALUE!</v>
      </c>
      <c r="J8" s="202">
        <v>46134</v>
      </c>
      <c r="K8" s="212"/>
      <c r="L8" s="211">
        <v>2250</v>
      </c>
      <c r="M8" s="211">
        <v>6550</v>
      </c>
      <c r="N8" s="211"/>
      <c r="O8" s="211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217"/>
    </row>
    <row r="9" spans="1:26" x14ac:dyDescent="0.25">
      <c r="A9" s="200" t="str">
        <f>_xlfn.IFNA(INDEX(Tabla_control[PRODUCTO],MATCH(tabla_cronograma_extra[[#This Row],[LOTE]],Tabla_control[LOTE],0)),"-")</f>
        <v>KETOROLACO 30 MG X 3 AMP. SOLUCION INY.</v>
      </c>
      <c r="B9" s="227">
        <f>_xlfn.IFNA(INDEX(Tabla_control[CANTIDAD IMPRIMIR],MATCH(tabla_cronograma_extra[[#This Row],[LOTE]],Tabla_control[LOTE],0)),"-")</f>
        <v>46666.666666666664</v>
      </c>
      <c r="C9" s="158">
        <f>_xlfn.IFNA(INDEX(Tabla_control[PREDICCION],MATCH(tabla_cronograma_extra[[#This Row],[LOTE]],Tabla_control[LOTE],0)),"-")</f>
        <v>11668</v>
      </c>
      <c r="D9" s="181" t="s">
        <v>3122</v>
      </c>
      <c r="E9" s="200" t="str">
        <f>_xlfn.IFNA(INDEX(Tabla_control[INSTITUCIÓN],MATCH(tabla_cronograma_extra[[#This Row],[LOTE]],Tabla_control[LOTE],0)),"-")</f>
        <v>COMERCIO</v>
      </c>
      <c r="F9" s="203">
        <f>_xlfn.IFNA(INDEX(Tabla_control[STOCK],MATCH(tabla_cronograma_extra[[#This Row],[LOTE]],Tabla_control[LOTE],0)),"-")</f>
        <v>0.16573485339769692</v>
      </c>
      <c r="G9" s="198" t="str">
        <f>_xlfn.IFNA(INDEX(Tabla_control[FECHA PRODUCCIÓN],MATCH(tabla_cronograma_extra[[#This Row],[LOTE]],Tabla_control[LOTE],0)),"-")</f>
        <v>ENTREGADO</v>
      </c>
      <c r="H9" s="205" t="s">
        <v>5344</v>
      </c>
      <c r="I9" s="207" t="e">
        <f>(tabla_cronograma_extra[[#This Row],[FECHA PRODUCCIÓN]]-tabla_cronograma_extra[[#This Row],[FECHA]])</f>
        <v>#VALUE!</v>
      </c>
      <c r="J9" s="202">
        <v>46134</v>
      </c>
      <c r="K9" s="212"/>
      <c r="L9" s="211"/>
      <c r="M9" s="211">
        <v>11668</v>
      </c>
      <c r="N9" s="211"/>
      <c r="O9" s="211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217"/>
    </row>
    <row r="10" spans="1:26" x14ac:dyDescent="0.25">
      <c r="A10" s="200" t="str">
        <f>_xlfn.IFNA(INDEX(Tabla_control[PRODUCTO],MATCH(tabla_cronograma_extra[[#This Row],[LOTE]],Tabla_control[LOTE],0)),"-")</f>
        <v>KETOROLACO 30 MG X 3 AMP. SOLUCION INY.</v>
      </c>
      <c r="B10" s="227">
        <f>_xlfn.IFNA(INDEX(Tabla_control[CANTIDAD IMPRIMIR],MATCH(tabla_cronograma_extra[[#This Row],[LOTE]],Tabla_control[LOTE],0)),"-")</f>
        <v>46666.666666666664</v>
      </c>
      <c r="C10" s="158">
        <f>_xlfn.IFNA(INDEX(Tabla_control[PREDICCION],MATCH(tabla_cronograma_extra[[#This Row],[LOTE]],Tabla_control[LOTE],0)),"-")</f>
        <v>11668</v>
      </c>
      <c r="D10" s="181" t="s">
        <v>3225</v>
      </c>
      <c r="E10" s="200" t="str">
        <f>_xlfn.IFNA(INDEX(Tabla_control[INSTITUCIÓN],MATCH(tabla_cronograma_extra[[#This Row],[LOTE]],Tabla_control[LOTE],0)),"-")</f>
        <v>COMERCIO</v>
      </c>
      <c r="F10" s="203">
        <f>_xlfn.IFNA(INDEX(Tabla_control[STOCK],MATCH(tabla_cronograma_extra[[#This Row],[LOTE]],Tabla_control[LOTE],0)),"-")</f>
        <v>0.16573485339769692</v>
      </c>
      <c r="G10" s="198" t="str">
        <f>_xlfn.IFNA(INDEX(Tabla_control[FECHA PRODUCCIÓN],MATCH(tabla_cronograma_extra[[#This Row],[LOTE]],Tabla_control[LOTE],0)),"-")</f>
        <v>ENTREGADO</v>
      </c>
      <c r="H10" s="205" t="s">
        <v>5344</v>
      </c>
      <c r="I10" s="207" t="e">
        <f>(tabla_cronograma_extra[[#This Row],[FECHA PRODUCCIÓN]]-tabla_cronograma_extra[[#This Row],[FECHA]])</f>
        <v>#VALUE!</v>
      </c>
      <c r="J10" s="202">
        <v>46135</v>
      </c>
      <c r="K10" s="212"/>
      <c r="L10" s="211"/>
      <c r="M10" s="211">
        <v>2000</v>
      </c>
      <c r="N10" s="211">
        <v>9668</v>
      </c>
      <c r="O10" s="211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217"/>
    </row>
    <row r="11" spans="1:26" x14ac:dyDescent="0.25">
      <c r="A11" s="200" t="str">
        <f>_xlfn.IFNA(INDEX(Tabla_control[PRODUCTO],MATCH(tabla_cronograma_extra[[#This Row],[LOTE]],Tabla_control[LOTE],0)),"-")</f>
        <v>KETOROLACO 30 MG X 3 AMP. SOLUCION INY.</v>
      </c>
      <c r="B11" s="227">
        <f>_xlfn.IFNA(INDEX(Tabla_control[CANTIDAD IMPRIMIR],MATCH(tabla_cronograma_extra[[#This Row],[LOTE]],Tabla_control[LOTE],0)),"-")</f>
        <v>46666.666666666664</v>
      </c>
      <c r="C11" s="158">
        <f>_xlfn.IFNA(INDEX(Tabla_control[PREDICCION],MATCH(tabla_cronograma_extra[[#This Row],[LOTE]],Tabla_control[LOTE],0)),"-")</f>
        <v>11668</v>
      </c>
      <c r="D11" s="181" t="s">
        <v>3224</v>
      </c>
      <c r="E11" s="200" t="str">
        <f>_xlfn.IFNA(INDEX(Tabla_control[INSTITUCIÓN],MATCH(tabla_cronograma_extra[[#This Row],[LOTE]],Tabla_control[LOTE],0)),"-")</f>
        <v>COMERCIO</v>
      </c>
      <c r="F11" s="203">
        <f>_xlfn.IFNA(INDEX(Tabla_control[STOCK],MATCH(tabla_cronograma_extra[[#This Row],[LOTE]],Tabla_control[LOTE],0)),"-")</f>
        <v>0.16573485339769692</v>
      </c>
      <c r="G11" s="198">
        <f>_xlfn.IFNA(INDEX(Tabla_control[FECHA PRODUCCIÓN],MATCH(tabla_cronograma_extra[[#This Row],[LOTE]],Tabla_control[LOTE],0)),"-")</f>
        <v>46148</v>
      </c>
      <c r="H11" s="205" t="s">
        <v>5344</v>
      </c>
      <c r="I11" s="207">
        <f>(tabla_cronograma_extra[[#This Row],[FECHA PRODUCCIÓN]]-tabla_cronograma_extra[[#This Row],[FECHA]])</f>
        <v>13</v>
      </c>
      <c r="J11" s="202">
        <v>46135</v>
      </c>
      <c r="K11" s="212"/>
      <c r="L11" s="211"/>
      <c r="M11" s="211"/>
      <c r="N11" s="211">
        <v>11668</v>
      </c>
      <c r="O11" s="211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217"/>
    </row>
    <row r="12" spans="1:26" x14ac:dyDescent="0.25">
      <c r="A12" s="200" t="str">
        <f>_xlfn.IFNA(INDEX(Tabla_control[PRODUCTO],MATCH(tabla_cronograma_extra[[#This Row],[LOTE]],Tabla_control[LOTE],0)),"-")</f>
        <v>KETOROLACO 30 MG X 3 AMP. SOLUCION INY.</v>
      </c>
      <c r="B12" s="227">
        <f>_xlfn.IFNA(INDEX(Tabla_control[CANTIDAD IMPRIMIR],MATCH(tabla_cronograma_extra[[#This Row],[LOTE]],Tabla_control[LOTE],0)),"-")</f>
        <v>46666.666666666664</v>
      </c>
      <c r="C12" s="158">
        <f>_xlfn.IFNA(INDEX(Tabla_control[PREDICCION],MATCH(tabla_cronograma_extra[[#This Row],[LOTE]],Tabla_control[LOTE],0)),"-")</f>
        <v>11668</v>
      </c>
      <c r="D12" s="181" t="s">
        <v>3172</v>
      </c>
      <c r="E12" s="200" t="str">
        <f>_xlfn.IFNA(INDEX(Tabla_control[INSTITUCIÓN],MATCH(tabla_cronograma_extra[[#This Row],[LOTE]],Tabla_control[LOTE],0)),"-")</f>
        <v>COMERCIO</v>
      </c>
      <c r="F12" s="203">
        <f>_xlfn.IFNA(INDEX(Tabla_control[STOCK],MATCH(tabla_cronograma_extra[[#This Row],[LOTE]],Tabla_control[LOTE],0)),"-")</f>
        <v>0.16573485339769692</v>
      </c>
      <c r="G12" s="198">
        <f>_xlfn.IFNA(INDEX(Tabla_control[FECHA PRODUCCIÓN],MATCH(tabla_cronograma_extra[[#This Row],[LOTE]],Tabla_control[LOTE],0)),"-")</f>
        <v>46148</v>
      </c>
      <c r="H12" s="205" t="s">
        <v>5344</v>
      </c>
      <c r="I12" s="207">
        <f>(tabla_cronograma_extra[[#This Row],[FECHA PRODUCCIÓN]]-tabla_cronograma_extra[[#This Row],[FECHA]])</f>
        <v>12</v>
      </c>
      <c r="J12" s="202">
        <v>46136</v>
      </c>
      <c r="K12" s="212"/>
      <c r="L12" s="211"/>
      <c r="M12" s="211"/>
      <c r="N12" s="211">
        <v>3668</v>
      </c>
      <c r="O12" s="211">
        <v>8668</v>
      </c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217"/>
    </row>
    <row r="13" spans="1:26" x14ac:dyDescent="0.25">
      <c r="A13" s="200" t="str">
        <f>_xlfn.IFNA(INDEX(Tabla_control[PRODUCTO],MATCH(tabla_cronograma_extra[[#This Row],[LOTE]],Tabla_control[LOTE],0)),"-")</f>
        <v>DEXTROMETORFANO 10 MG X 100 ML JARABE</v>
      </c>
      <c r="B13" s="227">
        <f>_xlfn.IFNA(INDEX(Tabla_control[CANTIDAD IMPRIMIR],MATCH(tabla_cronograma_extra[[#This Row],[LOTE]],Tabla_control[LOTE],0)),"-")</f>
        <v>29703</v>
      </c>
      <c r="C13" s="159">
        <f>_xlfn.IFNA(INDEX(Tabla_control[PREDICCION],MATCH(tabla_cronograma_extra[[#This Row],[LOTE]],Tabla_control[LOTE],0)),"-")</f>
        <v>14852</v>
      </c>
      <c r="D13" s="181" t="s">
        <v>3218</v>
      </c>
      <c r="E13" s="201" t="str">
        <f>_xlfn.IFNA(INDEX(Tabla_control[INSTITUCIÓN],MATCH(tabla_cronograma_extra[[#This Row],[LOTE]],Tabla_control[LOTE],0)),"-")</f>
        <v>COMERCIO</v>
      </c>
      <c r="F13" s="204">
        <f>_xlfn.IFNA(INDEX(Tabla_control[STOCK],MATCH(tabla_cronograma_extra[[#This Row],[LOTE]],Tabla_control[LOTE],0)),"-")</f>
        <v>0.77540560458321139</v>
      </c>
      <c r="G13" s="199" t="str">
        <f>_xlfn.IFNA(INDEX(Tabla_control[FECHA PRODUCCIÓN],MATCH(tabla_cronograma_extra[[#This Row],[LOTE]],Tabla_control[LOTE],0)),"-")</f>
        <v>ENTREGADO</v>
      </c>
      <c r="H13" s="206" t="s">
        <v>5344</v>
      </c>
      <c r="I13" s="208" t="e">
        <f>(tabla_cronograma_extra[[#This Row],[FECHA PRODUCCIÓN]]-tabla_cronograma_extra[[#This Row],[FECHA]])</f>
        <v>#VALUE!</v>
      </c>
      <c r="J13" s="202">
        <v>46136</v>
      </c>
      <c r="K13" s="212"/>
      <c r="L13" s="211"/>
      <c r="M13" s="211"/>
      <c r="N13" s="211"/>
      <c r="O13" s="211">
        <v>14852</v>
      </c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217"/>
    </row>
    <row r="14" spans="1:26" x14ac:dyDescent="0.25">
      <c r="A14" s="200" t="str">
        <f>_xlfn.IFNA(INDEX(Tabla_control[PRODUCTO],MATCH(tabla_cronograma_extra[[#This Row],[LOTE]],Tabla_control[LOTE],0)),"-")</f>
        <v>DEXTROMETORFANO 10 MG X 100 ML JARABE</v>
      </c>
      <c r="B14" s="227">
        <f>_xlfn.IFNA(INDEX(Tabla_control[CANTIDAD IMPRIMIR],MATCH(tabla_cronograma_extra[[#This Row],[LOTE]],Tabla_control[LOTE],0)),"-")</f>
        <v>29703</v>
      </c>
      <c r="C14" s="159">
        <f>_xlfn.IFNA(INDEX(Tabla_control[PREDICCION],MATCH(tabla_cronograma_extra[[#This Row],[LOTE]],Tabla_control[LOTE],0)),"-")</f>
        <v>14852</v>
      </c>
      <c r="D14" s="181" t="s">
        <v>3216</v>
      </c>
      <c r="E14" s="201" t="str">
        <f>_xlfn.IFNA(INDEX(Tabla_control[INSTITUCIÓN],MATCH(tabla_cronograma_extra[[#This Row],[LOTE]],Tabla_control[LOTE],0)),"-")</f>
        <v>COMERCIO</v>
      </c>
      <c r="F14" s="204">
        <f>_xlfn.IFNA(INDEX(Tabla_control[STOCK],MATCH(tabla_cronograma_extra[[#This Row],[LOTE]],Tabla_control[LOTE],0)),"-")</f>
        <v>0.77540560458321139</v>
      </c>
      <c r="G14" s="199">
        <f>_xlfn.IFNA(INDEX(Tabla_control[FECHA PRODUCCIÓN],MATCH(tabla_cronograma_extra[[#This Row],[LOTE]],Tabla_control[LOTE],0)),"-")</f>
        <v>46149</v>
      </c>
      <c r="H14" s="206" t="s">
        <v>5344</v>
      </c>
      <c r="I14" s="208">
        <f>(tabla_cronograma_extra[[#This Row],[FECHA PRODUCCIÓN]]-tabla_cronograma_extra[[#This Row],[FECHA]])</f>
        <v>10</v>
      </c>
      <c r="J14" s="202">
        <v>46139</v>
      </c>
      <c r="K14" s="212"/>
      <c r="L14" s="212"/>
      <c r="M14" s="211"/>
      <c r="N14" s="211"/>
      <c r="O14" s="211"/>
      <c r="P14" s="160">
        <v>14852</v>
      </c>
      <c r="Q14" s="160"/>
      <c r="R14" s="160"/>
      <c r="S14" s="160"/>
      <c r="T14" s="160"/>
      <c r="U14" s="160"/>
      <c r="V14" s="160"/>
      <c r="W14" s="160"/>
      <c r="X14" s="160"/>
      <c r="Y14" s="160"/>
      <c r="Z14" s="217"/>
    </row>
    <row r="15" spans="1:26" x14ac:dyDescent="0.25">
      <c r="A15" s="200" t="str">
        <f>_xlfn.IFNA(INDEX(Tabla_control[PRODUCTO],MATCH(tabla_cronograma_extra[[#This Row],[LOTE]],Tabla_control[LOTE],0)),"-")</f>
        <v>DEXTROMETORFANO 10 MG X 100 ML JARABE</v>
      </c>
      <c r="B15" s="227">
        <f>_xlfn.IFNA(INDEX(Tabla_control[CANTIDAD IMPRIMIR],MATCH(tabla_cronograma_extra[[#This Row],[LOTE]],Tabla_control[LOTE],0)),"-")</f>
        <v>29703</v>
      </c>
      <c r="C15" s="159">
        <f>_xlfn.IFNA(INDEX(Tabla_control[PREDICCION],MATCH(tabla_cronograma_extra[[#This Row],[LOTE]],Tabla_control[LOTE],0)),"-")</f>
        <v>14852</v>
      </c>
      <c r="D15" s="181" t="s">
        <v>3217</v>
      </c>
      <c r="E15" s="201" t="str">
        <f>_xlfn.IFNA(INDEX(Tabla_control[INSTITUCIÓN],MATCH(tabla_cronograma_extra[[#This Row],[LOTE]],Tabla_control[LOTE],0)),"-")</f>
        <v>COMERCIO</v>
      </c>
      <c r="F15" s="204">
        <f>_xlfn.IFNA(INDEX(Tabla_control[STOCK],MATCH(tabla_cronograma_extra[[#This Row],[LOTE]],Tabla_control[LOTE],0)),"-")</f>
        <v>0.77540560458321139</v>
      </c>
      <c r="G15" s="199">
        <f>_xlfn.IFNA(INDEX(Tabla_control[FECHA PRODUCCIÓN],MATCH(tabla_cronograma_extra[[#This Row],[LOTE]],Tabla_control[LOTE],0)),"-")</f>
        <v>46149</v>
      </c>
      <c r="H15" s="206" t="s">
        <v>5344</v>
      </c>
      <c r="I15" s="208">
        <f>(tabla_cronograma_extra[[#This Row],[FECHA PRODUCCIÓN]]-tabla_cronograma_extra[[#This Row],[FECHA]])</f>
        <v>9</v>
      </c>
      <c r="J15" s="202">
        <v>46140</v>
      </c>
      <c r="K15" s="212"/>
      <c r="L15" s="211"/>
      <c r="M15" s="212"/>
      <c r="N15" s="211"/>
      <c r="O15" s="211"/>
      <c r="P15" s="160">
        <v>2000</v>
      </c>
      <c r="Q15" s="160">
        <v>12852</v>
      </c>
      <c r="R15" s="160"/>
      <c r="S15" s="160"/>
      <c r="T15" s="160"/>
      <c r="U15" s="160"/>
      <c r="V15" s="160"/>
      <c r="W15" s="160"/>
      <c r="X15" s="160"/>
      <c r="Y15" s="160"/>
      <c r="Z15" s="217"/>
    </row>
    <row r="16" spans="1:26" x14ac:dyDescent="0.25">
      <c r="A16" s="200" t="str">
        <f>_xlfn.IFNA(INDEX(Tabla_control[PRODUCTO],MATCH(tabla_cronograma_extra[[#This Row],[LOTE]],Tabla_control[LOTE],0)),"-")</f>
        <v>DEXTROMETORFANO 10 MG X 100 ML JARABE</v>
      </c>
      <c r="B16" s="227">
        <f>_xlfn.IFNA(INDEX(Tabla_control[CANTIDAD IMPRIMIR],MATCH(tabla_cronograma_extra[[#This Row],[LOTE]],Tabla_control[LOTE],0)),"-")</f>
        <v>29703</v>
      </c>
      <c r="C16" s="159">
        <f>_xlfn.IFNA(INDEX(Tabla_control[PREDICCION],MATCH(tabla_cronograma_extra[[#This Row],[LOTE]],Tabla_control[LOTE],0)),"-")</f>
        <v>14852</v>
      </c>
      <c r="D16" s="181" t="s">
        <v>3219</v>
      </c>
      <c r="E16" s="201" t="str">
        <f>_xlfn.IFNA(INDEX(Tabla_control[INSTITUCIÓN],MATCH(tabla_cronograma_extra[[#This Row],[LOTE]],Tabla_control[LOTE],0)),"-")</f>
        <v>COMERCIO</v>
      </c>
      <c r="F16" s="204">
        <f>_xlfn.IFNA(INDEX(Tabla_control[STOCK],MATCH(tabla_cronograma_extra[[#This Row],[LOTE]],Tabla_control[LOTE],0)),"-")</f>
        <v>0.77540560458321139</v>
      </c>
      <c r="G16" s="199">
        <f>_xlfn.IFNA(INDEX(Tabla_control[FECHA PRODUCCIÓN],MATCH(tabla_cronograma_extra[[#This Row],[LOTE]],Tabla_control[LOTE],0)),"-")</f>
        <v>46155</v>
      </c>
      <c r="H16" s="206" t="s">
        <v>5344</v>
      </c>
      <c r="I16" s="208">
        <f>(tabla_cronograma_extra[[#This Row],[FECHA PRODUCCIÓN]]-tabla_cronograma_extra[[#This Row],[FECHA]])</f>
        <v>14</v>
      </c>
      <c r="J16" s="202">
        <v>46141</v>
      </c>
      <c r="K16" s="212"/>
      <c r="L16" s="211"/>
      <c r="M16" s="211"/>
      <c r="N16" s="212"/>
      <c r="O16" s="211"/>
      <c r="P16" s="160"/>
      <c r="Q16" s="160">
        <v>4000</v>
      </c>
      <c r="R16" s="160">
        <v>10852</v>
      </c>
      <c r="S16" s="160"/>
      <c r="T16" s="160"/>
      <c r="U16" s="160"/>
      <c r="V16" s="160"/>
      <c r="W16" s="160"/>
      <c r="X16" s="160"/>
      <c r="Y16" s="160"/>
      <c r="Z16" s="217"/>
    </row>
    <row r="17" spans="1:26" x14ac:dyDescent="0.25">
      <c r="A17" s="200" t="str">
        <f>_xlfn.IFNA(INDEX(Tabla_control[PRODUCTO],MATCH(tabla_cronograma_extra[[#This Row],[LOTE]],Tabla_control[LOTE],0)),"-")</f>
        <v>DEXTROMETORFANO 10 MG X 100 ML JARABE</v>
      </c>
      <c r="B17" s="227">
        <f>_xlfn.IFNA(INDEX(Tabla_control[CANTIDAD IMPRIMIR],MATCH(tabla_cronograma_extra[[#This Row],[LOTE]],Tabla_control[LOTE],0)),"-")</f>
        <v>29703</v>
      </c>
      <c r="C17" s="159">
        <f>_xlfn.IFNA(INDEX(Tabla_control[PREDICCION],MATCH(tabla_cronograma_extra[[#This Row],[LOTE]],Tabla_control[LOTE],0)),"-")</f>
        <v>14852</v>
      </c>
      <c r="D17" s="181" t="s">
        <v>3220</v>
      </c>
      <c r="E17" s="201" t="str">
        <f>_xlfn.IFNA(INDEX(Tabla_control[INSTITUCIÓN],MATCH(tabla_cronograma_extra[[#This Row],[LOTE]],Tabla_control[LOTE],0)),"-")</f>
        <v>COMERCIO</v>
      </c>
      <c r="F17" s="204">
        <f>_xlfn.IFNA(INDEX(Tabla_control[STOCK],MATCH(tabla_cronograma_extra[[#This Row],[LOTE]],Tabla_control[LOTE],0)),"-")</f>
        <v>0.77540560458321139</v>
      </c>
      <c r="G17" s="199">
        <f>_xlfn.IFNA(INDEX(Tabla_control[FECHA PRODUCCIÓN],MATCH(tabla_cronograma_extra[[#This Row],[LOTE]],Tabla_control[LOTE],0)),"-")</f>
        <v>46155</v>
      </c>
      <c r="H17" s="206" t="s">
        <v>5344</v>
      </c>
      <c r="I17" s="208">
        <f>(tabla_cronograma_extra[[#This Row],[FECHA PRODUCCIÓN]]-tabla_cronograma_extra[[#This Row],[FECHA]])</f>
        <v>13</v>
      </c>
      <c r="J17" s="202">
        <v>46142</v>
      </c>
      <c r="K17" s="212"/>
      <c r="L17" s="211"/>
      <c r="M17" s="211"/>
      <c r="N17" s="211"/>
      <c r="O17" s="212"/>
      <c r="P17" s="160"/>
      <c r="Q17" s="160"/>
      <c r="R17" s="160">
        <v>6000</v>
      </c>
      <c r="S17" s="160">
        <v>8852</v>
      </c>
      <c r="T17" s="160"/>
      <c r="U17" s="160"/>
      <c r="V17" s="160"/>
      <c r="W17" s="160"/>
      <c r="X17" s="160"/>
      <c r="Y17" s="160"/>
      <c r="Z17" s="217"/>
    </row>
    <row r="18" spans="1:26" x14ac:dyDescent="0.25">
      <c r="A18" s="200" t="str">
        <f>_xlfn.IFNA(INDEX(Tabla_control[PRODUCTO],MATCH(tabla_cronograma_extra[[#This Row],[LOTE]],Tabla_control[LOTE],0)),"-")</f>
        <v>DEXTROMETORFANO 10 MG X 100 ML JARABE</v>
      </c>
      <c r="B18" s="227">
        <f>_xlfn.IFNA(INDEX(Tabla_control[CANTIDAD IMPRIMIR],MATCH(tabla_cronograma_extra[[#This Row],[LOTE]],Tabla_control[LOTE],0)),"-")</f>
        <v>29703</v>
      </c>
      <c r="C18" s="159">
        <f>_xlfn.IFNA(INDEX(Tabla_control[PREDICCION],MATCH(tabla_cronograma_extra[[#This Row],[LOTE]],Tabla_control[LOTE],0)),"-")</f>
        <v>14852</v>
      </c>
      <c r="D18" s="181" t="s">
        <v>3209</v>
      </c>
      <c r="E18" s="201" t="str">
        <f>_xlfn.IFNA(INDEX(Tabla_control[INSTITUCIÓN],MATCH(tabla_cronograma_extra[[#This Row],[LOTE]],Tabla_control[LOTE],0)),"-")</f>
        <v>COMERCIO</v>
      </c>
      <c r="F18" s="204">
        <f>_xlfn.IFNA(INDEX(Tabla_control[STOCK],MATCH(tabla_cronograma_extra[[#This Row],[LOTE]],Tabla_control[LOTE],0)),"-")</f>
        <v>0.77540560458321139</v>
      </c>
      <c r="G18" s="199">
        <f>_xlfn.IFNA(INDEX(Tabla_control[FECHA PRODUCCIÓN],MATCH(tabla_cronograma_extra[[#This Row],[LOTE]],Tabla_control[LOTE],0)),"-")</f>
        <v>46160</v>
      </c>
      <c r="H18" s="206" t="s">
        <v>5344</v>
      </c>
      <c r="I18" s="208">
        <f>(tabla_cronograma_extra[[#This Row],[FECHA PRODUCCIÓN]]-tabla_cronograma_extra[[#This Row],[FECHA]])</f>
        <v>14</v>
      </c>
      <c r="J18" s="202">
        <v>46146</v>
      </c>
      <c r="K18" s="212"/>
      <c r="L18" s="211"/>
      <c r="M18" s="211"/>
      <c r="N18" s="211"/>
      <c r="O18" s="211"/>
      <c r="P18" s="197"/>
      <c r="Q18" s="160"/>
      <c r="R18" s="160"/>
      <c r="S18" s="160">
        <v>8000</v>
      </c>
      <c r="T18" s="160">
        <v>6852</v>
      </c>
      <c r="U18" s="160"/>
      <c r="V18" s="160"/>
      <c r="W18" s="160"/>
      <c r="X18" s="160"/>
      <c r="Y18" s="160"/>
      <c r="Z18" s="217"/>
    </row>
    <row r="19" spans="1:26" x14ac:dyDescent="0.25">
      <c r="A19" s="200" t="str">
        <f>_xlfn.IFNA(INDEX(Tabla_control[PRODUCTO],MATCH(tabla_cronograma_extra[[#This Row],[LOTE]],Tabla_control[LOTE],0)),"-")</f>
        <v>DEXTROMETORFANO 10 MG X 100 ML JARABE</v>
      </c>
      <c r="B19" s="227">
        <f>_xlfn.IFNA(INDEX(Tabla_control[CANTIDAD IMPRIMIR],MATCH(tabla_cronograma_extra[[#This Row],[LOTE]],Tabla_control[LOTE],0)),"-")</f>
        <v>29703</v>
      </c>
      <c r="C19" s="159">
        <f>_xlfn.IFNA(INDEX(Tabla_control[PREDICCION],MATCH(tabla_cronograma_extra[[#This Row],[LOTE]],Tabla_control[LOTE],0)),"-")</f>
        <v>14852</v>
      </c>
      <c r="D19" s="181" t="s">
        <v>3207</v>
      </c>
      <c r="E19" s="201" t="str">
        <f>_xlfn.IFNA(INDEX(Tabla_control[INSTITUCIÓN],MATCH(tabla_cronograma_extra[[#This Row],[LOTE]],Tabla_control[LOTE],0)),"-")</f>
        <v>COMERCIO</v>
      </c>
      <c r="F19" s="204">
        <f>_xlfn.IFNA(INDEX(Tabla_control[STOCK],MATCH(tabla_cronograma_extra[[#This Row],[LOTE]],Tabla_control[LOTE],0)),"-")</f>
        <v>0.77540560458321139</v>
      </c>
      <c r="G19" s="199">
        <f>_xlfn.IFNA(INDEX(Tabla_control[FECHA PRODUCCIÓN],MATCH(tabla_cronograma_extra[[#This Row],[LOTE]],Tabla_control[LOTE],0)),"-")</f>
        <v>46160</v>
      </c>
      <c r="H19" s="206" t="s">
        <v>5344</v>
      </c>
      <c r="I19" s="208">
        <f>(tabla_cronograma_extra[[#This Row],[FECHA PRODUCCIÓN]]-tabla_cronograma_extra[[#This Row],[FECHA]])</f>
        <v>13</v>
      </c>
      <c r="J19" s="202">
        <v>46147</v>
      </c>
      <c r="K19" s="212"/>
      <c r="L19" s="211"/>
      <c r="M19" s="211"/>
      <c r="N19" s="211"/>
      <c r="O19" s="211"/>
      <c r="P19" s="160"/>
      <c r="Q19" s="160"/>
      <c r="R19" s="160"/>
      <c r="S19" s="160"/>
      <c r="T19" s="160">
        <v>10000</v>
      </c>
      <c r="U19" s="160">
        <v>4852</v>
      </c>
      <c r="V19" s="160"/>
      <c r="W19" s="160"/>
      <c r="X19" s="160"/>
      <c r="Y19" s="160"/>
      <c r="Z19" s="217"/>
    </row>
    <row r="20" spans="1:26" x14ac:dyDescent="0.25">
      <c r="A20" s="200" t="str">
        <f>_xlfn.IFNA(INDEX(Tabla_control[PRODUCTO],MATCH(tabla_cronograma_extra[[#This Row],[LOTE]],Tabla_control[LOTE],0)),"-")</f>
        <v>DEXTROMETORFANO 10 MG X 100 ML JARABE</v>
      </c>
      <c r="B20" s="227">
        <f>_xlfn.IFNA(INDEX(Tabla_control[CANTIDAD IMPRIMIR],MATCH(tabla_cronograma_extra[[#This Row],[LOTE]],Tabla_control[LOTE],0)),"-")</f>
        <v>29703</v>
      </c>
      <c r="C20" s="159">
        <f>_xlfn.IFNA(INDEX(Tabla_control[PREDICCION],MATCH(tabla_cronograma_extra[[#This Row],[LOTE]],Tabla_control[LOTE],0)),"-")</f>
        <v>14852</v>
      </c>
      <c r="D20" s="181" t="s">
        <v>3206</v>
      </c>
      <c r="E20" s="201" t="str">
        <f>_xlfn.IFNA(INDEX(Tabla_control[INSTITUCIÓN],MATCH(tabla_cronograma_extra[[#This Row],[LOTE]],Tabla_control[LOTE],0)),"-")</f>
        <v>COMERCIO</v>
      </c>
      <c r="F20" s="204">
        <f>_xlfn.IFNA(INDEX(Tabla_control[STOCK],MATCH(tabla_cronograma_extra[[#This Row],[LOTE]],Tabla_control[LOTE],0)),"-")</f>
        <v>0.77540560458321139</v>
      </c>
      <c r="G20" s="199">
        <f>_xlfn.IFNA(INDEX(Tabla_control[FECHA PRODUCCIÓN],MATCH(tabla_cronograma_extra[[#This Row],[LOTE]],Tabla_control[LOTE],0)),"-")</f>
        <v>46164</v>
      </c>
      <c r="H20" s="206" t="s">
        <v>5344</v>
      </c>
      <c r="I20" s="208">
        <f>(tabla_cronograma_extra[[#This Row],[FECHA PRODUCCIÓN]]-tabla_cronograma_extra[[#This Row],[FECHA]])</f>
        <v>16</v>
      </c>
      <c r="J20" s="202">
        <v>46148</v>
      </c>
      <c r="K20" s="212"/>
      <c r="L20" s="211"/>
      <c r="M20" s="211"/>
      <c r="N20" s="211"/>
      <c r="O20" s="211"/>
      <c r="P20" s="160"/>
      <c r="Q20" s="160"/>
      <c r="R20" s="160"/>
      <c r="S20" s="160"/>
      <c r="T20" s="160"/>
      <c r="U20" s="160">
        <v>12000</v>
      </c>
      <c r="V20" s="160">
        <v>2852</v>
      </c>
      <c r="W20" s="160"/>
      <c r="X20" s="160"/>
      <c r="Y20" s="160"/>
      <c r="Z20" s="217"/>
    </row>
    <row r="21" spans="1:26" x14ac:dyDescent="0.25">
      <c r="A21" s="200" t="str">
        <f>_xlfn.IFNA(INDEX(Tabla_control[PRODUCTO],MATCH(tabla_cronograma_extra[[#This Row],[LOTE]],Tabla_control[LOTE],0)),"-")</f>
        <v>DEXTROMETORFANO 10 MG X 100 ML JARABE</v>
      </c>
      <c r="B21" s="227">
        <f>_xlfn.IFNA(INDEX(Tabla_control[CANTIDAD IMPRIMIR],MATCH(tabla_cronograma_extra[[#This Row],[LOTE]],Tabla_control[LOTE],0)),"-")</f>
        <v>29703</v>
      </c>
      <c r="C21" s="159">
        <f>_xlfn.IFNA(INDEX(Tabla_control[PREDICCION],MATCH(tabla_cronograma_extra[[#This Row],[LOTE]],Tabla_control[LOTE],0)),"-")</f>
        <v>14852</v>
      </c>
      <c r="D21" s="181" t="s">
        <v>3208</v>
      </c>
      <c r="E21" s="201" t="str">
        <f>_xlfn.IFNA(INDEX(Tabla_control[INSTITUCIÓN],MATCH(tabla_cronograma_extra[[#This Row],[LOTE]],Tabla_control[LOTE],0)),"-")</f>
        <v>COMERCIO</v>
      </c>
      <c r="F21" s="204">
        <f>_xlfn.IFNA(INDEX(Tabla_control[STOCK],MATCH(tabla_cronograma_extra[[#This Row],[LOTE]],Tabla_control[LOTE],0)),"-")</f>
        <v>0.77540560458321139</v>
      </c>
      <c r="G21" s="199">
        <f>_xlfn.IFNA(INDEX(Tabla_control[FECHA PRODUCCIÓN],MATCH(tabla_cronograma_extra[[#This Row],[LOTE]],Tabla_control[LOTE],0)),"-")</f>
        <v>46164</v>
      </c>
      <c r="H21" s="206" t="s">
        <v>5344</v>
      </c>
      <c r="I21" s="208">
        <f>(tabla_cronograma_extra[[#This Row],[FECHA PRODUCCIÓN]]-tabla_cronograma_extra[[#This Row],[FECHA]])</f>
        <v>16</v>
      </c>
      <c r="J21" s="202">
        <v>46148</v>
      </c>
      <c r="K21" s="212"/>
      <c r="L21" s="211"/>
      <c r="M21" s="211"/>
      <c r="N21" s="211"/>
      <c r="O21" s="211"/>
      <c r="P21" s="160"/>
      <c r="Q21" s="160"/>
      <c r="R21" s="160"/>
      <c r="S21" s="160"/>
      <c r="T21" s="160"/>
      <c r="U21" s="160"/>
      <c r="V21" s="160">
        <v>14852</v>
      </c>
      <c r="W21" s="160"/>
      <c r="X21" s="160"/>
      <c r="Y21" s="160"/>
      <c r="Z21" s="217"/>
    </row>
    <row r="22" spans="1:26" x14ac:dyDescent="0.25">
      <c r="A22" s="200" t="str">
        <f>_xlfn.IFNA(INDEX(Tabla_control[PRODUCTO],MATCH(tabla_cronograma_extra[[#This Row],[LOTE]],Tabla_control[LOTE],0)),"-")</f>
        <v>DEXTROMETORFANO 10 MG X 100 ML JARABE</v>
      </c>
      <c r="B22" s="227">
        <f>_xlfn.IFNA(INDEX(Tabla_control[CANTIDAD IMPRIMIR],MATCH(tabla_cronograma_extra[[#This Row],[LOTE]],Tabla_control[LOTE],0)),"-")</f>
        <v>29703</v>
      </c>
      <c r="C22" s="159">
        <f>_xlfn.IFNA(INDEX(Tabla_control[PREDICCION],MATCH(tabla_cronograma_extra[[#This Row],[LOTE]],Tabla_control[LOTE],0)),"-")</f>
        <v>14852</v>
      </c>
      <c r="D22" s="181" t="s">
        <v>3204</v>
      </c>
      <c r="E22" s="201" t="str">
        <f>_xlfn.IFNA(INDEX(Tabla_control[INSTITUCIÓN],MATCH(tabla_cronograma_extra[[#This Row],[LOTE]],Tabla_control[LOTE],0)),"-")</f>
        <v>COMERCIO</v>
      </c>
      <c r="F22" s="204">
        <f>_xlfn.IFNA(INDEX(Tabla_control[STOCK],MATCH(tabla_cronograma_extra[[#This Row],[LOTE]],Tabla_control[LOTE],0)),"-")</f>
        <v>0.77540560458321139</v>
      </c>
      <c r="G22" s="199">
        <f>_xlfn.IFNA(INDEX(Tabla_control[FECHA PRODUCCIÓN],MATCH(tabla_cronograma_extra[[#This Row],[LOTE]],Tabla_control[LOTE],0)),"-")</f>
        <v>46169</v>
      </c>
      <c r="H22" s="206" t="s">
        <v>5344</v>
      </c>
      <c r="I22" s="208">
        <f>(tabla_cronograma_extra[[#This Row],[FECHA PRODUCCIÓN]]-tabla_cronograma_extra[[#This Row],[FECHA]])</f>
        <v>20</v>
      </c>
      <c r="J22" s="202">
        <v>46149</v>
      </c>
      <c r="K22" s="212"/>
      <c r="L22" s="211"/>
      <c r="M22" s="211"/>
      <c r="N22" s="211"/>
      <c r="O22" s="211"/>
      <c r="P22" s="160"/>
      <c r="Q22" s="160"/>
      <c r="R22" s="160"/>
      <c r="S22" s="160"/>
      <c r="T22" s="160"/>
      <c r="U22" s="160"/>
      <c r="V22" s="160"/>
      <c r="W22" s="160">
        <v>14852</v>
      </c>
      <c r="X22" s="160"/>
      <c r="Y22" s="160"/>
      <c r="Z22" s="217"/>
    </row>
    <row r="23" spans="1:26" x14ac:dyDescent="0.25">
      <c r="A23" s="200" t="str">
        <f>_xlfn.IFNA(INDEX(Tabla_control[PRODUCTO],MATCH(tabla_cronograma_extra[[#This Row],[LOTE]],Tabla_control[LOTE],0)),"-")</f>
        <v>DEXTROMETORFANO 10 MG X 100 ML JARABE</v>
      </c>
      <c r="B23" s="227">
        <f>_xlfn.IFNA(INDEX(Tabla_control[CANTIDAD IMPRIMIR],MATCH(tabla_cronograma_extra[[#This Row],[LOTE]],Tabla_control[LOTE],0)),"-")</f>
        <v>29703</v>
      </c>
      <c r="C23" s="159">
        <f>_xlfn.IFNA(INDEX(Tabla_control[PREDICCION],MATCH(tabla_cronograma_extra[[#This Row],[LOTE]],Tabla_control[LOTE],0)),"-")</f>
        <v>14852</v>
      </c>
      <c r="D23" s="181" t="s">
        <v>3203</v>
      </c>
      <c r="E23" s="201" t="str">
        <f>_xlfn.IFNA(INDEX(Tabla_control[INSTITUCIÓN],MATCH(tabla_cronograma_extra[[#This Row],[LOTE]],Tabla_control[LOTE],0)),"-")</f>
        <v>COMERCIO</v>
      </c>
      <c r="F23" s="204">
        <f>_xlfn.IFNA(INDEX(Tabla_control[STOCK],MATCH(tabla_cronograma_extra[[#This Row],[LOTE]],Tabla_control[LOTE],0)),"-")</f>
        <v>0.77540560458321139</v>
      </c>
      <c r="G23" s="199">
        <f>_xlfn.IFNA(INDEX(Tabla_control[FECHA PRODUCCIÓN],MATCH(tabla_cronograma_extra[[#This Row],[LOTE]],Tabla_control[LOTE],0)),"-")</f>
        <v>46170</v>
      </c>
      <c r="H23" s="206" t="s">
        <v>5344</v>
      </c>
      <c r="I23" s="208">
        <f>(tabla_cronograma_extra[[#This Row],[FECHA PRODUCCIÓN]]-tabla_cronograma_extra[[#This Row],[FECHA]])</f>
        <v>20</v>
      </c>
      <c r="J23" s="202">
        <v>46150</v>
      </c>
      <c r="K23" s="212"/>
      <c r="L23" s="211"/>
      <c r="M23" s="211"/>
      <c r="N23" s="211"/>
      <c r="O23" s="211"/>
      <c r="P23" s="160"/>
      <c r="Q23" s="160"/>
      <c r="R23" s="160"/>
      <c r="S23" s="160"/>
      <c r="T23" s="160"/>
      <c r="U23" s="160"/>
      <c r="V23" s="160"/>
      <c r="W23" s="160">
        <v>2000</v>
      </c>
      <c r="X23" s="160">
        <v>12852</v>
      </c>
      <c r="Y23" s="160"/>
      <c r="Z23" s="217"/>
    </row>
    <row r="24" spans="1:26" x14ac:dyDescent="0.25">
      <c r="A24" s="200" t="str">
        <f>_xlfn.IFNA(INDEX(Tabla_control[PRODUCTO],MATCH(tabla_cronograma_extra[[#This Row],[LOTE]],Tabla_control[LOTE],0)),"-")</f>
        <v>NISTATINA 500.000 UI X 60 ML SUSP.</v>
      </c>
      <c r="B24" s="227">
        <f>_xlfn.IFNA(INDEX(Tabla_control[CANTIDAD IMPRIMIR],MATCH(tabla_cronograma_extra[[#This Row],[LOTE]],Tabla_control[LOTE],0)),"-")</f>
        <v>19354</v>
      </c>
      <c r="C24" s="159">
        <f>_xlfn.IFNA(INDEX(Tabla_control[PREDICCION],MATCH(tabla_cronograma_extra[[#This Row],[LOTE]],Tabla_control[LOTE],0)),"-")</f>
        <v>9678</v>
      </c>
      <c r="D24" s="181" t="s">
        <v>3072</v>
      </c>
      <c r="E24" s="201" t="str">
        <f>_xlfn.IFNA(INDEX(Tabla_control[INSTITUCIÓN],MATCH(tabla_cronograma_extra[[#This Row],[LOTE]],Tabla_control[LOTE],0)),"-")</f>
        <v>COMERCIO</v>
      </c>
      <c r="F24" s="204">
        <f>_xlfn.IFNA(INDEX(Tabla_control[STOCK],MATCH(tabla_cronograma_extra[[#This Row],[LOTE]],Tabla_control[LOTE],0)),"-")</f>
        <v>2.2477975190783464</v>
      </c>
      <c r="G24" s="199">
        <f>_xlfn.IFNA(INDEX(Tabla_control[FECHA PRODUCCIÓN],MATCH(tabla_cronograma_extra[[#This Row],[LOTE]],Tabla_control[LOTE],0)),"-")</f>
        <v>46174</v>
      </c>
      <c r="H24" s="206" t="s">
        <v>5344</v>
      </c>
      <c r="I24" s="208">
        <f>(tabla_cronograma_extra[[#This Row],[FECHA PRODUCCIÓN]]-tabla_cronograma_extra[[#This Row],[FECHA]])</f>
        <v>23</v>
      </c>
      <c r="J24" s="202">
        <v>46151</v>
      </c>
      <c r="K24" s="212"/>
      <c r="L24" s="211"/>
      <c r="M24" s="211"/>
      <c r="N24" s="211"/>
      <c r="O24" s="211"/>
      <c r="P24" s="160"/>
      <c r="Q24" s="160"/>
      <c r="R24" s="160"/>
      <c r="S24" s="160"/>
      <c r="T24" s="160"/>
      <c r="U24" s="160"/>
      <c r="V24" s="160"/>
      <c r="W24" s="160"/>
      <c r="X24" s="160">
        <v>4000</v>
      </c>
      <c r="Y24" s="160">
        <v>5678</v>
      </c>
      <c r="Z24" s="217"/>
    </row>
    <row r="25" spans="1:26" hidden="1" x14ac:dyDescent="0.25">
      <c r="A25" s="200" t="str">
        <f>_xlfn.IFNA(INDEX(Tabla_control[PRODUCTO],MATCH(tabla_cronograma_extra[[#This Row],[LOTE]],Tabla_control[LOTE],0)),"-")</f>
        <v>MUCOL 600 MG X 20 SOBRES POLVO GRANULADO</v>
      </c>
      <c r="B25" s="227">
        <f>_xlfn.IFNA(INDEX(Tabla_control[CANTIDAD IMPRIMIR],MATCH(tabla_cronograma_extra[[#This Row],[LOTE]],Tabla_control[LOTE],0)),"-")</f>
        <v>1700</v>
      </c>
      <c r="C25" s="159">
        <f>_xlfn.IFNA(INDEX(Tabla_control[PREDICCION],MATCH(tabla_cronograma_extra[[#This Row],[LOTE]],Tabla_control[LOTE],0)),"-")</f>
        <v>3400</v>
      </c>
      <c r="D25" s="213" t="s">
        <v>3168</v>
      </c>
      <c r="E25" s="201" t="str">
        <f>_xlfn.IFNA(INDEX(Tabla_control[INSTITUCIÓN],MATCH(tabla_cronograma_extra[[#This Row],[LOTE]],Tabla_control[LOTE],0)),"-")</f>
        <v>COMERCIO</v>
      </c>
      <c r="F25" s="204">
        <f>_xlfn.IFNA(INDEX(Tabla_control[STOCK],MATCH(tabla_cronograma_extra[[#This Row],[LOTE]],Tabla_control[LOTE],0)),"-")</f>
        <v>6.783867631851086</v>
      </c>
      <c r="G25" s="199" t="str">
        <f>_xlfn.IFNA(INDEX(Tabla_control[FECHA PRODUCCIÓN],MATCH(tabla_cronograma_extra[[#This Row],[LOTE]],Tabla_control[LOTE],0)),"-")</f>
        <v>ENTREGADO</v>
      </c>
      <c r="H25" s="206" t="s">
        <v>5347</v>
      </c>
      <c r="I25" s="208" t="e">
        <f>(tabla_cronograma_extra[[#This Row],[FECHA PRODUCCIÓN]]-tabla_cronograma_extra[[#This Row],[FECHA]])</f>
        <v>#VALUE!</v>
      </c>
      <c r="J25" s="214">
        <v>46133</v>
      </c>
      <c r="K25" s="212"/>
      <c r="L25" s="211">
        <v>3400</v>
      </c>
      <c r="M25" s="211"/>
      <c r="N25" s="211"/>
      <c r="O25" s="211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217"/>
    </row>
    <row r="26" spans="1:26" hidden="1" x14ac:dyDescent="0.25">
      <c r="A26" s="200" t="str">
        <f>_xlfn.IFNA(INDEX(Tabla_control[PRODUCTO],MATCH(tabla_cronograma_extra[[#This Row],[LOTE]],Tabla_control[LOTE],0)),"-")</f>
        <v>NISTATINA 100.000 UI X 15 G CREMA DERMICA</v>
      </c>
      <c r="B26" s="227">
        <f>_xlfn.IFNA(INDEX(Tabla_control[CANTIDAD IMPRIMIR],MATCH(tabla_cronograma_extra[[#This Row],[LOTE]],Tabla_control[LOTE],0)),"-")</f>
        <v>17400</v>
      </c>
      <c r="C26" s="159">
        <f>_xlfn.IFNA(INDEX(Tabla_control[PREDICCION],MATCH(tabla_cronograma_extra[[#This Row],[LOTE]],Tabla_control[LOTE],0)),"-")</f>
        <v>8700</v>
      </c>
      <c r="D26" s="213" t="s">
        <v>3132</v>
      </c>
      <c r="E26" s="201" t="str">
        <f>_xlfn.IFNA(INDEX(Tabla_control[INSTITUCIÓN],MATCH(tabla_cronograma_extra[[#This Row],[LOTE]],Tabla_control[LOTE],0)),"-")</f>
        <v>COMERCIO</v>
      </c>
      <c r="F26" s="204">
        <f>_xlfn.IFNA(INDEX(Tabla_control[STOCK],MATCH(tabla_cronograma_extra[[#This Row],[LOTE]],Tabla_control[LOTE],0)),"-")</f>
        <v>3.2389423076923078</v>
      </c>
      <c r="G26" s="199" t="str">
        <f>_xlfn.IFNA(INDEX(Tabla_control[FECHA PRODUCCIÓN],MATCH(tabla_cronograma_extra[[#This Row],[LOTE]],Tabla_control[LOTE],0)),"-")</f>
        <v>ENTREGADO</v>
      </c>
      <c r="H26" s="206" t="s">
        <v>5347</v>
      </c>
      <c r="I26" s="208" t="e">
        <f>(tabla_cronograma_extra[[#This Row],[FECHA PRODUCCIÓN]]-tabla_cronograma_extra[[#This Row],[FECHA]])</f>
        <v>#VALUE!</v>
      </c>
      <c r="J26" s="214">
        <v>46133</v>
      </c>
      <c r="K26" s="212"/>
      <c r="L26" s="211">
        <v>8700</v>
      </c>
      <c r="M26" s="211"/>
      <c r="N26" s="211"/>
      <c r="O26" s="211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217"/>
    </row>
    <row r="27" spans="1:26" ht="30" hidden="1" x14ac:dyDescent="0.25">
      <c r="A27" s="200" t="str">
        <f>_xlfn.IFNA(INDEX(Tabla_control[PRODUCTO],MATCH(tabla_cronograma_extra[[#This Row],[LOTE]],Tabla_control[LOTE],0)),"-")</f>
        <v>REALIZADO</v>
      </c>
      <c r="B27" s="227" t="str">
        <f>_xlfn.IFNA(INDEX(Tabla_control[CANTIDAD IMPRIMIR],MATCH(tabla_cronograma_extra[[#This Row],[LOTE]],Tabla_control[LOTE],0)),"-")</f>
        <v>ENTREGADO</v>
      </c>
      <c r="C27" s="159" t="e">
        <f>_xlfn.IFNA(INDEX(Tabla_control[PREDICCION],MATCH(tabla_cronograma_extra[[#This Row],[LOTE]],Tabla_control[LOTE],0)),"-")</f>
        <v>#VALUE!</v>
      </c>
      <c r="D27" s="213" t="s">
        <v>3093</v>
      </c>
      <c r="E27" s="201" t="str">
        <f>_xlfn.IFNA(INDEX(Tabla_control[INSTITUCIÓN],MATCH(tabla_cronograma_extra[[#This Row],[LOTE]],Tabla_control[LOTE],0)),"-")</f>
        <v>REALIZADO</v>
      </c>
      <c r="F27" s="204" t="str">
        <f>_xlfn.IFNA(INDEX(Tabla_control[STOCK],MATCH(tabla_cronograma_extra[[#This Row],[LOTE]],Tabla_control[LOTE],0)),"-")</f>
        <v>ENTREGADO</v>
      </c>
      <c r="G27" s="199" t="str">
        <f>_xlfn.IFNA(INDEX(Tabla_control[FECHA PRODUCCIÓN],MATCH(tabla_cronograma_extra[[#This Row],[LOTE]],Tabla_control[LOTE],0)),"-")</f>
        <v>ENTREGADO</v>
      </c>
      <c r="H27" s="206" t="s">
        <v>5347</v>
      </c>
      <c r="I27" s="208" t="e">
        <f>(tabla_cronograma_extra[[#This Row],[FECHA PRODUCCIÓN]]-tabla_cronograma_extra[[#This Row],[FECHA]])</f>
        <v>#VALUE!</v>
      </c>
      <c r="J27" s="214">
        <v>46133</v>
      </c>
      <c r="K27" s="212"/>
      <c r="L27" s="211">
        <v>5700</v>
      </c>
      <c r="M27" s="211"/>
      <c r="N27" s="211"/>
      <c r="O27" s="211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217"/>
    </row>
    <row r="28" spans="1:26" hidden="1" x14ac:dyDescent="0.25">
      <c r="A28" s="200" t="str">
        <f>_xlfn.IFNA(INDEX(Tabla_control[PRODUCTO],MATCH(tabla_cronograma_extra[[#This Row],[LOTE]],Tabla_control[LOTE],0)),"-")</f>
        <v>HIDROCORTISONA 1% X 15 G CREMA DERMICA</v>
      </c>
      <c r="B28" s="227">
        <f>_xlfn.IFNA(INDEX(Tabla_control[CANTIDAD IMPRIMIR],MATCH(tabla_cronograma_extra[[#This Row],[LOTE]],Tabla_control[LOTE],0)),"-")</f>
        <v>11400</v>
      </c>
      <c r="C28" s="159">
        <f>_xlfn.IFNA(INDEX(Tabla_control[PREDICCION],MATCH(tabla_cronograma_extra[[#This Row],[LOTE]],Tabla_control[LOTE],0)),"-")</f>
        <v>5700</v>
      </c>
      <c r="D28" s="213" t="s">
        <v>3230</v>
      </c>
      <c r="E28" s="201" t="str">
        <f>_xlfn.IFNA(INDEX(Tabla_control[INSTITUCIÓN],MATCH(tabla_cronograma_extra[[#This Row],[LOTE]],Tabla_control[LOTE],0)),"-")</f>
        <v>COMERCIO</v>
      </c>
      <c r="F28" s="204">
        <f>_xlfn.IFNA(INDEX(Tabla_control[STOCK],MATCH(tabla_cronograma_extra[[#This Row],[LOTE]],Tabla_control[LOTE],0)),"-")</f>
        <v>1.5089103092900005</v>
      </c>
      <c r="G28" s="199" t="str">
        <f>_xlfn.IFNA(INDEX(Tabla_control[FECHA PRODUCCIÓN],MATCH(tabla_cronograma_extra[[#This Row],[LOTE]],Tabla_control[LOTE],0)),"-")</f>
        <v>ENTREGADO</v>
      </c>
      <c r="H28" s="206" t="s">
        <v>5347</v>
      </c>
      <c r="I28" s="208" t="e">
        <f>(tabla_cronograma_extra[[#This Row],[FECHA PRODUCCIÓN]]-tabla_cronograma_extra[[#This Row],[FECHA]])</f>
        <v>#VALUE!</v>
      </c>
      <c r="J28" s="214">
        <v>46133</v>
      </c>
      <c r="K28" s="212"/>
      <c r="L28" s="211">
        <v>5700</v>
      </c>
      <c r="M28" s="211"/>
      <c r="N28" s="211"/>
      <c r="O28" s="211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217"/>
    </row>
    <row r="29" spans="1:26" hidden="1" x14ac:dyDescent="0.25">
      <c r="A29" s="200" t="str">
        <f>_xlfn.IFNA(INDEX(Tabla_control[PRODUCTO],MATCH(tabla_cronograma_extra[[#This Row],[LOTE]],Tabla_control[LOTE],0)),"-")</f>
        <v>HIDROCORTISONA 1% X 15 G CREMA DERMICA</v>
      </c>
      <c r="B29" s="227">
        <f>_xlfn.IFNA(INDEX(Tabla_control[CANTIDAD IMPRIMIR],MATCH(tabla_cronograma_extra[[#This Row],[LOTE]],Tabla_control[LOTE],0)),"-")</f>
        <v>17100</v>
      </c>
      <c r="C29" s="159">
        <f>_xlfn.IFNA(INDEX(Tabla_control[PREDICCION],MATCH(tabla_cronograma_extra[[#This Row],[LOTE]],Tabla_control[LOTE],0)),"-")</f>
        <v>8550</v>
      </c>
      <c r="D29" s="213" t="s">
        <v>3229</v>
      </c>
      <c r="E29" s="201" t="str">
        <f>_xlfn.IFNA(INDEX(Tabla_control[INSTITUCIÓN],MATCH(tabla_cronograma_extra[[#This Row],[LOTE]],Tabla_control[LOTE],0)),"-")</f>
        <v>COMERCIO</v>
      </c>
      <c r="F29" s="204">
        <f>_xlfn.IFNA(INDEX(Tabla_control[STOCK],MATCH(tabla_cronograma_extra[[#This Row],[LOTE]],Tabla_control[LOTE],0)),"-")</f>
        <v>1.5089103092900005</v>
      </c>
      <c r="G29" s="199" t="str">
        <f>_xlfn.IFNA(INDEX(Tabla_control[FECHA PRODUCCIÓN],MATCH(tabla_cronograma_extra[[#This Row],[LOTE]],Tabla_control[LOTE],0)),"-")</f>
        <v>ENTREGADO</v>
      </c>
      <c r="H29" s="206" t="s">
        <v>5347</v>
      </c>
      <c r="I29" s="208" t="e">
        <f>(tabla_cronograma_extra[[#This Row],[FECHA PRODUCCIÓN]]-tabla_cronograma_extra[[#This Row],[FECHA]])</f>
        <v>#VALUE!</v>
      </c>
      <c r="J29" s="214">
        <v>46134</v>
      </c>
      <c r="K29" s="212"/>
      <c r="L29" s="211"/>
      <c r="M29" s="211">
        <v>8550</v>
      </c>
      <c r="N29" s="211"/>
      <c r="O29" s="211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217"/>
    </row>
    <row r="30" spans="1:26" hidden="1" x14ac:dyDescent="0.25">
      <c r="A30" s="200" t="str">
        <f>_xlfn.IFNA(INDEX(Tabla_control[PRODUCTO],MATCH(tabla_cronograma_extra[[#This Row],[LOTE]],Tabla_control[LOTE],0)),"-")</f>
        <v>HIDROCORTISONA 1% X 15 G CREMA DERMICA</v>
      </c>
      <c r="B30" s="227">
        <f>_xlfn.IFNA(INDEX(Tabla_control[CANTIDAD IMPRIMIR],MATCH(tabla_cronograma_extra[[#This Row],[LOTE]],Tabla_control[LOTE],0)),"-")</f>
        <v>17100</v>
      </c>
      <c r="C30" s="159">
        <f>_xlfn.IFNA(INDEX(Tabla_control[PREDICCION],MATCH(tabla_cronograma_extra[[#This Row],[LOTE]],Tabla_control[LOTE],0)),"-")</f>
        <v>8550</v>
      </c>
      <c r="D30" s="213" t="s">
        <v>3228</v>
      </c>
      <c r="E30" s="201" t="str">
        <f>_xlfn.IFNA(INDEX(Tabla_control[INSTITUCIÓN],MATCH(tabla_cronograma_extra[[#This Row],[LOTE]],Tabla_control[LOTE],0)),"-")</f>
        <v>COMERCIO</v>
      </c>
      <c r="F30" s="204">
        <f>_xlfn.IFNA(INDEX(Tabla_control[STOCK],MATCH(tabla_cronograma_extra[[#This Row],[LOTE]],Tabla_control[LOTE],0)),"-")</f>
        <v>1.5089103092900005</v>
      </c>
      <c r="G30" s="199" t="str">
        <f>_xlfn.IFNA(INDEX(Tabla_control[FECHA PRODUCCIÓN],MATCH(tabla_cronograma_extra[[#This Row],[LOTE]],Tabla_control[LOTE],0)),"-")</f>
        <v>ENTREGADO</v>
      </c>
      <c r="H30" s="206" t="s">
        <v>5347</v>
      </c>
      <c r="I30" s="208" t="e">
        <f>(tabla_cronograma_extra[[#This Row],[FECHA PRODUCCIÓN]]-tabla_cronograma_extra[[#This Row],[FECHA]])</f>
        <v>#VALUE!</v>
      </c>
      <c r="J30" s="214">
        <v>46134</v>
      </c>
      <c r="K30" s="212"/>
      <c r="L30" s="211"/>
      <c r="M30" s="211">
        <v>8550</v>
      </c>
      <c r="N30" s="211"/>
      <c r="O30" s="211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217"/>
    </row>
    <row r="31" spans="1:26" hidden="1" x14ac:dyDescent="0.25">
      <c r="A31" s="200" t="str">
        <f>_xlfn.IFNA(INDEX(Tabla_control[PRODUCTO],MATCH(tabla_cronograma_extra[[#This Row],[LOTE]],Tabla_control[LOTE],0)),"-")</f>
        <v>KETOROLACO 30 MG X 3 AMP. SOLUCION INY.</v>
      </c>
      <c r="B31" s="227">
        <f>_xlfn.IFNA(INDEX(Tabla_control[CANTIDAD IMPRIMIR],MATCH(tabla_cronograma_extra[[#This Row],[LOTE]],Tabla_control[LOTE],0)),"-")</f>
        <v>46666.666666666664</v>
      </c>
      <c r="C31" s="159">
        <f>_xlfn.IFNA(INDEX(Tabla_control[PREDICCION],MATCH(tabla_cronograma_extra[[#This Row],[LOTE]],Tabla_control[LOTE],0)),"-")</f>
        <v>11668</v>
      </c>
      <c r="D31" s="213" t="s">
        <v>3122</v>
      </c>
      <c r="E31" s="201" t="str">
        <f>_xlfn.IFNA(INDEX(Tabla_control[INSTITUCIÓN],MATCH(tabla_cronograma_extra[[#This Row],[LOTE]],Tabla_control[LOTE],0)),"-")</f>
        <v>COMERCIO</v>
      </c>
      <c r="F31" s="204">
        <f>_xlfn.IFNA(INDEX(Tabla_control[STOCK],MATCH(tabla_cronograma_extra[[#This Row],[LOTE]],Tabla_control[LOTE],0)),"-")</f>
        <v>0.16573485339769692</v>
      </c>
      <c r="G31" s="199" t="str">
        <f>_xlfn.IFNA(INDEX(Tabla_control[FECHA PRODUCCIÓN],MATCH(tabla_cronograma_extra[[#This Row],[LOTE]],Tabla_control[LOTE],0)),"-")</f>
        <v>ENTREGADO</v>
      </c>
      <c r="H31" s="206" t="s">
        <v>5347</v>
      </c>
      <c r="I31" s="208" t="e">
        <f>(tabla_cronograma_extra[[#This Row],[FECHA PRODUCCIÓN]]-tabla_cronograma_extra[[#This Row],[FECHA]])</f>
        <v>#VALUE!</v>
      </c>
      <c r="J31" s="214">
        <v>46135</v>
      </c>
      <c r="K31" s="212"/>
      <c r="L31" s="211"/>
      <c r="M31" s="211">
        <v>5000</v>
      </c>
      <c r="N31" s="211">
        <v>6668</v>
      </c>
      <c r="O31" s="211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217"/>
    </row>
    <row r="32" spans="1:26" hidden="1" x14ac:dyDescent="0.25">
      <c r="A32" s="200" t="str">
        <f>_xlfn.IFNA(INDEX(Tabla_control[PRODUCTO],MATCH(tabla_cronograma_extra[[#This Row],[LOTE]],Tabla_control[LOTE],0)),"-")</f>
        <v>KETOROLACO 30 MG X 3 AMP. SOLUCION INY.</v>
      </c>
      <c r="B32" s="227">
        <f>_xlfn.IFNA(INDEX(Tabla_control[CANTIDAD IMPRIMIR],MATCH(tabla_cronograma_extra[[#This Row],[LOTE]],Tabla_control[LOTE],0)),"-")</f>
        <v>46666.666666666664</v>
      </c>
      <c r="C32" s="159">
        <f>_xlfn.IFNA(INDEX(Tabla_control[PREDICCION],MATCH(tabla_cronograma_extra[[#This Row],[LOTE]],Tabla_control[LOTE],0)),"-")</f>
        <v>11668</v>
      </c>
      <c r="D32" s="213" t="s">
        <v>3225</v>
      </c>
      <c r="E32" s="201" t="str">
        <f>_xlfn.IFNA(INDEX(Tabla_control[INSTITUCIÓN],MATCH(tabla_cronograma_extra[[#This Row],[LOTE]],Tabla_control[LOTE],0)),"-")</f>
        <v>COMERCIO</v>
      </c>
      <c r="F32" s="204">
        <f>_xlfn.IFNA(INDEX(Tabla_control[STOCK],MATCH(tabla_cronograma_extra[[#This Row],[LOTE]],Tabla_control[LOTE],0)),"-")</f>
        <v>0.16573485339769692</v>
      </c>
      <c r="G32" s="199" t="str">
        <f>_xlfn.IFNA(INDEX(Tabla_control[FECHA PRODUCCIÓN],MATCH(tabla_cronograma_extra[[#This Row],[LOTE]],Tabla_control[LOTE],0)),"-")</f>
        <v>ENTREGADO</v>
      </c>
      <c r="H32" s="206" t="s">
        <v>5347</v>
      </c>
      <c r="I32" s="208" t="e">
        <f>(tabla_cronograma_extra[[#This Row],[FECHA PRODUCCIÓN]]-tabla_cronograma_extra[[#This Row],[FECHA]])</f>
        <v>#VALUE!</v>
      </c>
      <c r="J32" s="214">
        <v>46135</v>
      </c>
      <c r="K32" s="212"/>
      <c r="L32" s="211"/>
      <c r="M32" s="211"/>
      <c r="N32" s="211">
        <v>11668</v>
      </c>
      <c r="O32" s="211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217"/>
    </row>
    <row r="33" spans="1:26" hidden="1" x14ac:dyDescent="0.25">
      <c r="A33" s="200" t="str">
        <f>_xlfn.IFNA(INDEX(Tabla_control[PRODUCTO],MATCH(tabla_cronograma_extra[[#This Row],[LOTE]],Tabla_control[LOTE],0)),"-")</f>
        <v>KETOROLACO 30 MG X 3 AMP. SOLUCION INY.</v>
      </c>
      <c r="B33" s="227">
        <f>_xlfn.IFNA(INDEX(Tabla_control[CANTIDAD IMPRIMIR],MATCH(tabla_cronograma_extra[[#This Row],[LOTE]],Tabla_control[LOTE],0)),"-")</f>
        <v>46666.666666666664</v>
      </c>
      <c r="C33" s="159">
        <f>_xlfn.IFNA(INDEX(Tabla_control[PREDICCION],MATCH(tabla_cronograma_extra[[#This Row],[LOTE]],Tabla_control[LOTE],0)),"-")</f>
        <v>11668</v>
      </c>
      <c r="D33" s="213" t="s">
        <v>3224</v>
      </c>
      <c r="E33" s="201" t="str">
        <f>_xlfn.IFNA(INDEX(Tabla_control[INSTITUCIÓN],MATCH(tabla_cronograma_extra[[#This Row],[LOTE]],Tabla_control[LOTE],0)),"-")</f>
        <v>COMERCIO</v>
      </c>
      <c r="F33" s="204">
        <f>_xlfn.IFNA(INDEX(Tabla_control[STOCK],MATCH(tabla_cronograma_extra[[#This Row],[LOTE]],Tabla_control[LOTE],0)),"-")</f>
        <v>0.16573485339769692</v>
      </c>
      <c r="G33" s="199">
        <f>_xlfn.IFNA(INDEX(Tabla_control[FECHA PRODUCCIÓN],MATCH(tabla_cronograma_extra[[#This Row],[LOTE]],Tabla_control[LOTE],0)),"-")</f>
        <v>46148</v>
      </c>
      <c r="H33" s="206" t="s">
        <v>5347</v>
      </c>
      <c r="I33" s="208">
        <f>(tabla_cronograma_extra[[#This Row],[FECHA PRODUCCIÓN]]-tabla_cronograma_extra[[#This Row],[FECHA]])</f>
        <v>12</v>
      </c>
      <c r="J33" s="214">
        <v>46136</v>
      </c>
      <c r="K33" s="212"/>
      <c r="L33" s="211"/>
      <c r="M33" s="211"/>
      <c r="N33" s="211">
        <v>3668</v>
      </c>
      <c r="O33" s="211">
        <v>8000</v>
      </c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217"/>
    </row>
    <row r="34" spans="1:26" hidden="1" x14ac:dyDescent="0.25">
      <c r="A34" s="200" t="str">
        <f>_xlfn.IFNA(INDEX(Tabla_control[PRODUCTO],MATCH(tabla_cronograma_extra[[#This Row],[LOTE]],Tabla_control[LOTE],0)),"-")</f>
        <v>KETOROLACO 30 MG X 3 AMP. SOLUCION INY.</v>
      </c>
      <c r="B34" s="227">
        <f>_xlfn.IFNA(INDEX(Tabla_control[CANTIDAD IMPRIMIR],MATCH(tabla_cronograma_extra[[#This Row],[LOTE]],Tabla_control[LOTE],0)),"-")</f>
        <v>46666.666666666664</v>
      </c>
      <c r="C34" s="159">
        <f>_xlfn.IFNA(INDEX(Tabla_control[PREDICCION],MATCH(tabla_cronograma_extra[[#This Row],[LOTE]],Tabla_control[LOTE],0)),"-")</f>
        <v>11668</v>
      </c>
      <c r="D34" s="213" t="s">
        <v>3172</v>
      </c>
      <c r="E34" s="201" t="str">
        <f>_xlfn.IFNA(INDEX(Tabla_control[INSTITUCIÓN],MATCH(tabla_cronograma_extra[[#This Row],[LOTE]],Tabla_control[LOTE],0)),"-")</f>
        <v>COMERCIO</v>
      </c>
      <c r="F34" s="204">
        <f>_xlfn.IFNA(INDEX(Tabla_control[STOCK],MATCH(tabla_cronograma_extra[[#This Row],[LOTE]],Tabla_control[LOTE],0)),"-")</f>
        <v>0.16573485339769692</v>
      </c>
      <c r="G34" s="199">
        <f>_xlfn.IFNA(INDEX(Tabla_control[FECHA PRODUCCIÓN],MATCH(tabla_cronograma_extra[[#This Row],[LOTE]],Tabla_control[LOTE],0)),"-")</f>
        <v>46148</v>
      </c>
      <c r="H34" s="206" t="s">
        <v>5347</v>
      </c>
      <c r="I34" s="208">
        <f>(tabla_cronograma_extra[[#This Row],[FECHA PRODUCCIÓN]]-tabla_cronograma_extra[[#This Row],[FECHA]])</f>
        <v>12</v>
      </c>
      <c r="J34" s="214">
        <v>46136</v>
      </c>
      <c r="K34" s="212"/>
      <c r="L34" s="211"/>
      <c r="M34" s="211"/>
      <c r="N34" s="211"/>
      <c r="O34" s="211">
        <v>11668</v>
      </c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217"/>
    </row>
    <row r="35" spans="1:26" hidden="1" x14ac:dyDescent="0.25">
      <c r="A35" s="200" t="str">
        <f>_xlfn.IFNA(INDEX(Tabla_control[PRODUCTO],MATCH(tabla_cronograma_extra[[#This Row],[LOTE]],Tabla_control[LOTE],0)),"-")</f>
        <v>DEXTROMETORFANO 10 MG X 100 ML JARABE</v>
      </c>
      <c r="B35" s="227">
        <f>_xlfn.IFNA(INDEX(Tabla_control[CANTIDAD IMPRIMIR],MATCH(tabla_cronograma_extra[[#This Row],[LOTE]],Tabla_control[LOTE],0)),"-")</f>
        <v>29703</v>
      </c>
      <c r="C35" s="159">
        <f>_xlfn.IFNA(INDEX(Tabla_control[PREDICCION],MATCH(tabla_cronograma_extra[[#This Row],[LOTE]],Tabla_control[LOTE],0)),"-")</f>
        <v>14852</v>
      </c>
      <c r="D35" s="213" t="s">
        <v>3218</v>
      </c>
      <c r="E35" s="201" t="str">
        <f>_xlfn.IFNA(INDEX(Tabla_control[INSTITUCIÓN],MATCH(tabla_cronograma_extra[[#This Row],[LOTE]],Tabla_control[LOTE],0)),"-")</f>
        <v>COMERCIO</v>
      </c>
      <c r="F35" s="204">
        <f>_xlfn.IFNA(INDEX(Tabla_control[STOCK],MATCH(tabla_cronograma_extra[[#This Row],[LOTE]],Tabla_control[LOTE],0)),"-")</f>
        <v>0.77540560458321139</v>
      </c>
      <c r="G35" s="199" t="str">
        <f>_xlfn.IFNA(INDEX(Tabla_control[FECHA PRODUCCIÓN],MATCH(tabla_cronograma_extra[[#This Row],[LOTE]],Tabla_control[LOTE],0)),"-")</f>
        <v>ENTREGADO</v>
      </c>
      <c r="H35" s="206" t="s">
        <v>5347</v>
      </c>
      <c r="I35" s="208" t="e">
        <f>(tabla_cronograma_extra[[#This Row],[FECHA PRODUCCIÓN]]-tabla_cronograma_extra[[#This Row],[FECHA]])</f>
        <v>#VALUE!</v>
      </c>
      <c r="J35" s="214">
        <v>46139</v>
      </c>
      <c r="K35" s="212"/>
      <c r="L35" s="211"/>
      <c r="M35" s="211"/>
      <c r="N35" s="211"/>
      <c r="O35" s="211">
        <v>2852</v>
      </c>
      <c r="P35" s="160">
        <v>12852</v>
      </c>
      <c r="Q35" s="160"/>
      <c r="R35" s="160"/>
      <c r="S35" s="160"/>
      <c r="T35" s="160"/>
      <c r="U35" s="160"/>
      <c r="V35" s="160"/>
      <c r="W35" s="160"/>
      <c r="X35" s="160"/>
      <c r="Y35" s="160"/>
      <c r="Z35" s="217"/>
    </row>
    <row r="36" spans="1:26" hidden="1" x14ac:dyDescent="0.25">
      <c r="A36" s="200" t="str">
        <f>_xlfn.IFNA(INDEX(Tabla_control[PRODUCTO],MATCH(tabla_cronograma_extra[[#This Row],[LOTE]],Tabla_control[LOTE],0)),"-")</f>
        <v>DEXTROMETORFANO 10 MG X 100 ML JARABE</v>
      </c>
      <c r="B36" s="227">
        <f>_xlfn.IFNA(INDEX(Tabla_control[CANTIDAD IMPRIMIR],MATCH(tabla_cronograma_extra[[#This Row],[LOTE]],Tabla_control[LOTE],0)),"-")</f>
        <v>29703</v>
      </c>
      <c r="C36" s="159">
        <f>_xlfn.IFNA(INDEX(Tabla_control[PREDICCION],MATCH(tabla_cronograma_extra[[#This Row],[LOTE]],Tabla_control[LOTE],0)),"-")</f>
        <v>14852</v>
      </c>
      <c r="D36" s="213" t="s">
        <v>3216</v>
      </c>
      <c r="E36" s="201" t="str">
        <f>_xlfn.IFNA(INDEX(Tabla_control[INSTITUCIÓN],MATCH(tabla_cronograma_extra[[#This Row],[LOTE]],Tabla_control[LOTE],0)),"-")</f>
        <v>COMERCIO</v>
      </c>
      <c r="F36" s="204">
        <f>_xlfn.IFNA(INDEX(Tabla_control[STOCK],MATCH(tabla_cronograma_extra[[#This Row],[LOTE]],Tabla_control[LOTE],0)),"-")</f>
        <v>0.77540560458321139</v>
      </c>
      <c r="G36" s="199">
        <f>_xlfn.IFNA(INDEX(Tabla_control[FECHA PRODUCCIÓN],MATCH(tabla_cronograma_extra[[#This Row],[LOTE]],Tabla_control[LOTE],0)),"-")</f>
        <v>46149</v>
      </c>
      <c r="H36" s="206" t="s">
        <v>5347</v>
      </c>
      <c r="I36" s="208">
        <f>(tabla_cronograma_extra[[#This Row],[FECHA PRODUCCIÓN]]-tabla_cronograma_extra[[#This Row],[FECHA]])</f>
        <v>9</v>
      </c>
      <c r="J36" s="214">
        <v>46140</v>
      </c>
      <c r="K36" s="212"/>
      <c r="L36" s="211"/>
      <c r="M36" s="211"/>
      <c r="N36" s="211"/>
      <c r="O36" s="211"/>
      <c r="P36" s="160">
        <v>2000</v>
      </c>
      <c r="Q36" s="160">
        <v>12852</v>
      </c>
      <c r="R36" s="160"/>
      <c r="S36" s="160"/>
      <c r="T36" s="160"/>
      <c r="U36" s="160"/>
      <c r="V36" s="160"/>
      <c r="W36" s="160"/>
      <c r="X36" s="160"/>
      <c r="Y36" s="160"/>
      <c r="Z36" s="217"/>
    </row>
    <row r="37" spans="1:26" hidden="1" x14ac:dyDescent="0.25">
      <c r="A37" s="200" t="str">
        <f>_xlfn.IFNA(INDEX(Tabla_control[PRODUCTO],MATCH(tabla_cronograma_extra[[#This Row],[LOTE]],Tabla_control[LOTE],0)),"-")</f>
        <v>DEXTROMETORFANO 10 MG X 100 ML JARABE</v>
      </c>
      <c r="B37" s="227">
        <f>_xlfn.IFNA(INDEX(Tabla_control[CANTIDAD IMPRIMIR],MATCH(tabla_cronograma_extra[[#This Row],[LOTE]],Tabla_control[LOTE],0)),"-")</f>
        <v>29703</v>
      </c>
      <c r="C37" s="159">
        <f>_xlfn.IFNA(INDEX(Tabla_control[PREDICCION],MATCH(tabla_cronograma_extra[[#This Row],[LOTE]],Tabla_control[LOTE],0)),"-")</f>
        <v>14852</v>
      </c>
      <c r="D37" s="213" t="s">
        <v>3217</v>
      </c>
      <c r="E37" s="201" t="str">
        <f>_xlfn.IFNA(INDEX(Tabla_control[INSTITUCIÓN],MATCH(tabla_cronograma_extra[[#This Row],[LOTE]],Tabla_control[LOTE],0)),"-")</f>
        <v>COMERCIO</v>
      </c>
      <c r="F37" s="204">
        <f>_xlfn.IFNA(INDEX(Tabla_control[STOCK],MATCH(tabla_cronograma_extra[[#This Row],[LOTE]],Tabla_control[LOTE],0)),"-")</f>
        <v>0.77540560458321139</v>
      </c>
      <c r="G37" s="199">
        <f>_xlfn.IFNA(INDEX(Tabla_control[FECHA PRODUCCIÓN],MATCH(tabla_cronograma_extra[[#This Row],[LOTE]],Tabla_control[LOTE],0)),"-")</f>
        <v>46149</v>
      </c>
      <c r="H37" s="206" t="s">
        <v>5347</v>
      </c>
      <c r="I37" s="208">
        <f>(tabla_cronograma_extra[[#This Row],[FECHA PRODUCCIÓN]]-tabla_cronograma_extra[[#This Row],[FECHA]])</f>
        <v>8</v>
      </c>
      <c r="J37" s="214">
        <v>46141</v>
      </c>
      <c r="K37" s="212"/>
      <c r="L37" s="211"/>
      <c r="M37" s="211"/>
      <c r="N37" s="211"/>
      <c r="O37" s="211"/>
      <c r="P37" s="160"/>
      <c r="Q37" s="160">
        <v>2000</v>
      </c>
      <c r="R37" s="160">
        <v>12852</v>
      </c>
      <c r="S37" s="160"/>
      <c r="T37" s="160"/>
      <c r="U37" s="160"/>
      <c r="V37" s="160"/>
      <c r="W37" s="160"/>
      <c r="X37" s="160"/>
      <c r="Y37" s="160"/>
      <c r="Z37" s="217"/>
    </row>
    <row r="38" spans="1:26" hidden="1" x14ac:dyDescent="0.25">
      <c r="A38" s="200" t="str">
        <f>_xlfn.IFNA(INDEX(Tabla_control[PRODUCTO],MATCH(tabla_cronograma_extra[[#This Row],[LOTE]],Tabla_control[LOTE],0)),"-")</f>
        <v>DEXTROMETORFANO 10 MG X 100 ML JARABE</v>
      </c>
      <c r="B38" s="227">
        <f>_xlfn.IFNA(INDEX(Tabla_control[CANTIDAD IMPRIMIR],MATCH(tabla_cronograma_extra[[#This Row],[LOTE]],Tabla_control[LOTE],0)),"-")</f>
        <v>29703</v>
      </c>
      <c r="C38" s="159">
        <f>_xlfn.IFNA(INDEX(Tabla_control[PREDICCION],MATCH(tabla_cronograma_extra[[#This Row],[LOTE]],Tabla_control[LOTE],0)),"-")</f>
        <v>14852</v>
      </c>
      <c r="D38" s="213" t="s">
        <v>3219</v>
      </c>
      <c r="E38" s="201" t="str">
        <f>_xlfn.IFNA(INDEX(Tabla_control[INSTITUCIÓN],MATCH(tabla_cronograma_extra[[#This Row],[LOTE]],Tabla_control[LOTE],0)),"-")</f>
        <v>COMERCIO</v>
      </c>
      <c r="F38" s="204">
        <f>_xlfn.IFNA(INDEX(Tabla_control[STOCK],MATCH(tabla_cronograma_extra[[#This Row],[LOTE]],Tabla_control[LOTE],0)),"-")</f>
        <v>0.77540560458321139</v>
      </c>
      <c r="G38" s="199">
        <f>_xlfn.IFNA(INDEX(Tabla_control[FECHA PRODUCCIÓN],MATCH(tabla_cronograma_extra[[#This Row],[LOTE]],Tabla_control[LOTE],0)),"-")</f>
        <v>46155</v>
      </c>
      <c r="H38" s="206" t="s">
        <v>5347</v>
      </c>
      <c r="I38" s="208">
        <f>(tabla_cronograma_extra[[#This Row],[FECHA PRODUCCIÓN]]-tabla_cronograma_extra[[#This Row],[FECHA]])</f>
        <v>13</v>
      </c>
      <c r="J38" s="214">
        <v>46142</v>
      </c>
      <c r="K38" s="212"/>
      <c r="L38" s="211"/>
      <c r="M38" s="211"/>
      <c r="N38" s="211"/>
      <c r="O38" s="211"/>
      <c r="P38" s="160"/>
      <c r="Q38" s="160"/>
      <c r="R38" s="160">
        <v>2000</v>
      </c>
      <c r="S38" s="160">
        <v>12852</v>
      </c>
      <c r="T38" s="160"/>
      <c r="U38" s="160"/>
      <c r="V38" s="160"/>
      <c r="W38" s="160"/>
      <c r="X38" s="160"/>
      <c r="Y38" s="160"/>
      <c r="Z38" s="217"/>
    </row>
    <row r="39" spans="1:26" hidden="1" x14ac:dyDescent="0.25">
      <c r="A39" s="200" t="str">
        <f>_xlfn.IFNA(INDEX(Tabla_control[PRODUCTO],MATCH(tabla_cronograma_extra[[#This Row],[LOTE]],Tabla_control[LOTE],0)),"-")</f>
        <v>DEXTROMETORFANO 10 MG X 100 ML JARABE</v>
      </c>
      <c r="B39" s="227">
        <f>_xlfn.IFNA(INDEX(Tabla_control[CANTIDAD IMPRIMIR],MATCH(tabla_cronograma_extra[[#This Row],[LOTE]],Tabla_control[LOTE],0)),"-")</f>
        <v>29703</v>
      </c>
      <c r="C39" s="159">
        <f>_xlfn.IFNA(INDEX(Tabla_control[PREDICCION],MATCH(tabla_cronograma_extra[[#This Row],[LOTE]],Tabla_control[LOTE],0)),"-")</f>
        <v>14852</v>
      </c>
      <c r="D39" s="213" t="s">
        <v>3220</v>
      </c>
      <c r="E39" s="201" t="str">
        <f>_xlfn.IFNA(INDEX(Tabla_control[INSTITUCIÓN],MATCH(tabla_cronograma_extra[[#This Row],[LOTE]],Tabla_control[LOTE],0)),"-")</f>
        <v>COMERCIO</v>
      </c>
      <c r="F39" s="204">
        <f>_xlfn.IFNA(INDEX(Tabla_control[STOCK],MATCH(tabla_cronograma_extra[[#This Row],[LOTE]],Tabla_control[LOTE],0)),"-")</f>
        <v>0.77540560458321139</v>
      </c>
      <c r="G39" s="199">
        <f>_xlfn.IFNA(INDEX(Tabla_control[FECHA PRODUCCIÓN],MATCH(tabla_cronograma_extra[[#This Row],[LOTE]],Tabla_control[LOTE],0)),"-")</f>
        <v>46155</v>
      </c>
      <c r="H39" s="206" t="s">
        <v>5347</v>
      </c>
      <c r="I39" s="208">
        <f>(tabla_cronograma_extra[[#This Row],[FECHA PRODUCCIÓN]]-tabla_cronograma_extra[[#This Row],[FECHA]])</f>
        <v>9</v>
      </c>
      <c r="J39" s="214">
        <v>46146</v>
      </c>
      <c r="K39" s="212"/>
      <c r="L39" s="211"/>
      <c r="M39" s="211"/>
      <c r="N39" s="211"/>
      <c r="O39" s="211"/>
      <c r="P39" s="160"/>
      <c r="Q39" s="160"/>
      <c r="R39" s="160"/>
      <c r="S39" s="160">
        <v>2000</v>
      </c>
      <c r="T39" s="160">
        <v>12852</v>
      </c>
      <c r="U39" s="160"/>
      <c r="V39" s="160"/>
      <c r="W39" s="160"/>
      <c r="X39" s="160"/>
      <c r="Y39" s="160"/>
      <c r="Z39" s="217"/>
    </row>
    <row r="40" spans="1:26" hidden="1" x14ac:dyDescent="0.25">
      <c r="A40" s="200" t="str">
        <f>_xlfn.IFNA(INDEX(Tabla_control[PRODUCTO],MATCH(tabla_cronograma_extra[[#This Row],[LOTE]],Tabla_control[LOTE],0)),"-")</f>
        <v>DEXTROMETORFANO 10 MG X 100 ML JARABE</v>
      </c>
      <c r="B40" s="227">
        <f>_xlfn.IFNA(INDEX(Tabla_control[CANTIDAD IMPRIMIR],MATCH(tabla_cronograma_extra[[#This Row],[LOTE]],Tabla_control[LOTE],0)),"-")</f>
        <v>29703</v>
      </c>
      <c r="C40" s="159">
        <f>_xlfn.IFNA(INDEX(Tabla_control[PREDICCION],MATCH(tabla_cronograma_extra[[#This Row],[LOTE]],Tabla_control[LOTE],0)),"-")</f>
        <v>14852</v>
      </c>
      <c r="D40" s="213" t="s">
        <v>3209</v>
      </c>
      <c r="E40" s="201" t="str">
        <f>_xlfn.IFNA(INDEX(Tabla_control[INSTITUCIÓN],MATCH(tabla_cronograma_extra[[#This Row],[LOTE]],Tabla_control[LOTE],0)),"-")</f>
        <v>COMERCIO</v>
      </c>
      <c r="F40" s="204">
        <f>_xlfn.IFNA(INDEX(Tabla_control[STOCK],MATCH(tabla_cronograma_extra[[#This Row],[LOTE]],Tabla_control[LOTE],0)),"-")</f>
        <v>0.77540560458321139</v>
      </c>
      <c r="G40" s="199">
        <f>_xlfn.IFNA(INDEX(Tabla_control[FECHA PRODUCCIÓN],MATCH(tabla_cronograma_extra[[#This Row],[LOTE]],Tabla_control[LOTE],0)),"-")</f>
        <v>46160</v>
      </c>
      <c r="H40" s="206" t="s">
        <v>5347</v>
      </c>
      <c r="I40" s="208">
        <f>(tabla_cronograma_extra[[#This Row],[FECHA PRODUCCIÓN]]-tabla_cronograma_extra[[#This Row],[FECHA]])</f>
        <v>13</v>
      </c>
      <c r="J40" s="214">
        <v>46147</v>
      </c>
      <c r="K40" s="212"/>
      <c r="L40" s="211"/>
      <c r="M40" s="211"/>
      <c r="N40" s="211"/>
      <c r="O40" s="211"/>
      <c r="P40" s="160"/>
      <c r="Q40" s="160"/>
      <c r="R40" s="160"/>
      <c r="S40" s="160"/>
      <c r="T40" s="160">
        <v>2000</v>
      </c>
      <c r="U40" s="160">
        <v>12852</v>
      </c>
      <c r="V40" s="160"/>
      <c r="W40" s="160"/>
      <c r="X40" s="160"/>
      <c r="Y40" s="160"/>
      <c r="Z40" s="217"/>
    </row>
    <row r="41" spans="1:26" hidden="1" x14ac:dyDescent="0.25">
      <c r="A41" s="200" t="str">
        <f>_xlfn.IFNA(INDEX(Tabla_control[PRODUCTO],MATCH(tabla_cronograma_extra[[#This Row],[LOTE]],Tabla_control[LOTE],0)),"-")</f>
        <v>DEXTROMETORFANO 10 MG X 100 ML JARABE</v>
      </c>
      <c r="B41" s="227">
        <f>_xlfn.IFNA(INDEX(Tabla_control[CANTIDAD IMPRIMIR],MATCH(tabla_cronograma_extra[[#This Row],[LOTE]],Tabla_control[LOTE],0)),"-")</f>
        <v>29703</v>
      </c>
      <c r="C41" s="159">
        <f>_xlfn.IFNA(INDEX(Tabla_control[PREDICCION],MATCH(tabla_cronograma_extra[[#This Row],[LOTE]],Tabla_control[LOTE],0)),"-")</f>
        <v>14852</v>
      </c>
      <c r="D41" s="213" t="s">
        <v>3207</v>
      </c>
      <c r="E41" s="201" t="str">
        <f>_xlfn.IFNA(INDEX(Tabla_control[INSTITUCIÓN],MATCH(tabla_cronograma_extra[[#This Row],[LOTE]],Tabla_control[LOTE],0)),"-")</f>
        <v>COMERCIO</v>
      </c>
      <c r="F41" s="204">
        <f>_xlfn.IFNA(INDEX(Tabla_control[STOCK],MATCH(tabla_cronograma_extra[[#This Row],[LOTE]],Tabla_control[LOTE],0)),"-")</f>
        <v>0.77540560458321139</v>
      </c>
      <c r="G41" s="199">
        <f>_xlfn.IFNA(INDEX(Tabla_control[FECHA PRODUCCIÓN],MATCH(tabla_cronograma_extra[[#This Row],[LOTE]],Tabla_control[LOTE],0)),"-")</f>
        <v>46160</v>
      </c>
      <c r="H41" s="206" t="s">
        <v>5347</v>
      </c>
      <c r="I41" s="208">
        <f>(tabla_cronograma_extra[[#This Row],[FECHA PRODUCCIÓN]]-tabla_cronograma_extra[[#This Row],[FECHA]])</f>
        <v>12</v>
      </c>
      <c r="J41" s="214">
        <v>46148</v>
      </c>
      <c r="K41" s="212"/>
      <c r="L41" s="211"/>
      <c r="M41" s="211"/>
      <c r="N41" s="211"/>
      <c r="O41" s="211"/>
      <c r="P41" s="160"/>
      <c r="Q41" s="160"/>
      <c r="R41" s="160"/>
      <c r="S41" s="160"/>
      <c r="T41" s="160"/>
      <c r="U41" s="160">
        <v>2000</v>
      </c>
      <c r="V41" s="160">
        <v>12852</v>
      </c>
      <c r="W41" s="160"/>
      <c r="X41" s="160"/>
      <c r="Y41" s="160"/>
      <c r="Z41" s="217"/>
    </row>
    <row r="42" spans="1:26" hidden="1" x14ac:dyDescent="0.25">
      <c r="A42" s="200" t="str">
        <f>_xlfn.IFNA(INDEX(Tabla_control[PRODUCTO],MATCH(tabla_cronograma_extra[[#This Row],[LOTE]],Tabla_control[LOTE],0)),"-")</f>
        <v>DEXTROMETORFANO 10 MG X 100 ML JARABE</v>
      </c>
      <c r="B42" s="227">
        <f>_xlfn.IFNA(INDEX(Tabla_control[CANTIDAD IMPRIMIR],MATCH(tabla_cronograma_extra[[#This Row],[LOTE]],Tabla_control[LOTE],0)),"-")</f>
        <v>29703</v>
      </c>
      <c r="C42" s="159">
        <f>_xlfn.IFNA(INDEX(Tabla_control[PREDICCION],MATCH(tabla_cronograma_extra[[#This Row],[LOTE]],Tabla_control[LOTE],0)),"-")</f>
        <v>14852</v>
      </c>
      <c r="D42" s="213" t="s">
        <v>3206</v>
      </c>
      <c r="E42" s="201" t="str">
        <f>_xlfn.IFNA(INDEX(Tabla_control[INSTITUCIÓN],MATCH(tabla_cronograma_extra[[#This Row],[LOTE]],Tabla_control[LOTE],0)),"-")</f>
        <v>COMERCIO</v>
      </c>
      <c r="F42" s="204">
        <f>_xlfn.IFNA(INDEX(Tabla_control[STOCK],MATCH(tabla_cronograma_extra[[#This Row],[LOTE]],Tabla_control[LOTE],0)),"-")</f>
        <v>0.77540560458321139</v>
      </c>
      <c r="G42" s="199">
        <f>_xlfn.IFNA(INDEX(Tabla_control[FECHA PRODUCCIÓN],MATCH(tabla_cronograma_extra[[#This Row],[LOTE]],Tabla_control[LOTE],0)),"-")</f>
        <v>46164</v>
      </c>
      <c r="H42" s="206" t="s">
        <v>5347</v>
      </c>
      <c r="I42" s="208">
        <f>(tabla_cronograma_extra[[#This Row],[FECHA PRODUCCIÓN]]-tabla_cronograma_extra[[#This Row],[FECHA]])</f>
        <v>15</v>
      </c>
      <c r="J42" s="214">
        <v>46149</v>
      </c>
      <c r="K42" s="212"/>
      <c r="L42" s="211"/>
      <c r="M42" s="211"/>
      <c r="N42" s="211"/>
      <c r="O42" s="211"/>
      <c r="P42" s="160"/>
      <c r="Q42" s="160"/>
      <c r="R42" s="160"/>
      <c r="S42" s="160"/>
      <c r="T42" s="160"/>
      <c r="U42" s="160"/>
      <c r="V42" s="160">
        <v>2000</v>
      </c>
      <c r="W42" s="160">
        <v>12852</v>
      </c>
      <c r="X42" s="160"/>
      <c r="Y42" s="160"/>
      <c r="Z42" s="217"/>
    </row>
    <row r="43" spans="1:26" hidden="1" x14ac:dyDescent="0.25">
      <c r="A43" s="200" t="str">
        <f>_xlfn.IFNA(INDEX(Tabla_control[PRODUCTO],MATCH(tabla_cronograma_extra[[#This Row],[LOTE]],Tabla_control[LOTE],0)),"-")</f>
        <v>DEXTROMETORFANO 10 MG X 100 ML JARABE</v>
      </c>
      <c r="B43" s="227">
        <f>_xlfn.IFNA(INDEX(Tabla_control[CANTIDAD IMPRIMIR],MATCH(tabla_cronograma_extra[[#This Row],[LOTE]],Tabla_control[LOTE],0)),"-")</f>
        <v>29703</v>
      </c>
      <c r="C43" s="159">
        <f>_xlfn.IFNA(INDEX(Tabla_control[PREDICCION],MATCH(tabla_cronograma_extra[[#This Row],[LOTE]],Tabla_control[LOTE],0)),"-")</f>
        <v>14852</v>
      </c>
      <c r="D43" s="213" t="s">
        <v>3208</v>
      </c>
      <c r="E43" s="201" t="str">
        <f>_xlfn.IFNA(INDEX(Tabla_control[INSTITUCIÓN],MATCH(tabla_cronograma_extra[[#This Row],[LOTE]],Tabla_control[LOTE],0)),"-")</f>
        <v>COMERCIO</v>
      </c>
      <c r="F43" s="204">
        <f>_xlfn.IFNA(INDEX(Tabla_control[STOCK],MATCH(tabla_cronograma_extra[[#This Row],[LOTE]],Tabla_control[LOTE],0)),"-")</f>
        <v>0.77540560458321139</v>
      </c>
      <c r="G43" s="199">
        <f>_xlfn.IFNA(INDEX(Tabla_control[FECHA PRODUCCIÓN],MATCH(tabla_cronograma_extra[[#This Row],[LOTE]],Tabla_control[LOTE],0)),"-")</f>
        <v>46164</v>
      </c>
      <c r="H43" s="206" t="s">
        <v>5347</v>
      </c>
      <c r="I43" s="208">
        <f>(tabla_cronograma_extra[[#This Row],[FECHA PRODUCCIÓN]]-tabla_cronograma_extra[[#This Row],[FECHA]])</f>
        <v>14</v>
      </c>
      <c r="J43" s="214">
        <v>46150</v>
      </c>
      <c r="K43" s="212"/>
      <c r="L43" s="211"/>
      <c r="M43" s="211"/>
      <c r="N43" s="211"/>
      <c r="O43" s="211"/>
      <c r="P43" s="160"/>
      <c r="Q43" s="160"/>
      <c r="R43" s="160"/>
      <c r="S43" s="160"/>
      <c r="T43" s="160"/>
      <c r="U43" s="160"/>
      <c r="V43" s="160"/>
      <c r="W43" s="160">
        <v>2000</v>
      </c>
      <c r="X43" s="160">
        <v>12852</v>
      </c>
      <c r="Y43" s="160"/>
      <c r="Z43" s="217"/>
    </row>
    <row r="44" spans="1:26" hidden="1" x14ac:dyDescent="0.25">
      <c r="A44" s="200" t="str">
        <f>_xlfn.IFNA(INDEX(Tabla_control[PRODUCTO],MATCH(tabla_cronograma_extra[[#This Row],[LOTE]],Tabla_control[LOTE],0)),"-")</f>
        <v>DEXTROMETORFANO 10 MG X 100 ML JARABE</v>
      </c>
      <c r="B44" s="227">
        <f>_xlfn.IFNA(INDEX(Tabla_control[CANTIDAD IMPRIMIR],MATCH(tabla_cronograma_extra[[#This Row],[LOTE]],Tabla_control[LOTE],0)),"-")</f>
        <v>29703</v>
      </c>
      <c r="C44" s="159">
        <f>_xlfn.IFNA(INDEX(Tabla_control[PREDICCION],MATCH(tabla_cronograma_extra[[#This Row],[LOTE]],Tabla_control[LOTE],0)),"-")</f>
        <v>14852</v>
      </c>
      <c r="D44" s="213" t="s">
        <v>3204</v>
      </c>
      <c r="E44" s="201" t="str">
        <f>_xlfn.IFNA(INDEX(Tabla_control[INSTITUCIÓN],MATCH(tabla_cronograma_extra[[#This Row],[LOTE]],Tabla_control[LOTE],0)),"-")</f>
        <v>COMERCIO</v>
      </c>
      <c r="F44" s="204">
        <f>_xlfn.IFNA(INDEX(Tabla_control[STOCK],MATCH(tabla_cronograma_extra[[#This Row],[LOTE]],Tabla_control[LOTE],0)),"-")</f>
        <v>0.77540560458321139</v>
      </c>
      <c r="G44" s="199">
        <f>_xlfn.IFNA(INDEX(Tabla_control[FECHA PRODUCCIÓN],MATCH(tabla_cronograma_extra[[#This Row],[LOTE]],Tabla_control[LOTE],0)),"-")</f>
        <v>46169</v>
      </c>
      <c r="H44" s="206" t="s">
        <v>5347</v>
      </c>
      <c r="I44" s="208">
        <f>(tabla_cronograma_extra[[#This Row],[FECHA PRODUCCIÓN]]-tabla_cronograma_extra[[#This Row],[FECHA]])</f>
        <v>18</v>
      </c>
      <c r="J44" s="214">
        <v>46151</v>
      </c>
      <c r="K44" s="212"/>
      <c r="L44" s="211"/>
      <c r="M44" s="211"/>
      <c r="N44" s="211"/>
      <c r="O44" s="211"/>
      <c r="P44" s="160"/>
      <c r="Q44" s="160"/>
      <c r="R44" s="160"/>
      <c r="S44" s="160"/>
      <c r="T44" s="160"/>
      <c r="U44" s="160"/>
      <c r="V44" s="160"/>
      <c r="W44" s="160"/>
      <c r="X44" s="160">
        <v>2000</v>
      </c>
      <c r="Y44" s="160">
        <v>12852</v>
      </c>
      <c r="Z44" s="217"/>
    </row>
    <row r="45" spans="1:26" hidden="1" x14ac:dyDescent="0.25">
      <c r="A45" s="200" t="str">
        <f>_xlfn.IFNA(INDEX(Tabla_control[PRODUCTO],MATCH(tabla_cronograma_extra[[#This Row],[LOTE]],Tabla_control[LOTE],0)),"-")</f>
        <v>DEXTROMETORFANO 10 MG X 100 ML JARABE</v>
      </c>
      <c r="B45" s="227">
        <f>_xlfn.IFNA(INDEX(Tabla_control[CANTIDAD IMPRIMIR],MATCH(tabla_cronograma_extra[[#This Row],[LOTE]],Tabla_control[LOTE],0)),"-")</f>
        <v>29703</v>
      </c>
      <c r="C45" s="159">
        <f>_xlfn.IFNA(INDEX(Tabla_control[PREDICCION],MATCH(tabla_cronograma_extra[[#This Row],[LOTE]],Tabla_control[LOTE],0)),"-")</f>
        <v>14852</v>
      </c>
      <c r="D45" s="213" t="s">
        <v>3203</v>
      </c>
      <c r="E45" s="201" t="str">
        <f>_xlfn.IFNA(INDEX(Tabla_control[INSTITUCIÓN],MATCH(tabla_cronograma_extra[[#This Row],[LOTE]],Tabla_control[LOTE],0)),"-")</f>
        <v>COMERCIO</v>
      </c>
      <c r="F45" s="204">
        <f>_xlfn.IFNA(INDEX(Tabla_control[STOCK],MATCH(tabla_cronograma_extra[[#This Row],[LOTE]],Tabla_control[LOTE],0)),"-")</f>
        <v>0.77540560458321139</v>
      </c>
      <c r="G45" s="199">
        <f>_xlfn.IFNA(INDEX(Tabla_control[FECHA PRODUCCIÓN],MATCH(tabla_cronograma_extra[[#This Row],[LOTE]],Tabla_control[LOTE],0)),"-")</f>
        <v>46170</v>
      </c>
      <c r="H45" s="206" t="s">
        <v>5347</v>
      </c>
      <c r="I45" s="208">
        <f>(tabla_cronograma_extra[[#This Row],[FECHA PRODUCCIÓN]]-tabla_cronograma_extra[[#This Row],[FECHA]])</f>
        <v>18</v>
      </c>
      <c r="J45" s="214">
        <v>46152</v>
      </c>
      <c r="K45" s="212"/>
      <c r="L45" s="211"/>
      <c r="M45" s="211"/>
      <c r="N45" s="211"/>
      <c r="O45" s="211"/>
      <c r="P45" s="160"/>
      <c r="Q45" s="160"/>
      <c r="R45" s="160"/>
      <c r="S45" s="160"/>
      <c r="T45" s="160"/>
      <c r="U45" s="160"/>
      <c r="V45" s="160"/>
      <c r="W45" s="160"/>
      <c r="X45" s="160"/>
      <c r="Y45" s="160">
        <v>2000</v>
      </c>
      <c r="Z45" s="217"/>
    </row>
    <row r="46" spans="1:26" hidden="1" x14ac:dyDescent="0.25">
      <c r="A46" s="218" t="str">
        <f>_xlfn.IFNA(INDEX(Tabla_control[PRODUCTO],MATCH(tabla_cronograma_extra[[#This Row],[LOTE]],Tabla_control[LOTE],0)),"-")</f>
        <v>NISTATINA 500.000 UI X 60 ML SUSP.</v>
      </c>
      <c r="B46" s="228">
        <f>_xlfn.IFNA(INDEX(Tabla_control[CANTIDAD IMPRIMIR],MATCH(tabla_cronograma_extra[[#This Row],[LOTE]],Tabla_control[LOTE],0)),"-")</f>
        <v>19354</v>
      </c>
      <c r="C46" s="219">
        <f>_xlfn.IFNA(INDEX(Tabla_control[PREDICCION],MATCH(tabla_cronograma_extra[[#This Row],[LOTE]],Tabla_control[LOTE],0)),"-")</f>
        <v>9678</v>
      </c>
      <c r="D46" s="213" t="s">
        <v>3072</v>
      </c>
      <c r="E46" s="220" t="str">
        <f>_xlfn.IFNA(INDEX(Tabla_control[INSTITUCIÓN],MATCH(tabla_cronograma_extra[[#This Row],[LOTE]],Tabla_control[LOTE],0)),"-")</f>
        <v>COMERCIO</v>
      </c>
      <c r="F46" s="221">
        <f>_xlfn.IFNA(INDEX(Tabla_control[STOCK],MATCH(tabla_cronograma_extra[[#This Row],[LOTE]],Tabla_control[LOTE],0)),"-")</f>
        <v>2.2477975190783464</v>
      </c>
      <c r="G46" s="222">
        <f>_xlfn.IFNA(INDEX(Tabla_control[FECHA PRODUCCIÓN],MATCH(tabla_cronograma_extra[[#This Row],[LOTE]],Tabla_control[LOTE],0)),"-")</f>
        <v>46174</v>
      </c>
      <c r="H46" s="223" t="s">
        <v>5347</v>
      </c>
      <c r="I46" s="224">
        <f>(tabla_cronograma_extra[[#This Row],[FECHA PRODUCCIÓN]]-tabla_cronograma_extra[[#This Row],[FECHA]])</f>
        <v>21</v>
      </c>
      <c r="J46" s="214">
        <v>46153</v>
      </c>
      <c r="K46" s="212"/>
      <c r="L46" s="211"/>
      <c r="M46" s="211"/>
      <c r="N46" s="211"/>
      <c r="O46" s="211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>
        <v>9678</v>
      </c>
    </row>
    <row r="47" spans="1:26" hidden="1" x14ac:dyDescent="0.25">
      <c r="A47" s="200" t="str">
        <f>_xlfn.IFNA(INDEX(Tabla_control[PRODUCTO],MATCH(tabla_cronograma_extra[[#This Row],[LOTE]],Tabla_control[LOTE],0)),"-")</f>
        <v>MUCOL 600 MG X 20 SOBRES POLVO GRANULADO</v>
      </c>
      <c r="B47" s="227">
        <f>_xlfn.IFNA(INDEX(Tabla_control[CANTIDAD IMPRIMIR],MATCH(tabla_cronograma_extra[[#This Row],[LOTE]],Tabla_control[LOTE],0)),"-")</f>
        <v>1700</v>
      </c>
      <c r="C47" s="159">
        <f>_xlfn.IFNA(INDEX(Tabla_control[PREDICCION],MATCH(tabla_cronograma_extra[[#This Row],[LOTE]],Tabla_control[LOTE],0)),"-")</f>
        <v>3400</v>
      </c>
      <c r="D47" s="225" t="s">
        <v>3168</v>
      </c>
      <c r="E47" s="201" t="str">
        <f>_xlfn.IFNA(INDEX(Tabla_control[INSTITUCIÓN],MATCH(tabla_cronograma_extra[[#This Row],[LOTE]],Tabla_control[LOTE],0)),"-")</f>
        <v>COMERCIO</v>
      </c>
      <c r="F47" s="204">
        <f>_xlfn.IFNA(INDEX(Tabla_control[STOCK],MATCH(tabla_cronograma_extra[[#This Row],[LOTE]],Tabla_control[LOTE],0)),"-")</f>
        <v>6.783867631851086</v>
      </c>
      <c r="G47" s="199" t="str">
        <f>_xlfn.IFNA(INDEX(Tabla_control[FECHA PRODUCCIÓN],MATCH(tabla_cronograma_extra[[#This Row],[LOTE]],Tabla_control[LOTE],0)),"-")</f>
        <v>ENTREGADO</v>
      </c>
      <c r="H47" s="206" t="s">
        <v>5348</v>
      </c>
      <c r="I47" s="208" t="e">
        <f>(tabla_cronograma_extra[[#This Row],[FECHA PRODUCCIÓN]]-tabla_cronograma_extra[[#This Row],[FECHA]])</f>
        <v>#VALUE!</v>
      </c>
      <c r="J47" s="214">
        <v>46134</v>
      </c>
      <c r="K47" s="215"/>
      <c r="L47" s="216"/>
      <c r="M47" s="216">
        <v>3400</v>
      </c>
      <c r="N47" s="216"/>
      <c r="O47" s="216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</row>
    <row r="48" spans="1:26" hidden="1" x14ac:dyDescent="0.25">
      <c r="A48" s="200" t="str">
        <f>_xlfn.IFNA(INDEX(Tabla_control[PRODUCTO],MATCH(tabla_cronograma_extra[[#This Row],[LOTE]],Tabla_control[LOTE],0)),"-")</f>
        <v>NISTATINA 100.000 UI X 15 G CREMA DERMICA</v>
      </c>
      <c r="B48" s="227">
        <f>_xlfn.IFNA(INDEX(Tabla_control[CANTIDAD IMPRIMIR],MATCH(tabla_cronograma_extra[[#This Row],[LOTE]],Tabla_control[LOTE],0)),"-")</f>
        <v>17400</v>
      </c>
      <c r="C48" s="159">
        <f>_xlfn.IFNA(INDEX(Tabla_control[PREDICCION],MATCH(tabla_cronograma_extra[[#This Row],[LOTE]],Tabla_control[LOTE],0)),"-")</f>
        <v>8700</v>
      </c>
      <c r="D48" s="225" t="s">
        <v>3132</v>
      </c>
      <c r="E48" s="201" t="str">
        <f>_xlfn.IFNA(INDEX(Tabla_control[INSTITUCIÓN],MATCH(tabla_cronograma_extra[[#This Row],[LOTE]],Tabla_control[LOTE],0)),"-")</f>
        <v>COMERCIO</v>
      </c>
      <c r="F48" s="204">
        <f>_xlfn.IFNA(INDEX(Tabla_control[STOCK],MATCH(tabla_cronograma_extra[[#This Row],[LOTE]],Tabla_control[LOTE],0)),"-")</f>
        <v>3.2389423076923078</v>
      </c>
      <c r="G48" s="199" t="str">
        <f>_xlfn.IFNA(INDEX(Tabla_control[FECHA PRODUCCIÓN],MATCH(tabla_cronograma_extra[[#This Row],[LOTE]],Tabla_control[LOTE],0)),"-")</f>
        <v>ENTREGADO</v>
      </c>
      <c r="H48" s="206" t="s">
        <v>5348</v>
      </c>
      <c r="I48" s="208" t="e">
        <f>(tabla_cronograma_extra[[#This Row],[FECHA PRODUCCIÓN]]-tabla_cronograma_extra[[#This Row],[FECHA]])</f>
        <v>#VALUE!</v>
      </c>
      <c r="J48" s="214">
        <v>46134</v>
      </c>
      <c r="K48" s="215"/>
      <c r="L48" s="216"/>
      <c r="M48" s="216">
        <v>8700</v>
      </c>
      <c r="N48" s="216"/>
      <c r="O48" s="216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</row>
    <row r="49" spans="1:26" ht="30" hidden="1" x14ac:dyDescent="0.25">
      <c r="A49" s="200" t="str">
        <f>_xlfn.IFNA(INDEX(Tabla_control[PRODUCTO],MATCH(tabla_cronograma_extra[[#This Row],[LOTE]],Tabla_control[LOTE],0)),"-")</f>
        <v>REALIZADO</v>
      </c>
      <c r="B49" s="227" t="str">
        <f>_xlfn.IFNA(INDEX(Tabla_control[CANTIDAD IMPRIMIR],MATCH(tabla_cronograma_extra[[#This Row],[LOTE]],Tabla_control[LOTE],0)),"-")</f>
        <v>ENTREGADO</v>
      </c>
      <c r="C49" s="159" t="e">
        <f>_xlfn.IFNA(INDEX(Tabla_control[PREDICCION],MATCH(tabla_cronograma_extra[[#This Row],[LOTE]],Tabla_control[LOTE],0)),"-")</f>
        <v>#VALUE!</v>
      </c>
      <c r="D49" s="225" t="s">
        <v>3093</v>
      </c>
      <c r="E49" s="201" t="str">
        <f>_xlfn.IFNA(INDEX(Tabla_control[INSTITUCIÓN],MATCH(tabla_cronograma_extra[[#This Row],[LOTE]],Tabla_control[LOTE],0)),"-")</f>
        <v>REALIZADO</v>
      </c>
      <c r="F49" s="204" t="str">
        <f>_xlfn.IFNA(INDEX(Tabla_control[STOCK],MATCH(tabla_cronograma_extra[[#This Row],[LOTE]],Tabla_control[LOTE],0)),"-")</f>
        <v>ENTREGADO</v>
      </c>
      <c r="G49" s="199" t="str">
        <f>_xlfn.IFNA(INDEX(Tabla_control[FECHA PRODUCCIÓN],MATCH(tabla_cronograma_extra[[#This Row],[LOTE]],Tabla_control[LOTE],0)),"-")</f>
        <v>ENTREGADO</v>
      </c>
      <c r="H49" s="206" t="s">
        <v>5348</v>
      </c>
      <c r="I49" s="208" t="e">
        <f>(tabla_cronograma_extra[[#This Row],[FECHA PRODUCCIÓN]]-tabla_cronograma_extra[[#This Row],[FECHA]])</f>
        <v>#VALUE!</v>
      </c>
      <c r="J49" s="214">
        <v>46134</v>
      </c>
      <c r="K49" s="215"/>
      <c r="L49" s="216"/>
      <c r="M49" s="216">
        <v>5700</v>
      </c>
      <c r="N49" s="216"/>
      <c r="O49" s="216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</row>
    <row r="50" spans="1:26" hidden="1" x14ac:dyDescent="0.25">
      <c r="A50" s="200" t="str">
        <f>_xlfn.IFNA(INDEX(Tabla_control[PRODUCTO],MATCH(tabla_cronograma_extra[[#This Row],[LOTE]],Tabla_control[LOTE],0)),"-")</f>
        <v>HIDROCORTISONA 1% X 15 G CREMA DERMICA</v>
      </c>
      <c r="B50" s="227">
        <f>_xlfn.IFNA(INDEX(Tabla_control[CANTIDAD IMPRIMIR],MATCH(tabla_cronograma_extra[[#This Row],[LOTE]],Tabla_control[LOTE],0)),"-")</f>
        <v>11400</v>
      </c>
      <c r="C50" s="159">
        <f>_xlfn.IFNA(INDEX(Tabla_control[PREDICCION],MATCH(tabla_cronograma_extra[[#This Row],[LOTE]],Tabla_control[LOTE],0)),"-")</f>
        <v>5700</v>
      </c>
      <c r="D50" s="225" t="s">
        <v>3230</v>
      </c>
      <c r="E50" s="201" t="str">
        <f>_xlfn.IFNA(INDEX(Tabla_control[INSTITUCIÓN],MATCH(tabla_cronograma_extra[[#This Row],[LOTE]],Tabla_control[LOTE],0)),"-")</f>
        <v>COMERCIO</v>
      </c>
      <c r="F50" s="204">
        <f>_xlfn.IFNA(INDEX(Tabla_control[STOCK],MATCH(tabla_cronograma_extra[[#This Row],[LOTE]],Tabla_control[LOTE],0)),"-")</f>
        <v>1.5089103092900005</v>
      </c>
      <c r="G50" s="199" t="str">
        <f>_xlfn.IFNA(INDEX(Tabla_control[FECHA PRODUCCIÓN],MATCH(tabla_cronograma_extra[[#This Row],[LOTE]],Tabla_control[LOTE],0)),"-")</f>
        <v>ENTREGADO</v>
      </c>
      <c r="H50" s="206" t="s">
        <v>5348</v>
      </c>
      <c r="I50" s="208" t="e">
        <f>(tabla_cronograma_extra[[#This Row],[FECHA PRODUCCIÓN]]-tabla_cronograma_extra[[#This Row],[FECHA]])</f>
        <v>#VALUE!</v>
      </c>
      <c r="J50" s="214">
        <v>46134</v>
      </c>
      <c r="K50" s="215"/>
      <c r="L50" s="216"/>
      <c r="M50" s="216">
        <v>5700</v>
      </c>
      <c r="N50" s="216"/>
      <c r="O50" s="216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</row>
    <row r="51" spans="1:26" hidden="1" x14ac:dyDescent="0.25">
      <c r="A51" s="200" t="str">
        <f>_xlfn.IFNA(INDEX(Tabla_control[PRODUCTO],MATCH(tabla_cronograma_extra[[#This Row],[LOTE]],Tabla_control[LOTE],0)),"-")</f>
        <v>HIDROCORTISONA 1% X 15 G CREMA DERMICA</v>
      </c>
      <c r="B51" s="227">
        <f>_xlfn.IFNA(INDEX(Tabla_control[CANTIDAD IMPRIMIR],MATCH(tabla_cronograma_extra[[#This Row],[LOTE]],Tabla_control[LOTE],0)),"-")</f>
        <v>17100</v>
      </c>
      <c r="C51" s="159">
        <f>_xlfn.IFNA(INDEX(Tabla_control[PREDICCION],MATCH(tabla_cronograma_extra[[#This Row],[LOTE]],Tabla_control[LOTE],0)),"-")</f>
        <v>8550</v>
      </c>
      <c r="D51" s="225" t="s">
        <v>3229</v>
      </c>
      <c r="E51" s="201" t="str">
        <f>_xlfn.IFNA(INDEX(Tabla_control[INSTITUCIÓN],MATCH(tabla_cronograma_extra[[#This Row],[LOTE]],Tabla_control[LOTE],0)),"-")</f>
        <v>COMERCIO</v>
      </c>
      <c r="F51" s="204">
        <f>_xlfn.IFNA(INDEX(Tabla_control[STOCK],MATCH(tabla_cronograma_extra[[#This Row],[LOTE]],Tabla_control[LOTE],0)),"-")</f>
        <v>1.5089103092900005</v>
      </c>
      <c r="G51" s="199" t="str">
        <f>_xlfn.IFNA(INDEX(Tabla_control[FECHA PRODUCCIÓN],MATCH(tabla_cronograma_extra[[#This Row],[LOTE]],Tabla_control[LOTE],0)),"-")</f>
        <v>ENTREGADO</v>
      </c>
      <c r="H51" s="206" t="s">
        <v>5348</v>
      </c>
      <c r="I51" s="208" t="e">
        <f>(tabla_cronograma_extra[[#This Row],[FECHA PRODUCCIÓN]]-tabla_cronograma_extra[[#This Row],[FECHA]])</f>
        <v>#VALUE!</v>
      </c>
      <c r="J51" s="214">
        <v>46135</v>
      </c>
      <c r="K51" s="215"/>
      <c r="L51" s="216"/>
      <c r="M51" s="216"/>
      <c r="N51" s="216">
        <v>8550</v>
      </c>
      <c r="O51" s="216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</row>
    <row r="52" spans="1:26" hidden="1" x14ac:dyDescent="0.25">
      <c r="A52" s="200" t="str">
        <f>_xlfn.IFNA(INDEX(Tabla_control[PRODUCTO],MATCH(tabla_cronograma_extra[[#This Row],[LOTE]],Tabla_control[LOTE],0)),"-")</f>
        <v>HIDROCORTISONA 1% X 15 G CREMA DERMICA</v>
      </c>
      <c r="B52" s="227">
        <f>_xlfn.IFNA(INDEX(Tabla_control[CANTIDAD IMPRIMIR],MATCH(tabla_cronograma_extra[[#This Row],[LOTE]],Tabla_control[LOTE],0)),"-")</f>
        <v>17100</v>
      </c>
      <c r="C52" s="159">
        <f>_xlfn.IFNA(INDEX(Tabla_control[PREDICCION],MATCH(tabla_cronograma_extra[[#This Row],[LOTE]],Tabla_control[LOTE],0)),"-")</f>
        <v>8550</v>
      </c>
      <c r="D52" s="225" t="s">
        <v>3228</v>
      </c>
      <c r="E52" s="201" t="str">
        <f>_xlfn.IFNA(INDEX(Tabla_control[INSTITUCIÓN],MATCH(tabla_cronograma_extra[[#This Row],[LOTE]],Tabla_control[LOTE],0)),"-")</f>
        <v>COMERCIO</v>
      </c>
      <c r="F52" s="204">
        <f>_xlfn.IFNA(INDEX(Tabla_control[STOCK],MATCH(tabla_cronograma_extra[[#This Row],[LOTE]],Tabla_control[LOTE],0)),"-")</f>
        <v>1.5089103092900005</v>
      </c>
      <c r="G52" s="199" t="str">
        <f>_xlfn.IFNA(INDEX(Tabla_control[FECHA PRODUCCIÓN],MATCH(tabla_cronograma_extra[[#This Row],[LOTE]],Tabla_control[LOTE],0)),"-")</f>
        <v>ENTREGADO</v>
      </c>
      <c r="H52" s="206" t="s">
        <v>5348</v>
      </c>
      <c r="I52" s="208" t="e">
        <f>(tabla_cronograma_extra[[#This Row],[FECHA PRODUCCIÓN]]-tabla_cronograma_extra[[#This Row],[FECHA]])</f>
        <v>#VALUE!</v>
      </c>
      <c r="J52" s="214">
        <v>46135</v>
      </c>
      <c r="K52" s="215"/>
      <c r="L52" s="216"/>
      <c r="M52" s="216"/>
      <c r="N52" s="216">
        <v>8550</v>
      </c>
      <c r="O52" s="216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</row>
    <row r="53" spans="1:26" hidden="1" x14ac:dyDescent="0.25">
      <c r="A53" s="200" t="str">
        <f>_xlfn.IFNA(INDEX(Tabla_control[PRODUCTO],MATCH(tabla_cronograma_extra[[#This Row],[LOTE]],Tabla_control[LOTE],0)),"-")</f>
        <v>KETOROLACO 30 MG X 3 AMP. SOLUCION INY.</v>
      </c>
      <c r="B53" s="227">
        <f>_xlfn.IFNA(INDEX(Tabla_control[CANTIDAD IMPRIMIR],MATCH(tabla_cronograma_extra[[#This Row],[LOTE]],Tabla_control[LOTE],0)),"-")</f>
        <v>46666.666666666664</v>
      </c>
      <c r="C53" s="159">
        <f>_xlfn.IFNA(INDEX(Tabla_control[PREDICCION],MATCH(tabla_cronograma_extra[[#This Row],[LOTE]],Tabla_control[LOTE],0)),"-")</f>
        <v>11668</v>
      </c>
      <c r="D53" s="225" t="s">
        <v>3122</v>
      </c>
      <c r="E53" s="201" t="str">
        <f>_xlfn.IFNA(INDEX(Tabla_control[INSTITUCIÓN],MATCH(tabla_cronograma_extra[[#This Row],[LOTE]],Tabla_control[LOTE],0)),"-")</f>
        <v>COMERCIO</v>
      </c>
      <c r="F53" s="204">
        <f>_xlfn.IFNA(INDEX(Tabla_control[STOCK],MATCH(tabla_cronograma_extra[[#This Row],[LOTE]],Tabla_control[LOTE],0)),"-")</f>
        <v>0.16573485339769692</v>
      </c>
      <c r="G53" s="199" t="str">
        <f>_xlfn.IFNA(INDEX(Tabla_control[FECHA PRODUCCIÓN],MATCH(tabla_cronograma_extra[[#This Row],[LOTE]],Tabla_control[LOTE],0)),"-")</f>
        <v>ENTREGADO</v>
      </c>
      <c r="H53" s="206" t="s">
        <v>5348</v>
      </c>
      <c r="I53" s="208" t="e">
        <f>(tabla_cronograma_extra[[#This Row],[FECHA PRODUCCIÓN]]-tabla_cronograma_extra[[#This Row],[FECHA]])</f>
        <v>#VALUE!</v>
      </c>
      <c r="J53" s="214">
        <v>46136</v>
      </c>
      <c r="K53" s="215"/>
      <c r="L53" s="216"/>
      <c r="M53" s="216"/>
      <c r="N53" s="216">
        <v>5000</v>
      </c>
      <c r="O53" s="216">
        <v>6668</v>
      </c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</row>
    <row r="54" spans="1:26" hidden="1" x14ac:dyDescent="0.25">
      <c r="A54" s="200" t="str">
        <f>_xlfn.IFNA(INDEX(Tabla_control[PRODUCTO],MATCH(tabla_cronograma_extra[[#This Row],[LOTE]],Tabla_control[LOTE],0)),"-")</f>
        <v>KETOROLACO 30 MG X 3 AMP. SOLUCION INY.</v>
      </c>
      <c r="B54" s="227">
        <f>_xlfn.IFNA(INDEX(Tabla_control[CANTIDAD IMPRIMIR],MATCH(tabla_cronograma_extra[[#This Row],[LOTE]],Tabla_control[LOTE],0)),"-")</f>
        <v>46666.666666666664</v>
      </c>
      <c r="C54" s="159">
        <f>_xlfn.IFNA(INDEX(Tabla_control[PREDICCION],MATCH(tabla_cronograma_extra[[#This Row],[LOTE]],Tabla_control[LOTE],0)),"-")</f>
        <v>11668</v>
      </c>
      <c r="D54" s="225" t="s">
        <v>3225</v>
      </c>
      <c r="E54" s="201" t="str">
        <f>_xlfn.IFNA(INDEX(Tabla_control[INSTITUCIÓN],MATCH(tabla_cronograma_extra[[#This Row],[LOTE]],Tabla_control[LOTE],0)),"-")</f>
        <v>COMERCIO</v>
      </c>
      <c r="F54" s="204">
        <f>_xlfn.IFNA(INDEX(Tabla_control[STOCK],MATCH(tabla_cronograma_extra[[#This Row],[LOTE]],Tabla_control[LOTE],0)),"-")</f>
        <v>0.16573485339769692</v>
      </c>
      <c r="G54" s="199" t="str">
        <f>_xlfn.IFNA(INDEX(Tabla_control[FECHA PRODUCCIÓN],MATCH(tabla_cronograma_extra[[#This Row],[LOTE]],Tabla_control[LOTE],0)),"-")</f>
        <v>ENTREGADO</v>
      </c>
      <c r="H54" s="206" t="s">
        <v>5348</v>
      </c>
      <c r="I54" s="208" t="e">
        <f>(tabla_cronograma_extra[[#This Row],[FECHA PRODUCCIÓN]]-tabla_cronograma_extra[[#This Row],[FECHA]])</f>
        <v>#VALUE!</v>
      </c>
      <c r="J54" s="214">
        <v>46136</v>
      </c>
      <c r="K54" s="215"/>
      <c r="L54" s="216"/>
      <c r="M54" s="216"/>
      <c r="N54" s="216"/>
      <c r="O54" s="216">
        <v>11668</v>
      </c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</row>
    <row r="55" spans="1:26" hidden="1" x14ac:dyDescent="0.25">
      <c r="A55" s="200" t="str">
        <f>_xlfn.IFNA(INDEX(Tabla_control[PRODUCTO],MATCH(tabla_cronograma_extra[[#This Row],[LOTE]],Tabla_control[LOTE],0)),"-")</f>
        <v>KETOROLACO 30 MG X 3 AMP. SOLUCION INY.</v>
      </c>
      <c r="B55" s="227">
        <f>_xlfn.IFNA(INDEX(Tabla_control[CANTIDAD IMPRIMIR],MATCH(tabla_cronograma_extra[[#This Row],[LOTE]],Tabla_control[LOTE],0)),"-")</f>
        <v>46666.666666666664</v>
      </c>
      <c r="C55" s="159">
        <f>_xlfn.IFNA(INDEX(Tabla_control[PREDICCION],MATCH(tabla_cronograma_extra[[#This Row],[LOTE]],Tabla_control[LOTE],0)),"-")</f>
        <v>11668</v>
      </c>
      <c r="D55" s="225" t="s">
        <v>3224</v>
      </c>
      <c r="E55" s="201" t="str">
        <f>_xlfn.IFNA(INDEX(Tabla_control[INSTITUCIÓN],MATCH(tabla_cronograma_extra[[#This Row],[LOTE]],Tabla_control[LOTE],0)),"-")</f>
        <v>COMERCIO</v>
      </c>
      <c r="F55" s="204">
        <f>_xlfn.IFNA(INDEX(Tabla_control[STOCK],MATCH(tabla_cronograma_extra[[#This Row],[LOTE]],Tabla_control[LOTE],0)),"-")</f>
        <v>0.16573485339769692</v>
      </c>
      <c r="G55" s="199">
        <f>_xlfn.IFNA(INDEX(Tabla_control[FECHA PRODUCCIÓN],MATCH(tabla_cronograma_extra[[#This Row],[LOTE]],Tabla_control[LOTE],0)),"-")</f>
        <v>46148</v>
      </c>
      <c r="H55" s="206" t="s">
        <v>5348</v>
      </c>
      <c r="I55" s="208">
        <f>(tabla_cronograma_extra[[#This Row],[FECHA PRODUCCIÓN]]-tabla_cronograma_extra[[#This Row],[FECHA]])</f>
        <v>9</v>
      </c>
      <c r="J55" s="214">
        <v>46139</v>
      </c>
      <c r="K55" s="215"/>
      <c r="L55" s="216"/>
      <c r="M55" s="216"/>
      <c r="N55" s="216"/>
      <c r="O55" s="216">
        <v>3668</v>
      </c>
      <c r="P55" s="217">
        <v>8000</v>
      </c>
      <c r="Q55" s="217"/>
      <c r="R55" s="217"/>
      <c r="S55" s="217"/>
      <c r="T55" s="217"/>
      <c r="U55" s="217"/>
      <c r="V55" s="217"/>
      <c r="W55" s="217"/>
      <c r="X55" s="217"/>
      <c r="Y55" s="217"/>
      <c r="Z55" s="217"/>
    </row>
    <row r="56" spans="1:26" hidden="1" x14ac:dyDescent="0.25">
      <c r="A56" s="200" t="str">
        <f>_xlfn.IFNA(INDEX(Tabla_control[PRODUCTO],MATCH(tabla_cronograma_extra[[#This Row],[LOTE]],Tabla_control[LOTE],0)),"-")</f>
        <v>KETOROLACO 30 MG X 3 AMP. SOLUCION INY.</v>
      </c>
      <c r="B56" s="227">
        <f>_xlfn.IFNA(INDEX(Tabla_control[CANTIDAD IMPRIMIR],MATCH(tabla_cronograma_extra[[#This Row],[LOTE]],Tabla_control[LOTE],0)),"-")</f>
        <v>46666.666666666664</v>
      </c>
      <c r="C56" s="159">
        <f>_xlfn.IFNA(INDEX(Tabla_control[PREDICCION],MATCH(tabla_cronograma_extra[[#This Row],[LOTE]],Tabla_control[LOTE],0)),"-")</f>
        <v>11668</v>
      </c>
      <c r="D56" s="225" t="s">
        <v>3172</v>
      </c>
      <c r="E56" s="201" t="str">
        <f>_xlfn.IFNA(INDEX(Tabla_control[INSTITUCIÓN],MATCH(tabla_cronograma_extra[[#This Row],[LOTE]],Tabla_control[LOTE],0)),"-")</f>
        <v>COMERCIO</v>
      </c>
      <c r="F56" s="204">
        <f>_xlfn.IFNA(INDEX(Tabla_control[STOCK],MATCH(tabla_cronograma_extra[[#This Row],[LOTE]],Tabla_control[LOTE],0)),"-")</f>
        <v>0.16573485339769692</v>
      </c>
      <c r="G56" s="199">
        <f>_xlfn.IFNA(INDEX(Tabla_control[FECHA PRODUCCIÓN],MATCH(tabla_cronograma_extra[[#This Row],[LOTE]],Tabla_control[LOTE],0)),"-")</f>
        <v>46148</v>
      </c>
      <c r="H56" s="206" t="s">
        <v>5348</v>
      </c>
      <c r="I56" s="208">
        <f>(tabla_cronograma_extra[[#This Row],[FECHA PRODUCCIÓN]]-tabla_cronograma_extra[[#This Row],[FECHA]])</f>
        <v>9</v>
      </c>
      <c r="J56" s="214">
        <v>46139</v>
      </c>
      <c r="K56" s="215"/>
      <c r="L56" s="216"/>
      <c r="M56" s="216"/>
      <c r="N56" s="216"/>
      <c r="O56" s="216"/>
      <c r="P56" s="217">
        <v>11668</v>
      </c>
      <c r="Q56" s="217"/>
      <c r="R56" s="217"/>
      <c r="S56" s="217"/>
      <c r="T56" s="217"/>
      <c r="U56" s="217"/>
      <c r="V56" s="217"/>
      <c r="W56" s="217"/>
      <c r="X56" s="217"/>
      <c r="Y56" s="217"/>
      <c r="Z56" s="217"/>
    </row>
    <row r="57" spans="1:26" hidden="1" x14ac:dyDescent="0.25">
      <c r="A57" s="200" t="str">
        <f>_xlfn.IFNA(INDEX(Tabla_control[PRODUCTO],MATCH(tabla_cronograma_extra[[#This Row],[LOTE]],Tabla_control[LOTE],0)),"-")</f>
        <v>DEXTROMETORFANO 10 MG X 100 ML JARABE</v>
      </c>
      <c r="B57" s="227">
        <f>_xlfn.IFNA(INDEX(Tabla_control[CANTIDAD IMPRIMIR],MATCH(tabla_cronograma_extra[[#This Row],[LOTE]],Tabla_control[LOTE],0)),"-")</f>
        <v>29703</v>
      </c>
      <c r="C57" s="159">
        <f>_xlfn.IFNA(INDEX(Tabla_control[PREDICCION],MATCH(tabla_cronograma_extra[[#This Row],[LOTE]],Tabla_control[LOTE],0)),"-")</f>
        <v>14852</v>
      </c>
      <c r="D57" s="225" t="s">
        <v>3218</v>
      </c>
      <c r="E57" s="201" t="str">
        <f>_xlfn.IFNA(INDEX(Tabla_control[INSTITUCIÓN],MATCH(tabla_cronograma_extra[[#This Row],[LOTE]],Tabla_control[LOTE],0)),"-")</f>
        <v>COMERCIO</v>
      </c>
      <c r="F57" s="204">
        <f>_xlfn.IFNA(INDEX(Tabla_control[STOCK],MATCH(tabla_cronograma_extra[[#This Row],[LOTE]],Tabla_control[LOTE],0)),"-")</f>
        <v>0.77540560458321139</v>
      </c>
      <c r="G57" s="199" t="str">
        <f>_xlfn.IFNA(INDEX(Tabla_control[FECHA PRODUCCIÓN],MATCH(tabla_cronograma_extra[[#This Row],[LOTE]],Tabla_control[LOTE],0)),"-")</f>
        <v>ENTREGADO</v>
      </c>
      <c r="H57" s="206" t="s">
        <v>5348</v>
      </c>
      <c r="I57" s="208" t="e">
        <f>(tabla_cronograma_extra[[#This Row],[FECHA PRODUCCIÓN]]-tabla_cronograma_extra[[#This Row],[FECHA]])</f>
        <v>#VALUE!</v>
      </c>
      <c r="J57" s="214">
        <v>46140</v>
      </c>
      <c r="K57" s="215"/>
      <c r="L57" s="216"/>
      <c r="M57" s="216"/>
      <c r="N57" s="216"/>
      <c r="O57" s="216"/>
      <c r="P57" s="217">
        <v>2852</v>
      </c>
      <c r="Q57" s="217">
        <v>12852</v>
      </c>
      <c r="R57" s="217"/>
      <c r="S57" s="217"/>
      <c r="T57" s="217"/>
      <c r="U57" s="217"/>
      <c r="V57" s="217"/>
      <c r="W57" s="217"/>
      <c r="X57" s="217"/>
      <c r="Y57" s="217"/>
      <c r="Z57" s="217"/>
    </row>
    <row r="58" spans="1:26" hidden="1" x14ac:dyDescent="0.25">
      <c r="A58" s="200" t="str">
        <f>_xlfn.IFNA(INDEX(Tabla_control[PRODUCTO],MATCH(tabla_cronograma_extra[[#This Row],[LOTE]],Tabla_control[LOTE],0)),"-")</f>
        <v>DEXTROMETORFANO 10 MG X 100 ML JARABE</v>
      </c>
      <c r="B58" s="227">
        <f>_xlfn.IFNA(INDEX(Tabla_control[CANTIDAD IMPRIMIR],MATCH(tabla_cronograma_extra[[#This Row],[LOTE]],Tabla_control[LOTE],0)),"-")</f>
        <v>29703</v>
      </c>
      <c r="C58" s="159">
        <f>_xlfn.IFNA(INDEX(Tabla_control[PREDICCION],MATCH(tabla_cronograma_extra[[#This Row],[LOTE]],Tabla_control[LOTE],0)),"-")</f>
        <v>14852</v>
      </c>
      <c r="D58" s="225" t="s">
        <v>3216</v>
      </c>
      <c r="E58" s="201" t="str">
        <f>_xlfn.IFNA(INDEX(Tabla_control[INSTITUCIÓN],MATCH(tabla_cronograma_extra[[#This Row],[LOTE]],Tabla_control[LOTE],0)),"-")</f>
        <v>COMERCIO</v>
      </c>
      <c r="F58" s="204">
        <f>_xlfn.IFNA(INDEX(Tabla_control[STOCK],MATCH(tabla_cronograma_extra[[#This Row],[LOTE]],Tabla_control[LOTE],0)),"-")</f>
        <v>0.77540560458321139</v>
      </c>
      <c r="G58" s="199">
        <f>_xlfn.IFNA(INDEX(Tabla_control[FECHA PRODUCCIÓN],MATCH(tabla_cronograma_extra[[#This Row],[LOTE]],Tabla_control[LOTE],0)),"-")</f>
        <v>46149</v>
      </c>
      <c r="H58" s="206" t="s">
        <v>5348</v>
      </c>
      <c r="I58" s="208">
        <f>(tabla_cronograma_extra[[#This Row],[FECHA PRODUCCIÓN]]-tabla_cronograma_extra[[#This Row],[FECHA]])</f>
        <v>8</v>
      </c>
      <c r="J58" s="214">
        <v>46141</v>
      </c>
      <c r="K58" s="215"/>
      <c r="L58" s="216"/>
      <c r="M58" s="216"/>
      <c r="N58" s="216"/>
      <c r="O58" s="216"/>
      <c r="P58" s="217"/>
      <c r="Q58" s="217">
        <v>2000</v>
      </c>
      <c r="R58" s="217">
        <v>12852</v>
      </c>
      <c r="S58" s="217"/>
      <c r="T58" s="217"/>
      <c r="U58" s="217"/>
      <c r="V58" s="217"/>
      <c r="W58" s="217"/>
      <c r="X58" s="217"/>
      <c r="Y58" s="217"/>
      <c r="Z58" s="217"/>
    </row>
    <row r="59" spans="1:26" hidden="1" x14ac:dyDescent="0.25">
      <c r="A59" s="200" t="str">
        <f>_xlfn.IFNA(INDEX(Tabla_control[PRODUCTO],MATCH(tabla_cronograma_extra[[#This Row],[LOTE]],Tabla_control[LOTE],0)),"-")</f>
        <v>DEXTROMETORFANO 10 MG X 100 ML JARABE</v>
      </c>
      <c r="B59" s="227">
        <f>_xlfn.IFNA(INDEX(Tabla_control[CANTIDAD IMPRIMIR],MATCH(tabla_cronograma_extra[[#This Row],[LOTE]],Tabla_control[LOTE],0)),"-")</f>
        <v>29703</v>
      </c>
      <c r="C59" s="159">
        <f>_xlfn.IFNA(INDEX(Tabla_control[PREDICCION],MATCH(tabla_cronograma_extra[[#This Row],[LOTE]],Tabla_control[LOTE],0)),"-")</f>
        <v>14852</v>
      </c>
      <c r="D59" s="225" t="s">
        <v>3217</v>
      </c>
      <c r="E59" s="201" t="str">
        <f>_xlfn.IFNA(INDEX(Tabla_control[INSTITUCIÓN],MATCH(tabla_cronograma_extra[[#This Row],[LOTE]],Tabla_control[LOTE],0)),"-")</f>
        <v>COMERCIO</v>
      </c>
      <c r="F59" s="204">
        <f>_xlfn.IFNA(INDEX(Tabla_control[STOCK],MATCH(tabla_cronograma_extra[[#This Row],[LOTE]],Tabla_control[LOTE],0)),"-")</f>
        <v>0.77540560458321139</v>
      </c>
      <c r="G59" s="199">
        <f>_xlfn.IFNA(INDEX(Tabla_control[FECHA PRODUCCIÓN],MATCH(tabla_cronograma_extra[[#This Row],[LOTE]],Tabla_control[LOTE],0)),"-")</f>
        <v>46149</v>
      </c>
      <c r="H59" s="206" t="s">
        <v>5348</v>
      </c>
      <c r="I59" s="208">
        <f>(tabla_cronograma_extra[[#This Row],[FECHA PRODUCCIÓN]]-tabla_cronograma_extra[[#This Row],[FECHA]])</f>
        <v>7</v>
      </c>
      <c r="J59" s="214">
        <v>46142</v>
      </c>
      <c r="K59" s="215"/>
      <c r="L59" s="216"/>
      <c r="M59" s="216"/>
      <c r="N59" s="216"/>
      <c r="O59" s="216"/>
      <c r="P59" s="217"/>
      <c r="Q59" s="217"/>
      <c r="R59" s="217">
        <v>2000</v>
      </c>
      <c r="S59" s="217">
        <v>12852</v>
      </c>
      <c r="T59" s="217"/>
      <c r="U59" s="217"/>
      <c r="V59" s="217"/>
      <c r="W59" s="217"/>
      <c r="X59" s="217"/>
      <c r="Y59" s="217"/>
      <c r="Z59" s="217"/>
    </row>
    <row r="60" spans="1:26" hidden="1" x14ac:dyDescent="0.25">
      <c r="A60" s="200" t="str">
        <f>_xlfn.IFNA(INDEX(Tabla_control[PRODUCTO],MATCH(tabla_cronograma_extra[[#This Row],[LOTE]],Tabla_control[LOTE],0)),"-")</f>
        <v>DEXTROMETORFANO 10 MG X 100 ML JARABE</v>
      </c>
      <c r="B60" s="227">
        <f>_xlfn.IFNA(INDEX(Tabla_control[CANTIDAD IMPRIMIR],MATCH(tabla_cronograma_extra[[#This Row],[LOTE]],Tabla_control[LOTE],0)),"-")</f>
        <v>29703</v>
      </c>
      <c r="C60" s="159">
        <f>_xlfn.IFNA(INDEX(Tabla_control[PREDICCION],MATCH(tabla_cronograma_extra[[#This Row],[LOTE]],Tabla_control[LOTE],0)),"-")</f>
        <v>14852</v>
      </c>
      <c r="D60" s="225" t="s">
        <v>3219</v>
      </c>
      <c r="E60" s="201" t="str">
        <f>_xlfn.IFNA(INDEX(Tabla_control[INSTITUCIÓN],MATCH(tabla_cronograma_extra[[#This Row],[LOTE]],Tabla_control[LOTE],0)),"-")</f>
        <v>COMERCIO</v>
      </c>
      <c r="F60" s="204">
        <f>_xlfn.IFNA(INDEX(Tabla_control[STOCK],MATCH(tabla_cronograma_extra[[#This Row],[LOTE]],Tabla_control[LOTE],0)),"-")</f>
        <v>0.77540560458321139</v>
      </c>
      <c r="G60" s="199">
        <f>_xlfn.IFNA(INDEX(Tabla_control[FECHA PRODUCCIÓN],MATCH(tabla_cronograma_extra[[#This Row],[LOTE]],Tabla_control[LOTE],0)),"-")</f>
        <v>46155</v>
      </c>
      <c r="H60" s="206" t="s">
        <v>5348</v>
      </c>
      <c r="I60" s="208">
        <f>(tabla_cronograma_extra[[#This Row],[FECHA PRODUCCIÓN]]-tabla_cronograma_extra[[#This Row],[FECHA]])</f>
        <v>9</v>
      </c>
      <c r="J60" s="214">
        <v>46146</v>
      </c>
      <c r="K60" s="215"/>
      <c r="L60" s="216"/>
      <c r="M60" s="216"/>
      <c r="N60" s="216"/>
      <c r="O60" s="216"/>
      <c r="P60" s="217"/>
      <c r="Q60" s="217"/>
      <c r="R60" s="217"/>
      <c r="S60" s="217">
        <v>2000</v>
      </c>
      <c r="T60" s="217">
        <v>12852</v>
      </c>
      <c r="U60" s="217"/>
      <c r="V60" s="217"/>
      <c r="W60" s="217"/>
      <c r="X60" s="217"/>
      <c r="Y60" s="217"/>
      <c r="Z60" s="217"/>
    </row>
    <row r="61" spans="1:26" hidden="1" x14ac:dyDescent="0.25">
      <c r="A61" s="200" t="str">
        <f>_xlfn.IFNA(INDEX(Tabla_control[PRODUCTO],MATCH(tabla_cronograma_extra[[#This Row],[LOTE]],Tabla_control[LOTE],0)),"-")</f>
        <v>DEXTROMETORFANO 10 MG X 100 ML JARABE</v>
      </c>
      <c r="B61" s="227">
        <f>_xlfn.IFNA(INDEX(Tabla_control[CANTIDAD IMPRIMIR],MATCH(tabla_cronograma_extra[[#This Row],[LOTE]],Tabla_control[LOTE],0)),"-")</f>
        <v>29703</v>
      </c>
      <c r="C61" s="159">
        <f>_xlfn.IFNA(INDEX(Tabla_control[PREDICCION],MATCH(tabla_cronograma_extra[[#This Row],[LOTE]],Tabla_control[LOTE],0)),"-")</f>
        <v>14852</v>
      </c>
      <c r="D61" s="225" t="s">
        <v>3220</v>
      </c>
      <c r="E61" s="201" t="str">
        <f>_xlfn.IFNA(INDEX(Tabla_control[INSTITUCIÓN],MATCH(tabla_cronograma_extra[[#This Row],[LOTE]],Tabla_control[LOTE],0)),"-")</f>
        <v>COMERCIO</v>
      </c>
      <c r="F61" s="204">
        <f>_xlfn.IFNA(INDEX(Tabla_control[STOCK],MATCH(tabla_cronograma_extra[[#This Row],[LOTE]],Tabla_control[LOTE],0)),"-")</f>
        <v>0.77540560458321139</v>
      </c>
      <c r="G61" s="199">
        <f>_xlfn.IFNA(INDEX(Tabla_control[FECHA PRODUCCIÓN],MATCH(tabla_cronograma_extra[[#This Row],[LOTE]],Tabla_control[LOTE],0)),"-")</f>
        <v>46155</v>
      </c>
      <c r="H61" s="206" t="s">
        <v>5348</v>
      </c>
      <c r="I61" s="208">
        <f>(tabla_cronograma_extra[[#This Row],[FECHA PRODUCCIÓN]]-tabla_cronograma_extra[[#This Row],[FECHA]])</f>
        <v>373</v>
      </c>
      <c r="J61" s="214">
        <v>45782</v>
      </c>
      <c r="K61" s="215"/>
      <c r="L61" s="216"/>
      <c r="M61" s="216"/>
      <c r="N61" s="216"/>
      <c r="O61" s="216"/>
      <c r="P61" s="217"/>
      <c r="Q61" s="217"/>
      <c r="R61" s="217"/>
      <c r="S61" s="217"/>
      <c r="T61" s="217">
        <v>2000</v>
      </c>
      <c r="U61" s="217">
        <v>12852</v>
      </c>
      <c r="V61" s="217"/>
      <c r="W61" s="217"/>
      <c r="X61" s="217"/>
      <c r="Y61" s="217"/>
      <c r="Z61" s="217"/>
    </row>
    <row r="62" spans="1:26" hidden="1" x14ac:dyDescent="0.25">
      <c r="A62" s="200" t="str">
        <f>_xlfn.IFNA(INDEX(Tabla_control[PRODUCTO],MATCH(tabla_cronograma_extra[[#This Row],[LOTE]],Tabla_control[LOTE],0)),"-")</f>
        <v>DEXTROMETORFANO 10 MG X 100 ML JARABE</v>
      </c>
      <c r="B62" s="227">
        <f>_xlfn.IFNA(INDEX(Tabla_control[CANTIDAD IMPRIMIR],MATCH(tabla_cronograma_extra[[#This Row],[LOTE]],Tabla_control[LOTE],0)),"-")</f>
        <v>29703</v>
      </c>
      <c r="C62" s="159">
        <f>_xlfn.IFNA(INDEX(Tabla_control[PREDICCION],MATCH(tabla_cronograma_extra[[#This Row],[LOTE]],Tabla_control[LOTE],0)),"-")</f>
        <v>14852</v>
      </c>
      <c r="D62" s="225" t="s">
        <v>3209</v>
      </c>
      <c r="E62" s="201" t="str">
        <f>_xlfn.IFNA(INDEX(Tabla_control[INSTITUCIÓN],MATCH(tabla_cronograma_extra[[#This Row],[LOTE]],Tabla_control[LOTE],0)),"-")</f>
        <v>COMERCIO</v>
      </c>
      <c r="F62" s="204">
        <f>_xlfn.IFNA(INDEX(Tabla_control[STOCK],MATCH(tabla_cronograma_extra[[#This Row],[LOTE]],Tabla_control[LOTE],0)),"-")</f>
        <v>0.77540560458321139</v>
      </c>
      <c r="G62" s="199">
        <f>_xlfn.IFNA(INDEX(Tabla_control[FECHA PRODUCCIÓN],MATCH(tabla_cronograma_extra[[#This Row],[LOTE]],Tabla_control[LOTE],0)),"-")</f>
        <v>46160</v>
      </c>
      <c r="H62" s="206" t="s">
        <v>5348</v>
      </c>
      <c r="I62" s="208">
        <f>(tabla_cronograma_extra[[#This Row],[FECHA PRODUCCIÓN]]-tabla_cronograma_extra[[#This Row],[FECHA]])</f>
        <v>12</v>
      </c>
      <c r="J62" s="214">
        <v>46148</v>
      </c>
      <c r="K62" s="215"/>
      <c r="L62" s="216"/>
      <c r="M62" s="216"/>
      <c r="N62" s="216"/>
      <c r="O62" s="216"/>
      <c r="P62" s="217"/>
      <c r="Q62" s="217"/>
      <c r="R62" s="217"/>
      <c r="S62" s="217"/>
      <c r="T62" s="217"/>
      <c r="U62" s="217">
        <v>2000</v>
      </c>
      <c r="V62" s="217">
        <v>12852</v>
      </c>
      <c r="W62" s="217"/>
      <c r="X62" s="217"/>
      <c r="Y62" s="217"/>
      <c r="Z62" s="217"/>
    </row>
    <row r="63" spans="1:26" hidden="1" x14ac:dyDescent="0.25">
      <c r="A63" s="200" t="str">
        <f>_xlfn.IFNA(INDEX(Tabla_control[PRODUCTO],MATCH(tabla_cronograma_extra[[#This Row],[LOTE]],Tabla_control[LOTE],0)),"-")</f>
        <v>DEXTROMETORFANO 10 MG X 100 ML JARABE</v>
      </c>
      <c r="B63" s="227">
        <f>_xlfn.IFNA(INDEX(Tabla_control[CANTIDAD IMPRIMIR],MATCH(tabla_cronograma_extra[[#This Row],[LOTE]],Tabla_control[LOTE],0)),"-")</f>
        <v>29703</v>
      </c>
      <c r="C63" s="159">
        <f>_xlfn.IFNA(INDEX(Tabla_control[PREDICCION],MATCH(tabla_cronograma_extra[[#This Row],[LOTE]],Tabla_control[LOTE],0)),"-")</f>
        <v>14852</v>
      </c>
      <c r="D63" s="225" t="s">
        <v>3207</v>
      </c>
      <c r="E63" s="201" t="str">
        <f>_xlfn.IFNA(INDEX(Tabla_control[INSTITUCIÓN],MATCH(tabla_cronograma_extra[[#This Row],[LOTE]],Tabla_control[LOTE],0)),"-")</f>
        <v>COMERCIO</v>
      </c>
      <c r="F63" s="204">
        <f>_xlfn.IFNA(INDEX(Tabla_control[STOCK],MATCH(tabla_cronograma_extra[[#This Row],[LOTE]],Tabla_control[LOTE],0)),"-")</f>
        <v>0.77540560458321139</v>
      </c>
      <c r="G63" s="199">
        <f>_xlfn.IFNA(INDEX(Tabla_control[FECHA PRODUCCIÓN],MATCH(tabla_cronograma_extra[[#This Row],[LOTE]],Tabla_control[LOTE],0)),"-")</f>
        <v>46160</v>
      </c>
      <c r="H63" s="206" t="s">
        <v>5348</v>
      </c>
      <c r="I63" s="208">
        <f>(tabla_cronograma_extra[[#This Row],[FECHA PRODUCCIÓN]]-tabla_cronograma_extra[[#This Row],[FECHA]])</f>
        <v>11</v>
      </c>
      <c r="J63" s="214">
        <v>46149</v>
      </c>
      <c r="K63" s="215"/>
      <c r="L63" s="216"/>
      <c r="M63" s="216"/>
      <c r="N63" s="216"/>
      <c r="O63" s="216"/>
      <c r="P63" s="217"/>
      <c r="Q63" s="217"/>
      <c r="R63" s="217"/>
      <c r="S63" s="217"/>
      <c r="T63" s="217"/>
      <c r="U63" s="217"/>
      <c r="V63" s="217">
        <v>2000</v>
      </c>
      <c r="W63" s="217">
        <v>12852</v>
      </c>
      <c r="X63" s="217"/>
      <c r="Y63" s="217"/>
      <c r="Z63" s="217"/>
    </row>
    <row r="64" spans="1:26" hidden="1" x14ac:dyDescent="0.25">
      <c r="A64" s="200" t="str">
        <f>_xlfn.IFNA(INDEX(Tabla_control[PRODUCTO],MATCH(tabla_cronograma_extra[[#This Row],[LOTE]],Tabla_control[LOTE],0)),"-")</f>
        <v>DEXTROMETORFANO 10 MG X 100 ML JARABE</v>
      </c>
      <c r="B64" s="227">
        <f>_xlfn.IFNA(INDEX(Tabla_control[CANTIDAD IMPRIMIR],MATCH(tabla_cronograma_extra[[#This Row],[LOTE]],Tabla_control[LOTE],0)),"-")</f>
        <v>29703</v>
      </c>
      <c r="C64" s="159">
        <f>_xlfn.IFNA(INDEX(Tabla_control[PREDICCION],MATCH(tabla_cronograma_extra[[#This Row],[LOTE]],Tabla_control[LOTE],0)),"-")</f>
        <v>14852</v>
      </c>
      <c r="D64" s="225" t="s">
        <v>3206</v>
      </c>
      <c r="E64" s="201" t="str">
        <f>_xlfn.IFNA(INDEX(Tabla_control[INSTITUCIÓN],MATCH(tabla_cronograma_extra[[#This Row],[LOTE]],Tabla_control[LOTE],0)),"-")</f>
        <v>COMERCIO</v>
      </c>
      <c r="F64" s="204">
        <f>_xlfn.IFNA(INDEX(Tabla_control[STOCK],MATCH(tabla_cronograma_extra[[#This Row],[LOTE]],Tabla_control[LOTE],0)),"-")</f>
        <v>0.77540560458321139</v>
      </c>
      <c r="G64" s="199">
        <f>_xlfn.IFNA(INDEX(Tabla_control[FECHA PRODUCCIÓN],MATCH(tabla_cronograma_extra[[#This Row],[LOTE]],Tabla_control[LOTE],0)),"-")</f>
        <v>46164</v>
      </c>
      <c r="H64" s="206" t="s">
        <v>5348</v>
      </c>
      <c r="I64" s="208">
        <f>(tabla_cronograma_extra[[#This Row],[FECHA PRODUCCIÓN]]-tabla_cronograma_extra[[#This Row],[FECHA]])</f>
        <v>14</v>
      </c>
      <c r="J64" s="214">
        <v>46150</v>
      </c>
      <c r="K64" s="215"/>
      <c r="L64" s="216"/>
      <c r="M64" s="216"/>
      <c r="N64" s="216"/>
      <c r="O64" s="216"/>
      <c r="P64" s="217"/>
      <c r="Q64" s="217"/>
      <c r="R64" s="217"/>
      <c r="S64" s="217"/>
      <c r="T64" s="217"/>
      <c r="U64" s="217"/>
      <c r="V64" s="217"/>
      <c r="W64" s="217">
        <v>2000</v>
      </c>
      <c r="X64" s="217">
        <v>12852</v>
      </c>
      <c r="Y64" s="217"/>
      <c r="Z64" s="217"/>
    </row>
    <row r="65" spans="1:26" hidden="1" x14ac:dyDescent="0.25">
      <c r="A65" s="200" t="str">
        <f>_xlfn.IFNA(INDEX(Tabla_control[PRODUCTO],MATCH(tabla_cronograma_extra[[#This Row],[LOTE]],Tabla_control[LOTE],0)),"-")</f>
        <v>DEXTROMETORFANO 10 MG X 100 ML JARABE</v>
      </c>
      <c r="B65" s="227">
        <f>_xlfn.IFNA(INDEX(Tabla_control[CANTIDAD IMPRIMIR],MATCH(tabla_cronograma_extra[[#This Row],[LOTE]],Tabla_control[LOTE],0)),"-")</f>
        <v>29703</v>
      </c>
      <c r="C65" s="159">
        <f>_xlfn.IFNA(INDEX(Tabla_control[PREDICCION],MATCH(tabla_cronograma_extra[[#This Row],[LOTE]],Tabla_control[LOTE],0)),"-")</f>
        <v>14852</v>
      </c>
      <c r="D65" s="225" t="s">
        <v>3208</v>
      </c>
      <c r="E65" s="201" t="str">
        <f>_xlfn.IFNA(INDEX(Tabla_control[INSTITUCIÓN],MATCH(tabla_cronograma_extra[[#This Row],[LOTE]],Tabla_control[LOTE],0)),"-")</f>
        <v>COMERCIO</v>
      </c>
      <c r="F65" s="204">
        <f>_xlfn.IFNA(INDEX(Tabla_control[STOCK],MATCH(tabla_cronograma_extra[[#This Row],[LOTE]],Tabla_control[LOTE],0)),"-")</f>
        <v>0.77540560458321139</v>
      </c>
      <c r="G65" s="199">
        <f>_xlfn.IFNA(INDEX(Tabla_control[FECHA PRODUCCIÓN],MATCH(tabla_cronograma_extra[[#This Row],[LOTE]],Tabla_control[LOTE],0)),"-")</f>
        <v>46164</v>
      </c>
      <c r="H65" s="206" t="s">
        <v>5348</v>
      </c>
      <c r="I65" s="208">
        <f>(tabla_cronograma_extra[[#This Row],[FECHA PRODUCCIÓN]]-tabla_cronograma_extra[[#This Row],[FECHA]])</f>
        <v>11</v>
      </c>
      <c r="J65" s="214">
        <v>46153</v>
      </c>
      <c r="K65" s="215"/>
      <c r="L65" s="216"/>
      <c r="M65" s="216"/>
      <c r="N65" s="216"/>
      <c r="O65" s="216"/>
      <c r="P65" s="217"/>
      <c r="Q65" s="217"/>
      <c r="R65" s="217"/>
      <c r="S65" s="217"/>
      <c r="T65" s="217"/>
      <c r="U65" s="217"/>
      <c r="V65" s="217"/>
      <c r="W65" s="217"/>
      <c r="X65" s="217">
        <v>2000</v>
      </c>
      <c r="Y65" s="217">
        <v>12852</v>
      </c>
      <c r="Z65" s="217"/>
    </row>
    <row r="66" spans="1:26" hidden="1" x14ac:dyDescent="0.25">
      <c r="A66" s="200" t="str">
        <f>_xlfn.IFNA(INDEX(Tabla_control[PRODUCTO],MATCH(tabla_cronograma_extra[[#This Row],[LOTE]],Tabla_control[LOTE],0)),"-")</f>
        <v>DEXTROMETORFANO 10 MG X 100 ML JARABE</v>
      </c>
      <c r="B66" s="227">
        <f>_xlfn.IFNA(INDEX(Tabla_control[CANTIDAD IMPRIMIR],MATCH(tabla_cronograma_extra[[#This Row],[LOTE]],Tabla_control[LOTE],0)),"-")</f>
        <v>29703</v>
      </c>
      <c r="C66" s="159">
        <f>_xlfn.IFNA(INDEX(Tabla_control[PREDICCION],MATCH(tabla_cronograma_extra[[#This Row],[LOTE]],Tabla_control[LOTE],0)),"-")</f>
        <v>14852</v>
      </c>
      <c r="D66" s="225" t="s">
        <v>3204</v>
      </c>
      <c r="E66" s="201" t="str">
        <f>_xlfn.IFNA(INDEX(Tabla_control[INSTITUCIÓN],MATCH(tabla_cronograma_extra[[#This Row],[LOTE]],Tabla_control[LOTE],0)),"-")</f>
        <v>COMERCIO</v>
      </c>
      <c r="F66" s="204">
        <f>_xlfn.IFNA(INDEX(Tabla_control[STOCK],MATCH(tabla_cronograma_extra[[#This Row],[LOTE]],Tabla_control[LOTE],0)),"-")</f>
        <v>0.77540560458321139</v>
      </c>
      <c r="G66" s="199">
        <f>_xlfn.IFNA(INDEX(Tabla_control[FECHA PRODUCCIÓN],MATCH(tabla_cronograma_extra[[#This Row],[LOTE]],Tabla_control[LOTE],0)),"-")</f>
        <v>46169</v>
      </c>
      <c r="H66" s="206" t="s">
        <v>5348</v>
      </c>
      <c r="I66" s="208">
        <f>(tabla_cronograma_extra[[#This Row],[FECHA PRODUCCIÓN]]-tabla_cronograma_extra[[#This Row],[FECHA]])</f>
        <v>16</v>
      </c>
      <c r="J66" s="214">
        <v>46153</v>
      </c>
      <c r="K66" s="215"/>
      <c r="L66" s="216"/>
      <c r="M66" s="216"/>
      <c r="N66" s="216"/>
      <c r="O66" s="216"/>
      <c r="P66" s="217"/>
      <c r="Q66" s="217"/>
      <c r="R66" s="217"/>
      <c r="S66" s="217"/>
      <c r="T66" s="217"/>
      <c r="U66" s="217"/>
      <c r="V66" s="217"/>
      <c r="W66" s="217"/>
      <c r="X66" s="217"/>
      <c r="Y66" s="217">
        <v>2000</v>
      </c>
      <c r="Z66" s="217">
        <v>12852</v>
      </c>
    </row>
    <row r="67" spans="1:26" hidden="1" x14ac:dyDescent="0.25">
      <c r="A67" s="200" t="str">
        <f>_xlfn.IFNA(INDEX(Tabla_control[PRODUCTO],MATCH(tabla_cronograma_extra[[#This Row],[LOTE]],Tabla_control[LOTE],0)),"-")</f>
        <v>DEXTROMETORFANO 10 MG X 100 ML JARABE</v>
      </c>
      <c r="B67" s="227">
        <f>_xlfn.IFNA(INDEX(Tabla_control[CANTIDAD IMPRIMIR],MATCH(tabla_cronograma_extra[[#This Row],[LOTE]],Tabla_control[LOTE],0)),"-")</f>
        <v>29703</v>
      </c>
      <c r="C67" s="159">
        <f>_xlfn.IFNA(INDEX(Tabla_control[PREDICCION],MATCH(tabla_cronograma_extra[[#This Row],[LOTE]],Tabla_control[LOTE],0)),"-")</f>
        <v>14852</v>
      </c>
      <c r="D67" s="225" t="s">
        <v>3203</v>
      </c>
      <c r="E67" s="201" t="str">
        <f>_xlfn.IFNA(INDEX(Tabla_control[INSTITUCIÓN],MATCH(tabla_cronograma_extra[[#This Row],[LOTE]],Tabla_control[LOTE],0)),"-")</f>
        <v>COMERCIO</v>
      </c>
      <c r="F67" s="204">
        <f>_xlfn.IFNA(INDEX(Tabla_control[STOCK],MATCH(tabla_cronograma_extra[[#This Row],[LOTE]],Tabla_control[LOTE],0)),"-")</f>
        <v>0.77540560458321139</v>
      </c>
      <c r="G67" s="199">
        <f>_xlfn.IFNA(INDEX(Tabla_control[FECHA PRODUCCIÓN],MATCH(tabla_cronograma_extra[[#This Row],[LOTE]],Tabla_control[LOTE],0)),"-")</f>
        <v>46170</v>
      </c>
      <c r="H67" s="206" t="s">
        <v>5348</v>
      </c>
      <c r="I67" s="208">
        <f>(tabla_cronograma_extra[[#This Row],[FECHA PRODUCCIÓN]]-tabla_cronograma_extra[[#This Row],[FECHA]])</f>
        <v>16</v>
      </c>
      <c r="J67" s="214">
        <v>46154</v>
      </c>
      <c r="K67" s="215"/>
      <c r="L67" s="216"/>
      <c r="M67" s="216"/>
      <c r="N67" s="216"/>
      <c r="O67" s="216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>
        <v>2000</v>
      </c>
    </row>
    <row r="68" spans="1:26" hidden="1" x14ac:dyDescent="0.25">
      <c r="A68" s="218" t="str">
        <f>_xlfn.IFNA(INDEX(Tabla_control[PRODUCTO],MATCH(tabla_cronograma_extra[[#This Row],[LOTE]],Tabla_control[LOTE],0)),"-")</f>
        <v>NISTATINA 500.000 UI X 60 ML SUSP.</v>
      </c>
      <c r="B68" s="228">
        <f>_xlfn.IFNA(INDEX(Tabla_control[CANTIDAD IMPRIMIR],MATCH(tabla_cronograma_extra[[#This Row],[LOTE]],Tabla_control[LOTE],0)),"-")</f>
        <v>19354</v>
      </c>
      <c r="C68" s="219">
        <f>_xlfn.IFNA(INDEX(Tabla_control[PREDICCION],MATCH(tabla_cronograma_extra[[#This Row],[LOTE]],Tabla_control[LOTE],0)),"-")</f>
        <v>9678</v>
      </c>
      <c r="D68" s="225" t="s">
        <v>3072</v>
      </c>
      <c r="E68" s="220" t="str">
        <f>_xlfn.IFNA(INDEX(Tabla_control[INSTITUCIÓN],MATCH(tabla_cronograma_extra[[#This Row],[LOTE]],Tabla_control[LOTE],0)),"-")</f>
        <v>COMERCIO</v>
      </c>
      <c r="F68" s="221">
        <f>_xlfn.IFNA(INDEX(Tabla_control[STOCK],MATCH(tabla_cronograma_extra[[#This Row],[LOTE]],Tabla_control[LOTE],0)),"-")</f>
        <v>2.2477975190783464</v>
      </c>
      <c r="G68" s="222">
        <f>_xlfn.IFNA(INDEX(Tabla_control[FECHA PRODUCCIÓN],MATCH(tabla_cronograma_extra[[#This Row],[LOTE]],Tabla_control[LOTE],0)),"-")</f>
        <v>46174</v>
      </c>
      <c r="H68" s="223" t="s">
        <v>5348</v>
      </c>
      <c r="I68" s="224">
        <f>(tabla_cronograma_extra[[#This Row],[FECHA PRODUCCIÓN]]-tabla_cronograma_extra[[#This Row],[FECHA]])</f>
        <v>20</v>
      </c>
      <c r="J68" s="214">
        <v>46154</v>
      </c>
      <c r="K68" s="215"/>
      <c r="L68" s="216"/>
      <c r="M68" s="216"/>
      <c r="N68" s="216"/>
      <c r="O68" s="216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</row>
  </sheetData>
  <phoneticPr fontId="2" type="noConversion"/>
  <conditionalFormatting sqref="D3">
    <cfRule type="duplicateValues" dxfId="42" priority="23"/>
  </conditionalFormatting>
  <conditionalFormatting sqref="D4">
    <cfRule type="duplicateValues" dxfId="41" priority="27"/>
  </conditionalFormatting>
  <conditionalFormatting sqref="D5:D8">
    <cfRule type="duplicateValues" dxfId="40" priority="28"/>
  </conditionalFormatting>
  <conditionalFormatting sqref="D9:D12">
    <cfRule type="duplicateValues" dxfId="39" priority="24"/>
  </conditionalFormatting>
  <conditionalFormatting sqref="D13:D15">
    <cfRule type="duplicateValues" dxfId="38" priority="26"/>
  </conditionalFormatting>
  <conditionalFormatting sqref="D16:D18">
    <cfRule type="duplicateValues" dxfId="37" priority="25"/>
  </conditionalFormatting>
  <conditionalFormatting sqref="D19:D24">
    <cfRule type="duplicateValues" dxfId="36" priority="29"/>
  </conditionalFormatting>
  <conditionalFormatting sqref="D25">
    <cfRule type="duplicateValues" dxfId="35" priority="15"/>
  </conditionalFormatting>
  <conditionalFormatting sqref="D26">
    <cfRule type="duplicateValues" dxfId="34" priority="19"/>
  </conditionalFormatting>
  <conditionalFormatting sqref="D27:D30">
    <cfRule type="duplicateValues" dxfId="33" priority="20"/>
  </conditionalFormatting>
  <conditionalFormatting sqref="D31:D34">
    <cfRule type="duplicateValues" dxfId="32" priority="16"/>
  </conditionalFormatting>
  <conditionalFormatting sqref="D35:D37">
    <cfRule type="duplicateValues" dxfId="31" priority="18"/>
  </conditionalFormatting>
  <conditionalFormatting sqref="D38:D40">
    <cfRule type="duplicateValues" dxfId="30" priority="17"/>
  </conditionalFormatting>
  <conditionalFormatting sqref="D41:D46">
    <cfRule type="duplicateValues" dxfId="29" priority="21"/>
  </conditionalFormatting>
  <conditionalFormatting sqref="D47">
    <cfRule type="duplicateValues" dxfId="28" priority="8"/>
  </conditionalFormatting>
  <conditionalFormatting sqref="D48">
    <cfRule type="duplicateValues" dxfId="27" priority="12"/>
  </conditionalFormatting>
  <conditionalFormatting sqref="D49:D52">
    <cfRule type="duplicateValues" dxfId="26" priority="13"/>
  </conditionalFormatting>
  <conditionalFormatting sqref="D53:D56">
    <cfRule type="duplicateValues" dxfId="25" priority="9"/>
  </conditionalFormatting>
  <conditionalFormatting sqref="D57:D59">
    <cfRule type="duplicateValues" dxfId="24" priority="11"/>
  </conditionalFormatting>
  <conditionalFormatting sqref="D60:D62">
    <cfRule type="duplicateValues" dxfId="23" priority="10"/>
  </conditionalFormatting>
  <conditionalFormatting sqref="D63:D68">
    <cfRule type="duplicateValues" dxfId="22" priority="14"/>
  </conditionalFormatting>
  <conditionalFormatting sqref="F3:F68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68">
    <cfRule type="cellIs" dxfId="21" priority="22" operator="lessThan">
      <formula>8</formula>
    </cfRule>
  </conditionalFormatting>
  <pageMargins left="0.25" right="0.25" top="0.75" bottom="0.75" header="0.3" footer="0.3"/>
  <pageSetup scale="68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C715-0FA8-476C-917E-A69517FDE725}">
  <sheetPr codeName="Hoja3"/>
  <dimension ref="A1:S706"/>
  <sheetViews>
    <sheetView workbookViewId="0">
      <selection activeCell="D16" sqref="D16"/>
    </sheetView>
  </sheetViews>
  <sheetFormatPr baseColWidth="10" defaultRowHeight="15" x14ac:dyDescent="0.25"/>
  <cols>
    <col min="1" max="1" width="4.7109375" bestFit="1" customWidth="1"/>
    <col min="2" max="2" width="20.28515625" bestFit="1" customWidth="1"/>
    <col min="3" max="3" width="7.5703125" bestFit="1" customWidth="1"/>
    <col min="4" max="5" width="81.140625" bestFit="1" customWidth="1"/>
    <col min="6" max="6" width="32.7109375" bestFit="1" customWidth="1"/>
    <col min="7" max="7" width="20.140625" bestFit="1" customWidth="1"/>
    <col min="8" max="8" width="38.42578125" bestFit="1" customWidth="1"/>
    <col min="9" max="9" width="28.140625" bestFit="1" customWidth="1"/>
    <col min="10" max="10" width="30.85546875" bestFit="1" customWidth="1"/>
    <col min="11" max="11" width="23.28515625" bestFit="1" customWidth="1"/>
    <col min="12" max="12" width="14.85546875" bestFit="1" customWidth="1"/>
    <col min="13" max="13" width="13.7109375" bestFit="1" customWidth="1"/>
    <col min="14" max="14" width="33.5703125" bestFit="1" customWidth="1"/>
    <col min="15" max="15" width="21.7109375" bestFit="1" customWidth="1"/>
    <col min="16" max="16" width="36.140625" bestFit="1" customWidth="1"/>
    <col min="17" max="17" width="10.28515625" bestFit="1" customWidth="1"/>
    <col min="18" max="18" width="78" bestFit="1" customWidth="1"/>
    <col min="19" max="19" width="14.5703125" bestFit="1" customWidth="1"/>
  </cols>
  <sheetData>
    <row r="1" spans="1:19" x14ac:dyDescent="0.25">
      <c r="A1" s="8" t="s">
        <v>2428</v>
      </c>
      <c r="B1" s="145" t="s">
        <v>226</v>
      </c>
      <c r="C1" s="145" t="s">
        <v>5</v>
      </c>
      <c r="D1" s="145" t="s">
        <v>2</v>
      </c>
      <c r="E1" s="145" t="s">
        <v>3</v>
      </c>
      <c r="F1" s="145" t="s">
        <v>227</v>
      </c>
      <c r="G1" s="145" t="s">
        <v>228</v>
      </c>
      <c r="H1" s="145" t="s">
        <v>229</v>
      </c>
      <c r="I1" s="145" t="s">
        <v>230</v>
      </c>
      <c r="J1" s="145" t="s">
        <v>231</v>
      </c>
      <c r="K1" s="145" t="s">
        <v>232</v>
      </c>
      <c r="L1" s="145" t="s">
        <v>4</v>
      </c>
      <c r="M1" s="145" t="s">
        <v>6</v>
      </c>
      <c r="N1" s="145" t="s">
        <v>233</v>
      </c>
      <c r="O1" s="145" t="s">
        <v>234</v>
      </c>
      <c r="P1" s="145" t="s">
        <v>235</v>
      </c>
      <c r="Q1" s="145" t="s">
        <v>63</v>
      </c>
      <c r="R1" s="145" t="s">
        <v>236</v>
      </c>
      <c r="S1" s="145" t="s">
        <v>24</v>
      </c>
    </row>
    <row r="2" spans="1:19" x14ac:dyDescent="0.25">
      <c r="A2">
        <v>677</v>
      </c>
      <c r="B2" s="144">
        <v>46142</v>
      </c>
      <c r="C2">
        <v>52628</v>
      </c>
      <c r="D2" s="165" t="s">
        <v>5704</v>
      </c>
      <c r="E2" s="165" t="s">
        <v>2229</v>
      </c>
      <c r="F2" s="165" t="s">
        <v>3678</v>
      </c>
      <c r="G2" s="165" t="s">
        <v>600</v>
      </c>
      <c r="H2" s="165" t="s">
        <v>5705</v>
      </c>
      <c r="I2" s="144">
        <v>47092</v>
      </c>
      <c r="J2">
        <v>950</v>
      </c>
      <c r="K2" s="165" t="s">
        <v>2019</v>
      </c>
      <c r="L2" s="165" t="s">
        <v>8</v>
      </c>
      <c r="M2" s="144">
        <v>46874</v>
      </c>
      <c r="N2" s="146">
        <v>12900</v>
      </c>
      <c r="O2">
        <v>0</v>
      </c>
      <c r="P2">
        <v>12900</v>
      </c>
      <c r="Q2" s="165" t="s">
        <v>225</v>
      </c>
      <c r="R2" s="165"/>
    </row>
    <row r="3" spans="1:19" x14ac:dyDescent="0.25">
      <c r="A3">
        <v>676</v>
      </c>
      <c r="B3" s="144">
        <v>46142</v>
      </c>
      <c r="C3">
        <v>52628</v>
      </c>
      <c r="D3" s="165" t="s">
        <v>5704</v>
      </c>
      <c r="E3" s="165" t="s">
        <v>2229</v>
      </c>
      <c r="F3" s="165" t="s">
        <v>3678</v>
      </c>
      <c r="G3" s="165" t="s">
        <v>1216</v>
      </c>
      <c r="H3" s="165" t="s">
        <v>5705</v>
      </c>
      <c r="I3" s="144">
        <v>47092</v>
      </c>
      <c r="J3">
        <v>950</v>
      </c>
      <c r="K3" s="165" t="s">
        <v>240</v>
      </c>
      <c r="L3" s="165" t="s">
        <v>8</v>
      </c>
      <c r="M3" s="144">
        <v>46874</v>
      </c>
      <c r="N3" s="146">
        <v>12900</v>
      </c>
      <c r="O3">
        <v>2500</v>
      </c>
      <c r="P3">
        <v>10400</v>
      </c>
      <c r="Q3" s="165" t="s">
        <v>225</v>
      </c>
      <c r="R3" s="165"/>
      <c r="S3" t="s">
        <v>241</v>
      </c>
    </row>
    <row r="4" spans="1:19" x14ac:dyDescent="0.25">
      <c r="A4">
        <v>675</v>
      </c>
      <c r="B4" s="144">
        <v>46142</v>
      </c>
      <c r="C4">
        <v>52627</v>
      </c>
      <c r="D4" s="165" t="s">
        <v>2380</v>
      </c>
      <c r="E4" s="165" t="s">
        <v>2229</v>
      </c>
      <c r="F4" s="165" t="s">
        <v>5706</v>
      </c>
      <c r="G4" s="165" t="s">
        <v>953</v>
      </c>
      <c r="H4" s="165" t="s">
        <v>2382</v>
      </c>
      <c r="I4" s="144">
        <v>46391</v>
      </c>
      <c r="J4">
        <v>249</v>
      </c>
      <c r="K4" s="165" t="s">
        <v>240</v>
      </c>
      <c r="L4" s="165" t="s">
        <v>8</v>
      </c>
      <c r="M4" s="144">
        <v>46874</v>
      </c>
      <c r="N4" s="146">
        <v>10200</v>
      </c>
      <c r="O4">
        <v>0</v>
      </c>
      <c r="P4">
        <v>10200</v>
      </c>
      <c r="Q4" s="165" t="s">
        <v>225</v>
      </c>
      <c r="R4" s="165"/>
      <c r="S4" t="s">
        <v>241</v>
      </c>
    </row>
    <row r="5" spans="1:19" x14ac:dyDescent="0.25">
      <c r="A5">
        <v>674</v>
      </c>
      <c r="B5" s="144">
        <v>46142</v>
      </c>
      <c r="C5">
        <v>52626</v>
      </c>
      <c r="D5" s="165" t="s">
        <v>2380</v>
      </c>
      <c r="E5" s="165" t="s">
        <v>2229</v>
      </c>
      <c r="F5" s="165" t="s">
        <v>5706</v>
      </c>
      <c r="G5" s="165" t="s">
        <v>953</v>
      </c>
      <c r="H5" s="165" t="s">
        <v>2382</v>
      </c>
      <c r="I5" s="144">
        <v>46391</v>
      </c>
      <c r="J5">
        <v>249</v>
      </c>
      <c r="K5" s="165" t="s">
        <v>240</v>
      </c>
      <c r="L5" s="165" t="s">
        <v>8</v>
      </c>
      <c r="M5" s="144">
        <v>46874</v>
      </c>
      <c r="N5" s="146">
        <v>15300</v>
      </c>
      <c r="O5">
        <v>0</v>
      </c>
      <c r="P5">
        <v>15300</v>
      </c>
      <c r="Q5" s="165" t="s">
        <v>225</v>
      </c>
      <c r="R5" s="165"/>
      <c r="S5" t="s">
        <v>241</v>
      </c>
    </row>
    <row r="6" spans="1:19" x14ac:dyDescent="0.25">
      <c r="A6">
        <v>673</v>
      </c>
      <c r="B6" s="144">
        <v>46142</v>
      </c>
      <c r="C6">
        <v>52625</v>
      </c>
      <c r="D6" s="165" t="s">
        <v>2380</v>
      </c>
      <c r="E6" s="165" t="s">
        <v>2229</v>
      </c>
      <c r="F6" s="165" t="s">
        <v>5706</v>
      </c>
      <c r="G6" s="165" t="s">
        <v>953</v>
      </c>
      <c r="H6" s="165" t="s">
        <v>2382</v>
      </c>
      <c r="I6" s="144">
        <v>46391</v>
      </c>
      <c r="J6">
        <v>249</v>
      </c>
      <c r="K6" s="165" t="s">
        <v>240</v>
      </c>
      <c r="L6" s="165" t="s">
        <v>8</v>
      </c>
      <c r="M6" s="144">
        <v>46874</v>
      </c>
      <c r="N6" s="146">
        <v>15300</v>
      </c>
      <c r="O6">
        <v>0</v>
      </c>
      <c r="P6">
        <v>15300</v>
      </c>
      <c r="Q6" s="165" t="s">
        <v>225</v>
      </c>
      <c r="R6" s="165"/>
      <c r="S6" t="s">
        <v>241</v>
      </c>
    </row>
    <row r="7" spans="1:19" x14ac:dyDescent="0.25">
      <c r="A7">
        <v>672</v>
      </c>
      <c r="B7" s="144">
        <v>46142</v>
      </c>
      <c r="C7">
        <v>52624</v>
      </c>
      <c r="D7" s="165" t="s">
        <v>2380</v>
      </c>
      <c r="E7" s="165" t="s">
        <v>2229</v>
      </c>
      <c r="F7" s="165" t="s">
        <v>5706</v>
      </c>
      <c r="G7" s="165" t="s">
        <v>452</v>
      </c>
      <c r="H7" s="165" t="s">
        <v>2382</v>
      </c>
      <c r="I7" s="144">
        <v>46391</v>
      </c>
      <c r="J7">
        <v>249</v>
      </c>
      <c r="K7" s="165" t="s">
        <v>2019</v>
      </c>
      <c r="L7" s="165" t="s">
        <v>8</v>
      </c>
      <c r="M7" s="144">
        <v>46874</v>
      </c>
      <c r="N7" s="146">
        <v>56100</v>
      </c>
      <c r="O7">
        <v>0</v>
      </c>
      <c r="P7">
        <v>56100</v>
      </c>
      <c r="Q7" s="165" t="s">
        <v>225</v>
      </c>
      <c r="R7" s="165" t="s">
        <v>5707</v>
      </c>
    </row>
    <row r="8" spans="1:19" x14ac:dyDescent="0.25">
      <c r="A8">
        <v>671</v>
      </c>
      <c r="B8" s="144">
        <v>46142</v>
      </c>
      <c r="C8">
        <v>52624</v>
      </c>
      <c r="D8" s="165" t="s">
        <v>2380</v>
      </c>
      <c r="E8" s="165" t="s">
        <v>2229</v>
      </c>
      <c r="F8" s="165" t="s">
        <v>5706</v>
      </c>
      <c r="G8" s="165" t="s">
        <v>953</v>
      </c>
      <c r="H8" s="165" t="s">
        <v>2382</v>
      </c>
      <c r="I8" s="144">
        <v>46391</v>
      </c>
      <c r="J8">
        <v>249</v>
      </c>
      <c r="K8" s="165" t="s">
        <v>240</v>
      </c>
      <c r="L8" s="165" t="s">
        <v>8</v>
      </c>
      <c r="M8" s="144">
        <v>46874</v>
      </c>
      <c r="N8" s="146">
        <v>15300</v>
      </c>
      <c r="O8">
        <v>3000</v>
      </c>
      <c r="P8">
        <v>12300</v>
      </c>
      <c r="Q8" s="165" t="s">
        <v>225</v>
      </c>
      <c r="R8" s="165"/>
      <c r="S8" t="s">
        <v>241</v>
      </c>
    </row>
    <row r="9" spans="1:19" x14ac:dyDescent="0.25">
      <c r="A9">
        <v>670</v>
      </c>
      <c r="B9" s="144">
        <v>46142</v>
      </c>
      <c r="C9">
        <v>52621</v>
      </c>
      <c r="D9" s="165" t="s">
        <v>289</v>
      </c>
      <c r="E9" s="165" t="s">
        <v>9</v>
      </c>
      <c r="F9" s="165" t="s">
        <v>5708</v>
      </c>
      <c r="G9" s="165" t="s">
        <v>494</v>
      </c>
      <c r="H9" s="165" t="s">
        <v>291</v>
      </c>
      <c r="I9" s="144">
        <v>47302</v>
      </c>
      <c r="J9">
        <v>1160</v>
      </c>
      <c r="K9" s="165" t="s">
        <v>2019</v>
      </c>
      <c r="L9" s="165" t="s">
        <v>8</v>
      </c>
      <c r="M9" s="144">
        <v>46874</v>
      </c>
      <c r="N9" s="146">
        <v>11000</v>
      </c>
      <c r="O9">
        <v>0</v>
      </c>
      <c r="P9">
        <v>11000</v>
      </c>
      <c r="Q9" s="165" t="s">
        <v>225</v>
      </c>
      <c r="R9" s="165" t="s">
        <v>2057</v>
      </c>
    </row>
    <row r="10" spans="1:19" x14ac:dyDescent="0.25">
      <c r="A10">
        <v>669</v>
      </c>
      <c r="B10" s="144">
        <v>46142</v>
      </c>
      <c r="C10">
        <v>52610</v>
      </c>
      <c r="D10" s="165" t="s">
        <v>2264</v>
      </c>
      <c r="E10" s="165" t="s">
        <v>243</v>
      </c>
      <c r="F10" s="165" t="s">
        <v>244</v>
      </c>
      <c r="G10" s="165" t="s">
        <v>2785</v>
      </c>
      <c r="H10" s="165" t="s">
        <v>2266</v>
      </c>
      <c r="I10" s="144">
        <v>46370</v>
      </c>
      <c r="J10">
        <v>228</v>
      </c>
      <c r="K10" s="165" t="s">
        <v>2019</v>
      </c>
      <c r="L10" s="165" t="s">
        <v>8</v>
      </c>
      <c r="M10" s="144">
        <v>46874</v>
      </c>
      <c r="N10" s="146">
        <v>13000</v>
      </c>
      <c r="O10">
        <v>0</v>
      </c>
      <c r="P10">
        <v>13000</v>
      </c>
      <c r="Q10" s="165" t="s">
        <v>225</v>
      </c>
      <c r="R10" s="165"/>
    </row>
    <row r="11" spans="1:19" x14ac:dyDescent="0.25">
      <c r="A11">
        <v>668</v>
      </c>
      <c r="B11" s="144">
        <v>46142</v>
      </c>
      <c r="C11">
        <v>52610</v>
      </c>
      <c r="D11" s="165" t="s">
        <v>2264</v>
      </c>
      <c r="E11" s="165" t="s">
        <v>243</v>
      </c>
      <c r="F11" s="165" t="s">
        <v>244</v>
      </c>
      <c r="G11" s="165" t="s">
        <v>767</v>
      </c>
      <c r="H11" s="165" t="s">
        <v>2266</v>
      </c>
      <c r="I11" s="144">
        <v>46370</v>
      </c>
      <c r="J11">
        <v>228</v>
      </c>
      <c r="K11" s="165" t="s">
        <v>240</v>
      </c>
      <c r="L11" s="165" t="s">
        <v>8</v>
      </c>
      <c r="M11" s="144">
        <v>46874</v>
      </c>
      <c r="N11" s="146">
        <v>13000</v>
      </c>
      <c r="O11">
        <v>900</v>
      </c>
      <c r="P11">
        <v>12100</v>
      </c>
      <c r="Q11" s="165" t="s">
        <v>225</v>
      </c>
      <c r="R11" s="165"/>
      <c r="S11" t="s">
        <v>251</v>
      </c>
    </row>
    <row r="12" spans="1:19" x14ac:dyDescent="0.25">
      <c r="A12">
        <v>667</v>
      </c>
      <c r="B12" s="144">
        <v>46142</v>
      </c>
      <c r="C12">
        <v>52613</v>
      </c>
      <c r="D12" s="165" t="s">
        <v>5709</v>
      </c>
      <c r="E12" s="165" t="s">
        <v>9</v>
      </c>
      <c r="F12" s="165" t="s">
        <v>5710</v>
      </c>
      <c r="G12" s="165" t="s">
        <v>1620</v>
      </c>
      <c r="H12" s="165" t="s">
        <v>5711</v>
      </c>
      <c r="I12" s="144">
        <v>47176</v>
      </c>
      <c r="J12">
        <v>1034</v>
      </c>
      <c r="K12" s="165" t="s">
        <v>262</v>
      </c>
      <c r="L12" s="165" t="s">
        <v>102</v>
      </c>
      <c r="M12" s="144">
        <v>46874</v>
      </c>
      <c r="N12" s="146">
        <v>25000</v>
      </c>
      <c r="O12">
        <v>800</v>
      </c>
      <c r="P12">
        <v>24200</v>
      </c>
      <c r="Q12" s="165" t="s">
        <v>225</v>
      </c>
      <c r="R12" s="165"/>
      <c r="S12" t="s">
        <v>2030</v>
      </c>
    </row>
    <row r="13" spans="1:19" x14ac:dyDescent="0.25">
      <c r="A13">
        <v>666</v>
      </c>
      <c r="B13" s="144">
        <v>46142</v>
      </c>
      <c r="C13">
        <v>52616</v>
      </c>
      <c r="D13" s="165" t="s">
        <v>5712</v>
      </c>
      <c r="E13" s="165" t="s">
        <v>9</v>
      </c>
      <c r="F13" s="165" t="s">
        <v>5713</v>
      </c>
      <c r="G13" s="165" t="s">
        <v>1620</v>
      </c>
      <c r="H13" s="165" t="s">
        <v>5714</v>
      </c>
      <c r="I13" s="144">
        <v>46595</v>
      </c>
      <c r="J13">
        <v>453</v>
      </c>
      <c r="K13" s="165" t="s">
        <v>240</v>
      </c>
      <c r="L13" s="165" t="s">
        <v>8</v>
      </c>
      <c r="M13" s="144">
        <v>46874</v>
      </c>
      <c r="N13" s="146">
        <v>15000</v>
      </c>
      <c r="O13">
        <v>1200</v>
      </c>
      <c r="P13">
        <v>13800</v>
      </c>
      <c r="Q13" s="165" t="s">
        <v>225</v>
      </c>
      <c r="R13" s="165"/>
      <c r="S13" t="s">
        <v>2030</v>
      </c>
    </row>
    <row r="14" spans="1:19" x14ac:dyDescent="0.25">
      <c r="A14">
        <v>665</v>
      </c>
      <c r="B14" s="144">
        <v>46142</v>
      </c>
      <c r="C14">
        <v>52617</v>
      </c>
      <c r="D14" s="165" t="s">
        <v>5715</v>
      </c>
      <c r="E14" s="165" t="s">
        <v>9</v>
      </c>
      <c r="F14" s="165" t="s">
        <v>5713</v>
      </c>
      <c r="G14" s="165" t="s">
        <v>460</v>
      </c>
      <c r="H14" s="165" t="s">
        <v>5716</v>
      </c>
      <c r="I14" s="144">
        <v>46548</v>
      </c>
      <c r="J14">
        <v>406</v>
      </c>
      <c r="K14" s="165" t="s">
        <v>2019</v>
      </c>
      <c r="L14" s="165" t="s">
        <v>8</v>
      </c>
      <c r="M14" s="144">
        <v>46874</v>
      </c>
      <c r="N14" s="146">
        <v>25000</v>
      </c>
      <c r="O14">
        <v>0</v>
      </c>
      <c r="P14">
        <v>25000</v>
      </c>
      <c r="Q14" s="165" t="s">
        <v>225</v>
      </c>
      <c r="R14" s="165" t="s">
        <v>5717</v>
      </c>
    </row>
    <row r="15" spans="1:19" x14ac:dyDescent="0.25">
      <c r="A15">
        <v>664</v>
      </c>
      <c r="B15" s="144">
        <v>46142</v>
      </c>
      <c r="C15">
        <v>52617</v>
      </c>
      <c r="D15" s="165" t="s">
        <v>5715</v>
      </c>
      <c r="E15" s="165" t="s">
        <v>9</v>
      </c>
      <c r="F15" s="165" t="s">
        <v>5713</v>
      </c>
      <c r="G15" s="165" t="s">
        <v>1757</v>
      </c>
      <c r="H15" s="165" t="s">
        <v>5716</v>
      </c>
      <c r="I15" s="144">
        <v>46548</v>
      </c>
      <c r="J15">
        <v>406</v>
      </c>
      <c r="K15" s="165" t="s">
        <v>240</v>
      </c>
      <c r="L15" s="165" t="s">
        <v>8</v>
      </c>
      <c r="M15" s="144">
        <v>46874</v>
      </c>
      <c r="N15" s="146">
        <v>10000</v>
      </c>
      <c r="O15">
        <v>9000</v>
      </c>
      <c r="P15">
        <v>1000</v>
      </c>
      <c r="Q15" s="165" t="s">
        <v>225</v>
      </c>
      <c r="R15" s="165"/>
      <c r="S15" t="s">
        <v>2030</v>
      </c>
    </row>
    <row r="16" spans="1:19" x14ac:dyDescent="0.25">
      <c r="A16">
        <v>663</v>
      </c>
      <c r="B16" s="144">
        <v>46142</v>
      </c>
      <c r="C16">
        <v>52620</v>
      </c>
      <c r="D16" s="165" t="s">
        <v>289</v>
      </c>
      <c r="E16" s="165" t="s">
        <v>9</v>
      </c>
      <c r="F16" s="165" t="s">
        <v>2419</v>
      </c>
      <c r="G16" s="165" t="s">
        <v>1397</v>
      </c>
      <c r="H16" s="165" t="s">
        <v>291</v>
      </c>
      <c r="I16" s="144">
        <v>47302</v>
      </c>
      <c r="J16">
        <v>1160</v>
      </c>
      <c r="K16" s="165" t="s">
        <v>262</v>
      </c>
      <c r="L16" s="165" t="s">
        <v>102</v>
      </c>
      <c r="M16" s="144">
        <v>46874</v>
      </c>
      <c r="N16" s="146">
        <v>35000</v>
      </c>
      <c r="O16">
        <v>2100</v>
      </c>
      <c r="P16">
        <v>32900</v>
      </c>
      <c r="Q16" s="165" t="s">
        <v>225</v>
      </c>
      <c r="R16" s="165"/>
      <c r="S16" t="s">
        <v>263</v>
      </c>
    </row>
    <row r="17" spans="1:19" x14ac:dyDescent="0.25">
      <c r="A17">
        <v>662</v>
      </c>
      <c r="B17" s="144">
        <v>46142</v>
      </c>
      <c r="C17">
        <v>52609</v>
      </c>
      <c r="D17" s="165" t="s">
        <v>5718</v>
      </c>
      <c r="E17" s="165" t="s">
        <v>243</v>
      </c>
      <c r="F17" s="165" t="s">
        <v>244</v>
      </c>
      <c r="G17" s="165" t="s">
        <v>656</v>
      </c>
      <c r="H17" s="165" t="s">
        <v>5719</v>
      </c>
      <c r="I17" s="144">
        <v>45980</v>
      </c>
      <c r="J17">
        <v>-162</v>
      </c>
      <c r="K17" s="165" t="s">
        <v>2019</v>
      </c>
      <c r="L17" s="165" t="s">
        <v>8</v>
      </c>
      <c r="M17" s="144">
        <v>46874</v>
      </c>
      <c r="N17" s="146">
        <v>10000</v>
      </c>
      <c r="O17">
        <v>0</v>
      </c>
      <c r="P17">
        <v>10000</v>
      </c>
      <c r="Q17" s="165" t="s">
        <v>225</v>
      </c>
      <c r="R17" s="165"/>
    </row>
    <row r="18" spans="1:19" x14ac:dyDescent="0.25">
      <c r="A18">
        <v>661</v>
      </c>
      <c r="B18" s="144">
        <v>46142</v>
      </c>
      <c r="C18">
        <v>52609</v>
      </c>
      <c r="D18" s="165" t="s">
        <v>5718</v>
      </c>
      <c r="E18" s="165" t="s">
        <v>243</v>
      </c>
      <c r="F18" s="165" t="s">
        <v>244</v>
      </c>
      <c r="G18" s="165" t="s">
        <v>1304</v>
      </c>
      <c r="H18" s="165" t="s">
        <v>5719</v>
      </c>
      <c r="I18" s="144">
        <v>45980</v>
      </c>
      <c r="J18">
        <v>-162</v>
      </c>
      <c r="K18" s="165" t="s">
        <v>240</v>
      </c>
      <c r="L18" s="165" t="s">
        <v>8</v>
      </c>
      <c r="M18" s="144">
        <v>46874</v>
      </c>
      <c r="N18" s="146">
        <v>10000</v>
      </c>
      <c r="O18">
        <v>500</v>
      </c>
      <c r="P18">
        <v>9500</v>
      </c>
      <c r="Q18" s="165" t="s">
        <v>225</v>
      </c>
      <c r="R18" s="165"/>
      <c r="S18" t="s">
        <v>251</v>
      </c>
    </row>
    <row r="19" spans="1:19" x14ac:dyDescent="0.25">
      <c r="A19">
        <v>660</v>
      </c>
      <c r="B19" s="144">
        <v>46134</v>
      </c>
      <c r="C19">
        <v>52606</v>
      </c>
      <c r="D19" s="165" t="s">
        <v>5695</v>
      </c>
      <c r="E19" s="165" t="s">
        <v>201</v>
      </c>
      <c r="F19" s="165" t="s">
        <v>299</v>
      </c>
      <c r="G19" s="165" t="s">
        <v>1779</v>
      </c>
      <c r="H19" s="165" t="s">
        <v>5696</v>
      </c>
      <c r="I19" s="144">
        <v>47363</v>
      </c>
      <c r="J19">
        <v>1229</v>
      </c>
      <c r="K19" s="165" t="s">
        <v>240</v>
      </c>
      <c r="L19" s="165" t="s">
        <v>8</v>
      </c>
      <c r="M19" s="144">
        <v>47239</v>
      </c>
      <c r="N19" s="146">
        <v>24000</v>
      </c>
      <c r="O19">
        <v>0</v>
      </c>
      <c r="P19">
        <v>24000</v>
      </c>
      <c r="Q19" s="165" t="s">
        <v>225</v>
      </c>
      <c r="R19" s="165"/>
      <c r="S19" t="s">
        <v>241</v>
      </c>
    </row>
    <row r="20" spans="1:19" x14ac:dyDescent="0.25">
      <c r="A20">
        <v>659</v>
      </c>
      <c r="B20" s="144">
        <v>46134</v>
      </c>
      <c r="C20">
        <v>52605</v>
      </c>
      <c r="D20" s="165" t="s">
        <v>5695</v>
      </c>
      <c r="E20" s="165" t="s">
        <v>201</v>
      </c>
      <c r="F20" s="165" t="s">
        <v>299</v>
      </c>
      <c r="G20" s="165" t="s">
        <v>1779</v>
      </c>
      <c r="H20" s="165" t="s">
        <v>5696</v>
      </c>
      <c r="I20" s="144">
        <v>47363</v>
      </c>
      <c r="J20">
        <v>1229</v>
      </c>
      <c r="K20" s="165" t="s">
        <v>240</v>
      </c>
      <c r="L20" s="165" t="s">
        <v>8</v>
      </c>
      <c r="M20" s="144">
        <v>47239</v>
      </c>
      <c r="N20" s="146">
        <v>24000</v>
      </c>
      <c r="O20">
        <v>0</v>
      </c>
      <c r="P20">
        <v>24000</v>
      </c>
      <c r="Q20" s="165" t="s">
        <v>225</v>
      </c>
      <c r="R20" s="165"/>
      <c r="S20" t="s">
        <v>241</v>
      </c>
    </row>
    <row r="21" spans="1:19" x14ac:dyDescent="0.25">
      <c r="A21">
        <v>658</v>
      </c>
      <c r="B21" s="144">
        <v>46134</v>
      </c>
      <c r="C21">
        <v>52604</v>
      </c>
      <c r="D21" s="165" t="s">
        <v>5695</v>
      </c>
      <c r="E21" s="165" t="s">
        <v>201</v>
      </c>
      <c r="F21" s="165" t="s">
        <v>299</v>
      </c>
      <c r="G21" s="165" t="s">
        <v>1779</v>
      </c>
      <c r="H21" s="165" t="s">
        <v>5696</v>
      </c>
      <c r="I21" s="144">
        <v>47363</v>
      </c>
      <c r="J21">
        <v>1229</v>
      </c>
      <c r="K21" s="165" t="s">
        <v>240</v>
      </c>
      <c r="L21" s="165" t="s">
        <v>8</v>
      </c>
      <c r="M21" s="144">
        <v>47239</v>
      </c>
      <c r="N21" s="146">
        <v>24000</v>
      </c>
      <c r="O21">
        <v>0</v>
      </c>
      <c r="P21">
        <v>24000</v>
      </c>
      <c r="Q21" s="165" t="s">
        <v>225</v>
      </c>
      <c r="R21" s="165"/>
      <c r="S21" t="s">
        <v>241</v>
      </c>
    </row>
    <row r="22" spans="1:19" x14ac:dyDescent="0.25">
      <c r="A22">
        <v>657</v>
      </c>
      <c r="B22" s="144">
        <v>46134</v>
      </c>
      <c r="C22">
        <v>52603</v>
      </c>
      <c r="D22" s="165" t="s">
        <v>5695</v>
      </c>
      <c r="E22" s="165" t="s">
        <v>201</v>
      </c>
      <c r="F22" s="165" t="s">
        <v>299</v>
      </c>
      <c r="G22" s="165" t="s">
        <v>1779</v>
      </c>
      <c r="H22" s="165" t="s">
        <v>5696</v>
      </c>
      <c r="I22" s="144">
        <v>47363</v>
      </c>
      <c r="J22">
        <v>1229</v>
      </c>
      <c r="K22" s="165" t="s">
        <v>240</v>
      </c>
      <c r="L22" s="165" t="s">
        <v>8</v>
      </c>
      <c r="M22" s="144">
        <v>47239</v>
      </c>
      <c r="N22" s="146">
        <v>24000</v>
      </c>
      <c r="O22">
        <v>0</v>
      </c>
      <c r="P22">
        <v>24000</v>
      </c>
      <c r="Q22" s="165" t="s">
        <v>225</v>
      </c>
      <c r="R22" s="165"/>
      <c r="S22" t="s">
        <v>241</v>
      </c>
    </row>
    <row r="23" spans="1:19" x14ac:dyDescent="0.25">
      <c r="A23">
        <v>656</v>
      </c>
      <c r="B23" s="144">
        <v>46134</v>
      </c>
      <c r="C23">
        <v>52602</v>
      </c>
      <c r="D23" s="165" t="s">
        <v>5695</v>
      </c>
      <c r="E23" s="165" t="s">
        <v>201</v>
      </c>
      <c r="F23" s="165" t="s">
        <v>299</v>
      </c>
      <c r="G23" s="165" t="s">
        <v>1779</v>
      </c>
      <c r="H23" s="165" t="s">
        <v>5696</v>
      </c>
      <c r="I23" s="144">
        <v>47363</v>
      </c>
      <c r="J23">
        <v>1229</v>
      </c>
      <c r="K23" s="165" t="s">
        <v>240</v>
      </c>
      <c r="L23" s="165" t="s">
        <v>8</v>
      </c>
      <c r="M23" s="144">
        <v>47239</v>
      </c>
      <c r="N23" s="146">
        <v>24000</v>
      </c>
      <c r="O23">
        <v>0</v>
      </c>
      <c r="P23">
        <v>24000</v>
      </c>
      <c r="Q23" s="165" t="s">
        <v>225</v>
      </c>
      <c r="R23" s="165"/>
      <c r="S23" t="s">
        <v>241</v>
      </c>
    </row>
    <row r="24" spans="1:19" x14ac:dyDescent="0.25">
      <c r="A24">
        <v>655</v>
      </c>
      <c r="B24" s="144">
        <v>46134</v>
      </c>
      <c r="C24">
        <v>52601</v>
      </c>
      <c r="D24" s="165" t="s">
        <v>5695</v>
      </c>
      <c r="E24" s="165" t="s">
        <v>201</v>
      </c>
      <c r="F24" s="165" t="s">
        <v>299</v>
      </c>
      <c r="G24" s="165" t="s">
        <v>1779</v>
      </c>
      <c r="H24" s="165" t="s">
        <v>5696</v>
      </c>
      <c r="I24" s="144">
        <v>47363</v>
      </c>
      <c r="J24">
        <v>1229</v>
      </c>
      <c r="K24" s="165" t="s">
        <v>240</v>
      </c>
      <c r="L24" s="165" t="s">
        <v>8</v>
      </c>
      <c r="M24" s="144">
        <v>47239</v>
      </c>
      <c r="N24" s="146">
        <v>24000</v>
      </c>
      <c r="O24">
        <v>1400</v>
      </c>
      <c r="P24">
        <v>22600</v>
      </c>
      <c r="Q24" s="165" t="s">
        <v>225</v>
      </c>
      <c r="R24" s="165"/>
      <c r="S24" t="s">
        <v>241</v>
      </c>
    </row>
    <row r="25" spans="1:19" x14ac:dyDescent="0.25">
      <c r="A25">
        <v>654</v>
      </c>
      <c r="B25" s="144">
        <v>46132</v>
      </c>
      <c r="D25" s="165" t="s">
        <v>5697</v>
      </c>
      <c r="E25" s="165"/>
      <c r="F25" s="165" t="s">
        <v>3673</v>
      </c>
      <c r="G25" s="165" t="s">
        <v>25</v>
      </c>
      <c r="H25" s="165"/>
      <c r="I25" s="144"/>
      <c r="K25" s="165" t="s">
        <v>3674</v>
      </c>
      <c r="L25" s="165"/>
      <c r="M25" s="144"/>
      <c r="N25" s="146">
        <v>3000</v>
      </c>
      <c r="O25">
        <v>0</v>
      </c>
      <c r="P25">
        <v>3000</v>
      </c>
      <c r="Q25" s="165" t="s">
        <v>225</v>
      </c>
      <c r="R25" s="165"/>
    </row>
    <row r="26" spans="1:19" x14ac:dyDescent="0.25">
      <c r="A26">
        <v>654</v>
      </c>
      <c r="B26" s="144">
        <v>46134</v>
      </c>
      <c r="C26">
        <v>52601</v>
      </c>
      <c r="D26" s="165" t="s">
        <v>5695</v>
      </c>
      <c r="E26" s="165" t="s">
        <v>201</v>
      </c>
      <c r="F26" s="165" t="s">
        <v>299</v>
      </c>
      <c r="G26" s="165" t="s">
        <v>1855</v>
      </c>
      <c r="H26" s="165" t="s">
        <v>5696</v>
      </c>
      <c r="I26" s="144">
        <v>47363</v>
      </c>
      <c r="J26">
        <v>1229</v>
      </c>
      <c r="K26" s="165" t="s">
        <v>2019</v>
      </c>
      <c r="L26" s="165" t="s">
        <v>8</v>
      </c>
      <c r="M26" s="144">
        <v>47239</v>
      </c>
      <c r="N26" s="146">
        <v>144000</v>
      </c>
      <c r="O26">
        <v>0</v>
      </c>
      <c r="P26">
        <v>144000</v>
      </c>
      <c r="Q26" s="165" t="s">
        <v>225</v>
      </c>
      <c r="R26" s="165" t="s">
        <v>5698</v>
      </c>
    </row>
    <row r="27" spans="1:19" x14ac:dyDescent="0.25">
      <c r="A27">
        <v>653</v>
      </c>
      <c r="B27" s="144">
        <v>46129</v>
      </c>
      <c r="C27">
        <v>42612</v>
      </c>
      <c r="D27" s="165" t="s">
        <v>3741</v>
      </c>
      <c r="E27" s="165" t="s">
        <v>2148</v>
      </c>
      <c r="F27" s="165" t="s">
        <v>3742</v>
      </c>
      <c r="G27" s="165" t="s">
        <v>1943</v>
      </c>
      <c r="H27" s="165" t="s">
        <v>3743</v>
      </c>
      <c r="I27" s="144">
        <v>47420</v>
      </c>
      <c r="J27">
        <v>1291</v>
      </c>
      <c r="K27" s="165" t="s">
        <v>2019</v>
      </c>
      <c r="L27" s="165" t="s">
        <v>8</v>
      </c>
      <c r="M27" s="144">
        <v>46844</v>
      </c>
      <c r="N27" s="146">
        <v>1700</v>
      </c>
      <c r="O27">
        <v>0</v>
      </c>
      <c r="P27">
        <v>1700</v>
      </c>
      <c r="Q27" s="165" t="s">
        <v>225</v>
      </c>
      <c r="R27" s="165"/>
    </row>
    <row r="28" spans="1:19" x14ac:dyDescent="0.25">
      <c r="A28">
        <v>652</v>
      </c>
      <c r="B28" s="144">
        <v>46125</v>
      </c>
      <c r="C28">
        <v>426107</v>
      </c>
      <c r="D28" s="165" t="s">
        <v>3721</v>
      </c>
      <c r="E28" s="165" t="s">
        <v>2148</v>
      </c>
      <c r="F28" s="165" t="s">
        <v>3722</v>
      </c>
      <c r="G28" s="165" t="s">
        <v>1945</v>
      </c>
      <c r="H28" s="165" t="s">
        <v>3723</v>
      </c>
      <c r="I28" s="144">
        <v>47441</v>
      </c>
      <c r="J28">
        <v>1316</v>
      </c>
      <c r="K28" s="165" t="s">
        <v>2019</v>
      </c>
      <c r="L28" s="165" t="s">
        <v>8</v>
      </c>
      <c r="M28" s="144">
        <v>46844</v>
      </c>
      <c r="N28" s="146">
        <v>2700</v>
      </c>
      <c r="O28">
        <v>0</v>
      </c>
      <c r="P28">
        <v>2700</v>
      </c>
      <c r="Q28" s="165" t="s">
        <v>225</v>
      </c>
      <c r="R28" s="165"/>
    </row>
    <row r="29" spans="1:19" x14ac:dyDescent="0.25">
      <c r="A29">
        <v>651</v>
      </c>
      <c r="B29" s="144">
        <v>46125</v>
      </c>
      <c r="C29">
        <v>42620</v>
      </c>
      <c r="D29" s="165" t="s">
        <v>3582</v>
      </c>
      <c r="E29" s="165" t="s">
        <v>12</v>
      </c>
      <c r="F29" s="165" t="s">
        <v>2293</v>
      </c>
      <c r="G29" s="165" t="s">
        <v>711</v>
      </c>
      <c r="H29" s="165" t="s">
        <v>3584</v>
      </c>
      <c r="I29" s="144">
        <v>47567</v>
      </c>
      <c r="J29">
        <v>1442</v>
      </c>
      <c r="K29" s="165" t="s">
        <v>2019</v>
      </c>
      <c r="L29" s="165" t="s">
        <v>10</v>
      </c>
      <c r="M29" s="144">
        <v>46844</v>
      </c>
      <c r="N29" s="146">
        <v>20000</v>
      </c>
      <c r="O29">
        <v>0</v>
      </c>
      <c r="P29">
        <v>20000</v>
      </c>
      <c r="Q29" s="165" t="s">
        <v>225</v>
      </c>
      <c r="R29" s="165"/>
    </row>
    <row r="30" spans="1:19" x14ac:dyDescent="0.25">
      <c r="A30">
        <v>650</v>
      </c>
      <c r="B30" s="144">
        <v>46125</v>
      </c>
      <c r="C30">
        <v>42620</v>
      </c>
      <c r="D30" s="165" t="s">
        <v>3582</v>
      </c>
      <c r="E30" s="165" t="s">
        <v>12</v>
      </c>
      <c r="F30" s="165" t="s">
        <v>2293</v>
      </c>
      <c r="G30" s="165" t="s">
        <v>1429</v>
      </c>
      <c r="H30" s="165" t="s">
        <v>3584</v>
      </c>
      <c r="I30" s="144">
        <v>47567</v>
      </c>
      <c r="J30">
        <v>1442</v>
      </c>
      <c r="K30" s="165" t="s">
        <v>240</v>
      </c>
      <c r="L30" s="165" t="s">
        <v>10</v>
      </c>
      <c r="M30" s="144">
        <v>46844</v>
      </c>
      <c r="N30" s="146">
        <v>20000</v>
      </c>
      <c r="O30">
        <v>0</v>
      </c>
      <c r="P30">
        <v>20000</v>
      </c>
      <c r="Q30" s="165" t="s">
        <v>225</v>
      </c>
      <c r="R30" s="165"/>
      <c r="S30" t="s">
        <v>263</v>
      </c>
    </row>
    <row r="31" spans="1:19" x14ac:dyDescent="0.25">
      <c r="A31">
        <v>649</v>
      </c>
      <c r="B31" s="144">
        <v>46125</v>
      </c>
      <c r="C31">
        <v>42612</v>
      </c>
      <c r="D31" s="165" t="s">
        <v>3741</v>
      </c>
      <c r="E31" s="165" t="s">
        <v>2148</v>
      </c>
      <c r="F31" s="165" t="s">
        <v>3742</v>
      </c>
      <c r="G31" s="165" t="s">
        <v>1941</v>
      </c>
      <c r="H31" s="165" t="s">
        <v>3743</v>
      </c>
      <c r="I31" s="144">
        <v>47420</v>
      </c>
      <c r="J31">
        <v>1295</v>
      </c>
      <c r="K31" s="165" t="s">
        <v>240</v>
      </c>
      <c r="L31" s="165" t="s">
        <v>8</v>
      </c>
      <c r="M31" s="144">
        <v>46844</v>
      </c>
      <c r="N31" s="146">
        <v>1700</v>
      </c>
      <c r="O31">
        <v>1300</v>
      </c>
      <c r="P31">
        <v>400</v>
      </c>
      <c r="Q31" s="165" t="s">
        <v>225</v>
      </c>
      <c r="R31" s="165"/>
      <c r="S31" t="s">
        <v>2030</v>
      </c>
    </row>
    <row r="32" spans="1:19" x14ac:dyDescent="0.25">
      <c r="A32">
        <v>648</v>
      </c>
      <c r="B32" s="144">
        <v>46125</v>
      </c>
      <c r="C32">
        <v>42634</v>
      </c>
      <c r="D32" s="165" t="s">
        <v>3744</v>
      </c>
      <c r="E32" s="165" t="s">
        <v>12</v>
      </c>
      <c r="F32" s="165" t="s">
        <v>293</v>
      </c>
      <c r="G32" s="165" t="s">
        <v>665</v>
      </c>
      <c r="H32" s="165" t="s">
        <v>3745</v>
      </c>
      <c r="I32" s="144">
        <v>47769</v>
      </c>
      <c r="J32">
        <v>1644</v>
      </c>
      <c r="K32" s="165" t="s">
        <v>2019</v>
      </c>
      <c r="L32" s="165" t="s">
        <v>8</v>
      </c>
      <c r="M32" s="144">
        <v>46844</v>
      </c>
      <c r="N32" s="146">
        <v>700</v>
      </c>
      <c r="O32">
        <v>0</v>
      </c>
      <c r="P32">
        <v>700</v>
      </c>
      <c r="Q32" s="165" t="s">
        <v>225</v>
      </c>
      <c r="R32" s="165"/>
    </row>
    <row r="33" spans="1:19" x14ac:dyDescent="0.25">
      <c r="A33">
        <v>647</v>
      </c>
      <c r="B33" s="144">
        <v>46122</v>
      </c>
      <c r="C33">
        <v>18426</v>
      </c>
      <c r="D33" s="165" t="s">
        <v>3746</v>
      </c>
      <c r="E33" s="165" t="s">
        <v>2288</v>
      </c>
      <c r="F33" s="165" t="s">
        <v>2289</v>
      </c>
      <c r="G33" s="165" t="s">
        <v>401</v>
      </c>
      <c r="H33" s="165" t="s">
        <v>3747</v>
      </c>
      <c r="I33" s="144">
        <v>47013</v>
      </c>
      <c r="J33">
        <v>891</v>
      </c>
      <c r="K33" s="165" t="s">
        <v>2019</v>
      </c>
      <c r="L33" s="165" t="s">
        <v>8</v>
      </c>
      <c r="M33" s="144">
        <v>47574</v>
      </c>
      <c r="N33" s="146">
        <v>5000</v>
      </c>
      <c r="O33">
        <v>0</v>
      </c>
      <c r="P33">
        <v>5000</v>
      </c>
      <c r="Q33" s="165" t="s">
        <v>225</v>
      </c>
      <c r="R33" s="165"/>
    </row>
    <row r="34" spans="1:19" x14ac:dyDescent="0.25">
      <c r="A34">
        <v>646</v>
      </c>
      <c r="B34" s="144">
        <v>46122</v>
      </c>
      <c r="C34">
        <v>18426</v>
      </c>
      <c r="D34" s="165" t="s">
        <v>3746</v>
      </c>
      <c r="E34" s="165" t="s">
        <v>2288</v>
      </c>
      <c r="F34" s="165" t="s">
        <v>2289</v>
      </c>
      <c r="G34" s="165" t="s">
        <v>857</v>
      </c>
      <c r="H34" s="165" t="s">
        <v>3747</v>
      </c>
      <c r="I34" s="144">
        <v>47013</v>
      </c>
      <c r="J34">
        <v>891</v>
      </c>
      <c r="K34" s="165" t="s">
        <v>240</v>
      </c>
      <c r="L34" s="165" t="s">
        <v>8</v>
      </c>
      <c r="M34" s="144">
        <v>47574</v>
      </c>
      <c r="N34" s="146">
        <v>5000</v>
      </c>
      <c r="O34">
        <v>1500</v>
      </c>
      <c r="P34">
        <v>3500</v>
      </c>
      <c r="Q34" s="165" t="s">
        <v>225</v>
      </c>
      <c r="R34" s="165"/>
      <c r="S34" t="s">
        <v>176</v>
      </c>
    </row>
    <row r="35" spans="1:19" x14ac:dyDescent="0.25">
      <c r="A35">
        <v>645</v>
      </c>
      <c r="B35" s="144">
        <v>46122</v>
      </c>
      <c r="D35" s="165" t="s">
        <v>2041</v>
      </c>
      <c r="E35" s="165" t="s">
        <v>212</v>
      </c>
      <c r="F35" s="165" t="s">
        <v>2038</v>
      </c>
      <c r="G35" s="165" t="s">
        <v>407</v>
      </c>
      <c r="H35" s="165" t="s">
        <v>2042</v>
      </c>
      <c r="I35" s="144">
        <v>47024</v>
      </c>
      <c r="J35">
        <v>902</v>
      </c>
      <c r="K35" s="165" t="s">
        <v>2019</v>
      </c>
      <c r="L35" s="165" t="s">
        <v>8</v>
      </c>
      <c r="M35" s="144">
        <v>47574</v>
      </c>
      <c r="N35" s="146">
        <v>6800</v>
      </c>
      <c r="O35">
        <v>0</v>
      </c>
      <c r="P35">
        <v>6800</v>
      </c>
      <c r="Q35" s="165" t="s">
        <v>225</v>
      </c>
      <c r="R35" s="165" t="s">
        <v>3748</v>
      </c>
    </row>
    <row r="36" spans="1:19" x14ac:dyDescent="0.25">
      <c r="A36">
        <v>644</v>
      </c>
      <c r="B36" s="144">
        <v>46122</v>
      </c>
      <c r="D36" s="165" t="s">
        <v>2041</v>
      </c>
      <c r="E36" s="165" t="s">
        <v>212</v>
      </c>
      <c r="F36" s="165" t="s">
        <v>2038</v>
      </c>
      <c r="G36" s="165" t="s">
        <v>863</v>
      </c>
      <c r="H36" s="165" t="s">
        <v>2042</v>
      </c>
      <c r="I36" s="144">
        <v>47024</v>
      </c>
      <c r="J36">
        <v>902</v>
      </c>
      <c r="K36" s="165" t="s">
        <v>240</v>
      </c>
      <c r="L36" s="165" t="s">
        <v>8</v>
      </c>
      <c r="M36" s="144">
        <v>47574</v>
      </c>
      <c r="N36" s="146">
        <v>6800</v>
      </c>
      <c r="O36">
        <v>400</v>
      </c>
      <c r="P36">
        <v>6400</v>
      </c>
      <c r="Q36" s="165" t="s">
        <v>225</v>
      </c>
      <c r="R36" s="165" t="s">
        <v>3748</v>
      </c>
      <c r="S36" t="s">
        <v>241</v>
      </c>
    </row>
    <row r="37" spans="1:19" x14ac:dyDescent="0.25">
      <c r="A37">
        <v>643</v>
      </c>
      <c r="B37" s="144">
        <v>46122</v>
      </c>
      <c r="C37">
        <v>42699</v>
      </c>
      <c r="D37" s="165" t="s">
        <v>3689</v>
      </c>
      <c r="E37" s="165" t="s">
        <v>12</v>
      </c>
      <c r="F37" s="165" t="s">
        <v>274</v>
      </c>
      <c r="G37" s="165" t="s">
        <v>618</v>
      </c>
      <c r="H37" s="165" t="s">
        <v>3690</v>
      </c>
      <c r="I37" s="144">
        <v>47881</v>
      </c>
      <c r="J37">
        <v>1759</v>
      </c>
      <c r="K37" s="165" t="s">
        <v>2019</v>
      </c>
      <c r="L37" s="165" t="s">
        <v>8</v>
      </c>
      <c r="M37" s="144">
        <v>47574</v>
      </c>
      <c r="N37" s="146">
        <v>3600</v>
      </c>
      <c r="O37">
        <v>0</v>
      </c>
      <c r="P37">
        <v>3600</v>
      </c>
      <c r="Q37" s="165" t="s">
        <v>225</v>
      </c>
      <c r="R37" s="165" t="s">
        <v>3749</v>
      </c>
    </row>
    <row r="38" spans="1:19" x14ac:dyDescent="0.25">
      <c r="A38">
        <v>642</v>
      </c>
      <c r="B38" s="144">
        <v>46122</v>
      </c>
      <c r="C38">
        <v>42699</v>
      </c>
      <c r="D38" s="165" t="s">
        <v>3689</v>
      </c>
      <c r="E38" s="165" t="s">
        <v>12</v>
      </c>
      <c r="F38" s="165" t="s">
        <v>274</v>
      </c>
      <c r="G38" s="165" t="s">
        <v>1722</v>
      </c>
      <c r="H38" s="165" t="s">
        <v>3690</v>
      </c>
      <c r="I38" s="144">
        <v>47881</v>
      </c>
      <c r="J38">
        <v>1759</v>
      </c>
      <c r="K38" s="165" t="s">
        <v>240</v>
      </c>
      <c r="L38" s="165" t="s">
        <v>8</v>
      </c>
      <c r="M38" s="144">
        <v>47574</v>
      </c>
      <c r="N38" s="146">
        <v>3600</v>
      </c>
      <c r="O38">
        <v>0</v>
      </c>
      <c r="P38">
        <v>3600</v>
      </c>
      <c r="Q38" s="165" t="s">
        <v>225</v>
      </c>
      <c r="R38" s="165" t="s">
        <v>3749</v>
      </c>
      <c r="S38" t="s">
        <v>241</v>
      </c>
    </row>
    <row r="39" spans="1:19" x14ac:dyDescent="0.25">
      <c r="A39">
        <v>641</v>
      </c>
      <c r="B39" s="144">
        <v>46122</v>
      </c>
      <c r="C39">
        <v>42696</v>
      </c>
      <c r="D39" s="165" t="s">
        <v>2449</v>
      </c>
      <c r="E39" s="165" t="s">
        <v>12</v>
      </c>
      <c r="F39" s="165" t="s">
        <v>258</v>
      </c>
      <c r="G39" s="165" t="s">
        <v>361</v>
      </c>
      <c r="H39" s="165" t="s">
        <v>2450</v>
      </c>
      <c r="I39" s="144">
        <v>46208</v>
      </c>
      <c r="J39">
        <v>86</v>
      </c>
      <c r="K39" s="165" t="s">
        <v>2019</v>
      </c>
      <c r="L39" s="165" t="s">
        <v>8</v>
      </c>
      <c r="M39" s="144">
        <v>46844</v>
      </c>
      <c r="N39" s="146">
        <v>4000</v>
      </c>
      <c r="O39">
        <v>0</v>
      </c>
      <c r="P39">
        <v>4000</v>
      </c>
      <c r="Q39" s="165" t="s">
        <v>225</v>
      </c>
      <c r="R39" s="165"/>
    </row>
    <row r="40" spans="1:19" x14ac:dyDescent="0.25">
      <c r="A40">
        <v>640</v>
      </c>
      <c r="B40" s="144">
        <v>46122</v>
      </c>
      <c r="C40">
        <v>42696</v>
      </c>
      <c r="D40" s="165" t="s">
        <v>2449</v>
      </c>
      <c r="E40" s="165" t="s">
        <v>12</v>
      </c>
      <c r="F40" s="165" t="s">
        <v>258</v>
      </c>
      <c r="G40" s="165" t="s">
        <v>1795</v>
      </c>
      <c r="H40" s="165" t="s">
        <v>2450</v>
      </c>
      <c r="I40" s="144">
        <v>46208</v>
      </c>
      <c r="J40">
        <v>86</v>
      </c>
      <c r="K40" s="165" t="s">
        <v>240</v>
      </c>
      <c r="L40" s="165" t="s">
        <v>8</v>
      </c>
      <c r="M40" s="144">
        <v>46844</v>
      </c>
      <c r="N40" s="146">
        <v>4000</v>
      </c>
      <c r="O40">
        <v>1500</v>
      </c>
      <c r="P40">
        <v>2500</v>
      </c>
      <c r="Q40" s="165" t="s">
        <v>225</v>
      </c>
      <c r="R40" s="165"/>
      <c r="S40" t="s">
        <v>241</v>
      </c>
    </row>
    <row r="41" spans="1:19" x14ac:dyDescent="0.25">
      <c r="A41">
        <v>639</v>
      </c>
      <c r="B41" s="144">
        <v>46122</v>
      </c>
      <c r="C41">
        <v>42694</v>
      </c>
      <c r="D41" s="165" t="s">
        <v>308</v>
      </c>
      <c r="E41" s="165" t="s">
        <v>11</v>
      </c>
      <c r="F41" s="165" t="s">
        <v>258</v>
      </c>
      <c r="G41" s="165" t="s">
        <v>1693</v>
      </c>
      <c r="H41" s="165" t="s">
        <v>309</v>
      </c>
      <c r="I41" s="144">
        <v>46047</v>
      </c>
      <c r="J41">
        <v>-75</v>
      </c>
      <c r="K41" s="165" t="s">
        <v>2019</v>
      </c>
      <c r="L41" s="165" t="s">
        <v>8</v>
      </c>
      <c r="M41" s="144">
        <v>47574</v>
      </c>
      <c r="N41" s="146">
        <v>5000</v>
      </c>
      <c r="O41">
        <v>0</v>
      </c>
      <c r="P41">
        <v>5000</v>
      </c>
      <c r="Q41" s="165" t="s">
        <v>225</v>
      </c>
      <c r="R41" s="165"/>
    </row>
    <row r="42" spans="1:19" x14ac:dyDescent="0.25">
      <c r="A42">
        <v>638</v>
      </c>
      <c r="B42" s="144">
        <v>46122</v>
      </c>
      <c r="C42">
        <v>42694</v>
      </c>
      <c r="D42" s="165" t="s">
        <v>308</v>
      </c>
      <c r="E42" s="165" t="s">
        <v>11</v>
      </c>
      <c r="F42" s="165" t="s">
        <v>258</v>
      </c>
      <c r="G42" s="165" t="s">
        <v>937</v>
      </c>
      <c r="H42" s="165" t="s">
        <v>309</v>
      </c>
      <c r="I42" s="144">
        <v>46047</v>
      </c>
      <c r="J42">
        <v>-75</v>
      </c>
      <c r="K42" s="165" t="s">
        <v>240</v>
      </c>
      <c r="L42" s="165" t="s">
        <v>8</v>
      </c>
      <c r="M42" s="144">
        <v>47574</v>
      </c>
      <c r="N42" s="146">
        <v>5000</v>
      </c>
      <c r="O42">
        <v>1000</v>
      </c>
      <c r="P42">
        <v>4000</v>
      </c>
      <c r="Q42" s="165" t="s">
        <v>225</v>
      </c>
      <c r="R42" s="165"/>
      <c r="S42" t="s">
        <v>241</v>
      </c>
    </row>
    <row r="43" spans="1:19" x14ac:dyDescent="0.25">
      <c r="A43">
        <v>637</v>
      </c>
      <c r="B43" s="144">
        <v>46122</v>
      </c>
      <c r="C43">
        <v>426106</v>
      </c>
      <c r="D43" s="165" t="s">
        <v>3619</v>
      </c>
      <c r="E43" s="165" t="s">
        <v>12</v>
      </c>
      <c r="F43" s="165" t="s">
        <v>2293</v>
      </c>
      <c r="G43" s="165" t="s">
        <v>1910</v>
      </c>
      <c r="H43" s="165" t="s">
        <v>3620</v>
      </c>
      <c r="I43" s="144">
        <v>47422</v>
      </c>
      <c r="J43">
        <v>1300</v>
      </c>
      <c r="K43" s="165" t="s">
        <v>2019</v>
      </c>
      <c r="L43" s="165" t="s">
        <v>102</v>
      </c>
      <c r="M43" s="144">
        <v>46844</v>
      </c>
      <c r="N43" s="146">
        <v>37500</v>
      </c>
      <c r="O43">
        <v>0</v>
      </c>
      <c r="P43">
        <v>37500</v>
      </c>
      <c r="Q43" s="165" t="s">
        <v>225</v>
      </c>
      <c r="R43" s="165"/>
    </row>
    <row r="44" spans="1:19" x14ac:dyDescent="0.25">
      <c r="A44">
        <v>636</v>
      </c>
      <c r="B44" s="144">
        <v>46122</v>
      </c>
      <c r="C44">
        <v>426106</v>
      </c>
      <c r="D44" s="165" t="s">
        <v>3619</v>
      </c>
      <c r="E44" s="165" t="s">
        <v>12</v>
      </c>
      <c r="F44" s="165" t="s">
        <v>2293</v>
      </c>
      <c r="G44" s="165" t="s">
        <v>1908</v>
      </c>
      <c r="H44" s="165" t="s">
        <v>3620</v>
      </c>
      <c r="I44" s="144">
        <v>47422</v>
      </c>
      <c r="J44">
        <v>1300</v>
      </c>
      <c r="K44" s="165" t="s">
        <v>240</v>
      </c>
      <c r="L44" s="165" t="s">
        <v>102</v>
      </c>
      <c r="M44" s="144">
        <v>46844</v>
      </c>
      <c r="N44" s="146">
        <v>37500</v>
      </c>
      <c r="O44">
        <v>1300</v>
      </c>
      <c r="P44">
        <v>36200</v>
      </c>
      <c r="Q44" s="165" t="s">
        <v>225</v>
      </c>
      <c r="R44" s="165"/>
      <c r="S44" t="s">
        <v>263</v>
      </c>
    </row>
    <row r="45" spans="1:19" x14ac:dyDescent="0.25">
      <c r="A45">
        <v>635</v>
      </c>
      <c r="B45" s="144">
        <v>46122</v>
      </c>
      <c r="C45">
        <v>42698</v>
      </c>
      <c r="D45" s="165" t="s">
        <v>2369</v>
      </c>
      <c r="E45" s="165" t="s">
        <v>15</v>
      </c>
      <c r="F45" s="165" t="s">
        <v>247</v>
      </c>
      <c r="G45" s="165" t="s">
        <v>1652</v>
      </c>
      <c r="H45" s="165" t="s">
        <v>2236</v>
      </c>
      <c r="I45" s="144">
        <v>46677</v>
      </c>
      <c r="J45">
        <v>555</v>
      </c>
      <c r="K45" s="165" t="s">
        <v>2019</v>
      </c>
      <c r="L45" s="165" t="s">
        <v>2237</v>
      </c>
      <c r="M45" s="144">
        <v>46844</v>
      </c>
      <c r="N45" s="146">
        <v>12300</v>
      </c>
      <c r="O45">
        <v>0</v>
      </c>
      <c r="P45">
        <v>12300</v>
      </c>
      <c r="Q45" s="165" t="s">
        <v>225</v>
      </c>
      <c r="R45" s="165"/>
    </row>
    <row r="46" spans="1:19" x14ac:dyDescent="0.25">
      <c r="A46">
        <v>634</v>
      </c>
      <c r="B46" s="144">
        <v>46122</v>
      </c>
      <c r="C46">
        <v>42698</v>
      </c>
      <c r="D46" s="165" t="s">
        <v>2369</v>
      </c>
      <c r="E46" s="165" t="s">
        <v>15</v>
      </c>
      <c r="F46" s="165" t="s">
        <v>247</v>
      </c>
      <c r="G46" s="165" t="s">
        <v>576</v>
      </c>
      <c r="H46" s="165" t="s">
        <v>2236</v>
      </c>
      <c r="I46" s="144">
        <v>46677</v>
      </c>
      <c r="J46">
        <v>555</v>
      </c>
      <c r="K46" s="165" t="s">
        <v>2016</v>
      </c>
      <c r="L46" s="165" t="s">
        <v>2237</v>
      </c>
      <c r="M46" s="144">
        <v>46844</v>
      </c>
      <c r="N46" s="146">
        <v>12300</v>
      </c>
      <c r="O46">
        <v>0</v>
      </c>
      <c r="P46">
        <v>12300</v>
      </c>
      <c r="Q46" s="165" t="s">
        <v>225</v>
      </c>
      <c r="R46" s="165"/>
    </row>
    <row r="47" spans="1:19" x14ac:dyDescent="0.25">
      <c r="A47">
        <v>633</v>
      </c>
      <c r="B47" s="144">
        <v>46122</v>
      </c>
      <c r="C47">
        <v>42693</v>
      </c>
      <c r="D47" s="165" t="s">
        <v>3750</v>
      </c>
      <c r="E47" s="165" t="s">
        <v>2183</v>
      </c>
      <c r="F47" s="165" t="s">
        <v>3751</v>
      </c>
      <c r="G47" s="165" t="s">
        <v>1379</v>
      </c>
      <c r="H47" s="165" t="s">
        <v>3752</v>
      </c>
      <c r="I47" s="144">
        <v>46670</v>
      </c>
      <c r="J47">
        <v>548</v>
      </c>
      <c r="K47" s="165" t="s">
        <v>262</v>
      </c>
      <c r="L47" s="165" t="s">
        <v>102</v>
      </c>
      <c r="M47" s="144">
        <v>47574</v>
      </c>
      <c r="N47" s="146">
        <v>55000</v>
      </c>
      <c r="O47">
        <v>3400</v>
      </c>
      <c r="P47">
        <v>51600</v>
      </c>
      <c r="Q47" s="165" t="s">
        <v>225</v>
      </c>
      <c r="R47" s="165"/>
      <c r="S47" t="s">
        <v>263</v>
      </c>
    </row>
    <row r="48" spans="1:19" x14ac:dyDescent="0.25">
      <c r="A48">
        <v>632</v>
      </c>
      <c r="B48" s="144">
        <v>46122</v>
      </c>
      <c r="C48">
        <v>42692</v>
      </c>
      <c r="D48" s="165" t="s">
        <v>3753</v>
      </c>
      <c r="E48" s="165" t="s">
        <v>2183</v>
      </c>
      <c r="F48" s="165" t="s">
        <v>2422</v>
      </c>
      <c r="G48" s="165" t="s">
        <v>514</v>
      </c>
      <c r="H48" s="165" t="s">
        <v>3754</v>
      </c>
      <c r="I48" s="144">
        <v>47016</v>
      </c>
      <c r="J48">
        <v>894</v>
      </c>
      <c r="K48" s="165" t="s">
        <v>2019</v>
      </c>
      <c r="L48" s="165" t="s">
        <v>8</v>
      </c>
      <c r="M48" s="144">
        <v>47574</v>
      </c>
      <c r="N48" s="146">
        <v>70000</v>
      </c>
      <c r="O48">
        <v>0</v>
      </c>
      <c r="P48">
        <v>70000</v>
      </c>
      <c r="Q48" s="165" t="s">
        <v>225</v>
      </c>
      <c r="R48" s="165"/>
    </row>
    <row r="49" spans="1:19" x14ac:dyDescent="0.25">
      <c r="A49">
        <v>631</v>
      </c>
      <c r="B49" s="144">
        <v>46122</v>
      </c>
      <c r="C49">
        <v>42692</v>
      </c>
      <c r="D49" s="165" t="s">
        <v>3753</v>
      </c>
      <c r="E49" s="165" t="s">
        <v>2183</v>
      </c>
      <c r="F49" s="165" t="s">
        <v>2422</v>
      </c>
      <c r="G49" s="165" t="s">
        <v>1083</v>
      </c>
      <c r="H49" s="165" t="s">
        <v>3754</v>
      </c>
      <c r="I49" s="144">
        <v>47016</v>
      </c>
      <c r="J49">
        <v>894</v>
      </c>
      <c r="K49" s="165" t="s">
        <v>240</v>
      </c>
      <c r="L49" s="165" t="s">
        <v>8</v>
      </c>
      <c r="M49" s="144">
        <v>47574</v>
      </c>
      <c r="N49" s="146">
        <v>70000</v>
      </c>
      <c r="O49">
        <v>2000</v>
      </c>
      <c r="P49">
        <v>68000</v>
      </c>
      <c r="Q49" s="165" t="s">
        <v>225</v>
      </c>
      <c r="R49" s="165"/>
      <c r="S49" t="s">
        <v>241</v>
      </c>
    </row>
    <row r="50" spans="1:19" x14ac:dyDescent="0.25">
      <c r="A50">
        <v>630</v>
      </c>
      <c r="B50" s="144">
        <v>46121</v>
      </c>
      <c r="C50">
        <v>14426</v>
      </c>
      <c r="D50" s="165" t="s">
        <v>3468</v>
      </c>
      <c r="E50" s="165" t="s">
        <v>2348</v>
      </c>
      <c r="F50" s="165" t="s">
        <v>247</v>
      </c>
      <c r="G50" s="165" t="s">
        <v>446</v>
      </c>
      <c r="H50" s="165" t="s">
        <v>3469</v>
      </c>
      <c r="I50" s="144">
        <v>47000</v>
      </c>
      <c r="J50">
        <v>879</v>
      </c>
      <c r="K50" s="165" t="s">
        <v>2019</v>
      </c>
      <c r="L50" s="165" t="s">
        <v>8</v>
      </c>
      <c r="M50" s="144">
        <v>46844</v>
      </c>
      <c r="N50" s="146">
        <v>1800</v>
      </c>
      <c r="O50">
        <v>0</v>
      </c>
      <c r="P50">
        <v>1800</v>
      </c>
      <c r="Q50" s="165" t="s">
        <v>225</v>
      </c>
      <c r="R50" s="165"/>
    </row>
    <row r="51" spans="1:19" x14ac:dyDescent="0.25">
      <c r="A51">
        <v>629</v>
      </c>
      <c r="B51" s="144">
        <v>46121</v>
      </c>
      <c r="C51">
        <v>11426</v>
      </c>
      <c r="D51" s="165" t="s">
        <v>3470</v>
      </c>
      <c r="E51" s="165" t="s">
        <v>2059</v>
      </c>
      <c r="F51" s="165" t="s">
        <v>247</v>
      </c>
      <c r="G51" s="165" t="s">
        <v>626</v>
      </c>
      <c r="H51" s="165" t="s">
        <v>3471</v>
      </c>
      <c r="I51" s="144">
        <v>47051</v>
      </c>
      <c r="J51">
        <v>930</v>
      </c>
      <c r="K51" s="165" t="s">
        <v>2019</v>
      </c>
      <c r="L51" s="165" t="s">
        <v>8</v>
      </c>
      <c r="M51" s="144">
        <v>47574</v>
      </c>
      <c r="N51" s="146">
        <v>4902</v>
      </c>
      <c r="O51">
        <v>1500</v>
      </c>
      <c r="P51">
        <v>3402</v>
      </c>
      <c r="Q51" s="165" t="s">
        <v>225</v>
      </c>
      <c r="R51" s="165" t="s">
        <v>2027</v>
      </c>
    </row>
    <row r="52" spans="1:19" x14ac:dyDescent="0.25">
      <c r="A52">
        <v>628</v>
      </c>
      <c r="B52" s="144">
        <v>46121</v>
      </c>
      <c r="C52">
        <v>42609</v>
      </c>
      <c r="D52" s="165" t="s">
        <v>2321</v>
      </c>
      <c r="E52" s="165" t="s">
        <v>141</v>
      </c>
      <c r="F52" s="165" t="s">
        <v>258</v>
      </c>
      <c r="G52" s="165" t="s">
        <v>658</v>
      </c>
      <c r="H52" s="165" t="s">
        <v>2322</v>
      </c>
      <c r="I52" s="144">
        <v>46120</v>
      </c>
      <c r="J52">
        <v>-1</v>
      </c>
      <c r="K52" s="165" t="s">
        <v>2019</v>
      </c>
      <c r="L52" s="165" t="s">
        <v>8</v>
      </c>
      <c r="M52" s="144">
        <v>47574</v>
      </c>
      <c r="N52" s="146">
        <v>1900</v>
      </c>
      <c r="O52">
        <v>0</v>
      </c>
      <c r="P52">
        <v>1900</v>
      </c>
      <c r="Q52" s="165" t="s">
        <v>225</v>
      </c>
      <c r="R52" s="165"/>
    </row>
    <row r="53" spans="1:19" x14ac:dyDescent="0.25">
      <c r="A53">
        <v>627</v>
      </c>
      <c r="B53" s="144">
        <v>46121</v>
      </c>
      <c r="C53">
        <v>42609</v>
      </c>
      <c r="D53" s="165" t="s">
        <v>2321</v>
      </c>
      <c r="E53" s="165" t="s">
        <v>141</v>
      </c>
      <c r="F53" s="165" t="s">
        <v>258</v>
      </c>
      <c r="G53" s="165" t="s">
        <v>1314</v>
      </c>
      <c r="H53" s="165" t="s">
        <v>2322</v>
      </c>
      <c r="I53" s="144">
        <v>46120</v>
      </c>
      <c r="J53">
        <v>-1</v>
      </c>
      <c r="K53" s="165" t="s">
        <v>240</v>
      </c>
      <c r="L53" s="165" t="s">
        <v>8</v>
      </c>
      <c r="M53" s="144">
        <v>47574</v>
      </c>
      <c r="N53" s="146">
        <v>1900</v>
      </c>
      <c r="O53">
        <v>400</v>
      </c>
      <c r="P53">
        <v>1500</v>
      </c>
      <c r="Q53" s="165" t="s">
        <v>225</v>
      </c>
      <c r="R53" s="165"/>
      <c r="S53" t="s">
        <v>241</v>
      </c>
    </row>
    <row r="54" spans="1:19" x14ac:dyDescent="0.25">
      <c r="A54">
        <v>626</v>
      </c>
      <c r="B54" s="144">
        <v>46121</v>
      </c>
      <c r="C54">
        <v>42624</v>
      </c>
      <c r="D54" s="165" t="s">
        <v>3472</v>
      </c>
      <c r="E54" s="165" t="s">
        <v>12</v>
      </c>
      <c r="F54" s="165" t="s">
        <v>258</v>
      </c>
      <c r="G54" s="165" t="s">
        <v>580</v>
      </c>
      <c r="H54" s="165" t="s">
        <v>3473</v>
      </c>
      <c r="I54" s="144">
        <v>46097</v>
      </c>
      <c r="J54">
        <v>-24</v>
      </c>
      <c r="K54" s="165" t="s">
        <v>2019</v>
      </c>
      <c r="L54" s="165" t="s">
        <v>8</v>
      </c>
      <c r="M54" s="144">
        <v>47209</v>
      </c>
      <c r="N54" s="146">
        <v>1300</v>
      </c>
      <c r="O54">
        <v>0</v>
      </c>
      <c r="P54">
        <v>1300</v>
      </c>
      <c r="Q54" s="165" t="s">
        <v>225</v>
      </c>
      <c r="R54" s="165"/>
    </row>
    <row r="55" spans="1:19" x14ac:dyDescent="0.25">
      <c r="A55">
        <v>625</v>
      </c>
      <c r="B55" s="144">
        <v>46121</v>
      </c>
      <c r="C55">
        <v>42624</v>
      </c>
      <c r="D55" s="165" t="s">
        <v>3472</v>
      </c>
      <c r="E55" s="165" t="s">
        <v>12</v>
      </c>
      <c r="F55" s="165" t="s">
        <v>258</v>
      </c>
      <c r="G55" s="165" t="s">
        <v>1188</v>
      </c>
      <c r="H55" s="165" t="s">
        <v>3473</v>
      </c>
      <c r="I55" s="144">
        <v>46097</v>
      </c>
      <c r="J55">
        <v>-24</v>
      </c>
      <c r="K55" s="165" t="s">
        <v>240</v>
      </c>
      <c r="L55" s="165" t="s">
        <v>8</v>
      </c>
      <c r="M55" s="144">
        <v>47209</v>
      </c>
      <c r="N55" s="146">
        <v>1300</v>
      </c>
      <c r="O55">
        <v>1100</v>
      </c>
      <c r="P55">
        <v>200</v>
      </c>
      <c r="Q55" s="165" t="s">
        <v>225</v>
      </c>
      <c r="R55" s="165"/>
      <c r="S55" t="s">
        <v>241</v>
      </c>
    </row>
    <row r="56" spans="1:19" x14ac:dyDescent="0.25">
      <c r="A56">
        <v>624</v>
      </c>
      <c r="B56" s="144">
        <v>46121</v>
      </c>
      <c r="C56">
        <v>16426</v>
      </c>
      <c r="D56" s="165" t="s">
        <v>3474</v>
      </c>
      <c r="E56" s="165" t="s">
        <v>13</v>
      </c>
      <c r="F56" s="165" t="s">
        <v>3475</v>
      </c>
      <c r="G56" s="165" t="s">
        <v>1849</v>
      </c>
      <c r="H56" s="165" t="s">
        <v>3476</v>
      </c>
      <c r="I56" s="144">
        <v>46936</v>
      </c>
      <c r="J56">
        <v>815</v>
      </c>
      <c r="K56" s="165" t="s">
        <v>2019</v>
      </c>
      <c r="L56" s="165" t="s">
        <v>8</v>
      </c>
      <c r="M56" s="144">
        <v>47574</v>
      </c>
      <c r="N56" s="146">
        <v>2000</v>
      </c>
      <c r="O56">
        <v>0</v>
      </c>
      <c r="P56">
        <v>2000</v>
      </c>
      <c r="Q56" s="165" t="s">
        <v>225</v>
      </c>
      <c r="R56" s="165"/>
    </row>
    <row r="57" spans="1:19" x14ac:dyDescent="0.25">
      <c r="A57">
        <v>623</v>
      </c>
      <c r="B57" s="144">
        <v>46121</v>
      </c>
      <c r="C57">
        <v>16426</v>
      </c>
      <c r="D57" s="165" t="s">
        <v>3474</v>
      </c>
      <c r="E57" s="165" t="s">
        <v>13</v>
      </c>
      <c r="F57" s="165" t="s">
        <v>3475</v>
      </c>
      <c r="G57" s="165" t="s">
        <v>1250</v>
      </c>
      <c r="H57" s="165" t="s">
        <v>3476</v>
      </c>
      <c r="I57" s="144">
        <v>46936</v>
      </c>
      <c r="J57">
        <v>815</v>
      </c>
      <c r="K57" s="165" t="s">
        <v>240</v>
      </c>
      <c r="L57" s="165" t="s">
        <v>8</v>
      </c>
      <c r="M57" s="144">
        <v>47574</v>
      </c>
      <c r="N57" s="146">
        <v>2000</v>
      </c>
      <c r="O57">
        <v>500</v>
      </c>
      <c r="P57">
        <v>1500</v>
      </c>
      <c r="Q57" s="165" t="s">
        <v>225</v>
      </c>
      <c r="R57" s="165"/>
      <c r="S57" t="s">
        <v>176</v>
      </c>
    </row>
    <row r="58" spans="1:19" x14ac:dyDescent="0.25">
      <c r="A58">
        <v>622</v>
      </c>
      <c r="B58" s="144">
        <v>46121</v>
      </c>
      <c r="C58">
        <v>15426</v>
      </c>
      <c r="D58" s="165" t="s">
        <v>3477</v>
      </c>
      <c r="E58" s="165" t="s">
        <v>13</v>
      </c>
      <c r="F58" s="165" t="s">
        <v>2363</v>
      </c>
      <c r="G58" s="165" t="s">
        <v>590</v>
      </c>
      <c r="H58" s="165" t="s">
        <v>3478</v>
      </c>
      <c r="I58" s="144">
        <v>47000</v>
      </c>
      <c r="J58">
        <v>879</v>
      </c>
      <c r="K58" s="165" t="s">
        <v>2019</v>
      </c>
      <c r="L58" s="165" t="s">
        <v>8</v>
      </c>
      <c r="M58" s="144">
        <v>46844</v>
      </c>
      <c r="N58" s="146">
        <v>7500</v>
      </c>
      <c r="O58">
        <v>0</v>
      </c>
      <c r="P58">
        <v>7500</v>
      </c>
      <c r="Q58" s="165" t="s">
        <v>225</v>
      </c>
      <c r="R58" s="165"/>
    </row>
    <row r="59" spans="1:19" x14ac:dyDescent="0.25">
      <c r="A59">
        <v>621</v>
      </c>
      <c r="B59" s="144">
        <v>46121</v>
      </c>
      <c r="C59">
        <v>15426</v>
      </c>
      <c r="D59" s="165" t="s">
        <v>3477</v>
      </c>
      <c r="E59" s="165" t="s">
        <v>13</v>
      </c>
      <c r="F59" s="165" t="s">
        <v>2363</v>
      </c>
      <c r="G59" s="165" t="s">
        <v>1204</v>
      </c>
      <c r="H59" s="165" t="s">
        <v>3478</v>
      </c>
      <c r="I59" s="144">
        <v>47000</v>
      </c>
      <c r="J59">
        <v>879</v>
      </c>
      <c r="K59" s="165" t="s">
        <v>240</v>
      </c>
      <c r="L59" s="165" t="s">
        <v>8</v>
      </c>
      <c r="M59" s="144">
        <v>46844</v>
      </c>
      <c r="N59" s="146">
        <v>7500</v>
      </c>
      <c r="O59">
        <v>0</v>
      </c>
      <c r="P59">
        <v>7500</v>
      </c>
      <c r="Q59" s="165" t="s">
        <v>225</v>
      </c>
      <c r="R59" s="165"/>
      <c r="S59" t="s">
        <v>176</v>
      </c>
    </row>
    <row r="60" spans="1:19" x14ac:dyDescent="0.25">
      <c r="A60">
        <v>620</v>
      </c>
      <c r="B60" s="144">
        <v>46121</v>
      </c>
      <c r="C60">
        <v>6426</v>
      </c>
      <c r="D60" s="165" t="s">
        <v>3479</v>
      </c>
      <c r="E60" s="165" t="s">
        <v>3480</v>
      </c>
      <c r="F60" s="165" t="s">
        <v>247</v>
      </c>
      <c r="G60" s="165" t="s">
        <v>576</v>
      </c>
      <c r="H60" s="165" t="s">
        <v>3481</v>
      </c>
      <c r="I60" s="144">
        <v>46936</v>
      </c>
      <c r="J60">
        <v>815</v>
      </c>
      <c r="K60" s="165" t="s">
        <v>2016</v>
      </c>
      <c r="L60" s="165" t="s">
        <v>8</v>
      </c>
      <c r="M60" s="144">
        <v>47574</v>
      </c>
      <c r="N60" s="146">
        <v>9901</v>
      </c>
      <c r="O60">
        <v>0</v>
      </c>
      <c r="P60">
        <v>9901</v>
      </c>
      <c r="Q60" s="165" t="s">
        <v>225</v>
      </c>
      <c r="R60" s="165"/>
    </row>
    <row r="61" spans="1:19" x14ac:dyDescent="0.25">
      <c r="A61">
        <v>619</v>
      </c>
      <c r="B61" s="144">
        <v>46121</v>
      </c>
      <c r="C61">
        <v>6426</v>
      </c>
      <c r="D61" s="165" t="s">
        <v>3479</v>
      </c>
      <c r="E61" s="165" t="s">
        <v>3480</v>
      </c>
      <c r="F61" s="165" t="s">
        <v>247</v>
      </c>
      <c r="G61" s="165" t="s">
        <v>438</v>
      </c>
      <c r="H61" s="165" t="s">
        <v>3481</v>
      </c>
      <c r="I61" s="144">
        <v>46936</v>
      </c>
      <c r="J61">
        <v>815</v>
      </c>
      <c r="K61" s="165" t="s">
        <v>2019</v>
      </c>
      <c r="L61" s="165" t="s">
        <v>8</v>
      </c>
      <c r="M61" s="144">
        <v>47574</v>
      </c>
      <c r="N61" s="146">
        <v>9901</v>
      </c>
      <c r="O61">
        <v>0</v>
      </c>
      <c r="P61">
        <v>9901</v>
      </c>
      <c r="Q61" s="165" t="s">
        <v>225</v>
      </c>
      <c r="R61" s="165"/>
    </row>
    <row r="62" spans="1:19" x14ac:dyDescent="0.25">
      <c r="A62">
        <v>618</v>
      </c>
      <c r="B62" s="144">
        <v>46121</v>
      </c>
      <c r="C62">
        <v>6426</v>
      </c>
      <c r="D62" s="165" t="s">
        <v>3479</v>
      </c>
      <c r="E62" s="165" t="s">
        <v>3480</v>
      </c>
      <c r="F62" s="165" t="s">
        <v>247</v>
      </c>
      <c r="G62" s="165" t="s">
        <v>921</v>
      </c>
      <c r="H62" s="165" t="s">
        <v>3481</v>
      </c>
      <c r="I62" s="144">
        <v>46936</v>
      </c>
      <c r="J62">
        <v>815</v>
      </c>
      <c r="K62" s="165" t="s">
        <v>240</v>
      </c>
      <c r="L62" s="165" t="s">
        <v>8</v>
      </c>
      <c r="M62" s="144">
        <v>47574</v>
      </c>
      <c r="N62" s="146">
        <v>9901</v>
      </c>
      <c r="O62">
        <v>500</v>
      </c>
      <c r="P62">
        <v>9401</v>
      </c>
      <c r="Q62" s="165" t="s">
        <v>225</v>
      </c>
      <c r="R62" s="165"/>
      <c r="S62" t="s">
        <v>176</v>
      </c>
    </row>
    <row r="63" spans="1:19" x14ac:dyDescent="0.25">
      <c r="A63">
        <v>617</v>
      </c>
      <c r="B63" s="144">
        <v>46121</v>
      </c>
      <c r="C63">
        <v>4426</v>
      </c>
      <c r="D63" s="165" t="s">
        <v>3482</v>
      </c>
      <c r="E63" s="165" t="s">
        <v>12</v>
      </c>
      <c r="F63" s="165" t="s">
        <v>293</v>
      </c>
      <c r="G63" s="165" t="s">
        <v>417</v>
      </c>
      <c r="H63" s="165" t="s">
        <v>3483</v>
      </c>
      <c r="I63" s="144">
        <v>46442</v>
      </c>
      <c r="J63">
        <v>321</v>
      </c>
      <c r="K63" s="165" t="s">
        <v>2019</v>
      </c>
      <c r="L63" s="165" t="s">
        <v>8</v>
      </c>
      <c r="M63" s="144">
        <v>47574</v>
      </c>
      <c r="N63" s="146">
        <v>2000</v>
      </c>
      <c r="O63">
        <v>0</v>
      </c>
      <c r="P63">
        <v>2000</v>
      </c>
      <c r="Q63" s="165" t="s">
        <v>225</v>
      </c>
      <c r="R63" s="165"/>
    </row>
    <row r="64" spans="1:19" x14ac:dyDescent="0.25">
      <c r="A64">
        <v>616</v>
      </c>
      <c r="B64" s="144">
        <v>46121</v>
      </c>
      <c r="C64">
        <v>4426</v>
      </c>
      <c r="D64" s="165" t="s">
        <v>3482</v>
      </c>
      <c r="E64" s="165" t="s">
        <v>12</v>
      </c>
      <c r="F64" s="165" t="s">
        <v>293</v>
      </c>
      <c r="G64" s="165" t="s">
        <v>873</v>
      </c>
      <c r="H64" s="165" t="s">
        <v>3483</v>
      </c>
      <c r="I64" s="144">
        <v>46442</v>
      </c>
      <c r="J64">
        <v>321</v>
      </c>
      <c r="K64" s="165" t="s">
        <v>240</v>
      </c>
      <c r="L64" s="165" t="s">
        <v>8</v>
      </c>
      <c r="M64" s="144">
        <v>47574</v>
      </c>
      <c r="N64" s="146">
        <v>2000</v>
      </c>
      <c r="O64">
        <v>900</v>
      </c>
      <c r="P64">
        <v>1100</v>
      </c>
      <c r="Q64" s="165" t="s">
        <v>225</v>
      </c>
      <c r="R64" s="165"/>
      <c r="S64" t="s">
        <v>176</v>
      </c>
    </row>
    <row r="65" spans="1:19" x14ac:dyDescent="0.25">
      <c r="A65">
        <v>615</v>
      </c>
      <c r="B65" s="144">
        <v>46121</v>
      </c>
      <c r="C65">
        <v>3426</v>
      </c>
      <c r="D65" s="165" t="s">
        <v>3484</v>
      </c>
      <c r="E65" s="165" t="s">
        <v>2064</v>
      </c>
      <c r="F65" s="165" t="s">
        <v>258</v>
      </c>
      <c r="G65" s="165" t="s">
        <v>5319</v>
      </c>
      <c r="H65" s="165" t="s">
        <v>3485</v>
      </c>
      <c r="I65" s="144">
        <v>47013</v>
      </c>
      <c r="J65">
        <v>892</v>
      </c>
      <c r="K65" s="165" t="s">
        <v>2019</v>
      </c>
      <c r="L65" s="165" t="s">
        <v>8</v>
      </c>
      <c r="M65" s="144">
        <v>47574</v>
      </c>
      <c r="N65" s="146">
        <v>500</v>
      </c>
      <c r="O65">
        <v>0</v>
      </c>
      <c r="P65">
        <v>500</v>
      </c>
      <c r="Q65" s="165" t="s">
        <v>225</v>
      </c>
      <c r="R65" s="165"/>
    </row>
    <row r="66" spans="1:19" x14ac:dyDescent="0.25">
      <c r="A66">
        <v>614</v>
      </c>
      <c r="B66" s="144">
        <v>46121</v>
      </c>
      <c r="C66">
        <v>3426</v>
      </c>
      <c r="D66" s="165" t="s">
        <v>3484</v>
      </c>
      <c r="E66" s="165" t="s">
        <v>2064</v>
      </c>
      <c r="F66" s="165" t="s">
        <v>258</v>
      </c>
      <c r="G66" s="165" t="s">
        <v>5188</v>
      </c>
      <c r="H66" s="165" t="s">
        <v>3485</v>
      </c>
      <c r="I66" s="144">
        <v>47013</v>
      </c>
      <c r="J66">
        <v>892</v>
      </c>
      <c r="K66" s="165" t="s">
        <v>240</v>
      </c>
      <c r="L66" s="165" t="s">
        <v>8</v>
      </c>
      <c r="M66" s="144">
        <v>47574</v>
      </c>
      <c r="N66" s="146">
        <v>500</v>
      </c>
      <c r="O66">
        <v>0</v>
      </c>
      <c r="P66">
        <v>500</v>
      </c>
      <c r="Q66" s="165" t="s">
        <v>225</v>
      </c>
      <c r="R66" s="165"/>
      <c r="S66" t="s">
        <v>176</v>
      </c>
    </row>
    <row r="67" spans="1:19" x14ac:dyDescent="0.25">
      <c r="A67">
        <v>613</v>
      </c>
      <c r="B67" s="144">
        <v>46119</v>
      </c>
      <c r="C67">
        <v>7426</v>
      </c>
      <c r="D67" s="165" t="s">
        <v>2287</v>
      </c>
      <c r="E67" s="165" t="s">
        <v>2288</v>
      </c>
      <c r="F67" s="165" t="s">
        <v>2289</v>
      </c>
      <c r="G67" s="165" t="s">
        <v>650</v>
      </c>
      <c r="H67" s="165" t="s">
        <v>2290</v>
      </c>
      <c r="I67" s="144">
        <v>47000</v>
      </c>
      <c r="J67">
        <v>881</v>
      </c>
      <c r="K67" s="165" t="s">
        <v>2019</v>
      </c>
      <c r="L67" s="165" t="s">
        <v>8</v>
      </c>
      <c r="M67" s="144">
        <v>46844</v>
      </c>
      <c r="N67" s="146">
        <v>8000</v>
      </c>
      <c r="O67">
        <v>0</v>
      </c>
      <c r="P67">
        <v>8000</v>
      </c>
      <c r="Q67" s="165" t="s">
        <v>225</v>
      </c>
      <c r="R67" s="165" t="s">
        <v>2027</v>
      </c>
    </row>
    <row r="68" spans="1:19" x14ac:dyDescent="0.25">
      <c r="A68">
        <v>612</v>
      </c>
      <c r="B68" s="144">
        <v>46119</v>
      </c>
      <c r="C68">
        <v>13426</v>
      </c>
      <c r="D68" s="165" t="s">
        <v>3486</v>
      </c>
      <c r="E68" s="165" t="s">
        <v>201</v>
      </c>
      <c r="F68" s="165" t="s">
        <v>3487</v>
      </c>
      <c r="G68" s="165" t="s">
        <v>576</v>
      </c>
      <c r="H68" s="165" t="s">
        <v>3488</v>
      </c>
      <c r="I68" s="144">
        <v>47013</v>
      </c>
      <c r="J68">
        <v>894</v>
      </c>
      <c r="K68" s="165" t="s">
        <v>2016</v>
      </c>
      <c r="L68" s="165" t="s">
        <v>8</v>
      </c>
      <c r="M68" s="144">
        <v>47574</v>
      </c>
      <c r="N68" s="146">
        <v>10000</v>
      </c>
      <c r="O68">
        <v>0</v>
      </c>
      <c r="P68">
        <v>10000</v>
      </c>
      <c r="Q68" s="165" t="s">
        <v>225</v>
      </c>
      <c r="R68" s="165"/>
    </row>
    <row r="69" spans="1:19" x14ac:dyDescent="0.25">
      <c r="A69">
        <v>611</v>
      </c>
      <c r="B69" s="144">
        <v>46119</v>
      </c>
      <c r="C69">
        <v>13426</v>
      </c>
      <c r="D69" s="165" t="s">
        <v>3486</v>
      </c>
      <c r="E69" s="165" t="s">
        <v>201</v>
      </c>
      <c r="F69" s="165" t="s">
        <v>3487</v>
      </c>
      <c r="G69" s="165" t="s">
        <v>356</v>
      </c>
      <c r="H69" s="165" t="s">
        <v>3488</v>
      </c>
      <c r="I69" s="144">
        <v>47013</v>
      </c>
      <c r="J69">
        <v>894</v>
      </c>
      <c r="K69" s="165" t="s">
        <v>2019</v>
      </c>
      <c r="L69" s="165" t="s">
        <v>8</v>
      </c>
      <c r="M69" s="144">
        <v>47574</v>
      </c>
      <c r="N69" s="146">
        <v>10000</v>
      </c>
      <c r="O69">
        <v>0</v>
      </c>
      <c r="P69">
        <v>10000</v>
      </c>
      <c r="Q69" s="165" t="s">
        <v>225</v>
      </c>
      <c r="R69" s="165"/>
    </row>
    <row r="70" spans="1:19" x14ac:dyDescent="0.25">
      <c r="A70">
        <v>610</v>
      </c>
      <c r="B70" s="144">
        <v>46119</v>
      </c>
      <c r="C70">
        <v>13426</v>
      </c>
      <c r="D70" s="165" t="s">
        <v>3486</v>
      </c>
      <c r="E70" s="165" t="s">
        <v>201</v>
      </c>
      <c r="F70" s="165" t="s">
        <v>3487</v>
      </c>
      <c r="G70" s="165" t="s">
        <v>786</v>
      </c>
      <c r="H70" s="165" t="s">
        <v>3488</v>
      </c>
      <c r="I70" s="144">
        <v>47013</v>
      </c>
      <c r="J70">
        <v>894</v>
      </c>
      <c r="K70" s="165" t="s">
        <v>240</v>
      </c>
      <c r="L70" s="165" t="s">
        <v>8</v>
      </c>
      <c r="M70" s="144">
        <v>47574</v>
      </c>
      <c r="N70" s="146">
        <v>10000</v>
      </c>
      <c r="O70">
        <v>800</v>
      </c>
      <c r="P70">
        <v>9200</v>
      </c>
      <c r="Q70" s="165" t="s">
        <v>225</v>
      </c>
      <c r="R70" s="165"/>
      <c r="S70" t="s">
        <v>176</v>
      </c>
    </row>
    <row r="71" spans="1:19" x14ac:dyDescent="0.25">
      <c r="A71">
        <v>609</v>
      </c>
      <c r="B71" s="144">
        <v>46118</v>
      </c>
      <c r="C71">
        <v>42606</v>
      </c>
      <c r="D71" s="165" t="s">
        <v>3489</v>
      </c>
      <c r="E71" s="165" t="s">
        <v>11</v>
      </c>
      <c r="F71" s="165" t="s">
        <v>258</v>
      </c>
      <c r="G71" s="165" t="s">
        <v>365</v>
      </c>
      <c r="H71" s="165" t="s">
        <v>3490</v>
      </c>
      <c r="I71" s="144">
        <v>47372</v>
      </c>
      <c r="J71">
        <v>1254</v>
      </c>
      <c r="K71" s="165" t="s">
        <v>2019</v>
      </c>
      <c r="L71" s="165" t="s">
        <v>8</v>
      </c>
      <c r="M71" s="144">
        <v>47574</v>
      </c>
      <c r="N71" s="146">
        <v>1000</v>
      </c>
      <c r="O71">
        <v>0</v>
      </c>
      <c r="P71">
        <v>1000</v>
      </c>
      <c r="Q71" s="165" t="s">
        <v>225</v>
      </c>
      <c r="R71" s="165" t="s">
        <v>3491</v>
      </c>
    </row>
    <row r="72" spans="1:19" x14ac:dyDescent="0.25">
      <c r="A72">
        <v>608</v>
      </c>
      <c r="B72" s="144">
        <v>46118</v>
      </c>
      <c r="C72">
        <v>42621</v>
      </c>
      <c r="D72" s="165" t="s">
        <v>3492</v>
      </c>
      <c r="E72" s="165" t="s">
        <v>12</v>
      </c>
      <c r="F72" s="165" t="s">
        <v>258</v>
      </c>
      <c r="G72" s="165" t="s">
        <v>1270</v>
      </c>
      <c r="H72" s="165" t="s">
        <v>3493</v>
      </c>
      <c r="I72" s="144">
        <v>46006</v>
      </c>
      <c r="J72">
        <v>-112</v>
      </c>
      <c r="K72" s="165" t="s">
        <v>240</v>
      </c>
      <c r="L72" s="165" t="s">
        <v>8</v>
      </c>
      <c r="M72" s="144">
        <v>46844</v>
      </c>
      <c r="N72" s="146">
        <v>600</v>
      </c>
      <c r="O72">
        <v>500</v>
      </c>
      <c r="P72">
        <v>100</v>
      </c>
      <c r="Q72" s="165" t="s">
        <v>225</v>
      </c>
      <c r="R72" s="165" t="s">
        <v>3494</v>
      </c>
      <c r="S72" t="s">
        <v>241</v>
      </c>
    </row>
    <row r="73" spans="1:19" x14ac:dyDescent="0.25">
      <c r="A73">
        <v>607</v>
      </c>
      <c r="B73" s="144">
        <v>46118</v>
      </c>
      <c r="C73">
        <v>42618</v>
      </c>
      <c r="D73" s="165" t="s">
        <v>3495</v>
      </c>
      <c r="E73" s="165" t="s">
        <v>12</v>
      </c>
      <c r="F73" s="165" t="s">
        <v>274</v>
      </c>
      <c r="G73" s="165" t="s">
        <v>646</v>
      </c>
      <c r="H73" s="165" t="s">
        <v>3496</v>
      </c>
      <c r="I73" s="144">
        <v>46762</v>
      </c>
      <c r="J73">
        <v>644</v>
      </c>
      <c r="K73" s="165" t="s">
        <v>2019</v>
      </c>
      <c r="L73" s="165" t="s">
        <v>8</v>
      </c>
      <c r="M73" s="144">
        <v>46844</v>
      </c>
      <c r="N73" s="146">
        <v>390</v>
      </c>
      <c r="O73">
        <v>0</v>
      </c>
      <c r="P73">
        <v>390</v>
      </c>
      <c r="Q73" s="165" t="s">
        <v>225</v>
      </c>
      <c r="R73" s="165"/>
    </row>
    <row r="74" spans="1:19" x14ac:dyDescent="0.25">
      <c r="A74">
        <v>606</v>
      </c>
      <c r="B74" s="144">
        <v>46118</v>
      </c>
      <c r="C74">
        <v>42618</v>
      </c>
      <c r="D74" s="165" t="s">
        <v>3495</v>
      </c>
      <c r="E74" s="165" t="s">
        <v>12</v>
      </c>
      <c r="F74" s="165" t="s">
        <v>274</v>
      </c>
      <c r="G74" s="165" t="s">
        <v>1807</v>
      </c>
      <c r="H74" s="165" t="s">
        <v>3496</v>
      </c>
      <c r="I74" s="144">
        <v>46762</v>
      </c>
      <c r="J74">
        <v>644</v>
      </c>
      <c r="K74" s="165" t="s">
        <v>240</v>
      </c>
      <c r="L74" s="165" t="s">
        <v>8</v>
      </c>
      <c r="M74" s="144">
        <v>46844</v>
      </c>
      <c r="N74" s="146">
        <v>390</v>
      </c>
      <c r="O74">
        <v>340</v>
      </c>
      <c r="P74">
        <v>50</v>
      </c>
      <c r="Q74" s="165" t="s">
        <v>225</v>
      </c>
      <c r="R74" s="165"/>
      <c r="S74" t="s">
        <v>241</v>
      </c>
    </row>
    <row r="75" spans="1:19" x14ac:dyDescent="0.25">
      <c r="A75">
        <v>605</v>
      </c>
      <c r="B75" s="144">
        <v>46118</v>
      </c>
      <c r="C75">
        <v>42661</v>
      </c>
      <c r="D75" s="165" t="s">
        <v>2420</v>
      </c>
      <c r="E75" s="165" t="s">
        <v>181</v>
      </c>
      <c r="F75" s="165" t="s">
        <v>267</v>
      </c>
      <c r="G75" s="165" t="s">
        <v>576</v>
      </c>
      <c r="H75" s="165" t="s">
        <v>3497</v>
      </c>
      <c r="I75" s="144">
        <v>46790</v>
      </c>
      <c r="J75">
        <v>672</v>
      </c>
      <c r="K75" s="165" t="s">
        <v>2016</v>
      </c>
      <c r="L75" s="165" t="s">
        <v>8</v>
      </c>
      <c r="M75" s="144">
        <v>46844</v>
      </c>
      <c r="N75" s="146">
        <v>1700</v>
      </c>
      <c r="O75">
        <v>0</v>
      </c>
      <c r="P75">
        <v>1700</v>
      </c>
      <c r="Q75" s="165" t="s">
        <v>225</v>
      </c>
      <c r="R75" s="165"/>
    </row>
    <row r="76" spans="1:19" x14ac:dyDescent="0.25">
      <c r="A76">
        <v>604</v>
      </c>
      <c r="B76" s="144">
        <v>46118</v>
      </c>
      <c r="C76">
        <v>42661</v>
      </c>
      <c r="D76" s="165" t="s">
        <v>2420</v>
      </c>
      <c r="E76" s="165" t="s">
        <v>181</v>
      </c>
      <c r="F76" s="165" t="s">
        <v>267</v>
      </c>
      <c r="G76" s="165" t="s">
        <v>1651</v>
      </c>
      <c r="H76" s="165" t="s">
        <v>3497</v>
      </c>
      <c r="I76" s="144">
        <v>46790</v>
      </c>
      <c r="J76">
        <v>672</v>
      </c>
      <c r="K76" s="165" t="s">
        <v>2019</v>
      </c>
      <c r="L76" s="165" t="s">
        <v>8</v>
      </c>
      <c r="M76" s="144">
        <v>46844</v>
      </c>
      <c r="N76" s="146">
        <v>1700</v>
      </c>
      <c r="O76">
        <v>0</v>
      </c>
      <c r="P76">
        <v>1700</v>
      </c>
      <c r="Q76" s="165" t="s">
        <v>225</v>
      </c>
      <c r="R76" s="165" t="s">
        <v>2027</v>
      </c>
    </row>
    <row r="77" spans="1:19" x14ac:dyDescent="0.25">
      <c r="A77">
        <v>603</v>
      </c>
      <c r="B77" s="144">
        <v>46118</v>
      </c>
      <c r="C77">
        <v>42625</v>
      </c>
      <c r="D77" s="165" t="s">
        <v>3498</v>
      </c>
      <c r="E77" s="165" t="s">
        <v>12</v>
      </c>
      <c r="F77" s="165" t="s">
        <v>258</v>
      </c>
      <c r="G77" s="165" t="s">
        <v>1689</v>
      </c>
      <c r="H77" s="165" t="s">
        <v>3499</v>
      </c>
      <c r="I77" s="144">
        <v>46638</v>
      </c>
      <c r="J77">
        <v>520</v>
      </c>
      <c r="K77" s="165" t="s">
        <v>2019</v>
      </c>
      <c r="L77" s="165" t="s">
        <v>8</v>
      </c>
      <c r="M77" s="144">
        <v>46844</v>
      </c>
      <c r="N77" s="146">
        <v>1300</v>
      </c>
      <c r="O77">
        <v>0</v>
      </c>
      <c r="P77">
        <v>1300</v>
      </c>
      <c r="Q77" s="165" t="s">
        <v>225</v>
      </c>
      <c r="R77" s="165"/>
    </row>
    <row r="78" spans="1:19" x14ac:dyDescent="0.25">
      <c r="A78">
        <v>602</v>
      </c>
      <c r="B78" s="144">
        <v>46118</v>
      </c>
      <c r="C78">
        <v>42625</v>
      </c>
      <c r="D78" s="165" t="s">
        <v>3498</v>
      </c>
      <c r="E78" s="165" t="s">
        <v>12</v>
      </c>
      <c r="F78" s="165" t="s">
        <v>258</v>
      </c>
      <c r="G78" s="165" t="s">
        <v>782</v>
      </c>
      <c r="H78" s="165" t="s">
        <v>3499</v>
      </c>
      <c r="I78" s="144">
        <v>46638</v>
      </c>
      <c r="J78">
        <v>520</v>
      </c>
      <c r="K78" s="165" t="s">
        <v>240</v>
      </c>
      <c r="L78" s="165" t="s">
        <v>8</v>
      </c>
      <c r="M78" s="144">
        <v>46844</v>
      </c>
      <c r="N78" s="146">
        <v>1300</v>
      </c>
      <c r="O78">
        <v>1100</v>
      </c>
      <c r="P78">
        <v>200</v>
      </c>
      <c r="Q78" s="165" t="s">
        <v>225</v>
      </c>
      <c r="R78" s="165"/>
      <c r="S78" t="s">
        <v>241</v>
      </c>
    </row>
    <row r="79" spans="1:19" x14ac:dyDescent="0.25">
      <c r="A79">
        <v>601</v>
      </c>
      <c r="B79" s="144">
        <v>46118</v>
      </c>
      <c r="C79">
        <v>42628</v>
      </c>
      <c r="D79" s="165" t="s">
        <v>3500</v>
      </c>
      <c r="E79" s="165" t="s">
        <v>12</v>
      </c>
      <c r="F79" s="165" t="s">
        <v>258</v>
      </c>
      <c r="G79" s="165" t="s">
        <v>1695</v>
      </c>
      <c r="H79" s="165" t="s">
        <v>3501</v>
      </c>
      <c r="I79" s="144">
        <v>46037</v>
      </c>
      <c r="J79">
        <v>-81</v>
      </c>
      <c r="K79" s="165" t="s">
        <v>2019</v>
      </c>
      <c r="L79" s="165" t="s">
        <v>8</v>
      </c>
      <c r="M79" s="144">
        <v>46844</v>
      </c>
      <c r="N79" s="146">
        <v>2000</v>
      </c>
      <c r="O79">
        <v>0</v>
      </c>
      <c r="P79">
        <v>2000</v>
      </c>
      <c r="Q79" s="165" t="s">
        <v>225</v>
      </c>
      <c r="R79" s="165"/>
    </row>
    <row r="80" spans="1:19" x14ac:dyDescent="0.25">
      <c r="A80">
        <v>600</v>
      </c>
      <c r="B80" s="144">
        <v>46118</v>
      </c>
      <c r="C80">
        <v>42628</v>
      </c>
      <c r="D80" s="165" t="s">
        <v>3500</v>
      </c>
      <c r="E80" s="165" t="s">
        <v>12</v>
      </c>
      <c r="F80" s="165" t="s">
        <v>258</v>
      </c>
      <c r="G80" s="165" t="s">
        <v>1029</v>
      </c>
      <c r="H80" s="165" t="s">
        <v>3501</v>
      </c>
      <c r="I80" s="144">
        <v>46037</v>
      </c>
      <c r="J80">
        <v>-81</v>
      </c>
      <c r="K80" s="165" t="s">
        <v>240</v>
      </c>
      <c r="L80" s="165" t="s">
        <v>8</v>
      </c>
      <c r="M80" s="144">
        <v>46844</v>
      </c>
      <c r="N80" s="146">
        <v>2000</v>
      </c>
      <c r="O80">
        <v>0</v>
      </c>
      <c r="P80">
        <v>2000</v>
      </c>
      <c r="Q80" s="165" t="s">
        <v>225</v>
      </c>
      <c r="R80" s="165"/>
      <c r="S80" t="s">
        <v>241</v>
      </c>
    </row>
    <row r="81" spans="1:19" x14ac:dyDescent="0.25">
      <c r="A81">
        <v>599</v>
      </c>
      <c r="B81" s="144">
        <v>46118</v>
      </c>
      <c r="C81">
        <v>42632</v>
      </c>
      <c r="D81" s="165" t="s">
        <v>3502</v>
      </c>
      <c r="E81" s="165" t="s">
        <v>12</v>
      </c>
      <c r="F81" s="165" t="s">
        <v>258</v>
      </c>
      <c r="G81" s="165" t="s">
        <v>1691</v>
      </c>
      <c r="H81" s="165" t="s">
        <v>3503</v>
      </c>
      <c r="I81" s="144">
        <v>46097</v>
      </c>
      <c r="J81">
        <v>-21</v>
      </c>
      <c r="K81" s="165" t="s">
        <v>2019</v>
      </c>
      <c r="L81" s="165" t="s">
        <v>8</v>
      </c>
      <c r="M81" s="144">
        <v>47574</v>
      </c>
      <c r="N81" s="146">
        <v>2300</v>
      </c>
      <c r="O81">
        <v>0</v>
      </c>
      <c r="P81">
        <v>2300</v>
      </c>
      <c r="Q81" s="165" t="s">
        <v>225</v>
      </c>
      <c r="R81" s="165"/>
    </row>
    <row r="82" spans="1:19" x14ac:dyDescent="0.25">
      <c r="A82">
        <v>598</v>
      </c>
      <c r="B82" s="144">
        <v>46118</v>
      </c>
      <c r="C82">
        <v>42632</v>
      </c>
      <c r="D82" s="165" t="s">
        <v>3502</v>
      </c>
      <c r="E82" s="165" t="s">
        <v>12</v>
      </c>
      <c r="F82" s="165" t="s">
        <v>258</v>
      </c>
      <c r="G82" s="165" t="s">
        <v>875</v>
      </c>
      <c r="H82" s="165" t="s">
        <v>3503</v>
      </c>
      <c r="I82" s="144">
        <v>46097</v>
      </c>
      <c r="J82">
        <v>-21</v>
      </c>
      <c r="K82" s="165" t="s">
        <v>240</v>
      </c>
      <c r="L82" s="165" t="s">
        <v>8</v>
      </c>
      <c r="M82" s="144">
        <v>47574</v>
      </c>
      <c r="N82" s="146">
        <v>2300</v>
      </c>
      <c r="O82">
        <v>500</v>
      </c>
      <c r="P82">
        <v>1800</v>
      </c>
      <c r="Q82" s="165" t="s">
        <v>225</v>
      </c>
      <c r="R82" s="165" t="s">
        <v>3504</v>
      </c>
      <c r="S82" t="s">
        <v>241</v>
      </c>
    </row>
    <row r="83" spans="1:19" x14ac:dyDescent="0.25">
      <c r="A83">
        <v>597</v>
      </c>
      <c r="B83" s="144">
        <v>46118</v>
      </c>
      <c r="C83">
        <v>42633</v>
      </c>
      <c r="D83" s="165" t="s">
        <v>3505</v>
      </c>
      <c r="E83" s="165" t="s">
        <v>12</v>
      </c>
      <c r="F83" s="165" t="s">
        <v>3506</v>
      </c>
      <c r="G83" s="165" t="s">
        <v>665</v>
      </c>
      <c r="H83" s="165" t="s">
        <v>3507</v>
      </c>
      <c r="I83" s="144">
        <v>46478</v>
      </c>
      <c r="J83">
        <v>360</v>
      </c>
      <c r="K83" s="165" t="s">
        <v>2019</v>
      </c>
      <c r="L83" s="165" t="s">
        <v>8</v>
      </c>
      <c r="M83" s="144">
        <v>46844</v>
      </c>
      <c r="N83" s="146">
        <v>2000</v>
      </c>
      <c r="O83">
        <v>1000</v>
      </c>
      <c r="P83">
        <v>1000</v>
      </c>
      <c r="Q83" s="165" t="s">
        <v>225</v>
      </c>
      <c r="R83" s="165" t="s">
        <v>2027</v>
      </c>
    </row>
    <row r="84" spans="1:19" x14ac:dyDescent="0.25">
      <c r="A84">
        <v>596</v>
      </c>
      <c r="B84" s="144">
        <v>46114</v>
      </c>
      <c r="C84">
        <v>42672</v>
      </c>
      <c r="D84" s="165" t="s">
        <v>3508</v>
      </c>
      <c r="E84" s="165" t="s">
        <v>15</v>
      </c>
      <c r="F84" s="165" t="s">
        <v>271</v>
      </c>
      <c r="G84" s="165" t="s">
        <v>546</v>
      </c>
      <c r="H84" s="165" t="s">
        <v>3509</v>
      </c>
      <c r="I84" s="144">
        <v>47420</v>
      </c>
      <c r="J84">
        <v>1306</v>
      </c>
      <c r="K84" s="165" t="s">
        <v>2019</v>
      </c>
      <c r="L84" s="165" t="s">
        <v>8</v>
      </c>
      <c r="M84" s="144">
        <v>47209</v>
      </c>
      <c r="N84" s="146">
        <v>3750</v>
      </c>
      <c r="O84">
        <v>0</v>
      </c>
      <c r="P84">
        <v>3750</v>
      </c>
      <c r="Q84" s="165" t="s">
        <v>225</v>
      </c>
      <c r="R84" s="165" t="s">
        <v>2027</v>
      </c>
    </row>
    <row r="85" spans="1:19" x14ac:dyDescent="0.25">
      <c r="A85">
        <v>595</v>
      </c>
      <c r="B85" s="144">
        <v>46114</v>
      </c>
      <c r="C85">
        <v>42688</v>
      </c>
      <c r="D85" s="165" t="s">
        <v>2097</v>
      </c>
      <c r="E85" s="165" t="s">
        <v>106</v>
      </c>
      <c r="F85" s="165" t="s">
        <v>2096</v>
      </c>
      <c r="G85" s="165" t="s">
        <v>479</v>
      </c>
      <c r="H85" s="165" t="s">
        <v>2098</v>
      </c>
      <c r="I85" s="144">
        <v>46896</v>
      </c>
      <c r="J85">
        <v>782</v>
      </c>
      <c r="K85" s="165" t="s">
        <v>2019</v>
      </c>
      <c r="L85" s="165" t="s">
        <v>8</v>
      </c>
      <c r="M85" s="144">
        <v>46844</v>
      </c>
      <c r="N85" s="146">
        <v>2000</v>
      </c>
      <c r="O85">
        <v>0</v>
      </c>
      <c r="P85">
        <v>2000</v>
      </c>
      <c r="Q85" s="165" t="s">
        <v>225</v>
      </c>
      <c r="R85" s="165" t="s">
        <v>2027</v>
      </c>
    </row>
    <row r="86" spans="1:19" x14ac:dyDescent="0.25">
      <c r="A86">
        <v>594</v>
      </c>
      <c r="B86" s="144">
        <v>46114</v>
      </c>
      <c r="C86">
        <v>42615</v>
      </c>
      <c r="D86" s="165" t="s">
        <v>260</v>
      </c>
      <c r="E86" s="165" t="s">
        <v>12</v>
      </c>
      <c r="F86" s="165" t="s">
        <v>293</v>
      </c>
      <c r="G86" s="165" t="s">
        <v>494</v>
      </c>
      <c r="H86" s="165" t="s">
        <v>2294</v>
      </c>
      <c r="I86" s="144">
        <v>47853</v>
      </c>
      <c r="J86">
        <v>1739</v>
      </c>
      <c r="K86" s="165" t="s">
        <v>2019</v>
      </c>
      <c r="L86" s="165" t="s">
        <v>8</v>
      </c>
      <c r="M86" s="144">
        <v>46844</v>
      </c>
      <c r="N86" s="146">
        <v>3000</v>
      </c>
      <c r="O86">
        <v>0</v>
      </c>
      <c r="P86">
        <v>3000</v>
      </c>
      <c r="Q86" s="165" t="s">
        <v>225</v>
      </c>
      <c r="R86" s="165"/>
    </row>
    <row r="87" spans="1:19" x14ac:dyDescent="0.25">
      <c r="A87">
        <v>593</v>
      </c>
      <c r="B87" s="144">
        <v>46114</v>
      </c>
      <c r="C87">
        <v>42615</v>
      </c>
      <c r="D87" s="165" t="s">
        <v>260</v>
      </c>
      <c r="E87" s="165" t="s">
        <v>12</v>
      </c>
      <c r="F87" s="165" t="s">
        <v>293</v>
      </c>
      <c r="G87" s="165" t="s">
        <v>1061</v>
      </c>
      <c r="H87" s="165" t="s">
        <v>2294</v>
      </c>
      <c r="I87" s="144">
        <v>47853</v>
      </c>
      <c r="J87">
        <v>1739</v>
      </c>
      <c r="K87" s="165" t="s">
        <v>240</v>
      </c>
      <c r="L87" s="165" t="s">
        <v>8</v>
      </c>
      <c r="M87" s="144">
        <v>46844</v>
      </c>
      <c r="N87" s="146">
        <v>3000</v>
      </c>
      <c r="O87">
        <v>2000</v>
      </c>
      <c r="P87">
        <v>1000</v>
      </c>
      <c r="Q87" s="165" t="s">
        <v>225</v>
      </c>
      <c r="R87" s="165" t="s">
        <v>3510</v>
      </c>
      <c r="S87" t="s">
        <v>263</v>
      </c>
    </row>
    <row r="88" spans="1:19" x14ac:dyDescent="0.25">
      <c r="A88">
        <v>592</v>
      </c>
      <c r="B88" s="144">
        <v>46114</v>
      </c>
      <c r="C88">
        <v>42664</v>
      </c>
      <c r="D88" s="165" t="s">
        <v>3511</v>
      </c>
      <c r="E88" s="165" t="s">
        <v>181</v>
      </c>
      <c r="F88" s="165" t="s">
        <v>267</v>
      </c>
      <c r="G88" s="165" t="s">
        <v>576</v>
      </c>
      <c r="H88" s="165" t="s">
        <v>3512</v>
      </c>
      <c r="I88" s="144">
        <v>47580</v>
      </c>
      <c r="J88">
        <v>1466</v>
      </c>
      <c r="K88" s="165" t="s">
        <v>2016</v>
      </c>
      <c r="L88" s="165" t="s">
        <v>8</v>
      </c>
      <c r="M88" s="144">
        <v>46844</v>
      </c>
      <c r="N88" s="146">
        <v>4000</v>
      </c>
      <c r="O88">
        <v>0</v>
      </c>
      <c r="P88">
        <v>4000</v>
      </c>
      <c r="Q88" s="165" t="s">
        <v>225</v>
      </c>
      <c r="R88" s="165"/>
    </row>
    <row r="89" spans="1:19" x14ac:dyDescent="0.25">
      <c r="A89">
        <v>591</v>
      </c>
      <c r="B89" s="144">
        <v>46114</v>
      </c>
      <c r="C89">
        <v>42664</v>
      </c>
      <c r="D89" s="165" t="s">
        <v>3511</v>
      </c>
      <c r="E89" s="165" t="s">
        <v>181</v>
      </c>
      <c r="F89" s="165" t="s">
        <v>267</v>
      </c>
      <c r="G89" s="165" t="s">
        <v>5320</v>
      </c>
      <c r="H89" s="165" t="s">
        <v>3512</v>
      </c>
      <c r="I89" s="144">
        <v>47580</v>
      </c>
      <c r="J89">
        <v>1466</v>
      </c>
      <c r="K89" s="165" t="s">
        <v>2019</v>
      </c>
      <c r="L89" s="165" t="s">
        <v>8</v>
      </c>
      <c r="M89" s="144">
        <v>46844</v>
      </c>
      <c r="N89" s="146">
        <v>4000</v>
      </c>
      <c r="O89">
        <v>0</v>
      </c>
      <c r="P89">
        <v>4000</v>
      </c>
      <c r="Q89" s="165" t="s">
        <v>225</v>
      </c>
      <c r="R89" s="165" t="s">
        <v>2027</v>
      </c>
    </row>
    <row r="90" spans="1:19" x14ac:dyDescent="0.25">
      <c r="A90">
        <v>590</v>
      </c>
      <c r="B90" s="144">
        <v>46114</v>
      </c>
      <c r="C90">
        <v>42673</v>
      </c>
      <c r="D90" s="165" t="s">
        <v>3513</v>
      </c>
      <c r="E90" s="165" t="s">
        <v>201</v>
      </c>
      <c r="F90" s="165" t="s">
        <v>3514</v>
      </c>
      <c r="G90" s="165" t="s">
        <v>1855</v>
      </c>
      <c r="H90" s="165" t="s">
        <v>3515</v>
      </c>
      <c r="I90" s="144">
        <v>46250</v>
      </c>
      <c r="J90">
        <v>136</v>
      </c>
      <c r="K90" s="165" t="s">
        <v>2019</v>
      </c>
      <c r="L90" s="165" t="s">
        <v>8</v>
      </c>
      <c r="M90" s="144">
        <v>46844</v>
      </c>
      <c r="N90" s="146">
        <v>6000</v>
      </c>
      <c r="O90">
        <v>0</v>
      </c>
      <c r="P90">
        <v>6000</v>
      </c>
      <c r="Q90" s="165" t="s">
        <v>225</v>
      </c>
      <c r="R90" s="165"/>
    </row>
    <row r="91" spans="1:19" x14ac:dyDescent="0.25">
      <c r="A91">
        <v>589</v>
      </c>
      <c r="B91" s="144">
        <v>46114</v>
      </c>
      <c r="C91">
        <v>42673</v>
      </c>
      <c r="D91" s="165" t="s">
        <v>3513</v>
      </c>
      <c r="E91" s="165" t="s">
        <v>201</v>
      </c>
      <c r="F91" s="165" t="s">
        <v>3514</v>
      </c>
      <c r="G91" s="165" t="s">
        <v>792</v>
      </c>
      <c r="H91" s="165" t="s">
        <v>3515</v>
      </c>
      <c r="I91" s="144">
        <v>46250</v>
      </c>
      <c r="J91">
        <v>136</v>
      </c>
      <c r="K91" s="165" t="s">
        <v>240</v>
      </c>
      <c r="L91" s="165" t="s">
        <v>8</v>
      </c>
      <c r="M91" s="144">
        <v>46844</v>
      </c>
      <c r="N91" s="146">
        <v>6000</v>
      </c>
      <c r="O91">
        <v>1000</v>
      </c>
      <c r="P91">
        <v>5000</v>
      </c>
      <c r="Q91" s="165" t="s">
        <v>225</v>
      </c>
      <c r="R91" s="165"/>
      <c r="S91" t="s">
        <v>241</v>
      </c>
    </row>
    <row r="92" spans="1:19" x14ac:dyDescent="0.25">
      <c r="A92">
        <v>588</v>
      </c>
      <c r="B92" s="144">
        <v>46114</v>
      </c>
      <c r="C92">
        <v>42604</v>
      </c>
      <c r="D92" s="165" t="s">
        <v>2080</v>
      </c>
      <c r="E92" s="165" t="s">
        <v>11</v>
      </c>
      <c r="F92" s="165" t="s">
        <v>2049</v>
      </c>
      <c r="G92" s="165" t="s">
        <v>516</v>
      </c>
      <c r="H92" s="165" t="s">
        <v>2081</v>
      </c>
      <c r="I92" s="144">
        <v>47071</v>
      </c>
      <c r="J92">
        <v>957</v>
      </c>
      <c r="K92" s="165" t="s">
        <v>2019</v>
      </c>
      <c r="L92" s="165" t="s">
        <v>8</v>
      </c>
      <c r="M92" s="144">
        <v>46844</v>
      </c>
      <c r="N92" s="146">
        <v>5600</v>
      </c>
      <c r="O92">
        <v>0</v>
      </c>
      <c r="P92">
        <v>5600</v>
      </c>
      <c r="Q92" s="165" t="s">
        <v>225</v>
      </c>
      <c r="R92" s="165" t="s">
        <v>3516</v>
      </c>
    </row>
    <row r="93" spans="1:19" x14ac:dyDescent="0.25">
      <c r="A93">
        <v>587</v>
      </c>
      <c r="B93" s="144">
        <v>46114</v>
      </c>
      <c r="C93">
        <v>42603</v>
      </c>
      <c r="D93" s="165" t="s">
        <v>2080</v>
      </c>
      <c r="E93" s="165" t="s">
        <v>11</v>
      </c>
      <c r="F93" s="165" t="s">
        <v>258</v>
      </c>
      <c r="G93" s="165" t="s">
        <v>1086</v>
      </c>
      <c r="H93" s="165" t="s">
        <v>2081</v>
      </c>
      <c r="I93" s="144">
        <v>47071</v>
      </c>
      <c r="J93">
        <v>957</v>
      </c>
      <c r="K93" s="165" t="s">
        <v>240</v>
      </c>
      <c r="L93" s="165" t="s">
        <v>8</v>
      </c>
      <c r="M93" s="144">
        <v>46844</v>
      </c>
      <c r="N93" s="146">
        <v>3600</v>
      </c>
      <c r="O93">
        <v>2000</v>
      </c>
      <c r="P93">
        <v>1600</v>
      </c>
      <c r="Q93" s="165" t="s">
        <v>225</v>
      </c>
      <c r="R93" s="165"/>
      <c r="S93" t="s">
        <v>241</v>
      </c>
    </row>
    <row r="94" spans="1:19" x14ac:dyDescent="0.25">
      <c r="A94">
        <v>586</v>
      </c>
      <c r="B94" s="144">
        <v>46114</v>
      </c>
      <c r="C94">
        <v>42608</v>
      </c>
      <c r="D94" s="165" t="s">
        <v>2051</v>
      </c>
      <c r="E94" s="165" t="s">
        <v>141</v>
      </c>
      <c r="F94" s="165" t="s">
        <v>258</v>
      </c>
      <c r="G94" s="165" t="s">
        <v>2789</v>
      </c>
      <c r="H94" s="165" t="s">
        <v>2054</v>
      </c>
      <c r="I94" s="144">
        <v>46047</v>
      </c>
      <c r="J94">
        <v>-67</v>
      </c>
      <c r="K94" s="165" t="s">
        <v>2019</v>
      </c>
      <c r="L94" s="165" t="s">
        <v>8</v>
      </c>
      <c r="M94" s="144">
        <v>47574</v>
      </c>
      <c r="N94" s="146">
        <v>3000</v>
      </c>
      <c r="O94">
        <v>0</v>
      </c>
      <c r="P94">
        <v>3000</v>
      </c>
      <c r="Q94" s="165" t="s">
        <v>225</v>
      </c>
      <c r="R94" s="165"/>
    </row>
    <row r="95" spans="1:19" x14ac:dyDescent="0.25">
      <c r="A95">
        <v>585</v>
      </c>
      <c r="B95" s="144">
        <v>46114</v>
      </c>
      <c r="C95">
        <v>42608</v>
      </c>
      <c r="D95" s="165" t="s">
        <v>2051</v>
      </c>
      <c r="E95" s="165" t="s">
        <v>141</v>
      </c>
      <c r="F95" s="165" t="s">
        <v>258</v>
      </c>
      <c r="G95" s="165" t="s">
        <v>1096</v>
      </c>
      <c r="H95" s="165" t="s">
        <v>2054</v>
      </c>
      <c r="I95" s="144">
        <v>46047</v>
      </c>
      <c r="J95">
        <v>-67</v>
      </c>
      <c r="K95" s="165" t="s">
        <v>240</v>
      </c>
      <c r="L95" s="165" t="s">
        <v>8</v>
      </c>
      <c r="M95" s="144">
        <v>47574</v>
      </c>
      <c r="N95" s="146">
        <v>3000</v>
      </c>
      <c r="O95">
        <v>400</v>
      </c>
      <c r="P95">
        <v>2600</v>
      </c>
      <c r="Q95" s="165" t="s">
        <v>225</v>
      </c>
      <c r="R95" s="165"/>
      <c r="S95" t="s">
        <v>241</v>
      </c>
    </row>
    <row r="96" spans="1:19" x14ac:dyDescent="0.25">
      <c r="A96">
        <v>584</v>
      </c>
      <c r="B96" s="144">
        <v>46114</v>
      </c>
      <c r="C96">
        <v>42617</v>
      </c>
      <c r="D96" s="165" t="s">
        <v>3517</v>
      </c>
      <c r="E96" s="165" t="s">
        <v>12</v>
      </c>
      <c r="F96" s="165" t="s">
        <v>293</v>
      </c>
      <c r="G96" s="165" t="s">
        <v>677</v>
      </c>
      <c r="H96" s="165" t="s">
        <v>3518</v>
      </c>
      <c r="I96" s="144">
        <v>47133</v>
      </c>
      <c r="J96">
        <v>1019</v>
      </c>
      <c r="K96" s="165" t="s">
        <v>2019</v>
      </c>
      <c r="L96" s="165" t="s">
        <v>8</v>
      </c>
      <c r="M96" s="144">
        <v>46844</v>
      </c>
      <c r="N96" s="146">
        <v>2000</v>
      </c>
      <c r="O96">
        <v>0</v>
      </c>
      <c r="P96">
        <v>2000</v>
      </c>
      <c r="Q96" s="165" t="s">
        <v>225</v>
      </c>
      <c r="R96" s="165"/>
    </row>
    <row r="97" spans="1:19" x14ac:dyDescent="0.25">
      <c r="A97">
        <v>583</v>
      </c>
      <c r="B97" s="144">
        <v>46114</v>
      </c>
      <c r="C97">
        <v>42617</v>
      </c>
      <c r="D97" s="165" t="s">
        <v>3517</v>
      </c>
      <c r="E97" s="165" t="s">
        <v>12</v>
      </c>
      <c r="F97" s="165" t="s">
        <v>293</v>
      </c>
      <c r="G97" s="165" t="s">
        <v>1353</v>
      </c>
      <c r="H97" s="165" t="s">
        <v>3518</v>
      </c>
      <c r="I97" s="144">
        <v>47133</v>
      </c>
      <c r="J97">
        <v>1019</v>
      </c>
      <c r="K97" s="165" t="s">
        <v>240</v>
      </c>
      <c r="L97" s="165" t="s">
        <v>8</v>
      </c>
      <c r="M97" s="144">
        <v>46844</v>
      </c>
      <c r="N97" s="146">
        <v>2000</v>
      </c>
      <c r="O97">
        <v>300</v>
      </c>
      <c r="P97">
        <v>1700</v>
      </c>
      <c r="Q97" s="165" t="s">
        <v>225</v>
      </c>
      <c r="R97" s="165"/>
      <c r="S97" t="s">
        <v>263</v>
      </c>
    </row>
    <row r="98" spans="1:19" x14ac:dyDescent="0.25">
      <c r="A98">
        <v>582</v>
      </c>
      <c r="B98" s="144">
        <v>46114</v>
      </c>
      <c r="C98">
        <v>42622</v>
      </c>
      <c r="D98" s="165" t="s">
        <v>3519</v>
      </c>
      <c r="E98" s="165" t="s">
        <v>12</v>
      </c>
      <c r="F98" s="165" t="s">
        <v>258</v>
      </c>
      <c r="G98" s="165" t="s">
        <v>610</v>
      </c>
      <c r="H98" s="165" t="s">
        <v>3520</v>
      </c>
      <c r="I98" s="144">
        <v>46162</v>
      </c>
      <c r="J98">
        <v>48</v>
      </c>
      <c r="K98" s="165" t="s">
        <v>2019</v>
      </c>
      <c r="L98" s="165" t="s">
        <v>8</v>
      </c>
      <c r="M98" s="144">
        <v>46844</v>
      </c>
      <c r="N98" s="146">
        <v>2800</v>
      </c>
      <c r="O98">
        <v>0</v>
      </c>
      <c r="P98">
        <v>2800</v>
      </c>
      <c r="Q98" s="165" t="s">
        <v>225</v>
      </c>
      <c r="R98" s="165"/>
    </row>
    <row r="99" spans="1:19" x14ac:dyDescent="0.25">
      <c r="A99">
        <v>581</v>
      </c>
      <c r="B99" s="144">
        <v>46114</v>
      </c>
      <c r="C99">
        <v>42622</v>
      </c>
      <c r="D99" s="165" t="s">
        <v>3519</v>
      </c>
      <c r="E99" s="165" t="s">
        <v>12</v>
      </c>
      <c r="F99" s="165" t="s">
        <v>258</v>
      </c>
      <c r="G99" s="165" t="s">
        <v>1230</v>
      </c>
      <c r="H99" s="165" t="s">
        <v>3520</v>
      </c>
      <c r="I99" s="144">
        <v>46162</v>
      </c>
      <c r="J99">
        <v>48</v>
      </c>
      <c r="K99" s="165" t="s">
        <v>240</v>
      </c>
      <c r="L99" s="165" t="s">
        <v>8</v>
      </c>
      <c r="M99" s="144">
        <v>46844</v>
      </c>
      <c r="N99" s="146">
        <v>2800</v>
      </c>
      <c r="O99">
        <v>800</v>
      </c>
      <c r="P99">
        <v>2000</v>
      </c>
      <c r="Q99" s="165" t="s">
        <v>225</v>
      </c>
      <c r="R99" s="165"/>
      <c r="S99" t="s">
        <v>241</v>
      </c>
    </row>
    <row r="100" spans="1:19" x14ac:dyDescent="0.25">
      <c r="A100">
        <v>580</v>
      </c>
      <c r="B100" s="144">
        <v>46114</v>
      </c>
      <c r="C100">
        <v>42605</v>
      </c>
      <c r="D100" s="165" t="s">
        <v>2078</v>
      </c>
      <c r="E100" s="165" t="s">
        <v>11</v>
      </c>
      <c r="F100" s="165" t="s">
        <v>258</v>
      </c>
      <c r="G100" s="165" t="s">
        <v>612</v>
      </c>
      <c r="H100" s="165" t="s">
        <v>2079</v>
      </c>
      <c r="I100" s="144">
        <v>46145</v>
      </c>
      <c r="J100">
        <v>31</v>
      </c>
      <c r="K100" s="165" t="s">
        <v>2019</v>
      </c>
      <c r="L100" s="165" t="s">
        <v>8</v>
      </c>
      <c r="M100" s="144">
        <v>46753</v>
      </c>
      <c r="N100" s="146">
        <v>5000</v>
      </c>
      <c r="O100">
        <v>0</v>
      </c>
      <c r="P100">
        <v>5000</v>
      </c>
      <c r="Q100" s="165" t="s">
        <v>225</v>
      </c>
      <c r="R100" s="165"/>
    </row>
    <row r="101" spans="1:19" x14ac:dyDescent="0.25">
      <c r="A101">
        <v>579</v>
      </c>
      <c r="B101" s="144">
        <v>46114</v>
      </c>
      <c r="C101">
        <v>42605</v>
      </c>
      <c r="D101" s="165" t="s">
        <v>2078</v>
      </c>
      <c r="E101" s="165" t="s">
        <v>11</v>
      </c>
      <c r="F101" s="165" t="s">
        <v>258</v>
      </c>
      <c r="G101" s="165" t="s">
        <v>1232</v>
      </c>
      <c r="H101" s="165" t="s">
        <v>2079</v>
      </c>
      <c r="I101" s="144">
        <v>46145</v>
      </c>
      <c r="J101">
        <v>31</v>
      </c>
      <c r="K101" s="165" t="s">
        <v>240</v>
      </c>
      <c r="L101" s="165" t="s">
        <v>8</v>
      </c>
      <c r="M101" s="144">
        <v>46753</v>
      </c>
      <c r="N101" s="146">
        <v>5000</v>
      </c>
      <c r="O101">
        <v>1000</v>
      </c>
      <c r="P101">
        <v>4000</v>
      </c>
      <c r="Q101" s="165" t="s">
        <v>225</v>
      </c>
      <c r="R101" s="165"/>
      <c r="S101" t="s">
        <v>241</v>
      </c>
    </row>
    <row r="102" spans="1:19" x14ac:dyDescent="0.25">
      <c r="A102">
        <v>578</v>
      </c>
      <c r="B102" s="144">
        <v>46114</v>
      </c>
      <c r="C102">
        <v>42683</v>
      </c>
      <c r="D102" s="165" t="s">
        <v>3521</v>
      </c>
      <c r="E102" s="165" t="s">
        <v>3035</v>
      </c>
      <c r="F102" s="165" t="s">
        <v>3522</v>
      </c>
      <c r="G102" s="165" t="s">
        <v>576</v>
      </c>
      <c r="H102" s="165" t="s">
        <v>3523</v>
      </c>
      <c r="I102" s="144">
        <v>47719</v>
      </c>
      <c r="J102">
        <v>1605</v>
      </c>
      <c r="K102" s="165" t="s">
        <v>2016</v>
      </c>
      <c r="L102" s="165" t="s">
        <v>8</v>
      </c>
      <c r="M102" s="144">
        <v>46844</v>
      </c>
      <c r="N102" s="146">
        <v>7000</v>
      </c>
      <c r="O102">
        <v>0</v>
      </c>
      <c r="P102">
        <v>7000</v>
      </c>
      <c r="Q102" s="165" t="s">
        <v>225</v>
      </c>
      <c r="R102" s="165"/>
    </row>
    <row r="103" spans="1:19" x14ac:dyDescent="0.25">
      <c r="A103">
        <v>577</v>
      </c>
      <c r="B103" s="144">
        <v>46114</v>
      </c>
      <c r="C103">
        <v>42683</v>
      </c>
      <c r="D103" s="165" t="s">
        <v>3521</v>
      </c>
      <c r="E103" s="165" t="s">
        <v>3035</v>
      </c>
      <c r="F103" s="165" t="s">
        <v>3522</v>
      </c>
      <c r="G103" s="165" t="s">
        <v>419</v>
      </c>
      <c r="H103" s="165" t="s">
        <v>3523</v>
      </c>
      <c r="I103" s="144">
        <v>47719</v>
      </c>
      <c r="J103">
        <v>1605</v>
      </c>
      <c r="K103" s="165" t="s">
        <v>2019</v>
      </c>
      <c r="L103" s="165" t="s">
        <v>8</v>
      </c>
      <c r="M103" s="144">
        <v>46844</v>
      </c>
      <c r="N103" s="146">
        <v>7000</v>
      </c>
      <c r="O103">
        <v>0</v>
      </c>
      <c r="P103">
        <v>7000</v>
      </c>
      <c r="Q103" s="165" t="s">
        <v>225</v>
      </c>
      <c r="R103" s="165" t="s">
        <v>3524</v>
      </c>
    </row>
    <row r="104" spans="1:19" x14ac:dyDescent="0.25">
      <c r="A104">
        <v>576</v>
      </c>
      <c r="B104" s="144">
        <v>46114</v>
      </c>
      <c r="C104">
        <v>42616</v>
      </c>
      <c r="D104" s="165" t="s">
        <v>3525</v>
      </c>
      <c r="E104" s="165" t="s">
        <v>12</v>
      </c>
      <c r="F104" s="165" t="s">
        <v>293</v>
      </c>
      <c r="G104" s="165" t="s">
        <v>506</v>
      </c>
      <c r="H104" s="165" t="s">
        <v>3526</v>
      </c>
      <c r="I104" s="144">
        <v>47448</v>
      </c>
      <c r="J104">
        <v>1334</v>
      </c>
      <c r="K104" s="165" t="s">
        <v>2019</v>
      </c>
      <c r="L104" s="165" t="s">
        <v>8</v>
      </c>
      <c r="M104" s="144">
        <v>46844</v>
      </c>
      <c r="N104" s="146">
        <v>8000</v>
      </c>
      <c r="O104">
        <v>0</v>
      </c>
      <c r="P104">
        <v>8000</v>
      </c>
      <c r="Q104" s="165" t="s">
        <v>225</v>
      </c>
      <c r="R104" s="165" t="s">
        <v>2027</v>
      </c>
    </row>
    <row r="105" spans="1:19" x14ac:dyDescent="0.25">
      <c r="A105">
        <v>575</v>
      </c>
      <c r="B105" s="144">
        <v>46114</v>
      </c>
      <c r="C105">
        <v>42613</v>
      </c>
      <c r="D105" s="165" t="s">
        <v>2411</v>
      </c>
      <c r="E105" s="165" t="s">
        <v>2148</v>
      </c>
      <c r="F105" s="165" t="s">
        <v>2412</v>
      </c>
      <c r="G105" s="165" t="s">
        <v>2809</v>
      </c>
      <c r="H105" s="165" t="s">
        <v>2466</v>
      </c>
      <c r="I105" s="144">
        <v>45610</v>
      </c>
      <c r="J105">
        <v>-504</v>
      </c>
      <c r="K105" s="165" t="s">
        <v>240</v>
      </c>
      <c r="L105" s="165" t="s">
        <v>8</v>
      </c>
      <c r="M105" s="144">
        <v>47209</v>
      </c>
      <c r="N105" s="146">
        <v>1600</v>
      </c>
      <c r="O105">
        <v>100</v>
      </c>
      <c r="P105">
        <v>1500</v>
      </c>
      <c r="Q105" s="165" t="s">
        <v>225</v>
      </c>
      <c r="R105" s="165" t="s">
        <v>3527</v>
      </c>
      <c r="S105" t="s">
        <v>2030</v>
      </c>
    </row>
    <row r="106" spans="1:19" x14ac:dyDescent="0.25">
      <c r="A106">
        <v>574</v>
      </c>
      <c r="B106" s="144">
        <v>46114</v>
      </c>
      <c r="C106">
        <v>42623</v>
      </c>
      <c r="D106" s="165" t="s">
        <v>3528</v>
      </c>
      <c r="E106" s="165" t="s">
        <v>12</v>
      </c>
      <c r="F106" s="165" t="s">
        <v>255</v>
      </c>
      <c r="G106" s="165" t="s">
        <v>592</v>
      </c>
      <c r="H106" s="165" t="s">
        <v>3529</v>
      </c>
      <c r="I106" s="144">
        <v>47025</v>
      </c>
      <c r="J106">
        <v>911</v>
      </c>
      <c r="K106" s="165" t="s">
        <v>2019</v>
      </c>
      <c r="L106" s="165" t="s">
        <v>8</v>
      </c>
      <c r="M106" s="144">
        <v>46844</v>
      </c>
      <c r="N106" s="146">
        <v>8333</v>
      </c>
      <c r="O106">
        <v>0</v>
      </c>
      <c r="P106">
        <v>8333</v>
      </c>
      <c r="Q106" s="165" t="s">
        <v>225</v>
      </c>
      <c r="R106" s="165"/>
    </row>
    <row r="107" spans="1:19" x14ac:dyDescent="0.25">
      <c r="A107">
        <v>573</v>
      </c>
      <c r="B107" s="144">
        <v>46114</v>
      </c>
      <c r="C107">
        <v>42623</v>
      </c>
      <c r="D107" s="165" t="s">
        <v>3528</v>
      </c>
      <c r="E107" s="165" t="s">
        <v>12</v>
      </c>
      <c r="F107" s="165" t="s">
        <v>255</v>
      </c>
      <c r="G107" s="165" t="s">
        <v>1206</v>
      </c>
      <c r="H107" s="165" t="s">
        <v>3529</v>
      </c>
      <c r="I107" s="144">
        <v>47025</v>
      </c>
      <c r="J107">
        <v>911</v>
      </c>
      <c r="K107" s="165" t="s">
        <v>240</v>
      </c>
      <c r="L107" s="165" t="s">
        <v>8</v>
      </c>
      <c r="M107" s="144">
        <v>46844</v>
      </c>
      <c r="N107" s="146">
        <v>8333</v>
      </c>
      <c r="O107">
        <v>700</v>
      </c>
      <c r="P107">
        <v>7633</v>
      </c>
      <c r="Q107" s="165" t="s">
        <v>225</v>
      </c>
      <c r="R107" s="165"/>
      <c r="S107" t="s">
        <v>241</v>
      </c>
    </row>
    <row r="108" spans="1:19" x14ac:dyDescent="0.25">
      <c r="A108">
        <v>572</v>
      </c>
      <c r="B108" s="144">
        <v>46114</v>
      </c>
      <c r="C108">
        <v>42659</v>
      </c>
      <c r="D108" s="165" t="s">
        <v>2274</v>
      </c>
      <c r="E108" s="165" t="s">
        <v>181</v>
      </c>
      <c r="F108" s="165" t="s">
        <v>247</v>
      </c>
      <c r="G108" s="165" t="s">
        <v>646</v>
      </c>
      <c r="H108" s="165" t="s">
        <v>2275</v>
      </c>
      <c r="I108" s="144">
        <v>46104</v>
      </c>
      <c r="J108">
        <v>-10</v>
      </c>
      <c r="K108" s="165" t="s">
        <v>2019</v>
      </c>
      <c r="L108" s="165" t="s">
        <v>8</v>
      </c>
      <c r="M108" s="144">
        <v>46844</v>
      </c>
      <c r="N108" s="146">
        <v>9901</v>
      </c>
      <c r="O108">
        <v>0</v>
      </c>
      <c r="P108">
        <v>9901</v>
      </c>
      <c r="Q108" s="165" t="s">
        <v>225</v>
      </c>
      <c r="R108" s="165"/>
    </row>
    <row r="109" spans="1:19" x14ac:dyDescent="0.25">
      <c r="A109">
        <v>571</v>
      </c>
      <c r="B109" s="144">
        <v>46114</v>
      </c>
      <c r="C109">
        <v>42659</v>
      </c>
      <c r="D109" s="165" t="s">
        <v>2274</v>
      </c>
      <c r="E109" s="165" t="s">
        <v>181</v>
      </c>
      <c r="F109" s="165" t="s">
        <v>247</v>
      </c>
      <c r="G109" s="165" t="s">
        <v>1286</v>
      </c>
      <c r="H109" s="165" t="s">
        <v>2275</v>
      </c>
      <c r="I109" s="144">
        <v>46104</v>
      </c>
      <c r="J109">
        <v>-10</v>
      </c>
      <c r="K109" s="165" t="s">
        <v>240</v>
      </c>
      <c r="L109" s="165" t="s">
        <v>8</v>
      </c>
      <c r="M109" s="144">
        <v>46844</v>
      </c>
      <c r="N109" s="146">
        <v>9901</v>
      </c>
      <c r="O109">
        <v>1200</v>
      </c>
      <c r="P109">
        <v>8701</v>
      </c>
      <c r="Q109" s="165" t="s">
        <v>225</v>
      </c>
      <c r="R109" s="165"/>
      <c r="S109" t="s">
        <v>241</v>
      </c>
    </row>
    <row r="110" spans="1:19" x14ac:dyDescent="0.25">
      <c r="A110">
        <v>570</v>
      </c>
      <c r="B110" s="144">
        <v>46114</v>
      </c>
      <c r="C110">
        <v>42643</v>
      </c>
      <c r="D110" s="165" t="s">
        <v>3530</v>
      </c>
      <c r="E110" s="165" t="s">
        <v>17</v>
      </c>
      <c r="F110" s="165" t="s">
        <v>2279</v>
      </c>
      <c r="G110" s="165" t="s">
        <v>1182</v>
      </c>
      <c r="H110" s="165" t="s">
        <v>3531</v>
      </c>
      <c r="I110" s="144">
        <v>46190</v>
      </c>
      <c r="J110">
        <v>76</v>
      </c>
      <c r="K110" s="165" t="s">
        <v>2019</v>
      </c>
      <c r="L110" s="165" t="s">
        <v>8</v>
      </c>
      <c r="M110" s="144">
        <v>46844</v>
      </c>
      <c r="N110" s="146">
        <v>5650</v>
      </c>
      <c r="O110">
        <v>0</v>
      </c>
      <c r="P110">
        <v>5650</v>
      </c>
      <c r="Q110" s="165" t="s">
        <v>225</v>
      </c>
      <c r="R110" s="165"/>
      <c r="S110" t="s">
        <v>241</v>
      </c>
    </row>
    <row r="111" spans="1:19" x14ac:dyDescent="0.25">
      <c r="A111">
        <v>569</v>
      </c>
      <c r="B111" s="144">
        <v>46114</v>
      </c>
      <c r="C111">
        <v>42643</v>
      </c>
      <c r="D111" s="165" t="s">
        <v>3530</v>
      </c>
      <c r="E111" s="165" t="s">
        <v>17</v>
      </c>
      <c r="F111" s="165" t="s">
        <v>2279</v>
      </c>
      <c r="G111" s="165" t="s">
        <v>1182</v>
      </c>
      <c r="H111" s="165" t="s">
        <v>3531</v>
      </c>
      <c r="I111" s="144">
        <v>46190</v>
      </c>
      <c r="J111">
        <v>76</v>
      </c>
      <c r="K111" s="165" t="s">
        <v>240</v>
      </c>
      <c r="L111" s="165" t="s">
        <v>8</v>
      </c>
      <c r="M111" s="144">
        <v>46844</v>
      </c>
      <c r="N111" s="146">
        <v>5650</v>
      </c>
      <c r="O111">
        <v>800</v>
      </c>
      <c r="P111">
        <v>4850</v>
      </c>
      <c r="Q111" s="165" t="s">
        <v>225</v>
      </c>
      <c r="R111" s="165"/>
      <c r="S111" t="s">
        <v>241</v>
      </c>
    </row>
    <row r="112" spans="1:19" x14ac:dyDescent="0.25">
      <c r="A112">
        <v>568</v>
      </c>
      <c r="B112" s="144">
        <v>46114</v>
      </c>
      <c r="C112">
        <v>42662</v>
      </c>
      <c r="D112" s="165" t="s">
        <v>2352</v>
      </c>
      <c r="E112" s="165" t="s">
        <v>181</v>
      </c>
      <c r="F112" s="165" t="s">
        <v>247</v>
      </c>
      <c r="G112" s="165" t="s">
        <v>2968</v>
      </c>
      <c r="H112" s="165" t="s">
        <v>2451</v>
      </c>
      <c r="I112" s="144">
        <v>47113</v>
      </c>
      <c r="J112">
        <v>999</v>
      </c>
      <c r="K112" s="165" t="s">
        <v>2019</v>
      </c>
      <c r="L112" s="165" t="s">
        <v>8</v>
      </c>
      <c r="M112" s="144">
        <v>46844</v>
      </c>
      <c r="N112" s="146">
        <v>9901</v>
      </c>
      <c r="O112">
        <v>0</v>
      </c>
      <c r="P112">
        <v>9901</v>
      </c>
      <c r="Q112" s="165" t="s">
        <v>225</v>
      </c>
      <c r="R112" s="165"/>
    </row>
    <row r="113" spans="1:19" x14ac:dyDescent="0.25">
      <c r="A113">
        <v>567</v>
      </c>
      <c r="B113" s="144">
        <v>46114</v>
      </c>
      <c r="C113">
        <v>42662</v>
      </c>
      <c r="D113" s="165" t="s">
        <v>2352</v>
      </c>
      <c r="E113" s="165" t="s">
        <v>181</v>
      </c>
      <c r="F113" s="165" t="s">
        <v>247</v>
      </c>
      <c r="G113" s="165" t="s">
        <v>919</v>
      </c>
      <c r="H113" s="165" t="s">
        <v>2451</v>
      </c>
      <c r="I113" s="144">
        <v>47113</v>
      </c>
      <c r="J113">
        <v>999</v>
      </c>
      <c r="K113" s="165" t="s">
        <v>240</v>
      </c>
      <c r="L113" s="165" t="s">
        <v>8</v>
      </c>
      <c r="M113" s="144">
        <v>46844</v>
      </c>
      <c r="N113" s="146">
        <v>9901</v>
      </c>
      <c r="O113">
        <v>0</v>
      </c>
      <c r="P113">
        <v>9901</v>
      </c>
      <c r="Q113" s="165" t="s">
        <v>225</v>
      </c>
      <c r="R113" s="165"/>
      <c r="S113" t="s">
        <v>241</v>
      </c>
    </row>
    <row r="114" spans="1:19" x14ac:dyDescent="0.25">
      <c r="A114">
        <v>566</v>
      </c>
      <c r="B114" s="144">
        <v>46114</v>
      </c>
      <c r="C114">
        <v>42670</v>
      </c>
      <c r="D114" s="165" t="s">
        <v>2452</v>
      </c>
      <c r="E114" s="165" t="s">
        <v>15</v>
      </c>
      <c r="F114" s="165" t="s">
        <v>299</v>
      </c>
      <c r="G114" s="165" t="s">
        <v>576</v>
      </c>
      <c r="H114" s="165" t="s">
        <v>3532</v>
      </c>
      <c r="I114" s="144">
        <v>47797</v>
      </c>
      <c r="J114">
        <v>1683</v>
      </c>
      <c r="K114" s="165" t="s">
        <v>2016</v>
      </c>
      <c r="L114" s="165" t="s">
        <v>8</v>
      </c>
      <c r="M114" s="144">
        <v>46844</v>
      </c>
      <c r="N114" s="146">
        <v>7742</v>
      </c>
      <c r="O114">
        <v>0</v>
      </c>
      <c r="P114">
        <v>7742</v>
      </c>
      <c r="Q114" s="165" t="s">
        <v>225</v>
      </c>
      <c r="R114" s="165"/>
    </row>
    <row r="115" spans="1:19" x14ac:dyDescent="0.25">
      <c r="A115">
        <v>565</v>
      </c>
      <c r="B115" s="144">
        <v>46114</v>
      </c>
      <c r="C115">
        <v>42670</v>
      </c>
      <c r="D115" s="165" t="s">
        <v>2452</v>
      </c>
      <c r="E115" s="165" t="s">
        <v>15</v>
      </c>
      <c r="F115" s="165" t="s">
        <v>299</v>
      </c>
      <c r="G115" s="165" t="s">
        <v>699</v>
      </c>
      <c r="H115" s="165" t="s">
        <v>3532</v>
      </c>
      <c r="I115" s="144">
        <v>47797</v>
      </c>
      <c r="J115">
        <v>1683</v>
      </c>
      <c r="K115" s="165" t="s">
        <v>2019</v>
      </c>
      <c r="L115" s="165" t="s">
        <v>8</v>
      </c>
      <c r="M115" s="144">
        <v>46844</v>
      </c>
      <c r="N115" s="146">
        <v>7742</v>
      </c>
      <c r="O115">
        <v>0</v>
      </c>
      <c r="P115">
        <v>7742</v>
      </c>
      <c r="Q115" s="165" t="s">
        <v>225</v>
      </c>
      <c r="R115" s="165" t="s">
        <v>2027</v>
      </c>
    </row>
    <row r="116" spans="1:19" x14ac:dyDescent="0.25">
      <c r="A116">
        <v>564</v>
      </c>
      <c r="B116" s="144">
        <v>46114</v>
      </c>
      <c r="C116">
        <v>42667</v>
      </c>
      <c r="D116" s="165" t="s">
        <v>2316</v>
      </c>
      <c r="E116" s="165" t="s">
        <v>15</v>
      </c>
      <c r="F116" s="165" t="s">
        <v>3533</v>
      </c>
      <c r="G116" s="165" t="s">
        <v>409</v>
      </c>
      <c r="H116" s="165" t="s">
        <v>3534</v>
      </c>
      <c r="I116" s="144">
        <v>47605</v>
      </c>
      <c r="J116">
        <v>1491</v>
      </c>
      <c r="K116" s="165" t="s">
        <v>2019</v>
      </c>
      <c r="L116" s="165" t="s">
        <v>8</v>
      </c>
      <c r="M116" s="144">
        <v>46844</v>
      </c>
      <c r="N116" s="146">
        <v>4167</v>
      </c>
      <c r="O116">
        <v>0</v>
      </c>
      <c r="P116">
        <v>4167</v>
      </c>
      <c r="Q116" s="165" t="s">
        <v>225</v>
      </c>
      <c r="R116" s="165" t="s">
        <v>2027</v>
      </c>
    </row>
    <row r="117" spans="1:19" x14ac:dyDescent="0.25">
      <c r="A117">
        <v>563</v>
      </c>
      <c r="B117" s="144">
        <v>46114</v>
      </c>
      <c r="C117">
        <v>42666</v>
      </c>
      <c r="D117" s="165" t="s">
        <v>3535</v>
      </c>
      <c r="E117" s="165" t="s">
        <v>15</v>
      </c>
      <c r="F117" s="165" t="s">
        <v>247</v>
      </c>
      <c r="G117" s="165" t="s">
        <v>576</v>
      </c>
      <c r="H117" s="165" t="s">
        <v>3536</v>
      </c>
      <c r="I117" s="144">
        <v>46152</v>
      </c>
      <c r="J117">
        <v>38</v>
      </c>
      <c r="K117" s="165" t="s">
        <v>2016</v>
      </c>
      <c r="L117" s="165" t="s">
        <v>8</v>
      </c>
      <c r="M117" s="144">
        <v>46844</v>
      </c>
      <c r="N117" s="146">
        <v>4800</v>
      </c>
      <c r="O117">
        <v>0</v>
      </c>
      <c r="P117">
        <v>4800</v>
      </c>
      <c r="Q117" s="165" t="s">
        <v>225</v>
      </c>
      <c r="R117" s="165"/>
    </row>
    <row r="118" spans="1:19" x14ac:dyDescent="0.25">
      <c r="A118">
        <v>562</v>
      </c>
      <c r="B118" s="144">
        <v>46114</v>
      </c>
      <c r="C118">
        <v>42666</v>
      </c>
      <c r="D118" s="165" t="s">
        <v>3535</v>
      </c>
      <c r="E118" s="165" t="s">
        <v>15</v>
      </c>
      <c r="F118" s="165" t="s">
        <v>247</v>
      </c>
      <c r="G118" s="165" t="s">
        <v>471</v>
      </c>
      <c r="H118" s="165" t="s">
        <v>3536</v>
      </c>
      <c r="I118" s="144">
        <v>46152</v>
      </c>
      <c r="J118">
        <v>38</v>
      </c>
      <c r="K118" s="165" t="s">
        <v>2019</v>
      </c>
      <c r="L118" s="165" t="s">
        <v>8</v>
      </c>
      <c r="M118" s="144">
        <v>46844</v>
      </c>
      <c r="N118" s="146">
        <v>4800</v>
      </c>
      <c r="O118">
        <v>0</v>
      </c>
      <c r="P118">
        <v>4800</v>
      </c>
      <c r="Q118" s="165" t="s">
        <v>225</v>
      </c>
      <c r="R118" s="165"/>
    </row>
    <row r="119" spans="1:19" x14ac:dyDescent="0.25">
      <c r="A119">
        <v>561</v>
      </c>
      <c r="B119" s="144">
        <v>46114</v>
      </c>
      <c r="C119">
        <v>42666</v>
      </c>
      <c r="D119" s="165" t="s">
        <v>3535</v>
      </c>
      <c r="E119" s="165" t="s">
        <v>15</v>
      </c>
      <c r="F119" s="165" t="s">
        <v>247</v>
      </c>
      <c r="G119" s="165" t="s">
        <v>1713</v>
      </c>
      <c r="H119" s="165" t="s">
        <v>3536</v>
      </c>
      <c r="I119" s="144">
        <v>46152</v>
      </c>
      <c r="J119">
        <v>38</v>
      </c>
      <c r="K119" s="165" t="s">
        <v>240</v>
      </c>
      <c r="L119" s="165" t="s">
        <v>8</v>
      </c>
      <c r="M119" s="144">
        <v>46844</v>
      </c>
      <c r="N119" s="146">
        <v>4800</v>
      </c>
      <c r="O119">
        <v>300</v>
      </c>
      <c r="P119">
        <v>4500</v>
      </c>
      <c r="Q119" s="165" t="s">
        <v>225</v>
      </c>
      <c r="R119" s="165"/>
      <c r="S119" t="s">
        <v>269</v>
      </c>
    </row>
    <row r="120" spans="1:19" x14ac:dyDescent="0.25">
      <c r="A120">
        <v>560</v>
      </c>
      <c r="B120" s="144">
        <v>46113</v>
      </c>
      <c r="C120">
        <v>42677</v>
      </c>
      <c r="D120" s="165" t="s">
        <v>3513</v>
      </c>
      <c r="E120" s="165" t="s">
        <v>201</v>
      </c>
      <c r="F120" s="165" t="s">
        <v>3537</v>
      </c>
      <c r="G120" s="165" t="s">
        <v>1855</v>
      </c>
      <c r="H120" s="165" t="s">
        <v>3515</v>
      </c>
      <c r="I120" s="144">
        <v>46250</v>
      </c>
      <c r="J120">
        <v>137</v>
      </c>
      <c r="K120" s="165" t="s">
        <v>2019</v>
      </c>
      <c r="L120" s="165" t="s">
        <v>8</v>
      </c>
      <c r="M120" s="144">
        <v>46844</v>
      </c>
      <c r="N120" s="146">
        <v>8000</v>
      </c>
      <c r="O120">
        <v>0</v>
      </c>
      <c r="P120">
        <v>8000</v>
      </c>
      <c r="Q120" s="165" t="s">
        <v>225</v>
      </c>
      <c r="R120" s="165"/>
    </row>
    <row r="121" spans="1:19" x14ac:dyDescent="0.25">
      <c r="A121">
        <v>559</v>
      </c>
      <c r="B121" s="144">
        <v>46113</v>
      </c>
      <c r="C121">
        <v>42677</v>
      </c>
      <c r="D121" s="165" t="s">
        <v>3513</v>
      </c>
      <c r="E121" s="165" t="s">
        <v>201</v>
      </c>
      <c r="F121" s="165" t="s">
        <v>3537</v>
      </c>
      <c r="G121" s="165" t="s">
        <v>790</v>
      </c>
      <c r="H121" s="165" t="s">
        <v>3515</v>
      </c>
      <c r="I121" s="144">
        <v>46250</v>
      </c>
      <c r="J121">
        <v>137</v>
      </c>
      <c r="K121" s="165" t="s">
        <v>240</v>
      </c>
      <c r="L121" s="165" t="s">
        <v>8</v>
      </c>
      <c r="M121" s="144">
        <v>46844</v>
      </c>
      <c r="N121" s="146">
        <v>8000</v>
      </c>
      <c r="O121">
        <v>1900</v>
      </c>
      <c r="P121">
        <v>6100</v>
      </c>
      <c r="Q121" s="165" t="s">
        <v>225</v>
      </c>
      <c r="R121" s="165"/>
      <c r="S121" t="s">
        <v>241</v>
      </c>
    </row>
    <row r="122" spans="1:19" x14ac:dyDescent="0.25">
      <c r="A122">
        <v>558</v>
      </c>
      <c r="B122" s="144">
        <v>46113</v>
      </c>
      <c r="C122">
        <v>42675</v>
      </c>
      <c r="D122" s="165" t="s">
        <v>2333</v>
      </c>
      <c r="E122" s="165" t="s">
        <v>201</v>
      </c>
      <c r="F122" s="165" t="s">
        <v>3538</v>
      </c>
      <c r="G122" s="165" t="s">
        <v>454</v>
      </c>
      <c r="H122" s="165" t="s">
        <v>2334</v>
      </c>
      <c r="I122" s="144">
        <v>46245</v>
      </c>
      <c r="J122">
        <v>132</v>
      </c>
      <c r="K122" s="165" t="s">
        <v>2019</v>
      </c>
      <c r="L122" s="165" t="s">
        <v>8</v>
      </c>
      <c r="M122" s="144">
        <v>46844</v>
      </c>
      <c r="N122" s="146">
        <v>11900</v>
      </c>
      <c r="O122">
        <v>0</v>
      </c>
      <c r="P122">
        <v>11900</v>
      </c>
      <c r="Q122" s="165" t="s">
        <v>225</v>
      </c>
      <c r="R122" s="165" t="s">
        <v>3539</v>
      </c>
    </row>
    <row r="123" spans="1:19" x14ac:dyDescent="0.25">
      <c r="A123">
        <v>557</v>
      </c>
      <c r="B123" s="144">
        <v>46113</v>
      </c>
      <c r="C123">
        <v>42675</v>
      </c>
      <c r="D123" s="165" t="s">
        <v>2333</v>
      </c>
      <c r="E123" s="165" t="s">
        <v>201</v>
      </c>
      <c r="F123" s="165" t="s">
        <v>3538</v>
      </c>
      <c r="G123" s="165" t="s">
        <v>963</v>
      </c>
      <c r="H123" s="165" t="s">
        <v>2334</v>
      </c>
      <c r="I123" s="144">
        <v>46245</v>
      </c>
      <c r="J123">
        <v>132</v>
      </c>
      <c r="K123" s="165" t="s">
        <v>240</v>
      </c>
      <c r="L123" s="165" t="s">
        <v>8</v>
      </c>
      <c r="M123" s="144">
        <v>46844</v>
      </c>
      <c r="N123" s="146">
        <v>11900</v>
      </c>
      <c r="O123">
        <v>100</v>
      </c>
      <c r="P123">
        <v>11800</v>
      </c>
      <c r="Q123" s="165" t="s">
        <v>225</v>
      </c>
      <c r="R123" s="165" t="s">
        <v>3539</v>
      </c>
      <c r="S123" t="s">
        <v>241</v>
      </c>
    </row>
    <row r="124" spans="1:19" x14ac:dyDescent="0.25">
      <c r="A124">
        <v>556</v>
      </c>
      <c r="B124" s="144">
        <v>46113</v>
      </c>
      <c r="C124">
        <v>5426</v>
      </c>
      <c r="D124" s="165" t="s">
        <v>3540</v>
      </c>
      <c r="E124" s="165" t="s">
        <v>2111</v>
      </c>
      <c r="F124" s="165" t="s">
        <v>3541</v>
      </c>
      <c r="G124" s="165" t="s">
        <v>604</v>
      </c>
      <c r="H124" s="165" t="s">
        <v>3542</v>
      </c>
      <c r="I124" s="144">
        <v>47051</v>
      </c>
      <c r="J124">
        <v>938</v>
      </c>
      <c r="K124" s="165" t="s">
        <v>2019</v>
      </c>
      <c r="L124" s="165" t="s">
        <v>8</v>
      </c>
      <c r="M124" s="144">
        <v>47574</v>
      </c>
      <c r="N124" s="146">
        <v>3600</v>
      </c>
      <c r="O124">
        <v>0</v>
      </c>
      <c r="P124">
        <v>3600</v>
      </c>
      <c r="Q124" s="165" t="s">
        <v>225</v>
      </c>
      <c r="R124" s="165"/>
    </row>
    <row r="125" spans="1:19" x14ac:dyDescent="0.25">
      <c r="A125">
        <v>555</v>
      </c>
      <c r="B125" s="144">
        <v>46113</v>
      </c>
      <c r="C125">
        <v>5426</v>
      </c>
      <c r="D125" s="165" t="s">
        <v>3540</v>
      </c>
      <c r="E125" s="165" t="s">
        <v>2111</v>
      </c>
      <c r="F125" s="165" t="s">
        <v>3541</v>
      </c>
      <c r="G125" s="165" t="s">
        <v>1214</v>
      </c>
      <c r="H125" s="165" t="s">
        <v>3542</v>
      </c>
      <c r="I125" s="144">
        <v>47051</v>
      </c>
      <c r="J125">
        <v>938</v>
      </c>
      <c r="K125" s="165" t="s">
        <v>240</v>
      </c>
      <c r="L125" s="165" t="s">
        <v>8</v>
      </c>
      <c r="M125" s="144">
        <v>47574</v>
      </c>
      <c r="N125" s="146">
        <v>3600</v>
      </c>
      <c r="O125">
        <v>900</v>
      </c>
      <c r="P125">
        <v>2700</v>
      </c>
      <c r="Q125" s="165" t="s">
        <v>225</v>
      </c>
      <c r="R125" s="165"/>
      <c r="S125" t="s">
        <v>176</v>
      </c>
    </row>
    <row r="126" spans="1:19" x14ac:dyDescent="0.25">
      <c r="A126">
        <v>554</v>
      </c>
      <c r="B126" s="144">
        <v>46113</v>
      </c>
      <c r="D126" s="165" t="s">
        <v>3543</v>
      </c>
      <c r="E126" s="165" t="s">
        <v>2111</v>
      </c>
      <c r="F126" s="165" t="s">
        <v>3544</v>
      </c>
      <c r="G126" s="165" t="s">
        <v>677</v>
      </c>
      <c r="H126" s="165" t="s">
        <v>3545</v>
      </c>
      <c r="I126" s="144">
        <v>46650</v>
      </c>
      <c r="J126">
        <v>537</v>
      </c>
      <c r="K126" s="165" t="s">
        <v>2019</v>
      </c>
      <c r="L126" s="165" t="s">
        <v>8</v>
      </c>
      <c r="M126" s="144">
        <v>47574</v>
      </c>
      <c r="N126" s="146">
        <v>3000</v>
      </c>
      <c r="O126">
        <v>0</v>
      </c>
      <c r="P126">
        <v>3000</v>
      </c>
      <c r="Q126" s="165" t="s">
        <v>225</v>
      </c>
      <c r="R126" s="165"/>
    </row>
    <row r="127" spans="1:19" x14ac:dyDescent="0.25">
      <c r="A127">
        <v>553</v>
      </c>
      <c r="B127" s="144">
        <v>46113</v>
      </c>
      <c r="D127" s="165" t="s">
        <v>3543</v>
      </c>
      <c r="E127" s="165" t="s">
        <v>2111</v>
      </c>
      <c r="F127" s="165" t="s">
        <v>3544</v>
      </c>
      <c r="G127" s="165" t="s">
        <v>1349</v>
      </c>
      <c r="H127" s="165" t="s">
        <v>3545</v>
      </c>
      <c r="I127" s="144">
        <v>46650</v>
      </c>
      <c r="J127">
        <v>537</v>
      </c>
      <c r="K127" s="165" t="s">
        <v>240</v>
      </c>
      <c r="L127" s="165" t="s">
        <v>8</v>
      </c>
      <c r="M127" s="144">
        <v>47574</v>
      </c>
      <c r="N127" s="146">
        <v>3000</v>
      </c>
      <c r="O127">
        <v>1000</v>
      </c>
      <c r="P127">
        <v>2000</v>
      </c>
      <c r="Q127" s="165" t="s">
        <v>225</v>
      </c>
      <c r="R127" s="165"/>
      <c r="S127" t="s">
        <v>263</v>
      </c>
    </row>
    <row r="128" spans="1:19" x14ac:dyDescent="0.25">
      <c r="A128">
        <v>552</v>
      </c>
      <c r="B128" s="144">
        <v>46113</v>
      </c>
      <c r="D128" s="165" t="s">
        <v>3546</v>
      </c>
      <c r="E128" s="165" t="s">
        <v>2111</v>
      </c>
      <c r="F128" s="165" t="s">
        <v>3544</v>
      </c>
      <c r="G128" s="165" t="s">
        <v>677</v>
      </c>
      <c r="H128" s="165" t="s">
        <v>3547</v>
      </c>
      <c r="I128" s="144">
        <v>46645</v>
      </c>
      <c r="J128">
        <v>532</v>
      </c>
      <c r="K128" s="165" t="s">
        <v>2019</v>
      </c>
      <c r="L128" s="165" t="s">
        <v>8</v>
      </c>
      <c r="M128" s="144">
        <v>47574</v>
      </c>
      <c r="N128" s="146">
        <v>8333</v>
      </c>
      <c r="O128">
        <v>0</v>
      </c>
      <c r="P128">
        <v>8333</v>
      </c>
      <c r="Q128" s="165" t="s">
        <v>225</v>
      </c>
      <c r="R128" s="165" t="s">
        <v>2027</v>
      </c>
    </row>
    <row r="129" spans="1:19" x14ac:dyDescent="0.25">
      <c r="A129">
        <v>551</v>
      </c>
      <c r="B129" s="144">
        <v>46113</v>
      </c>
      <c r="D129" s="165" t="s">
        <v>310</v>
      </c>
      <c r="E129" s="165" t="s">
        <v>2111</v>
      </c>
      <c r="F129" s="165" t="s">
        <v>3548</v>
      </c>
      <c r="G129" s="165" t="s">
        <v>620</v>
      </c>
      <c r="H129" s="165" t="s">
        <v>3549</v>
      </c>
      <c r="I129" s="144">
        <v>47293</v>
      </c>
      <c r="J129">
        <v>1180</v>
      </c>
      <c r="K129" s="165" t="s">
        <v>2019</v>
      </c>
      <c r="L129" s="165" t="s">
        <v>8</v>
      </c>
      <c r="M129" s="144">
        <v>47574</v>
      </c>
      <c r="N129" s="146">
        <v>14400</v>
      </c>
      <c r="O129">
        <v>0</v>
      </c>
      <c r="P129">
        <v>14400</v>
      </c>
      <c r="Q129" s="165" t="s">
        <v>225</v>
      </c>
      <c r="R129" s="165" t="s">
        <v>3550</v>
      </c>
    </row>
    <row r="130" spans="1:19" x14ac:dyDescent="0.25">
      <c r="A130">
        <v>550</v>
      </c>
      <c r="B130" s="144">
        <v>46113</v>
      </c>
      <c r="D130" s="165" t="s">
        <v>310</v>
      </c>
      <c r="E130" s="165" t="s">
        <v>2111</v>
      </c>
      <c r="F130" s="165" t="s">
        <v>3548</v>
      </c>
      <c r="G130" s="165" t="s">
        <v>1242</v>
      </c>
      <c r="H130" s="165" t="s">
        <v>3549</v>
      </c>
      <c r="I130" s="144">
        <v>47293</v>
      </c>
      <c r="J130">
        <v>1180</v>
      </c>
      <c r="K130" s="165" t="s">
        <v>240</v>
      </c>
      <c r="L130" s="165" t="s">
        <v>8</v>
      </c>
      <c r="M130" s="144">
        <v>47574</v>
      </c>
      <c r="N130" s="146">
        <v>10800</v>
      </c>
      <c r="O130">
        <v>3300</v>
      </c>
      <c r="P130">
        <v>7500</v>
      </c>
      <c r="Q130" s="165" t="s">
        <v>225</v>
      </c>
      <c r="R130" s="165" t="s">
        <v>3551</v>
      </c>
      <c r="S130" t="s">
        <v>241</v>
      </c>
    </row>
    <row r="131" spans="1:19" x14ac:dyDescent="0.25">
      <c r="A131">
        <v>549</v>
      </c>
      <c r="B131" s="144">
        <v>46113</v>
      </c>
      <c r="D131" s="165" t="s">
        <v>2055</v>
      </c>
      <c r="E131" s="165" t="s">
        <v>2111</v>
      </c>
      <c r="F131" s="165" t="s">
        <v>3548</v>
      </c>
      <c r="G131" s="165" t="s">
        <v>961</v>
      </c>
      <c r="H131" s="165" t="s">
        <v>2298</v>
      </c>
      <c r="I131" s="144">
        <v>47196</v>
      </c>
      <c r="J131">
        <v>1083</v>
      </c>
      <c r="K131" s="165" t="s">
        <v>240</v>
      </c>
      <c r="L131" s="165" t="s">
        <v>8</v>
      </c>
      <c r="M131" s="144">
        <v>47574</v>
      </c>
      <c r="N131" s="146">
        <v>11600</v>
      </c>
      <c r="O131">
        <v>0</v>
      </c>
      <c r="P131">
        <v>11600</v>
      </c>
      <c r="Q131" s="165" t="s">
        <v>225</v>
      </c>
      <c r="R131" s="165" t="s">
        <v>3552</v>
      </c>
      <c r="S131" t="s">
        <v>241</v>
      </c>
    </row>
    <row r="132" spans="1:19" x14ac:dyDescent="0.25">
      <c r="A132">
        <v>548</v>
      </c>
      <c r="B132" s="144">
        <v>46113</v>
      </c>
      <c r="D132" s="165" t="s">
        <v>2055</v>
      </c>
      <c r="E132" s="165" t="s">
        <v>2111</v>
      </c>
      <c r="F132" s="165" t="s">
        <v>3548</v>
      </c>
      <c r="G132" s="165" t="s">
        <v>452</v>
      </c>
      <c r="H132" s="165" t="s">
        <v>2298</v>
      </c>
      <c r="I132" s="144">
        <v>47196</v>
      </c>
      <c r="J132">
        <v>1083</v>
      </c>
      <c r="K132" s="165" t="s">
        <v>2019</v>
      </c>
      <c r="L132" s="165" t="s">
        <v>8</v>
      </c>
      <c r="M132" s="144">
        <v>47574</v>
      </c>
      <c r="N132" s="146">
        <v>15080</v>
      </c>
      <c r="O132">
        <v>0</v>
      </c>
      <c r="P132">
        <v>15080</v>
      </c>
      <c r="Q132" s="165" t="s">
        <v>225</v>
      </c>
      <c r="R132" s="165" t="s">
        <v>3553</v>
      </c>
    </row>
    <row r="133" spans="1:19" x14ac:dyDescent="0.25">
      <c r="A133">
        <v>547</v>
      </c>
      <c r="B133" s="144">
        <v>46112</v>
      </c>
      <c r="C133">
        <v>42642</v>
      </c>
      <c r="D133" s="165" t="s">
        <v>3554</v>
      </c>
      <c r="E133" s="165" t="s">
        <v>17</v>
      </c>
      <c r="F133" s="165" t="s">
        <v>3555</v>
      </c>
      <c r="G133" s="165" t="s">
        <v>425</v>
      </c>
      <c r="H133" s="165" t="s">
        <v>3556</v>
      </c>
      <c r="I133" s="144">
        <v>46028</v>
      </c>
      <c r="J133">
        <v>-84</v>
      </c>
      <c r="K133" s="165" t="s">
        <v>2019</v>
      </c>
      <c r="L133" s="165" t="s">
        <v>8</v>
      </c>
      <c r="M133" s="144">
        <v>46844</v>
      </c>
      <c r="N133" s="146">
        <v>11000</v>
      </c>
      <c r="O133">
        <v>0</v>
      </c>
      <c r="P133">
        <v>11000</v>
      </c>
      <c r="Q133" s="165" t="s">
        <v>225</v>
      </c>
      <c r="R133" s="165"/>
    </row>
    <row r="134" spans="1:19" x14ac:dyDescent="0.25">
      <c r="A134">
        <v>546</v>
      </c>
      <c r="B134" s="144">
        <v>46112</v>
      </c>
      <c r="C134">
        <v>42642</v>
      </c>
      <c r="D134" s="165" t="s">
        <v>3554</v>
      </c>
      <c r="E134" s="165" t="s">
        <v>17</v>
      </c>
      <c r="F134" s="165" t="s">
        <v>3555</v>
      </c>
      <c r="G134" s="165" t="s">
        <v>1775</v>
      </c>
      <c r="H134" s="165" t="s">
        <v>3556</v>
      </c>
      <c r="I134" s="144">
        <v>46028</v>
      </c>
      <c r="J134">
        <v>-84</v>
      </c>
      <c r="K134" s="165" t="s">
        <v>240</v>
      </c>
      <c r="L134" s="165" t="s">
        <v>8</v>
      </c>
      <c r="M134" s="144">
        <v>46844</v>
      </c>
      <c r="N134" s="146">
        <v>11000</v>
      </c>
      <c r="O134">
        <v>900</v>
      </c>
      <c r="P134">
        <v>10100</v>
      </c>
      <c r="Q134" s="165" t="s">
        <v>225</v>
      </c>
      <c r="R134" s="165"/>
      <c r="S134" t="s">
        <v>263</v>
      </c>
    </row>
    <row r="135" spans="1:19" x14ac:dyDescent="0.25">
      <c r="A135">
        <v>545</v>
      </c>
      <c r="B135" s="144">
        <v>46112</v>
      </c>
      <c r="C135">
        <v>42646</v>
      </c>
      <c r="D135" s="165" t="s">
        <v>252</v>
      </c>
      <c r="E135" s="165" t="s">
        <v>106</v>
      </c>
      <c r="F135" s="165" t="s">
        <v>3557</v>
      </c>
      <c r="G135" s="165" t="s">
        <v>903</v>
      </c>
      <c r="H135" s="165" t="s">
        <v>253</v>
      </c>
      <c r="I135" s="144">
        <v>47407</v>
      </c>
      <c r="J135">
        <v>1295</v>
      </c>
      <c r="K135" s="165" t="s">
        <v>240</v>
      </c>
      <c r="L135" s="165" t="s">
        <v>8</v>
      </c>
      <c r="M135" s="144">
        <v>47209</v>
      </c>
      <c r="N135" s="146">
        <v>8700</v>
      </c>
      <c r="O135">
        <v>0</v>
      </c>
      <c r="P135">
        <v>8700</v>
      </c>
      <c r="Q135" s="165" t="s">
        <v>225</v>
      </c>
      <c r="R135" s="165"/>
      <c r="S135" t="s">
        <v>251</v>
      </c>
    </row>
    <row r="136" spans="1:19" x14ac:dyDescent="0.25">
      <c r="A136">
        <v>544</v>
      </c>
      <c r="B136" s="144">
        <v>46112</v>
      </c>
      <c r="C136">
        <v>42645</v>
      </c>
      <c r="D136" s="165" t="s">
        <v>252</v>
      </c>
      <c r="E136" s="165" t="s">
        <v>106</v>
      </c>
      <c r="F136" s="165" t="s">
        <v>3557</v>
      </c>
      <c r="G136" s="165" t="s">
        <v>903</v>
      </c>
      <c r="H136" s="165" t="s">
        <v>253</v>
      </c>
      <c r="I136" s="144">
        <v>47407</v>
      </c>
      <c r="J136">
        <v>1295</v>
      </c>
      <c r="K136" s="165" t="s">
        <v>240</v>
      </c>
      <c r="L136" s="165" t="s">
        <v>8</v>
      </c>
      <c r="M136" s="144">
        <v>47209</v>
      </c>
      <c r="N136" s="146">
        <v>5800</v>
      </c>
      <c r="O136">
        <v>5000</v>
      </c>
      <c r="P136">
        <v>800</v>
      </c>
      <c r="Q136" s="165" t="s">
        <v>225</v>
      </c>
      <c r="R136" s="165"/>
      <c r="S136" t="s">
        <v>251</v>
      </c>
    </row>
    <row r="137" spans="1:19" x14ac:dyDescent="0.25">
      <c r="A137">
        <v>543</v>
      </c>
      <c r="B137" s="144">
        <v>46112</v>
      </c>
      <c r="C137">
        <v>42644</v>
      </c>
      <c r="D137" s="165" t="s">
        <v>252</v>
      </c>
      <c r="E137" s="165" t="s">
        <v>106</v>
      </c>
      <c r="F137" s="165" t="s">
        <v>3557</v>
      </c>
      <c r="G137" s="165" t="s">
        <v>429</v>
      </c>
      <c r="H137" s="165" t="s">
        <v>253</v>
      </c>
      <c r="I137" s="144">
        <v>47407</v>
      </c>
      <c r="J137">
        <v>1295</v>
      </c>
      <c r="K137" s="165" t="s">
        <v>2019</v>
      </c>
      <c r="L137" s="165" t="s">
        <v>8</v>
      </c>
      <c r="M137" s="144">
        <v>47209</v>
      </c>
      <c r="N137" s="146">
        <v>20300</v>
      </c>
      <c r="O137">
        <v>0</v>
      </c>
      <c r="P137">
        <v>20300</v>
      </c>
      <c r="Q137" s="165" t="s">
        <v>225</v>
      </c>
      <c r="R137" s="165" t="s">
        <v>3551</v>
      </c>
    </row>
    <row r="138" spans="1:19" x14ac:dyDescent="0.25">
      <c r="A138">
        <v>542</v>
      </c>
      <c r="B138" s="144">
        <v>46112</v>
      </c>
      <c r="C138">
        <v>42687</v>
      </c>
      <c r="D138" s="165" t="s">
        <v>2097</v>
      </c>
      <c r="E138" s="165" t="s">
        <v>106</v>
      </c>
      <c r="F138" s="165" t="s">
        <v>2099</v>
      </c>
      <c r="G138" s="165" t="s">
        <v>479</v>
      </c>
      <c r="H138" s="165" t="s">
        <v>2098</v>
      </c>
      <c r="I138" s="144">
        <v>46896</v>
      </c>
      <c r="J138">
        <v>784</v>
      </c>
      <c r="K138" s="165" t="s">
        <v>2019</v>
      </c>
      <c r="L138" s="165" t="s">
        <v>102</v>
      </c>
      <c r="M138" s="144">
        <v>46844</v>
      </c>
      <c r="N138" s="146">
        <v>12000</v>
      </c>
      <c r="O138">
        <v>0</v>
      </c>
      <c r="P138">
        <v>12000</v>
      </c>
      <c r="Q138" s="165" t="s">
        <v>225</v>
      </c>
      <c r="R138" s="165"/>
    </row>
    <row r="139" spans="1:19" x14ac:dyDescent="0.25">
      <c r="A139">
        <v>541</v>
      </c>
      <c r="B139" s="144">
        <v>46112</v>
      </c>
      <c r="C139">
        <v>42687</v>
      </c>
      <c r="D139" s="165" t="s">
        <v>2097</v>
      </c>
      <c r="E139" s="165" t="s">
        <v>106</v>
      </c>
      <c r="F139" s="165" t="s">
        <v>2099</v>
      </c>
      <c r="G139" s="165" t="s">
        <v>1751</v>
      </c>
      <c r="H139" s="165" t="s">
        <v>2098</v>
      </c>
      <c r="I139" s="144">
        <v>46896</v>
      </c>
      <c r="J139">
        <v>784</v>
      </c>
      <c r="K139" s="165" t="s">
        <v>240</v>
      </c>
      <c r="L139" s="165" t="s">
        <v>102</v>
      </c>
      <c r="M139" s="144">
        <v>46844</v>
      </c>
      <c r="N139" s="146">
        <v>12000</v>
      </c>
      <c r="O139">
        <v>1100</v>
      </c>
      <c r="P139">
        <v>10900</v>
      </c>
      <c r="Q139" s="165" t="s">
        <v>225</v>
      </c>
      <c r="R139" s="165"/>
      <c r="S139" t="s">
        <v>251</v>
      </c>
    </row>
    <row r="140" spans="1:19" x14ac:dyDescent="0.25">
      <c r="A140">
        <v>540</v>
      </c>
      <c r="B140" s="144">
        <v>46112</v>
      </c>
      <c r="C140">
        <v>42689</v>
      </c>
      <c r="D140" s="165" t="s">
        <v>2104</v>
      </c>
      <c r="E140" s="165" t="s">
        <v>106</v>
      </c>
      <c r="F140" s="165" t="s">
        <v>3558</v>
      </c>
      <c r="G140" s="165" t="s">
        <v>654</v>
      </c>
      <c r="H140" s="165" t="s">
        <v>2106</v>
      </c>
      <c r="I140" s="144">
        <v>46792</v>
      </c>
      <c r="J140">
        <v>680</v>
      </c>
      <c r="K140" s="165" t="s">
        <v>2019</v>
      </c>
      <c r="L140" s="165" t="s">
        <v>102</v>
      </c>
      <c r="M140" s="144">
        <v>46844</v>
      </c>
      <c r="N140" s="146">
        <v>21000</v>
      </c>
      <c r="O140">
        <v>0</v>
      </c>
      <c r="P140">
        <v>21000</v>
      </c>
      <c r="Q140" s="165" t="s">
        <v>225</v>
      </c>
      <c r="R140" s="165"/>
    </row>
    <row r="141" spans="1:19" x14ac:dyDescent="0.25">
      <c r="A141">
        <v>539</v>
      </c>
      <c r="B141" s="144">
        <v>46112</v>
      </c>
      <c r="C141">
        <v>42689</v>
      </c>
      <c r="D141" s="165" t="s">
        <v>2104</v>
      </c>
      <c r="E141" s="165" t="s">
        <v>106</v>
      </c>
      <c r="F141" s="165" t="s">
        <v>3558</v>
      </c>
      <c r="G141" s="165" t="s">
        <v>1302</v>
      </c>
      <c r="H141" s="165" t="s">
        <v>2106</v>
      </c>
      <c r="I141" s="144">
        <v>46792</v>
      </c>
      <c r="J141">
        <v>680</v>
      </c>
      <c r="K141" s="165" t="s">
        <v>240</v>
      </c>
      <c r="L141" s="165" t="s">
        <v>102</v>
      </c>
      <c r="M141" s="144">
        <v>46844</v>
      </c>
      <c r="N141" s="146">
        <v>21000</v>
      </c>
      <c r="O141">
        <v>500</v>
      </c>
      <c r="P141">
        <v>20500</v>
      </c>
      <c r="Q141" s="165" t="s">
        <v>225</v>
      </c>
      <c r="R141" s="165"/>
      <c r="S141" t="s">
        <v>251</v>
      </c>
    </row>
    <row r="142" spans="1:19" x14ac:dyDescent="0.25">
      <c r="A142">
        <v>538</v>
      </c>
      <c r="B142" s="144">
        <v>46112</v>
      </c>
      <c r="C142">
        <v>42690</v>
      </c>
      <c r="D142" s="165" t="s">
        <v>3559</v>
      </c>
      <c r="E142" s="165" t="s">
        <v>13</v>
      </c>
      <c r="F142" s="165" t="s">
        <v>2087</v>
      </c>
      <c r="G142" s="165" t="s">
        <v>500</v>
      </c>
      <c r="H142" s="165" t="s">
        <v>3560</v>
      </c>
      <c r="I142" s="144">
        <v>47385</v>
      </c>
      <c r="J142">
        <v>1273</v>
      </c>
      <c r="K142" s="165" t="s">
        <v>2019</v>
      </c>
      <c r="L142" s="165" t="s">
        <v>8</v>
      </c>
      <c r="M142" s="144">
        <v>46844</v>
      </c>
      <c r="N142" s="146">
        <v>9524</v>
      </c>
      <c r="O142">
        <v>0</v>
      </c>
      <c r="P142">
        <v>9524</v>
      </c>
      <c r="Q142" s="165" t="s">
        <v>225</v>
      </c>
      <c r="R142" s="165" t="s">
        <v>2057</v>
      </c>
    </row>
    <row r="143" spans="1:19" x14ac:dyDescent="0.25">
      <c r="A143">
        <v>537</v>
      </c>
      <c r="B143" s="144">
        <v>46112</v>
      </c>
      <c r="D143" s="165" t="s">
        <v>3543</v>
      </c>
      <c r="E143" s="165" t="s">
        <v>2111</v>
      </c>
      <c r="F143" s="165" t="s">
        <v>3561</v>
      </c>
      <c r="G143" s="165" t="s">
        <v>677</v>
      </c>
      <c r="H143" s="165" t="s">
        <v>3545</v>
      </c>
      <c r="I143" s="144">
        <v>46650</v>
      </c>
      <c r="J143">
        <v>538</v>
      </c>
      <c r="K143" s="165" t="s">
        <v>2019</v>
      </c>
      <c r="L143" s="165" t="s">
        <v>102</v>
      </c>
      <c r="M143" s="144">
        <v>47574</v>
      </c>
      <c r="N143" s="146">
        <v>36000</v>
      </c>
      <c r="O143">
        <v>0</v>
      </c>
      <c r="P143">
        <v>36000</v>
      </c>
      <c r="Q143" s="165" t="s">
        <v>225</v>
      </c>
      <c r="R143" s="165"/>
    </row>
    <row r="144" spans="1:19" x14ac:dyDescent="0.25">
      <c r="A144">
        <v>536</v>
      </c>
      <c r="B144" s="144">
        <v>46112</v>
      </c>
      <c r="D144" s="165" t="s">
        <v>3543</v>
      </c>
      <c r="E144" s="165" t="s">
        <v>2111</v>
      </c>
      <c r="F144" s="165" t="s">
        <v>3561</v>
      </c>
      <c r="G144" s="165" t="s">
        <v>1351</v>
      </c>
      <c r="H144" s="165" t="s">
        <v>3545</v>
      </c>
      <c r="I144" s="144">
        <v>46650</v>
      </c>
      <c r="J144">
        <v>538</v>
      </c>
      <c r="K144" s="165" t="s">
        <v>240</v>
      </c>
      <c r="L144" s="165" t="s">
        <v>102</v>
      </c>
      <c r="M144" s="144">
        <v>47574</v>
      </c>
      <c r="N144" s="146">
        <v>36000</v>
      </c>
      <c r="O144">
        <v>0</v>
      </c>
      <c r="P144">
        <v>36000</v>
      </c>
      <c r="Q144" s="165" t="s">
        <v>225</v>
      </c>
      <c r="R144" s="165"/>
      <c r="S144" t="s">
        <v>263</v>
      </c>
    </row>
    <row r="145" spans="1:19" x14ac:dyDescent="0.25">
      <c r="A145">
        <v>535</v>
      </c>
      <c r="B145" s="144">
        <v>46112</v>
      </c>
      <c r="D145" s="165" t="s">
        <v>3562</v>
      </c>
      <c r="E145" s="165" t="s">
        <v>2111</v>
      </c>
      <c r="F145" s="165" t="s">
        <v>3544</v>
      </c>
      <c r="G145" s="165" t="s">
        <v>1192</v>
      </c>
      <c r="H145" s="165" t="s">
        <v>3563</v>
      </c>
      <c r="I145" s="144">
        <v>47385</v>
      </c>
      <c r="J145">
        <v>1273</v>
      </c>
      <c r="K145" s="165" t="s">
        <v>240</v>
      </c>
      <c r="L145" s="165" t="s">
        <v>8</v>
      </c>
      <c r="M145" s="144">
        <v>47574</v>
      </c>
      <c r="N145" s="146">
        <v>46667</v>
      </c>
      <c r="O145">
        <v>0</v>
      </c>
      <c r="P145">
        <v>46667</v>
      </c>
      <c r="Q145" s="165" t="s">
        <v>225</v>
      </c>
      <c r="R145" s="165"/>
      <c r="S145" t="s">
        <v>241</v>
      </c>
    </row>
    <row r="146" spans="1:19" x14ac:dyDescent="0.25">
      <c r="A146">
        <v>534</v>
      </c>
      <c r="B146" s="144">
        <v>46112</v>
      </c>
      <c r="D146" s="165" t="s">
        <v>3562</v>
      </c>
      <c r="E146" s="165" t="s">
        <v>2111</v>
      </c>
      <c r="F146" s="165" t="s">
        <v>3544</v>
      </c>
      <c r="G146" s="165" t="s">
        <v>1192</v>
      </c>
      <c r="H146" s="165" t="s">
        <v>3563</v>
      </c>
      <c r="I146" s="144">
        <v>47385</v>
      </c>
      <c r="J146">
        <v>1273</v>
      </c>
      <c r="K146" s="165" t="s">
        <v>240</v>
      </c>
      <c r="L146" s="165" t="s">
        <v>8</v>
      </c>
      <c r="M146" s="144">
        <v>47574</v>
      </c>
      <c r="N146" s="146">
        <v>46667</v>
      </c>
      <c r="O146">
        <v>0</v>
      </c>
      <c r="P146">
        <v>46667</v>
      </c>
      <c r="Q146" s="165" t="s">
        <v>225</v>
      </c>
      <c r="R146" s="165"/>
      <c r="S146" t="s">
        <v>241</v>
      </c>
    </row>
    <row r="147" spans="1:19" x14ac:dyDescent="0.25">
      <c r="A147">
        <v>533</v>
      </c>
      <c r="B147" s="144">
        <v>46112</v>
      </c>
      <c r="D147" s="165" t="s">
        <v>3562</v>
      </c>
      <c r="E147" s="165" t="s">
        <v>2111</v>
      </c>
      <c r="F147" s="165" t="s">
        <v>3544</v>
      </c>
      <c r="G147" s="165" t="s">
        <v>1192</v>
      </c>
      <c r="H147" s="165" t="s">
        <v>3563</v>
      </c>
      <c r="I147" s="144">
        <v>47385</v>
      </c>
      <c r="J147">
        <v>1273</v>
      </c>
      <c r="K147" s="165" t="s">
        <v>240</v>
      </c>
      <c r="L147" s="165" t="s">
        <v>8</v>
      </c>
      <c r="M147" s="144">
        <v>47574</v>
      </c>
      <c r="N147" s="146">
        <v>46667</v>
      </c>
      <c r="O147">
        <v>0</v>
      </c>
      <c r="P147">
        <v>46667</v>
      </c>
      <c r="Q147" s="165" t="s">
        <v>225</v>
      </c>
      <c r="R147" s="165"/>
      <c r="S147" t="s">
        <v>241</v>
      </c>
    </row>
    <row r="148" spans="1:19" x14ac:dyDescent="0.25">
      <c r="A148">
        <v>532</v>
      </c>
      <c r="B148" s="144">
        <v>46112</v>
      </c>
      <c r="D148" s="165" t="s">
        <v>3562</v>
      </c>
      <c r="E148" s="165" t="s">
        <v>2111</v>
      </c>
      <c r="F148" s="165" t="s">
        <v>3544</v>
      </c>
      <c r="G148" s="165" t="s">
        <v>1192</v>
      </c>
      <c r="H148" s="165" t="s">
        <v>3563</v>
      </c>
      <c r="I148" s="144">
        <v>47385</v>
      </c>
      <c r="J148">
        <v>1273</v>
      </c>
      <c r="K148" s="165" t="s">
        <v>240</v>
      </c>
      <c r="L148" s="165" t="s">
        <v>8</v>
      </c>
      <c r="M148" s="144">
        <v>47574</v>
      </c>
      <c r="N148" s="146">
        <v>46667</v>
      </c>
      <c r="O148">
        <v>1000</v>
      </c>
      <c r="P148">
        <v>45667</v>
      </c>
      <c r="Q148" s="165" t="s">
        <v>225</v>
      </c>
      <c r="R148" s="165"/>
      <c r="S148" t="s">
        <v>241</v>
      </c>
    </row>
    <row r="149" spans="1:19" x14ac:dyDescent="0.25">
      <c r="A149">
        <v>531</v>
      </c>
      <c r="B149" s="144">
        <v>46112</v>
      </c>
      <c r="D149" s="165" t="s">
        <v>3562</v>
      </c>
      <c r="E149" s="165" t="s">
        <v>2111</v>
      </c>
      <c r="F149" s="165" t="s">
        <v>3544</v>
      </c>
      <c r="G149" s="165" t="s">
        <v>584</v>
      </c>
      <c r="H149" s="165" t="s">
        <v>3563</v>
      </c>
      <c r="I149" s="144">
        <v>47385</v>
      </c>
      <c r="J149">
        <v>1273</v>
      </c>
      <c r="K149" s="165" t="s">
        <v>2019</v>
      </c>
      <c r="L149" s="165" t="s">
        <v>8</v>
      </c>
      <c r="M149" s="144">
        <v>47574</v>
      </c>
      <c r="N149" s="146">
        <v>186668</v>
      </c>
      <c r="O149">
        <v>0</v>
      </c>
      <c r="P149">
        <v>186668</v>
      </c>
      <c r="Q149" s="165" t="s">
        <v>225</v>
      </c>
      <c r="R149" s="165" t="s">
        <v>3564</v>
      </c>
    </row>
    <row r="150" spans="1:19" x14ac:dyDescent="0.25">
      <c r="A150">
        <v>530</v>
      </c>
      <c r="B150" s="144">
        <v>46112</v>
      </c>
      <c r="C150">
        <v>42682</v>
      </c>
      <c r="D150" s="165" t="s">
        <v>277</v>
      </c>
      <c r="E150" s="165" t="s">
        <v>178</v>
      </c>
      <c r="F150" s="165" t="s">
        <v>247</v>
      </c>
      <c r="G150" s="165" t="s">
        <v>1626</v>
      </c>
      <c r="H150" s="165" t="s">
        <v>278</v>
      </c>
      <c r="I150" s="144">
        <v>46930</v>
      </c>
      <c r="J150">
        <v>818</v>
      </c>
      <c r="K150" s="165" t="s">
        <v>240</v>
      </c>
      <c r="L150" s="165" t="s">
        <v>8</v>
      </c>
      <c r="M150" s="144">
        <v>46844</v>
      </c>
      <c r="N150" s="146">
        <v>6000</v>
      </c>
      <c r="O150">
        <v>0</v>
      </c>
      <c r="P150">
        <v>6000</v>
      </c>
      <c r="Q150" s="165" t="s">
        <v>225</v>
      </c>
      <c r="R150" s="165"/>
      <c r="S150" t="s">
        <v>263</v>
      </c>
    </row>
    <row r="151" spans="1:19" x14ac:dyDescent="0.25">
      <c r="A151">
        <v>529</v>
      </c>
      <c r="B151" s="144">
        <v>46112</v>
      </c>
      <c r="C151">
        <v>42681</v>
      </c>
      <c r="D151" s="165" t="s">
        <v>277</v>
      </c>
      <c r="E151" s="165" t="s">
        <v>178</v>
      </c>
      <c r="F151" s="165" t="s">
        <v>247</v>
      </c>
      <c r="G151" s="165" t="s">
        <v>1626</v>
      </c>
      <c r="H151" s="165" t="s">
        <v>278</v>
      </c>
      <c r="I151" s="144">
        <v>46930</v>
      </c>
      <c r="J151">
        <v>818</v>
      </c>
      <c r="K151" s="165" t="s">
        <v>240</v>
      </c>
      <c r="L151" s="165" t="s">
        <v>8</v>
      </c>
      <c r="M151" s="144">
        <v>46844</v>
      </c>
      <c r="N151" s="146">
        <v>6000</v>
      </c>
      <c r="O151">
        <v>0</v>
      </c>
      <c r="P151">
        <v>6000</v>
      </c>
      <c r="Q151" s="165" t="s">
        <v>225</v>
      </c>
      <c r="R151" s="165"/>
      <c r="S151" t="s">
        <v>263</v>
      </c>
    </row>
    <row r="152" spans="1:19" x14ac:dyDescent="0.25">
      <c r="A152">
        <v>528</v>
      </c>
      <c r="B152" s="144">
        <v>46112</v>
      </c>
      <c r="C152">
        <v>42680</v>
      </c>
      <c r="D152" s="165" t="s">
        <v>277</v>
      </c>
      <c r="E152" s="165" t="s">
        <v>178</v>
      </c>
      <c r="F152" s="165" t="s">
        <v>247</v>
      </c>
      <c r="G152" s="165" t="s">
        <v>1626</v>
      </c>
      <c r="H152" s="165" t="s">
        <v>278</v>
      </c>
      <c r="I152" s="144">
        <v>46930</v>
      </c>
      <c r="J152">
        <v>818</v>
      </c>
      <c r="K152" s="165" t="s">
        <v>240</v>
      </c>
      <c r="L152" s="165" t="s">
        <v>8</v>
      </c>
      <c r="M152" s="144">
        <v>46844</v>
      </c>
      <c r="N152" s="146">
        <v>6000</v>
      </c>
      <c r="O152">
        <v>0</v>
      </c>
      <c r="P152">
        <v>6000</v>
      </c>
      <c r="Q152" s="165" t="s">
        <v>225</v>
      </c>
      <c r="R152" s="165"/>
      <c r="S152" t="s">
        <v>263</v>
      </c>
    </row>
    <row r="153" spans="1:19" x14ac:dyDescent="0.25">
      <c r="A153">
        <v>527</v>
      </c>
      <c r="B153" s="144">
        <v>46112</v>
      </c>
      <c r="C153">
        <v>42679</v>
      </c>
      <c r="D153" s="165" t="s">
        <v>277</v>
      </c>
      <c r="E153" s="165" t="s">
        <v>178</v>
      </c>
      <c r="F153" s="165" t="s">
        <v>247</v>
      </c>
      <c r="G153" s="165" t="s">
        <v>685</v>
      </c>
      <c r="H153" s="165" t="s">
        <v>278</v>
      </c>
      <c r="I153" s="144">
        <v>46930</v>
      </c>
      <c r="J153">
        <v>818</v>
      </c>
      <c r="K153" s="165" t="s">
        <v>2019</v>
      </c>
      <c r="L153" s="165" t="s">
        <v>8</v>
      </c>
      <c r="M153" s="144">
        <v>46844</v>
      </c>
      <c r="N153" s="146">
        <v>22000</v>
      </c>
      <c r="O153">
        <v>0</v>
      </c>
      <c r="P153">
        <v>22000</v>
      </c>
      <c r="Q153" s="165" t="s">
        <v>225</v>
      </c>
      <c r="R153" s="165" t="s">
        <v>3565</v>
      </c>
    </row>
    <row r="154" spans="1:19" x14ac:dyDescent="0.25">
      <c r="A154">
        <v>526</v>
      </c>
      <c r="B154" s="144">
        <v>46112</v>
      </c>
      <c r="C154">
        <v>42679</v>
      </c>
      <c r="D154" s="165" t="s">
        <v>277</v>
      </c>
      <c r="E154" s="165" t="s">
        <v>178</v>
      </c>
      <c r="F154" s="165" t="s">
        <v>247</v>
      </c>
      <c r="G154" s="165" t="s">
        <v>1626</v>
      </c>
      <c r="H154" s="165" t="s">
        <v>278</v>
      </c>
      <c r="I154" s="144">
        <v>46930</v>
      </c>
      <c r="J154">
        <v>818</v>
      </c>
      <c r="K154" s="165" t="s">
        <v>240</v>
      </c>
      <c r="L154" s="165" t="s">
        <v>8</v>
      </c>
      <c r="M154" s="144">
        <v>46844</v>
      </c>
      <c r="N154" s="146">
        <v>4000</v>
      </c>
      <c r="O154">
        <v>3000</v>
      </c>
      <c r="P154">
        <v>1000</v>
      </c>
      <c r="Q154" s="165" t="s">
        <v>225</v>
      </c>
      <c r="R154" s="165" t="s">
        <v>3566</v>
      </c>
      <c r="S154" t="s">
        <v>263</v>
      </c>
    </row>
    <row r="155" spans="1:19" x14ac:dyDescent="0.25">
      <c r="A155">
        <v>525</v>
      </c>
      <c r="B155" s="144">
        <v>46112</v>
      </c>
      <c r="C155">
        <v>42641</v>
      </c>
      <c r="D155" s="165" t="s">
        <v>3567</v>
      </c>
      <c r="E155" s="165" t="s">
        <v>17</v>
      </c>
      <c r="F155" s="165" t="s">
        <v>2279</v>
      </c>
      <c r="G155" s="165" t="s">
        <v>1124</v>
      </c>
      <c r="H155" s="165" t="s">
        <v>3568</v>
      </c>
      <c r="I155" s="144">
        <v>47136</v>
      </c>
      <c r="J155">
        <v>1024</v>
      </c>
      <c r="K155" s="165" t="s">
        <v>240</v>
      </c>
      <c r="L155" s="165" t="s">
        <v>8</v>
      </c>
      <c r="M155" s="144">
        <v>46844</v>
      </c>
      <c r="N155" s="146">
        <v>17100</v>
      </c>
      <c r="O155">
        <v>0</v>
      </c>
      <c r="P155">
        <v>17100</v>
      </c>
      <c r="Q155" s="165" t="s">
        <v>225</v>
      </c>
      <c r="R155" s="165"/>
      <c r="S155" t="s">
        <v>241</v>
      </c>
    </row>
    <row r="156" spans="1:19" x14ac:dyDescent="0.25">
      <c r="A156">
        <v>524</v>
      </c>
      <c r="B156" s="144">
        <v>46112</v>
      </c>
      <c r="C156">
        <v>42640</v>
      </c>
      <c r="D156" s="165" t="s">
        <v>3567</v>
      </c>
      <c r="E156" s="165" t="s">
        <v>17</v>
      </c>
      <c r="F156" s="165" t="s">
        <v>2279</v>
      </c>
      <c r="G156" s="165" t="s">
        <v>1124</v>
      </c>
      <c r="H156" s="165" t="s">
        <v>3568</v>
      </c>
      <c r="I156" s="144">
        <v>47136</v>
      </c>
      <c r="J156">
        <v>1024</v>
      </c>
      <c r="K156" s="165" t="s">
        <v>240</v>
      </c>
      <c r="L156" s="165" t="s">
        <v>8</v>
      </c>
      <c r="M156" s="144">
        <v>46844</v>
      </c>
      <c r="N156" s="146">
        <v>17100</v>
      </c>
      <c r="O156">
        <v>0</v>
      </c>
      <c r="P156">
        <v>17100</v>
      </c>
      <c r="Q156" s="165" t="s">
        <v>225</v>
      </c>
      <c r="R156" s="165"/>
      <c r="S156" t="s">
        <v>241</v>
      </c>
    </row>
    <row r="157" spans="1:19" x14ac:dyDescent="0.25">
      <c r="A157">
        <v>523</v>
      </c>
      <c r="B157" s="144">
        <v>46112</v>
      </c>
      <c r="C157">
        <v>42639</v>
      </c>
      <c r="D157" s="165" t="s">
        <v>3567</v>
      </c>
      <c r="E157" s="165" t="s">
        <v>17</v>
      </c>
      <c r="F157" s="165" t="s">
        <v>2279</v>
      </c>
      <c r="G157" s="165" t="s">
        <v>1124</v>
      </c>
      <c r="H157" s="165" t="s">
        <v>3568</v>
      </c>
      <c r="I157" s="144">
        <v>47136</v>
      </c>
      <c r="J157">
        <v>1024</v>
      </c>
      <c r="K157" s="165" t="s">
        <v>240</v>
      </c>
      <c r="L157" s="165" t="s">
        <v>8</v>
      </c>
      <c r="M157" s="144">
        <v>46844</v>
      </c>
      <c r="N157" s="146">
        <v>11400</v>
      </c>
      <c r="O157">
        <v>0</v>
      </c>
      <c r="P157">
        <v>11400</v>
      </c>
      <c r="Q157" s="165" t="s">
        <v>225</v>
      </c>
      <c r="R157" s="165"/>
      <c r="S157" t="s">
        <v>241</v>
      </c>
    </row>
    <row r="158" spans="1:19" x14ac:dyDescent="0.25">
      <c r="A158">
        <v>522</v>
      </c>
      <c r="B158" s="144">
        <v>46112</v>
      </c>
      <c r="C158">
        <v>42638</v>
      </c>
      <c r="D158" s="165" t="s">
        <v>3567</v>
      </c>
      <c r="E158" s="165" t="s">
        <v>17</v>
      </c>
      <c r="F158" s="165" t="s">
        <v>2279</v>
      </c>
      <c r="G158" s="165" t="s">
        <v>1124</v>
      </c>
      <c r="H158" s="165" t="s">
        <v>3568</v>
      </c>
      <c r="I158" s="144">
        <v>47136</v>
      </c>
      <c r="J158">
        <v>1024</v>
      </c>
      <c r="K158" s="165" t="s">
        <v>240</v>
      </c>
      <c r="L158" s="165" t="s">
        <v>8</v>
      </c>
      <c r="M158" s="144">
        <v>46844</v>
      </c>
      <c r="N158" s="146">
        <v>11400</v>
      </c>
      <c r="O158">
        <v>1900</v>
      </c>
      <c r="P158">
        <v>9500</v>
      </c>
      <c r="Q158" s="165" t="s">
        <v>225</v>
      </c>
      <c r="R158" s="165"/>
      <c r="S158" t="s">
        <v>241</v>
      </c>
    </row>
    <row r="159" spans="1:19" x14ac:dyDescent="0.25">
      <c r="A159">
        <v>521</v>
      </c>
      <c r="B159" s="144">
        <v>46112</v>
      </c>
      <c r="C159">
        <v>42638</v>
      </c>
      <c r="D159" s="165" t="s">
        <v>3567</v>
      </c>
      <c r="E159" s="165" t="s">
        <v>17</v>
      </c>
      <c r="F159" s="165" t="s">
        <v>2279</v>
      </c>
      <c r="G159" s="165" t="s">
        <v>1755</v>
      </c>
      <c r="H159" s="165" t="s">
        <v>3568</v>
      </c>
      <c r="I159" s="144">
        <v>47136</v>
      </c>
      <c r="J159">
        <v>1024</v>
      </c>
      <c r="K159" s="165" t="s">
        <v>2019</v>
      </c>
      <c r="L159" s="165" t="s">
        <v>8</v>
      </c>
      <c r="M159" s="144">
        <v>46844</v>
      </c>
      <c r="N159" s="146">
        <v>57000</v>
      </c>
      <c r="O159">
        <v>0</v>
      </c>
      <c r="P159">
        <v>57000</v>
      </c>
      <c r="Q159" s="165" t="s">
        <v>225</v>
      </c>
      <c r="R159" s="165" t="s">
        <v>3569</v>
      </c>
    </row>
    <row r="160" spans="1:19" x14ac:dyDescent="0.25">
      <c r="A160">
        <v>520</v>
      </c>
      <c r="B160" s="144">
        <v>46111</v>
      </c>
      <c r="C160">
        <v>42669</v>
      </c>
      <c r="D160" s="165" t="s">
        <v>285</v>
      </c>
      <c r="E160" s="165" t="s">
        <v>15</v>
      </c>
      <c r="F160" s="165" t="s">
        <v>3570</v>
      </c>
      <c r="G160" s="165" t="s">
        <v>610</v>
      </c>
      <c r="H160" s="165" t="s">
        <v>286</v>
      </c>
      <c r="I160" s="144">
        <v>47021</v>
      </c>
      <c r="J160">
        <v>910</v>
      </c>
      <c r="K160" s="165" t="s">
        <v>2019</v>
      </c>
      <c r="L160" s="165" t="s">
        <v>8</v>
      </c>
      <c r="M160" s="144">
        <v>46844</v>
      </c>
      <c r="N160" s="146">
        <v>14063</v>
      </c>
      <c r="O160">
        <v>0</v>
      </c>
      <c r="P160">
        <v>14063</v>
      </c>
      <c r="Q160" s="165" t="s">
        <v>225</v>
      </c>
      <c r="R160" s="165"/>
    </row>
    <row r="161" spans="1:19" x14ac:dyDescent="0.25">
      <c r="A161">
        <v>519</v>
      </c>
      <c r="B161" s="144">
        <v>46111</v>
      </c>
      <c r="C161">
        <v>42669</v>
      </c>
      <c r="D161" s="165" t="s">
        <v>285</v>
      </c>
      <c r="E161" s="165" t="s">
        <v>15</v>
      </c>
      <c r="F161" s="165" t="s">
        <v>3570</v>
      </c>
      <c r="G161" s="165" t="s">
        <v>1228</v>
      </c>
      <c r="H161" s="165" t="s">
        <v>286</v>
      </c>
      <c r="I161" s="144">
        <v>47021</v>
      </c>
      <c r="J161">
        <v>910</v>
      </c>
      <c r="K161" s="165" t="s">
        <v>240</v>
      </c>
      <c r="L161" s="165" t="s">
        <v>8</v>
      </c>
      <c r="M161" s="144">
        <v>46844</v>
      </c>
      <c r="N161" s="146">
        <v>14063</v>
      </c>
      <c r="O161">
        <v>10000</v>
      </c>
      <c r="P161">
        <v>4063</v>
      </c>
      <c r="Q161" s="165" t="s">
        <v>225</v>
      </c>
      <c r="R161" s="165"/>
      <c r="S161" t="s">
        <v>241</v>
      </c>
    </row>
    <row r="162" spans="1:19" x14ac:dyDescent="0.25">
      <c r="A162">
        <v>518</v>
      </c>
      <c r="B162" s="144">
        <v>46111</v>
      </c>
      <c r="C162">
        <v>42668</v>
      </c>
      <c r="D162" s="165" t="s">
        <v>3571</v>
      </c>
      <c r="E162" s="165" t="s">
        <v>15</v>
      </c>
      <c r="F162" s="165" t="s">
        <v>299</v>
      </c>
      <c r="G162" s="165" t="s">
        <v>640</v>
      </c>
      <c r="H162" s="165" t="s">
        <v>3572</v>
      </c>
      <c r="I162" s="144">
        <v>46168</v>
      </c>
      <c r="J162">
        <v>57</v>
      </c>
      <c r="K162" s="165" t="s">
        <v>2019</v>
      </c>
      <c r="L162" s="165" t="s">
        <v>8</v>
      </c>
      <c r="M162" s="144">
        <v>46844</v>
      </c>
      <c r="N162" s="146">
        <v>19354</v>
      </c>
      <c r="O162">
        <v>0</v>
      </c>
      <c r="P162">
        <v>19354</v>
      </c>
      <c r="Q162" s="165" t="s">
        <v>225</v>
      </c>
      <c r="R162" s="165"/>
    </row>
    <row r="163" spans="1:19" x14ac:dyDescent="0.25">
      <c r="A163">
        <v>517</v>
      </c>
      <c r="B163" s="144">
        <v>46111</v>
      </c>
      <c r="C163">
        <v>42668</v>
      </c>
      <c r="D163" s="165" t="s">
        <v>3571</v>
      </c>
      <c r="E163" s="165" t="s">
        <v>15</v>
      </c>
      <c r="F163" s="165" t="s">
        <v>299</v>
      </c>
      <c r="G163" s="165" t="s">
        <v>1280</v>
      </c>
      <c r="H163" s="165" t="s">
        <v>3572</v>
      </c>
      <c r="I163" s="144">
        <v>46168</v>
      </c>
      <c r="J163">
        <v>57</v>
      </c>
      <c r="K163" s="165" t="s">
        <v>240</v>
      </c>
      <c r="L163" s="165" t="s">
        <v>8</v>
      </c>
      <c r="M163" s="144">
        <v>46844</v>
      </c>
      <c r="N163" s="146">
        <v>19354</v>
      </c>
      <c r="O163">
        <v>500</v>
      </c>
      <c r="P163">
        <v>18854</v>
      </c>
      <c r="Q163" s="165" t="s">
        <v>225</v>
      </c>
      <c r="R163" s="165"/>
      <c r="S163" t="s">
        <v>241</v>
      </c>
    </row>
    <row r="164" spans="1:19" x14ac:dyDescent="0.25">
      <c r="A164">
        <v>516</v>
      </c>
      <c r="B164" s="144">
        <v>46111</v>
      </c>
      <c r="C164">
        <v>42671</v>
      </c>
      <c r="D164" s="165" t="s">
        <v>3573</v>
      </c>
      <c r="E164" s="165" t="s">
        <v>15</v>
      </c>
      <c r="F164" s="165" t="s">
        <v>3574</v>
      </c>
      <c r="G164" s="165" t="s">
        <v>336</v>
      </c>
      <c r="H164" s="165" t="s">
        <v>3575</v>
      </c>
      <c r="I164" s="144">
        <v>47072</v>
      </c>
      <c r="J164">
        <v>961</v>
      </c>
      <c r="K164" s="165" t="s">
        <v>2019</v>
      </c>
      <c r="L164" s="165" t="s">
        <v>8</v>
      </c>
      <c r="M164" s="144">
        <v>46844</v>
      </c>
      <c r="N164" s="146">
        <v>12500</v>
      </c>
      <c r="O164">
        <v>0</v>
      </c>
      <c r="P164">
        <v>12500</v>
      </c>
      <c r="Q164" s="165" t="s">
        <v>225</v>
      </c>
      <c r="R164" s="165"/>
    </row>
    <row r="165" spans="1:19" x14ac:dyDescent="0.25">
      <c r="A165">
        <v>515</v>
      </c>
      <c r="B165" s="144">
        <v>46111</v>
      </c>
      <c r="C165">
        <v>42671</v>
      </c>
      <c r="D165" s="165" t="s">
        <v>3573</v>
      </c>
      <c r="E165" s="165" t="s">
        <v>15</v>
      </c>
      <c r="F165" s="165" t="s">
        <v>3574</v>
      </c>
      <c r="G165" s="165" t="s">
        <v>755</v>
      </c>
      <c r="H165" s="165" t="s">
        <v>3575</v>
      </c>
      <c r="I165" s="144">
        <v>47072</v>
      </c>
      <c r="J165">
        <v>961</v>
      </c>
      <c r="K165" s="165" t="s">
        <v>240</v>
      </c>
      <c r="L165" s="165" t="s">
        <v>8</v>
      </c>
      <c r="M165" s="144">
        <v>46844</v>
      </c>
      <c r="N165" s="146">
        <v>12500</v>
      </c>
      <c r="O165">
        <v>2400</v>
      </c>
      <c r="P165">
        <v>10100</v>
      </c>
      <c r="Q165" s="165" t="s">
        <v>225</v>
      </c>
      <c r="R165" s="165"/>
      <c r="S165" t="s">
        <v>241</v>
      </c>
    </row>
    <row r="166" spans="1:19" x14ac:dyDescent="0.25">
      <c r="A166">
        <v>514</v>
      </c>
      <c r="B166" s="144">
        <v>46111</v>
      </c>
      <c r="C166">
        <v>42663</v>
      </c>
      <c r="D166" s="165" t="s">
        <v>2276</v>
      </c>
      <c r="E166" s="165" t="s">
        <v>181</v>
      </c>
      <c r="F166" s="165" t="s">
        <v>2100</v>
      </c>
      <c r="G166" s="165" t="s">
        <v>576</v>
      </c>
      <c r="H166" s="165" t="s">
        <v>2277</v>
      </c>
      <c r="I166" s="144">
        <v>47836</v>
      </c>
      <c r="J166">
        <v>1725</v>
      </c>
      <c r="K166" s="165" t="s">
        <v>2016</v>
      </c>
      <c r="L166" s="165" t="s">
        <v>102</v>
      </c>
      <c r="M166" s="144">
        <v>47209</v>
      </c>
      <c r="N166" s="146">
        <v>18000</v>
      </c>
      <c r="O166">
        <v>0</v>
      </c>
      <c r="P166">
        <v>18000</v>
      </c>
      <c r="Q166" s="165" t="s">
        <v>225</v>
      </c>
      <c r="R166" s="165"/>
    </row>
    <row r="167" spans="1:19" x14ac:dyDescent="0.25">
      <c r="A167">
        <v>513</v>
      </c>
      <c r="B167" s="144">
        <v>46111</v>
      </c>
      <c r="C167">
        <v>42663</v>
      </c>
      <c r="D167" s="165" t="s">
        <v>2276</v>
      </c>
      <c r="E167" s="165" t="s">
        <v>181</v>
      </c>
      <c r="F167" s="165" t="s">
        <v>2100</v>
      </c>
      <c r="G167" s="165" t="s">
        <v>385</v>
      </c>
      <c r="H167" s="165" t="s">
        <v>2277</v>
      </c>
      <c r="I167" s="144">
        <v>47836</v>
      </c>
      <c r="J167">
        <v>1725</v>
      </c>
      <c r="K167" s="165" t="s">
        <v>2019</v>
      </c>
      <c r="L167" s="165" t="s">
        <v>102</v>
      </c>
      <c r="M167" s="144">
        <v>47209</v>
      </c>
      <c r="N167" s="146">
        <v>18000</v>
      </c>
      <c r="O167">
        <v>0</v>
      </c>
      <c r="P167">
        <v>18000</v>
      </c>
      <c r="Q167" s="165" t="s">
        <v>225</v>
      </c>
      <c r="R167" s="165"/>
    </row>
    <row r="168" spans="1:19" x14ac:dyDescent="0.25">
      <c r="A168">
        <v>512</v>
      </c>
      <c r="B168" s="144">
        <v>46111</v>
      </c>
      <c r="C168">
        <v>42663</v>
      </c>
      <c r="D168" s="165" t="s">
        <v>2276</v>
      </c>
      <c r="E168" s="165" t="s">
        <v>181</v>
      </c>
      <c r="F168" s="165" t="s">
        <v>2100</v>
      </c>
      <c r="G168" s="165" t="s">
        <v>827</v>
      </c>
      <c r="H168" s="165" t="s">
        <v>2277</v>
      </c>
      <c r="I168" s="144">
        <v>47836</v>
      </c>
      <c r="J168">
        <v>1725</v>
      </c>
      <c r="K168" s="165" t="s">
        <v>240</v>
      </c>
      <c r="L168" s="165" t="s">
        <v>102</v>
      </c>
      <c r="M168" s="144">
        <v>47209</v>
      </c>
      <c r="N168" s="146">
        <v>18000</v>
      </c>
      <c r="O168">
        <v>1000</v>
      </c>
      <c r="P168">
        <v>17000</v>
      </c>
      <c r="Q168" s="165" t="s">
        <v>225</v>
      </c>
      <c r="R168" s="165"/>
      <c r="S168" t="s">
        <v>269</v>
      </c>
    </row>
    <row r="169" spans="1:19" x14ac:dyDescent="0.25">
      <c r="A169">
        <v>511</v>
      </c>
      <c r="B169" s="144">
        <v>46111</v>
      </c>
      <c r="C169">
        <v>42691</v>
      </c>
      <c r="D169" s="165" t="s">
        <v>2374</v>
      </c>
      <c r="E169" s="165" t="s">
        <v>13</v>
      </c>
      <c r="F169" s="165" t="s">
        <v>3576</v>
      </c>
      <c r="G169" s="165" t="s">
        <v>671</v>
      </c>
      <c r="H169" s="165" t="s">
        <v>2375</v>
      </c>
      <c r="I169" s="144">
        <v>46799</v>
      </c>
      <c r="J169">
        <v>688</v>
      </c>
      <c r="K169" s="165" t="s">
        <v>2019</v>
      </c>
      <c r="L169" s="165" t="s">
        <v>102</v>
      </c>
      <c r="M169" s="144">
        <v>46844</v>
      </c>
      <c r="N169" s="146">
        <v>15000</v>
      </c>
      <c r="O169">
        <v>0</v>
      </c>
      <c r="P169">
        <v>15000</v>
      </c>
      <c r="Q169" s="165" t="s">
        <v>225</v>
      </c>
      <c r="R169" s="165"/>
    </row>
    <row r="170" spans="1:19" x14ac:dyDescent="0.25">
      <c r="A170">
        <v>510</v>
      </c>
      <c r="B170" s="144">
        <v>46111</v>
      </c>
      <c r="C170">
        <v>42691</v>
      </c>
      <c r="D170" s="165" t="s">
        <v>2374</v>
      </c>
      <c r="E170" s="165" t="s">
        <v>13</v>
      </c>
      <c r="F170" s="165" t="s">
        <v>3576</v>
      </c>
      <c r="G170" s="165" t="s">
        <v>1334</v>
      </c>
      <c r="H170" s="165" t="s">
        <v>2375</v>
      </c>
      <c r="I170" s="144">
        <v>46799</v>
      </c>
      <c r="J170">
        <v>688</v>
      </c>
      <c r="K170" s="165" t="s">
        <v>240</v>
      </c>
      <c r="L170" s="165" t="s">
        <v>102</v>
      </c>
      <c r="M170" s="144">
        <v>46844</v>
      </c>
      <c r="N170" s="146">
        <v>15000</v>
      </c>
      <c r="O170">
        <v>2000</v>
      </c>
      <c r="P170">
        <v>13000</v>
      </c>
      <c r="Q170" s="165" t="s">
        <v>225</v>
      </c>
      <c r="R170" s="165"/>
      <c r="S170" t="s">
        <v>269</v>
      </c>
    </row>
    <row r="171" spans="1:19" x14ac:dyDescent="0.25">
      <c r="A171">
        <v>509</v>
      </c>
      <c r="B171" s="144">
        <v>46111</v>
      </c>
      <c r="C171">
        <v>42607</v>
      </c>
      <c r="D171" s="165" t="s">
        <v>2257</v>
      </c>
      <c r="E171" s="165" t="s">
        <v>11</v>
      </c>
      <c r="F171" s="165" t="s">
        <v>255</v>
      </c>
      <c r="G171" s="165" t="s">
        <v>352</v>
      </c>
      <c r="H171" s="165" t="s">
        <v>2258</v>
      </c>
      <c r="I171" s="144">
        <v>47695</v>
      </c>
      <c r="J171">
        <v>1584</v>
      </c>
      <c r="K171" s="165" t="s">
        <v>2019</v>
      </c>
      <c r="L171" s="165" t="s">
        <v>8</v>
      </c>
      <c r="M171" s="144">
        <v>47574</v>
      </c>
      <c r="N171" s="146">
        <v>10000</v>
      </c>
      <c r="O171">
        <v>0</v>
      </c>
      <c r="P171">
        <v>10000</v>
      </c>
      <c r="Q171" s="165" t="s">
        <v>225</v>
      </c>
      <c r="R171" s="165"/>
    </row>
    <row r="172" spans="1:19" x14ac:dyDescent="0.25">
      <c r="A172">
        <v>508</v>
      </c>
      <c r="B172" s="144">
        <v>46111</v>
      </c>
      <c r="C172">
        <v>42602</v>
      </c>
      <c r="D172" s="165" t="s">
        <v>3577</v>
      </c>
      <c r="E172" s="165" t="s">
        <v>100</v>
      </c>
      <c r="F172" s="165" t="s">
        <v>2422</v>
      </c>
      <c r="G172" s="165" t="s">
        <v>673</v>
      </c>
      <c r="H172" s="165" t="s">
        <v>3578</v>
      </c>
      <c r="I172" s="144">
        <v>47735</v>
      </c>
      <c r="J172">
        <v>1624</v>
      </c>
      <c r="K172" s="165" t="s">
        <v>2019</v>
      </c>
      <c r="L172" s="165" t="s">
        <v>102</v>
      </c>
      <c r="M172" s="144">
        <v>47574</v>
      </c>
      <c r="N172" s="146">
        <v>14000</v>
      </c>
      <c r="O172">
        <v>0</v>
      </c>
      <c r="P172">
        <v>14000</v>
      </c>
      <c r="Q172" s="165" t="s">
        <v>225</v>
      </c>
      <c r="R172" s="165"/>
    </row>
    <row r="173" spans="1:19" x14ac:dyDescent="0.25">
      <c r="A173">
        <v>507</v>
      </c>
      <c r="B173" s="144">
        <v>46111</v>
      </c>
      <c r="C173">
        <v>42602</v>
      </c>
      <c r="D173" s="165" t="s">
        <v>3577</v>
      </c>
      <c r="E173" s="165" t="s">
        <v>100</v>
      </c>
      <c r="F173" s="165" t="s">
        <v>2422</v>
      </c>
      <c r="G173" s="165" t="s">
        <v>1336</v>
      </c>
      <c r="H173" s="165" t="s">
        <v>3578</v>
      </c>
      <c r="I173" s="144">
        <v>47735</v>
      </c>
      <c r="J173">
        <v>1624</v>
      </c>
      <c r="K173" s="165" t="s">
        <v>240</v>
      </c>
      <c r="L173" s="165" t="s">
        <v>102</v>
      </c>
      <c r="M173" s="144">
        <v>47574</v>
      </c>
      <c r="N173" s="146">
        <v>14000</v>
      </c>
      <c r="O173">
        <v>800</v>
      </c>
      <c r="P173">
        <v>13200</v>
      </c>
      <c r="Q173" s="165" t="s">
        <v>225</v>
      </c>
      <c r="R173" s="165"/>
      <c r="S173" t="s">
        <v>263</v>
      </c>
    </row>
    <row r="174" spans="1:19" x14ac:dyDescent="0.25">
      <c r="A174">
        <v>506</v>
      </c>
      <c r="B174" s="144">
        <v>46111</v>
      </c>
      <c r="C174">
        <v>42610</v>
      </c>
      <c r="D174" s="165" t="s">
        <v>3579</v>
      </c>
      <c r="E174" s="165" t="s">
        <v>201</v>
      </c>
      <c r="F174" s="165" t="s">
        <v>3580</v>
      </c>
      <c r="G174" s="165" t="s">
        <v>576</v>
      </c>
      <c r="H174" s="165" t="s">
        <v>3581</v>
      </c>
      <c r="I174" s="144">
        <v>46990</v>
      </c>
      <c r="J174">
        <v>879</v>
      </c>
      <c r="K174" s="165" t="s">
        <v>2016</v>
      </c>
      <c r="L174" s="165" t="s">
        <v>8</v>
      </c>
      <c r="M174" s="144">
        <v>46844</v>
      </c>
      <c r="N174" s="146">
        <v>10500</v>
      </c>
      <c r="O174">
        <v>0</v>
      </c>
      <c r="P174">
        <v>10500</v>
      </c>
      <c r="Q174" s="165" t="s">
        <v>225</v>
      </c>
      <c r="R174" s="165"/>
    </row>
    <row r="175" spans="1:19" x14ac:dyDescent="0.25">
      <c r="A175">
        <v>505</v>
      </c>
      <c r="B175" s="144">
        <v>46111</v>
      </c>
      <c r="C175">
        <v>42610</v>
      </c>
      <c r="D175" s="165" t="s">
        <v>3579</v>
      </c>
      <c r="E175" s="165" t="s">
        <v>201</v>
      </c>
      <c r="F175" s="165" t="s">
        <v>3580</v>
      </c>
      <c r="G175" s="165" t="s">
        <v>391</v>
      </c>
      <c r="H175" s="165" t="s">
        <v>3581</v>
      </c>
      <c r="I175" s="144">
        <v>46990</v>
      </c>
      <c r="J175">
        <v>879</v>
      </c>
      <c r="K175" s="165" t="s">
        <v>2019</v>
      </c>
      <c r="L175" s="165" t="s">
        <v>8</v>
      </c>
      <c r="M175" s="144">
        <v>46844</v>
      </c>
      <c r="N175" s="146">
        <v>10500</v>
      </c>
      <c r="O175">
        <v>0</v>
      </c>
      <c r="P175">
        <v>10500</v>
      </c>
      <c r="Q175" s="165" t="s">
        <v>225</v>
      </c>
      <c r="R175" s="165"/>
    </row>
    <row r="176" spans="1:19" x14ac:dyDescent="0.25">
      <c r="A176">
        <v>504</v>
      </c>
      <c r="B176" s="144">
        <v>46111</v>
      </c>
      <c r="C176">
        <v>42619</v>
      </c>
      <c r="D176" s="165" t="s">
        <v>3582</v>
      </c>
      <c r="E176" s="165" t="s">
        <v>12</v>
      </c>
      <c r="F176" s="165" t="s">
        <v>3583</v>
      </c>
      <c r="G176" s="165" t="s">
        <v>711</v>
      </c>
      <c r="H176" s="165" t="s">
        <v>3584</v>
      </c>
      <c r="I176" s="144">
        <v>47567</v>
      </c>
      <c r="J176">
        <v>1456</v>
      </c>
      <c r="K176" s="165" t="s">
        <v>2019</v>
      </c>
      <c r="L176" s="165" t="s">
        <v>8</v>
      </c>
      <c r="M176" s="144">
        <v>46844</v>
      </c>
      <c r="N176" s="146">
        <v>20833</v>
      </c>
      <c r="O176">
        <v>0</v>
      </c>
      <c r="P176">
        <v>20833</v>
      </c>
      <c r="Q176" s="165" t="s">
        <v>225</v>
      </c>
      <c r="R176" s="165"/>
    </row>
    <row r="177" spans="1:19" x14ac:dyDescent="0.25">
      <c r="A177">
        <v>503</v>
      </c>
      <c r="B177" s="144">
        <v>46111</v>
      </c>
      <c r="C177">
        <v>42619</v>
      </c>
      <c r="D177" s="165" t="s">
        <v>3582</v>
      </c>
      <c r="E177" s="165" t="s">
        <v>12</v>
      </c>
      <c r="F177" s="165" t="s">
        <v>3583</v>
      </c>
      <c r="G177" s="165" t="s">
        <v>1819</v>
      </c>
      <c r="H177" s="165" t="s">
        <v>3584</v>
      </c>
      <c r="I177" s="144">
        <v>47567</v>
      </c>
      <c r="J177">
        <v>1456</v>
      </c>
      <c r="K177" s="165" t="s">
        <v>240</v>
      </c>
      <c r="L177" s="165" t="s">
        <v>8</v>
      </c>
      <c r="M177" s="144">
        <v>46844</v>
      </c>
      <c r="N177" s="146">
        <v>20833</v>
      </c>
      <c r="O177">
        <v>1400</v>
      </c>
      <c r="P177">
        <v>19433</v>
      </c>
      <c r="Q177" s="165" t="s">
        <v>225</v>
      </c>
      <c r="R177" s="165"/>
      <c r="S177" t="s">
        <v>263</v>
      </c>
    </row>
    <row r="178" spans="1:19" x14ac:dyDescent="0.25">
      <c r="A178">
        <v>502</v>
      </c>
      <c r="B178" s="144">
        <v>46111</v>
      </c>
      <c r="C178">
        <v>42626</v>
      </c>
      <c r="D178" s="165" t="s">
        <v>292</v>
      </c>
      <c r="E178" s="165" t="s">
        <v>12</v>
      </c>
      <c r="F178" s="165" t="s">
        <v>261</v>
      </c>
      <c r="G178" s="165" t="s">
        <v>1385</v>
      </c>
      <c r="H178" s="165" t="s">
        <v>294</v>
      </c>
      <c r="I178" s="144">
        <v>46190</v>
      </c>
      <c r="J178">
        <v>79</v>
      </c>
      <c r="K178" s="165" t="s">
        <v>262</v>
      </c>
      <c r="L178" s="165" t="s">
        <v>102</v>
      </c>
      <c r="M178" s="144">
        <v>47574</v>
      </c>
      <c r="N178" s="146">
        <v>17500</v>
      </c>
      <c r="O178">
        <v>2400</v>
      </c>
      <c r="P178">
        <v>15100</v>
      </c>
      <c r="Q178" s="165" t="s">
        <v>225</v>
      </c>
      <c r="R178" s="165"/>
      <c r="S178" t="s">
        <v>263</v>
      </c>
    </row>
    <row r="179" spans="1:19" x14ac:dyDescent="0.25">
      <c r="A179">
        <v>501</v>
      </c>
      <c r="B179" s="144">
        <v>46111</v>
      </c>
      <c r="C179">
        <v>42630</v>
      </c>
      <c r="D179" s="165" t="s">
        <v>3585</v>
      </c>
      <c r="E179" s="165" t="s">
        <v>12</v>
      </c>
      <c r="F179" s="165" t="s">
        <v>2293</v>
      </c>
      <c r="G179" s="165" t="s">
        <v>707</v>
      </c>
      <c r="H179" s="165" t="s">
        <v>3586</v>
      </c>
      <c r="I179" s="144">
        <v>46040</v>
      </c>
      <c r="J179">
        <v>-71</v>
      </c>
      <c r="K179" s="165" t="s">
        <v>2019</v>
      </c>
      <c r="L179" s="165" t="s">
        <v>8</v>
      </c>
      <c r="M179" s="144">
        <v>46844</v>
      </c>
      <c r="N179" s="146">
        <v>10000</v>
      </c>
      <c r="O179">
        <v>0</v>
      </c>
      <c r="P179">
        <v>10000</v>
      </c>
      <c r="Q179" s="165" t="s">
        <v>225</v>
      </c>
      <c r="R179" s="165"/>
    </row>
    <row r="180" spans="1:19" x14ac:dyDescent="0.25">
      <c r="A180">
        <v>500</v>
      </c>
      <c r="B180" s="144">
        <v>46111</v>
      </c>
      <c r="C180">
        <v>42630</v>
      </c>
      <c r="D180" s="165" t="s">
        <v>3585</v>
      </c>
      <c r="E180" s="165" t="s">
        <v>12</v>
      </c>
      <c r="F180" s="165" t="s">
        <v>2293</v>
      </c>
      <c r="G180" s="165" t="s">
        <v>1460</v>
      </c>
      <c r="H180" s="165" t="s">
        <v>3586</v>
      </c>
      <c r="I180" s="144">
        <v>46040</v>
      </c>
      <c r="J180">
        <v>-71</v>
      </c>
      <c r="K180" s="165" t="s">
        <v>240</v>
      </c>
      <c r="L180" s="165" t="s">
        <v>8</v>
      </c>
      <c r="M180" s="144">
        <v>46844</v>
      </c>
      <c r="N180" s="146">
        <v>10000</v>
      </c>
      <c r="O180">
        <v>1000</v>
      </c>
      <c r="P180">
        <v>9000</v>
      </c>
      <c r="Q180" s="165" t="s">
        <v>225</v>
      </c>
      <c r="R180" s="165"/>
      <c r="S180" t="s">
        <v>241</v>
      </c>
    </row>
    <row r="181" spans="1:19" x14ac:dyDescent="0.25">
      <c r="A181">
        <v>499</v>
      </c>
      <c r="B181" s="144">
        <v>46111</v>
      </c>
      <c r="C181">
        <v>42637</v>
      </c>
      <c r="D181" s="165" t="s">
        <v>3587</v>
      </c>
      <c r="E181" s="165" t="s">
        <v>17</v>
      </c>
      <c r="F181" s="165" t="s">
        <v>3555</v>
      </c>
      <c r="G181" s="165" t="s">
        <v>640</v>
      </c>
      <c r="H181" s="165" t="s">
        <v>3588</v>
      </c>
      <c r="I181" s="144">
        <v>46121</v>
      </c>
      <c r="J181">
        <v>10</v>
      </c>
      <c r="K181" s="165" t="s">
        <v>2019</v>
      </c>
      <c r="L181" s="165" t="s">
        <v>8</v>
      </c>
      <c r="M181" s="144">
        <v>46844</v>
      </c>
      <c r="N181" s="146">
        <v>17400</v>
      </c>
      <c r="O181">
        <v>0</v>
      </c>
      <c r="P181">
        <v>17400</v>
      </c>
      <c r="Q181" s="165" t="s">
        <v>225</v>
      </c>
      <c r="R181" s="165"/>
    </row>
    <row r="182" spans="1:19" x14ac:dyDescent="0.25">
      <c r="A182">
        <v>498</v>
      </c>
      <c r="B182" s="144">
        <v>46111</v>
      </c>
      <c r="C182">
        <v>42637</v>
      </c>
      <c r="D182" s="165" t="s">
        <v>3587</v>
      </c>
      <c r="E182" s="165" t="s">
        <v>17</v>
      </c>
      <c r="F182" s="165" t="s">
        <v>3555</v>
      </c>
      <c r="G182" s="165" t="s">
        <v>1276</v>
      </c>
      <c r="H182" s="165" t="s">
        <v>3588</v>
      </c>
      <c r="I182" s="144">
        <v>46121</v>
      </c>
      <c r="J182">
        <v>10</v>
      </c>
      <c r="K182" s="165" t="s">
        <v>240</v>
      </c>
      <c r="L182" s="165" t="s">
        <v>8</v>
      </c>
      <c r="M182" s="144">
        <v>46844</v>
      </c>
      <c r="N182" s="146">
        <v>17400</v>
      </c>
      <c r="O182">
        <v>1100</v>
      </c>
      <c r="P182">
        <v>16300</v>
      </c>
      <c r="Q182" s="165" t="s">
        <v>225</v>
      </c>
      <c r="R182" s="165"/>
      <c r="S182" t="s">
        <v>241</v>
      </c>
    </row>
    <row r="183" spans="1:19" x14ac:dyDescent="0.25">
      <c r="A183">
        <v>497</v>
      </c>
      <c r="B183" s="144">
        <v>46111</v>
      </c>
      <c r="C183">
        <v>42636</v>
      </c>
      <c r="D183" s="165" t="s">
        <v>3589</v>
      </c>
      <c r="E183" s="165" t="s">
        <v>3590</v>
      </c>
      <c r="F183" s="165" t="s">
        <v>293</v>
      </c>
      <c r="G183" s="165" t="s">
        <v>1660</v>
      </c>
      <c r="H183" s="165" t="s">
        <v>3591</v>
      </c>
      <c r="I183" s="144">
        <v>46314</v>
      </c>
      <c r="J183">
        <v>203</v>
      </c>
      <c r="K183" s="165" t="s">
        <v>2019</v>
      </c>
      <c r="L183" s="165" t="s">
        <v>8</v>
      </c>
      <c r="M183" s="144">
        <v>46844</v>
      </c>
      <c r="N183" s="146">
        <v>13000</v>
      </c>
      <c r="O183">
        <v>0</v>
      </c>
      <c r="P183">
        <v>13000</v>
      </c>
      <c r="Q183" s="165" t="s">
        <v>225</v>
      </c>
      <c r="R183" s="165"/>
    </row>
    <row r="184" spans="1:19" x14ac:dyDescent="0.25">
      <c r="A184">
        <v>496</v>
      </c>
      <c r="B184" s="144">
        <v>46111</v>
      </c>
      <c r="C184">
        <v>42636</v>
      </c>
      <c r="D184" s="165" t="s">
        <v>3589</v>
      </c>
      <c r="E184" s="165" t="s">
        <v>3590</v>
      </c>
      <c r="F184" s="165" t="s">
        <v>293</v>
      </c>
      <c r="G184" s="165" t="s">
        <v>1634</v>
      </c>
      <c r="H184" s="165" t="s">
        <v>3591</v>
      </c>
      <c r="I184" s="144">
        <v>46314</v>
      </c>
      <c r="J184">
        <v>203</v>
      </c>
      <c r="K184" s="165" t="s">
        <v>240</v>
      </c>
      <c r="L184" s="165" t="s">
        <v>8</v>
      </c>
      <c r="M184" s="144">
        <v>46844</v>
      </c>
      <c r="N184" s="146">
        <v>13000</v>
      </c>
      <c r="O184">
        <v>1100</v>
      </c>
      <c r="P184">
        <v>11900</v>
      </c>
      <c r="Q184" s="165" t="s">
        <v>225</v>
      </c>
      <c r="R184" s="165"/>
      <c r="S184" t="s">
        <v>263</v>
      </c>
    </row>
    <row r="185" spans="1:19" x14ac:dyDescent="0.25">
      <c r="A185">
        <v>495</v>
      </c>
      <c r="B185" s="144">
        <v>46111</v>
      </c>
      <c r="C185">
        <v>42635</v>
      </c>
      <c r="D185" s="165" t="s">
        <v>3589</v>
      </c>
      <c r="E185" s="165" t="s">
        <v>3590</v>
      </c>
      <c r="F185" s="165" t="s">
        <v>2293</v>
      </c>
      <c r="G185" s="165" t="s">
        <v>1660</v>
      </c>
      <c r="H185" s="165" t="s">
        <v>3591</v>
      </c>
      <c r="I185" s="144">
        <v>46314</v>
      </c>
      <c r="J185">
        <v>203</v>
      </c>
      <c r="K185" s="165" t="s">
        <v>2019</v>
      </c>
      <c r="L185" s="165" t="s">
        <v>102</v>
      </c>
      <c r="M185" s="144">
        <v>46844</v>
      </c>
      <c r="N185" s="146">
        <v>50000</v>
      </c>
      <c r="O185">
        <v>0</v>
      </c>
      <c r="P185">
        <v>50000</v>
      </c>
      <c r="Q185" s="165" t="s">
        <v>225</v>
      </c>
      <c r="R185" s="165"/>
    </row>
    <row r="186" spans="1:19" x14ac:dyDescent="0.25">
      <c r="A186">
        <v>494</v>
      </c>
      <c r="B186" s="144">
        <v>46111</v>
      </c>
      <c r="C186">
        <v>42635</v>
      </c>
      <c r="D186" s="165" t="s">
        <v>3589</v>
      </c>
      <c r="E186" s="165" t="s">
        <v>3590</v>
      </c>
      <c r="F186" s="165" t="s">
        <v>2293</v>
      </c>
      <c r="G186" s="165" t="s">
        <v>1672</v>
      </c>
      <c r="H186" s="165" t="s">
        <v>3591</v>
      </c>
      <c r="I186" s="144">
        <v>46314</v>
      </c>
      <c r="J186">
        <v>203</v>
      </c>
      <c r="K186" s="165" t="s">
        <v>240</v>
      </c>
      <c r="L186" s="165" t="s">
        <v>102</v>
      </c>
      <c r="M186" s="144">
        <v>46844</v>
      </c>
      <c r="N186" s="146">
        <v>50000</v>
      </c>
      <c r="O186">
        <v>3500</v>
      </c>
      <c r="P186">
        <v>46500</v>
      </c>
      <c r="Q186" s="165" t="s">
        <v>225</v>
      </c>
      <c r="R186" s="165"/>
      <c r="S186" t="s">
        <v>263</v>
      </c>
    </row>
    <row r="187" spans="1:19" x14ac:dyDescent="0.25">
      <c r="A187">
        <v>493</v>
      </c>
      <c r="B187" s="144">
        <v>46111</v>
      </c>
      <c r="C187">
        <v>42660</v>
      </c>
      <c r="D187" s="165" t="s">
        <v>2076</v>
      </c>
      <c r="E187" s="165" t="s">
        <v>181</v>
      </c>
      <c r="F187" s="165" t="s">
        <v>247</v>
      </c>
      <c r="G187" s="165" t="s">
        <v>731</v>
      </c>
      <c r="H187" s="165" t="s">
        <v>3592</v>
      </c>
      <c r="I187" s="144">
        <v>46870</v>
      </c>
      <c r="J187">
        <v>759</v>
      </c>
      <c r="K187" s="165" t="s">
        <v>2019</v>
      </c>
      <c r="L187" s="165" t="s">
        <v>8</v>
      </c>
      <c r="M187" s="144">
        <v>46844</v>
      </c>
      <c r="N187" s="146">
        <v>29703</v>
      </c>
      <c r="O187">
        <v>0</v>
      </c>
      <c r="P187">
        <v>29703</v>
      </c>
      <c r="Q187" s="165" t="s">
        <v>225</v>
      </c>
      <c r="R187" s="165"/>
    </row>
    <row r="188" spans="1:19" x14ac:dyDescent="0.25">
      <c r="A188">
        <v>492</v>
      </c>
      <c r="B188" s="144">
        <v>46111</v>
      </c>
      <c r="C188">
        <v>42660</v>
      </c>
      <c r="D188" s="165" t="s">
        <v>2076</v>
      </c>
      <c r="E188" s="165" t="s">
        <v>181</v>
      </c>
      <c r="F188" s="165" t="s">
        <v>247</v>
      </c>
      <c r="G188" s="165" t="s">
        <v>1482</v>
      </c>
      <c r="H188" s="165" t="s">
        <v>3592</v>
      </c>
      <c r="I188" s="144">
        <v>46870</v>
      </c>
      <c r="J188">
        <v>759</v>
      </c>
      <c r="K188" s="165" t="s">
        <v>240</v>
      </c>
      <c r="L188" s="165" t="s">
        <v>8</v>
      </c>
      <c r="M188" s="144">
        <v>46844</v>
      </c>
      <c r="N188" s="146">
        <v>29703</v>
      </c>
      <c r="O188">
        <v>2500</v>
      </c>
      <c r="P188">
        <v>27203</v>
      </c>
      <c r="Q188" s="165" t="s">
        <v>225</v>
      </c>
      <c r="R188" s="165"/>
      <c r="S188" t="s">
        <v>241</v>
      </c>
    </row>
    <row r="189" spans="1:19" x14ac:dyDescent="0.25">
      <c r="A189">
        <v>491</v>
      </c>
      <c r="B189" s="144">
        <v>46111</v>
      </c>
      <c r="C189">
        <v>42658</v>
      </c>
      <c r="D189" s="165" t="s">
        <v>3593</v>
      </c>
      <c r="E189" s="165" t="s">
        <v>181</v>
      </c>
      <c r="F189" s="165" t="s">
        <v>247</v>
      </c>
      <c r="G189" s="165" t="s">
        <v>951</v>
      </c>
      <c r="H189" s="165" t="s">
        <v>3594</v>
      </c>
      <c r="I189" s="144">
        <v>47378</v>
      </c>
      <c r="J189">
        <v>1267</v>
      </c>
      <c r="K189" s="165" t="s">
        <v>240</v>
      </c>
      <c r="L189" s="165" t="s">
        <v>8</v>
      </c>
      <c r="M189" s="144">
        <v>47574</v>
      </c>
      <c r="N189" s="146">
        <v>29703</v>
      </c>
      <c r="O189">
        <v>0</v>
      </c>
      <c r="P189">
        <v>29703</v>
      </c>
      <c r="Q189" s="165" t="s">
        <v>225</v>
      </c>
      <c r="R189" s="165"/>
      <c r="S189" t="s">
        <v>241</v>
      </c>
    </row>
    <row r="190" spans="1:19" x14ac:dyDescent="0.25">
      <c r="A190">
        <v>490</v>
      </c>
      <c r="B190" s="144">
        <v>46111</v>
      </c>
      <c r="C190">
        <v>42657</v>
      </c>
      <c r="D190" s="165" t="s">
        <v>3593</v>
      </c>
      <c r="E190" s="165" t="s">
        <v>181</v>
      </c>
      <c r="F190" s="165" t="s">
        <v>247</v>
      </c>
      <c r="G190" s="165" t="s">
        <v>951</v>
      </c>
      <c r="H190" s="165" t="s">
        <v>3594</v>
      </c>
      <c r="I190" s="144">
        <v>47378</v>
      </c>
      <c r="J190">
        <v>1267</v>
      </c>
      <c r="K190" s="165" t="s">
        <v>240</v>
      </c>
      <c r="L190" s="165" t="s">
        <v>8</v>
      </c>
      <c r="M190" s="144">
        <v>47574</v>
      </c>
      <c r="N190" s="146">
        <v>29703</v>
      </c>
      <c r="O190">
        <v>0</v>
      </c>
      <c r="P190">
        <v>29703</v>
      </c>
      <c r="Q190" s="165" t="s">
        <v>225</v>
      </c>
      <c r="R190" s="165"/>
      <c r="S190" t="s">
        <v>241</v>
      </c>
    </row>
    <row r="191" spans="1:19" x14ac:dyDescent="0.25">
      <c r="A191">
        <v>489</v>
      </c>
      <c r="B191" s="144">
        <v>46111</v>
      </c>
      <c r="C191">
        <v>42656</v>
      </c>
      <c r="D191" s="165" t="s">
        <v>3593</v>
      </c>
      <c r="E191" s="165" t="s">
        <v>181</v>
      </c>
      <c r="F191" s="165" t="s">
        <v>247</v>
      </c>
      <c r="G191" s="165" t="s">
        <v>951</v>
      </c>
      <c r="H191" s="165" t="s">
        <v>3594</v>
      </c>
      <c r="I191" s="144">
        <v>47378</v>
      </c>
      <c r="J191">
        <v>1267</v>
      </c>
      <c r="K191" s="165" t="s">
        <v>240</v>
      </c>
      <c r="L191" s="165" t="s">
        <v>8</v>
      </c>
      <c r="M191" s="144">
        <v>47574</v>
      </c>
      <c r="N191" s="146">
        <v>29703</v>
      </c>
      <c r="O191">
        <v>0</v>
      </c>
      <c r="P191">
        <v>29703</v>
      </c>
      <c r="Q191" s="165" t="s">
        <v>225</v>
      </c>
      <c r="R191" s="165"/>
      <c r="S191" t="s">
        <v>241</v>
      </c>
    </row>
    <row r="192" spans="1:19" x14ac:dyDescent="0.25">
      <c r="A192">
        <v>488</v>
      </c>
      <c r="B192" s="144">
        <v>46111</v>
      </c>
      <c r="C192">
        <v>42655</v>
      </c>
      <c r="D192" s="165" t="s">
        <v>3593</v>
      </c>
      <c r="E192" s="165" t="s">
        <v>181</v>
      </c>
      <c r="F192" s="165" t="s">
        <v>247</v>
      </c>
      <c r="G192" s="165" t="s">
        <v>951</v>
      </c>
      <c r="H192" s="165" t="s">
        <v>3594</v>
      </c>
      <c r="I192" s="144">
        <v>47378</v>
      </c>
      <c r="J192">
        <v>1267</v>
      </c>
      <c r="K192" s="165" t="s">
        <v>240</v>
      </c>
      <c r="L192" s="165" t="s">
        <v>8</v>
      </c>
      <c r="M192" s="144">
        <v>47574</v>
      </c>
      <c r="N192" s="146">
        <v>29703</v>
      </c>
      <c r="O192">
        <v>0</v>
      </c>
      <c r="P192">
        <v>29703</v>
      </c>
      <c r="Q192" s="165" t="s">
        <v>225</v>
      </c>
      <c r="R192" s="165"/>
      <c r="S192" t="s">
        <v>241</v>
      </c>
    </row>
    <row r="193" spans="1:19" x14ac:dyDescent="0.25">
      <c r="A193">
        <v>487</v>
      </c>
      <c r="B193" s="144">
        <v>46111</v>
      </c>
      <c r="C193">
        <v>42654</v>
      </c>
      <c r="D193" s="165" t="s">
        <v>3593</v>
      </c>
      <c r="E193" s="165" t="s">
        <v>181</v>
      </c>
      <c r="F193" s="165" t="s">
        <v>247</v>
      </c>
      <c r="G193" s="165" t="s">
        <v>951</v>
      </c>
      <c r="H193" s="165" t="s">
        <v>3594</v>
      </c>
      <c r="I193" s="144">
        <v>47378</v>
      </c>
      <c r="J193">
        <v>1267</v>
      </c>
      <c r="K193" s="165" t="s">
        <v>240</v>
      </c>
      <c r="L193" s="165" t="s">
        <v>8</v>
      </c>
      <c r="M193" s="144">
        <v>47574</v>
      </c>
      <c r="N193" s="146">
        <v>29703</v>
      </c>
      <c r="O193">
        <v>0</v>
      </c>
      <c r="P193">
        <v>29703</v>
      </c>
      <c r="Q193" s="165" t="s">
        <v>225</v>
      </c>
      <c r="R193" s="165"/>
      <c r="S193" t="s">
        <v>241</v>
      </c>
    </row>
    <row r="194" spans="1:19" x14ac:dyDescent="0.25">
      <c r="A194">
        <v>486</v>
      </c>
      <c r="B194" s="144">
        <v>46111</v>
      </c>
      <c r="C194">
        <v>42653</v>
      </c>
      <c r="D194" s="165" t="s">
        <v>3593</v>
      </c>
      <c r="E194" s="165" t="s">
        <v>181</v>
      </c>
      <c r="F194" s="165" t="s">
        <v>247</v>
      </c>
      <c r="G194" s="165" t="s">
        <v>951</v>
      </c>
      <c r="H194" s="165" t="s">
        <v>3594</v>
      </c>
      <c r="I194" s="144">
        <v>47378</v>
      </c>
      <c r="J194">
        <v>1267</v>
      </c>
      <c r="K194" s="165" t="s">
        <v>240</v>
      </c>
      <c r="L194" s="165" t="s">
        <v>8</v>
      </c>
      <c r="M194" s="144">
        <v>47574</v>
      </c>
      <c r="N194" s="146">
        <v>29703</v>
      </c>
      <c r="O194">
        <v>0</v>
      </c>
      <c r="P194">
        <v>29703</v>
      </c>
      <c r="Q194" s="165" t="s">
        <v>225</v>
      </c>
      <c r="R194" s="165"/>
      <c r="S194" t="s">
        <v>241</v>
      </c>
    </row>
    <row r="195" spans="1:19" x14ac:dyDescent="0.25">
      <c r="A195">
        <v>485</v>
      </c>
      <c r="B195" s="144">
        <v>46111</v>
      </c>
      <c r="C195">
        <v>42652</v>
      </c>
      <c r="D195" s="165" t="s">
        <v>3593</v>
      </c>
      <c r="E195" s="165" t="s">
        <v>181</v>
      </c>
      <c r="F195" s="165" t="s">
        <v>247</v>
      </c>
      <c r="G195" s="165" t="s">
        <v>951</v>
      </c>
      <c r="H195" s="165" t="s">
        <v>3594</v>
      </c>
      <c r="I195" s="144">
        <v>47378</v>
      </c>
      <c r="J195">
        <v>1267</v>
      </c>
      <c r="K195" s="165" t="s">
        <v>240</v>
      </c>
      <c r="L195" s="165" t="s">
        <v>8</v>
      </c>
      <c r="M195" s="144">
        <v>47574</v>
      </c>
      <c r="N195" s="146">
        <v>29703</v>
      </c>
      <c r="O195">
        <v>0</v>
      </c>
      <c r="P195">
        <v>29703</v>
      </c>
      <c r="Q195" s="165" t="s">
        <v>225</v>
      </c>
      <c r="R195" s="165"/>
      <c r="S195" t="s">
        <v>241</v>
      </c>
    </row>
    <row r="196" spans="1:19" x14ac:dyDescent="0.25">
      <c r="A196">
        <v>484</v>
      </c>
      <c r="B196" s="144">
        <v>46111</v>
      </c>
      <c r="C196">
        <v>42651</v>
      </c>
      <c r="D196" s="165" t="s">
        <v>3593</v>
      </c>
      <c r="E196" s="165" t="s">
        <v>181</v>
      </c>
      <c r="F196" s="165" t="s">
        <v>247</v>
      </c>
      <c r="G196" s="165" t="s">
        <v>951</v>
      </c>
      <c r="H196" s="165" t="s">
        <v>3594</v>
      </c>
      <c r="I196" s="144">
        <v>47378</v>
      </c>
      <c r="J196">
        <v>1267</v>
      </c>
      <c r="K196" s="165" t="s">
        <v>240</v>
      </c>
      <c r="L196" s="165" t="s">
        <v>8</v>
      </c>
      <c r="M196" s="144">
        <v>47574</v>
      </c>
      <c r="N196" s="146">
        <v>29703</v>
      </c>
      <c r="O196">
        <v>0</v>
      </c>
      <c r="P196">
        <v>29703</v>
      </c>
      <c r="Q196" s="165" t="s">
        <v>225</v>
      </c>
      <c r="R196" s="165"/>
      <c r="S196" t="s">
        <v>241</v>
      </c>
    </row>
    <row r="197" spans="1:19" x14ac:dyDescent="0.25">
      <c r="A197">
        <v>483</v>
      </c>
      <c r="B197" s="144">
        <v>46111</v>
      </c>
      <c r="C197">
        <v>42650</v>
      </c>
      <c r="D197" s="165" t="s">
        <v>3593</v>
      </c>
      <c r="E197" s="165" t="s">
        <v>181</v>
      </c>
      <c r="F197" s="165" t="s">
        <v>247</v>
      </c>
      <c r="G197" s="165" t="s">
        <v>951</v>
      </c>
      <c r="H197" s="165" t="s">
        <v>3594</v>
      </c>
      <c r="I197" s="144">
        <v>47378</v>
      </c>
      <c r="J197">
        <v>1267</v>
      </c>
      <c r="K197" s="165" t="s">
        <v>240</v>
      </c>
      <c r="L197" s="165" t="s">
        <v>8</v>
      </c>
      <c r="M197" s="144">
        <v>47574</v>
      </c>
      <c r="N197" s="146">
        <v>29703</v>
      </c>
      <c r="O197">
        <v>0</v>
      </c>
      <c r="P197">
        <v>29703</v>
      </c>
      <c r="Q197" s="165" t="s">
        <v>225</v>
      </c>
      <c r="R197" s="165"/>
      <c r="S197" t="s">
        <v>241</v>
      </c>
    </row>
    <row r="198" spans="1:19" x14ac:dyDescent="0.25">
      <c r="A198">
        <v>482</v>
      </c>
      <c r="B198" s="144">
        <v>46111</v>
      </c>
      <c r="C198">
        <v>42649</v>
      </c>
      <c r="D198" s="165" t="s">
        <v>3593</v>
      </c>
      <c r="E198" s="165" t="s">
        <v>181</v>
      </c>
      <c r="F198" s="165" t="s">
        <v>247</v>
      </c>
      <c r="G198" s="165" t="s">
        <v>951</v>
      </c>
      <c r="H198" s="165" t="s">
        <v>3594</v>
      </c>
      <c r="I198" s="144">
        <v>47378</v>
      </c>
      <c r="J198">
        <v>1267</v>
      </c>
      <c r="K198" s="165" t="s">
        <v>240</v>
      </c>
      <c r="L198" s="165" t="s">
        <v>8</v>
      </c>
      <c r="M198" s="144">
        <v>47574</v>
      </c>
      <c r="N198" s="146">
        <v>29703</v>
      </c>
      <c r="O198">
        <v>0</v>
      </c>
      <c r="P198">
        <v>29703</v>
      </c>
      <c r="Q198" s="165" t="s">
        <v>225</v>
      </c>
      <c r="R198" s="165"/>
      <c r="S198" t="s">
        <v>241</v>
      </c>
    </row>
    <row r="199" spans="1:19" x14ac:dyDescent="0.25">
      <c r="A199">
        <v>481</v>
      </c>
      <c r="B199" s="144">
        <v>46111</v>
      </c>
      <c r="C199">
        <v>42648</v>
      </c>
      <c r="D199" s="165" t="s">
        <v>3593</v>
      </c>
      <c r="E199" s="165" t="s">
        <v>181</v>
      </c>
      <c r="F199" s="165" t="s">
        <v>247</v>
      </c>
      <c r="G199" s="165" t="s">
        <v>951</v>
      </c>
      <c r="H199" s="165" t="s">
        <v>3594</v>
      </c>
      <c r="I199" s="144">
        <v>47378</v>
      </c>
      <c r="J199">
        <v>1267</v>
      </c>
      <c r="K199" s="165" t="s">
        <v>240</v>
      </c>
      <c r="L199" s="165" t="s">
        <v>8</v>
      </c>
      <c r="M199" s="144">
        <v>47574</v>
      </c>
      <c r="N199" s="146">
        <v>29703</v>
      </c>
      <c r="O199">
        <v>0</v>
      </c>
      <c r="P199">
        <v>29703</v>
      </c>
      <c r="Q199" s="165" t="s">
        <v>225</v>
      </c>
      <c r="R199" s="165"/>
      <c r="S199" t="s">
        <v>241</v>
      </c>
    </row>
    <row r="200" spans="1:19" x14ac:dyDescent="0.25">
      <c r="A200">
        <v>480</v>
      </c>
      <c r="B200" s="144">
        <v>46111</v>
      </c>
      <c r="C200">
        <v>42647</v>
      </c>
      <c r="D200" s="165" t="s">
        <v>3593</v>
      </c>
      <c r="E200" s="165" t="s">
        <v>181</v>
      </c>
      <c r="F200" s="165" t="s">
        <v>247</v>
      </c>
      <c r="G200" s="165" t="s">
        <v>450</v>
      </c>
      <c r="H200" s="165" t="s">
        <v>3594</v>
      </c>
      <c r="I200" s="144">
        <v>47378</v>
      </c>
      <c r="J200">
        <v>1267</v>
      </c>
      <c r="K200" s="165" t="s">
        <v>2019</v>
      </c>
      <c r="L200" s="165" t="s">
        <v>8</v>
      </c>
      <c r="M200" s="144">
        <v>47574</v>
      </c>
      <c r="N200" s="146">
        <v>356436</v>
      </c>
      <c r="O200">
        <v>0</v>
      </c>
      <c r="P200">
        <v>356436</v>
      </c>
      <c r="Q200" s="165" t="s">
        <v>225</v>
      </c>
      <c r="R200" s="165" t="s">
        <v>3595</v>
      </c>
    </row>
    <row r="201" spans="1:19" x14ac:dyDescent="0.25">
      <c r="A201">
        <v>479</v>
      </c>
      <c r="B201" s="144">
        <v>46111</v>
      </c>
      <c r="C201">
        <v>42647</v>
      </c>
      <c r="D201" s="165" t="s">
        <v>3593</v>
      </c>
      <c r="E201" s="165" t="s">
        <v>181</v>
      </c>
      <c r="F201" s="165" t="s">
        <v>247</v>
      </c>
      <c r="G201" s="165" t="s">
        <v>951</v>
      </c>
      <c r="H201" s="165" t="s">
        <v>3594</v>
      </c>
      <c r="I201" s="144">
        <v>47378</v>
      </c>
      <c r="J201">
        <v>1267</v>
      </c>
      <c r="K201" s="165" t="s">
        <v>240</v>
      </c>
      <c r="L201" s="165" t="s">
        <v>8</v>
      </c>
      <c r="M201" s="144">
        <v>47574</v>
      </c>
      <c r="N201" s="146">
        <v>29703</v>
      </c>
      <c r="O201">
        <v>2300</v>
      </c>
      <c r="P201">
        <v>27403</v>
      </c>
      <c r="Q201" s="165" t="s">
        <v>225</v>
      </c>
      <c r="R201" s="165"/>
      <c r="S201" t="s">
        <v>241</v>
      </c>
    </row>
    <row r="202" spans="1:19" x14ac:dyDescent="0.25">
      <c r="A202">
        <v>478</v>
      </c>
      <c r="B202" s="144">
        <v>46107</v>
      </c>
      <c r="C202">
        <v>32624</v>
      </c>
      <c r="D202" s="165" t="s">
        <v>3596</v>
      </c>
      <c r="E202" s="165" t="s">
        <v>12</v>
      </c>
      <c r="F202" s="165" t="s">
        <v>3583</v>
      </c>
      <c r="G202" s="165" t="s">
        <v>331</v>
      </c>
      <c r="H202" s="165" t="s">
        <v>3597</v>
      </c>
      <c r="I202" s="144">
        <v>47483</v>
      </c>
      <c r="J202">
        <v>1376</v>
      </c>
      <c r="K202" s="165" t="s">
        <v>2019</v>
      </c>
      <c r="L202" s="165" t="s">
        <v>8</v>
      </c>
      <c r="M202" s="144">
        <v>46813</v>
      </c>
      <c r="N202" s="146">
        <v>4167</v>
      </c>
      <c r="O202">
        <v>1000</v>
      </c>
      <c r="P202">
        <v>3167</v>
      </c>
      <c r="Q202" s="165" t="s">
        <v>225</v>
      </c>
      <c r="R202" s="165"/>
    </row>
    <row r="203" spans="1:19" x14ac:dyDescent="0.25">
      <c r="A203">
        <v>477</v>
      </c>
      <c r="B203" s="144">
        <v>46107</v>
      </c>
      <c r="C203">
        <v>32624</v>
      </c>
      <c r="D203" s="165" t="s">
        <v>3596</v>
      </c>
      <c r="E203" s="165" t="s">
        <v>12</v>
      </c>
      <c r="F203" s="165" t="s">
        <v>3583</v>
      </c>
      <c r="G203" s="165" t="s">
        <v>1934</v>
      </c>
      <c r="H203" s="165" t="s">
        <v>3597</v>
      </c>
      <c r="I203" s="144">
        <v>47483</v>
      </c>
      <c r="J203">
        <v>1376</v>
      </c>
      <c r="K203" s="165" t="s">
        <v>240</v>
      </c>
      <c r="L203" s="165" t="s">
        <v>8</v>
      </c>
      <c r="M203" s="144">
        <v>46813</v>
      </c>
      <c r="N203" s="146">
        <v>4167</v>
      </c>
      <c r="O203">
        <v>4000</v>
      </c>
      <c r="P203">
        <v>167</v>
      </c>
      <c r="Q203" s="165" t="s">
        <v>225</v>
      </c>
      <c r="R203" s="165"/>
      <c r="S203" t="s">
        <v>251</v>
      </c>
    </row>
    <row r="204" spans="1:19" x14ac:dyDescent="0.25">
      <c r="A204">
        <v>476</v>
      </c>
      <c r="B204" s="144">
        <v>46107</v>
      </c>
      <c r="D204" s="165" t="s">
        <v>3598</v>
      </c>
      <c r="E204" s="165" t="s">
        <v>2111</v>
      </c>
      <c r="F204" s="165" t="s">
        <v>2296</v>
      </c>
      <c r="G204" s="165" t="s">
        <v>616</v>
      </c>
      <c r="H204" s="165" t="s">
        <v>3599</v>
      </c>
      <c r="I204" s="144">
        <v>46476</v>
      </c>
      <c r="J204">
        <v>369</v>
      </c>
      <c r="K204" s="165" t="s">
        <v>2019</v>
      </c>
      <c r="L204" s="165" t="s">
        <v>8</v>
      </c>
      <c r="M204" s="144">
        <v>47543</v>
      </c>
      <c r="N204" s="146">
        <v>3600</v>
      </c>
      <c r="O204">
        <v>0</v>
      </c>
      <c r="P204">
        <v>3600</v>
      </c>
      <c r="Q204" s="165" t="s">
        <v>225</v>
      </c>
      <c r="R204" s="165"/>
    </row>
    <row r="205" spans="1:19" x14ac:dyDescent="0.25">
      <c r="A205">
        <v>475</v>
      </c>
      <c r="B205" s="144">
        <v>46105</v>
      </c>
      <c r="D205" s="165" t="s">
        <v>3600</v>
      </c>
      <c r="E205" s="165" t="s">
        <v>2111</v>
      </c>
      <c r="F205" s="165" t="s">
        <v>2395</v>
      </c>
      <c r="G205" s="165" t="s">
        <v>484</v>
      </c>
      <c r="H205" s="165" t="s">
        <v>3601</v>
      </c>
      <c r="I205" s="144">
        <v>46981</v>
      </c>
      <c r="J205">
        <v>876</v>
      </c>
      <c r="K205" s="165" t="s">
        <v>2019</v>
      </c>
      <c r="L205" s="165" t="s">
        <v>8</v>
      </c>
      <c r="M205" s="144">
        <v>47543</v>
      </c>
      <c r="N205" s="146">
        <v>30000</v>
      </c>
      <c r="O205">
        <v>0</v>
      </c>
      <c r="P205">
        <v>30000</v>
      </c>
      <c r="Q205" s="165" t="s">
        <v>225</v>
      </c>
      <c r="R205" s="165"/>
    </row>
    <row r="206" spans="1:19" x14ac:dyDescent="0.25">
      <c r="A206">
        <v>474</v>
      </c>
      <c r="B206" s="144">
        <v>46104</v>
      </c>
      <c r="D206" s="165" t="s">
        <v>3602</v>
      </c>
      <c r="E206" s="165" t="s">
        <v>2111</v>
      </c>
      <c r="F206" s="165" t="s">
        <v>2285</v>
      </c>
      <c r="G206" s="165" t="s">
        <v>1718</v>
      </c>
      <c r="H206" s="165" t="s">
        <v>3603</v>
      </c>
      <c r="I206" s="144">
        <v>46154</v>
      </c>
      <c r="J206">
        <v>50</v>
      </c>
      <c r="K206" s="165" t="s">
        <v>240</v>
      </c>
      <c r="L206" s="165" t="s">
        <v>8</v>
      </c>
      <c r="M206" s="144">
        <v>47543</v>
      </c>
      <c r="N206" s="146">
        <v>9200</v>
      </c>
      <c r="O206">
        <v>0</v>
      </c>
      <c r="P206">
        <v>9200</v>
      </c>
      <c r="Q206" s="165" t="s">
        <v>225</v>
      </c>
      <c r="R206" s="165"/>
      <c r="S206" t="s">
        <v>241</v>
      </c>
    </row>
    <row r="207" spans="1:19" x14ac:dyDescent="0.25">
      <c r="A207">
        <v>473</v>
      </c>
      <c r="B207" s="144">
        <v>46104</v>
      </c>
      <c r="D207" s="165" t="s">
        <v>3602</v>
      </c>
      <c r="E207" s="165" t="s">
        <v>2111</v>
      </c>
      <c r="F207" s="165" t="s">
        <v>2285</v>
      </c>
      <c r="G207" s="165" t="s">
        <v>1718</v>
      </c>
      <c r="H207" s="165" t="s">
        <v>3603</v>
      </c>
      <c r="I207" s="144">
        <v>46154</v>
      </c>
      <c r="J207">
        <v>50</v>
      </c>
      <c r="K207" s="165" t="s">
        <v>240</v>
      </c>
      <c r="L207" s="165" t="s">
        <v>8</v>
      </c>
      <c r="M207" s="144">
        <v>47543</v>
      </c>
      <c r="N207" s="146">
        <v>9200</v>
      </c>
      <c r="O207">
        <v>0</v>
      </c>
      <c r="P207">
        <v>9200</v>
      </c>
      <c r="Q207" s="165" t="s">
        <v>225</v>
      </c>
      <c r="R207" s="165"/>
      <c r="S207" t="s">
        <v>241</v>
      </c>
    </row>
    <row r="208" spans="1:19" x14ac:dyDescent="0.25">
      <c r="A208">
        <v>472</v>
      </c>
      <c r="B208" s="144">
        <v>46104</v>
      </c>
      <c r="D208" s="165" t="s">
        <v>3602</v>
      </c>
      <c r="E208" s="165" t="s">
        <v>2111</v>
      </c>
      <c r="F208" s="165" t="s">
        <v>2285</v>
      </c>
      <c r="G208" s="165" t="s">
        <v>1718</v>
      </c>
      <c r="H208" s="165" t="s">
        <v>3603</v>
      </c>
      <c r="I208" s="144">
        <v>46154</v>
      </c>
      <c r="J208">
        <v>50</v>
      </c>
      <c r="K208" s="165" t="s">
        <v>240</v>
      </c>
      <c r="L208" s="165" t="s">
        <v>8</v>
      </c>
      <c r="M208" s="144">
        <v>47543</v>
      </c>
      <c r="N208" s="146">
        <v>9200</v>
      </c>
      <c r="O208">
        <v>0</v>
      </c>
      <c r="P208">
        <v>9200</v>
      </c>
      <c r="Q208" s="165" t="s">
        <v>225</v>
      </c>
      <c r="R208" s="165"/>
      <c r="S208" t="s">
        <v>241</v>
      </c>
    </row>
    <row r="209" spans="1:19" x14ac:dyDescent="0.25">
      <c r="A209">
        <v>471</v>
      </c>
      <c r="B209" s="144">
        <v>46104</v>
      </c>
      <c r="D209" s="165" t="s">
        <v>3602</v>
      </c>
      <c r="E209" s="165" t="s">
        <v>2111</v>
      </c>
      <c r="F209" s="165" t="s">
        <v>2285</v>
      </c>
      <c r="G209" s="165" t="s">
        <v>1718</v>
      </c>
      <c r="H209" s="165" t="s">
        <v>3603</v>
      </c>
      <c r="I209" s="144">
        <v>46154</v>
      </c>
      <c r="J209">
        <v>50</v>
      </c>
      <c r="K209" s="165" t="s">
        <v>240</v>
      </c>
      <c r="L209" s="165" t="s">
        <v>8</v>
      </c>
      <c r="M209" s="144">
        <v>47543</v>
      </c>
      <c r="N209" s="146">
        <v>9200</v>
      </c>
      <c r="O209">
        <v>0</v>
      </c>
      <c r="P209">
        <v>9200</v>
      </c>
      <c r="Q209" s="165" t="s">
        <v>225</v>
      </c>
      <c r="R209" s="165"/>
      <c r="S209" t="s">
        <v>241</v>
      </c>
    </row>
    <row r="210" spans="1:19" x14ac:dyDescent="0.25">
      <c r="A210">
        <v>470</v>
      </c>
      <c r="B210" s="144">
        <v>46104</v>
      </c>
      <c r="D210" s="165" t="s">
        <v>3602</v>
      </c>
      <c r="E210" s="165" t="s">
        <v>2111</v>
      </c>
      <c r="F210" s="165" t="s">
        <v>2285</v>
      </c>
      <c r="G210" s="165" t="s">
        <v>1718</v>
      </c>
      <c r="H210" s="165" t="s">
        <v>3603</v>
      </c>
      <c r="I210" s="144">
        <v>46154</v>
      </c>
      <c r="J210">
        <v>50</v>
      </c>
      <c r="K210" s="165" t="s">
        <v>240</v>
      </c>
      <c r="L210" s="165" t="s">
        <v>8</v>
      </c>
      <c r="M210" s="144">
        <v>47543</v>
      </c>
      <c r="N210" s="146">
        <v>9200</v>
      </c>
      <c r="O210">
        <v>0</v>
      </c>
      <c r="P210">
        <v>9200</v>
      </c>
      <c r="Q210" s="165" t="s">
        <v>225</v>
      </c>
      <c r="R210" s="165"/>
      <c r="S210" t="s">
        <v>241</v>
      </c>
    </row>
    <row r="211" spans="1:19" x14ac:dyDescent="0.25">
      <c r="A211">
        <v>469</v>
      </c>
      <c r="B211" s="144">
        <v>46104</v>
      </c>
      <c r="D211" s="165" t="s">
        <v>3602</v>
      </c>
      <c r="E211" s="165" t="s">
        <v>2111</v>
      </c>
      <c r="F211" s="165" t="s">
        <v>2285</v>
      </c>
      <c r="G211" s="165" t="s">
        <v>1718</v>
      </c>
      <c r="H211" s="165" t="s">
        <v>3603</v>
      </c>
      <c r="I211" s="144">
        <v>46154</v>
      </c>
      <c r="J211">
        <v>50</v>
      </c>
      <c r="K211" s="165" t="s">
        <v>240</v>
      </c>
      <c r="L211" s="165" t="s">
        <v>8</v>
      </c>
      <c r="M211" s="144">
        <v>47543</v>
      </c>
      <c r="N211" s="146">
        <v>9200</v>
      </c>
      <c r="O211">
        <v>0</v>
      </c>
      <c r="P211">
        <v>9200</v>
      </c>
      <c r="Q211" s="165" t="s">
        <v>225</v>
      </c>
      <c r="R211" s="165"/>
      <c r="S211" t="s">
        <v>241</v>
      </c>
    </row>
    <row r="212" spans="1:19" x14ac:dyDescent="0.25">
      <c r="A212">
        <v>468</v>
      </c>
      <c r="B212" s="144">
        <v>46104</v>
      </c>
      <c r="D212" s="165" t="s">
        <v>3602</v>
      </c>
      <c r="E212" s="165" t="s">
        <v>2111</v>
      </c>
      <c r="F212" s="165" t="s">
        <v>2285</v>
      </c>
      <c r="G212" s="165" t="s">
        <v>1718</v>
      </c>
      <c r="H212" s="165" t="s">
        <v>3603</v>
      </c>
      <c r="I212" s="144">
        <v>46154</v>
      </c>
      <c r="J212">
        <v>50</v>
      </c>
      <c r="K212" s="165" t="s">
        <v>240</v>
      </c>
      <c r="L212" s="165" t="s">
        <v>8</v>
      </c>
      <c r="M212" s="144">
        <v>47543</v>
      </c>
      <c r="N212" s="146">
        <v>9200</v>
      </c>
      <c r="O212">
        <v>0</v>
      </c>
      <c r="P212">
        <v>9200</v>
      </c>
      <c r="Q212" s="165" t="s">
        <v>225</v>
      </c>
      <c r="R212" s="165"/>
      <c r="S212" t="s">
        <v>241</v>
      </c>
    </row>
    <row r="213" spans="1:19" x14ac:dyDescent="0.25">
      <c r="A213">
        <v>467</v>
      </c>
      <c r="B213" s="144">
        <v>46104</v>
      </c>
      <c r="D213" s="165" t="s">
        <v>3602</v>
      </c>
      <c r="E213" s="165" t="s">
        <v>2111</v>
      </c>
      <c r="F213" s="165" t="s">
        <v>2285</v>
      </c>
      <c r="G213" s="165" t="s">
        <v>1718</v>
      </c>
      <c r="H213" s="165" t="s">
        <v>3603</v>
      </c>
      <c r="I213" s="144">
        <v>46154</v>
      </c>
      <c r="J213">
        <v>50</v>
      </c>
      <c r="K213" s="165" t="s">
        <v>240</v>
      </c>
      <c r="L213" s="165" t="s">
        <v>8</v>
      </c>
      <c r="M213" s="144">
        <v>47543</v>
      </c>
      <c r="N213" s="146">
        <v>9200</v>
      </c>
      <c r="O213">
        <v>0</v>
      </c>
      <c r="P213">
        <v>9200</v>
      </c>
      <c r="Q213" s="165" t="s">
        <v>225</v>
      </c>
      <c r="R213" s="165"/>
      <c r="S213" t="s">
        <v>241</v>
      </c>
    </row>
    <row r="214" spans="1:19" x14ac:dyDescent="0.25">
      <c r="A214">
        <v>466</v>
      </c>
      <c r="B214" s="144">
        <v>46104</v>
      </c>
      <c r="D214" s="165" t="s">
        <v>3602</v>
      </c>
      <c r="E214" s="165" t="s">
        <v>2111</v>
      </c>
      <c r="F214" s="165" t="s">
        <v>2285</v>
      </c>
      <c r="G214" s="165" t="s">
        <v>1718</v>
      </c>
      <c r="H214" s="165" t="s">
        <v>3603</v>
      </c>
      <c r="I214" s="144">
        <v>46154</v>
      </c>
      <c r="J214">
        <v>50</v>
      </c>
      <c r="K214" s="165" t="s">
        <v>240</v>
      </c>
      <c r="L214" s="165" t="s">
        <v>8</v>
      </c>
      <c r="M214" s="144">
        <v>47543</v>
      </c>
      <c r="N214" s="146">
        <v>9200</v>
      </c>
      <c r="O214">
        <v>0</v>
      </c>
      <c r="P214">
        <v>9200</v>
      </c>
      <c r="Q214" s="165" t="s">
        <v>225</v>
      </c>
      <c r="R214" s="165"/>
      <c r="S214" t="s">
        <v>241</v>
      </c>
    </row>
    <row r="215" spans="1:19" x14ac:dyDescent="0.25">
      <c r="A215">
        <v>465</v>
      </c>
      <c r="B215" s="144">
        <v>46101</v>
      </c>
      <c r="C215">
        <v>32697</v>
      </c>
      <c r="D215" s="165" t="s">
        <v>2411</v>
      </c>
      <c r="E215" s="165" t="s">
        <v>181</v>
      </c>
      <c r="F215" s="165" t="s">
        <v>247</v>
      </c>
      <c r="G215" s="165" t="s">
        <v>576</v>
      </c>
      <c r="H215" s="165" t="s">
        <v>3604</v>
      </c>
      <c r="I215" s="144">
        <v>47716</v>
      </c>
      <c r="J215">
        <v>1615</v>
      </c>
      <c r="K215" s="165" t="s">
        <v>2016</v>
      </c>
      <c r="L215" s="165" t="s">
        <v>8</v>
      </c>
      <c r="M215" s="144">
        <v>46813</v>
      </c>
      <c r="N215" s="146">
        <v>7000</v>
      </c>
      <c r="O215">
        <v>0</v>
      </c>
      <c r="P215">
        <v>7000</v>
      </c>
      <c r="Q215" s="165" t="s">
        <v>225</v>
      </c>
      <c r="R215" s="165"/>
    </row>
    <row r="216" spans="1:19" x14ac:dyDescent="0.25">
      <c r="A216">
        <v>464</v>
      </c>
      <c r="B216" s="144">
        <v>46101</v>
      </c>
      <c r="C216">
        <v>32697</v>
      </c>
      <c r="D216" s="165" t="s">
        <v>2411</v>
      </c>
      <c r="E216" s="165" t="s">
        <v>181</v>
      </c>
      <c r="F216" s="165" t="s">
        <v>247</v>
      </c>
      <c r="G216" s="165" t="s">
        <v>1976</v>
      </c>
      <c r="H216" s="165" t="s">
        <v>3604</v>
      </c>
      <c r="I216" s="144">
        <v>47716</v>
      </c>
      <c r="J216">
        <v>1615</v>
      </c>
      <c r="K216" s="165" t="s">
        <v>2019</v>
      </c>
      <c r="L216" s="165" t="s">
        <v>8</v>
      </c>
      <c r="M216" s="144">
        <v>46813</v>
      </c>
      <c r="N216" s="146">
        <v>7000</v>
      </c>
      <c r="O216">
        <v>0</v>
      </c>
      <c r="P216">
        <v>7000</v>
      </c>
      <c r="Q216" s="165" t="s">
        <v>225</v>
      </c>
      <c r="R216" s="165"/>
    </row>
    <row r="217" spans="1:19" x14ac:dyDescent="0.25">
      <c r="A217">
        <v>463</v>
      </c>
      <c r="B217" s="144">
        <v>46101</v>
      </c>
      <c r="C217">
        <v>32697</v>
      </c>
      <c r="D217" s="165" t="s">
        <v>2411</v>
      </c>
      <c r="E217" s="165" t="s">
        <v>181</v>
      </c>
      <c r="F217" s="165" t="s">
        <v>247</v>
      </c>
      <c r="G217" s="165" t="s">
        <v>1974</v>
      </c>
      <c r="H217" s="165" t="s">
        <v>3604</v>
      </c>
      <c r="I217" s="144">
        <v>47716</v>
      </c>
      <c r="J217">
        <v>1615</v>
      </c>
      <c r="K217" s="165" t="s">
        <v>240</v>
      </c>
      <c r="L217" s="165" t="s">
        <v>8</v>
      </c>
      <c r="M217" s="144">
        <v>46813</v>
      </c>
      <c r="N217" s="146">
        <v>7000</v>
      </c>
      <c r="O217">
        <v>6000</v>
      </c>
      <c r="P217">
        <v>1000</v>
      </c>
      <c r="Q217" s="165" t="s">
        <v>225</v>
      </c>
      <c r="R217" s="165"/>
      <c r="S217" t="s">
        <v>269</v>
      </c>
    </row>
    <row r="218" spans="1:19" x14ac:dyDescent="0.25">
      <c r="A218">
        <v>462</v>
      </c>
      <c r="B218" s="144">
        <v>46101</v>
      </c>
      <c r="D218" s="165" t="s">
        <v>3605</v>
      </c>
      <c r="E218" s="165" t="s">
        <v>212</v>
      </c>
      <c r="F218" s="165" t="s">
        <v>3606</v>
      </c>
      <c r="G218" s="165" t="s">
        <v>1294</v>
      </c>
      <c r="H218" s="165" t="s">
        <v>3607</v>
      </c>
      <c r="I218" s="144">
        <v>47413</v>
      </c>
      <c r="J218">
        <v>1312</v>
      </c>
      <c r="K218" s="165" t="s">
        <v>240</v>
      </c>
      <c r="L218" s="165" t="s">
        <v>8</v>
      </c>
      <c r="M218" s="144">
        <v>46813</v>
      </c>
      <c r="N218" s="146">
        <v>1500</v>
      </c>
      <c r="O218">
        <v>0</v>
      </c>
      <c r="P218">
        <v>1500</v>
      </c>
      <c r="Q218" s="165" t="s">
        <v>225</v>
      </c>
      <c r="R218" s="165"/>
      <c r="S218" t="s">
        <v>241</v>
      </c>
    </row>
    <row r="219" spans="1:19" x14ac:dyDescent="0.25">
      <c r="A219">
        <v>461</v>
      </c>
      <c r="B219" s="144">
        <v>46101</v>
      </c>
      <c r="D219" s="165" t="s">
        <v>3605</v>
      </c>
      <c r="E219" s="165" t="s">
        <v>212</v>
      </c>
      <c r="F219" s="165" t="s">
        <v>3606</v>
      </c>
      <c r="G219" s="165" t="s">
        <v>648</v>
      </c>
      <c r="H219" s="165" t="s">
        <v>3607</v>
      </c>
      <c r="I219" s="144">
        <v>47413</v>
      </c>
      <c r="J219">
        <v>1312</v>
      </c>
      <c r="K219" s="165" t="s">
        <v>2019</v>
      </c>
      <c r="L219" s="165" t="s">
        <v>8</v>
      </c>
      <c r="M219" s="144">
        <v>46813</v>
      </c>
      <c r="N219" s="146">
        <v>3000</v>
      </c>
      <c r="O219">
        <v>0</v>
      </c>
      <c r="P219">
        <v>3000</v>
      </c>
      <c r="Q219" s="165" t="s">
        <v>225</v>
      </c>
      <c r="R219" s="165" t="s">
        <v>3608</v>
      </c>
    </row>
    <row r="220" spans="1:19" x14ac:dyDescent="0.25">
      <c r="A220">
        <v>460</v>
      </c>
      <c r="B220" s="144">
        <v>46101</v>
      </c>
      <c r="C220">
        <v>32698</v>
      </c>
      <c r="D220" s="165" t="s">
        <v>3495</v>
      </c>
      <c r="E220" s="165" t="s">
        <v>12</v>
      </c>
      <c r="F220" s="165" t="s">
        <v>258</v>
      </c>
      <c r="G220" s="165" t="s">
        <v>1288</v>
      </c>
      <c r="H220" s="165" t="s">
        <v>3496</v>
      </c>
      <c r="I220" s="144">
        <v>46762</v>
      </c>
      <c r="J220">
        <v>661</v>
      </c>
      <c r="K220" s="165" t="s">
        <v>240</v>
      </c>
      <c r="L220" s="165" t="s">
        <v>8</v>
      </c>
      <c r="M220" s="144">
        <v>46813</v>
      </c>
      <c r="N220" s="146">
        <v>400</v>
      </c>
      <c r="O220">
        <v>200</v>
      </c>
      <c r="P220">
        <v>200</v>
      </c>
      <c r="Q220" s="165" t="s">
        <v>225</v>
      </c>
      <c r="R220" s="165" t="s">
        <v>3609</v>
      </c>
      <c r="S220" t="s">
        <v>241</v>
      </c>
    </row>
    <row r="221" spans="1:19" x14ac:dyDescent="0.25">
      <c r="A221">
        <v>459</v>
      </c>
      <c r="B221" s="144">
        <v>46101</v>
      </c>
      <c r="C221">
        <v>32696</v>
      </c>
      <c r="D221" s="165" t="s">
        <v>310</v>
      </c>
      <c r="E221" s="165" t="s">
        <v>11</v>
      </c>
      <c r="F221" s="165" t="s">
        <v>258</v>
      </c>
      <c r="G221" s="165" t="s">
        <v>620</v>
      </c>
      <c r="H221" s="165" t="s">
        <v>311</v>
      </c>
      <c r="I221" s="144">
        <v>46586</v>
      </c>
      <c r="J221">
        <v>485</v>
      </c>
      <c r="K221" s="165" t="s">
        <v>2019</v>
      </c>
      <c r="L221" s="165" t="s">
        <v>8</v>
      </c>
      <c r="M221" s="144">
        <v>46813</v>
      </c>
      <c r="N221" s="146">
        <v>2000</v>
      </c>
      <c r="O221">
        <v>0</v>
      </c>
      <c r="P221">
        <v>2000</v>
      </c>
      <c r="Q221" s="165" t="s">
        <v>225</v>
      </c>
      <c r="R221" s="165"/>
    </row>
    <row r="222" spans="1:19" x14ac:dyDescent="0.25">
      <c r="A222">
        <v>458</v>
      </c>
      <c r="B222" s="144">
        <v>46101</v>
      </c>
      <c r="C222">
        <v>32696</v>
      </c>
      <c r="D222" s="165" t="s">
        <v>310</v>
      </c>
      <c r="E222" s="165" t="s">
        <v>11</v>
      </c>
      <c r="F222" s="165" t="s">
        <v>258</v>
      </c>
      <c r="G222" s="165" t="s">
        <v>1240</v>
      </c>
      <c r="H222" s="165" t="s">
        <v>311</v>
      </c>
      <c r="I222" s="144">
        <v>46586</v>
      </c>
      <c r="J222">
        <v>485</v>
      </c>
      <c r="K222" s="165" t="s">
        <v>240</v>
      </c>
      <c r="L222" s="165" t="s">
        <v>8</v>
      </c>
      <c r="M222" s="144">
        <v>46813</v>
      </c>
      <c r="N222" s="146">
        <v>2000</v>
      </c>
      <c r="O222">
        <v>900</v>
      </c>
      <c r="P222">
        <v>1100</v>
      </c>
      <c r="Q222" s="165" t="s">
        <v>225</v>
      </c>
      <c r="R222" s="165"/>
      <c r="S222" t="s">
        <v>241</v>
      </c>
    </row>
    <row r="223" spans="1:19" x14ac:dyDescent="0.25">
      <c r="A223">
        <v>457</v>
      </c>
      <c r="B223" s="144">
        <v>46101</v>
      </c>
      <c r="C223">
        <v>32671</v>
      </c>
      <c r="D223" s="165" t="s">
        <v>3610</v>
      </c>
      <c r="E223" s="165" t="s">
        <v>11</v>
      </c>
      <c r="F223" s="165" t="s">
        <v>258</v>
      </c>
      <c r="G223" s="165" t="s">
        <v>421</v>
      </c>
      <c r="H223" s="165" t="s">
        <v>3611</v>
      </c>
      <c r="I223" s="144">
        <v>46369</v>
      </c>
      <c r="J223">
        <v>268</v>
      </c>
      <c r="K223" s="165" t="s">
        <v>2019</v>
      </c>
      <c r="L223" s="165" t="s">
        <v>8</v>
      </c>
      <c r="M223" s="144">
        <v>46813</v>
      </c>
      <c r="N223" s="146">
        <v>5000</v>
      </c>
      <c r="O223">
        <v>0</v>
      </c>
      <c r="P223">
        <v>5000</v>
      </c>
      <c r="Q223" s="165" t="s">
        <v>225</v>
      </c>
      <c r="R223" s="165"/>
    </row>
    <row r="224" spans="1:19" x14ac:dyDescent="0.25">
      <c r="A224">
        <v>456</v>
      </c>
      <c r="B224" s="144">
        <v>46101</v>
      </c>
      <c r="C224">
        <v>32671</v>
      </c>
      <c r="D224" s="165" t="s">
        <v>3610</v>
      </c>
      <c r="E224" s="165" t="s">
        <v>11</v>
      </c>
      <c r="F224" s="165" t="s">
        <v>258</v>
      </c>
      <c r="G224" s="165" t="s">
        <v>887</v>
      </c>
      <c r="H224" s="165" t="s">
        <v>3611</v>
      </c>
      <c r="I224" s="144">
        <v>46369</v>
      </c>
      <c r="J224">
        <v>268</v>
      </c>
      <c r="K224" s="165" t="s">
        <v>240</v>
      </c>
      <c r="L224" s="165" t="s">
        <v>8</v>
      </c>
      <c r="M224" s="144">
        <v>46813</v>
      </c>
      <c r="N224" s="146">
        <v>5000</v>
      </c>
      <c r="O224">
        <v>0</v>
      </c>
      <c r="P224">
        <v>5000</v>
      </c>
      <c r="Q224" s="165" t="s">
        <v>225</v>
      </c>
      <c r="R224" s="165"/>
      <c r="S224" t="s">
        <v>241</v>
      </c>
    </row>
    <row r="225" spans="1:19" x14ac:dyDescent="0.25">
      <c r="A225">
        <v>455</v>
      </c>
      <c r="B225" s="144">
        <v>46101</v>
      </c>
      <c r="D225" s="165" t="s">
        <v>3602</v>
      </c>
      <c r="E225" s="165" t="s">
        <v>2111</v>
      </c>
      <c r="F225" s="165" t="s">
        <v>2285</v>
      </c>
      <c r="G225" s="165" t="s">
        <v>602</v>
      </c>
      <c r="H225" s="165" t="s">
        <v>3603</v>
      </c>
      <c r="I225" s="144">
        <v>46154</v>
      </c>
      <c r="J225">
        <v>53</v>
      </c>
      <c r="K225" s="165" t="s">
        <v>2019</v>
      </c>
      <c r="L225" s="165" t="s">
        <v>8</v>
      </c>
      <c r="M225" s="144">
        <v>47543</v>
      </c>
      <c r="N225" s="146">
        <v>92000</v>
      </c>
      <c r="O225">
        <v>0</v>
      </c>
      <c r="P225">
        <v>92000</v>
      </c>
      <c r="Q225" s="165" t="s">
        <v>225</v>
      </c>
      <c r="R225" s="165" t="s">
        <v>3612</v>
      </c>
    </row>
    <row r="226" spans="1:19" x14ac:dyDescent="0.25">
      <c r="A226">
        <v>454</v>
      </c>
      <c r="B226" s="144">
        <v>46101</v>
      </c>
      <c r="D226" s="165" t="s">
        <v>3602</v>
      </c>
      <c r="E226" s="165" t="s">
        <v>2111</v>
      </c>
      <c r="F226" s="165" t="s">
        <v>2285</v>
      </c>
      <c r="G226" s="165" t="s">
        <v>1718</v>
      </c>
      <c r="H226" s="165" t="s">
        <v>3603</v>
      </c>
      <c r="I226" s="144">
        <v>46154</v>
      </c>
      <c r="J226">
        <v>53</v>
      </c>
      <c r="K226" s="165" t="s">
        <v>240</v>
      </c>
      <c r="L226" s="165" t="s">
        <v>8</v>
      </c>
      <c r="M226" s="144">
        <v>47543</v>
      </c>
      <c r="N226" s="146">
        <v>9200</v>
      </c>
      <c r="O226">
        <v>3000</v>
      </c>
      <c r="P226">
        <v>6200</v>
      </c>
      <c r="Q226" s="165" t="s">
        <v>225</v>
      </c>
      <c r="R226" s="165" t="s">
        <v>3612</v>
      </c>
      <c r="S226" t="s">
        <v>241</v>
      </c>
    </row>
    <row r="227" spans="1:19" x14ac:dyDescent="0.25">
      <c r="A227">
        <v>453</v>
      </c>
      <c r="B227" s="144">
        <v>46099</v>
      </c>
      <c r="C227">
        <v>32615</v>
      </c>
      <c r="D227" s="165" t="s">
        <v>3613</v>
      </c>
      <c r="E227" s="165" t="s">
        <v>9</v>
      </c>
      <c r="F227" s="165" t="s">
        <v>2303</v>
      </c>
      <c r="G227" s="165" t="s">
        <v>1697</v>
      </c>
      <c r="H227" s="165" t="s">
        <v>3614</v>
      </c>
      <c r="I227" s="144">
        <v>46259</v>
      </c>
      <c r="J227">
        <v>160</v>
      </c>
      <c r="K227" s="165" t="s">
        <v>2019</v>
      </c>
      <c r="L227" s="165" t="s">
        <v>8</v>
      </c>
      <c r="M227" s="144">
        <v>46813</v>
      </c>
      <c r="N227" s="146">
        <v>5333</v>
      </c>
      <c r="O227">
        <v>0</v>
      </c>
      <c r="P227">
        <v>5333</v>
      </c>
      <c r="Q227" s="165" t="s">
        <v>225</v>
      </c>
      <c r="R227" s="165"/>
    </row>
    <row r="228" spans="1:19" x14ac:dyDescent="0.25">
      <c r="A228">
        <v>452</v>
      </c>
      <c r="B228" s="144">
        <v>46099</v>
      </c>
      <c r="C228">
        <v>32615</v>
      </c>
      <c r="D228" s="165" t="s">
        <v>3613</v>
      </c>
      <c r="E228" s="165" t="s">
        <v>9</v>
      </c>
      <c r="F228" s="165" t="s">
        <v>2303</v>
      </c>
      <c r="G228" s="165" t="s">
        <v>1043</v>
      </c>
      <c r="H228" s="165" t="s">
        <v>3614</v>
      </c>
      <c r="I228" s="144">
        <v>46259</v>
      </c>
      <c r="J228">
        <v>160</v>
      </c>
      <c r="K228" s="165" t="s">
        <v>240</v>
      </c>
      <c r="L228" s="165" t="s">
        <v>8</v>
      </c>
      <c r="M228" s="144">
        <v>46813</v>
      </c>
      <c r="N228" s="146">
        <v>5333</v>
      </c>
      <c r="O228">
        <v>1100</v>
      </c>
      <c r="P228">
        <v>4233</v>
      </c>
      <c r="Q228" s="165" t="s">
        <v>225</v>
      </c>
      <c r="R228" s="165"/>
      <c r="S228" t="s">
        <v>2206</v>
      </c>
    </row>
    <row r="229" spans="1:19" x14ac:dyDescent="0.25">
      <c r="A229">
        <v>451</v>
      </c>
      <c r="B229" s="144">
        <v>46099</v>
      </c>
      <c r="C229">
        <v>7326</v>
      </c>
      <c r="D229" s="165" t="s">
        <v>3615</v>
      </c>
      <c r="E229" s="165" t="s">
        <v>3616</v>
      </c>
      <c r="F229" s="165" t="s">
        <v>3617</v>
      </c>
      <c r="G229" s="165" t="s">
        <v>1787</v>
      </c>
      <c r="H229" s="165" t="s">
        <v>3618</v>
      </c>
      <c r="I229" s="144">
        <v>47056</v>
      </c>
      <c r="J229">
        <v>957</v>
      </c>
      <c r="K229" s="165" t="s">
        <v>2019</v>
      </c>
      <c r="L229" s="165" t="s">
        <v>8</v>
      </c>
      <c r="M229" s="144">
        <v>46813</v>
      </c>
      <c r="N229" s="146">
        <v>3500</v>
      </c>
      <c r="O229">
        <v>0</v>
      </c>
      <c r="P229">
        <v>3500</v>
      </c>
      <c r="Q229" s="165" t="s">
        <v>225</v>
      </c>
      <c r="R229" s="165"/>
    </row>
    <row r="230" spans="1:19" x14ac:dyDescent="0.25">
      <c r="A230">
        <v>450</v>
      </c>
      <c r="B230" s="144">
        <v>46099</v>
      </c>
      <c r="C230">
        <v>32668</v>
      </c>
      <c r="D230" s="165" t="s">
        <v>3619</v>
      </c>
      <c r="E230" s="165" t="s">
        <v>12</v>
      </c>
      <c r="F230" s="165" t="s">
        <v>293</v>
      </c>
      <c r="G230" s="165" t="s">
        <v>1910</v>
      </c>
      <c r="H230" s="165" t="s">
        <v>3620</v>
      </c>
      <c r="I230" s="144">
        <v>47422</v>
      </c>
      <c r="J230">
        <v>1323</v>
      </c>
      <c r="K230" s="165" t="s">
        <v>2019</v>
      </c>
      <c r="L230" s="165" t="s">
        <v>8</v>
      </c>
      <c r="M230" s="144">
        <v>46813</v>
      </c>
      <c r="N230" s="146">
        <v>7000</v>
      </c>
      <c r="O230">
        <v>0</v>
      </c>
      <c r="P230">
        <v>7000</v>
      </c>
      <c r="Q230" s="165" t="s">
        <v>225</v>
      </c>
      <c r="R230" s="165"/>
    </row>
    <row r="231" spans="1:19" x14ac:dyDescent="0.25">
      <c r="A231">
        <v>449</v>
      </c>
      <c r="B231" s="144">
        <v>46099</v>
      </c>
      <c r="C231">
        <v>32668</v>
      </c>
      <c r="D231" s="165" t="s">
        <v>3619</v>
      </c>
      <c r="E231" s="165" t="s">
        <v>12</v>
      </c>
      <c r="F231" s="165" t="s">
        <v>293</v>
      </c>
      <c r="G231" s="165" t="s">
        <v>1912</v>
      </c>
      <c r="H231" s="165" t="s">
        <v>3620</v>
      </c>
      <c r="I231" s="144">
        <v>47422</v>
      </c>
      <c r="J231">
        <v>1323</v>
      </c>
      <c r="K231" s="165" t="s">
        <v>240</v>
      </c>
      <c r="L231" s="165" t="s">
        <v>8</v>
      </c>
      <c r="M231" s="144">
        <v>46813</v>
      </c>
      <c r="N231" s="146">
        <v>7000</v>
      </c>
      <c r="O231">
        <v>1000</v>
      </c>
      <c r="P231">
        <v>6000</v>
      </c>
      <c r="Q231" s="165" t="s">
        <v>225</v>
      </c>
      <c r="R231" s="165"/>
      <c r="S231" t="s">
        <v>263</v>
      </c>
    </row>
    <row r="232" spans="1:19" x14ac:dyDescent="0.25">
      <c r="A232">
        <v>448</v>
      </c>
      <c r="B232" s="144">
        <v>46099</v>
      </c>
      <c r="C232">
        <v>32667</v>
      </c>
      <c r="D232" s="165" t="s">
        <v>3621</v>
      </c>
      <c r="E232" s="165" t="s">
        <v>11</v>
      </c>
      <c r="F232" s="165" t="s">
        <v>3622</v>
      </c>
      <c r="G232" s="165" t="s">
        <v>338</v>
      </c>
      <c r="H232" s="165" t="s">
        <v>3623</v>
      </c>
      <c r="I232" s="144">
        <v>47913</v>
      </c>
      <c r="J232">
        <v>1814</v>
      </c>
      <c r="K232" s="165" t="s">
        <v>2019</v>
      </c>
      <c r="L232" s="165" t="s">
        <v>8</v>
      </c>
      <c r="M232" s="144">
        <v>46813</v>
      </c>
      <c r="N232" s="146">
        <v>8750</v>
      </c>
      <c r="O232">
        <v>0</v>
      </c>
      <c r="P232">
        <v>8750</v>
      </c>
      <c r="Q232" s="165" t="s">
        <v>225</v>
      </c>
      <c r="R232" s="165"/>
    </row>
    <row r="233" spans="1:19" x14ac:dyDescent="0.25">
      <c r="A233">
        <v>447</v>
      </c>
      <c r="B233" s="144">
        <v>46099</v>
      </c>
      <c r="C233">
        <v>32667</v>
      </c>
      <c r="D233" s="165" t="s">
        <v>3621</v>
      </c>
      <c r="E233" s="165" t="s">
        <v>11</v>
      </c>
      <c r="F233" s="165" t="s">
        <v>3622</v>
      </c>
      <c r="G233" s="165" t="s">
        <v>757</v>
      </c>
      <c r="H233" s="165" t="s">
        <v>3623</v>
      </c>
      <c r="I233" s="144">
        <v>47913</v>
      </c>
      <c r="J233">
        <v>1814</v>
      </c>
      <c r="K233" s="165" t="s">
        <v>240</v>
      </c>
      <c r="L233" s="165" t="s">
        <v>8</v>
      </c>
      <c r="M233" s="144">
        <v>46813</v>
      </c>
      <c r="N233" s="146">
        <v>8750</v>
      </c>
      <c r="O233">
        <v>0</v>
      </c>
      <c r="P233">
        <v>8750</v>
      </c>
      <c r="Q233" s="165" t="s">
        <v>225</v>
      </c>
      <c r="R233" s="165" t="s">
        <v>3624</v>
      </c>
      <c r="S233" t="s">
        <v>241</v>
      </c>
    </row>
    <row r="234" spans="1:19" x14ac:dyDescent="0.25">
      <c r="A234">
        <v>446</v>
      </c>
      <c r="B234" s="144">
        <v>46099</v>
      </c>
      <c r="C234">
        <v>32665</v>
      </c>
      <c r="D234" s="165" t="s">
        <v>3625</v>
      </c>
      <c r="E234" s="165" t="s">
        <v>11</v>
      </c>
      <c r="F234" s="165" t="s">
        <v>255</v>
      </c>
      <c r="G234" s="165" t="s">
        <v>540</v>
      </c>
      <c r="H234" s="165" t="s">
        <v>3626</v>
      </c>
      <c r="I234" s="144">
        <v>46239</v>
      </c>
      <c r="J234">
        <v>140</v>
      </c>
      <c r="K234" s="165" t="s">
        <v>2019</v>
      </c>
      <c r="L234" s="165" t="s">
        <v>8</v>
      </c>
      <c r="M234" s="144">
        <v>46813</v>
      </c>
      <c r="N234" s="146">
        <v>3000</v>
      </c>
      <c r="O234">
        <v>0</v>
      </c>
      <c r="P234">
        <v>3000</v>
      </c>
      <c r="Q234" s="165" t="s">
        <v>225</v>
      </c>
      <c r="R234" s="165"/>
    </row>
    <row r="235" spans="1:19" x14ac:dyDescent="0.25">
      <c r="A235">
        <v>445</v>
      </c>
      <c r="B235" s="144">
        <v>46099</v>
      </c>
      <c r="C235">
        <v>32665</v>
      </c>
      <c r="D235" s="165" t="s">
        <v>3625</v>
      </c>
      <c r="E235" s="165" t="s">
        <v>11</v>
      </c>
      <c r="F235" s="165" t="s">
        <v>255</v>
      </c>
      <c r="G235" s="165" t="s">
        <v>1122</v>
      </c>
      <c r="H235" s="165" t="s">
        <v>3626</v>
      </c>
      <c r="I235" s="144">
        <v>46239</v>
      </c>
      <c r="J235">
        <v>140</v>
      </c>
      <c r="K235" s="165" t="s">
        <v>240</v>
      </c>
      <c r="L235" s="165" t="s">
        <v>8</v>
      </c>
      <c r="M235" s="144">
        <v>46813</v>
      </c>
      <c r="N235" s="146">
        <v>3000</v>
      </c>
      <c r="O235">
        <v>0</v>
      </c>
      <c r="P235">
        <v>3000</v>
      </c>
      <c r="Q235" s="165" t="s">
        <v>225</v>
      </c>
      <c r="R235" s="165"/>
      <c r="S235" t="s">
        <v>241</v>
      </c>
    </row>
    <row r="236" spans="1:19" x14ac:dyDescent="0.25">
      <c r="A236">
        <v>444</v>
      </c>
      <c r="B236" s="144">
        <v>46099</v>
      </c>
      <c r="C236">
        <v>32625</v>
      </c>
      <c r="D236" s="165" t="s">
        <v>3627</v>
      </c>
      <c r="E236" s="165" t="s">
        <v>9</v>
      </c>
      <c r="F236" s="165" t="s">
        <v>2390</v>
      </c>
      <c r="G236" s="165" t="s">
        <v>642</v>
      </c>
      <c r="H236" s="165" t="s">
        <v>3628</v>
      </c>
      <c r="I236" s="144">
        <v>45943</v>
      </c>
      <c r="J236">
        <v>-156</v>
      </c>
      <c r="K236" s="165" t="s">
        <v>2019</v>
      </c>
      <c r="L236" s="165" t="s">
        <v>8</v>
      </c>
      <c r="M236" s="144">
        <v>46813</v>
      </c>
      <c r="N236" s="146">
        <v>5000</v>
      </c>
      <c r="O236">
        <v>0</v>
      </c>
      <c r="P236">
        <v>5000</v>
      </c>
      <c r="Q236" s="165" t="s">
        <v>225</v>
      </c>
      <c r="R236" s="165"/>
    </row>
    <row r="237" spans="1:19" x14ac:dyDescent="0.25">
      <c r="A237">
        <v>443</v>
      </c>
      <c r="B237" s="144">
        <v>46099</v>
      </c>
      <c r="C237">
        <v>32625</v>
      </c>
      <c r="D237" s="165" t="s">
        <v>3627</v>
      </c>
      <c r="E237" s="165" t="s">
        <v>9</v>
      </c>
      <c r="F237" s="165" t="s">
        <v>2390</v>
      </c>
      <c r="G237" s="165" t="s">
        <v>1284</v>
      </c>
      <c r="H237" s="165" t="s">
        <v>3628</v>
      </c>
      <c r="I237" s="144">
        <v>45943</v>
      </c>
      <c r="J237">
        <v>-156</v>
      </c>
      <c r="K237" s="165" t="s">
        <v>240</v>
      </c>
      <c r="L237" s="165" t="s">
        <v>8</v>
      </c>
      <c r="M237" s="144">
        <v>46813</v>
      </c>
      <c r="N237" s="146">
        <v>5000</v>
      </c>
      <c r="O237">
        <v>700</v>
      </c>
      <c r="P237">
        <v>4300</v>
      </c>
      <c r="Q237" s="165" t="s">
        <v>225</v>
      </c>
      <c r="R237" s="165"/>
      <c r="S237" t="s">
        <v>2305</v>
      </c>
    </row>
    <row r="238" spans="1:19" x14ac:dyDescent="0.25">
      <c r="A238">
        <v>442</v>
      </c>
      <c r="B238" s="144">
        <v>46099</v>
      </c>
      <c r="D238" s="165" t="s">
        <v>3629</v>
      </c>
      <c r="E238" s="165" t="s">
        <v>2111</v>
      </c>
      <c r="F238" s="165" t="s">
        <v>2296</v>
      </c>
      <c r="G238" s="165" t="s">
        <v>448</v>
      </c>
      <c r="H238" s="165" t="s">
        <v>3630</v>
      </c>
      <c r="I238" s="144">
        <v>47350</v>
      </c>
      <c r="J238">
        <v>1251</v>
      </c>
      <c r="K238" s="165" t="s">
        <v>2019</v>
      </c>
      <c r="L238" s="165" t="s">
        <v>8</v>
      </c>
      <c r="M238" s="144">
        <v>47543</v>
      </c>
      <c r="N238" s="146">
        <v>1800</v>
      </c>
      <c r="O238">
        <v>0</v>
      </c>
      <c r="P238">
        <v>1800</v>
      </c>
      <c r="Q238" s="165" t="s">
        <v>225</v>
      </c>
      <c r="R238" s="165" t="s">
        <v>2057</v>
      </c>
    </row>
    <row r="239" spans="1:19" x14ac:dyDescent="0.25">
      <c r="A239">
        <v>441</v>
      </c>
      <c r="B239" s="144">
        <v>46099</v>
      </c>
      <c r="C239">
        <v>32660</v>
      </c>
      <c r="D239" s="165" t="s">
        <v>3492</v>
      </c>
      <c r="E239" s="165" t="s">
        <v>12</v>
      </c>
      <c r="F239" s="165" t="s">
        <v>274</v>
      </c>
      <c r="G239" s="165" t="s">
        <v>634</v>
      </c>
      <c r="H239" s="165" t="s">
        <v>3493</v>
      </c>
      <c r="I239" s="144">
        <v>46006</v>
      </c>
      <c r="J239">
        <v>-93</v>
      </c>
      <c r="K239" s="165" t="s">
        <v>2019</v>
      </c>
      <c r="L239" s="165" t="s">
        <v>8</v>
      </c>
      <c r="M239" s="144">
        <v>46813</v>
      </c>
      <c r="N239" s="146">
        <v>2400</v>
      </c>
      <c r="O239">
        <v>0</v>
      </c>
      <c r="P239">
        <v>2400</v>
      </c>
      <c r="Q239" s="165" t="s">
        <v>225</v>
      </c>
      <c r="R239" s="165"/>
    </row>
    <row r="240" spans="1:19" x14ac:dyDescent="0.25">
      <c r="A240">
        <v>440</v>
      </c>
      <c r="B240" s="144">
        <v>46099</v>
      </c>
      <c r="C240">
        <v>32660</v>
      </c>
      <c r="D240" s="165" t="s">
        <v>3492</v>
      </c>
      <c r="E240" s="165" t="s">
        <v>12</v>
      </c>
      <c r="F240" s="165" t="s">
        <v>274</v>
      </c>
      <c r="G240" s="165" t="s">
        <v>1272</v>
      </c>
      <c r="H240" s="165" t="s">
        <v>3493</v>
      </c>
      <c r="I240" s="144">
        <v>46006</v>
      </c>
      <c r="J240">
        <v>-93</v>
      </c>
      <c r="K240" s="165" t="s">
        <v>240</v>
      </c>
      <c r="L240" s="165" t="s">
        <v>8</v>
      </c>
      <c r="M240" s="144">
        <v>46813</v>
      </c>
      <c r="N240" s="146">
        <v>2400</v>
      </c>
      <c r="O240">
        <v>0</v>
      </c>
      <c r="P240">
        <v>2400</v>
      </c>
      <c r="Q240" s="165" t="s">
        <v>225</v>
      </c>
      <c r="R240" s="165"/>
      <c r="S240" t="s">
        <v>241</v>
      </c>
    </row>
    <row r="241" spans="1:19" x14ac:dyDescent="0.25">
      <c r="A241">
        <v>439</v>
      </c>
      <c r="B241" s="144">
        <v>46098</v>
      </c>
      <c r="D241" s="165" t="s">
        <v>3631</v>
      </c>
      <c r="E241" s="165"/>
      <c r="F241" s="165" t="s">
        <v>2003</v>
      </c>
      <c r="G241" s="165" t="s">
        <v>25</v>
      </c>
      <c r="H241" s="165"/>
      <c r="I241" s="144"/>
      <c r="K241" s="165" t="s">
        <v>2292</v>
      </c>
      <c r="L241" s="165"/>
      <c r="M241" s="144"/>
      <c r="N241" s="146">
        <v>500</v>
      </c>
      <c r="O241">
        <v>0</v>
      </c>
      <c r="P241">
        <v>500</v>
      </c>
      <c r="Q241" s="165" t="s">
        <v>225</v>
      </c>
      <c r="R241" s="165"/>
    </row>
    <row r="242" spans="1:19" x14ac:dyDescent="0.25">
      <c r="A242">
        <v>438</v>
      </c>
      <c r="B242" s="144">
        <v>46098</v>
      </c>
      <c r="C242">
        <v>32627</v>
      </c>
      <c r="D242" s="165" t="s">
        <v>2302</v>
      </c>
      <c r="E242" s="165" t="s">
        <v>9</v>
      </c>
      <c r="F242" s="165" t="s">
        <v>3632</v>
      </c>
      <c r="G242" s="165" t="s">
        <v>1891</v>
      </c>
      <c r="H242" s="165" t="s">
        <v>2304</v>
      </c>
      <c r="I242" s="144">
        <v>47462</v>
      </c>
      <c r="J242">
        <v>1364</v>
      </c>
      <c r="K242" s="165" t="s">
        <v>240</v>
      </c>
      <c r="L242" s="165" t="s">
        <v>102</v>
      </c>
      <c r="M242" s="144">
        <v>47178</v>
      </c>
      <c r="N242" s="146">
        <v>11000</v>
      </c>
      <c r="O242">
        <v>1800</v>
      </c>
      <c r="P242">
        <v>9200</v>
      </c>
      <c r="Q242" s="165" t="s">
        <v>225</v>
      </c>
      <c r="R242" s="165"/>
      <c r="S242" t="s">
        <v>2305</v>
      </c>
    </row>
    <row r="243" spans="1:19" x14ac:dyDescent="0.25">
      <c r="A243">
        <v>437</v>
      </c>
      <c r="B243" s="144">
        <v>46098</v>
      </c>
      <c r="C243">
        <v>32661</v>
      </c>
      <c r="D243" s="165" t="s">
        <v>3633</v>
      </c>
      <c r="E243" s="165" t="s">
        <v>17</v>
      </c>
      <c r="F243" s="165" t="s">
        <v>3634</v>
      </c>
      <c r="G243" s="165" t="s">
        <v>429</v>
      </c>
      <c r="H243" s="165" t="s">
        <v>3635</v>
      </c>
      <c r="I243" s="144">
        <v>47421</v>
      </c>
      <c r="J243">
        <v>1323</v>
      </c>
      <c r="K243" s="165" t="s">
        <v>2019</v>
      </c>
      <c r="L243" s="165" t="s">
        <v>8</v>
      </c>
      <c r="M243" s="144">
        <v>47543</v>
      </c>
      <c r="N243" s="146">
        <v>12900</v>
      </c>
      <c r="O243">
        <v>0</v>
      </c>
      <c r="P243">
        <v>12900</v>
      </c>
      <c r="Q243" s="165" t="s">
        <v>225</v>
      </c>
      <c r="R243" s="165"/>
    </row>
    <row r="244" spans="1:19" x14ac:dyDescent="0.25">
      <c r="A244">
        <v>436</v>
      </c>
      <c r="B244" s="144">
        <v>46098</v>
      </c>
      <c r="C244">
        <v>32661</v>
      </c>
      <c r="D244" s="165" t="s">
        <v>3633</v>
      </c>
      <c r="E244" s="165" t="s">
        <v>17</v>
      </c>
      <c r="F244" s="165" t="s">
        <v>3634</v>
      </c>
      <c r="G244" s="165" t="s">
        <v>899</v>
      </c>
      <c r="H244" s="165" t="s">
        <v>3635</v>
      </c>
      <c r="I244" s="144">
        <v>47421</v>
      </c>
      <c r="J244">
        <v>1323</v>
      </c>
      <c r="K244" s="165" t="s">
        <v>240</v>
      </c>
      <c r="L244" s="165" t="s">
        <v>8</v>
      </c>
      <c r="M244" s="144">
        <v>47543</v>
      </c>
      <c r="N244" s="146">
        <v>12900</v>
      </c>
      <c r="O244">
        <v>9500</v>
      </c>
      <c r="P244">
        <v>3400</v>
      </c>
      <c r="Q244" s="165" t="s">
        <v>225</v>
      </c>
      <c r="R244" s="165"/>
      <c r="S244" t="s">
        <v>263</v>
      </c>
    </row>
    <row r="245" spans="1:19" x14ac:dyDescent="0.25">
      <c r="A245">
        <v>435</v>
      </c>
      <c r="B245" s="144">
        <v>46098</v>
      </c>
      <c r="C245">
        <v>32662</v>
      </c>
      <c r="D245" s="165" t="s">
        <v>3636</v>
      </c>
      <c r="E245" s="165" t="s">
        <v>17</v>
      </c>
      <c r="F245" s="165" t="s">
        <v>3637</v>
      </c>
      <c r="G245" s="165" t="s">
        <v>325</v>
      </c>
      <c r="H245" s="165" t="s">
        <v>3638</v>
      </c>
      <c r="I245" s="144">
        <v>46896</v>
      </c>
      <c r="J245">
        <v>798</v>
      </c>
      <c r="K245" s="165" t="s">
        <v>2019</v>
      </c>
      <c r="L245" s="165" t="s">
        <v>8</v>
      </c>
      <c r="M245" s="144">
        <v>46813</v>
      </c>
      <c r="N245" s="146">
        <v>6000</v>
      </c>
      <c r="O245">
        <v>0</v>
      </c>
      <c r="P245">
        <v>6000</v>
      </c>
      <c r="Q245" s="165" t="s">
        <v>225</v>
      </c>
      <c r="R245" s="165"/>
    </row>
    <row r="246" spans="1:19" x14ac:dyDescent="0.25">
      <c r="A246">
        <v>434</v>
      </c>
      <c r="B246" s="144">
        <v>46098</v>
      </c>
      <c r="C246">
        <v>32662</v>
      </c>
      <c r="D246" s="165" t="s">
        <v>3636</v>
      </c>
      <c r="E246" s="165" t="s">
        <v>17</v>
      </c>
      <c r="F246" s="165" t="s">
        <v>3637</v>
      </c>
      <c r="G246" s="165" t="s">
        <v>741</v>
      </c>
      <c r="H246" s="165" t="s">
        <v>3638</v>
      </c>
      <c r="I246" s="144">
        <v>46896</v>
      </c>
      <c r="J246">
        <v>798</v>
      </c>
      <c r="K246" s="165" t="s">
        <v>240</v>
      </c>
      <c r="L246" s="165" t="s">
        <v>8</v>
      </c>
      <c r="M246" s="144">
        <v>46813</v>
      </c>
      <c r="N246" s="146">
        <v>6000</v>
      </c>
      <c r="O246">
        <v>2500</v>
      </c>
      <c r="P246">
        <v>3500</v>
      </c>
      <c r="Q246" s="165" t="s">
        <v>225</v>
      </c>
      <c r="R246" s="165"/>
      <c r="S246" t="s">
        <v>241</v>
      </c>
    </row>
    <row r="247" spans="1:19" x14ac:dyDescent="0.25">
      <c r="A247">
        <v>433</v>
      </c>
      <c r="B247" s="144">
        <v>46098</v>
      </c>
      <c r="C247">
        <v>32666</v>
      </c>
      <c r="D247" s="165" t="s">
        <v>2025</v>
      </c>
      <c r="E247" s="165" t="s">
        <v>11</v>
      </c>
      <c r="F247" s="165" t="s">
        <v>293</v>
      </c>
      <c r="G247" s="165" t="s">
        <v>456</v>
      </c>
      <c r="H247" s="165" t="s">
        <v>2026</v>
      </c>
      <c r="I247" s="144">
        <v>47258</v>
      </c>
      <c r="J247">
        <v>1160</v>
      </c>
      <c r="K247" s="165" t="s">
        <v>2019</v>
      </c>
      <c r="L247" s="165" t="s">
        <v>8</v>
      </c>
      <c r="M247" s="144">
        <v>47543</v>
      </c>
      <c r="N247" s="146">
        <v>18000</v>
      </c>
      <c r="O247">
        <v>0</v>
      </c>
      <c r="P247">
        <v>18000</v>
      </c>
      <c r="Q247" s="165" t="s">
        <v>225</v>
      </c>
      <c r="R247" s="165"/>
    </row>
    <row r="248" spans="1:19" x14ac:dyDescent="0.25">
      <c r="A248">
        <v>432</v>
      </c>
      <c r="B248" s="144">
        <v>46098</v>
      </c>
      <c r="C248">
        <v>32666</v>
      </c>
      <c r="D248" s="165" t="s">
        <v>2025</v>
      </c>
      <c r="E248" s="165" t="s">
        <v>11</v>
      </c>
      <c r="F248" s="165" t="s">
        <v>293</v>
      </c>
      <c r="G248" s="165" t="s">
        <v>969</v>
      </c>
      <c r="H248" s="165" t="s">
        <v>2026</v>
      </c>
      <c r="I248" s="144">
        <v>47258</v>
      </c>
      <c r="J248">
        <v>1160</v>
      </c>
      <c r="K248" s="165" t="s">
        <v>240</v>
      </c>
      <c r="L248" s="165" t="s">
        <v>8</v>
      </c>
      <c r="M248" s="144">
        <v>47543</v>
      </c>
      <c r="N248" s="146">
        <v>18000</v>
      </c>
      <c r="O248">
        <v>1000</v>
      </c>
      <c r="P248">
        <v>17000</v>
      </c>
      <c r="Q248" s="165" t="s">
        <v>225</v>
      </c>
      <c r="R248" s="165"/>
      <c r="S248" t="s">
        <v>241</v>
      </c>
    </row>
    <row r="249" spans="1:19" x14ac:dyDescent="0.25">
      <c r="A249">
        <v>431</v>
      </c>
      <c r="B249" s="144">
        <v>46098</v>
      </c>
      <c r="C249">
        <v>32669</v>
      </c>
      <c r="D249" s="165" t="s">
        <v>280</v>
      </c>
      <c r="E249" s="165" t="s">
        <v>181</v>
      </c>
      <c r="F249" s="165" t="s">
        <v>247</v>
      </c>
      <c r="G249" s="165" t="s">
        <v>411</v>
      </c>
      <c r="H249" s="165" t="s">
        <v>281</v>
      </c>
      <c r="I249" s="144">
        <v>46166</v>
      </c>
      <c r="J249">
        <v>68</v>
      </c>
      <c r="K249" s="165" t="s">
        <v>2019</v>
      </c>
      <c r="L249" s="165" t="s">
        <v>8</v>
      </c>
      <c r="M249" s="144">
        <v>46813</v>
      </c>
      <c r="N249" s="146">
        <v>19802</v>
      </c>
      <c r="O249">
        <v>0</v>
      </c>
      <c r="P249">
        <v>19802</v>
      </c>
      <c r="Q249" s="165" t="s">
        <v>225</v>
      </c>
      <c r="R249" s="165"/>
    </row>
    <row r="250" spans="1:19" x14ac:dyDescent="0.25">
      <c r="A250">
        <v>430</v>
      </c>
      <c r="B250" s="144">
        <v>46098</v>
      </c>
      <c r="C250">
        <v>32669</v>
      </c>
      <c r="D250" s="165" t="s">
        <v>280</v>
      </c>
      <c r="E250" s="165" t="s">
        <v>181</v>
      </c>
      <c r="F250" s="165" t="s">
        <v>247</v>
      </c>
      <c r="G250" s="165" t="s">
        <v>869</v>
      </c>
      <c r="H250" s="165" t="s">
        <v>281</v>
      </c>
      <c r="I250" s="144">
        <v>46166</v>
      </c>
      <c r="J250">
        <v>68</v>
      </c>
      <c r="K250" s="165" t="s">
        <v>240</v>
      </c>
      <c r="L250" s="165" t="s">
        <v>8</v>
      </c>
      <c r="M250" s="144">
        <v>46813</v>
      </c>
      <c r="N250" s="146">
        <v>19802</v>
      </c>
      <c r="O250">
        <v>1000</v>
      </c>
      <c r="P250">
        <v>18802</v>
      </c>
      <c r="Q250" s="165" t="s">
        <v>225</v>
      </c>
      <c r="R250" s="165"/>
      <c r="S250" t="s">
        <v>241</v>
      </c>
    </row>
    <row r="251" spans="1:19" x14ac:dyDescent="0.25">
      <c r="A251">
        <v>429</v>
      </c>
      <c r="B251" s="144">
        <v>46098</v>
      </c>
      <c r="D251" s="165" t="s">
        <v>3598</v>
      </c>
      <c r="E251" s="165" t="s">
        <v>2111</v>
      </c>
      <c r="F251" s="165" t="s">
        <v>2296</v>
      </c>
      <c r="G251" s="165" t="s">
        <v>616</v>
      </c>
      <c r="H251" s="165" t="s">
        <v>3599</v>
      </c>
      <c r="I251" s="144">
        <v>46476</v>
      </c>
      <c r="J251">
        <v>378</v>
      </c>
      <c r="K251" s="165" t="s">
        <v>2019</v>
      </c>
      <c r="L251" s="165" t="s">
        <v>8</v>
      </c>
      <c r="M251" s="144">
        <v>47543</v>
      </c>
      <c r="N251" s="146">
        <v>18000</v>
      </c>
      <c r="O251">
        <v>0</v>
      </c>
      <c r="P251">
        <v>18000</v>
      </c>
      <c r="Q251" s="165" t="s">
        <v>225</v>
      </c>
      <c r="R251" s="165"/>
    </row>
    <row r="252" spans="1:19" x14ac:dyDescent="0.25">
      <c r="A252">
        <v>428</v>
      </c>
      <c r="B252" s="144">
        <v>46098</v>
      </c>
      <c r="D252" s="165" t="s">
        <v>3598</v>
      </c>
      <c r="E252" s="165" t="s">
        <v>2111</v>
      </c>
      <c r="F252" s="165" t="s">
        <v>2296</v>
      </c>
      <c r="G252" s="165" t="s">
        <v>1236</v>
      </c>
      <c r="H252" s="165" t="s">
        <v>3599</v>
      </c>
      <c r="I252" s="144">
        <v>46476</v>
      </c>
      <c r="J252">
        <v>378</v>
      </c>
      <c r="K252" s="165" t="s">
        <v>240</v>
      </c>
      <c r="L252" s="165" t="s">
        <v>8</v>
      </c>
      <c r="M252" s="144">
        <v>47543</v>
      </c>
      <c r="N252" s="146">
        <v>18000</v>
      </c>
      <c r="O252">
        <v>0</v>
      </c>
      <c r="P252">
        <v>18000</v>
      </c>
      <c r="Q252" s="165" t="s">
        <v>225</v>
      </c>
      <c r="R252" s="165" t="s">
        <v>3639</v>
      </c>
      <c r="S252" t="s">
        <v>241</v>
      </c>
    </row>
    <row r="253" spans="1:19" x14ac:dyDescent="0.25">
      <c r="A253">
        <v>427</v>
      </c>
      <c r="B253" s="144">
        <v>46094</v>
      </c>
      <c r="C253">
        <v>32616</v>
      </c>
      <c r="D253" s="165" t="s">
        <v>3613</v>
      </c>
      <c r="E253" s="165" t="s">
        <v>9</v>
      </c>
      <c r="F253" s="165" t="s">
        <v>2419</v>
      </c>
      <c r="G253" s="165" t="s">
        <v>1395</v>
      </c>
      <c r="H253" s="165" t="s">
        <v>3614</v>
      </c>
      <c r="I253" s="144">
        <v>46259</v>
      </c>
      <c r="J253">
        <v>165</v>
      </c>
      <c r="K253" s="165" t="s">
        <v>262</v>
      </c>
      <c r="L253" s="165" t="s">
        <v>102</v>
      </c>
      <c r="M253" s="144">
        <v>46813</v>
      </c>
      <c r="N253" s="146">
        <v>25000</v>
      </c>
      <c r="O253">
        <v>5600</v>
      </c>
      <c r="P253">
        <v>19400</v>
      </c>
      <c r="Q253" s="165" t="s">
        <v>225</v>
      </c>
      <c r="R253" s="165"/>
      <c r="S253" t="s">
        <v>2206</v>
      </c>
    </row>
    <row r="254" spans="1:19" x14ac:dyDescent="0.25">
      <c r="A254">
        <v>426</v>
      </c>
      <c r="B254" s="144">
        <v>46094</v>
      </c>
      <c r="C254">
        <v>32614</v>
      </c>
      <c r="D254" s="165" t="s">
        <v>2033</v>
      </c>
      <c r="E254" s="165" t="s">
        <v>243</v>
      </c>
      <c r="F254" s="165" t="s">
        <v>244</v>
      </c>
      <c r="G254" s="165" t="s">
        <v>431</v>
      </c>
      <c r="H254" s="165" t="s">
        <v>2034</v>
      </c>
      <c r="I254" s="144">
        <v>46471</v>
      </c>
      <c r="J254">
        <v>377</v>
      </c>
      <c r="K254" s="165" t="s">
        <v>2019</v>
      </c>
      <c r="L254" s="165" t="s">
        <v>8</v>
      </c>
      <c r="M254" s="144">
        <v>46813</v>
      </c>
      <c r="N254" s="146">
        <v>24000</v>
      </c>
      <c r="O254">
        <v>0</v>
      </c>
      <c r="P254">
        <v>24000</v>
      </c>
      <c r="Q254" s="165" t="s">
        <v>225</v>
      </c>
      <c r="R254" s="165"/>
    </row>
    <row r="255" spans="1:19" x14ac:dyDescent="0.25">
      <c r="A255">
        <v>425</v>
      </c>
      <c r="B255" s="144">
        <v>46094</v>
      </c>
      <c r="C255">
        <v>32614</v>
      </c>
      <c r="D255" s="165" t="s">
        <v>2033</v>
      </c>
      <c r="E255" s="165" t="s">
        <v>243</v>
      </c>
      <c r="F255" s="165" t="s">
        <v>244</v>
      </c>
      <c r="G255" s="165" t="s">
        <v>911</v>
      </c>
      <c r="H255" s="165" t="s">
        <v>2034</v>
      </c>
      <c r="I255" s="144">
        <v>46471</v>
      </c>
      <c r="J255">
        <v>377</v>
      </c>
      <c r="K255" s="165" t="s">
        <v>240</v>
      </c>
      <c r="L255" s="165" t="s">
        <v>8</v>
      </c>
      <c r="M255" s="144">
        <v>46813</v>
      </c>
      <c r="N255" s="146">
        <v>24000</v>
      </c>
      <c r="O255">
        <v>1200</v>
      </c>
      <c r="P255">
        <v>22800</v>
      </c>
      <c r="Q255" s="165" t="s">
        <v>225</v>
      </c>
      <c r="R255" s="165"/>
      <c r="S255" t="s">
        <v>241</v>
      </c>
    </row>
    <row r="256" spans="1:19" x14ac:dyDescent="0.25">
      <c r="A256">
        <v>424</v>
      </c>
      <c r="B256" s="144">
        <v>46094</v>
      </c>
      <c r="C256">
        <v>32657</v>
      </c>
      <c r="D256" s="165" t="s">
        <v>3640</v>
      </c>
      <c r="E256" s="165" t="s">
        <v>186</v>
      </c>
      <c r="F256" s="165" t="s">
        <v>3641</v>
      </c>
      <c r="G256" s="165" t="s">
        <v>518</v>
      </c>
      <c r="H256" s="165" t="s">
        <v>3642</v>
      </c>
      <c r="I256" s="144">
        <v>45953</v>
      </c>
      <c r="J256">
        <v>-141</v>
      </c>
      <c r="K256" s="165" t="s">
        <v>2019</v>
      </c>
      <c r="L256" s="165" t="s">
        <v>10</v>
      </c>
      <c r="M256" s="144">
        <v>46813</v>
      </c>
      <c r="N256" s="146">
        <v>15000</v>
      </c>
      <c r="O256">
        <v>0</v>
      </c>
      <c r="P256">
        <v>15000</v>
      </c>
      <c r="Q256" s="165" t="s">
        <v>225</v>
      </c>
      <c r="R256" s="165" t="s">
        <v>3643</v>
      </c>
    </row>
    <row r="257" spans="1:19" x14ac:dyDescent="0.25">
      <c r="A257">
        <v>423</v>
      </c>
      <c r="B257" s="144">
        <v>46094</v>
      </c>
      <c r="C257">
        <v>32658</v>
      </c>
      <c r="D257" s="165" t="s">
        <v>3640</v>
      </c>
      <c r="E257" s="165" t="s">
        <v>186</v>
      </c>
      <c r="F257" s="165" t="s">
        <v>3644</v>
      </c>
      <c r="G257" s="165" t="s">
        <v>1092</v>
      </c>
      <c r="H257" s="165" t="s">
        <v>3642</v>
      </c>
      <c r="I257" s="144">
        <v>45953</v>
      </c>
      <c r="J257">
        <v>-141</v>
      </c>
      <c r="K257" s="165" t="s">
        <v>240</v>
      </c>
      <c r="L257" s="165" t="s">
        <v>8</v>
      </c>
      <c r="M257" s="144">
        <v>46813</v>
      </c>
      <c r="N257" s="146">
        <v>4000</v>
      </c>
      <c r="O257">
        <v>300</v>
      </c>
      <c r="P257">
        <v>3700</v>
      </c>
      <c r="Q257" s="165" t="s">
        <v>225</v>
      </c>
      <c r="R257" s="165"/>
      <c r="S257" t="s">
        <v>2030</v>
      </c>
    </row>
    <row r="258" spans="1:19" x14ac:dyDescent="0.25">
      <c r="A258">
        <v>422</v>
      </c>
      <c r="B258" s="144">
        <v>46094</v>
      </c>
      <c r="C258">
        <v>32657</v>
      </c>
      <c r="D258" s="165" t="s">
        <v>3640</v>
      </c>
      <c r="E258" s="165" t="s">
        <v>186</v>
      </c>
      <c r="F258" s="165" t="s">
        <v>3641</v>
      </c>
      <c r="G258" s="165" t="s">
        <v>1608</v>
      </c>
      <c r="H258" s="165" t="s">
        <v>3642</v>
      </c>
      <c r="I258" s="144">
        <v>45953</v>
      </c>
      <c r="J258">
        <v>-141</v>
      </c>
      <c r="K258" s="165" t="s">
        <v>240</v>
      </c>
      <c r="L258" s="165" t="s">
        <v>10</v>
      </c>
      <c r="M258" s="144">
        <v>46813</v>
      </c>
      <c r="N258" s="146">
        <v>15000</v>
      </c>
      <c r="O258">
        <v>1100</v>
      </c>
      <c r="P258">
        <v>13900</v>
      </c>
      <c r="Q258" s="165" t="s">
        <v>225</v>
      </c>
      <c r="R258" s="165"/>
      <c r="S258" t="s">
        <v>2030</v>
      </c>
    </row>
    <row r="259" spans="1:19" x14ac:dyDescent="0.25">
      <c r="A259">
        <v>421</v>
      </c>
      <c r="B259" s="144">
        <v>46094</v>
      </c>
      <c r="C259">
        <v>32646</v>
      </c>
      <c r="D259" s="165" t="s">
        <v>314</v>
      </c>
      <c r="E259" s="165" t="s">
        <v>15</v>
      </c>
      <c r="F259" s="165" t="s">
        <v>247</v>
      </c>
      <c r="G259" s="165" t="s">
        <v>544</v>
      </c>
      <c r="H259" s="165" t="s">
        <v>315</v>
      </c>
      <c r="I259" s="144">
        <v>47590</v>
      </c>
      <c r="J259">
        <v>1496</v>
      </c>
      <c r="K259" s="165" t="s">
        <v>2019</v>
      </c>
      <c r="L259" s="165" t="s">
        <v>8</v>
      </c>
      <c r="M259" s="144">
        <v>46813</v>
      </c>
      <c r="N259" s="146">
        <v>117645</v>
      </c>
      <c r="O259">
        <v>0</v>
      </c>
      <c r="P259">
        <v>117645</v>
      </c>
      <c r="Q259" s="165" t="s">
        <v>225</v>
      </c>
      <c r="R259" s="165" t="s">
        <v>3645</v>
      </c>
    </row>
    <row r="260" spans="1:19" x14ac:dyDescent="0.25">
      <c r="A260">
        <v>420</v>
      </c>
      <c r="B260" s="144">
        <v>46094</v>
      </c>
      <c r="C260">
        <v>32653</v>
      </c>
      <c r="D260" s="165" t="s">
        <v>314</v>
      </c>
      <c r="E260" s="165" t="s">
        <v>15</v>
      </c>
      <c r="F260" s="165" t="s">
        <v>247</v>
      </c>
      <c r="G260" s="165" t="s">
        <v>1130</v>
      </c>
      <c r="H260" s="165" t="s">
        <v>315</v>
      </c>
      <c r="I260" s="144">
        <v>47590</v>
      </c>
      <c r="J260">
        <v>1496</v>
      </c>
      <c r="K260" s="165" t="s">
        <v>240</v>
      </c>
      <c r="L260" s="165" t="s">
        <v>8</v>
      </c>
      <c r="M260" s="144">
        <v>46813</v>
      </c>
      <c r="N260" s="146">
        <v>23529</v>
      </c>
      <c r="O260">
        <v>0</v>
      </c>
      <c r="P260">
        <v>23529</v>
      </c>
      <c r="Q260" s="165" t="s">
        <v>225</v>
      </c>
      <c r="R260" s="165"/>
      <c r="S260" t="s">
        <v>241</v>
      </c>
    </row>
    <row r="261" spans="1:19" x14ac:dyDescent="0.25">
      <c r="A261">
        <v>419</v>
      </c>
      <c r="B261" s="144">
        <v>46094</v>
      </c>
      <c r="C261">
        <v>32656</v>
      </c>
      <c r="D261" s="165" t="s">
        <v>314</v>
      </c>
      <c r="E261" s="165" t="s">
        <v>15</v>
      </c>
      <c r="F261" s="165" t="s">
        <v>247</v>
      </c>
      <c r="G261" s="165" t="s">
        <v>1130</v>
      </c>
      <c r="H261" s="165" t="s">
        <v>315</v>
      </c>
      <c r="I261" s="144">
        <v>47590</v>
      </c>
      <c r="J261">
        <v>1496</v>
      </c>
      <c r="K261" s="165" t="s">
        <v>240</v>
      </c>
      <c r="L261" s="165" t="s">
        <v>8</v>
      </c>
      <c r="M261" s="144">
        <v>46813</v>
      </c>
      <c r="N261" s="146">
        <v>23529</v>
      </c>
      <c r="O261">
        <v>0</v>
      </c>
      <c r="P261">
        <v>23529</v>
      </c>
      <c r="Q261" s="165" t="s">
        <v>225</v>
      </c>
      <c r="R261" s="165"/>
      <c r="S261" t="s">
        <v>241</v>
      </c>
    </row>
    <row r="262" spans="1:19" x14ac:dyDescent="0.25">
      <c r="A262">
        <v>418</v>
      </c>
      <c r="B262" s="144">
        <v>46094</v>
      </c>
      <c r="C262">
        <v>32655</v>
      </c>
      <c r="D262" s="165" t="s">
        <v>314</v>
      </c>
      <c r="E262" s="165" t="s">
        <v>15</v>
      </c>
      <c r="F262" s="165" t="s">
        <v>247</v>
      </c>
      <c r="G262" s="165" t="s">
        <v>1130</v>
      </c>
      <c r="H262" s="165" t="s">
        <v>315</v>
      </c>
      <c r="I262" s="144">
        <v>47590</v>
      </c>
      <c r="J262">
        <v>1496</v>
      </c>
      <c r="K262" s="165" t="s">
        <v>240</v>
      </c>
      <c r="L262" s="165" t="s">
        <v>8</v>
      </c>
      <c r="M262" s="144">
        <v>46813</v>
      </c>
      <c r="N262" s="146">
        <v>23529</v>
      </c>
      <c r="O262">
        <v>0</v>
      </c>
      <c r="P262">
        <v>23529</v>
      </c>
      <c r="Q262" s="165" t="s">
        <v>225</v>
      </c>
      <c r="R262" s="165"/>
      <c r="S262" t="s">
        <v>241</v>
      </c>
    </row>
    <row r="263" spans="1:19" x14ac:dyDescent="0.25">
      <c r="A263">
        <v>417</v>
      </c>
      <c r="B263" s="144">
        <v>46094</v>
      </c>
      <c r="C263">
        <v>32654</v>
      </c>
      <c r="D263" s="165" t="s">
        <v>314</v>
      </c>
      <c r="E263" s="165" t="s">
        <v>15</v>
      </c>
      <c r="F263" s="165" t="s">
        <v>247</v>
      </c>
      <c r="G263" s="165" t="s">
        <v>1130</v>
      </c>
      <c r="H263" s="165" t="s">
        <v>315</v>
      </c>
      <c r="I263" s="144">
        <v>47590</v>
      </c>
      <c r="J263">
        <v>1496</v>
      </c>
      <c r="K263" s="165" t="s">
        <v>240</v>
      </c>
      <c r="L263" s="165" t="s">
        <v>8</v>
      </c>
      <c r="M263" s="144">
        <v>46813</v>
      </c>
      <c r="N263" s="146">
        <v>23529</v>
      </c>
      <c r="O263">
        <v>0</v>
      </c>
      <c r="P263">
        <v>23529</v>
      </c>
      <c r="Q263" s="165" t="s">
        <v>225</v>
      </c>
      <c r="R263" s="165"/>
      <c r="S263" t="s">
        <v>241</v>
      </c>
    </row>
    <row r="264" spans="1:19" x14ac:dyDescent="0.25">
      <c r="A264">
        <v>416</v>
      </c>
      <c r="B264" s="144">
        <v>46094</v>
      </c>
      <c r="C264">
        <v>32646</v>
      </c>
      <c r="D264" s="165" t="s">
        <v>314</v>
      </c>
      <c r="E264" s="165" t="s">
        <v>15</v>
      </c>
      <c r="F264" s="165" t="s">
        <v>247</v>
      </c>
      <c r="G264" s="165" t="s">
        <v>1130</v>
      </c>
      <c r="H264" s="165" t="s">
        <v>315</v>
      </c>
      <c r="I264" s="144">
        <v>47590</v>
      </c>
      <c r="J264">
        <v>1496</v>
      </c>
      <c r="K264" s="165" t="s">
        <v>240</v>
      </c>
      <c r="L264" s="165" t="s">
        <v>8</v>
      </c>
      <c r="M264" s="144">
        <v>46813</v>
      </c>
      <c r="N264" s="146">
        <v>23529</v>
      </c>
      <c r="O264">
        <v>4500</v>
      </c>
      <c r="P264">
        <v>19029</v>
      </c>
      <c r="Q264" s="165" t="s">
        <v>225</v>
      </c>
      <c r="R264" s="165"/>
      <c r="S264" t="s">
        <v>241</v>
      </c>
    </row>
    <row r="265" spans="1:19" x14ac:dyDescent="0.25">
      <c r="A265">
        <v>415</v>
      </c>
      <c r="B265" s="144">
        <v>46094</v>
      </c>
      <c r="C265">
        <v>32645</v>
      </c>
      <c r="D265" s="165" t="s">
        <v>2048</v>
      </c>
      <c r="E265" s="165" t="s">
        <v>12</v>
      </c>
      <c r="F265" s="165" t="s">
        <v>2049</v>
      </c>
      <c r="G265" s="165" t="s">
        <v>1837</v>
      </c>
      <c r="H265" s="165" t="s">
        <v>2050</v>
      </c>
      <c r="I265" s="144">
        <v>47100</v>
      </c>
      <c r="J265">
        <v>1006</v>
      </c>
      <c r="K265" s="165" t="s">
        <v>2019</v>
      </c>
      <c r="L265" s="165" t="s">
        <v>8</v>
      </c>
      <c r="M265" s="144">
        <v>46813</v>
      </c>
      <c r="N265" s="146">
        <v>30000</v>
      </c>
      <c r="O265">
        <v>0</v>
      </c>
      <c r="P265">
        <v>30000</v>
      </c>
      <c r="Q265" s="165" t="s">
        <v>225</v>
      </c>
      <c r="R265" s="165" t="s">
        <v>3646</v>
      </c>
    </row>
    <row r="266" spans="1:19" x14ac:dyDescent="0.25">
      <c r="A266">
        <v>414</v>
      </c>
      <c r="B266" s="144">
        <v>46094</v>
      </c>
      <c r="C266">
        <v>32645</v>
      </c>
      <c r="D266" s="165" t="s">
        <v>2048</v>
      </c>
      <c r="E266" s="165" t="s">
        <v>12</v>
      </c>
      <c r="F266" s="165" t="s">
        <v>2049</v>
      </c>
      <c r="G266" s="165" t="s">
        <v>2885</v>
      </c>
      <c r="H266" s="165" t="s">
        <v>2050</v>
      </c>
      <c r="I266" s="144">
        <v>47100</v>
      </c>
      <c r="J266">
        <v>1006</v>
      </c>
      <c r="K266" s="165" t="s">
        <v>240</v>
      </c>
      <c r="L266" s="165" t="s">
        <v>8</v>
      </c>
      <c r="M266" s="144">
        <v>46813</v>
      </c>
      <c r="N266" s="146">
        <v>10000</v>
      </c>
      <c r="O266">
        <v>3800</v>
      </c>
      <c r="P266">
        <v>6200</v>
      </c>
      <c r="Q266" s="165" t="s">
        <v>225</v>
      </c>
      <c r="R266" s="165"/>
      <c r="S266" t="s">
        <v>263</v>
      </c>
    </row>
    <row r="267" spans="1:19" x14ac:dyDescent="0.25">
      <c r="A267">
        <v>413</v>
      </c>
      <c r="B267" s="144">
        <v>46094</v>
      </c>
      <c r="C267">
        <v>32644</v>
      </c>
      <c r="D267" s="165" t="s">
        <v>2048</v>
      </c>
      <c r="E267" s="165" t="s">
        <v>12</v>
      </c>
      <c r="F267" s="165" t="s">
        <v>2293</v>
      </c>
      <c r="G267" s="165" t="s">
        <v>1843</v>
      </c>
      <c r="H267" s="165" t="s">
        <v>2050</v>
      </c>
      <c r="I267" s="144">
        <v>47100</v>
      </c>
      <c r="J267">
        <v>1006</v>
      </c>
      <c r="K267" s="165" t="s">
        <v>240</v>
      </c>
      <c r="L267" s="165" t="s">
        <v>102</v>
      </c>
      <c r="M267" s="144">
        <v>46813</v>
      </c>
      <c r="N267" s="146">
        <v>20000</v>
      </c>
      <c r="O267">
        <v>1500</v>
      </c>
      <c r="P267">
        <v>18500</v>
      </c>
      <c r="Q267" s="165" t="s">
        <v>225</v>
      </c>
      <c r="R267" s="165"/>
      <c r="S267" t="s">
        <v>263</v>
      </c>
    </row>
    <row r="268" spans="1:19" x14ac:dyDescent="0.25">
      <c r="A268">
        <v>412</v>
      </c>
      <c r="B268" s="144">
        <v>46094</v>
      </c>
      <c r="D268" s="165" t="s">
        <v>3647</v>
      </c>
      <c r="E268" s="165"/>
      <c r="F268" s="165" t="s">
        <v>2003</v>
      </c>
      <c r="G268" s="165" t="s">
        <v>25</v>
      </c>
      <c r="H268" s="165"/>
      <c r="I268" s="144"/>
      <c r="K268" s="165" t="s">
        <v>2292</v>
      </c>
      <c r="L268" s="165"/>
      <c r="M268" s="144"/>
      <c r="N268" s="146">
        <v>8000</v>
      </c>
      <c r="O268">
        <v>0</v>
      </c>
      <c r="P268">
        <v>8000</v>
      </c>
      <c r="Q268" s="165" t="s">
        <v>225</v>
      </c>
      <c r="R268" s="165"/>
    </row>
    <row r="269" spans="1:19" x14ac:dyDescent="0.25">
      <c r="A269">
        <v>411</v>
      </c>
      <c r="B269" s="144">
        <v>46093</v>
      </c>
      <c r="C269">
        <v>32649</v>
      </c>
      <c r="D269" s="165" t="s">
        <v>2343</v>
      </c>
      <c r="E269" s="165" t="s">
        <v>15</v>
      </c>
      <c r="F269" s="165" t="s">
        <v>299</v>
      </c>
      <c r="G269" s="165" t="s">
        <v>931</v>
      </c>
      <c r="H269" s="165" t="s">
        <v>3648</v>
      </c>
      <c r="I269" s="144">
        <v>46523</v>
      </c>
      <c r="J269">
        <v>430</v>
      </c>
      <c r="K269" s="165" t="s">
        <v>240</v>
      </c>
      <c r="L269" s="165" t="s">
        <v>8</v>
      </c>
      <c r="M269" s="144">
        <v>46813</v>
      </c>
      <c r="N269" s="146">
        <v>2419</v>
      </c>
      <c r="O269">
        <v>1900</v>
      </c>
      <c r="P269">
        <v>519</v>
      </c>
      <c r="Q269" s="165" t="s">
        <v>225</v>
      </c>
      <c r="R269" s="165"/>
      <c r="S269" t="s">
        <v>241</v>
      </c>
    </row>
    <row r="270" spans="1:19" x14ac:dyDescent="0.25">
      <c r="A270">
        <v>410</v>
      </c>
      <c r="B270" s="144">
        <v>46093</v>
      </c>
      <c r="C270">
        <v>32651</v>
      </c>
      <c r="D270" s="165" t="s">
        <v>2352</v>
      </c>
      <c r="E270" s="165" t="s">
        <v>12</v>
      </c>
      <c r="F270" s="165" t="s">
        <v>274</v>
      </c>
      <c r="G270" s="165" t="s">
        <v>437</v>
      </c>
      <c r="H270" s="165" t="s">
        <v>2353</v>
      </c>
      <c r="I270" s="144">
        <v>47163</v>
      </c>
      <c r="J270">
        <v>1070</v>
      </c>
      <c r="K270" s="165" t="s">
        <v>2019</v>
      </c>
      <c r="L270" s="165" t="s">
        <v>8</v>
      </c>
      <c r="M270" s="144">
        <v>46813</v>
      </c>
      <c r="N270" s="146">
        <v>6000</v>
      </c>
      <c r="O270">
        <v>0</v>
      </c>
      <c r="P270">
        <v>6000</v>
      </c>
      <c r="Q270" s="165" t="s">
        <v>225</v>
      </c>
      <c r="R270" s="165" t="s">
        <v>3649</v>
      </c>
    </row>
    <row r="271" spans="1:19" x14ac:dyDescent="0.25">
      <c r="A271">
        <v>409</v>
      </c>
      <c r="B271" s="144">
        <v>46087</v>
      </c>
      <c r="D271" s="165" t="s">
        <v>3650</v>
      </c>
      <c r="E271" s="165" t="s">
        <v>2111</v>
      </c>
      <c r="F271" s="165" t="s">
        <v>3651</v>
      </c>
      <c r="G271" s="165" t="s">
        <v>461</v>
      </c>
      <c r="H271" s="165" t="s">
        <v>3652</v>
      </c>
      <c r="I271" s="144">
        <v>47866</v>
      </c>
      <c r="J271">
        <v>1779</v>
      </c>
      <c r="K271" s="165" t="s">
        <v>2019</v>
      </c>
      <c r="L271" s="165" t="s">
        <v>2234</v>
      </c>
      <c r="M271" s="144">
        <v>47543</v>
      </c>
      <c r="N271" s="146">
        <v>7800</v>
      </c>
      <c r="O271">
        <v>0</v>
      </c>
      <c r="P271">
        <v>7800</v>
      </c>
      <c r="Q271" s="165" t="s">
        <v>225</v>
      </c>
      <c r="R271" s="165"/>
    </row>
    <row r="272" spans="1:19" x14ac:dyDescent="0.25">
      <c r="A272">
        <v>408</v>
      </c>
      <c r="B272" s="144">
        <v>46087</v>
      </c>
      <c r="D272" s="165" t="s">
        <v>3650</v>
      </c>
      <c r="E272" s="165" t="s">
        <v>2111</v>
      </c>
      <c r="F272" s="165" t="s">
        <v>3651</v>
      </c>
      <c r="G272" s="165" t="s">
        <v>981</v>
      </c>
      <c r="H272" s="165" t="s">
        <v>3652</v>
      </c>
      <c r="I272" s="144">
        <v>47866</v>
      </c>
      <c r="J272">
        <v>1779</v>
      </c>
      <c r="K272" s="165" t="s">
        <v>240</v>
      </c>
      <c r="L272" s="165" t="s">
        <v>2234</v>
      </c>
      <c r="M272" s="144">
        <v>47543</v>
      </c>
      <c r="N272" s="146">
        <v>7800</v>
      </c>
      <c r="O272">
        <v>1500</v>
      </c>
      <c r="P272">
        <v>6300</v>
      </c>
      <c r="Q272" s="165" t="s">
        <v>225</v>
      </c>
      <c r="R272" s="165"/>
      <c r="S272" t="s">
        <v>263</v>
      </c>
    </row>
    <row r="273" spans="1:19" x14ac:dyDescent="0.25">
      <c r="A273">
        <v>407</v>
      </c>
      <c r="B273" s="144">
        <v>46087</v>
      </c>
      <c r="C273">
        <v>6326</v>
      </c>
      <c r="D273" s="165" t="s">
        <v>2408</v>
      </c>
      <c r="E273" s="165" t="s">
        <v>2409</v>
      </c>
      <c r="F273" s="165" t="s">
        <v>3653</v>
      </c>
      <c r="G273" s="165" t="s">
        <v>554</v>
      </c>
      <c r="H273" s="165" t="s">
        <v>2410</v>
      </c>
      <c r="I273" s="144">
        <v>47085</v>
      </c>
      <c r="J273">
        <v>998</v>
      </c>
      <c r="K273" s="165" t="s">
        <v>2019</v>
      </c>
      <c r="L273" s="165" t="s">
        <v>8</v>
      </c>
      <c r="M273" s="144">
        <v>46813</v>
      </c>
      <c r="N273" s="146">
        <v>3600</v>
      </c>
      <c r="O273">
        <v>1000</v>
      </c>
      <c r="P273">
        <v>2600</v>
      </c>
      <c r="Q273" s="165" t="s">
        <v>225</v>
      </c>
      <c r="R273" s="165" t="s">
        <v>2027</v>
      </c>
    </row>
    <row r="274" spans="1:19" x14ac:dyDescent="0.25">
      <c r="A274">
        <v>406</v>
      </c>
      <c r="B274" s="144">
        <v>46087</v>
      </c>
      <c r="D274" s="165" t="s">
        <v>3600</v>
      </c>
      <c r="E274" s="165" t="s">
        <v>2111</v>
      </c>
      <c r="F274" s="165" t="s">
        <v>2395</v>
      </c>
      <c r="G274" s="165" t="s">
        <v>1783</v>
      </c>
      <c r="H274" s="165" t="s">
        <v>3601</v>
      </c>
      <c r="I274" s="144">
        <v>46981</v>
      </c>
      <c r="J274">
        <v>894</v>
      </c>
      <c r="K274" s="165" t="s">
        <v>240</v>
      </c>
      <c r="L274" s="165" t="s">
        <v>8</v>
      </c>
      <c r="M274" s="144">
        <v>47543</v>
      </c>
      <c r="N274" s="146">
        <v>30000</v>
      </c>
      <c r="O274">
        <v>5000</v>
      </c>
      <c r="P274">
        <v>25000</v>
      </c>
      <c r="Q274" s="165" t="s">
        <v>225</v>
      </c>
      <c r="R274" s="165"/>
      <c r="S274" t="s">
        <v>263</v>
      </c>
    </row>
    <row r="275" spans="1:19" x14ac:dyDescent="0.25">
      <c r="A275">
        <v>405</v>
      </c>
      <c r="B275" s="144">
        <v>46087</v>
      </c>
      <c r="D275" s="165" t="s">
        <v>3600</v>
      </c>
      <c r="E275" s="165" t="s">
        <v>2111</v>
      </c>
      <c r="F275" s="165" t="s">
        <v>2395</v>
      </c>
      <c r="G275" s="165" t="s">
        <v>484</v>
      </c>
      <c r="H275" s="165" t="s">
        <v>3601</v>
      </c>
      <c r="I275" s="144">
        <v>46981</v>
      </c>
      <c r="J275">
        <v>894</v>
      </c>
      <c r="K275" s="165" t="s">
        <v>2019</v>
      </c>
      <c r="L275" s="165" t="s">
        <v>8</v>
      </c>
      <c r="M275" s="144">
        <v>47543</v>
      </c>
      <c r="N275" s="146">
        <v>35500</v>
      </c>
      <c r="O275">
        <v>0</v>
      </c>
      <c r="P275">
        <v>35500</v>
      </c>
      <c r="Q275" s="165" t="s">
        <v>225</v>
      </c>
      <c r="R275" s="165" t="s">
        <v>3654</v>
      </c>
    </row>
    <row r="276" spans="1:19" x14ac:dyDescent="0.25">
      <c r="A276">
        <v>404</v>
      </c>
      <c r="B276" s="144">
        <v>46087</v>
      </c>
      <c r="D276" s="165" t="s">
        <v>3650</v>
      </c>
      <c r="E276" s="165" t="s">
        <v>2111</v>
      </c>
      <c r="F276" s="165" t="s">
        <v>2395</v>
      </c>
      <c r="G276" s="165" t="s">
        <v>461</v>
      </c>
      <c r="H276" s="165" t="s">
        <v>3652</v>
      </c>
      <c r="I276" s="144">
        <v>47866</v>
      </c>
      <c r="J276">
        <v>1779</v>
      </c>
      <c r="K276" s="165" t="s">
        <v>2019</v>
      </c>
      <c r="L276" s="165" t="s">
        <v>2237</v>
      </c>
      <c r="M276" s="144">
        <v>47543</v>
      </c>
      <c r="N276" s="146">
        <v>6900</v>
      </c>
      <c r="O276">
        <v>0</v>
      </c>
      <c r="P276">
        <v>6900</v>
      </c>
      <c r="Q276" s="165" t="s">
        <v>225</v>
      </c>
      <c r="R276" s="165"/>
    </row>
    <row r="277" spans="1:19" x14ac:dyDescent="0.25">
      <c r="A277">
        <v>403</v>
      </c>
      <c r="B277" s="144">
        <v>46087</v>
      </c>
      <c r="D277" s="165" t="s">
        <v>3650</v>
      </c>
      <c r="E277" s="165" t="s">
        <v>2111</v>
      </c>
      <c r="F277" s="165" t="s">
        <v>2395</v>
      </c>
      <c r="G277" s="165" t="s">
        <v>1805</v>
      </c>
      <c r="H277" s="165" t="s">
        <v>3652</v>
      </c>
      <c r="I277" s="144">
        <v>47866</v>
      </c>
      <c r="J277">
        <v>1779</v>
      </c>
      <c r="K277" s="165" t="s">
        <v>240</v>
      </c>
      <c r="L277" s="165" t="s">
        <v>2237</v>
      </c>
      <c r="M277" s="144">
        <v>47543</v>
      </c>
      <c r="N277" s="146">
        <v>6900</v>
      </c>
      <c r="O277">
        <v>1300</v>
      </c>
      <c r="P277">
        <v>5600</v>
      </c>
      <c r="Q277" s="165" t="s">
        <v>225</v>
      </c>
      <c r="R277" s="165"/>
      <c r="S277" t="s">
        <v>263</v>
      </c>
    </row>
    <row r="278" spans="1:19" x14ac:dyDescent="0.25">
      <c r="A278">
        <v>402</v>
      </c>
      <c r="B278" s="144">
        <v>46086</v>
      </c>
      <c r="C278">
        <v>32629</v>
      </c>
      <c r="D278" s="165" t="s">
        <v>2376</v>
      </c>
      <c r="E278" s="165" t="s">
        <v>12</v>
      </c>
      <c r="F278" s="165" t="s">
        <v>274</v>
      </c>
      <c r="G278" s="165" t="s">
        <v>1224</v>
      </c>
      <c r="H278" s="165" t="s">
        <v>2377</v>
      </c>
      <c r="I278" s="144">
        <v>46292</v>
      </c>
      <c r="J278">
        <v>206</v>
      </c>
      <c r="K278" s="165" t="s">
        <v>240</v>
      </c>
      <c r="L278" s="165" t="s">
        <v>8</v>
      </c>
      <c r="M278" s="144">
        <v>46813</v>
      </c>
      <c r="N278" s="146">
        <v>9000</v>
      </c>
      <c r="O278">
        <v>1500</v>
      </c>
      <c r="P278">
        <v>7500</v>
      </c>
      <c r="Q278" s="165" t="s">
        <v>225</v>
      </c>
      <c r="R278" s="165" t="s">
        <v>3655</v>
      </c>
      <c r="S278" t="s">
        <v>241</v>
      </c>
    </row>
    <row r="279" spans="1:19" x14ac:dyDescent="0.25">
      <c r="A279">
        <v>400</v>
      </c>
      <c r="B279" s="144">
        <v>46085</v>
      </c>
      <c r="C279">
        <v>32622</v>
      </c>
      <c r="D279" s="165" t="s">
        <v>3656</v>
      </c>
      <c r="E279" s="165" t="s">
        <v>12</v>
      </c>
      <c r="F279" s="165" t="s">
        <v>258</v>
      </c>
      <c r="G279" s="165" t="s">
        <v>1355</v>
      </c>
      <c r="H279" s="165" t="s">
        <v>3657</v>
      </c>
      <c r="I279" s="144">
        <v>46636</v>
      </c>
      <c r="J279">
        <v>551</v>
      </c>
      <c r="K279" s="165" t="s">
        <v>240</v>
      </c>
      <c r="L279" s="165" t="s">
        <v>8</v>
      </c>
      <c r="M279" s="144">
        <v>47543</v>
      </c>
      <c r="N279" s="146">
        <v>2700</v>
      </c>
      <c r="O279">
        <v>2000</v>
      </c>
      <c r="P279">
        <v>700</v>
      </c>
      <c r="Q279" s="165" t="s">
        <v>225</v>
      </c>
      <c r="R279" s="165"/>
      <c r="S279" t="s">
        <v>241</v>
      </c>
    </row>
    <row r="280" spans="1:19" x14ac:dyDescent="0.25">
      <c r="A280">
        <v>399</v>
      </c>
      <c r="B280" s="144">
        <v>46085</v>
      </c>
      <c r="C280">
        <v>32612</v>
      </c>
      <c r="D280" s="165" t="s">
        <v>3658</v>
      </c>
      <c r="E280" s="165" t="s">
        <v>9</v>
      </c>
      <c r="F280" s="165" t="s">
        <v>3659</v>
      </c>
      <c r="G280" s="165" t="s">
        <v>598</v>
      </c>
      <c r="H280" s="165" t="s">
        <v>3660</v>
      </c>
      <c r="I280" s="144">
        <v>46469</v>
      </c>
      <c r="J280">
        <v>384</v>
      </c>
      <c r="K280" s="165" t="s">
        <v>2019</v>
      </c>
      <c r="L280" s="165" t="s">
        <v>8</v>
      </c>
      <c r="M280" s="144">
        <v>46813</v>
      </c>
      <c r="N280" s="146">
        <v>1700</v>
      </c>
      <c r="O280">
        <v>0</v>
      </c>
      <c r="P280">
        <v>1700</v>
      </c>
      <c r="Q280" s="165" t="s">
        <v>225</v>
      </c>
      <c r="R280" s="165"/>
    </row>
    <row r="281" spans="1:19" x14ac:dyDescent="0.25">
      <c r="A281">
        <v>398</v>
      </c>
      <c r="B281" s="144">
        <v>46085</v>
      </c>
      <c r="C281">
        <v>32612</v>
      </c>
      <c r="D281" s="165" t="s">
        <v>3658</v>
      </c>
      <c r="E281" s="165" t="s">
        <v>9</v>
      </c>
      <c r="F281" s="165" t="s">
        <v>3659</v>
      </c>
      <c r="G281" s="165" t="s">
        <v>1614</v>
      </c>
      <c r="H281" s="165" t="s">
        <v>3660</v>
      </c>
      <c r="I281" s="144">
        <v>46469</v>
      </c>
      <c r="J281">
        <v>384</v>
      </c>
      <c r="K281" s="165" t="s">
        <v>240</v>
      </c>
      <c r="L281" s="165" t="s">
        <v>8</v>
      </c>
      <c r="M281" s="144">
        <v>46813</v>
      </c>
      <c r="N281" s="146">
        <v>1700</v>
      </c>
      <c r="O281">
        <v>1100</v>
      </c>
      <c r="P281">
        <v>600</v>
      </c>
      <c r="Q281" s="165" t="s">
        <v>225</v>
      </c>
      <c r="R281" s="165"/>
      <c r="S281" t="s">
        <v>3466</v>
      </c>
    </row>
    <row r="282" spans="1:19" x14ac:dyDescent="0.25">
      <c r="A282">
        <v>397</v>
      </c>
      <c r="B282" s="144">
        <v>46085</v>
      </c>
      <c r="C282">
        <v>32649</v>
      </c>
      <c r="D282" s="165" t="s">
        <v>2343</v>
      </c>
      <c r="E282" s="165" t="s">
        <v>15</v>
      </c>
      <c r="F282" s="165" t="s">
        <v>299</v>
      </c>
      <c r="G282" s="165" t="s">
        <v>1693</v>
      </c>
      <c r="H282" s="165" t="s">
        <v>3648</v>
      </c>
      <c r="I282" s="144">
        <v>46523</v>
      </c>
      <c r="J282">
        <v>438</v>
      </c>
      <c r="K282" s="165" t="s">
        <v>2019</v>
      </c>
      <c r="L282" s="165" t="s">
        <v>8</v>
      </c>
      <c r="M282" s="144">
        <v>46813</v>
      </c>
      <c r="N282" s="146">
        <v>2419</v>
      </c>
      <c r="O282">
        <v>0</v>
      </c>
      <c r="P282">
        <v>2419</v>
      </c>
      <c r="Q282" s="165" t="s">
        <v>225</v>
      </c>
      <c r="R282" s="165"/>
    </row>
    <row r="283" spans="1:19" x14ac:dyDescent="0.25">
      <c r="A283">
        <v>396</v>
      </c>
      <c r="B283" s="144">
        <v>46085</v>
      </c>
      <c r="C283">
        <v>32619</v>
      </c>
      <c r="D283" s="165" t="s">
        <v>3661</v>
      </c>
      <c r="E283" s="165" t="s">
        <v>12</v>
      </c>
      <c r="F283" s="165" t="s">
        <v>2293</v>
      </c>
      <c r="G283" s="165" t="s">
        <v>713</v>
      </c>
      <c r="H283" s="165" t="s">
        <v>3662</v>
      </c>
      <c r="I283" s="144">
        <v>47856</v>
      </c>
      <c r="J283">
        <v>1771</v>
      </c>
      <c r="K283" s="165" t="s">
        <v>2019</v>
      </c>
      <c r="L283" s="165" t="s">
        <v>8</v>
      </c>
      <c r="M283" s="144">
        <v>47543</v>
      </c>
      <c r="N283" s="146">
        <v>8500</v>
      </c>
      <c r="O283">
        <v>0</v>
      </c>
      <c r="P283">
        <v>8500</v>
      </c>
      <c r="Q283" s="165" t="s">
        <v>225</v>
      </c>
      <c r="R283" s="165"/>
    </row>
    <row r="284" spans="1:19" x14ac:dyDescent="0.25">
      <c r="A284">
        <v>395</v>
      </c>
      <c r="B284" s="144">
        <v>46085</v>
      </c>
      <c r="C284">
        <v>32619</v>
      </c>
      <c r="D284" s="165" t="s">
        <v>3661</v>
      </c>
      <c r="E284" s="165" t="s">
        <v>12</v>
      </c>
      <c r="F284" s="165" t="s">
        <v>2293</v>
      </c>
      <c r="G284" s="165" t="s">
        <v>3327</v>
      </c>
      <c r="H284" s="165" t="s">
        <v>3662</v>
      </c>
      <c r="I284" s="144">
        <v>47856</v>
      </c>
      <c r="J284">
        <v>1771</v>
      </c>
      <c r="K284" s="165" t="s">
        <v>240</v>
      </c>
      <c r="L284" s="165" t="s">
        <v>8</v>
      </c>
      <c r="M284" s="144">
        <v>47543</v>
      </c>
      <c r="N284" s="146">
        <v>8500</v>
      </c>
      <c r="O284">
        <v>0</v>
      </c>
      <c r="P284">
        <v>8500</v>
      </c>
      <c r="Q284" s="165" t="s">
        <v>225</v>
      </c>
      <c r="R284" s="165"/>
      <c r="S284" t="s">
        <v>263</v>
      </c>
    </row>
    <row r="285" spans="1:19" x14ac:dyDescent="0.25">
      <c r="A285">
        <v>394</v>
      </c>
      <c r="B285" s="144">
        <v>46085</v>
      </c>
      <c r="C285">
        <v>32673</v>
      </c>
      <c r="D285" s="165" t="s">
        <v>3663</v>
      </c>
      <c r="E285" s="165" t="s">
        <v>11</v>
      </c>
      <c r="F285" s="165" t="s">
        <v>258</v>
      </c>
      <c r="G285" s="165" t="s">
        <v>624</v>
      </c>
      <c r="H285" s="165" t="s">
        <v>3664</v>
      </c>
      <c r="I285" s="144">
        <v>46034</v>
      </c>
      <c r="J285">
        <v>-51</v>
      </c>
      <c r="K285" s="165" t="s">
        <v>2019</v>
      </c>
      <c r="L285" s="165" t="s">
        <v>8</v>
      </c>
      <c r="M285" s="144">
        <v>47543</v>
      </c>
      <c r="N285" s="146">
        <v>4500</v>
      </c>
      <c r="O285">
        <v>0</v>
      </c>
      <c r="P285">
        <v>4500</v>
      </c>
      <c r="Q285" s="165" t="s">
        <v>225</v>
      </c>
      <c r="R285" s="165"/>
    </row>
    <row r="286" spans="1:19" x14ac:dyDescent="0.25">
      <c r="A286">
        <v>393</v>
      </c>
      <c r="B286" s="144">
        <v>46085</v>
      </c>
      <c r="C286">
        <v>32673</v>
      </c>
      <c r="D286" s="165" t="s">
        <v>3663</v>
      </c>
      <c r="E286" s="165" t="s">
        <v>11</v>
      </c>
      <c r="F286" s="165" t="s">
        <v>258</v>
      </c>
      <c r="G286" s="165" t="s">
        <v>1260</v>
      </c>
      <c r="H286" s="165" t="s">
        <v>3664</v>
      </c>
      <c r="I286" s="144">
        <v>46034</v>
      </c>
      <c r="J286">
        <v>-51</v>
      </c>
      <c r="K286" s="165" t="s">
        <v>240</v>
      </c>
      <c r="L286" s="165" t="s">
        <v>8</v>
      </c>
      <c r="M286" s="144">
        <v>47543</v>
      </c>
      <c r="N286" s="146">
        <v>4500</v>
      </c>
      <c r="O286">
        <v>0</v>
      </c>
      <c r="P286">
        <v>4500</v>
      </c>
      <c r="Q286" s="165" t="s">
        <v>225</v>
      </c>
      <c r="R286" s="165"/>
      <c r="S286" t="s">
        <v>241</v>
      </c>
    </row>
    <row r="287" spans="1:19" x14ac:dyDescent="0.25">
      <c r="A287">
        <v>392</v>
      </c>
      <c r="B287" s="144">
        <v>46085</v>
      </c>
      <c r="C287">
        <v>32672</v>
      </c>
      <c r="D287" s="165" t="s">
        <v>3663</v>
      </c>
      <c r="E287" s="165" t="s">
        <v>11</v>
      </c>
      <c r="F287" s="165" t="s">
        <v>258</v>
      </c>
      <c r="G287" s="165" t="s">
        <v>624</v>
      </c>
      <c r="H287" s="165" t="s">
        <v>3664</v>
      </c>
      <c r="I287" s="144">
        <v>46034</v>
      </c>
      <c r="J287">
        <v>-51</v>
      </c>
      <c r="K287" s="165" t="s">
        <v>2019</v>
      </c>
      <c r="L287" s="165" t="s">
        <v>8</v>
      </c>
      <c r="M287" s="144">
        <v>47543</v>
      </c>
      <c r="N287" s="146">
        <v>3000</v>
      </c>
      <c r="O287">
        <v>0</v>
      </c>
      <c r="P287">
        <v>3000</v>
      </c>
      <c r="Q287" s="165" t="s">
        <v>225</v>
      </c>
      <c r="R287" s="165"/>
    </row>
    <row r="288" spans="1:19" x14ac:dyDescent="0.25">
      <c r="A288">
        <v>391</v>
      </c>
      <c r="B288" s="144">
        <v>46085</v>
      </c>
      <c r="C288">
        <v>32672</v>
      </c>
      <c r="D288" s="165" t="s">
        <v>3663</v>
      </c>
      <c r="E288" s="165" t="s">
        <v>11</v>
      </c>
      <c r="F288" s="165" t="s">
        <v>258</v>
      </c>
      <c r="G288" s="165" t="s">
        <v>1260</v>
      </c>
      <c r="H288" s="165" t="s">
        <v>3664</v>
      </c>
      <c r="I288" s="144">
        <v>46034</v>
      </c>
      <c r="J288">
        <v>-51</v>
      </c>
      <c r="K288" s="165" t="s">
        <v>240</v>
      </c>
      <c r="L288" s="165" t="s">
        <v>8</v>
      </c>
      <c r="M288" s="144">
        <v>47543</v>
      </c>
      <c r="N288" s="146">
        <v>3000</v>
      </c>
      <c r="O288">
        <v>200</v>
      </c>
      <c r="P288">
        <v>2800</v>
      </c>
      <c r="Q288" s="165" t="s">
        <v>225</v>
      </c>
      <c r="R288" s="165"/>
      <c r="S288" t="s">
        <v>241</v>
      </c>
    </row>
    <row r="289" spans="1:19" x14ac:dyDescent="0.25">
      <c r="A289">
        <v>390</v>
      </c>
      <c r="B289" s="144">
        <v>46085</v>
      </c>
      <c r="C289">
        <v>32656</v>
      </c>
      <c r="D289" s="165" t="s">
        <v>3625</v>
      </c>
      <c r="E289" s="165" t="s">
        <v>11</v>
      </c>
      <c r="F289" s="165" t="s">
        <v>255</v>
      </c>
      <c r="G289" s="165" t="s">
        <v>540</v>
      </c>
      <c r="H289" s="165" t="s">
        <v>3626</v>
      </c>
      <c r="I289" s="144">
        <v>46239</v>
      </c>
      <c r="J289">
        <v>154</v>
      </c>
      <c r="K289" s="165" t="s">
        <v>2019</v>
      </c>
      <c r="L289" s="165" t="s">
        <v>8</v>
      </c>
      <c r="M289" s="144">
        <v>46813</v>
      </c>
      <c r="N289" s="146">
        <v>2333</v>
      </c>
      <c r="O289">
        <v>0</v>
      </c>
      <c r="P289">
        <v>2333</v>
      </c>
      <c r="Q289" s="165" t="s">
        <v>225</v>
      </c>
      <c r="R289" s="165"/>
    </row>
    <row r="290" spans="1:19" x14ac:dyDescent="0.25">
      <c r="A290">
        <v>389</v>
      </c>
      <c r="B290" s="144">
        <v>46085</v>
      </c>
      <c r="C290">
        <v>32656</v>
      </c>
      <c r="D290" s="165" t="s">
        <v>3625</v>
      </c>
      <c r="E290" s="165" t="s">
        <v>11</v>
      </c>
      <c r="F290" s="165" t="s">
        <v>255</v>
      </c>
      <c r="G290" s="165" t="s">
        <v>1122</v>
      </c>
      <c r="H290" s="165" t="s">
        <v>3626</v>
      </c>
      <c r="I290" s="144">
        <v>46239</v>
      </c>
      <c r="J290">
        <v>154</v>
      </c>
      <c r="K290" s="165" t="s">
        <v>240</v>
      </c>
      <c r="L290" s="165" t="s">
        <v>8</v>
      </c>
      <c r="M290" s="144">
        <v>46813</v>
      </c>
      <c r="N290" s="146">
        <v>2333</v>
      </c>
      <c r="O290">
        <v>0</v>
      </c>
      <c r="P290">
        <v>2333</v>
      </c>
      <c r="Q290" s="165" t="s">
        <v>225</v>
      </c>
      <c r="R290" s="165"/>
      <c r="S290" t="s">
        <v>241</v>
      </c>
    </row>
    <row r="291" spans="1:19" x14ac:dyDescent="0.25">
      <c r="A291">
        <v>388</v>
      </c>
      <c r="B291" s="144">
        <v>46085</v>
      </c>
      <c r="C291">
        <v>32655</v>
      </c>
      <c r="D291" s="165" t="s">
        <v>3625</v>
      </c>
      <c r="E291" s="165" t="s">
        <v>11</v>
      </c>
      <c r="F291" s="165" t="s">
        <v>274</v>
      </c>
      <c r="G291" s="165" t="s">
        <v>540</v>
      </c>
      <c r="H291" s="165" t="s">
        <v>3626</v>
      </c>
      <c r="I291" s="144">
        <v>46239</v>
      </c>
      <c r="J291">
        <v>154</v>
      </c>
      <c r="K291" s="165" t="s">
        <v>2019</v>
      </c>
      <c r="L291" s="165" t="s">
        <v>8</v>
      </c>
      <c r="M291" s="144">
        <v>46813</v>
      </c>
      <c r="N291" s="146">
        <v>267</v>
      </c>
      <c r="O291">
        <v>0</v>
      </c>
      <c r="P291">
        <v>267</v>
      </c>
      <c r="Q291" s="165" t="s">
        <v>225</v>
      </c>
      <c r="R291" s="165"/>
    </row>
    <row r="292" spans="1:19" x14ac:dyDescent="0.25">
      <c r="A292">
        <v>387</v>
      </c>
      <c r="B292" s="144">
        <v>46085</v>
      </c>
      <c r="C292">
        <v>32655</v>
      </c>
      <c r="D292" s="165" t="s">
        <v>3625</v>
      </c>
      <c r="E292" s="165" t="s">
        <v>11</v>
      </c>
      <c r="F292" s="165" t="s">
        <v>274</v>
      </c>
      <c r="G292" s="165" t="s">
        <v>1120</v>
      </c>
      <c r="H292" s="165" t="s">
        <v>3626</v>
      </c>
      <c r="I292" s="144">
        <v>46239</v>
      </c>
      <c r="J292">
        <v>154</v>
      </c>
      <c r="K292" s="165" t="s">
        <v>240</v>
      </c>
      <c r="L292" s="165" t="s">
        <v>8</v>
      </c>
      <c r="M292" s="144">
        <v>46813</v>
      </c>
      <c r="N292" s="146">
        <v>267</v>
      </c>
      <c r="O292">
        <v>150</v>
      </c>
      <c r="P292">
        <v>117</v>
      </c>
      <c r="Q292" s="165" t="s">
        <v>225</v>
      </c>
      <c r="R292" s="165"/>
      <c r="S292" t="s">
        <v>241</v>
      </c>
    </row>
    <row r="293" spans="1:19" x14ac:dyDescent="0.25">
      <c r="A293">
        <v>386</v>
      </c>
      <c r="B293" s="144">
        <v>46085</v>
      </c>
      <c r="C293">
        <v>32650</v>
      </c>
      <c r="D293" s="165" t="s">
        <v>3665</v>
      </c>
      <c r="E293" s="165" t="s">
        <v>15</v>
      </c>
      <c r="F293" s="165" t="s">
        <v>247</v>
      </c>
      <c r="G293" s="165" t="s">
        <v>576</v>
      </c>
      <c r="H293" s="165" t="s">
        <v>3666</v>
      </c>
      <c r="I293" s="144">
        <v>46125</v>
      </c>
      <c r="J293">
        <v>40</v>
      </c>
      <c r="K293" s="165" t="s">
        <v>2016</v>
      </c>
      <c r="L293" s="165" t="s">
        <v>8</v>
      </c>
      <c r="M293" s="144">
        <v>46813</v>
      </c>
      <c r="N293" s="146">
        <v>1500</v>
      </c>
      <c r="O293">
        <v>0</v>
      </c>
      <c r="P293">
        <v>1500</v>
      </c>
      <c r="Q293" s="165" t="s">
        <v>225</v>
      </c>
      <c r="R293" s="165"/>
    </row>
    <row r="294" spans="1:19" x14ac:dyDescent="0.25">
      <c r="A294">
        <v>385</v>
      </c>
      <c r="B294" s="144">
        <v>46085</v>
      </c>
      <c r="C294">
        <v>32650</v>
      </c>
      <c r="D294" s="165" t="s">
        <v>3665</v>
      </c>
      <c r="E294" s="165" t="s">
        <v>15</v>
      </c>
      <c r="F294" s="165" t="s">
        <v>247</v>
      </c>
      <c r="G294" s="165" t="s">
        <v>458</v>
      </c>
      <c r="H294" s="165" t="s">
        <v>3666</v>
      </c>
      <c r="I294" s="144">
        <v>46125</v>
      </c>
      <c r="J294">
        <v>40</v>
      </c>
      <c r="K294" s="165" t="s">
        <v>2019</v>
      </c>
      <c r="L294" s="165" t="s">
        <v>8</v>
      </c>
      <c r="M294" s="144">
        <v>46813</v>
      </c>
      <c r="N294" s="146">
        <v>1500</v>
      </c>
      <c r="O294">
        <v>0</v>
      </c>
      <c r="P294">
        <v>1500</v>
      </c>
      <c r="Q294" s="165" t="s">
        <v>225</v>
      </c>
      <c r="R294" s="165"/>
    </row>
    <row r="295" spans="1:19" x14ac:dyDescent="0.25">
      <c r="A295">
        <v>384</v>
      </c>
      <c r="B295" s="144">
        <v>46085</v>
      </c>
      <c r="C295">
        <v>32650</v>
      </c>
      <c r="D295" s="165" t="s">
        <v>3665</v>
      </c>
      <c r="E295" s="165" t="s">
        <v>15</v>
      </c>
      <c r="F295" s="165" t="s">
        <v>247</v>
      </c>
      <c r="G295" s="165" t="s">
        <v>3982</v>
      </c>
      <c r="H295" s="165" t="s">
        <v>3666</v>
      </c>
      <c r="I295" s="144">
        <v>46125</v>
      </c>
      <c r="J295">
        <v>40</v>
      </c>
      <c r="K295" s="165" t="s">
        <v>240</v>
      </c>
      <c r="L295" s="165" t="s">
        <v>8</v>
      </c>
      <c r="M295" s="144">
        <v>46813</v>
      </c>
      <c r="N295" s="146">
        <v>1500</v>
      </c>
      <c r="O295">
        <v>0</v>
      </c>
      <c r="P295">
        <v>1500</v>
      </c>
      <c r="Q295" s="165" t="s">
        <v>225</v>
      </c>
      <c r="R295" s="165"/>
      <c r="S295" t="s">
        <v>269</v>
      </c>
    </row>
    <row r="296" spans="1:19" x14ac:dyDescent="0.25">
      <c r="A296">
        <v>383</v>
      </c>
      <c r="B296" s="144">
        <v>46085</v>
      </c>
      <c r="C296">
        <v>32611</v>
      </c>
      <c r="D296" s="165" t="s">
        <v>3667</v>
      </c>
      <c r="E296" s="165" t="s">
        <v>2183</v>
      </c>
      <c r="F296" s="165" t="s">
        <v>2422</v>
      </c>
      <c r="G296" s="165" t="s">
        <v>512</v>
      </c>
      <c r="H296" s="165" t="s">
        <v>3668</v>
      </c>
      <c r="I296" s="144">
        <v>47046</v>
      </c>
      <c r="J296">
        <v>961</v>
      </c>
      <c r="K296" s="165" t="s">
        <v>2019</v>
      </c>
      <c r="L296" s="165" t="s">
        <v>8</v>
      </c>
      <c r="M296" s="144">
        <v>47543</v>
      </c>
      <c r="N296" s="146">
        <v>6000</v>
      </c>
      <c r="O296">
        <v>0</v>
      </c>
      <c r="P296">
        <v>6000</v>
      </c>
      <c r="Q296" s="165" t="s">
        <v>225</v>
      </c>
      <c r="R296" s="165"/>
    </row>
    <row r="297" spans="1:19" x14ac:dyDescent="0.25">
      <c r="A297">
        <v>382</v>
      </c>
      <c r="B297" s="144">
        <v>46085</v>
      </c>
      <c r="C297">
        <v>32611</v>
      </c>
      <c r="D297" s="165" t="s">
        <v>3667</v>
      </c>
      <c r="E297" s="165" t="s">
        <v>2183</v>
      </c>
      <c r="F297" s="165" t="s">
        <v>2422</v>
      </c>
      <c r="G297" s="165" t="s">
        <v>1079</v>
      </c>
      <c r="H297" s="165" t="s">
        <v>3668</v>
      </c>
      <c r="I297" s="144">
        <v>47046</v>
      </c>
      <c r="J297">
        <v>961</v>
      </c>
      <c r="K297" s="165" t="s">
        <v>240</v>
      </c>
      <c r="L297" s="165" t="s">
        <v>8</v>
      </c>
      <c r="M297" s="144">
        <v>47543</v>
      </c>
      <c r="N297" s="146">
        <v>6000</v>
      </c>
      <c r="O297">
        <v>100</v>
      </c>
      <c r="P297">
        <v>5900</v>
      </c>
      <c r="Q297" s="165" t="s">
        <v>225</v>
      </c>
      <c r="R297" s="165"/>
      <c r="S297" t="s">
        <v>251</v>
      </c>
    </row>
    <row r="298" spans="1:19" x14ac:dyDescent="0.25">
      <c r="A298">
        <v>381</v>
      </c>
      <c r="B298" s="144">
        <v>46085</v>
      </c>
      <c r="C298">
        <v>32623</v>
      </c>
      <c r="D298" s="165" t="s">
        <v>3656</v>
      </c>
      <c r="E298" s="165" t="s">
        <v>12</v>
      </c>
      <c r="F298" s="165" t="s">
        <v>2049</v>
      </c>
      <c r="G298" s="165" t="s">
        <v>679</v>
      </c>
      <c r="H298" s="165" t="s">
        <v>3657</v>
      </c>
      <c r="I298" s="144">
        <v>46636</v>
      </c>
      <c r="J298">
        <v>551</v>
      </c>
      <c r="K298" s="165" t="s">
        <v>2019</v>
      </c>
      <c r="L298" s="165" t="s">
        <v>8</v>
      </c>
      <c r="M298" s="144">
        <v>47543</v>
      </c>
      <c r="N298" s="146">
        <v>6500</v>
      </c>
      <c r="O298">
        <v>0</v>
      </c>
      <c r="P298">
        <v>6500</v>
      </c>
      <c r="Q298" s="165" t="s">
        <v>225</v>
      </c>
      <c r="R298" s="165"/>
    </row>
    <row r="299" spans="1:19" x14ac:dyDescent="0.25">
      <c r="A299">
        <v>380</v>
      </c>
      <c r="B299" s="144">
        <v>46085</v>
      </c>
      <c r="C299">
        <v>32623</v>
      </c>
      <c r="D299" s="165" t="s">
        <v>3656</v>
      </c>
      <c r="E299" s="165" t="s">
        <v>12</v>
      </c>
      <c r="F299" s="165" t="s">
        <v>2049</v>
      </c>
      <c r="G299" s="165" t="s">
        <v>1759</v>
      </c>
      <c r="H299" s="165" t="s">
        <v>3657</v>
      </c>
      <c r="I299" s="144">
        <v>46636</v>
      </c>
      <c r="J299">
        <v>551</v>
      </c>
      <c r="K299" s="165" t="s">
        <v>240</v>
      </c>
      <c r="L299" s="165" t="s">
        <v>8</v>
      </c>
      <c r="M299" s="144">
        <v>47543</v>
      </c>
      <c r="N299" s="146">
        <v>6500</v>
      </c>
      <c r="O299">
        <v>2100</v>
      </c>
      <c r="P299">
        <v>4400</v>
      </c>
      <c r="Q299" s="165" t="s">
        <v>225</v>
      </c>
      <c r="R299" s="165"/>
      <c r="S299" t="s">
        <v>241</v>
      </c>
    </row>
    <row r="300" spans="1:19" x14ac:dyDescent="0.25">
      <c r="A300">
        <v>379</v>
      </c>
      <c r="B300" s="144">
        <v>46085</v>
      </c>
      <c r="C300">
        <v>32635</v>
      </c>
      <c r="D300" s="165" t="s">
        <v>295</v>
      </c>
      <c r="E300" s="165" t="s">
        <v>106</v>
      </c>
      <c r="F300" s="165" t="s">
        <v>250</v>
      </c>
      <c r="G300" s="165" t="s">
        <v>632</v>
      </c>
      <c r="H300" s="165" t="s">
        <v>297</v>
      </c>
      <c r="I300" s="144">
        <v>46063</v>
      </c>
      <c r="J300">
        <v>-22</v>
      </c>
      <c r="K300" s="165" t="s">
        <v>2019</v>
      </c>
      <c r="L300" s="165" t="s">
        <v>102</v>
      </c>
      <c r="M300" s="144">
        <v>47543</v>
      </c>
      <c r="N300" s="146">
        <v>5000</v>
      </c>
      <c r="O300">
        <v>0</v>
      </c>
      <c r="P300">
        <v>5000</v>
      </c>
      <c r="Q300" s="165" t="s">
        <v>225</v>
      </c>
      <c r="R300" s="165" t="s">
        <v>2958</v>
      </c>
    </row>
    <row r="301" spans="1:19" x14ac:dyDescent="0.25">
      <c r="A301">
        <v>378</v>
      </c>
      <c r="B301" s="144">
        <v>46085</v>
      </c>
      <c r="C301">
        <v>32635</v>
      </c>
      <c r="D301" s="165" t="s">
        <v>295</v>
      </c>
      <c r="E301" s="165" t="s">
        <v>106</v>
      </c>
      <c r="F301" s="165" t="s">
        <v>250</v>
      </c>
      <c r="G301" s="165" t="s">
        <v>2803</v>
      </c>
      <c r="H301" s="165" t="s">
        <v>297</v>
      </c>
      <c r="I301" s="144">
        <v>46063</v>
      </c>
      <c r="J301">
        <v>-22</v>
      </c>
      <c r="K301" s="165" t="s">
        <v>240</v>
      </c>
      <c r="L301" s="165" t="s">
        <v>102</v>
      </c>
      <c r="M301" s="144">
        <v>47543</v>
      </c>
      <c r="N301" s="146">
        <v>5000</v>
      </c>
      <c r="O301">
        <v>1800</v>
      </c>
      <c r="P301">
        <v>3200</v>
      </c>
      <c r="Q301" s="165" t="s">
        <v>225</v>
      </c>
      <c r="R301" s="165" t="s">
        <v>2958</v>
      </c>
      <c r="S301" t="s">
        <v>251</v>
      </c>
    </row>
    <row r="302" spans="1:19" x14ac:dyDescent="0.25">
      <c r="A302">
        <v>377</v>
      </c>
      <c r="B302" s="144">
        <v>46085</v>
      </c>
      <c r="C302">
        <v>32608</v>
      </c>
      <c r="D302" s="165" t="s">
        <v>3669</v>
      </c>
      <c r="E302" s="165" t="s">
        <v>9</v>
      </c>
      <c r="F302" s="165" t="s">
        <v>2419</v>
      </c>
      <c r="G302" s="165" t="s">
        <v>1057</v>
      </c>
      <c r="H302" s="165" t="s">
        <v>3670</v>
      </c>
      <c r="I302" s="144">
        <v>47870</v>
      </c>
      <c r="J302">
        <v>1785</v>
      </c>
      <c r="K302" s="165" t="s">
        <v>262</v>
      </c>
      <c r="L302" s="165" t="s">
        <v>2234</v>
      </c>
      <c r="M302" s="144">
        <v>46813</v>
      </c>
      <c r="N302" s="146">
        <v>8500</v>
      </c>
      <c r="O302">
        <v>2800</v>
      </c>
      <c r="P302">
        <v>5700</v>
      </c>
      <c r="Q302" s="165" t="s">
        <v>225</v>
      </c>
      <c r="R302" s="165"/>
      <c r="S302" t="s">
        <v>2206</v>
      </c>
    </row>
    <row r="303" spans="1:19" x14ac:dyDescent="0.25">
      <c r="A303">
        <v>376</v>
      </c>
      <c r="B303" s="144">
        <v>46085</v>
      </c>
      <c r="C303">
        <v>32607</v>
      </c>
      <c r="D303" s="165" t="s">
        <v>3669</v>
      </c>
      <c r="E303" s="165" t="s">
        <v>9</v>
      </c>
      <c r="F303" s="165" t="s">
        <v>3671</v>
      </c>
      <c r="G303" s="165" t="s">
        <v>496</v>
      </c>
      <c r="H303" s="165" t="s">
        <v>3670</v>
      </c>
      <c r="I303" s="144">
        <v>47870</v>
      </c>
      <c r="J303">
        <v>1785</v>
      </c>
      <c r="K303" s="165" t="s">
        <v>2019</v>
      </c>
      <c r="L303" s="165" t="s">
        <v>2237</v>
      </c>
      <c r="M303" s="144">
        <v>46813</v>
      </c>
      <c r="N303" s="146">
        <v>5510</v>
      </c>
      <c r="O303">
        <v>0</v>
      </c>
      <c r="P303">
        <v>5510</v>
      </c>
      <c r="Q303" s="165" t="s">
        <v>225</v>
      </c>
      <c r="R303" s="165"/>
    </row>
    <row r="304" spans="1:19" x14ac:dyDescent="0.25">
      <c r="A304">
        <v>375</v>
      </c>
      <c r="B304" s="144">
        <v>46085</v>
      </c>
      <c r="C304">
        <v>32607</v>
      </c>
      <c r="D304" s="165" t="s">
        <v>3669</v>
      </c>
      <c r="E304" s="165" t="s">
        <v>9</v>
      </c>
      <c r="F304" s="165" t="s">
        <v>3671</v>
      </c>
      <c r="G304" s="165" t="s">
        <v>1803</v>
      </c>
      <c r="H304" s="165" t="s">
        <v>3670</v>
      </c>
      <c r="I304" s="144">
        <v>47870</v>
      </c>
      <c r="J304">
        <v>1785</v>
      </c>
      <c r="K304" s="165" t="s">
        <v>240</v>
      </c>
      <c r="L304" s="165" t="s">
        <v>2237</v>
      </c>
      <c r="M304" s="144">
        <v>46813</v>
      </c>
      <c r="N304" s="146">
        <v>5510</v>
      </c>
      <c r="O304">
        <v>5139</v>
      </c>
      <c r="P304">
        <v>371</v>
      </c>
      <c r="Q304" s="165" t="s">
        <v>225</v>
      </c>
      <c r="R304" s="165"/>
      <c r="S304" t="s">
        <v>2206</v>
      </c>
    </row>
    <row r="305" spans="1:19" x14ac:dyDescent="0.25">
      <c r="A305">
        <v>374</v>
      </c>
      <c r="B305" s="144">
        <v>46085</v>
      </c>
      <c r="D305" s="165" t="s">
        <v>3672</v>
      </c>
      <c r="E305" s="165"/>
      <c r="F305" s="165" t="s">
        <v>3673</v>
      </c>
      <c r="G305" s="165" t="s">
        <v>25</v>
      </c>
      <c r="H305" s="165"/>
      <c r="I305" s="144"/>
      <c r="K305" s="165" t="s">
        <v>3674</v>
      </c>
      <c r="L305" s="165"/>
      <c r="M305" s="144"/>
      <c r="N305" s="146">
        <v>2000</v>
      </c>
      <c r="O305">
        <v>0</v>
      </c>
      <c r="P305">
        <v>2000</v>
      </c>
      <c r="Q305" s="165" t="s">
        <v>225</v>
      </c>
      <c r="R305" s="165"/>
    </row>
    <row r="306" spans="1:19" x14ac:dyDescent="0.25">
      <c r="A306">
        <v>373</v>
      </c>
      <c r="B306" s="144">
        <v>46085</v>
      </c>
      <c r="C306">
        <v>32614</v>
      </c>
      <c r="D306" s="165" t="s">
        <v>2261</v>
      </c>
      <c r="E306" s="165" t="s">
        <v>11</v>
      </c>
      <c r="F306" s="165" t="s">
        <v>274</v>
      </c>
      <c r="G306" s="165" t="s">
        <v>638</v>
      </c>
      <c r="H306" s="165" t="s">
        <v>2262</v>
      </c>
      <c r="I306" s="144">
        <v>47022</v>
      </c>
      <c r="J306">
        <v>937</v>
      </c>
      <c r="K306" s="165" t="s">
        <v>2019</v>
      </c>
      <c r="L306" s="165" t="s">
        <v>8</v>
      </c>
      <c r="M306" s="144">
        <v>46813</v>
      </c>
      <c r="N306" s="146">
        <v>1800</v>
      </c>
      <c r="O306">
        <v>0</v>
      </c>
      <c r="P306">
        <v>1800</v>
      </c>
      <c r="Q306" s="165" t="s">
        <v>225</v>
      </c>
      <c r="R306" s="165" t="s">
        <v>3675</v>
      </c>
    </row>
    <row r="307" spans="1:19" x14ac:dyDescent="0.25">
      <c r="A307">
        <v>372</v>
      </c>
      <c r="B307" s="144">
        <v>46085</v>
      </c>
      <c r="C307">
        <v>32614</v>
      </c>
      <c r="D307" s="165" t="s">
        <v>2261</v>
      </c>
      <c r="E307" s="165" t="s">
        <v>11</v>
      </c>
      <c r="F307" s="165" t="s">
        <v>274</v>
      </c>
      <c r="G307" s="165" t="s">
        <v>1274</v>
      </c>
      <c r="H307" s="165" t="s">
        <v>2262</v>
      </c>
      <c r="I307" s="144">
        <v>47022</v>
      </c>
      <c r="J307">
        <v>937</v>
      </c>
      <c r="K307" s="165" t="s">
        <v>240</v>
      </c>
      <c r="L307" s="165" t="s">
        <v>8</v>
      </c>
      <c r="M307" s="144">
        <v>46813</v>
      </c>
      <c r="N307" s="146">
        <v>612</v>
      </c>
      <c r="O307">
        <v>0</v>
      </c>
      <c r="P307">
        <v>612</v>
      </c>
      <c r="Q307" s="165" t="s">
        <v>225</v>
      </c>
      <c r="R307" s="165" t="s">
        <v>3676</v>
      </c>
      <c r="S307" t="s">
        <v>241</v>
      </c>
    </row>
    <row r="308" spans="1:19" x14ac:dyDescent="0.25">
      <c r="A308">
        <v>371</v>
      </c>
      <c r="B308" s="144">
        <v>46085</v>
      </c>
      <c r="C308">
        <v>32633</v>
      </c>
      <c r="D308" s="165" t="s">
        <v>3677</v>
      </c>
      <c r="E308" s="165" t="s">
        <v>17</v>
      </c>
      <c r="F308" s="165" t="s">
        <v>3678</v>
      </c>
      <c r="G308" s="165" t="s">
        <v>546</v>
      </c>
      <c r="H308" s="165" t="s">
        <v>3679</v>
      </c>
      <c r="I308" s="144">
        <v>47398</v>
      </c>
      <c r="J308">
        <v>1313</v>
      </c>
      <c r="K308" s="165" t="s">
        <v>2019</v>
      </c>
      <c r="L308" s="165" t="s">
        <v>8</v>
      </c>
      <c r="M308" s="144">
        <v>46813</v>
      </c>
      <c r="N308" s="146">
        <v>12900</v>
      </c>
      <c r="O308">
        <v>0</v>
      </c>
      <c r="P308">
        <v>12900</v>
      </c>
      <c r="Q308" s="165" t="s">
        <v>225</v>
      </c>
      <c r="R308" s="165"/>
    </row>
    <row r="309" spans="1:19" x14ac:dyDescent="0.25">
      <c r="A309">
        <v>370</v>
      </c>
      <c r="B309" s="144">
        <v>46085</v>
      </c>
      <c r="C309">
        <v>32633</v>
      </c>
      <c r="D309" s="165" t="s">
        <v>3677</v>
      </c>
      <c r="E309" s="165" t="s">
        <v>17</v>
      </c>
      <c r="F309" s="165" t="s">
        <v>3678</v>
      </c>
      <c r="G309" s="165" t="s">
        <v>1138</v>
      </c>
      <c r="H309" s="165" t="s">
        <v>3679</v>
      </c>
      <c r="I309" s="144">
        <v>47398</v>
      </c>
      <c r="J309">
        <v>1313</v>
      </c>
      <c r="K309" s="165" t="s">
        <v>240</v>
      </c>
      <c r="L309" s="165" t="s">
        <v>8</v>
      </c>
      <c r="M309" s="144">
        <v>46813</v>
      </c>
      <c r="N309" s="146">
        <v>12900</v>
      </c>
      <c r="O309">
        <v>11000</v>
      </c>
      <c r="P309">
        <v>1900</v>
      </c>
      <c r="Q309" s="165" t="s">
        <v>225</v>
      </c>
      <c r="R309" s="165"/>
      <c r="S309" t="s">
        <v>263</v>
      </c>
    </row>
    <row r="310" spans="1:19" x14ac:dyDescent="0.25">
      <c r="A310">
        <v>369</v>
      </c>
      <c r="B310" s="144">
        <v>46085</v>
      </c>
      <c r="C310">
        <v>32639</v>
      </c>
      <c r="D310" s="165" t="s">
        <v>3680</v>
      </c>
      <c r="E310" s="165" t="s">
        <v>9</v>
      </c>
      <c r="F310" s="165" t="s">
        <v>3671</v>
      </c>
      <c r="G310" s="165" t="s">
        <v>506</v>
      </c>
      <c r="H310" s="165" t="s">
        <v>3681</v>
      </c>
      <c r="I310" s="144">
        <v>47422</v>
      </c>
      <c r="J310">
        <v>1337</v>
      </c>
      <c r="K310" s="165" t="s">
        <v>2019</v>
      </c>
      <c r="L310" s="165" t="s">
        <v>8</v>
      </c>
      <c r="M310" s="144">
        <v>46813</v>
      </c>
      <c r="N310" s="146">
        <v>9000</v>
      </c>
      <c r="O310">
        <v>0</v>
      </c>
      <c r="P310">
        <v>9000</v>
      </c>
      <c r="Q310" s="165" t="s">
        <v>225</v>
      </c>
      <c r="R310" s="165"/>
    </row>
    <row r="311" spans="1:19" x14ac:dyDescent="0.25">
      <c r="A311">
        <v>368</v>
      </c>
      <c r="B311" s="144">
        <v>46085</v>
      </c>
      <c r="C311">
        <v>32639</v>
      </c>
      <c r="D311" s="165" t="s">
        <v>3680</v>
      </c>
      <c r="E311" s="165" t="s">
        <v>9</v>
      </c>
      <c r="F311" s="165" t="s">
        <v>3671</v>
      </c>
      <c r="G311" s="165" t="s">
        <v>1059</v>
      </c>
      <c r="H311" s="165" t="s">
        <v>3681</v>
      </c>
      <c r="I311" s="144">
        <v>47422</v>
      </c>
      <c r="J311">
        <v>1337</v>
      </c>
      <c r="K311" s="165" t="s">
        <v>240</v>
      </c>
      <c r="L311" s="165" t="s">
        <v>8</v>
      </c>
      <c r="M311" s="144">
        <v>46813</v>
      </c>
      <c r="N311" s="146">
        <v>9000</v>
      </c>
      <c r="O311">
        <v>4600</v>
      </c>
      <c r="P311">
        <v>4400</v>
      </c>
      <c r="Q311" s="165" t="s">
        <v>225</v>
      </c>
      <c r="R311" s="165"/>
      <c r="S311" t="s">
        <v>2206</v>
      </c>
    </row>
    <row r="312" spans="1:19" x14ac:dyDescent="0.25">
      <c r="A312">
        <v>367</v>
      </c>
      <c r="B312" s="144">
        <v>46085</v>
      </c>
      <c r="C312">
        <v>32641</v>
      </c>
      <c r="D312" s="165" t="s">
        <v>3680</v>
      </c>
      <c r="E312" s="165" t="s">
        <v>9</v>
      </c>
      <c r="F312" s="165" t="s">
        <v>3682</v>
      </c>
      <c r="G312" s="165" t="s">
        <v>506</v>
      </c>
      <c r="H312" s="165" t="s">
        <v>3681</v>
      </c>
      <c r="I312" s="144">
        <v>47422</v>
      </c>
      <c r="J312">
        <v>1337</v>
      </c>
      <c r="K312" s="165" t="s">
        <v>2019</v>
      </c>
      <c r="L312" s="165" t="s">
        <v>8</v>
      </c>
      <c r="M312" s="144">
        <v>46813</v>
      </c>
      <c r="N312" s="146">
        <v>1350</v>
      </c>
      <c r="O312">
        <v>0</v>
      </c>
      <c r="P312">
        <v>1350</v>
      </c>
      <c r="Q312" s="165" t="s">
        <v>225</v>
      </c>
      <c r="R312" s="165" t="s">
        <v>3683</v>
      </c>
    </row>
    <row r="313" spans="1:19" x14ac:dyDescent="0.25">
      <c r="A313">
        <v>366</v>
      </c>
      <c r="B313" s="144">
        <v>46085</v>
      </c>
      <c r="C313">
        <v>32641</v>
      </c>
      <c r="D313" s="165" t="s">
        <v>3680</v>
      </c>
      <c r="E313" s="165" t="s">
        <v>9</v>
      </c>
      <c r="F313" s="165" t="s">
        <v>3682</v>
      </c>
      <c r="G313" s="165" t="s">
        <v>1075</v>
      </c>
      <c r="H313" s="165" t="s">
        <v>3681</v>
      </c>
      <c r="I313" s="144">
        <v>47422</v>
      </c>
      <c r="J313">
        <v>1337</v>
      </c>
      <c r="K313" s="165" t="s">
        <v>240</v>
      </c>
      <c r="L313" s="165" t="s">
        <v>8</v>
      </c>
      <c r="M313" s="144">
        <v>46813</v>
      </c>
      <c r="N313" s="146">
        <v>900</v>
      </c>
      <c r="O313">
        <v>200</v>
      </c>
      <c r="P313">
        <v>700</v>
      </c>
      <c r="Q313" s="165" t="s">
        <v>225</v>
      </c>
      <c r="R313" s="165" t="s">
        <v>3684</v>
      </c>
      <c r="S313" t="s">
        <v>2206</v>
      </c>
    </row>
    <row r="314" spans="1:19" x14ac:dyDescent="0.25">
      <c r="A314">
        <v>365</v>
      </c>
      <c r="B314" s="144">
        <v>46085</v>
      </c>
      <c r="C314">
        <v>32645</v>
      </c>
      <c r="D314" s="165" t="s">
        <v>314</v>
      </c>
      <c r="E314" s="165" t="s">
        <v>15</v>
      </c>
      <c r="F314" s="165" t="s">
        <v>247</v>
      </c>
      <c r="G314" s="165" t="s">
        <v>544</v>
      </c>
      <c r="H314" s="165" t="s">
        <v>315</v>
      </c>
      <c r="I314" s="144">
        <v>47590</v>
      </c>
      <c r="J314">
        <v>1505</v>
      </c>
      <c r="K314" s="165" t="s">
        <v>2019</v>
      </c>
      <c r="L314" s="165" t="s">
        <v>8</v>
      </c>
      <c r="M314" s="144">
        <v>46813</v>
      </c>
      <c r="N314" s="146">
        <v>7843</v>
      </c>
      <c r="O314">
        <v>0</v>
      </c>
      <c r="P314">
        <v>7843</v>
      </c>
      <c r="Q314" s="165" t="s">
        <v>225</v>
      </c>
      <c r="R314" s="165" t="s">
        <v>3685</v>
      </c>
    </row>
    <row r="315" spans="1:19" x14ac:dyDescent="0.25">
      <c r="A315">
        <v>364</v>
      </c>
      <c r="B315" s="144">
        <v>46085</v>
      </c>
      <c r="C315">
        <v>32645</v>
      </c>
      <c r="D315" s="165" t="s">
        <v>314</v>
      </c>
      <c r="E315" s="165" t="s">
        <v>15</v>
      </c>
      <c r="F315" s="165" t="s">
        <v>247</v>
      </c>
      <c r="G315" s="165" t="s">
        <v>1130</v>
      </c>
      <c r="H315" s="165" t="s">
        <v>315</v>
      </c>
      <c r="I315" s="144">
        <v>47590</v>
      </c>
      <c r="J315">
        <v>1505</v>
      </c>
      <c r="K315" s="165" t="s">
        <v>240</v>
      </c>
      <c r="L315" s="165" t="s">
        <v>8</v>
      </c>
      <c r="M315" s="144">
        <v>46813</v>
      </c>
      <c r="N315" s="146">
        <v>7843</v>
      </c>
      <c r="O315">
        <v>0</v>
      </c>
      <c r="P315">
        <v>7843</v>
      </c>
      <c r="Q315" s="165" t="s">
        <v>225</v>
      </c>
      <c r="R315" s="165" t="s">
        <v>3686</v>
      </c>
      <c r="S315" t="s">
        <v>241</v>
      </c>
    </row>
    <row r="316" spans="1:19" x14ac:dyDescent="0.25">
      <c r="A316">
        <v>363</v>
      </c>
      <c r="B316" s="144">
        <v>46085</v>
      </c>
      <c r="C316">
        <v>1326</v>
      </c>
      <c r="D316" s="165" t="s">
        <v>3687</v>
      </c>
      <c r="E316" s="165" t="s">
        <v>2059</v>
      </c>
      <c r="F316" s="165" t="s">
        <v>247</v>
      </c>
      <c r="G316" s="165" t="s">
        <v>626</v>
      </c>
      <c r="H316" s="165" t="s">
        <v>3688</v>
      </c>
      <c r="I316" s="144">
        <v>47015</v>
      </c>
      <c r="J316">
        <v>930</v>
      </c>
      <c r="K316" s="165" t="s">
        <v>2019</v>
      </c>
      <c r="L316" s="165" t="s">
        <v>8</v>
      </c>
      <c r="M316" s="144">
        <v>47543</v>
      </c>
      <c r="N316" s="146">
        <v>2941</v>
      </c>
      <c r="O316">
        <v>0</v>
      </c>
      <c r="P316">
        <v>2941</v>
      </c>
      <c r="Q316" s="165" t="s">
        <v>225</v>
      </c>
      <c r="R316" s="165" t="s">
        <v>2027</v>
      </c>
    </row>
    <row r="317" spans="1:19" x14ac:dyDescent="0.25">
      <c r="A317">
        <v>362</v>
      </c>
      <c r="B317" s="144">
        <v>46084</v>
      </c>
      <c r="C317">
        <v>32651</v>
      </c>
      <c r="D317" s="165" t="s">
        <v>2352</v>
      </c>
      <c r="E317" s="165" t="s">
        <v>12</v>
      </c>
      <c r="F317" s="165" t="s">
        <v>274</v>
      </c>
      <c r="G317" s="165" t="s">
        <v>925</v>
      </c>
      <c r="H317" s="165" t="s">
        <v>2353</v>
      </c>
      <c r="I317" s="144">
        <v>47163</v>
      </c>
      <c r="J317">
        <v>1079</v>
      </c>
      <c r="K317" s="165" t="s">
        <v>240</v>
      </c>
      <c r="L317" s="165" t="s">
        <v>8</v>
      </c>
      <c r="M317" s="144">
        <v>46813</v>
      </c>
      <c r="N317" s="146">
        <v>6000</v>
      </c>
      <c r="O317">
        <v>2700</v>
      </c>
      <c r="P317">
        <v>3300</v>
      </c>
      <c r="Q317" s="165" t="s">
        <v>225</v>
      </c>
      <c r="R317" s="165" t="s">
        <v>3649</v>
      </c>
      <c r="S317" t="s">
        <v>241</v>
      </c>
    </row>
    <row r="318" spans="1:19" x14ac:dyDescent="0.25">
      <c r="A318">
        <v>361</v>
      </c>
      <c r="B318" s="144">
        <v>46084</v>
      </c>
      <c r="C318">
        <v>32659</v>
      </c>
      <c r="D318" s="165" t="s">
        <v>3492</v>
      </c>
      <c r="E318" s="165" t="s">
        <v>12</v>
      </c>
      <c r="F318" s="165" t="s">
        <v>274</v>
      </c>
      <c r="G318" s="165" t="s">
        <v>1272</v>
      </c>
      <c r="H318" s="165" t="s">
        <v>3493</v>
      </c>
      <c r="I318" s="144">
        <v>46006</v>
      </c>
      <c r="J318">
        <v>-78</v>
      </c>
      <c r="K318" s="165" t="s">
        <v>240</v>
      </c>
      <c r="L318" s="165" t="s">
        <v>8</v>
      </c>
      <c r="M318" s="144">
        <v>46813</v>
      </c>
      <c r="N318" s="146">
        <v>2400</v>
      </c>
      <c r="O318">
        <v>330</v>
      </c>
      <c r="P318">
        <v>2070</v>
      </c>
      <c r="Q318" s="165" t="s">
        <v>225</v>
      </c>
      <c r="R318" s="165"/>
      <c r="S318" t="s">
        <v>241</v>
      </c>
    </row>
    <row r="319" spans="1:19" x14ac:dyDescent="0.25">
      <c r="A319">
        <v>360</v>
      </c>
      <c r="B319" s="144">
        <v>46084</v>
      </c>
      <c r="C319">
        <v>32662</v>
      </c>
      <c r="D319" s="165" t="s">
        <v>3689</v>
      </c>
      <c r="E319" s="165" t="s">
        <v>12</v>
      </c>
      <c r="F319" s="165" t="s">
        <v>274</v>
      </c>
      <c r="G319" s="165" t="s">
        <v>618</v>
      </c>
      <c r="H319" s="165" t="s">
        <v>3690</v>
      </c>
      <c r="I319" s="144">
        <v>47881</v>
      </c>
      <c r="J319">
        <v>1797</v>
      </c>
      <c r="K319" s="165" t="s">
        <v>2019</v>
      </c>
      <c r="L319" s="165" t="s">
        <v>8</v>
      </c>
      <c r="M319" s="144">
        <v>46813</v>
      </c>
      <c r="N319" s="146">
        <v>4400</v>
      </c>
      <c r="O319">
        <v>0</v>
      </c>
      <c r="P319">
        <v>4400</v>
      </c>
      <c r="Q319" s="165" t="s">
        <v>225</v>
      </c>
      <c r="R319" s="165"/>
    </row>
    <row r="320" spans="1:19" x14ac:dyDescent="0.25">
      <c r="A320">
        <v>359</v>
      </c>
      <c r="B320" s="144">
        <v>46084</v>
      </c>
      <c r="C320">
        <v>32662</v>
      </c>
      <c r="D320" s="165" t="s">
        <v>3689</v>
      </c>
      <c r="E320" s="165" t="s">
        <v>12</v>
      </c>
      <c r="F320" s="165" t="s">
        <v>274</v>
      </c>
      <c r="G320" s="165" t="s">
        <v>1722</v>
      </c>
      <c r="H320" s="165" t="s">
        <v>3690</v>
      </c>
      <c r="I320" s="144">
        <v>47881</v>
      </c>
      <c r="J320">
        <v>1797</v>
      </c>
      <c r="K320" s="165" t="s">
        <v>240</v>
      </c>
      <c r="L320" s="165" t="s">
        <v>8</v>
      </c>
      <c r="M320" s="144">
        <v>46813</v>
      </c>
      <c r="N320" s="146">
        <v>4400</v>
      </c>
      <c r="O320">
        <v>900</v>
      </c>
      <c r="P320">
        <v>3500</v>
      </c>
      <c r="Q320" s="165" t="s">
        <v>225</v>
      </c>
      <c r="R320" s="165" t="s">
        <v>3691</v>
      </c>
      <c r="S320" t="s">
        <v>241</v>
      </c>
    </row>
    <row r="321" spans="1:19" x14ac:dyDescent="0.25">
      <c r="A321">
        <v>358</v>
      </c>
      <c r="B321" s="144">
        <v>46084</v>
      </c>
      <c r="C321">
        <v>32670</v>
      </c>
      <c r="D321" s="165" t="s">
        <v>2449</v>
      </c>
      <c r="E321" s="165" t="s">
        <v>12</v>
      </c>
      <c r="F321" s="165" t="s">
        <v>274</v>
      </c>
      <c r="G321" s="165" t="s">
        <v>805</v>
      </c>
      <c r="H321" s="165" t="s">
        <v>2450</v>
      </c>
      <c r="I321" s="144">
        <v>46208</v>
      </c>
      <c r="J321">
        <v>124</v>
      </c>
      <c r="K321" s="165" t="s">
        <v>240</v>
      </c>
      <c r="L321" s="165" t="s">
        <v>2085</v>
      </c>
      <c r="M321" s="144">
        <v>0</v>
      </c>
      <c r="N321" s="146">
        <v>600</v>
      </c>
      <c r="O321">
        <v>100</v>
      </c>
      <c r="P321">
        <v>500</v>
      </c>
      <c r="Q321" s="165" t="s">
        <v>225</v>
      </c>
      <c r="R321" s="165" t="s">
        <v>3692</v>
      </c>
      <c r="S321" t="s">
        <v>241</v>
      </c>
    </row>
    <row r="322" spans="1:19" x14ac:dyDescent="0.25">
      <c r="A322">
        <v>357</v>
      </c>
      <c r="B322" s="144">
        <v>46084</v>
      </c>
      <c r="C322">
        <v>32625</v>
      </c>
      <c r="D322" s="165" t="s">
        <v>2376</v>
      </c>
      <c r="E322" s="165" t="s">
        <v>12</v>
      </c>
      <c r="F322" s="165" t="s">
        <v>274</v>
      </c>
      <c r="G322" s="165" t="s">
        <v>608</v>
      </c>
      <c r="H322" s="165" t="s">
        <v>2377</v>
      </c>
      <c r="I322" s="144">
        <v>46292</v>
      </c>
      <c r="J322">
        <v>208</v>
      </c>
      <c r="K322" s="165" t="s">
        <v>2019</v>
      </c>
      <c r="L322" s="165" t="s">
        <v>8</v>
      </c>
      <c r="M322" s="144">
        <v>46813</v>
      </c>
      <c r="N322" s="146">
        <v>9000</v>
      </c>
      <c r="O322">
        <v>2000</v>
      </c>
      <c r="P322">
        <v>7000</v>
      </c>
      <c r="Q322" s="165" t="s">
        <v>225</v>
      </c>
      <c r="R322" s="165" t="s">
        <v>3655</v>
      </c>
    </row>
    <row r="323" spans="1:19" x14ac:dyDescent="0.25">
      <c r="A323">
        <v>356</v>
      </c>
      <c r="B323" s="144">
        <v>46084</v>
      </c>
      <c r="C323">
        <v>32625</v>
      </c>
      <c r="D323" s="165" t="s">
        <v>2376</v>
      </c>
      <c r="E323" s="165" t="s">
        <v>12</v>
      </c>
      <c r="F323" s="165" t="s">
        <v>274</v>
      </c>
      <c r="G323" s="165" t="s">
        <v>1224</v>
      </c>
      <c r="H323" s="165" t="s">
        <v>2377</v>
      </c>
      <c r="I323" s="144">
        <v>46292</v>
      </c>
      <c r="J323">
        <v>208</v>
      </c>
      <c r="K323" s="165" t="s">
        <v>240</v>
      </c>
      <c r="L323" s="165" t="s">
        <v>8</v>
      </c>
      <c r="M323" s="144">
        <v>46813</v>
      </c>
      <c r="N323" s="146">
        <v>7700</v>
      </c>
      <c r="O323">
        <v>0</v>
      </c>
      <c r="P323">
        <v>7700</v>
      </c>
      <c r="Q323" s="165" t="s">
        <v>225</v>
      </c>
      <c r="R323" s="165" t="s">
        <v>3693</v>
      </c>
      <c r="S323" t="s">
        <v>241</v>
      </c>
    </row>
    <row r="324" spans="1:19" x14ac:dyDescent="0.25">
      <c r="A324">
        <v>355</v>
      </c>
      <c r="B324" s="144">
        <v>46084</v>
      </c>
      <c r="C324">
        <v>3326</v>
      </c>
      <c r="D324" s="165" t="s">
        <v>3694</v>
      </c>
      <c r="E324" s="165" t="s">
        <v>2409</v>
      </c>
      <c r="F324" s="165" t="s">
        <v>2285</v>
      </c>
      <c r="G324" s="165" t="s">
        <v>622</v>
      </c>
      <c r="H324" s="165" t="s">
        <v>3695</v>
      </c>
      <c r="I324" s="144">
        <v>46936</v>
      </c>
      <c r="J324">
        <v>852</v>
      </c>
      <c r="K324" s="165" t="s">
        <v>2019</v>
      </c>
      <c r="L324" s="165" t="s">
        <v>8</v>
      </c>
      <c r="M324" s="144">
        <v>47543</v>
      </c>
      <c r="N324" s="146">
        <v>1000</v>
      </c>
      <c r="O324">
        <v>0</v>
      </c>
      <c r="P324">
        <v>1000</v>
      </c>
      <c r="Q324" s="165" t="s">
        <v>225</v>
      </c>
      <c r="R324" s="165"/>
    </row>
    <row r="325" spans="1:19" x14ac:dyDescent="0.25">
      <c r="A325">
        <v>354</v>
      </c>
      <c r="B325" s="144">
        <v>46084</v>
      </c>
      <c r="C325">
        <v>3326</v>
      </c>
      <c r="D325" s="165" t="s">
        <v>3694</v>
      </c>
      <c r="E325" s="165" t="s">
        <v>2409</v>
      </c>
      <c r="F325" s="165" t="s">
        <v>2285</v>
      </c>
      <c r="G325" s="165" t="s">
        <v>1248</v>
      </c>
      <c r="H325" s="165" t="s">
        <v>3695</v>
      </c>
      <c r="I325" s="144">
        <v>46936</v>
      </c>
      <c r="J325">
        <v>852</v>
      </c>
      <c r="K325" s="165" t="s">
        <v>240</v>
      </c>
      <c r="L325" s="165" t="s">
        <v>8</v>
      </c>
      <c r="M325" s="144">
        <v>47543</v>
      </c>
      <c r="N325" s="146">
        <v>1000</v>
      </c>
      <c r="O325">
        <v>300</v>
      </c>
      <c r="P325">
        <v>700</v>
      </c>
      <c r="Q325" s="165" t="s">
        <v>225</v>
      </c>
      <c r="R325" s="165"/>
      <c r="S325" t="s">
        <v>176</v>
      </c>
    </row>
    <row r="326" spans="1:19" x14ac:dyDescent="0.25">
      <c r="A326">
        <v>353</v>
      </c>
      <c r="B326" s="144">
        <v>46084</v>
      </c>
      <c r="C326">
        <v>32637</v>
      </c>
      <c r="D326" s="165" t="s">
        <v>316</v>
      </c>
      <c r="E326" s="165" t="s">
        <v>13</v>
      </c>
      <c r="F326" s="165" t="s">
        <v>2363</v>
      </c>
      <c r="G326" s="165" t="s">
        <v>646</v>
      </c>
      <c r="H326" s="165" t="s">
        <v>3696</v>
      </c>
      <c r="I326" s="144">
        <v>47868</v>
      </c>
      <c r="J326">
        <v>1784</v>
      </c>
      <c r="K326" s="165" t="s">
        <v>2019</v>
      </c>
      <c r="L326" s="165" t="s">
        <v>8</v>
      </c>
      <c r="M326" s="144">
        <v>47543</v>
      </c>
      <c r="N326" s="146">
        <v>37500</v>
      </c>
      <c r="O326">
        <v>0</v>
      </c>
      <c r="P326">
        <v>37500</v>
      </c>
      <c r="Q326" s="165" t="s">
        <v>225</v>
      </c>
      <c r="R326" s="165"/>
    </row>
    <row r="327" spans="1:19" x14ac:dyDescent="0.25">
      <c r="A327">
        <v>352</v>
      </c>
      <c r="B327" s="144">
        <v>46084</v>
      </c>
      <c r="C327">
        <v>32637</v>
      </c>
      <c r="D327" s="165" t="s">
        <v>316</v>
      </c>
      <c r="E327" s="165" t="s">
        <v>13</v>
      </c>
      <c r="F327" s="165" t="s">
        <v>2363</v>
      </c>
      <c r="G327" s="165" t="s">
        <v>3344</v>
      </c>
      <c r="H327" s="165" t="s">
        <v>3696</v>
      </c>
      <c r="I327" s="144">
        <v>47868</v>
      </c>
      <c r="J327">
        <v>1784</v>
      </c>
      <c r="K327" s="165" t="s">
        <v>240</v>
      </c>
      <c r="L327" s="165" t="s">
        <v>8</v>
      </c>
      <c r="M327" s="144">
        <v>47543</v>
      </c>
      <c r="N327" s="146">
        <v>37500</v>
      </c>
      <c r="O327">
        <v>0</v>
      </c>
      <c r="P327">
        <v>37500</v>
      </c>
      <c r="Q327" s="165" t="s">
        <v>225</v>
      </c>
      <c r="R327" s="165"/>
      <c r="S327" t="s">
        <v>241</v>
      </c>
    </row>
    <row r="328" spans="1:19" x14ac:dyDescent="0.25">
      <c r="A328">
        <v>351</v>
      </c>
      <c r="B328" s="144">
        <v>46084</v>
      </c>
      <c r="C328">
        <v>32638</v>
      </c>
      <c r="D328" s="165" t="s">
        <v>316</v>
      </c>
      <c r="E328" s="165" t="s">
        <v>13</v>
      </c>
      <c r="F328" s="165" t="s">
        <v>2363</v>
      </c>
      <c r="G328" s="165" t="s">
        <v>646</v>
      </c>
      <c r="H328" s="165" t="s">
        <v>3696</v>
      </c>
      <c r="I328" s="144">
        <v>47868</v>
      </c>
      <c r="J328">
        <v>1784</v>
      </c>
      <c r="K328" s="165" t="s">
        <v>2019</v>
      </c>
      <c r="L328" s="165" t="s">
        <v>8</v>
      </c>
      <c r="M328" s="144">
        <v>47543</v>
      </c>
      <c r="N328" s="146">
        <v>56250</v>
      </c>
      <c r="O328">
        <v>0</v>
      </c>
      <c r="P328">
        <v>56250</v>
      </c>
      <c r="Q328" s="165" t="s">
        <v>225</v>
      </c>
      <c r="R328" s="165"/>
    </row>
    <row r="329" spans="1:19" x14ac:dyDescent="0.25">
      <c r="A329">
        <v>350</v>
      </c>
      <c r="B329" s="144">
        <v>46084</v>
      </c>
      <c r="C329">
        <v>32638</v>
      </c>
      <c r="D329" s="165" t="s">
        <v>316</v>
      </c>
      <c r="E329" s="165" t="s">
        <v>13</v>
      </c>
      <c r="F329" s="165" t="s">
        <v>2363</v>
      </c>
      <c r="G329" s="165" t="s">
        <v>3344</v>
      </c>
      <c r="H329" s="165" t="s">
        <v>3696</v>
      </c>
      <c r="I329" s="144">
        <v>47868</v>
      </c>
      <c r="J329">
        <v>1784</v>
      </c>
      <c r="K329" s="165" t="s">
        <v>240</v>
      </c>
      <c r="L329" s="165" t="s">
        <v>8</v>
      </c>
      <c r="M329" s="144">
        <v>47543</v>
      </c>
      <c r="N329" s="146">
        <v>56250</v>
      </c>
      <c r="O329">
        <v>0</v>
      </c>
      <c r="P329">
        <v>56250</v>
      </c>
      <c r="Q329" s="165" t="s">
        <v>225</v>
      </c>
      <c r="R329" s="165"/>
      <c r="S329" t="s">
        <v>241</v>
      </c>
    </row>
    <row r="330" spans="1:19" x14ac:dyDescent="0.25">
      <c r="A330">
        <v>349</v>
      </c>
      <c r="B330" s="144">
        <v>46084</v>
      </c>
      <c r="C330">
        <v>32609</v>
      </c>
      <c r="D330" s="165" t="s">
        <v>3697</v>
      </c>
      <c r="E330" s="165" t="s">
        <v>2183</v>
      </c>
      <c r="F330" s="165" t="s">
        <v>3698</v>
      </c>
      <c r="G330" s="165" t="s">
        <v>1373</v>
      </c>
      <c r="H330" s="165" t="s">
        <v>3699</v>
      </c>
      <c r="I330" s="144">
        <v>46622</v>
      </c>
      <c r="J330">
        <v>538</v>
      </c>
      <c r="K330" s="165" t="s">
        <v>262</v>
      </c>
      <c r="L330" s="165" t="s">
        <v>102</v>
      </c>
      <c r="M330" s="144">
        <v>46813</v>
      </c>
      <c r="N330" s="146">
        <v>14000</v>
      </c>
      <c r="O330">
        <v>1000</v>
      </c>
      <c r="P330">
        <v>13000</v>
      </c>
      <c r="Q330" s="165" t="s">
        <v>225</v>
      </c>
      <c r="R330" s="165"/>
      <c r="S330" t="s">
        <v>251</v>
      </c>
    </row>
    <row r="331" spans="1:19" x14ac:dyDescent="0.25">
      <c r="A331">
        <v>348</v>
      </c>
      <c r="B331" s="144">
        <v>46084</v>
      </c>
      <c r="C331">
        <v>32610</v>
      </c>
      <c r="D331" s="165" t="s">
        <v>3697</v>
      </c>
      <c r="E331" s="165" t="s">
        <v>2183</v>
      </c>
      <c r="F331" s="165" t="s">
        <v>3700</v>
      </c>
      <c r="G331" s="165" t="s">
        <v>331</v>
      </c>
      <c r="H331" s="165" t="s">
        <v>3699</v>
      </c>
      <c r="I331" s="144">
        <v>46622</v>
      </c>
      <c r="J331">
        <v>538</v>
      </c>
      <c r="K331" s="165" t="s">
        <v>2019</v>
      </c>
      <c r="L331" s="165" t="s">
        <v>8</v>
      </c>
      <c r="M331" s="144">
        <v>46813</v>
      </c>
      <c r="N331" s="146">
        <v>12500</v>
      </c>
      <c r="O331">
        <v>0</v>
      </c>
      <c r="P331">
        <v>12500</v>
      </c>
      <c r="Q331" s="165" t="s">
        <v>225</v>
      </c>
      <c r="R331" s="165"/>
    </row>
    <row r="332" spans="1:19" x14ac:dyDescent="0.25">
      <c r="A332">
        <v>347</v>
      </c>
      <c r="B332" s="144">
        <v>46084</v>
      </c>
      <c r="C332">
        <v>32610</v>
      </c>
      <c r="D332" s="165" t="s">
        <v>3697</v>
      </c>
      <c r="E332" s="165" t="s">
        <v>2183</v>
      </c>
      <c r="F332" s="165" t="s">
        <v>3700</v>
      </c>
      <c r="G332" s="165" t="s">
        <v>747</v>
      </c>
      <c r="H332" s="165" t="s">
        <v>3699</v>
      </c>
      <c r="I332" s="144">
        <v>46622</v>
      </c>
      <c r="J332">
        <v>538</v>
      </c>
      <c r="K332" s="165" t="s">
        <v>240</v>
      </c>
      <c r="L332" s="165" t="s">
        <v>8</v>
      </c>
      <c r="M332" s="144">
        <v>46813</v>
      </c>
      <c r="N332" s="146">
        <v>12500</v>
      </c>
      <c r="O332">
        <v>1600</v>
      </c>
      <c r="P332">
        <v>10900</v>
      </c>
      <c r="Q332" s="165" t="s">
        <v>225</v>
      </c>
      <c r="R332" s="165"/>
      <c r="S332" t="s">
        <v>251</v>
      </c>
    </row>
    <row r="333" spans="1:19" x14ac:dyDescent="0.25">
      <c r="A333">
        <v>346</v>
      </c>
      <c r="B333" s="144">
        <v>46084</v>
      </c>
      <c r="C333">
        <v>32613</v>
      </c>
      <c r="D333" s="165" t="s">
        <v>3658</v>
      </c>
      <c r="E333" s="165" t="s">
        <v>9</v>
      </c>
      <c r="F333" s="165" t="s">
        <v>3701</v>
      </c>
      <c r="G333" s="165" t="s">
        <v>1612</v>
      </c>
      <c r="H333" s="165" t="s">
        <v>3660</v>
      </c>
      <c r="I333" s="144">
        <v>46469</v>
      </c>
      <c r="J333">
        <v>385</v>
      </c>
      <c r="K333" s="165" t="s">
        <v>262</v>
      </c>
      <c r="L333" s="165" t="s">
        <v>102</v>
      </c>
      <c r="M333" s="144">
        <v>46813</v>
      </c>
      <c r="N333" s="146">
        <v>16000</v>
      </c>
      <c r="O333">
        <v>4500</v>
      </c>
      <c r="P333">
        <v>11500</v>
      </c>
      <c r="Q333" s="165" t="s">
        <v>225</v>
      </c>
      <c r="R333" s="165"/>
      <c r="S333" t="s">
        <v>3466</v>
      </c>
    </row>
    <row r="334" spans="1:19" x14ac:dyDescent="0.25">
      <c r="A334">
        <v>345</v>
      </c>
      <c r="B334" s="144">
        <v>46084</v>
      </c>
      <c r="C334">
        <v>32617</v>
      </c>
      <c r="D334" s="165" t="s">
        <v>3702</v>
      </c>
      <c r="E334" s="165" t="s">
        <v>12</v>
      </c>
      <c r="F334" s="165" t="s">
        <v>255</v>
      </c>
      <c r="G334" s="165" t="s">
        <v>524</v>
      </c>
      <c r="H334" s="165" t="s">
        <v>3703</v>
      </c>
      <c r="I334" s="144">
        <v>46288</v>
      </c>
      <c r="J334">
        <v>204</v>
      </c>
      <c r="K334" s="165" t="s">
        <v>2019</v>
      </c>
      <c r="L334" s="165" t="s">
        <v>8</v>
      </c>
      <c r="M334" s="144">
        <v>46813</v>
      </c>
      <c r="N334" s="146">
        <v>12500</v>
      </c>
      <c r="O334">
        <v>0</v>
      </c>
      <c r="P334">
        <v>12500</v>
      </c>
      <c r="Q334" s="165" t="s">
        <v>225</v>
      </c>
      <c r="R334" s="165"/>
    </row>
    <row r="335" spans="1:19" x14ac:dyDescent="0.25">
      <c r="A335">
        <v>344</v>
      </c>
      <c r="B335" s="144">
        <v>46084</v>
      </c>
      <c r="C335">
        <v>32617</v>
      </c>
      <c r="D335" s="165" t="s">
        <v>3702</v>
      </c>
      <c r="E335" s="165" t="s">
        <v>12</v>
      </c>
      <c r="F335" s="165" t="s">
        <v>255</v>
      </c>
      <c r="G335" s="165" t="s">
        <v>1100</v>
      </c>
      <c r="H335" s="165" t="s">
        <v>3703</v>
      </c>
      <c r="I335" s="144">
        <v>46288</v>
      </c>
      <c r="J335">
        <v>204</v>
      </c>
      <c r="K335" s="165" t="s">
        <v>240</v>
      </c>
      <c r="L335" s="165" t="s">
        <v>8</v>
      </c>
      <c r="M335" s="144">
        <v>46813</v>
      </c>
      <c r="N335" s="146">
        <v>12500</v>
      </c>
      <c r="O335">
        <v>2000</v>
      </c>
      <c r="P335">
        <v>10500</v>
      </c>
      <c r="Q335" s="165" t="s">
        <v>225</v>
      </c>
      <c r="R335" s="165"/>
      <c r="S335" t="s">
        <v>241</v>
      </c>
    </row>
    <row r="336" spans="1:19" x14ac:dyDescent="0.25">
      <c r="A336">
        <v>343</v>
      </c>
      <c r="B336" s="144">
        <v>46084</v>
      </c>
      <c r="C336">
        <v>32618</v>
      </c>
      <c r="D336" s="165" t="s">
        <v>257</v>
      </c>
      <c r="E336" s="165" t="s">
        <v>12</v>
      </c>
      <c r="F336" s="165" t="s">
        <v>258</v>
      </c>
      <c r="G336" s="165" t="s">
        <v>528</v>
      </c>
      <c r="H336" s="165" t="s">
        <v>259</v>
      </c>
      <c r="I336" s="144">
        <v>46646</v>
      </c>
      <c r="J336">
        <v>562</v>
      </c>
      <c r="K336" s="165" t="s">
        <v>2019</v>
      </c>
      <c r="L336" s="165" t="s">
        <v>8</v>
      </c>
      <c r="M336" s="144">
        <v>46813</v>
      </c>
      <c r="N336" s="146">
        <v>10000</v>
      </c>
      <c r="O336">
        <v>0</v>
      </c>
      <c r="P336">
        <v>10000</v>
      </c>
      <c r="Q336" s="165" t="s">
        <v>225</v>
      </c>
      <c r="R336" s="165" t="s">
        <v>2027</v>
      </c>
    </row>
    <row r="337" spans="1:19" x14ac:dyDescent="0.25">
      <c r="A337">
        <v>342</v>
      </c>
      <c r="B337" s="144">
        <v>46084</v>
      </c>
      <c r="C337">
        <v>32634</v>
      </c>
      <c r="D337" s="165" t="s">
        <v>3704</v>
      </c>
      <c r="E337" s="165" t="s">
        <v>17</v>
      </c>
      <c r="F337" s="165" t="s">
        <v>2279</v>
      </c>
      <c r="G337" s="165" t="s">
        <v>431</v>
      </c>
      <c r="H337" s="165" t="s">
        <v>3705</v>
      </c>
      <c r="I337" s="144">
        <v>47177</v>
      </c>
      <c r="J337">
        <v>1093</v>
      </c>
      <c r="K337" s="165" t="s">
        <v>2019</v>
      </c>
      <c r="L337" s="165" t="s">
        <v>8</v>
      </c>
      <c r="M337" s="144">
        <v>47178</v>
      </c>
      <c r="N337" s="146">
        <v>11000</v>
      </c>
      <c r="O337">
        <v>0</v>
      </c>
      <c r="P337">
        <v>11000</v>
      </c>
      <c r="Q337" s="165" t="s">
        <v>225</v>
      </c>
      <c r="R337" s="165"/>
    </row>
    <row r="338" spans="1:19" x14ac:dyDescent="0.25">
      <c r="A338">
        <v>341</v>
      </c>
      <c r="B338" s="144">
        <v>46084</v>
      </c>
      <c r="C338">
        <v>32634</v>
      </c>
      <c r="D338" s="165" t="s">
        <v>3704</v>
      </c>
      <c r="E338" s="165" t="s">
        <v>17</v>
      </c>
      <c r="F338" s="165" t="s">
        <v>2279</v>
      </c>
      <c r="G338" s="165" t="s">
        <v>909</v>
      </c>
      <c r="H338" s="165" t="s">
        <v>3705</v>
      </c>
      <c r="I338" s="144">
        <v>47177</v>
      </c>
      <c r="J338">
        <v>1093</v>
      </c>
      <c r="K338" s="165" t="s">
        <v>240</v>
      </c>
      <c r="L338" s="165" t="s">
        <v>8</v>
      </c>
      <c r="M338" s="144">
        <v>47178</v>
      </c>
      <c r="N338" s="146">
        <v>11000</v>
      </c>
      <c r="O338">
        <v>1600</v>
      </c>
      <c r="P338">
        <v>9400</v>
      </c>
      <c r="Q338" s="165" t="s">
        <v>225</v>
      </c>
      <c r="R338" s="165"/>
      <c r="S338" t="s">
        <v>241</v>
      </c>
    </row>
    <row r="339" spans="1:19" x14ac:dyDescent="0.25">
      <c r="A339">
        <v>340</v>
      </c>
      <c r="B339" s="144">
        <v>46084</v>
      </c>
      <c r="C339">
        <v>32643</v>
      </c>
      <c r="D339" s="165" t="s">
        <v>266</v>
      </c>
      <c r="E339" s="165" t="s">
        <v>181</v>
      </c>
      <c r="F339" s="165" t="s">
        <v>2100</v>
      </c>
      <c r="G339" s="165" t="s">
        <v>576</v>
      </c>
      <c r="H339" s="165" t="s">
        <v>268</v>
      </c>
      <c r="I339" s="144">
        <v>46300</v>
      </c>
      <c r="J339">
        <v>216</v>
      </c>
      <c r="K339" s="165" t="s">
        <v>2016</v>
      </c>
      <c r="L339" s="165" t="s">
        <v>102</v>
      </c>
      <c r="M339" s="144">
        <v>46813</v>
      </c>
      <c r="N339" s="146">
        <v>19355</v>
      </c>
      <c r="O339">
        <v>0</v>
      </c>
      <c r="P339">
        <v>19355</v>
      </c>
      <c r="Q339" s="165" t="s">
        <v>225</v>
      </c>
      <c r="R339" s="165"/>
    </row>
    <row r="340" spans="1:19" x14ac:dyDescent="0.25">
      <c r="A340">
        <v>339</v>
      </c>
      <c r="B340" s="144">
        <v>46084</v>
      </c>
      <c r="C340">
        <v>32643</v>
      </c>
      <c r="D340" s="165" t="s">
        <v>266</v>
      </c>
      <c r="E340" s="165" t="s">
        <v>181</v>
      </c>
      <c r="F340" s="165" t="s">
        <v>2100</v>
      </c>
      <c r="G340" s="165" t="s">
        <v>463</v>
      </c>
      <c r="H340" s="165" t="s">
        <v>268</v>
      </c>
      <c r="I340" s="144">
        <v>46300</v>
      </c>
      <c r="J340">
        <v>216</v>
      </c>
      <c r="K340" s="165" t="s">
        <v>2019</v>
      </c>
      <c r="L340" s="165" t="s">
        <v>102</v>
      </c>
      <c r="M340" s="144">
        <v>46813</v>
      </c>
      <c r="N340" s="146">
        <v>19355</v>
      </c>
      <c r="O340">
        <v>0</v>
      </c>
      <c r="P340">
        <v>19355</v>
      </c>
      <c r="Q340" s="165" t="s">
        <v>225</v>
      </c>
      <c r="R340" s="165"/>
    </row>
    <row r="341" spans="1:19" x14ac:dyDescent="0.25">
      <c r="A341">
        <v>338</v>
      </c>
      <c r="B341" s="144">
        <v>46084</v>
      </c>
      <c r="C341">
        <v>32643</v>
      </c>
      <c r="D341" s="165" t="s">
        <v>266</v>
      </c>
      <c r="E341" s="165" t="s">
        <v>181</v>
      </c>
      <c r="F341" s="165" t="s">
        <v>2100</v>
      </c>
      <c r="G341" s="165" t="s">
        <v>989</v>
      </c>
      <c r="H341" s="165" t="s">
        <v>268</v>
      </c>
      <c r="I341" s="144">
        <v>46300</v>
      </c>
      <c r="J341">
        <v>216</v>
      </c>
      <c r="K341" s="165" t="s">
        <v>240</v>
      </c>
      <c r="L341" s="165" t="s">
        <v>102</v>
      </c>
      <c r="M341" s="144">
        <v>46813</v>
      </c>
      <c r="N341" s="146">
        <v>19355</v>
      </c>
      <c r="O341">
        <v>2170</v>
      </c>
      <c r="P341">
        <v>17185</v>
      </c>
      <c r="Q341" s="165" t="s">
        <v>225</v>
      </c>
      <c r="R341" s="165"/>
      <c r="S341" t="s">
        <v>269</v>
      </c>
    </row>
    <row r="342" spans="1:19" x14ac:dyDescent="0.25">
      <c r="A342">
        <v>337</v>
      </c>
      <c r="B342" s="144">
        <v>46084</v>
      </c>
      <c r="C342">
        <v>32644</v>
      </c>
      <c r="D342" s="165" t="s">
        <v>314</v>
      </c>
      <c r="E342" s="165" t="s">
        <v>15</v>
      </c>
      <c r="F342" s="165" t="s">
        <v>247</v>
      </c>
      <c r="G342" s="165" t="s">
        <v>544</v>
      </c>
      <c r="H342" s="165" t="s">
        <v>315</v>
      </c>
      <c r="I342" s="144">
        <v>47590</v>
      </c>
      <c r="J342">
        <v>1506</v>
      </c>
      <c r="K342" s="165" t="s">
        <v>2019</v>
      </c>
      <c r="L342" s="165" t="s">
        <v>102</v>
      </c>
      <c r="M342" s="144">
        <v>46813</v>
      </c>
      <c r="N342" s="146">
        <v>23529</v>
      </c>
      <c r="O342">
        <v>0</v>
      </c>
      <c r="P342">
        <v>23529</v>
      </c>
      <c r="Q342" s="165" t="s">
        <v>225</v>
      </c>
      <c r="R342" s="165" t="s">
        <v>2958</v>
      </c>
    </row>
    <row r="343" spans="1:19" x14ac:dyDescent="0.25">
      <c r="A343">
        <v>336</v>
      </c>
      <c r="B343" s="144">
        <v>46084</v>
      </c>
      <c r="C343">
        <v>32644</v>
      </c>
      <c r="D343" s="165" t="s">
        <v>314</v>
      </c>
      <c r="E343" s="165" t="s">
        <v>15</v>
      </c>
      <c r="F343" s="165" t="s">
        <v>247</v>
      </c>
      <c r="G343" s="165" t="s">
        <v>1130</v>
      </c>
      <c r="H343" s="165" t="s">
        <v>315</v>
      </c>
      <c r="I343" s="144">
        <v>47590</v>
      </c>
      <c r="J343">
        <v>1506</v>
      </c>
      <c r="K343" s="165" t="s">
        <v>240</v>
      </c>
      <c r="L343" s="165" t="s">
        <v>102</v>
      </c>
      <c r="M343" s="144">
        <v>46813</v>
      </c>
      <c r="N343" s="146">
        <v>23529</v>
      </c>
      <c r="O343">
        <v>4500</v>
      </c>
      <c r="P343">
        <v>19029</v>
      </c>
      <c r="Q343" s="165" t="s">
        <v>225</v>
      </c>
      <c r="R343" s="165" t="s">
        <v>2958</v>
      </c>
      <c r="S343" t="s">
        <v>241</v>
      </c>
    </row>
    <row r="344" spans="1:19" x14ac:dyDescent="0.25">
      <c r="A344">
        <v>335</v>
      </c>
      <c r="B344" s="144">
        <v>46084</v>
      </c>
      <c r="C344">
        <v>32647</v>
      </c>
      <c r="D344" s="165" t="s">
        <v>3706</v>
      </c>
      <c r="E344" s="165" t="s">
        <v>15</v>
      </c>
      <c r="F344" s="165" t="s">
        <v>247</v>
      </c>
      <c r="G344" s="165" t="s">
        <v>1693</v>
      </c>
      <c r="H344" s="165" t="s">
        <v>3707</v>
      </c>
      <c r="I344" s="144">
        <v>46027</v>
      </c>
      <c r="J344">
        <v>-57</v>
      </c>
      <c r="K344" s="165" t="s">
        <v>2019</v>
      </c>
      <c r="L344" s="165" t="s">
        <v>8</v>
      </c>
      <c r="M344" s="144">
        <v>46813</v>
      </c>
      <c r="N344" s="146">
        <v>15686</v>
      </c>
      <c r="O344">
        <v>0</v>
      </c>
      <c r="P344">
        <v>15686</v>
      </c>
      <c r="Q344" s="165" t="s">
        <v>225</v>
      </c>
      <c r="R344" s="165"/>
    </row>
    <row r="345" spans="1:19" x14ac:dyDescent="0.25">
      <c r="A345">
        <v>334</v>
      </c>
      <c r="B345" s="144">
        <v>46084</v>
      </c>
      <c r="C345">
        <v>32647</v>
      </c>
      <c r="D345" s="165" t="s">
        <v>3706</v>
      </c>
      <c r="E345" s="165" t="s">
        <v>15</v>
      </c>
      <c r="F345" s="165" t="s">
        <v>247</v>
      </c>
      <c r="G345" s="165" t="s">
        <v>929</v>
      </c>
      <c r="H345" s="165" t="s">
        <v>3707</v>
      </c>
      <c r="I345" s="144">
        <v>46027</v>
      </c>
      <c r="J345">
        <v>-57</v>
      </c>
      <c r="K345" s="165" t="s">
        <v>240</v>
      </c>
      <c r="L345" s="165" t="s">
        <v>8</v>
      </c>
      <c r="M345" s="144">
        <v>46813</v>
      </c>
      <c r="N345" s="146">
        <v>15686</v>
      </c>
      <c r="O345">
        <v>500</v>
      </c>
      <c r="P345">
        <v>15186</v>
      </c>
      <c r="Q345" s="165" t="s">
        <v>225</v>
      </c>
      <c r="R345" s="165"/>
      <c r="S345" t="s">
        <v>241</v>
      </c>
    </row>
    <row r="346" spans="1:19" x14ac:dyDescent="0.25">
      <c r="A346">
        <v>333</v>
      </c>
      <c r="B346" s="144">
        <v>46084</v>
      </c>
      <c r="C346">
        <v>32648</v>
      </c>
      <c r="D346" s="165" t="s">
        <v>2343</v>
      </c>
      <c r="E346" s="165" t="s">
        <v>15</v>
      </c>
      <c r="F346" s="165" t="s">
        <v>247</v>
      </c>
      <c r="G346" s="165" t="s">
        <v>1693</v>
      </c>
      <c r="H346" s="165" t="s">
        <v>3648</v>
      </c>
      <c r="I346" s="144">
        <v>46523</v>
      </c>
      <c r="J346">
        <v>439</v>
      </c>
      <c r="K346" s="165" t="s">
        <v>2019</v>
      </c>
      <c r="L346" s="165" t="s">
        <v>8</v>
      </c>
      <c r="M346" s="144">
        <v>46813</v>
      </c>
      <c r="N346" s="146">
        <v>11764</v>
      </c>
      <c r="O346">
        <v>0</v>
      </c>
      <c r="P346">
        <v>11764</v>
      </c>
      <c r="Q346" s="165" t="s">
        <v>225</v>
      </c>
      <c r="R346" s="165"/>
    </row>
    <row r="347" spans="1:19" x14ac:dyDescent="0.25">
      <c r="A347">
        <v>332</v>
      </c>
      <c r="B347" s="144">
        <v>46084</v>
      </c>
      <c r="C347">
        <v>32648</v>
      </c>
      <c r="D347" s="165" t="s">
        <v>2343</v>
      </c>
      <c r="E347" s="165" t="s">
        <v>15</v>
      </c>
      <c r="F347" s="165" t="s">
        <v>247</v>
      </c>
      <c r="G347" s="165" t="s">
        <v>1711</v>
      </c>
      <c r="H347" s="165" t="s">
        <v>3648</v>
      </c>
      <c r="I347" s="144">
        <v>46523</v>
      </c>
      <c r="J347">
        <v>439</v>
      </c>
      <c r="K347" s="165" t="s">
        <v>240</v>
      </c>
      <c r="L347" s="165" t="s">
        <v>8</v>
      </c>
      <c r="M347" s="144">
        <v>46813</v>
      </c>
      <c r="N347" s="146">
        <v>11764</v>
      </c>
      <c r="O347">
        <v>7000</v>
      </c>
      <c r="P347">
        <v>4764</v>
      </c>
      <c r="Q347" s="165" t="s">
        <v>225</v>
      </c>
      <c r="R347" s="165"/>
      <c r="S347" t="s">
        <v>241</v>
      </c>
    </row>
    <row r="348" spans="1:19" x14ac:dyDescent="0.25">
      <c r="A348">
        <v>331</v>
      </c>
      <c r="B348" s="144">
        <v>46084</v>
      </c>
      <c r="C348">
        <v>18226</v>
      </c>
      <c r="D348" s="165" t="s">
        <v>3708</v>
      </c>
      <c r="E348" s="165" t="s">
        <v>2409</v>
      </c>
      <c r="F348" s="165" t="s">
        <v>3709</v>
      </c>
      <c r="G348" s="165" t="s">
        <v>552</v>
      </c>
      <c r="H348" s="165" t="s">
        <v>3710</v>
      </c>
      <c r="I348" s="144">
        <v>46986</v>
      </c>
      <c r="J348">
        <v>902</v>
      </c>
      <c r="K348" s="165" t="s">
        <v>2019</v>
      </c>
      <c r="L348" s="165" t="s">
        <v>8</v>
      </c>
      <c r="M348" s="144">
        <v>46784</v>
      </c>
      <c r="N348" s="146">
        <v>1800</v>
      </c>
      <c r="O348">
        <v>1500</v>
      </c>
      <c r="P348">
        <v>300</v>
      </c>
      <c r="Q348" s="165" t="s">
        <v>225</v>
      </c>
      <c r="R348" s="165" t="s">
        <v>2027</v>
      </c>
    </row>
    <row r="349" spans="1:19" x14ac:dyDescent="0.25">
      <c r="A349">
        <v>330</v>
      </c>
      <c r="B349" s="144">
        <v>46084</v>
      </c>
      <c r="C349">
        <v>32603</v>
      </c>
      <c r="D349" s="165" t="s">
        <v>2089</v>
      </c>
      <c r="E349" s="165" t="s">
        <v>15</v>
      </c>
      <c r="F349" s="165" t="s">
        <v>271</v>
      </c>
      <c r="G349" s="165" t="s">
        <v>576</v>
      </c>
      <c r="H349" s="165" t="s">
        <v>2090</v>
      </c>
      <c r="I349" s="144">
        <v>47513</v>
      </c>
      <c r="J349">
        <v>1429</v>
      </c>
      <c r="K349" s="165" t="s">
        <v>2016</v>
      </c>
      <c r="L349" s="165" t="s">
        <v>102</v>
      </c>
      <c r="M349" s="144">
        <v>47178</v>
      </c>
      <c r="N349" s="146">
        <v>7500</v>
      </c>
      <c r="O349">
        <v>0</v>
      </c>
      <c r="P349">
        <v>7500</v>
      </c>
      <c r="Q349" s="165" t="s">
        <v>225</v>
      </c>
      <c r="R349" s="165"/>
    </row>
    <row r="350" spans="1:19" x14ac:dyDescent="0.25">
      <c r="A350">
        <v>329</v>
      </c>
      <c r="B350" s="144">
        <v>46084</v>
      </c>
      <c r="C350">
        <v>32603</v>
      </c>
      <c r="D350" s="165" t="s">
        <v>2089</v>
      </c>
      <c r="E350" s="165" t="s">
        <v>15</v>
      </c>
      <c r="F350" s="165" t="s">
        <v>271</v>
      </c>
      <c r="G350" s="165" t="s">
        <v>5321</v>
      </c>
      <c r="H350" s="165" t="s">
        <v>2090</v>
      </c>
      <c r="I350" s="144">
        <v>47513</v>
      </c>
      <c r="J350">
        <v>1429</v>
      </c>
      <c r="K350" s="165" t="s">
        <v>2019</v>
      </c>
      <c r="L350" s="165" t="s">
        <v>102</v>
      </c>
      <c r="M350" s="144">
        <v>47178</v>
      </c>
      <c r="N350" s="146">
        <v>7500</v>
      </c>
      <c r="O350">
        <v>0</v>
      </c>
      <c r="P350">
        <v>7500</v>
      </c>
      <c r="Q350" s="165" t="s">
        <v>225</v>
      </c>
      <c r="R350" s="165"/>
    </row>
    <row r="351" spans="1:19" x14ac:dyDescent="0.25">
      <c r="A351">
        <v>328</v>
      </c>
      <c r="B351" s="144">
        <v>46084</v>
      </c>
      <c r="C351">
        <v>32603</v>
      </c>
      <c r="D351" s="165" t="s">
        <v>2089</v>
      </c>
      <c r="E351" s="165" t="s">
        <v>15</v>
      </c>
      <c r="F351" s="165" t="s">
        <v>271</v>
      </c>
      <c r="G351" s="165" t="s">
        <v>977</v>
      </c>
      <c r="H351" s="165" t="s">
        <v>2090</v>
      </c>
      <c r="I351" s="144">
        <v>47513</v>
      </c>
      <c r="J351">
        <v>1429</v>
      </c>
      <c r="K351" s="165" t="s">
        <v>240</v>
      </c>
      <c r="L351" s="165" t="s">
        <v>102</v>
      </c>
      <c r="M351" s="144">
        <v>47178</v>
      </c>
      <c r="N351" s="146">
        <v>7500</v>
      </c>
      <c r="O351">
        <v>1000</v>
      </c>
      <c r="P351">
        <v>6500</v>
      </c>
      <c r="Q351" s="165" t="s">
        <v>225</v>
      </c>
      <c r="R351" s="165"/>
      <c r="S351" t="s">
        <v>269</v>
      </c>
    </row>
    <row r="352" spans="1:19" x14ac:dyDescent="0.25">
      <c r="A352">
        <v>327</v>
      </c>
      <c r="B352" s="144">
        <v>46084</v>
      </c>
      <c r="C352">
        <v>32602</v>
      </c>
      <c r="D352" s="165" t="s">
        <v>3711</v>
      </c>
      <c r="E352" s="165" t="s">
        <v>15</v>
      </c>
      <c r="F352" s="165" t="s">
        <v>247</v>
      </c>
      <c r="G352" s="165" t="s">
        <v>576</v>
      </c>
      <c r="H352" s="165" t="s">
        <v>3712</v>
      </c>
      <c r="I352" s="144">
        <v>47365</v>
      </c>
      <c r="J352">
        <v>1281</v>
      </c>
      <c r="K352" s="165" t="s">
        <v>2016</v>
      </c>
      <c r="L352" s="165" t="s">
        <v>8</v>
      </c>
      <c r="M352" s="144">
        <v>46813</v>
      </c>
      <c r="N352" s="146">
        <v>1961</v>
      </c>
      <c r="O352">
        <v>0</v>
      </c>
      <c r="P352">
        <v>1961</v>
      </c>
      <c r="Q352" s="165" t="s">
        <v>225</v>
      </c>
      <c r="R352" s="165"/>
    </row>
    <row r="353" spans="1:19" x14ac:dyDescent="0.25">
      <c r="A353">
        <v>326</v>
      </c>
      <c r="B353" s="144">
        <v>46084</v>
      </c>
      <c r="C353">
        <v>32602</v>
      </c>
      <c r="D353" s="165" t="s">
        <v>3711</v>
      </c>
      <c r="E353" s="165" t="s">
        <v>15</v>
      </c>
      <c r="F353" s="165" t="s">
        <v>247</v>
      </c>
      <c r="G353" s="165" t="s">
        <v>460</v>
      </c>
      <c r="H353" s="165" t="s">
        <v>3712</v>
      </c>
      <c r="I353" s="144">
        <v>47365</v>
      </c>
      <c r="J353">
        <v>1281</v>
      </c>
      <c r="K353" s="165" t="s">
        <v>2019</v>
      </c>
      <c r="L353" s="165" t="s">
        <v>8</v>
      </c>
      <c r="M353" s="144">
        <v>46813</v>
      </c>
      <c r="N353" s="146">
        <v>1961</v>
      </c>
      <c r="O353">
        <v>0</v>
      </c>
      <c r="P353">
        <v>1961</v>
      </c>
      <c r="Q353" s="165" t="s">
        <v>225</v>
      </c>
      <c r="R353" s="165"/>
    </row>
    <row r="354" spans="1:19" x14ac:dyDescent="0.25">
      <c r="A354">
        <v>325</v>
      </c>
      <c r="B354" s="144">
        <v>46084</v>
      </c>
      <c r="C354">
        <v>32602</v>
      </c>
      <c r="D354" s="165" t="s">
        <v>3711</v>
      </c>
      <c r="E354" s="165" t="s">
        <v>15</v>
      </c>
      <c r="F354" s="165" t="s">
        <v>247</v>
      </c>
      <c r="G354" s="165" t="s">
        <v>979</v>
      </c>
      <c r="H354" s="165" t="s">
        <v>3712</v>
      </c>
      <c r="I354" s="144">
        <v>47365</v>
      </c>
      <c r="J354">
        <v>1281</v>
      </c>
      <c r="K354" s="165" t="s">
        <v>240</v>
      </c>
      <c r="L354" s="165" t="s">
        <v>8</v>
      </c>
      <c r="M354" s="144">
        <v>46813</v>
      </c>
      <c r="N354" s="146">
        <v>1961</v>
      </c>
      <c r="O354">
        <v>1500</v>
      </c>
      <c r="P354">
        <v>461</v>
      </c>
      <c r="Q354" s="165" t="s">
        <v>225</v>
      </c>
      <c r="R354" s="165"/>
      <c r="S354" t="s">
        <v>269</v>
      </c>
    </row>
    <row r="355" spans="1:19" x14ac:dyDescent="0.25">
      <c r="A355">
        <v>324</v>
      </c>
      <c r="B355" s="144">
        <v>46084</v>
      </c>
      <c r="C355">
        <v>32601</v>
      </c>
      <c r="D355" s="165" t="s">
        <v>3713</v>
      </c>
      <c r="E355" s="165" t="s">
        <v>15</v>
      </c>
      <c r="F355" s="165" t="s">
        <v>247</v>
      </c>
      <c r="G355" s="165" t="s">
        <v>576</v>
      </c>
      <c r="H355" s="165" t="s">
        <v>3714</v>
      </c>
      <c r="I355" s="144">
        <v>46121</v>
      </c>
      <c r="J355">
        <v>37</v>
      </c>
      <c r="K355" s="165" t="s">
        <v>2016</v>
      </c>
      <c r="L355" s="165" t="s">
        <v>8</v>
      </c>
      <c r="M355" s="144">
        <v>46813</v>
      </c>
      <c r="N355" s="146">
        <v>4902</v>
      </c>
      <c r="O355">
        <v>0</v>
      </c>
      <c r="P355">
        <v>4902</v>
      </c>
      <c r="Q355" s="165" t="s">
        <v>225</v>
      </c>
      <c r="R355" s="165"/>
    </row>
    <row r="356" spans="1:19" x14ac:dyDescent="0.25">
      <c r="A356">
        <v>323</v>
      </c>
      <c r="B356" s="144">
        <v>46084</v>
      </c>
      <c r="C356">
        <v>32601</v>
      </c>
      <c r="D356" s="165" t="s">
        <v>3713</v>
      </c>
      <c r="E356" s="165" t="s">
        <v>15</v>
      </c>
      <c r="F356" s="165" t="s">
        <v>247</v>
      </c>
      <c r="G356" s="165" t="s">
        <v>697</v>
      </c>
      <c r="H356" s="165" t="s">
        <v>3714</v>
      </c>
      <c r="I356" s="144">
        <v>46121</v>
      </c>
      <c r="J356">
        <v>37</v>
      </c>
      <c r="K356" s="165" t="s">
        <v>2019</v>
      </c>
      <c r="L356" s="165" t="s">
        <v>8</v>
      </c>
      <c r="M356" s="144">
        <v>46813</v>
      </c>
      <c r="N356" s="146">
        <v>4902</v>
      </c>
      <c r="O356">
        <v>0</v>
      </c>
      <c r="P356">
        <v>4902</v>
      </c>
      <c r="Q356" s="165" t="s">
        <v>225</v>
      </c>
      <c r="R356" s="165"/>
    </row>
    <row r="357" spans="1:19" x14ac:dyDescent="0.25">
      <c r="A357">
        <v>322</v>
      </c>
      <c r="B357" s="144">
        <v>46084</v>
      </c>
      <c r="C357">
        <v>32601</v>
      </c>
      <c r="D357" s="165" t="s">
        <v>3713</v>
      </c>
      <c r="E357" s="165" t="s">
        <v>15</v>
      </c>
      <c r="F357" s="165" t="s">
        <v>247</v>
      </c>
      <c r="G357" s="165" t="s">
        <v>1726</v>
      </c>
      <c r="H357" s="165" t="s">
        <v>3714</v>
      </c>
      <c r="I357" s="144">
        <v>46121</v>
      </c>
      <c r="J357">
        <v>37</v>
      </c>
      <c r="K357" s="165" t="s">
        <v>240</v>
      </c>
      <c r="L357" s="165" t="s">
        <v>8</v>
      </c>
      <c r="M357" s="144">
        <v>46813</v>
      </c>
      <c r="N357" s="146">
        <v>4902</v>
      </c>
      <c r="O357">
        <v>900</v>
      </c>
      <c r="P357">
        <v>4002</v>
      </c>
      <c r="Q357" s="165" t="s">
        <v>225</v>
      </c>
      <c r="R357" s="165"/>
      <c r="S357" t="s">
        <v>269</v>
      </c>
    </row>
    <row r="358" spans="1:19" x14ac:dyDescent="0.25">
      <c r="A358">
        <v>321</v>
      </c>
      <c r="B358" s="144">
        <v>46084</v>
      </c>
      <c r="C358">
        <v>4326</v>
      </c>
      <c r="D358" s="165" t="s">
        <v>3715</v>
      </c>
      <c r="E358" s="165" t="s">
        <v>3716</v>
      </c>
      <c r="F358" s="165" t="s">
        <v>3717</v>
      </c>
      <c r="G358" s="165" t="s">
        <v>1699</v>
      </c>
      <c r="H358" s="165" t="s">
        <v>3718</v>
      </c>
      <c r="I358" s="144">
        <v>47000</v>
      </c>
      <c r="J358">
        <v>916</v>
      </c>
      <c r="K358" s="165" t="s">
        <v>2016</v>
      </c>
      <c r="L358" s="165" t="s">
        <v>8</v>
      </c>
      <c r="M358" s="144">
        <v>46813</v>
      </c>
      <c r="N358" s="146">
        <v>4000</v>
      </c>
      <c r="O358">
        <v>0</v>
      </c>
      <c r="P358">
        <v>4000</v>
      </c>
      <c r="Q358" s="165" t="s">
        <v>225</v>
      </c>
      <c r="R358" s="165"/>
    </row>
    <row r="359" spans="1:19" x14ac:dyDescent="0.25">
      <c r="A359">
        <v>320</v>
      </c>
      <c r="B359" s="144">
        <v>46084</v>
      </c>
      <c r="C359">
        <v>4326</v>
      </c>
      <c r="D359" s="165" t="s">
        <v>3715</v>
      </c>
      <c r="E359" s="165" t="s">
        <v>3716</v>
      </c>
      <c r="F359" s="165" t="s">
        <v>3717</v>
      </c>
      <c r="G359" s="165" t="s">
        <v>721</v>
      </c>
      <c r="H359" s="165" t="s">
        <v>3718</v>
      </c>
      <c r="I359" s="144">
        <v>47000</v>
      </c>
      <c r="J359">
        <v>916</v>
      </c>
      <c r="K359" s="165" t="s">
        <v>2019</v>
      </c>
      <c r="L359" s="165" t="s">
        <v>8</v>
      </c>
      <c r="M359" s="144">
        <v>46813</v>
      </c>
      <c r="N359" s="146">
        <v>4000</v>
      </c>
      <c r="O359">
        <v>0</v>
      </c>
      <c r="P359">
        <v>4000</v>
      </c>
      <c r="Q359" s="165" t="s">
        <v>225</v>
      </c>
      <c r="R359" s="165"/>
    </row>
    <row r="360" spans="1:19" x14ac:dyDescent="0.25">
      <c r="A360">
        <v>319</v>
      </c>
      <c r="B360" s="144">
        <v>46084</v>
      </c>
      <c r="C360">
        <v>4326</v>
      </c>
      <c r="D360" s="165" t="s">
        <v>3715</v>
      </c>
      <c r="E360" s="165" t="s">
        <v>3716</v>
      </c>
      <c r="F360" s="165" t="s">
        <v>3717</v>
      </c>
      <c r="G360" s="165" t="s">
        <v>1472</v>
      </c>
      <c r="H360" s="165" t="s">
        <v>3718</v>
      </c>
      <c r="I360" s="144">
        <v>47000</v>
      </c>
      <c r="J360">
        <v>916</v>
      </c>
      <c r="K360" s="165" t="s">
        <v>240</v>
      </c>
      <c r="L360" s="165" t="s">
        <v>8</v>
      </c>
      <c r="M360" s="144">
        <v>46813</v>
      </c>
      <c r="N360" s="146">
        <v>4000</v>
      </c>
      <c r="O360">
        <v>3100</v>
      </c>
      <c r="P360">
        <v>900</v>
      </c>
      <c r="Q360" s="165" t="s">
        <v>225</v>
      </c>
      <c r="R360" s="165"/>
      <c r="S360" t="s">
        <v>176</v>
      </c>
    </row>
    <row r="361" spans="1:19" x14ac:dyDescent="0.25">
      <c r="A361">
        <v>318</v>
      </c>
      <c r="B361" s="144">
        <v>46084</v>
      </c>
      <c r="C361">
        <v>5326</v>
      </c>
      <c r="D361" s="165" t="s">
        <v>3719</v>
      </c>
      <c r="E361" s="165" t="s">
        <v>13</v>
      </c>
      <c r="F361" s="165" t="s">
        <v>271</v>
      </c>
      <c r="G361" s="165" t="s">
        <v>488</v>
      </c>
      <c r="H361" s="165" t="s">
        <v>3720</v>
      </c>
      <c r="I361" s="144">
        <v>47655</v>
      </c>
      <c r="J361">
        <v>1571</v>
      </c>
      <c r="K361" s="165" t="s">
        <v>2019</v>
      </c>
      <c r="L361" s="165" t="s">
        <v>8</v>
      </c>
      <c r="M361" s="144">
        <v>47543</v>
      </c>
      <c r="N361" s="146">
        <v>4839</v>
      </c>
      <c r="O361">
        <v>0</v>
      </c>
      <c r="P361">
        <v>4839</v>
      </c>
      <c r="Q361" s="165" t="s">
        <v>225</v>
      </c>
      <c r="R361" s="165"/>
    </row>
    <row r="362" spans="1:19" x14ac:dyDescent="0.25">
      <c r="A362">
        <v>317</v>
      </c>
      <c r="B362" s="144">
        <v>46084</v>
      </c>
      <c r="C362">
        <v>5326</v>
      </c>
      <c r="D362" s="165" t="s">
        <v>3719</v>
      </c>
      <c r="E362" s="165" t="s">
        <v>13</v>
      </c>
      <c r="F362" s="165" t="s">
        <v>271</v>
      </c>
      <c r="G362" s="165" t="s">
        <v>1045</v>
      </c>
      <c r="H362" s="165" t="s">
        <v>3720</v>
      </c>
      <c r="I362" s="144">
        <v>47655</v>
      </c>
      <c r="J362">
        <v>1571</v>
      </c>
      <c r="K362" s="165" t="s">
        <v>240</v>
      </c>
      <c r="L362" s="165" t="s">
        <v>8</v>
      </c>
      <c r="M362" s="144">
        <v>47543</v>
      </c>
      <c r="N362" s="146">
        <v>4839</v>
      </c>
      <c r="O362">
        <v>1200</v>
      </c>
      <c r="P362">
        <v>3639</v>
      </c>
      <c r="Q362" s="165" t="s">
        <v>225</v>
      </c>
      <c r="R362" s="165"/>
      <c r="S362" t="s">
        <v>176</v>
      </c>
    </row>
    <row r="363" spans="1:19" x14ac:dyDescent="0.25">
      <c r="A363">
        <v>316</v>
      </c>
      <c r="B363" s="144">
        <v>46080</v>
      </c>
      <c r="C363">
        <v>32621</v>
      </c>
      <c r="D363" s="165" t="s">
        <v>3721</v>
      </c>
      <c r="E363" s="165" t="s">
        <v>2148</v>
      </c>
      <c r="F363" s="165" t="s">
        <v>3722</v>
      </c>
      <c r="G363" s="165" t="s">
        <v>1945</v>
      </c>
      <c r="H363" s="165" t="s">
        <v>3723</v>
      </c>
      <c r="I363" s="144">
        <v>47441</v>
      </c>
      <c r="J363">
        <v>1361</v>
      </c>
      <c r="K363" s="165" t="s">
        <v>2019</v>
      </c>
      <c r="L363" s="165" t="s">
        <v>8</v>
      </c>
      <c r="M363" s="144">
        <v>46813</v>
      </c>
      <c r="N363" s="146">
        <v>4000</v>
      </c>
      <c r="O363">
        <v>0</v>
      </c>
      <c r="P363">
        <v>4000</v>
      </c>
      <c r="Q363" s="165" t="s">
        <v>225</v>
      </c>
      <c r="R363" s="165" t="s">
        <v>3724</v>
      </c>
    </row>
    <row r="364" spans="1:19" x14ac:dyDescent="0.25">
      <c r="A364">
        <v>315</v>
      </c>
      <c r="B364" s="144">
        <v>46080</v>
      </c>
      <c r="C364">
        <v>32621</v>
      </c>
      <c r="D364" s="165" t="s">
        <v>3721</v>
      </c>
      <c r="E364" s="165" t="s">
        <v>2148</v>
      </c>
      <c r="F364" s="165" t="s">
        <v>3722</v>
      </c>
      <c r="G364" s="165" t="s">
        <v>2976</v>
      </c>
      <c r="H364" s="165" t="s">
        <v>3723</v>
      </c>
      <c r="I364" s="144">
        <v>47441</v>
      </c>
      <c r="J364">
        <v>1361</v>
      </c>
      <c r="K364" s="165" t="s">
        <v>240</v>
      </c>
      <c r="L364" s="165" t="s">
        <v>8</v>
      </c>
      <c r="M364" s="144">
        <v>46813</v>
      </c>
      <c r="N364" s="146">
        <v>4000</v>
      </c>
      <c r="O364">
        <v>0</v>
      </c>
      <c r="P364">
        <v>4000</v>
      </c>
      <c r="Q364" s="165" t="s">
        <v>225</v>
      </c>
      <c r="R364" s="165" t="s">
        <v>3724</v>
      </c>
      <c r="S364" t="s">
        <v>2030</v>
      </c>
    </row>
    <row r="365" spans="1:19" x14ac:dyDescent="0.25">
      <c r="A365">
        <v>314</v>
      </c>
      <c r="B365" s="144">
        <v>46080</v>
      </c>
      <c r="C365">
        <v>22659</v>
      </c>
      <c r="D365" s="165" t="s">
        <v>3725</v>
      </c>
      <c r="E365" s="165" t="s">
        <v>12</v>
      </c>
      <c r="F365" s="165" t="s">
        <v>2049</v>
      </c>
      <c r="G365" s="165" t="s">
        <v>325</v>
      </c>
      <c r="H365" s="165" t="s">
        <v>3726</v>
      </c>
      <c r="I365" s="144">
        <v>47791</v>
      </c>
      <c r="J365">
        <v>1711</v>
      </c>
      <c r="K365" s="165" t="s">
        <v>2019</v>
      </c>
      <c r="L365" s="165" t="s">
        <v>8</v>
      </c>
      <c r="M365" s="144">
        <v>47515</v>
      </c>
      <c r="N365" s="146">
        <v>5000</v>
      </c>
      <c r="O365">
        <v>1700</v>
      </c>
      <c r="P365">
        <v>3300</v>
      </c>
      <c r="Q365" s="165" t="s">
        <v>225</v>
      </c>
      <c r="R365" s="165" t="s">
        <v>3727</v>
      </c>
    </row>
    <row r="366" spans="1:19" x14ac:dyDescent="0.25">
      <c r="A366">
        <v>313</v>
      </c>
      <c r="B366" s="144">
        <v>46080</v>
      </c>
      <c r="C366">
        <v>22659</v>
      </c>
      <c r="D366" s="165" t="s">
        <v>3725</v>
      </c>
      <c r="E366" s="165" t="s">
        <v>12</v>
      </c>
      <c r="F366" s="165" t="s">
        <v>2049</v>
      </c>
      <c r="G366" s="165" t="s">
        <v>739</v>
      </c>
      <c r="H366" s="165" t="s">
        <v>3726</v>
      </c>
      <c r="I366" s="144">
        <v>47791</v>
      </c>
      <c r="J366">
        <v>1711</v>
      </c>
      <c r="K366" s="165" t="s">
        <v>240</v>
      </c>
      <c r="L366" s="165" t="s">
        <v>8</v>
      </c>
      <c r="M366" s="144">
        <v>47515</v>
      </c>
      <c r="N366" s="146">
        <v>3000</v>
      </c>
      <c r="O366">
        <v>1600</v>
      </c>
      <c r="P366">
        <v>1400</v>
      </c>
      <c r="Q366" s="165" t="s">
        <v>225</v>
      </c>
      <c r="R366" s="165" t="s">
        <v>3727</v>
      </c>
      <c r="S366" t="s">
        <v>241</v>
      </c>
    </row>
    <row r="367" spans="1:19" x14ac:dyDescent="0.25">
      <c r="A367">
        <v>312</v>
      </c>
      <c r="B367" s="144">
        <v>46080</v>
      </c>
      <c r="C367">
        <v>22660</v>
      </c>
      <c r="D367" s="165" t="s">
        <v>3725</v>
      </c>
      <c r="E367" s="165" t="s">
        <v>12</v>
      </c>
      <c r="F367" s="165" t="s">
        <v>258</v>
      </c>
      <c r="G367" s="165" t="s">
        <v>737</v>
      </c>
      <c r="H367" s="165" t="s">
        <v>3726</v>
      </c>
      <c r="I367" s="144">
        <v>47791</v>
      </c>
      <c r="J367">
        <v>1711</v>
      </c>
      <c r="K367" s="165" t="s">
        <v>240</v>
      </c>
      <c r="L367" s="165" t="s">
        <v>8</v>
      </c>
      <c r="M367" s="144">
        <v>47515</v>
      </c>
      <c r="N367" s="146">
        <v>2000</v>
      </c>
      <c r="O367">
        <v>400</v>
      </c>
      <c r="P367">
        <v>1600</v>
      </c>
      <c r="Q367" s="165" t="s">
        <v>225</v>
      </c>
      <c r="R367" s="165" t="s">
        <v>3727</v>
      </c>
      <c r="S367" t="s">
        <v>241</v>
      </c>
    </row>
    <row r="368" spans="1:19" x14ac:dyDescent="0.25">
      <c r="A368">
        <v>311</v>
      </c>
      <c r="B368" s="144">
        <v>46079</v>
      </c>
      <c r="C368">
        <v>32605</v>
      </c>
      <c r="D368" s="165" t="s">
        <v>2416</v>
      </c>
      <c r="E368" s="165" t="s">
        <v>181</v>
      </c>
      <c r="F368" s="165" t="s">
        <v>271</v>
      </c>
      <c r="G368" s="165" t="s">
        <v>717</v>
      </c>
      <c r="H368" s="165" t="s">
        <v>2417</v>
      </c>
      <c r="I368" s="144">
        <v>46832</v>
      </c>
      <c r="J368">
        <v>753</v>
      </c>
      <c r="K368" s="165" t="s">
        <v>2019</v>
      </c>
      <c r="L368" s="165" t="s">
        <v>102</v>
      </c>
      <c r="M368" s="144">
        <v>46813</v>
      </c>
      <c r="N368" s="146">
        <v>15000</v>
      </c>
      <c r="O368">
        <v>0</v>
      </c>
      <c r="P368">
        <v>15000</v>
      </c>
      <c r="Q368" s="165" t="s">
        <v>225</v>
      </c>
      <c r="R368" s="165"/>
    </row>
    <row r="369" spans="1:19" x14ac:dyDescent="0.25">
      <c r="A369">
        <v>310</v>
      </c>
      <c r="B369" s="144">
        <v>46079</v>
      </c>
      <c r="C369">
        <v>32605</v>
      </c>
      <c r="D369" s="165" t="s">
        <v>2416</v>
      </c>
      <c r="E369" s="165" t="s">
        <v>181</v>
      </c>
      <c r="F369" s="165" t="s">
        <v>271</v>
      </c>
      <c r="G369" s="165" t="s">
        <v>1468</v>
      </c>
      <c r="H369" s="165" t="s">
        <v>2417</v>
      </c>
      <c r="I369" s="144">
        <v>46832</v>
      </c>
      <c r="J369">
        <v>753</v>
      </c>
      <c r="K369" s="165" t="s">
        <v>240</v>
      </c>
      <c r="L369" s="165" t="s">
        <v>102</v>
      </c>
      <c r="M369" s="144">
        <v>46813</v>
      </c>
      <c r="N369" s="146">
        <v>15000</v>
      </c>
      <c r="O369">
        <v>2000</v>
      </c>
      <c r="P369">
        <v>13000</v>
      </c>
      <c r="Q369" s="165" t="s">
        <v>225</v>
      </c>
      <c r="R369" s="165"/>
      <c r="S369" t="s">
        <v>263</v>
      </c>
    </row>
    <row r="370" spans="1:19" x14ac:dyDescent="0.25">
      <c r="A370">
        <v>309</v>
      </c>
      <c r="B370" s="144">
        <v>46079</v>
      </c>
      <c r="C370">
        <v>32604</v>
      </c>
      <c r="D370" s="165" t="s">
        <v>3728</v>
      </c>
      <c r="E370" s="165" t="s">
        <v>181</v>
      </c>
      <c r="F370" s="165" t="s">
        <v>247</v>
      </c>
      <c r="G370" s="165" t="s">
        <v>344</v>
      </c>
      <c r="H370" s="165" t="s">
        <v>3729</v>
      </c>
      <c r="I370" s="144">
        <v>46827</v>
      </c>
      <c r="J370">
        <v>748</v>
      </c>
      <c r="K370" s="165" t="s">
        <v>2019</v>
      </c>
      <c r="L370" s="165" t="s">
        <v>8</v>
      </c>
      <c r="M370" s="144">
        <v>46813</v>
      </c>
      <c r="N370" s="146">
        <v>19802</v>
      </c>
      <c r="O370">
        <v>0</v>
      </c>
      <c r="P370">
        <v>19802</v>
      </c>
      <c r="Q370" s="165" t="s">
        <v>225</v>
      </c>
      <c r="R370" s="165"/>
    </row>
    <row r="371" spans="1:19" x14ac:dyDescent="0.25">
      <c r="A371">
        <v>308</v>
      </c>
      <c r="B371" s="144">
        <v>46079</v>
      </c>
      <c r="C371">
        <v>32604</v>
      </c>
      <c r="D371" s="165" t="s">
        <v>3728</v>
      </c>
      <c r="E371" s="165" t="s">
        <v>181</v>
      </c>
      <c r="F371" s="165" t="s">
        <v>247</v>
      </c>
      <c r="G371" s="165" t="s">
        <v>772</v>
      </c>
      <c r="H371" s="165" t="s">
        <v>3729</v>
      </c>
      <c r="I371" s="144">
        <v>46827</v>
      </c>
      <c r="J371">
        <v>748</v>
      </c>
      <c r="K371" s="165" t="s">
        <v>240</v>
      </c>
      <c r="L371" s="165" t="s">
        <v>8</v>
      </c>
      <c r="M371" s="144">
        <v>46813</v>
      </c>
      <c r="N371" s="146">
        <v>19802</v>
      </c>
      <c r="O371">
        <v>2000</v>
      </c>
      <c r="P371">
        <v>17802</v>
      </c>
      <c r="Q371" s="165" t="s">
        <v>225</v>
      </c>
      <c r="R371" s="165"/>
      <c r="S371" t="s">
        <v>241</v>
      </c>
    </row>
    <row r="372" spans="1:19" x14ac:dyDescent="0.25">
      <c r="A372">
        <v>307</v>
      </c>
      <c r="B372" s="144">
        <v>46079</v>
      </c>
      <c r="C372">
        <v>32606</v>
      </c>
      <c r="D372" s="165" t="s">
        <v>3730</v>
      </c>
      <c r="E372" s="165" t="s">
        <v>13</v>
      </c>
      <c r="F372" s="165" t="s">
        <v>2087</v>
      </c>
      <c r="G372" s="165" t="s">
        <v>467</v>
      </c>
      <c r="H372" s="165" t="s">
        <v>3731</v>
      </c>
      <c r="I372" s="144">
        <v>47792</v>
      </c>
      <c r="J372">
        <v>1713</v>
      </c>
      <c r="K372" s="165" t="s">
        <v>2019</v>
      </c>
      <c r="L372" s="165" t="s">
        <v>8</v>
      </c>
      <c r="M372" s="144">
        <v>47178</v>
      </c>
      <c r="N372" s="146">
        <v>28570</v>
      </c>
      <c r="O372">
        <v>0</v>
      </c>
      <c r="P372">
        <v>28570</v>
      </c>
      <c r="Q372" s="165" t="s">
        <v>225</v>
      </c>
      <c r="R372" s="165"/>
    </row>
    <row r="373" spans="1:19" x14ac:dyDescent="0.25">
      <c r="A373">
        <v>306</v>
      </c>
      <c r="B373" s="144">
        <v>46079</v>
      </c>
      <c r="C373">
        <v>32606</v>
      </c>
      <c r="D373" s="165" t="s">
        <v>3730</v>
      </c>
      <c r="E373" s="165" t="s">
        <v>13</v>
      </c>
      <c r="F373" s="165" t="s">
        <v>2087</v>
      </c>
      <c r="G373" s="165" t="s">
        <v>993</v>
      </c>
      <c r="H373" s="165" t="s">
        <v>3731</v>
      </c>
      <c r="I373" s="144">
        <v>47792</v>
      </c>
      <c r="J373">
        <v>1713</v>
      </c>
      <c r="K373" s="165" t="s">
        <v>240</v>
      </c>
      <c r="L373" s="165" t="s">
        <v>8</v>
      </c>
      <c r="M373" s="144">
        <v>47178</v>
      </c>
      <c r="N373" s="146">
        <v>28570</v>
      </c>
      <c r="O373">
        <v>2500</v>
      </c>
      <c r="P373">
        <v>26070</v>
      </c>
      <c r="Q373" s="165" t="s">
        <v>225</v>
      </c>
      <c r="R373" s="165"/>
      <c r="S373" t="s">
        <v>241</v>
      </c>
    </row>
    <row r="374" spans="1:19" x14ac:dyDescent="0.25">
      <c r="A374">
        <v>305</v>
      </c>
      <c r="B374" s="144">
        <v>46076</v>
      </c>
      <c r="C374">
        <v>22695</v>
      </c>
      <c r="D374" s="165" t="s">
        <v>2457</v>
      </c>
      <c r="E374" s="165" t="s">
        <v>178</v>
      </c>
      <c r="F374" s="165" t="s">
        <v>271</v>
      </c>
      <c r="G374" s="165" t="s">
        <v>576</v>
      </c>
      <c r="H374" s="165" t="s">
        <v>3732</v>
      </c>
      <c r="I374" s="144">
        <v>47862</v>
      </c>
      <c r="J374">
        <v>1786</v>
      </c>
      <c r="K374" s="165" t="s">
        <v>2016</v>
      </c>
      <c r="L374" s="165" t="s">
        <v>8</v>
      </c>
      <c r="M374" s="144">
        <v>46784</v>
      </c>
      <c r="N374" s="146">
        <v>2000</v>
      </c>
      <c r="O374">
        <v>0</v>
      </c>
      <c r="P374">
        <v>2000</v>
      </c>
      <c r="Q374" s="165" t="s">
        <v>225</v>
      </c>
      <c r="R374" s="165"/>
    </row>
    <row r="375" spans="1:19" x14ac:dyDescent="0.25">
      <c r="A375">
        <v>304</v>
      </c>
      <c r="B375" s="144">
        <v>46076</v>
      </c>
      <c r="C375">
        <v>22696</v>
      </c>
      <c r="D375" s="165" t="s">
        <v>3733</v>
      </c>
      <c r="E375" s="165" t="s">
        <v>201</v>
      </c>
      <c r="F375" s="165" t="s">
        <v>3580</v>
      </c>
      <c r="G375" s="165" t="s">
        <v>576</v>
      </c>
      <c r="H375" s="165" t="s">
        <v>3734</v>
      </c>
      <c r="I375" s="144">
        <v>46457</v>
      </c>
      <c r="J375">
        <v>381</v>
      </c>
      <c r="K375" s="165" t="s">
        <v>2016</v>
      </c>
      <c r="L375" s="165" t="s">
        <v>8</v>
      </c>
      <c r="M375" s="144">
        <v>46784</v>
      </c>
      <c r="N375" s="146">
        <v>6900</v>
      </c>
      <c r="O375">
        <v>0</v>
      </c>
      <c r="P375">
        <v>6900</v>
      </c>
      <c r="Q375" s="165" t="s">
        <v>225</v>
      </c>
      <c r="R375" s="165"/>
    </row>
    <row r="376" spans="1:19" x14ac:dyDescent="0.25">
      <c r="A376">
        <v>303</v>
      </c>
      <c r="B376" s="144">
        <v>46076</v>
      </c>
      <c r="C376">
        <v>22696</v>
      </c>
      <c r="D376" s="165" t="s">
        <v>3733</v>
      </c>
      <c r="E376" s="165" t="s">
        <v>201</v>
      </c>
      <c r="F376" s="165" t="s">
        <v>3580</v>
      </c>
      <c r="G376" s="165" t="s">
        <v>391</v>
      </c>
      <c r="H376" s="165" t="s">
        <v>3734</v>
      </c>
      <c r="I376" s="144">
        <v>46457</v>
      </c>
      <c r="J376">
        <v>381</v>
      </c>
      <c r="K376" s="165" t="s">
        <v>2019</v>
      </c>
      <c r="L376" s="165" t="s">
        <v>8</v>
      </c>
      <c r="M376" s="144">
        <v>46784</v>
      </c>
      <c r="N376" s="146">
        <v>6900</v>
      </c>
      <c r="O376">
        <v>0</v>
      </c>
      <c r="P376">
        <v>6900</v>
      </c>
      <c r="Q376" s="165" t="s">
        <v>225</v>
      </c>
      <c r="R376" s="165"/>
    </row>
    <row r="377" spans="1:19" x14ac:dyDescent="0.25">
      <c r="A377">
        <v>302</v>
      </c>
      <c r="B377" s="144">
        <v>46076</v>
      </c>
      <c r="C377">
        <v>22696</v>
      </c>
      <c r="D377" s="165" t="s">
        <v>3733</v>
      </c>
      <c r="E377" s="165" t="s">
        <v>201</v>
      </c>
      <c r="F377" s="165" t="s">
        <v>3580</v>
      </c>
      <c r="G377" s="165" t="s">
        <v>2793</v>
      </c>
      <c r="H377" s="165" t="s">
        <v>3734</v>
      </c>
      <c r="I377" s="144">
        <v>46457</v>
      </c>
      <c r="J377">
        <v>381</v>
      </c>
      <c r="K377" s="165" t="s">
        <v>240</v>
      </c>
      <c r="L377" s="165" t="s">
        <v>8</v>
      </c>
      <c r="M377" s="144">
        <v>46784</v>
      </c>
      <c r="N377" s="146">
        <v>6900</v>
      </c>
      <c r="O377">
        <v>6300</v>
      </c>
      <c r="P377">
        <v>600</v>
      </c>
      <c r="Q377" s="165" t="s">
        <v>225</v>
      </c>
      <c r="R377" s="165"/>
      <c r="S377" t="s">
        <v>269</v>
      </c>
    </row>
    <row r="378" spans="1:19" x14ac:dyDescent="0.25">
      <c r="A378">
        <v>301</v>
      </c>
      <c r="B378" s="144">
        <v>46076</v>
      </c>
      <c r="C378">
        <v>22698</v>
      </c>
      <c r="D378" s="165" t="s">
        <v>3733</v>
      </c>
      <c r="E378" s="165" t="s">
        <v>201</v>
      </c>
      <c r="F378" s="165" t="s">
        <v>3475</v>
      </c>
      <c r="G378" s="165" t="s">
        <v>576</v>
      </c>
      <c r="H378" s="165" t="s">
        <v>3734</v>
      </c>
      <c r="I378" s="144">
        <v>46457</v>
      </c>
      <c r="J378">
        <v>381</v>
      </c>
      <c r="K378" s="165" t="s">
        <v>2016</v>
      </c>
      <c r="L378" s="165" t="s">
        <v>102</v>
      </c>
      <c r="M378" s="144">
        <v>46784</v>
      </c>
      <c r="N378" s="146">
        <v>12000</v>
      </c>
      <c r="O378">
        <v>0</v>
      </c>
      <c r="P378">
        <v>12000</v>
      </c>
      <c r="Q378" s="165" t="s">
        <v>225</v>
      </c>
      <c r="R378" s="165"/>
    </row>
    <row r="379" spans="1:19" x14ac:dyDescent="0.25">
      <c r="A379">
        <v>300</v>
      </c>
      <c r="B379" s="144">
        <v>46076</v>
      </c>
      <c r="C379">
        <v>22698</v>
      </c>
      <c r="D379" s="165" t="s">
        <v>3733</v>
      </c>
      <c r="E379" s="165" t="s">
        <v>201</v>
      </c>
      <c r="F379" s="165" t="s">
        <v>3475</v>
      </c>
      <c r="G379" s="165" t="s">
        <v>391</v>
      </c>
      <c r="H379" s="165" t="s">
        <v>3734</v>
      </c>
      <c r="I379" s="144">
        <v>46457</v>
      </c>
      <c r="J379">
        <v>381</v>
      </c>
      <c r="K379" s="165" t="s">
        <v>2019</v>
      </c>
      <c r="L379" s="165" t="s">
        <v>102</v>
      </c>
      <c r="M379" s="144">
        <v>46784</v>
      </c>
      <c r="N379" s="146">
        <v>12000</v>
      </c>
      <c r="O379">
        <v>0</v>
      </c>
      <c r="P379">
        <v>12000</v>
      </c>
      <c r="Q379" s="165" t="s">
        <v>225</v>
      </c>
      <c r="R379" s="165"/>
    </row>
    <row r="380" spans="1:19" x14ac:dyDescent="0.25">
      <c r="A380">
        <v>299</v>
      </c>
      <c r="B380" s="144">
        <v>46076</v>
      </c>
      <c r="C380">
        <v>22698</v>
      </c>
      <c r="D380" s="165" t="s">
        <v>3733</v>
      </c>
      <c r="E380" s="165" t="s">
        <v>201</v>
      </c>
      <c r="F380" s="165" t="s">
        <v>3475</v>
      </c>
      <c r="G380" s="165" t="s">
        <v>843</v>
      </c>
      <c r="H380" s="165" t="s">
        <v>3734</v>
      </c>
      <c r="I380" s="144">
        <v>46457</v>
      </c>
      <c r="J380">
        <v>381</v>
      </c>
      <c r="K380" s="165" t="s">
        <v>240</v>
      </c>
      <c r="L380" s="165" t="s">
        <v>102</v>
      </c>
      <c r="M380" s="144">
        <v>46784</v>
      </c>
      <c r="N380" s="146">
        <v>12000</v>
      </c>
      <c r="O380">
        <v>1000</v>
      </c>
      <c r="P380">
        <v>11000</v>
      </c>
      <c r="Q380" s="165" t="s">
        <v>225</v>
      </c>
      <c r="R380" s="165"/>
      <c r="S380" t="s">
        <v>269</v>
      </c>
    </row>
    <row r="381" spans="1:19" x14ac:dyDescent="0.25">
      <c r="A381">
        <v>298</v>
      </c>
      <c r="B381" s="144">
        <v>46072</v>
      </c>
      <c r="D381" s="165" t="s">
        <v>3735</v>
      </c>
      <c r="E381" s="165"/>
      <c r="F381" s="165" t="s">
        <v>2003</v>
      </c>
      <c r="G381" s="165" t="s">
        <v>25</v>
      </c>
      <c r="H381" s="165"/>
      <c r="I381" s="144"/>
      <c r="K381" s="165" t="s">
        <v>2292</v>
      </c>
      <c r="L381" s="165"/>
      <c r="M381" s="144"/>
      <c r="N381" s="146">
        <v>10000</v>
      </c>
      <c r="O381">
        <v>0</v>
      </c>
      <c r="P381">
        <v>10000</v>
      </c>
      <c r="Q381" s="165" t="s">
        <v>225</v>
      </c>
      <c r="R381" s="165"/>
    </row>
    <row r="382" spans="1:19" x14ac:dyDescent="0.25">
      <c r="A382">
        <v>297</v>
      </c>
      <c r="B382" s="144">
        <v>46072</v>
      </c>
      <c r="C382">
        <v>22643</v>
      </c>
      <c r="D382" s="165" t="s">
        <v>3736</v>
      </c>
      <c r="E382" s="165" t="s">
        <v>9</v>
      </c>
      <c r="F382" s="165" t="s">
        <v>3737</v>
      </c>
      <c r="G382" s="165" t="s">
        <v>5322</v>
      </c>
      <c r="H382" s="165" t="s">
        <v>2304</v>
      </c>
      <c r="I382" s="144">
        <v>47462</v>
      </c>
      <c r="J382">
        <v>1390</v>
      </c>
      <c r="K382" s="165" t="s">
        <v>240</v>
      </c>
      <c r="L382" s="165" t="s">
        <v>8</v>
      </c>
      <c r="M382" s="144">
        <v>47150</v>
      </c>
      <c r="N382" s="146">
        <v>1083</v>
      </c>
      <c r="O382">
        <v>0</v>
      </c>
      <c r="P382">
        <v>1083</v>
      </c>
      <c r="Q382" s="165" t="s">
        <v>225</v>
      </c>
      <c r="R382" s="165"/>
    </row>
    <row r="383" spans="1:19" x14ac:dyDescent="0.25">
      <c r="A383">
        <v>296</v>
      </c>
      <c r="B383" s="144">
        <v>46066</v>
      </c>
      <c r="C383">
        <v>22689</v>
      </c>
      <c r="D383" s="165" t="s">
        <v>2446</v>
      </c>
      <c r="E383" s="165" t="s">
        <v>9</v>
      </c>
      <c r="F383" s="165" t="s">
        <v>2447</v>
      </c>
      <c r="G383" s="165" t="s">
        <v>1745</v>
      </c>
      <c r="H383" s="165" t="s">
        <v>2448</v>
      </c>
      <c r="I383" s="144">
        <v>45951</v>
      </c>
      <c r="J383">
        <v>-115</v>
      </c>
      <c r="K383" s="165" t="s">
        <v>240</v>
      </c>
      <c r="L383" s="165" t="s">
        <v>8</v>
      </c>
      <c r="M383" s="144">
        <v>46784</v>
      </c>
      <c r="N383" s="146">
        <v>1000</v>
      </c>
      <c r="O383">
        <v>280</v>
      </c>
      <c r="P383">
        <v>0</v>
      </c>
      <c r="Q383" s="165" t="s">
        <v>225</v>
      </c>
      <c r="R383" s="165" t="s">
        <v>303</v>
      </c>
      <c r="S383" t="s">
        <v>263</v>
      </c>
    </row>
    <row r="384" spans="1:19" x14ac:dyDescent="0.25">
      <c r="A384">
        <v>295</v>
      </c>
      <c r="B384" s="144">
        <v>46066</v>
      </c>
      <c r="C384">
        <v>22684</v>
      </c>
      <c r="D384" s="165" t="s">
        <v>2449</v>
      </c>
      <c r="E384" s="165" t="s">
        <v>12</v>
      </c>
      <c r="F384" s="165" t="s">
        <v>258</v>
      </c>
      <c r="G384" s="165" t="s">
        <v>361</v>
      </c>
      <c r="H384" s="165" t="s">
        <v>2450</v>
      </c>
      <c r="I384" s="144">
        <v>46208</v>
      </c>
      <c r="J384">
        <v>142</v>
      </c>
      <c r="K384" s="165" t="s">
        <v>2019</v>
      </c>
      <c r="L384" s="165" t="s">
        <v>8</v>
      </c>
      <c r="M384" s="144">
        <v>46784</v>
      </c>
      <c r="N384" s="146">
        <v>3000</v>
      </c>
      <c r="O384">
        <v>0</v>
      </c>
      <c r="P384">
        <v>3000</v>
      </c>
      <c r="Q384" s="165" t="s">
        <v>225</v>
      </c>
      <c r="R384" s="165" t="s">
        <v>2027</v>
      </c>
    </row>
    <row r="385" spans="1:19" x14ac:dyDescent="0.25">
      <c r="A385">
        <v>294</v>
      </c>
      <c r="B385" s="144">
        <v>46066</v>
      </c>
      <c r="C385">
        <v>22686</v>
      </c>
      <c r="D385" s="165" t="s">
        <v>2352</v>
      </c>
      <c r="E385" s="165" t="s">
        <v>181</v>
      </c>
      <c r="F385" s="165" t="s">
        <v>247</v>
      </c>
      <c r="G385" s="165" t="s">
        <v>2968</v>
      </c>
      <c r="H385" s="165" t="s">
        <v>2451</v>
      </c>
      <c r="I385" s="144">
        <v>47113</v>
      </c>
      <c r="J385">
        <v>1047</v>
      </c>
      <c r="K385" s="165" t="s">
        <v>2019</v>
      </c>
      <c r="L385" s="165" t="s">
        <v>8</v>
      </c>
      <c r="M385" s="144">
        <v>46784</v>
      </c>
      <c r="N385" s="146">
        <v>6000</v>
      </c>
      <c r="O385">
        <v>0</v>
      </c>
      <c r="P385">
        <v>6000</v>
      </c>
      <c r="Q385" s="165" t="s">
        <v>225</v>
      </c>
      <c r="R385" s="165" t="s">
        <v>2027</v>
      </c>
    </row>
    <row r="386" spans="1:19" x14ac:dyDescent="0.25">
      <c r="A386">
        <v>293</v>
      </c>
      <c r="B386" s="144">
        <v>46066</v>
      </c>
      <c r="C386">
        <v>22694</v>
      </c>
      <c r="D386" s="165" t="s">
        <v>2452</v>
      </c>
      <c r="E386" s="165" t="s">
        <v>12</v>
      </c>
      <c r="F386" s="165" t="s">
        <v>2453</v>
      </c>
      <c r="G386" s="165" t="s">
        <v>699</v>
      </c>
      <c r="H386" s="165" t="s">
        <v>2454</v>
      </c>
      <c r="I386" s="144">
        <v>46484</v>
      </c>
      <c r="J386">
        <v>418</v>
      </c>
      <c r="K386" s="165" t="s">
        <v>2019</v>
      </c>
      <c r="L386" s="165" t="s">
        <v>8</v>
      </c>
      <c r="M386" s="144">
        <v>46784</v>
      </c>
      <c r="N386" s="146">
        <v>4000</v>
      </c>
      <c r="O386">
        <v>0</v>
      </c>
      <c r="P386">
        <v>4000</v>
      </c>
      <c r="Q386" s="165" t="s">
        <v>225</v>
      </c>
      <c r="R386" s="165" t="s">
        <v>2027</v>
      </c>
    </row>
    <row r="387" spans="1:19" x14ac:dyDescent="0.25">
      <c r="A387">
        <v>293</v>
      </c>
      <c r="B387" s="144">
        <v>46066</v>
      </c>
      <c r="C387">
        <v>22693</v>
      </c>
      <c r="D387" s="165" t="s">
        <v>2452</v>
      </c>
      <c r="E387" s="165" t="s">
        <v>12</v>
      </c>
      <c r="F387" s="165" t="s">
        <v>2453</v>
      </c>
      <c r="G387" s="165" t="s">
        <v>699</v>
      </c>
      <c r="H387" s="165" t="s">
        <v>2454</v>
      </c>
      <c r="I387" s="144">
        <v>46484</v>
      </c>
      <c r="J387">
        <v>418</v>
      </c>
      <c r="K387" s="165" t="s">
        <v>2019</v>
      </c>
      <c r="L387" s="165" t="s">
        <v>8</v>
      </c>
      <c r="M387" s="144">
        <v>46784</v>
      </c>
      <c r="N387" s="146">
        <v>4000</v>
      </c>
      <c r="O387">
        <v>0</v>
      </c>
      <c r="P387">
        <v>4000</v>
      </c>
      <c r="Q387" s="165" t="s">
        <v>225</v>
      </c>
      <c r="R387" s="165" t="s">
        <v>2027</v>
      </c>
    </row>
    <row r="388" spans="1:19" x14ac:dyDescent="0.25">
      <c r="A388">
        <v>292</v>
      </c>
      <c r="B388" s="144">
        <v>46066</v>
      </c>
      <c r="C388">
        <v>22687</v>
      </c>
      <c r="D388" s="165" t="s">
        <v>2455</v>
      </c>
      <c r="E388" s="165" t="s">
        <v>2434</v>
      </c>
      <c r="F388" s="165" t="s">
        <v>293</v>
      </c>
      <c r="G388" s="165" t="s">
        <v>1662</v>
      </c>
      <c r="H388" s="165" t="s">
        <v>2456</v>
      </c>
      <c r="I388" s="144">
        <v>46828</v>
      </c>
      <c r="J388">
        <v>762</v>
      </c>
      <c r="K388" s="165" t="s">
        <v>2019</v>
      </c>
      <c r="L388" s="165" t="s">
        <v>8</v>
      </c>
      <c r="M388" s="144">
        <v>46784</v>
      </c>
      <c r="N388" s="146">
        <v>3000</v>
      </c>
      <c r="O388">
        <v>0</v>
      </c>
      <c r="P388">
        <v>3000</v>
      </c>
      <c r="Q388" s="165" t="s">
        <v>225</v>
      </c>
      <c r="R388" s="165"/>
    </row>
    <row r="389" spans="1:19" x14ac:dyDescent="0.25">
      <c r="A389">
        <v>291</v>
      </c>
      <c r="B389" s="144">
        <v>46066</v>
      </c>
      <c r="C389">
        <v>22687</v>
      </c>
      <c r="D389" s="165" t="s">
        <v>2455</v>
      </c>
      <c r="E389" s="165" t="s">
        <v>2434</v>
      </c>
      <c r="F389" s="165" t="s">
        <v>293</v>
      </c>
      <c r="G389" s="165" t="s">
        <v>1735</v>
      </c>
      <c r="H389" s="165" t="s">
        <v>2456</v>
      </c>
      <c r="I389" s="144">
        <v>46828</v>
      </c>
      <c r="J389">
        <v>762</v>
      </c>
      <c r="K389" s="165" t="s">
        <v>240</v>
      </c>
      <c r="L389" s="165" t="s">
        <v>8</v>
      </c>
      <c r="M389" s="144">
        <v>46784</v>
      </c>
      <c r="N389" s="146">
        <v>3000</v>
      </c>
      <c r="O389">
        <v>300</v>
      </c>
      <c r="P389">
        <v>2700</v>
      </c>
      <c r="Q389" s="165" t="s">
        <v>225</v>
      </c>
      <c r="R389" s="165"/>
      <c r="S389" t="s">
        <v>263</v>
      </c>
    </row>
    <row r="390" spans="1:19" x14ac:dyDescent="0.25">
      <c r="A390">
        <v>290</v>
      </c>
      <c r="B390" s="144">
        <v>46065</v>
      </c>
      <c r="C390">
        <v>22695</v>
      </c>
      <c r="D390" s="165" t="s">
        <v>2457</v>
      </c>
      <c r="E390" s="165" t="s">
        <v>178</v>
      </c>
      <c r="F390" s="165" t="s">
        <v>271</v>
      </c>
      <c r="G390" s="165" t="s">
        <v>675</v>
      </c>
      <c r="H390" s="165" t="s">
        <v>3732</v>
      </c>
      <c r="I390" s="144">
        <v>47862</v>
      </c>
      <c r="J390">
        <v>1797</v>
      </c>
      <c r="K390" s="165" t="s">
        <v>2019</v>
      </c>
      <c r="L390" s="165" t="s">
        <v>8</v>
      </c>
      <c r="M390" s="144">
        <v>46784</v>
      </c>
      <c r="N390" s="146">
        <v>2000</v>
      </c>
      <c r="O390">
        <v>0</v>
      </c>
      <c r="P390">
        <v>2000</v>
      </c>
      <c r="Q390" s="165" t="s">
        <v>225</v>
      </c>
      <c r="R390" s="165"/>
    </row>
    <row r="391" spans="1:19" x14ac:dyDescent="0.25">
      <c r="A391">
        <v>289</v>
      </c>
      <c r="B391" s="144">
        <v>46065</v>
      </c>
      <c r="C391">
        <v>22695</v>
      </c>
      <c r="D391" s="165" t="s">
        <v>2457</v>
      </c>
      <c r="E391" s="165" t="s">
        <v>178</v>
      </c>
      <c r="F391" s="165" t="s">
        <v>271</v>
      </c>
      <c r="G391" s="165" t="s">
        <v>1341</v>
      </c>
      <c r="H391" s="165" t="s">
        <v>3732</v>
      </c>
      <c r="I391" s="144">
        <v>47862</v>
      </c>
      <c r="J391">
        <v>1797</v>
      </c>
      <c r="K391" s="165" t="s">
        <v>240</v>
      </c>
      <c r="L391" s="165" t="s">
        <v>8</v>
      </c>
      <c r="M391" s="144">
        <v>46784</v>
      </c>
      <c r="N391" s="146">
        <v>2000</v>
      </c>
      <c r="O391">
        <v>0</v>
      </c>
      <c r="P391">
        <v>2000</v>
      </c>
      <c r="Q391" s="165" t="s">
        <v>225</v>
      </c>
      <c r="R391" s="165"/>
      <c r="S391" t="s">
        <v>263</v>
      </c>
    </row>
    <row r="392" spans="1:19" x14ac:dyDescent="0.25">
      <c r="A392">
        <v>288</v>
      </c>
      <c r="B392" s="144">
        <v>46065</v>
      </c>
      <c r="C392">
        <v>22691</v>
      </c>
      <c r="D392" s="165" t="s">
        <v>2458</v>
      </c>
      <c r="E392" s="165" t="s">
        <v>12</v>
      </c>
      <c r="F392" s="165" t="s">
        <v>258</v>
      </c>
      <c r="G392" s="165" t="s">
        <v>393</v>
      </c>
      <c r="H392" s="165" t="s">
        <v>2459</v>
      </c>
      <c r="I392" s="144">
        <v>46670</v>
      </c>
      <c r="J392">
        <v>605</v>
      </c>
      <c r="K392" s="165" t="s">
        <v>2019</v>
      </c>
      <c r="L392" s="165" t="s">
        <v>8</v>
      </c>
      <c r="M392" s="144">
        <v>47515</v>
      </c>
      <c r="N392" s="146">
        <v>2000</v>
      </c>
      <c r="O392">
        <v>0</v>
      </c>
      <c r="P392">
        <v>2000</v>
      </c>
      <c r="Q392" s="165" t="s">
        <v>225</v>
      </c>
      <c r="R392" s="165"/>
    </row>
    <row r="393" spans="1:19" x14ac:dyDescent="0.25">
      <c r="A393">
        <v>287</v>
      </c>
      <c r="B393" s="144">
        <v>46065</v>
      </c>
      <c r="C393">
        <v>22691</v>
      </c>
      <c r="D393" s="165" t="s">
        <v>2458</v>
      </c>
      <c r="E393" s="165" t="s">
        <v>12</v>
      </c>
      <c r="F393" s="165" t="s">
        <v>258</v>
      </c>
      <c r="G393" s="165" t="s">
        <v>849</v>
      </c>
      <c r="H393" s="165" t="s">
        <v>2459</v>
      </c>
      <c r="I393" s="144">
        <v>46670</v>
      </c>
      <c r="J393">
        <v>605</v>
      </c>
      <c r="K393" s="165" t="s">
        <v>240</v>
      </c>
      <c r="L393" s="165" t="s">
        <v>8</v>
      </c>
      <c r="M393" s="144">
        <v>47515</v>
      </c>
      <c r="N393" s="146">
        <v>2000</v>
      </c>
      <c r="O393">
        <v>0</v>
      </c>
      <c r="P393">
        <v>2000</v>
      </c>
      <c r="Q393" s="165" t="s">
        <v>225</v>
      </c>
      <c r="R393" s="165"/>
      <c r="S393" t="s">
        <v>241</v>
      </c>
    </row>
    <row r="394" spans="1:19" x14ac:dyDescent="0.25">
      <c r="A394">
        <v>286</v>
      </c>
      <c r="B394" s="144">
        <v>46065</v>
      </c>
      <c r="C394">
        <v>22690</v>
      </c>
      <c r="D394" s="165" t="s">
        <v>2460</v>
      </c>
      <c r="E394" s="165" t="s">
        <v>12</v>
      </c>
      <c r="F394" s="165" t="s">
        <v>258</v>
      </c>
      <c r="G394" s="165" t="s">
        <v>570</v>
      </c>
      <c r="H394" s="165" t="s">
        <v>2461</v>
      </c>
      <c r="I394" s="144">
        <v>46128</v>
      </c>
      <c r="J394">
        <v>63</v>
      </c>
      <c r="K394" s="165" t="s">
        <v>2019</v>
      </c>
      <c r="L394" s="165" t="s">
        <v>8</v>
      </c>
      <c r="M394" s="144">
        <v>46784</v>
      </c>
      <c r="N394" s="146">
        <v>6000</v>
      </c>
      <c r="O394">
        <v>0</v>
      </c>
      <c r="P394">
        <v>6000</v>
      </c>
      <c r="Q394" s="165" t="s">
        <v>225</v>
      </c>
      <c r="R394" s="165"/>
    </row>
    <row r="395" spans="1:19" x14ac:dyDescent="0.25">
      <c r="A395">
        <v>285</v>
      </c>
      <c r="B395" s="144">
        <v>46065</v>
      </c>
      <c r="C395">
        <v>22690</v>
      </c>
      <c r="D395" s="165" t="s">
        <v>2460</v>
      </c>
      <c r="E395" s="165" t="s">
        <v>12</v>
      </c>
      <c r="F395" s="165" t="s">
        <v>258</v>
      </c>
      <c r="G395" s="165" t="s">
        <v>1172</v>
      </c>
      <c r="H395" s="165" t="s">
        <v>2461</v>
      </c>
      <c r="I395" s="144">
        <v>46128</v>
      </c>
      <c r="J395">
        <v>63</v>
      </c>
      <c r="K395" s="165" t="s">
        <v>240</v>
      </c>
      <c r="L395" s="165" t="s">
        <v>8</v>
      </c>
      <c r="M395" s="144">
        <v>46784</v>
      </c>
      <c r="N395" s="146">
        <v>6000</v>
      </c>
      <c r="O395">
        <v>1500</v>
      </c>
      <c r="P395">
        <v>4500</v>
      </c>
      <c r="Q395" s="165" t="s">
        <v>225</v>
      </c>
      <c r="R395" s="165"/>
      <c r="S395" t="s">
        <v>241</v>
      </c>
    </row>
    <row r="396" spans="1:19" x14ac:dyDescent="0.25">
      <c r="A396">
        <v>284</v>
      </c>
      <c r="B396" s="144">
        <v>46065</v>
      </c>
      <c r="C396">
        <v>22688</v>
      </c>
      <c r="D396" s="165" t="s">
        <v>2093</v>
      </c>
      <c r="E396" s="165" t="s">
        <v>181</v>
      </c>
      <c r="F396" s="165" t="s">
        <v>271</v>
      </c>
      <c r="G396" s="165" t="s">
        <v>628</v>
      </c>
      <c r="H396" s="165" t="s">
        <v>2095</v>
      </c>
      <c r="I396" s="144">
        <v>47294</v>
      </c>
      <c r="J396">
        <v>1229</v>
      </c>
      <c r="K396" s="165" t="s">
        <v>2019</v>
      </c>
      <c r="L396" s="165" t="s">
        <v>102</v>
      </c>
      <c r="M396" s="144">
        <v>46784</v>
      </c>
      <c r="N396" s="146">
        <v>16129</v>
      </c>
      <c r="O396">
        <v>0</v>
      </c>
      <c r="P396">
        <v>16129</v>
      </c>
      <c r="Q396" s="165" t="s">
        <v>225</v>
      </c>
      <c r="R396" s="165"/>
    </row>
    <row r="397" spans="1:19" x14ac:dyDescent="0.25">
      <c r="A397">
        <v>283</v>
      </c>
      <c r="B397" s="144">
        <v>46065</v>
      </c>
      <c r="C397">
        <v>22688</v>
      </c>
      <c r="D397" s="165" t="s">
        <v>2093</v>
      </c>
      <c r="E397" s="165" t="s">
        <v>181</v>
      </c>
      <c r="F397" s="165" t="s">
        <v>271</v>
      </c>
      <c r="G397" s="165" t="s">
        <v>1266</v>
      </c>
      <c r="H397" s="165" t="s">
        <v>2095</v>
      </c>
      <c r="I397" s="144">
        <v>47294</v>
      </c>
      <c r="J397">
        <v>1229</v>
      </c>
      <c r="K397" s="165" t="s">
        <v>240</v>
      </c>
      <c r="L397" s="165" t="s">
        <v>102</v>
      </c>
      <c r="M397" s="144">
        <v>46784</v>
      </c>
      <c r="N397" s="146">
        <v>16129</v>
      </c>
      <c r="O397">
        <v>1000</v>
      </c>
      <c r="P397">
        <v>15129</v>
      </c>
      <c r="Q397" s="165" t="s">
        <v>225</v>
      </c>
      <c r="R397" s="165" t="s">
        <v>3738</v>
      </c>
      <c r="S397" t="s">
        <v>269</v>
      </c>
    </row>
    <row r="398" spans="1:19" x14ac:dyDescent="0.25">
      <c r="A398">
        <v>282</v>
      </c>
      <c r="B398" s="144">
        <v>46065</v>
      </c>
      <c r="C398">
        <v>22692</v>
      </c>
      <c r="D398" s="165" t="s">
        <v>2066</v>
      </c>
      <c r="E398" s="165" t="s">
        <v>12</v>
      </c>
      <c r="F398" s="165" t="s">
        <v>261</v>
      </c>
      <c r="G398" s="165" t="s">
        <v>1343</v>
      </c>
      <c r="H398" s="165" t="s">
        <v>2067</v>
      </c>
      <c r="I398" s="144">
        <v>45872</v>
      </c>
      <c r="J398">
        <v>-193</v>
      </c>
      <c r="K398" s="165" t="s">
        <v>262</v>
      </c>
      <c r="L398" s="165" t="s">
        <v>102</v>
      </c>
      <c r="M398" s="144">
        <v>46784</v>
      </c>
      <c r="N398" s="146">
        <v>13000</v>
      </c>
      <c r="O398">
        <v>1200</v>
      </c>
      <c r="P398">
        <v>11800</v>
      </c>
      <c r="Q398" s="165" t="s">
        <v>225</v>
      </c>
      <c r="R398" s="165"/>
      <c r="S398" t="s">
        <v>263</v>
      </c>
    </row>
    <row r="399" spans="1:19" x14ac:dyDescent="0.25">
      <c r="A399">
        <v>281</v>
      </c>
      <c r="B399" s="144">
        <v>46065</v>
      </c>
      <c r="C399">
        <v>22685</v>
      </c>
      <c r="D399" s="165" t="s">
        <v>2462</v>
      </c>
      <c r="E399" s="165" t="s">
        <v>181</v>
      </c>
      <c r="F399" s="165" t="s">
        <v>299</v>
      </c>
      <c r="G399" s="165" t="s">
        <v>421</v>
      </c>
      <c r="H399" s="165" t="s">
        <v>2463</v>
      </c>
      <c r="I399" s="144">
        <v>46485</v>
      </c>
      <c r="J399">
        <v>420</v>
      </c>
      <c r="K399" s="165" t="s">
        <v>2019</v>
      </c>
      <c r="L399" s="165" t="s">
        <v>8</v>
      </c>
      <c r="M399" s="144">
        <v>46784</v>
      </c>
      <c r="N399" s="146">
        <v>29508</v>
      </c>
      <c r="O399">
        <v>0</v>
      </c>
      <c r="P399">
        <v>29508</v>
      </c>
      <c r="Q399" s="165" t="s">
        <v>225</v>
      </c>
      <c r="R399" s="165"/>
    </row>
    <row r="400" spans="1:19" x14ac:dyDescent="0.25">
      <c r="A400">
        <v>280</v>
      </c>
      <c r="B400" s="144">
        <v>46065</v>
      </c>
      <c r="C400">
        <v>22685</v>
      </c>
      <c r="D400" s="165" t="s">
        <v>2462</v>
      </c>
      <c r="E400" s="165" t="s">
        <v>181</v>
      </c>
      <c r="F400" s="165" t="s">
        <v>299</v>
      </c>
      <c r="G400" s="165" t="s">
        <v>885</v>
      </c>
      <c r="H400" s="165" t="s">
        <v>2463</v>
      </c>
      <c r="I400" s="144">
        <v>46485</v>
      </c>
      <c r="J400">
        <v>420</v>
      </c>
      <c r="K400" s="165" t="s">
        <v>240</v>
      </c>
      <c r="L400" s="165" t="s">
        <v>8</v>
      </c>
      <c r="M400" s="144">
        <v>46784</v>
      </c>
      <c r="N400" s="146">
        <v>29508</v>
      </c>
      <c r="O400">
        <v>2500</v>
      </c>
      <c r="P400">
        <v>27008</v>
      </c>
      <c r="Q400" s="165" t="s">
        <v>225</v>
      </c>
      <c r="R400" s="165"/>
      <c r="S400" t="s">
        <v>241</v>
      </c>
    </row>
    <row r="401" spans="1:19" x14ac:dyDescent="0.25">
      <c r="A401">
        <v>279</v>
      </c>
      <c r="B401" s="144">
        <v>46063</v>
      </c>
      <c r="D401" s="165" t="s">
        <v>2281</v>
      </c>
      <c r="E401" s="165" t="s">
        <v>212</v>
      </c>
      <c r="F401" s="165" t="s">
        <v>2464</v>
      </c>
      <c r="G401" s="165" t="s">
        <v>415</v>
      </c>
      <c r="H401" s="165" t="s">
        <v>2283</v>
      </c>
      <c r="I401" s="144">
        <v>47722</v>
      </c>
      <c r="J401">
        <v>1659</v>
      </c>
      <c r="K401" s="165" t="s">
        <v>2019</v>
      </c>
      <c r="L401" s="165" t="s">
        <v>8</v>
      </c>
      <c r="M401" s="144">
        <v>47515</v>
      </c>
      <c r="N401" s="146">
        <v>21650</v>
      </c>
      <c r="O401">
        <v>0</v>
      </c>
      <c r="P401">
        <v>21650</v>
      </c>
      <c r="Q401" s="165" t="s">
        <v>225</v>
      </c>
      <c r="R401" s="165"/>
    </row>
    <row r="402" spans="1:19" x14ac:dyDescent="0.25">
      <c r="A402">
        <v>278</v>
      </c>
      <c r="B402" s="144">
        <v>46063</v>
      </c>
      <c r="D402" s="165" t="s">
        <v>2281</v>
      </c>
      <c r="E402" s="165" t="s">
        <v>212</v>
      </c>
      <c r="F402" s="165" t="s">
        <v>2464</v>
      </c>
      <c r="G402" s="165" t="s">
        <v>871</v>
      </c>
      <c r="H402" s="165" t="s">
        <v>2283</v>
      </c>
      <c r="I402" s="144">
        <v>47722</v>
      </c>
      <c r="J402">
        <v>1659</v>
      </c>
      <c r="K402" s="165" t="s">
        <v>240</v>
      </c>
      <c r="L402" s="165" t="s">
        <v>8</v>
      </c>
      <c r="M402" s="144">
        <v>47515</v>
      </c>
      <c r="N402" s="146">
        <v>21650</v>
      </c>
      <c r="O402">
        <v>0</v>
      </c>
      <c r="P402">
        <v>21650</v>
      </c>
      <c r="Q402" s="165" t="s">
        <v>225</v>
      </c>
      <c r="R402" s="165"/>
      <c r="S402" t="s">
        <v>263</v>
      </c>
    </row>
    <row r="403" spans="1:19" x14ac:dyDescent="0.25">
      <c r="A403">
        <v>277</v>
      </c>
      <c r="B403" s="144">
        <v>46063</v>
      </c>
      <c r="C403">
        <v>22652</v>
      </c>
      <c r="D403" s="165" t="s">
        <v>2316</v>
      </c>
      <c r="E403" s="165" t="s">
        <v>16</v>
      </c>
      <c r="F403" s="165" t="s">
        <v>2317</v>
      </c>
      <c r="G403" s="165" t="s">
        <v>5323</v>
      </c>
      <c r="H403" s="165" t="s">
        <v>2318</v>
      </c>
      <c r="I403" s="144">
        <v>46538</v>
      </c>
      <c r="J403">
        <v>475</v>
      </c>
      <c r="K403" s="165" t="s">
        <v>2319</v>
      </c>
      <c r="L403" s="165" t="s">
        <v>8</v>
      </c>
      <c r="M403" s="144">
        <v>46784</v>
      </c>
      <c r="N403" s="146">
        <v>5500</v>
      </c>
      <c r="O403">
        <v>0</v>
      </c>
      <c r="P403">
        <v>5500</v>
      </c>
      <c r="Q403" s="165" t="s">
        <v>225</v>
      </c>
      <c r="R403" s="165" t="s">
        <v>2320</v>
      </c>
    </row>
    <row r="404" spans="1:19" x14ac:dyDescent="0.25">
      <c r="A404">
        <v>276</v>
      </c>
      <c r="B404" s="144">
        <v>46062</v>
      </c>
      <c r="C404">
        <v>22623</v>
      </c>
      <c r="D404" s="165" t="s">
        <v>2321</v>
      </c>
      <c r="E404" s="165" t="s">
        <v>141</v>
      </c>
      <c r="F404" s="165" t="s">
        <v>258</v>
      </c>
      <c r="G404" s="165" t="s">
        <v>658</v>
      </c>
      <c r="H404" s="165" t="s">
        <v>2322</v>
      </c>
      <c r="I404" s="144">
        <v>46120</v>
      </c>
      <c r="J404">
        <v>58</v>
      </c>
      <c r="K404" s="165" t="s">
        <v>2019</v>
      </c>
      <c r="L404" s="165" t="s">
        <v>8</v>
      </c>
      <c r="M404" s="144">
        <v>46784</v>
      </c>
      <c r="N404" s="146">
        <v>2500</v>
      </c>
      <c r="O404">
        <v>0</v>
      </c>
      <c r="P404">
        <v>2500</v>
      </c>
      <c r="Q404" s="165" t="s">
        <v>225</v>
      </c>
      <c r="R404" s="165"/>
    </row>
    <row r="405" spans="1:19" x14ac:dyDescent="0.25">
      <c r="A405">
        <v>275</v>
      </c>
      <c r="B405" s="144">
        <v>46062</v>
      </c>
      <c r="C405">
        <v>22623</v>
      </c>
      <c r="D405" s="165" t="s">
        <v>2321</v>
      </c>
      <c r="E405" s="165" t="s">
        <v>141</v>
      </c>
      <c r="F405" s="165" t="s">
        <v>258</v>
      </c>
      <c r="G405" s="165" t="s">
        <v>1314</v>
      </c>
      <c r="H405" s="165" t="s">
        <v>2322</v>
      </c>
      <c r="I405" s="144">
        <v>46120</v>
      </c>
      <c r="J405">
        <v>58</v>
      </c>
      <c r="K405" s="165" t="s">
        <v>240</v>
      </c>
      <c r="L405" s="165" t="s">
        <v>8</v>
      </c>
      <c r="M405" s="144">
        <v>46784</v>
      </c>
      <c r="N405" s="146">
        <v>2500</v>
      </c>
      <c r="O405">
        <v>500</v>
      </c>
      <c r="P405">
        <v>2000</v>
      </c>
      <c r="Q405" s="165" t="s">
        <v>225</v>
      </c>
      <c r="R405" s="165"/>
      <c r="S405" t="s">
        <v>241</v>
      </c>
    </row>
    <row r="406" spans="1:19" x14ac:dyDescent="0.25">
      <c r="A406">
        <v>274</v>
      </c>
      <c r="B406" s="144">
        <v>46062</v>
      </c>
      <c r="D406" s="165" t="s">
        <v>2323</v>
      </c>
      <c r="E406" s="165" t="s">
        <v>2111</v>
      </c>
      <c r="F406" s="165" t="s">
        <v>2296</v>
      </c>
      <c r="G406" s="165" t="s">
        <v>526</v>
      </c>
      <c r="H406" s="165" t="s">
        <v>2324</v>
      </c>
      <c r="I406" s="144">
        <v>47197</v>
      </c>
      <c r="J406">
        <v>1135</v>
      </c>
      <c r="K406" s="165" t="s">
        <v>2019</v>
      </c>
      <c r="L406" s="165" t="s">
        <v>8</v>
      </c>
      <c r="M406" s="144">
        <v>47150</v>
      </c>
      <c r="N406" s="146">
        <v>1600</v>
      </c>
      <c r="O406">
        <v>0</v>
      </c>
      <c r="P406">
        <v>1600</v>
      </c>
      <c r="Q406" s="165" t="s">
        <v>225</v>
      </c>
      <c r="R406" s="165"/>
    </row>
    <row r="407" spans="1:19" x14ac:dyDescent="0.25">
      <c r="A407">
        <v>273</v>
      </c>
      <c r="B407" s="144">
        <v>46062</v>
      </c>
      <c r="D407" s="165" t="s">
        <v>2323</v>
      </c>
      <c r="E407" s="165" t="s">
        <v>2111</v>
      </c>
      <c r="F407" s="165" t="s">
        <v>2296</v>
      </c>
      <c r="G407" s="165" t="s">
        <v>1104</v>
      </c>
      <c r="H407" s="165" t="s">
        <v>2324</v>
      </c>
      <c r="I407" s="144">
        <v>47197</v>
      </c>
      <c r="J407">
        <v>1135</v>
      </c>
      <c r="K407" s="165" t="s">
        <v>240</v>
      </c>
      <c r="L407" s="165" t="s">
        <v>8</v>
      </c>
      <c r="M407" s="144">
        <v>47150</v>
      </c>
      <c r="N407" s="146">
        <v>1600</v>
      </c>
      <c r="O407">
        <v>300</v>
      </c>
      <c r="P407">
        <v>1300</v>
      </c>
      <c r="Q407" s="165" t="s">
        <v>225</v>
      </c>
      <c r="R407" s="165"/>
      <c r="S407" t="s">
        <v>241</v>
      </c>
    </row>
    <row r="408" spans="1:19" x14ac:dyDescent="0.25">
      <c r="A408">
        <v>272</v>
      </c>
      <c r="B408" s="144">
        <v>46062</v>
      </c>
      <c r="D408" s="165" t="s">
        <v>2325</v>
      </c>
      <c r="E408" s="165" t="s">
        <v>2111</v>
      </c>
      <c r="F408" s="165" t="s">
        <v>2296</v>
      </c>
      <c r="G408" s="165" t="s">
        <v>448</v>
      </c>
      <c r="H408" s="165" t="s">
        <v>2326</v>
      </c>
      <c r="I408" s="144">
        <v>47144</v>
      </c>
      <c r="J408">
        <v>1082</v>
      </c>
      <c r="K408" s="165" t="s">
        <v>2019</v>
      </c>
      <c r="L408" s="165" t="s">
        <v>8</v>
      </c>
      <c r="M408" s="144">
        <v>46784</v>
      </c>
      <c r="N408" s="146">
        <v>2800</v>
      </c>
      <c r="O408">
        <v>0</v>
      </c>
      <c r="P408">
        <v>2800</v>
      </c>
      <c r="Q408" s="165" t="s">
        <v>225</v>
      </c>
      <c r="R408" s="165"/>
    </row>
    <row r="409" spans="1:19" x14ac:dyDescent="0.25">
      <c r="A409">
        <v>271</v>
      </c>
      <c r="B409" s="144">
        <v>46062</v>
      </c>
      <c r="D409" s="165" t="s">
        <v>2325</v>
      </c>
      <c r="E409" s="165" t="s">
        <v>2111</v>
      </c>
      <c r="F409" s="165" t="s">
        <v>2296</v>
      </c>
      <c r="G409" s="165" t="s">
        <v>947</v>
      </c>
      <c r="H409" s="165" t="s">
        <v>2326</v>
      </c>
      <c r="I409" s="144">
        <v>47144</v>
      </c>
      <c r="J409">
        <v>1082</v>
      </c>
      <c r="K409" s="165" t="s">
        <v>240</v>
      </c>
      <c r="L409" s="165" t="s">
        <v>8</v>
      </c>
      <c r="M409" s="144">
        <v>46784</v>
      </c>
      <c r="N409" s="146">
        <v>2800</v>
      </c>
      <c r="O409">
        <v>0</v>
      </c>
      <c r="P409">
        <v>2800</v>
      </c>
      <c r="Q409" s="165" t="s">
        <v>225</v>
      </c>
      <c r="R409" s="165" t="s">
        <v>2327</v>
      </c>
      <c r="S409" t="s">
        <v>241</v>
      </c>
    </row>
    <row r="410" spans="1:19" x14ac:dyDescent="0.25">
      <c r="A410">
        <v>270</v>
      </c>
      <c r="B410" s="144">
        <v>46059</v>
      </c>
      <c r="C410">
        <v>22649</v>
      </c>
      <c r="D410" s="165" t="s">
        <v>2328</v>
      </c>
      <c r="E410" s="165" t="s">
        <v>11</v>
      </c>
      <c r="F410" s="165" t="s">
        <v>258</v>
      </c>
      <c r="G410" s="165" t="s">
        <v>1136</v>
      </c>
      <c r="H410" s="165" t="s">
        <v>2329</v>
      </c>
      <c r="I410" s="144">
        <v>46152</v>
      </c>
      <c r="J410">
        <v>93</v>
      </c>
      <c r="K410" s="165" t="s">
        <v>240</v>
      </c>
      <c r="L410" s="165" t="s">
        <v>8</v>
      </c>
      <c r="M410" s="144">
        <v>46784</v>
      </c>
      <c r="N410" s="146">
        <v>1200</v>
      </c>
      <c r="O410">
        <v>250</v>
      </c>
      <c r="P410">
        <v>950</v>
      </c>
      <c r="Q410" s="165" t="s">
        <v>225</v>
      </c>
      <c r="R410" s="165" t="s">
        <v>303</v>
      </c>
      <c r="S410" t="s">
        <v>241</v>
      </c>
    </row>
    <row r="411" spans="1:19" x14ac:dyDescent="0.25">
      <c r="A411">
        <v>269</v>
      </c>
      <c r="B411" s="144">
        <v>46059</v>
      </c>
      <c r="C411">
        <v>22664</v>
      </c>
      <c r="D411" s="165" t="s">
        <v>2330</v>
      </c>
      <c r="E411" s="165" t="s">
        <v>12</v>
      </c>
      <c r="F411" s="165" t="s">
        <v>2331</v>
      </c>
      <c r="G411" s="165" t="s">
        <v>652</v>
      </c>
      <c r="H411" s="165" t="s">
        <v>2332</v>
      </c>
      <c r="I411" s="144">
        <v>47388</v>
      </c>
      <c r="J411">
        <v>1329</v>
      </c>
      <c r="K411" s="165" t="s">
        <v>2019</v>
      </c>
      <c r="L411" s="165" t="s">
        <v>8</v>
      </c>
      <c r="M411" s="144">
        <v>47515</v>
      </c>
      <c r="N411" s="146">
        <v>6667</v>
      </c>
      <c r="O411">
        <v>1000</v>
      </c>
      <c r="P411">
        <v>5667</v>
      </c>
      <c r="Q411" s="165" t="s">
        <v>225</v>
      </c>
      <c r="R411" s="165"/>
    </row>
    <row r="412" spans="1:19" x14ac:dyDescent="0.25">
      <c r="A412">
        <v>268</v>
      </c>
      <c r="B412" s="144">
        <v>46059</v>
      </c>
      <c r="C412">
        <v>22664</v>
      </c>
      <c r="D412" s="165" t="s">
        <v>2330</v>
      </c>
      <c r="E412" s="165" t="s">
        <v>12</v>
      </c>
      <c r="F412" s="165" t="s">
        <v>2331</v>
      </c>
      <c r="G412" s="165" t="s">
        <v>1300</v>
      </c>
      <c r="H412" s="165" t="s">
        <v>2332</v>
      </c>
      <c r="I412" s="144">
        <v>47388</v>
      </c>
      <c r="J412">
        <v>1329</v>
      </c>
      <c r="K412" s="165" t="s">
        <v>240</v>
      </c>
      <c r="L412" s="165" t="s">
        <v>8</v>
      </c>
      <c r="M412" s="144">
        <v>47515</v>
      </c>
      <c r="N412" s="146">
        <v>6667</v>
      </c>
      <c r="O412">
        <v>6000</v>
      </c>
      <c r="P412">
        <v>667</v>
      </c>
      <c r="Q412" s="165" t="s">
        <v>225</v>
      </c>
      <c r="R412" s="165"/>
      <c r="S412" t="s">
        <v>241</v>
      </c>
    </row>
    <row r="413" spans="1:19" x14ac:dyDescent="0.25">
      <c r="A413">
        <v>267</v>
      </c>
      <c r="B413" s="144">
        <v>46065</v>
      </c>
      <c r="D413" s="165" t="s">
        <v>2465</v>
      </c>
      <c r="E413" s="165"/>
      <c r="F413" s="165" t="s">
        <v>2003</v>
      </c>
      <c r="G413" s="165" t="s">
        <v>25</v>
      </c>
      <c r="H413" s="165"/>
      <c r="I413" s="144"/>
      <c r="K413" s="165" t="s">
        <v>2292</v>
      </c>
      <c r="L413" s="165"/>
      <c r="M413" s="144"/>
      <c r="N413" s="146">
        <v>7000</v>
      </c>
      <c r="O413">
        <v>0</v>
      </c>
      <c r="P413">
        <v>7000</v>
      </c>
      <c r="Q413" s="165" t="s">
        <v>225</v>
      </c>
      <c r="R413" s="165"/>
    </row>
    <row r="414" spans="1:19" x14ac:dyDescent="0.25">
      <c r="A414">
        <v>266</v>
      </c>
      <c r="B414" s="144">
        <v>46059</v>
      </c>
      <c r="C414">
        <v>22673</v>
      </c>
      <c r="D414" s="165" t="s">
        <v>2333</v>
      </c>
      <c r="E414" s="165" t="s">
        <v>201</v>
      </c>
      <c r="F414" s="165" t="s">
        <v>299</v>
      </c>
      <c r="G414" s="165" t="s">
        <v>454</v>
      </c>
      <c r="H414" s="165" t="s">
        <v>2334</v>
      </c>
      <c r="I414" s="144">
        <v>46245</v>
      </c>
      <c r="J414">
        <v>186</v>
      </c>
      <c r="K414" s="165" t="s">
        <v>2019</v>
      </c>
      <c r="L414" s="165" t="s">
        <v>8</v>
      </c>
      <c r="M414" s="144">
        <v>46784</v>
      </c>
      <c r="N414" s="146">
        <v>2500</v>
      </c>
      <c r="O414">
        <v>0</v>
      </c>
      <c r="P414">
        <v>2500</v>
      </c>
      <c r="Q414" s="165" t="s">
        <v>225</v>
      </c>
      <c r="R414" s="165"/>
    </row>
    <row r="415" spans="1:19" x14ac:dyDescent="0.25">
      <c r="A415">
        <v>265</v>
      </c>
      <c r="B415" s="144">
        <v>46059</v>
      </c>
      <c r="C415">
        <v>17226</v>
      </c>
      <c r="D415" s="165" t="s">
        <v>2335</v>
      </c>
      <c r="E415" s="165" t="s">
        <v>2336</v>
      </c>
      <c r="F415" s="165" t="s">
        <v>2337</v>
      </c>
      <c r="G415" s="165" t="s">
        <v>729</v>
      </c>
      <c r="H415" s="165" t="s">
        <v>2338</v>
      </c>
      <c r="I415" s="144">
        <v>47676</v>
      </c>
      <c r="J415">
        <v>1617</v>
      </c>
      <c r="K415" s="165" t="s">
        <v>2019</v>
      </c>
      <c r="L415" s="165" t="s">
        <v>8</v>
      </c>
      <c r="M415" s="144">
        <v>47515</v>
      </c>
      <c r="N415" s="146">
        <v>1980</v>
      </c>
      <c r="O415">
        <v>0</v>
      </c>
      <c r="P415">
        <v>1980</v>
      </c>
      <c r="Q415" s="165" t="s">
        <v>225</v>
      </c>
      <c r="R415" s="165" t="s">
        <v>2339</v>
      </c>
    </row>
    <row r="416" spans="1:19" x14ac:dyDescent="0.25">
      <c r="A416">
        <v>264</v>
      </c>
      <c r="B416" s="144">
        <v>46059</v>
      </c>
      <c r="D416" s="165" t="s">
        <v>2325</v>
      </c>
      <c r="E416" s="165" t="s">
        <v>2111</v>
      </c>
      <c r="F416" s="165" t="s">
        <v>2296</v>
      </c>
      <c r="G416" s="165" t="s">
        <v>448</v>
      </c>
      <c r="H416" s="165" t="s">
        <v>2326</v>
      </c>
      <c r="I416" s="144">
        <v>47144</v>
      </c>
      <c r="J416">
        <v>1085</v>
      </c>
      <c r="K416" s="165" t="s">
        <v>2019</v>
      </c>
      <c r="L416" s="165" t="s">
        <v>8</v>
      </c>
      <c r="M416" s="144">
        <v>46784</v>
      </c>
      <c r="N416" s="146">
        <v>5600</v>
      </c>
      <c r="O416">
        <v>0</v>
      </c>
      <c r="P416">
        <v>5600</v>
      </c>
      <c r="Q416" s="165" t="s">
        <v>225</v>
      </c>
      <c r="R416" s="165" t="s">
        <v>2027</v>
      </c>
    </row>
    <row r="417" spans="1:19" x14ac:dyDescent="0.25">
      <c r="A417">
        <v>263</v>
      </c>
      <c r="B417" s="144">
        <v>46059</v>
      </c>
      <c r="C417">
        <v>22619</v>
      </c>
      <c r="D417" s="165" t="s">
        <v>2340</v>
      </c>
      <c r="E417" s="165" t="s">
        <v>12</v>
      </c>
      <c r="F417" s="165" t="s">
        <v>2341</v>
      </c>
      <c r="G417" s="165" t="s">
        <v>452</v>
      </c>
      <c r="H417" s="165" t="s">
        <v>2342</v>
      </c>
      <c r="I417" s="144">
        <v>46909</v>
      </c>
      <c r="J417">
        <v>850</v>
      </c>
      <c r="K417" s="165" t="s">
        <v>2019</v>
      </c>
      <c r="L417" s="165" t="s">
        <v>8</v>
      </c>
      <c r="M417" s="144">
        <v>46784</v>
      </c>
      <c r="N417" s="146">
        <v>1000</v>
      </c>
      <c r="O417">
        <v>0</v>
      </c>
      <c r="P417">
        <v>1000</v>
      </c>
      <c r="Q417" s="165" t="s">
        <v>225</v>
      </c>
      <c r="R417" s="165" t="s">
        <v>2027</v>
      </c>
    </row>
    <row r="418" spans="1:19" x14ac:dyDescent="0.25">
      <c r="A418">
        <v>262</v>
      </c>
      <c r="B418" s="144">
        <v>46059</v>
      </c>
      <c r="C418">
        <v>22647</v>
      </c>
      <c r="D418" s="165" t="s">
        <v>2343</v>
      </c>
      <c r="E418" s="165" t="s">
        <v>11</v>
      </c>
      <c r="F418" s="165" t="s">
        <v>274</v>
      </c>
      <c r="G418" s="165" t="s">
        <v>935</v>
      </c>
      <c r="H418" s="165" t="s">
        <v>2344</v>
      </c>
      <c r="I418" s="144">
        <v>45992</v>
      </c>
      <c r="J418">
        <v>-67</v>
      </c>
      <c r="K418" s="165" t="s">
        <v>240</v>
      </c>
      <c r="L418" s="165" t="s">
        <v>8</v>
      </c>
      <c r="M418" s="144">
        <v>47150</v>
      </c>
      <c r="N418" s="146">
        <v>600</v>
      </c>
      <c r="O418">
        <v>300</v>
      </c>
      <c r="P418">
        <v>300</v>
      </c>
      <c r="Q418" s="165" t="s">
        <v>225</v>
      </c>
      <c r="R418" s="165"/>
      <c r="S418" t="s">
        <v>241</v>
      </c>
    </row>
    <row r="419" spans="1:19" x14ac:dyDescent="0.25">
      <c r="A419">
        <v>261</v>
      </c>
      <c r="B419" s="144">
        <v>46059</v>
      </c>
      <c r="C419">
        <v>22647</v>
      </c>
      <c r="D419" s="165" t="s">
        <v>2343</v>
      </c>
      <c r="E419" s="165" t="s">
        <v>11</v>
      </c>
      <c r="F419" s="165" t="s">
        <v>274</v>
      </c>
      <c r="G419" s="165" t="s">
        <v>1693</v>
      </c>
      <c r="H419" s="165" t="s">
        <v>2344</v>
      </c>
      <c r="I419" s="144">
        <v>45992</v>
      </c>
      <c r="J419">
        <v>-67</v>
      </c>
      <c r="K419" s="165" t="s">
        <v>2019</v>
      </c>
      <c r="L419" s="165" t="s">
        <v>8</v>
      </c>
      <c r="M419" s="144">
        <v>47150</v>
      </c>
      <c r="N419" s="146">
        <v>600</v>
      </c>
      <c r="O419">
        <v>0</v>
      </c>
      <c r="P419">
        <v>600</v>
      </c>
      <c r="Q419" s="165" t="s">
        <v>225</v>
      </c>
      <c r="R419" s="165"/>
    </row>
    <row r="420" spans="1:19" x14ac:dyDescent="0.25">
      <c r="A420">
        <v>261</v>
      </c>
      <c r="B420" s="144">
        <v>46059</v>
      </c>
      <c r="C420">
        <v>22646</v>
      </c>
      <c r="D420" s="165" t="s">
        <v>2343</v>
      </c>
      <c r="E420" s="165" t="s">
        <v>11</v>
      </c>
      <c r="F420" s="165" t="s">
        <v>258</v>
      </c>
      <c r="G420" s="165" t="s">
        <v>1693</v>
      </c>
      <c r="H420" s="165" t="s">
        <v>2344</v>
      </c>
      <c r="I420" s="144">
        <v>45992</v>
      </c>
      <c r="J420">
        <v>-67</v>
      </c>
      <c r="K420" s="165" t="s">
        <v>2019</v>
      </c>
      <c r="L420" s="165" t="s">
        <v>8</v>
      </c>
      <c r="M420" s="144">
        <v>47150</v>
      </c>
      <c r="N420" s="146">
        <v>500</v>
      </c>
      <c r="O420">
        <v>0</v>
      </c>
      <c r="P420">
        <v>500</v>
      </c>
      <c r="Q420" s="165" t="s">
        <v>225</v>
      </c>
      <c r="R420" s="165"/>
    </row>
    <row r="421" spans="1:19" x14ac:dyDescent="0.25">
      <c r="A421">
        <v>260</v>
      </c>
      <c r="B421" s="144">
        <v>46059</v>
      </c>
      <c r="C421">
        <v>22646</v>
      </c>
      <c r="D421" s="165" t="s">
        <v>2343</v>
      </c>
      <c r="E421" s="165" t="s">
        <v>11</v>
      </c>
      <c r="F421" s="165" t="s">
        <v>258</v>
      </c>
      <c r="G421" s="165" t="s">
        <v>933</v>
      </c>
      <c r="H421" s="165" t="s">
        <v>2344</v>
      </c>
      <c r="I421" s="144">
        <v>45992</v>
      </c>
      <c r="J421">
        <v>-67</v>
      </c>
      <c r="K421" s="165" t="s">
        <v>240</v>
      </c>
      <c r="L421" s="165" t="s">
        <v>8</v>
      </c>
      <c r="M421" s="144">
        <v>47150</v>
      </c>
      <c r="N421" s="146">
        <v>500</v>
      </c>
      <c r="O421">
        <v>230</v>
      </c>
      <c r="P421">
        <v>270</v>
      </c>
      <c r="Q421" s="165" t="s">
        <v>225</v>
      </c>
      <c r="R421" s="165"/>
      <c r="S421" t="s">
        <v>241</v>
      </c>
    </row>
    <row r="422" spans="1:19" x14ac:dyDescent="0.25">
      <c r="A422">
        <v>259</v>
      </c>
      <c r="B422" s="144">
        <v>46059</v>
      </c>
      <c r="C422">
        <v>22645</v>
      </c>
      <c r="D422" s="165" t="s">
        <v>2345</v>
      </c>
      <c r="E422" s="165" t="s">
        <v>11</v>
      </c>
      <c r="F422" s="165" t="s">
        <v>258</v>
      </c>
      <c r="G422" s="165" t="s">
        <v>776</v>
      </c>
      <c r="H422" s="165" t="s">
        <v>2346</v>
      </c>
      <c r="I422" s="144">
        <v>46580</v>
      </c>
      <c r="J422">
        <v>521</v>
      </c>
      <c r="K422" s="165" t="s">
        <v>2019</v>
      </c>
      <c r="L422" s="165" t="s">
        <v>8</v>
      </c>
      <c r="M422" s="144">
        <v>46784</v>
      </c>
      <c r="N422" s="146">
        <v>2000</v>
      </c>
      <c r="O422">
        <v>0</v>
      </c>
      <c r="P422">
        <v>2000</v>
      </c>
      <c r="Q422" s="165" t="s">
        <v>225</v>
      </c>
      <c r="R422" s="165"/>
      <c r="S422" t="s">
        <v>241</v>
      </c>
    </row>
    <row r="423" spans="1:19" x14ac:dyDescent="0.25">
      <c r="A423">
        <v>258</v>
      </c>
      <c r="B423" s="144">
        <v>46059</v>
      </c>
      <c r="C423">
        <v>22645</v>
      </c>
      <c r="D423" s="165" t="s">
        <v>2345</v>
      </c>
      <c r="E423" s="165" t="s">
        <v>11</v>
      </c>
      <c r="F423" s="165" t="s">
        <v>258</v>
      </c>
      <c r="G423" s="165" t="s">
        <v>776</v>
      </c>
      <c r="H423" s="165" t="s">
        <v>2346</v>
      </c>
      <c r="I423" s="144">
        <v>46580</v>
      </c>
      <c r="J423">
        <v>521</v>
      </c>
      <c r="K423" s="165" t="s">
        <v>240</v>
      </c>
      <c r="L423" s="165" t="s">
        <v>8</v>
      </c>
      <c r="M423" s="144">
        <v>46784</v>
      </c>
      <c r="N423" s="146">
        <v>2000</v>
      </c>
      <c r="O423">
        <v>1000</v>
      </c>
      <c r="P423">
        <v>1000</v>
      </c>
      <c r="Q423" s="165" t="s">
        <v>225</v>
      </c>
      <c r="R423" s="165"/>
      <c r="S423" t="s">
        <v>241</v>
      </c>
    </row>
    <row r="424" spans="1:19" x14ac:dyDescent="0.25">
      <c r="A424">
        <v>257</v>
      </c>
      <c r="B424" s="144">
        <v>46059</v>
      </c>
      <c r="C424">
        <v>15226</v>
      </c>
      <c r="D424" s="165" t="s">
        <v>2347</v>
      </c>
      <c r="E424" s="165" t="s">
        <v>2348</v>
      </c>
      <c r="F424" s="165" t="s">
        <v>247</v>
      </c>
      <c r="G424" s="165" t="s">
        <v>5324</v>
      </c>
      <c r="H424" s="165" t="s">
        <v>2349</v>
      </c>
      <c r="I424" s="144">
        <v>47056</v>
      </c>
      <c r="J424">
        <v>997</v>
      </c>
      <c r="K424" s="165" t="s">
        <v>2019</v>
      </c>
      <c r="L424" s="165" t="s">
        <v>8</v>
      </c>
      <c r="M424" s="144">
        <v>46784</v>
      </c>
      <c r="N424" s="146">
        <v>2500</v>
      </c>
      <c r="O424">
        <v>0</v>
      </c>
      <c r="P424">
        <v>2500</v>
      </c>
      <c r="Q424" s="165" t="s">
        <v>225</v>
      </c>
      <c r="R424" s="165"/>
    </row>
    <row r="425" spans="1:19" x14ac:dyDescent="0.25">
      <c r="A425">
        <v>256</v>
      </c>
      <c r="B425" s="144">
        <v>46059</v>
      </c>
      <c r="C425">
        <v>15226</v>
      </c>
      <c r="D425" s="165" t="s">
        <v>2347</v>
      </c>
      <c r="E425" s="165" t="s">
        <v>2348</v>
      </c>
      <c r="F425" s="165" t="s">
        <v>247</v>
      </c>
      <c r="G425" s="165" t="s">
        <v>1128</v>
      </c>
      <c r="H425" s="165" t="s">
        <v>2349</v>
      </c>
      <c r="I425" s="144">
        <v>47056</v>
      </c>
      <c r="J425">
        <v>997</v>
      </c>
      <c r="K425" s="165" t="s">
        <v>240</v>
      </c>
      <c r="L425" s="165" t="s">
        <v>8</v>
      </c>
      <c r="M425" s="144">
        <v>46784</v>
      </c>
      <c r="N425" s="146">
        <v>2500</v>
      </c>
      <c r="O425">
        <v>800</v>
      </c>
      <c r="P425">
        <v>1700</v>
      </c>
      <c r="Q425" s="165" t="s">
        <v>225</v>
      </c>
      <c r="R425" s="165"/>
      <c r="S425" t="s">
        <v>176</v>
      </c>
    </row>
    <row r="426" spans="1:19" x14ac:dyDescent="0.25">
      <c r="A426">
        <v>255</v>
      </c>
      <c r="B426" s="144">
        <v>46059</v>
      </c>
      <c r="C426">
        <v>22676</v>
      </c>
      <c r="D426" s="165" t="s">
        <v>2350</v>
      </c>
      <c r="E426" s="165" t="s">
        <v>201</v>
      </c>
      <c r="F426" s="165" t="s">
        <v>299</v>
      </c>
      <c r="G426" s="165" t="s">
        <v>393</v>
      </c>
      <c r="H426" s="165" t="s">
        <v>2351</v>
      </c>
      <c r="I426" s="144">
        <v>47413</v>
      </c>
      <c r="J426">
        <v>1354</v>
      </c>
      <c r="K426" s="165" t="s">
        <v>2019</v>
      </c>
      <c r="L426" s="165" t="s">
        <v>8</v>
      </c>
      <c r="M426" s="144">
        <v>46784</v>
      </c>
      <c r="N426" s="146">
        <v>2200</v>
      </c>
      <c r="O426">
        <v>0</v>
      </c>
      <c r="P426">
        <v>2200</v>
      </c>
      <c r="Q426" s="165" t="s">
        <v>225</v>
      </c>
      <c r="R426" s="165"/>
    </row>
    <row r="427" spans="1:19" x14ac:dyDescent="0.25">
      <c r="A427">
        <v>254</v>
      </c>
      <c r="B427" s="144">
        <v>46059</v>
      </c>
      <c r="C427">
        <v>22676</v>
      </c>
      <c r="D427" s="165" t="s">
        <v>2350</v>
      </c>
      <c r="E427" s="165" t="s">
        <v>201</v>
      </c>
      <c r="F427" s="165" t="s">
        <v>299</v>
      </c>
      <c r="G427" s="165" t="s">
        <v>847</v>
      </c>
      <c r="H427" s="165" t="s">
        <v>2351</v>
      </c>
      <c r="I427" s="144">
        <v>47413</v>
      </c>
      <c r="J427">
        <v>1354</v>
      </c>
      <c r="K427" s="165" t="s">
        <v>240</v>
      </c>
      <c r="L427" s="165" t="s">
        <v>8</v>
      </c>
      <c r="M427" s="144">
        <v>46784</v>
      </c>
      <c r="N427" s="146">
        <v>2200</v>
      </c>
      <c r="O427">
        <v>1300</v>
      </c>
      <c r="P427">
        <v>900</v>
      </c>
      <c r="Q427" s="165" t="s">
        <v>225</v>
      </c>
      <c r="R427" s="165"/>
      <c r="S427" t="s">
        <v>241</v>
      </c>
    </row>
    <row r="428" spans="1:19" x14ac:dyDescent="0.25">
      <c r="A428">
        <v>253</v>
      </c>
      <c r="B428" s="144">
        <v>46059</v>
      </c>
      <c r="C428">
        <v>22662</v>
      </c>
      <c r="D428" s="165" t="s">
        <v>2352</v>
      </c>
      <c r="E428" s="165" t="s">
        <v>12</v>
      </c>
      <c r="F428" s="165" t="s">
        <v>258</v>
      </c>
      <c r="G428" s="165" t="s">
        <v>437</v>
      </c>
      <c r="H428" s="165" t="s">
        <v>2353</v>
      </c>
      <c r="I428" s="144">
        <v>47163</v>
      </c>
      <c r="J428">
        <v>1104</v>
      </c>
      <c r="K428" s="165" t="s">
        <v>2019</v>
      </c>
      <c r="L428" s="165" t="s">
        <v>8</v>
      </c>
      <c r="M428" s="144">
        <v>46784</v>
      </c>
      <c r="N428" s="146">
        <v>2000</v>
      </c>
      <c r="O428">
        <v>0</v>
      </c>
      <c r="P428">
        <v>2000</v>
      </c>
      <c r="Q428" s="165" t="s">
        <v>225</v>
      </c>
      <c r="R428" s="165"/>
    </row>
    <row r="429" spans="1:19" x14ac:dyDescent="0.25">
      <c r="A429">
        <v>252</v>
      </c>
      <c r="B429" s="144">
        <v>46059</v>
      </c>
      <c r="C429">
        <v>22662</v>
      </c>
      <c r="D429" s="165" t="s">
        <v>2352</v>
      </c>
      <c r="E429" s="165" t="s">
        <v>12</v>
      </c>
      <c r="F429" s="165" t="s">
        <v>258</v>
      </c>
      <c r="G429" s="165" t="s">
        <v>923</v>
      </c>
      <c r="H429" s="165" t="s">
        <v>2353</v>
      </c>
      <c r="I429" s="144">
        <v>47163</v>
      </c>
      <c r="J429">
        <v>1104</v>
      </c>
      <c r="K429" s="165" t="s">
        <v>240</v>
      </c>
      <c r="L429" s="165" t="s">
        <v>8</v>
      </c>
      <c r="M429" s="144">
        <v>46784</v>
      </c>
      <c r="N429" s="146">
        <v>2000</v>
      </c>
      <c r="O429">
        <v>400</v>
      </c>
      <c r="P429">
        <v>1600</v>
      </c>
      <c r="Q429" s="165" t="s">
        <v>225</v>
      </c>
      <c r="R429" s="165"/>
      <c r="S429" t="s">
        <v>241</v>
      </c>
    </row>
    <row r="430" spans="1:19" x14ac:dyDescent="0.25">
      <c r="A430">
        <v>251</v>
      </c>
      <c r="B430" s="144">
        <v>46059</v>
      </c>
      <c r="C430">
        <v>22658</v>
      </c>
      <c r="D430" s="165" t="s">
        <v>2354</v>
      </c>
      <c r="E430" s="165" t="s">
        <v>12</v>
      </c>
      <c r="F430" s="165" t="s">
        <v>2355</v>
      </c>
      <c r="G430" s="165" t="s">
        <v>693</v>
      </c>
      <c r="H430" s="165" t="s">
        <v>2356</v>
      </c>
      <c r="I430" s="144">
        <v>47764</v>
      </c>
      <c r="J430">
        <v>1705</v>
      </c>
      <c r="K430" s="165" t="s">
        <v>2019</v>
      </c>
      <c r="L430" s="165" t="s">
        <v>8</v>
      </c>
      <c r="M430" s="144">
        <v>47515</v>
      </c>
      <c r="N430" s="146">
        <v>714</v>
      </c>
      <c r="O430">
        <v>0</v>
      </c>
      <c r="P430">
        <v>714</v>
      </c>
      <c r="Q430" s="165" t="s">
        <v>225</v>
      </c>
      <c r="R430" s="165"/>
    </row>
    <row r="431" spans="1:19" x14ac:dyDescent="0.25">
      <c r="A431">
        <v>250</v>
      </c>
      <c r="B431" s="144">
        <v>46059</v>
      </c>
      <c r="C431">
        <v>22658</v>
      </c>
      <c r="D431" s="165" t="s">
        <v>2354</v>
      </c>
      <c r="E431" s="165" t="s">
        <v>12</v>
      </c>
      <c r="F431" s="165" t="s">
        <v>2355</v>
      </c>
      <c r="G431" s="165" t="s">
        <v>2970</v>
      </c>
      <c r="H431" s="165" t="s">
        <v>2356</v>
      </c>
      <c r="I431" s="144">
        <v>47764</v>
      </c>
      <c r="J431">
        <v>1705</v>
      </c>
      <c r="K431" s="165" t="s">
        <v>240</v>
      </c>
      <c r="L431" s="165" t="s">
        <v>8</v>
      </c>
      <c r="M431" s="144">
        <v>47515</v>
      </c>
      <c r="N431" s="146">
        <v>714</v>
      </c>
      <c r="O431">
        <v>0</v>
      </c>
      <c r="P431">
        <v>714</v>
      </c>
      <c r="Q431" s="165" t="s">
        <v>225</v>
      </c>
      <c r="R431" s="165"/>
      <c r="S431" t="s">
        <v>263</v>
      </c>
    </row>
    <row r="432" spans="1:19" x14ac:dyDescent="0.25">
      <c r="A432">
        <v>249</v>
      </c>
      <c r="B432" s="144">
        <v>46058</v>
      </c>
      <c r="C432">
        <v>22648</v>
      </c>
      <c r="D432" s="165" t="s">
        <v>2357</v>
      </c>
      <c r="E432" s="165" t="s">
        <v>11</v>
      </c>
      <c r="F432" s="165" t="s">
        <v>258</v>
      </c>
      <c r="G432" s="165" t="s">
        <v>389</v>
      </c>
      <c r="H432" s="165" t="s">
        <v>2358</v>
      </c>
      <c r="I432" s="144">
        <v>47617</v>
      </c>
      <c r="J432">
        <v>1559</v>
      </c>
      <c r="K432" s="165" t="s">
        <v>2019</v>
      </c>
      <c r="L432" s="165" t="s">
        <v>8</v>
      </c>
      <c r="M432" s="144">
        <v>47515</v>
      </c>
      <c r="N432" s="146">
        <v>4200</v>
      </c>
      <c r="O432">
        <v>0</v>
      </c>
      <c r="P432">
        <v>4200</v>
      </c>
      <c r="Q432" s="165" t="s">
        <v>225</v>
      </c>
      <c r="R432" s="165"/>
    </row>
    <row r="433" spans="1:19" x14ac:dyDescent="0.25">
      <c r="A433">
        <v>248</v>
      </c>
      <c r="B433" s="144">
        <v>46058</v>
      </c>
      <c r="C433">
        <v>22648</v>
      </c>
      <c r="D433" s="165" t="s">
        <v>2357</v>
      </c>
      <c r="E433" s="165" t="s">
        <v>11</v>
      </c>
      <c r="F433" s="165" t="s">
        <v>258</v>
      </c>
      <c r="G433" s="165" t="s">
        <v>835</v>
      </c>
      <c r="H433" s="165" t="s">
        <v>2358</v>
      </c>
      <c r="I433" s="144">
        <v>47617</v>
      </c>
      <c r="J433">
        <v>1559</v>
      </c>
      <c r="K433" s="165" t="s">
        <v>240</v>
      </c>
      <c r="L433" s="165" t="s">
        <v>8</v>
      </c>
      <c r="M433" s="144">
        <v>47515</v>
      </c>
      <c r="N433" s="146">
        <v>4200</v>
      </c>
      <c r="O433">
        <v>900</v>
      </c>
      <c r="P433">
        <v>3300</v>
      </c>
      <c r="Q433" s="165" t="s">
        <v>225</v>
      </c>
      <c r="R433" s="165"/>
      <c r="S433" t="s">
        <v>241</v>
      </c>
    </row>
    <row r="434" spans="1:19" x14ac:dyDescent="0.25">
      <c r="A434">
        <v>247</v>
      </c>
      <c r="B434" s="144">
        <v>46058</v>
      </c>
      <c r="C434">
        <v>22656</v>
      </c>
      <c r="D434" s="165" t="s">
        <v>2359</v>
      </c>
      <c r="E434" s="165" t="s">
        <v>12</v>
      </c>
      <c r="F434" s="165" t="s">
        <v>2293</v>
      </c>
      <c r="G434" s="165" t="s">
        <v>693</v>
      </c>
      <c r="H434" s="165" t="s">
        <v>2360</v>
      </c>
      <c r="I434" s="144">
        <v>47735</v>
      </c>
      <c r="J434">
        <v>1677</v>
      </c>
      <c r="K434" s="165" t="s">
        <v>2019</v>
      </c>
      <c r="L434" s="165" t="s">
        <v>102</v>
      </c>
      <c r="M434" s="144">
        <v>47515</v>
      </c>
      <c r="N434" s="146">
        <v>7500</v>
      </c>
      <c r="O434">
        <v>0</v>
      </c>
      <c r="P434">
        <v>7500</v>
      </c>
      <c r="Q434" s="165" t="s">
        <v>225</v>
      </c>
      <c r="R434" s="165"/>
    </row>
    <row r="435" spans="1:19" x14ac:dyDescent="0.25">
      <c r="A435">
        <v>246</v>
      </c>
      <c r="B435" s="144">
        <v>46058</v>
      </c>
      <c r="C435">
        <v>22656</v>
      </c>
      <c r="D435" s="165" t="s">
        <v>2359</v>
      </c>
      <c r="E435" s="165" t="s">
        <v>12</v>
      </c>
      <c r="F435" s="165" t="s">
        <v>2293</v>
      </c>
      <c r="G435" s="165" t="s">
        <v>1451</v>
      </c>
      <c r="H435" s="165" t="s">
        <v>2360</v>
      </c>
      <c r="I435" s="144">
        <v>47735</v>
      </c>
      <c r="J435">
        <v>1677</v>
      </c>
      <c r="K435" s="165" t="s">
        <v>240</v>
      </c>
      <c r="L435" s="165" t="s">
        <v>102</v>
      </c>
      <c r="M435" s="144">
        <v>47515</v>
      </c>
      <c r="N435" s="146">
        <v>7500</v>
      </c>
      <c r="O435">
        <v>1500</v>
      </c>
      <c r="P435">
        <v>6000</v>
      </c>
      <c r="Q435" s="165" t="s">
        <v>225</v>
      </c>
      <c r="R435" s="165"/>
      <c r="S435" t="s">
        <v>263</v>
      </c>
    </row>
    <row r="436" spans="1:19" x14ac:dyDescent="0.25">
      <c r="A436">
        <v>245</v>
      </c>
      <c r="B436" s="144">
        <v>46058</v>
      </c>
      <c r="C436">
        <v>22652</v>
      </c>
      <c r="D436" s="165" t="s">
        <v>2316</v>
      </c>
      <c r="E436" s="165" t="s">
        <v>16</v>
      </c>
      <c r="F436" s="165" t="s">
        <v>2361</v>
      </c>
      <c r="G436" s="165" t="s">
        <v>409</v>
      </c>
      <c r="H436" s="165" t="s">
        <v>2318</v>
      </c>
      <c r="I436" s="144">
        <v>46538</v>
      </c>
      <c r="J436">
        <v>480</v>
      </c>
      <c r="K436" s="165" t="s">
        <v>2019</v>
      </c>
      <c r="L436" s="165" t="s">
        <v>8</v>
      </c>
      <c r="M436" s="144">
        <v>46784</v>
      </c>
      <c r="N436" s="146">
        <v>5000</v>
      </c>
      <c r="O436">
        <v>0</v>
      </c>
      <c r="P436">
        <v>5000</v>
      </c>
      <c r="Q436" s="165" t="s">
        <v>225</v>
      </c>
      <c r="R436" s="165"/>
    </row>
    <row r="437" spans="1:19" x14ac:dyDescent="0.25">
      <c r="A437">
        <v>244</v>
      </c>
      <c r="B437" s="144">
        <v>46058</v>
      </c>
      <c r="C437">
        <v>22652</v>
      </c>
      <c r="D437" s="165" t="s">
        <v>2316</v>
      </c>
      <c r="E437" s="165" t="s">
        <v>16</v>
      </c>
      <c r="F437" s="165" t="s">
        <v>2361</v>
      </c>
      <c r="G437" s="165" t="s">
        <v>867</v>
      </c>
      <c r="H437" s="165" t="s">
        <v>2318</v>
      </c>
      <c r="I437" s="144">
        <v>46538</v>
      </c>
      <c r="J437">
        <v>480</v>
      </c>
      <c r="K437" s="165" t="s">
        <v>240</v>
      </c>
      <c r="L437" s="165" t="s">
        <v>8</v>
      </c>
      <c r="M437" s="144">
        <v>46784</v>
      </c>
      <c r="N437" s="146">
        <v>5000</v>
      </c>
      <c r="O437">
        <v>900</v>
      </c>
      <c r="P437">
        <v>4100</v>
      </c>
      <c r="Q437" s="165" t="s">
        <v>225</v>
      </c>
      <c r="R437" s="165"/>
      <c r="S437" t="s">
        <v>263</v>
      </c>
    </row>
    <row r="438" spans="1:19" x14ac:dyDescent="0.25">
      <c r="A438">
        <v>243</v>
      </c>
      <c r="B438" s="144">
        <v>46058</v>
      </c>
      <c r="C438">
        <v>22667</v>
      </c>
      <c r="D438" s="165" t="s">
        <v>2362</v>
      </c>
      <c r="E438" s="165" t="s">
        <v>13</v>
      </c>
      <c r="F438" s="165" t="s">
        <v>2363</v>
      </c>
      <c r="G438" s="165" t="s">
        <v>1649</v>
      </c>
      <c r="H438" s="165" t="s">
        <v>2364</v>
      </c>
      <c r="I438" s="144">
        <v>46308</v>
      </c>
      <c r="J438">
        <v>250</v>
      </c>
      <c r="K438" s="165" t="s">
        <v>2019</v>
      </c>
      <c r="L438" s="165" t="s">
        <v>8</v>
      </c>
      <c r="M438" s="144">
        <v>46784</v>
      </c>
      <c r="N438" s="146">
        <v>5000</v>
      </c>
      <c r="O438">
        <v>0</v>
      </c>
      <c r="P438">
        <v>5000</v>
      </c>
      <c r="Q438" s="165" t="s">
        <v>225</v>
      </c>
      <c r="R438" s="165"/>
    </row>
    <row r="439" spans="1:19" x14ac:dyDescent="0.25">
      <c r="A439">
        <v>242</v>
      </c>
      <c r="B439" s="144">
        <v>46058</v>
      </c>
      <c r="C439">
        <v>22667</v>
      </c>
      <c r="D439" s="165" t="s">
        <v>2362</v>
      </c>
      <c r="E439" s="165" t="s">
        <v>13</v>
      </c>
      <c r="F439" s="165" t="s">
        <v>2363</v>
      </c>
      <c r="G439" s="165" t="s">
        <v>983</v>
      </c>
      <c r="H439" s="165" t="s">
        <v>2364</v>
      </c>
      <c r="I439" s="144">
        <v>46308</v>
      </c>
      <c r="J439">
        <v>250</v>
      </c>
      <c r="K439" s="165" t="s">
        <v>240</v>
      </c>
      <c r="L439" s="165" t="s">
        <v>8</v>
      </c>
      <c r="M439" s="144">
        <v>46784</v>
      </c>
      <c r="N439" s="146">
        <v>5000</v>
      </c>
      <c r="O439">
        <v>1000</v>
      </c>
      <c r="P439">
        <v>4000</v>
      </c>
      <c r="Q439" s="165" t="s">
        <v>225</v>
      </c>
      <c r="R439" s="165"/>
      <c r="S439" t="s">
        <v>269</v>
      </c>
    </row>
    <row r="440" spans="1:19" x14ac:dyDescent="0.25">
      <c r="A440">
        <v>241</v>
      </c>
      <c r="B440" s="144">
        <v>46058</v>
      </c>
      <c r="C440">
        <v>22672</v>
      </c>
      <c r="D440" s="165" t="s">
        <v>295</v>
      </c>
      <c r="E440" s="165" t="s">
        <v>243</v>
      </c>
      <c r="F440" s="165" t="s">
        <v>2365</v>
      </c>
      <c r="G440" s="165" t="s">
        <v>632</v>
      </c>
      <c r="H440" s="165" t="s">
        <v>2366</v>
      </c>
      <c r="I440" s="144">
        <v>46377</v>
      </c>
      <c r="J440">
        <v>319</v>
      </c>
      <c r="K440" s="165" t="s">
        <v>2019</v>
      </c>
      <c r="L440" s="165" t="s">
        <v>8</v>
      </c>
      <c r="M440" s="144">
        <v>46784</v>
      </c>
      <c r="N440" s="146">
        <v>3000</v>
      </c>
      <c r="O440">
        <v>0</v>
      </c>
      <c r="P440">
        <v>3000</v>
      </c>
      <c r="Q440" s="165" t="s">
        <v>225</v>
      </c>
      <c r="R440" s="165"/>
    </row>
    <row r="441" spans="1:19" x14ac:dyDescent="0.25">
      <c r="A441">
        <v>240</v>
      </c>
      <c r="B441" s="144">
        <v>46058</v>
      </c>
      <c r="C441">
        <v>22672</v>
      </c>
      <c r="D441" s="165" t="s">
        <v>295</v>
      </c>
      <c r="E441" s="165" t="s">
        <v>243</v>
      </c>
      <c r="F441" s="165" t="s">
        <v>2365</v>
      </c>
      <c r="G441" s="165" t="s">
        <v>1801</v>
      </c>
      <c r="H441" s="165" t="s">
        <v>2366</v>
      </c>
      <c r="I441" s="144">
        <v>46377</v>
      </c>
      <c r="J441">
        <v>319</v>
      </c>
      <c r="K441" s="165" t="s">
        <v>240</v>
      </c>
      <c r="L441" s="165" t="s">
        <v>8</v>
      </c>
      <c r="M441" s="144">
        <v>46784</v>
      </c>
      <c r="N441" s="146">
        <v>3000</v>
      </c>
      <c r="O441">
        <v>500</v>
      </c>
      <c r="P441">
        <v>2500</v>
      </c>
      <c r="Q441" s="165" t="s">
        <v>225</v>
      </c>
      <c r="R441" s="165"/>
      <c r="S441" t="s">
        <v>251</v>
      </c>
    </row>
    <row r="442" spans="1:19" x14ac:dyDescent="0.25">
      <c r="A442">
        <v>239</v>
      </c>
      <c r="B442" s="144">
        <v>46058</v>
      </c>
      <c r="C442">
        <v>22677</v>
      </c>
      <c r="D442" s="165" t="s">
        <v>2367</v>
      </c>
      <c r="E442" s="165" t="s">
        <v>201</v>
      </c>
      <c r="F442" s="165" t="s">
        <v>271</v>
      </c>
      <c r="G442" s="165" t="s">
        <v>576</v>
      </c>
      <c r="H442" s="165" t="s">
        <v>2368</v>
      </c>
      <c r="I442" s="144">
        <v>46435</v>
      </c>
      <c r="J442">
        <v>377</v>
      </c>
      <c r="K442" s="165" t="s">
        <v>2016</v>
      </c>
      <c r="L442" s="165" t="s">
        <v>8</v>
      </c>
      <c r="M442" s="144">
        <v>46784</v>
      </c>
      <c r="N442" s="146">
        <v>3200</v>
      </c>
      <c r="O442">
        <v>0</v>
      </c>
      <c r="P442">
        <v>3200</v>
      </c>
      <c r="Q442" s="165" t="s">
        <v>225</v>
      </c>
      <c r="R442" s="165"/>
    </row>
    <row r="443" spans="1:19" x14ac:dyDescent="0.25">
      <c r="A443">
        <v>238</v>
      </c>
      <c r="B443" s="144">
        <v>46058</v>
      </c>
      <c r="C443">
        <v>22677</v>
      </c>
      <c r="D443" s="165" t="s">
        <v>2367</v>
      </c>
      <c r="E443" s="165" t="s">
        <v>201</v>
      </c>
      <c r="F443" s="165" t="s">
        <v>271</v>
      </c>
      <c r="G443" s="165" t="s">
        <v>735</v>
      </c>
      <c r="H443" s="165" t="s">
        <v>2368</v>
      </c>
      <c r="I443" s="144">
        <v>46435</v>
      </c>
      <c r="J443">
        <v>377</v>
      </c>
      <c r="K443" s="165" t="s">
        <v>2019</v>
      </c>
      <c r="L443" s="165" t="s">
        <v>8</v>
      </c>
      <c r="M443" s="144">
        <v>46784</v>
      </c>
      <c r="N443" s="146">
        <v>3200</v>
      </c>
      <c r="O443">
        <v>0</v>
      </c>
      <c r="P443">
        <v>3200</v>
      </c>
      <c r="Q443" s="165" t="s">
        <v>225</v>
      </c>
      <c r="R443" s="165"/>
    </row>
    <row r="444" spans="1:19" x14ac:dyDescent="0.25">
      <c r="A444">
        <v>237</v>
      </c>
      <c r="B444" s="144">
        <v>46058</v>
      </c>
      <c r="C444">
        <v>22677</v>
      </c>
      <c r="D444" s="165" t="s">
        <v>2367</v>
      </c>
      <c r="E444" s="165" t="s">
        <v>201</v>
      </c>
      <c r="F444" s="165" t="s">
        <v>271</v>
      </c>
      <c r="G444" s="165" t="s">
        <v>1497</v>
      </c>
      <c r="H444" s="165" t="s">
        <v>2368</v>
      </c>
      <c r="I444" s="144">
        <v>46435</v>
      </c>
      <c r="J444">
        <v>377</v>
      </c>
      <c r="K444" s="165" t="s">
        <v>240</v>
      </c>
      <c r="L444" s="165" t="s">
        <v>8</v>
      </c>
      <c r="M444" s="144">
        <v>46784</v>
      </c>
      <c r="N444" s="146">
        <v>3200</v>
      </c>
      <c r="O444">
        <v>700</v>
      </c>
      <c r="P444">
        <v>2500</v>
      </c>
      <c r="Q444" s="165" t="s">
        <v>225</v>
      </c>
      <c r="R444" s="165"/>
      <c r="S444" t="s">
        <v>269</v>
      </c>
    </row>
    <row r="445" spans="1:19" x14ac:dyDescent="0.25">
      <c r="A445">
        <v>236</v>
      </c>
      <c r="B445" s="144">
        <v>46058</v>
      </c>
      <c r="C445">
        <v>22680</v>
      </c>
      <c r="D445" s="165" t="s">
        <v>2369</v>
      </c>
      <c r="E445" s="165" t="s">
        <v>15</v>
      </c>
      <c r="F445" s="165" t="s">
        <v>271</v>
      </c>
      <c r="G445" s="165" t="s">
        <v>576</v>
      </c>
      <c r="H445" s="165" t="s">
        <v>2236</v>
      </c>
      <c r="I445" s="144">
        <v>46677</v>
      </c>
      <c r="J445">
        <v>619</v>
      </c>
      <c r="K445" s="165" t="s">
        <v>2016</v>
      </c>
      <c r="L445" s="165" t="s">
        <v>2234</v>
      </c>
      <c r="M445" s="144">
        <v>46784</v>
      </c>
      <c r="N445" s="146">
        <v>8200</v>
      </c>
      <c r="O445">
        <v>0</v>
      </c>
      <c r="P445">
        <v>8200</v>
      </c>
      <c r="Q445" s="165" t="s">
        <v>225</v>
      </c>
      <c r="R445" s="165"/>
    </row>
    <row r="446" spans="1:19" x14ac:dyDescent="0.25">
      <c r="A446">
        <v>235</v>
      </c>
      <c r="B446" s="144">
        <v>46058</v>
      </c>
      <c r="C446">
        <v>22680</v>
      </c>
      <c r="D446" s="165" t="s">
        <v>2369</v>
      </c>
      <c r="E446" s="165" t="s">
        <v>15</v>
      </c>
      <c r="F446" s="165" t="s">
        <v>271</v>
      </c>
      <c r="G446" s="165" t="s">
        <v>1668</v>
      </c>
      <c r="H446" s="165" t="s">
        <v>2236</v>
      </c>
      <c r="I446" s="144">
        <v>46677</v>
      </c>
      <c r="J446">
        <v>619</v>
      </c>
      <c r="K446" s="165" t="s">
        <v>240</v>
      </c>
      <c r="L446" s="165" t="s">
        <v>2234</v>
      </c>
      <c r="M446" s="144">
        <v>46784</v>
      </c>
      <c r="N446" s="146">
        <v>8200</v>
      </c>
      <c r="O446">
        <v>1114</v>
      </c>
      <c r="P446">
        <v>7086</v>
      </c>
      <c r="Q446" s="165" t="s">
        <v>225</v>
      </c>
      <c r="R446" s="165"/>
      <c r="S446" t="s">
        <v>269</v>
      </c>
    </row>
    <row r="447" spans="1:19" x14ac:dyDescent="0.25">
      <c r="A447">
        <v>234</v>
      </c>
      <c r="B447" s="144">
        <v>46058</v>
      </c>
      <c r="C447">
        <v>22680</v>
      </c>
      <c r="D447" s="165" t="s">
        <v>2369</v>
      </c>
      <c r="E447" s="165" t="s">
        <v>15</v>
      </c>
      <c r="F447" s="165" t="s">
        <v>271</v>
      </c>
      <c r="G447" s="165" t="s">
        <v>1652</v>
      </c>
      <c r="H447" s="165" t="s">
        <v>2236</v>
      </c>
      <c r="I447" s="144">
        <v>46677</v>
      </c>
      <c r="J447">
        <v>619</v>
      </c>
      <c r="K447" s="165" t="s">
        <v>2019</v>
      </c>
      <c r="L447" s="165" t="s">
        <v>2234</v>
      </c>
      <c r="M447" s="144">
        <v>46784</v>
      </c>
      <c r="N447" s="146">
        <v>8200</v>
      </c>
      <c r="O447">
        <v>0</v>
      </c>
      <c r="P447">
        <v>8200</v>
      </c>
      <c r="Q447" s="165" t="s">
        <v>225</v>
      </c>
      <c r="R447" s="165"/>
    </row>
    <row r="448" spans="1:19" x14ac:dyDescent="0.25">
      <c r="A448">
        <v>233</v>
      </c>
      <c r="B448" s="144">
        <v>46058</v>
      </c>
      <c r="C448">
        <v>22681</v>
      </c>
      <c r="D448" s="165" t="s">
        <v>292</v>
      </c>
      <c r="E448" s="165" t="s">
        <v>15</v>
      </c>
      <c r="F448" s="165" t="s">
        <v>267</v>
      </c>
      <c r="G448" s="165" t="s">
        <v>576</v>
      </c>
      <c r="H448" s="165" t="s">
        <v>2101</v>
      </c>
      <c r="I448" s="144">
        <v>46204</v>
      </c>
      <c r="J448">
        <v>146</v>
      </c>
      <c r="K448" s="165" t="s">
        <v>2016</v>
      </c>
      <c r="L448" s="165" t="s">
        <v>8</v>
      </c>
      <c r="M448" s="144">
        <v>46784</v>
      </c>
      <c r="N448" s="146">
        <v>5000</v>
      </c>
      <c r="O448">
        <v>0</v>
      </c>
      <c r="P448">
        <v>5000</v>
      </c>
      <c r="Q448" s="165" t="s">
        <v>225</v>
      </c>
      <c r="R448" s="165"/>
    </row>
    <row r="449" spans="1:19" x14ac:dyDescent="0.25">
      <c r="A449">
        <v>232</v>
      </c>
      <c r="B449" s="144">
        <v>46058</v>
      </c>
      <c r="C449">
        <v>22681</v>
      </c>
      <c r="D449" s="165" t="s">
        <v>292</v>
      </c>
      <c r="E449" s="165" t="s">
        <v>15</v>
      </c>
      <c r="F449" s="165" t="s">
        <v>267</v>
      </c>
      <c r="G449" s="165" t="s">
        <v>458</v>
      </c>
      <c r="H449" s="165" t="s">
        <v>2101</v>
      </c>
      <c r="I449" s="144">
        <v>46204</v>
      </c>
      <c r="J449">
        <v>146</v>
      </c>
      <c r="K449" s="165" t="s">
        <v>2019</v>
      </c>
      <c r="L449" s="165" t="s">
        <v>8</v>
      </c>
      <c r="M449" s="144">
        <v>46784</v>
      </c>
      <c r="N449" s="146">
        <v>5000</v>
      </c>
      <c r="O449">
        <v>0</v>
      </c>
      <c r="P449">
        <v>5000</v>
      </c>
      <c r="Q449" s="165" t="s">
        <v>225</v>
      </c>
      <c r="R449" s="165"/>
    </row>
    <row r="450" spans="1:19" x14ac:dyDescent="0.25">
      <c r="A450">
        <v>231</v>
      </c>
      <c r="B450" s="144">
        <v>46058</v>
      </c>
      <c r="D450" s="165" t="s">
        <v>1555</v>
      </c>
      <c r="E450" s="165"/>
      <c r="F450" s="165" t="s">
        <v>2003</v>
      </c>
      <c r="G450" s="165" t="s">
        <v>25</v>
      </c>
      <c r="H450" s="165"/>
      <c r="I450" s="144"/>
      <c r="K450" s="165" t="s">
        <v>2292</v>
      </c>
      <c r="L450" s="165"/>
      <c r="M450" s="144"/>
      <c r="N450" s="146">
        <v>7000</v>
      </c>
      <c r="O450">
        <v>0</v>
      </c>
      <c r="P450">
        <v>7000</v>
      </c>
      <c r="Q450" s="165" t="s">
        <v>225</v>
      </c>
      <c r="R450" s="165"/>
    </row>
    <row r="451" spans="1:19" x14ac:dyDescent="0.25">
      <c r="A451">
        <v>230</v>
      </c>
      <c r="B451" s="144">
        <v>46058</v>
      </c>
      <c r="C451">
        <v>22681</v>
      </c>
      <c r="D451" s="165" t="s">
        <v>292</v>
      </c>
      <c r="E451" s="165" t="s">
        <v>15</v>
      </c>
      <c r="F451" s="165" t="s">
        <v>267</v>
      </c>
      <c r="G451" s="165" t="s">
        <v>971</v>
      </c>
      <c r="H451" s="165" t="s">
        <v>2101</v>
      </c>
      <c r="I451" s="144">
        <v>46204</v>
      </c>
      <c r="J451">
        <v>146</v>
      </c>
      <c r="K451" s="165" t="s">
        <v>240</v>
      </c>
      <c r="L451" s="165" t="s">
        <v>8</v>
      </c>
      <c r="M451" s="144">
        <v>46784</v>
      </c>
      <c r="N451" s="146">
        <v>5000</v>
      </c>
      <c r="O451">
        <v>1800</v>
      </c>
      <c r="P451">
        <v>3200</v>
      </c>
      <c r="Q451" s="165" t="s">
        <v>225</v>
      </c>
      <c r="R451" s="165"/>
      <c r="S451" t="s">
        <v>269</v>
      </c>
    </row>
    <row r="452" spans="1:19" x14ac:dyDescent="0.25">
      <c r="A452">
        <v>229</v>
      </c>
      <c r="B452" s="144">
        <v>46058</v>
      </c>
      <c r="C452">
        <v>22650</v>
      </c>
      <c r="D452" s="165" t="s">
        <v>2370</v>
      </c>
      <c r="E452" s="165" t="s">
        <v>11</v>
      </c>
      <c r="F452" s="165" t="s">
        <v>258</v>
      </c>
      <c r="G452" s="165" t="s">
        <v>606</v>
      </c>
      <c r="H452" s="165" t="s">
        <v>2371</v>
      </c>
      <c r="I452" s="144">
        <v>47407</v>
      </c>
      <c r="J452">
        <v>1349</v>
      </c>
      <c r="K452" s="165" t="s">
        <v>2019</v>
      </c>
      <c r="L452" s="165" t="s">
        <v>8</v>
      </c>
      <c r="M452" s="144">
        <v>46784</v>
      </c>
      <c r="N452" s="146">
        <v>9000</v>
      </c>
      <c r="O452">
        <v>0</v>
      </c>
      <c r="P452">
        <v>9000</v>
      </c>
      <c r="Q452" s="165" t="s">
        <v>225</v>
      </c>
      <c r="R452" s="165" t="s">
        <v>2027</v>
      </c>
    </row>
    <row r="453" spans="1:19" x14ac:dyDescent="0.25">
      <c r="A453">
        <v>228</v>
      </c>
      <c r="B453" s="144">
        <v>46058</v>
      </c>
      <c r="C453">
        <v>22657</v>
      </c>
      <c r="D453" s="165" t="s">
        <v>2354</v>
      </c>
      <c r="E453" s="165" t="s">
        <v>12</v>
      </c>
      <c r="F453" s="165" t="s">
        <v>2293</v>
      </c>
      <c r="G453" s="165" t="s">
        <v>693</v>
      </c>
      <c r="H453" s="165" t="s">
        <v>2356</v>
      </c>
      <c r="I453" s="144">
        <v>47764</v>
      </c>
      <c r="J453">
        <v>1706</v>
      </c>
      <c r="K453" s="165" t="s">
        <v>2019</v>
      </c>
      <c r="L453" s="165" t="s">
        <v>102</v>
      </c>
      <c r="M453" s="144">
        <v>47515</v>
      </c>
      <c r="N453" s="146">
        <v>10000</v>
      </c>
      <c r="O453">
        <v>0</v>
      </c>
      <c r="P453">
        <v>10000</v>
      </c>
      <c r="Q453" s="165" t="s">
        <v>225</v>
      </c>
      <c r="R453" s="165"/>
    </row>
    <row r="454" spans="1:19" x14ac:dyDescent="0.25">
      <c r="A454">
        <v>227</v>
      </c>
      <c r="B454" s="144">
        <v>46058</v>
      </c>
      <c r="C454">
        <v>22657</v>
      </c>
      <c r="D454" s="165" t="s">
        <v>2354</v>
      </c>
      <c r="E454" s="165" t="s">
        <v>12</v>
      </c>
      <c r="F454" s="165" t="s">
        <v>2293</v>
      </c>
      <c r="G454" s="165" t="s">
        <v>1454</v>
      </c>
      <c r="H454" s="165" t="s">
        <v>2356</v>
      </c>
      <c r="I454" s="144">
        <v>47764</v>
      </c>
      <c r="J454">
        <v>1706</v>
      </c>
      <c r="K454" s="165" t="s">
        <v>240</v>
      </c>
      <c r="L454" s="165" t="s">
        <v>102</v>
      </c>
      <c r="M454" s="144">
        <v>47515</v>
      </c>
      <c r="N454" s="146">
        <v>10000</v>
      </c>
      <c r="O454">
        <v>6200</v>
      </c>
      <c r="P454">
        <v>3800</v>
      </c>
      <c r="Q454" s="165" t="s">
        <v>225</v>
      </c>
      <c r="R454" s="165"/>
      <c r="S454" t="s">
        <v>263</v>
      </c>
    </row>
    <row r="455" spans="1:19" x14ac:dyDescent="0.25">
      <c r="A455">
        <v>226</v>
      </c>
      <c r="B455" s="144">
        <v>46058</v>
      </c>
      <c r="C455">
        <v>22661</v>
      </c>
      <c r="D455" s="165" t="s">
        <v>2372</v>
      </c>
      <c r="E455" s="165" t="s">
        <v>12</v>
      </c>
      <c r="F455" s="165" t="s">
        <v>293</v>
      </c>
      <c r="G455" s="165" t="s">
        <v>413</v>
      </c>
      <c r="H455" s="165" t="s">
        <v>2373</v>
      </c>
      <c r="I455" s="144">
        <v>47668</v>
      </c>
      <c r="J455">
        <v>1610</v>
      </c>
      <c r="K455" s="165" t="s">
        <v>2019</v>
      </c>
      <c r="L455" s="165" t="s">
        <v>8</v>
      </c>
      <c r="M455" s="144">
        <v>47515</v>
      </c>
      <c r="N455" s="146">
        <v>11000</v>
      </c>
      <c r="O455">
        <v>0</v>
      </c>
      <c r="P455">
        <v>11000</v>
      </c>
      <c r="Q455" s="165" t="s">
        <v>225</v>
      </c>
      <c r="R455" s="165"/>
    </row>
    <row r="456" spans="1:19" x14ac:dyDescent="0.25">
      <c r="A456">
        <v>225</v>
      </c>
      <c r="B456" s="144">
        <v>46058</v>
      </c>
      <c r="C456">
        <v>22661</v>
      </c>
      <c r="D456" s="165" t="s">
        <v>2372</v>
      </c>
      <c r="E456" s="165" t="s">
        <v>12</v>
      </c>
      <c r="F456" s="165" t="s">
        <v>293</v>
      </c>
      <c r="G456" s="165" t="s">
        <v>3307</v>
      </c>
      <c r="H456" s="165" t="s">
        <v>2373</v>
      </c>
      <c r="I456" s="144">
        <v>47668</v>
      </c>
      <c r="J456">
        <v>1610</v>
      </c>
      <c r="K456" s="165" t="s">
        <v>240</v>
      </c>
      <c r="L456" s="165" t="s">
        <v>8</v>
      </c>
      <c r="M456" s="144">
        <v>47515</v>
      </c>
      <c r="N456" s="146">
        <v>11000</v>
      </c>
      <c r="O456">
        <v>0</v>
      </c>
      <c r="P456">
        <v>11000</v>
      </c>
      <c r="Q456" s="165" t="s">
        <v>225</v>
      </c>
      <c r="R456" s="165"/>
      <c r="S456" t="s">
        <v>263</v>
      </c>
    </row>
    <row r="457" spans="1:19" x14ac:dyDescent="0.25">
      <c r="A457">
        <v>224</v>
      </c>
      <c r="B457" s="144">
        <v>46058</v>
      </c>
      <c r="C457">
        <v>22666</v>
      </c>
      <c r="D457" s="165" t="s">
        <v>2374</v>
      </c>
      <c r="E457" s="165" t="s">
        <v>13</v>
      </c>
      <c r="F457" s="165" t="s">
        <v>2087</v>
      </c>
      <c r="G457" s="165" t="s">
        <v>671</v>
      </c>
      <c r="H457" s="165" t="s">
        <v>2375</v>
      </c>
      <c r="I457" s="144">
        <v>46799</v>
      </c>
      <c r="J457">
        <v>741</v>
      </c>
      <c r="K457" s="165" t="s">
        <v>2019</v>
      </c>
      <c r="L457" s="165" t="s">
        <v>8</v>
      </c>
      <c r="M457" s="144">
        <v>46784</v>
      </c>
      <c r="N457" s="146">
        <v>10000</v>
      </c>
      <c r="O457">
        <v>0</v>
      </c>
      <c r="P457">
        <v>10000</v>
      </c>
      <c r="Q457" s="165" t="s">
        <v>225</v>
      </c>
      <c r="R457" s="165"/>
    </row>
    <row r="458" spans="1:19" x14ac:dyDescent="0.25">
      <c r="A458">
        <v>223</v>
      </c>
      <c r="B458" s="144">
        <v>46058</v>
      </c>
      <c r="C458">
        <v>22666</v>
      </c>
      <c r="D458" s="165" t="s">
        <v>2374</v>
      </c>
      <c r="E458" s="165" t="s">
        <v>13</v>
      </c>
      <c r="F458" s="165" t="s">
        <v>2087</v>
      </c>
      <c r="G458" s="165" t="s">
        <v>4952</v>
      </c>
      <c r="H458" s="165" t="s">
        <v>2375</v>
      </c>
      <c r="I458" s="144">
        <v>46799</v>
      </c>
      <c r="J458">
        <v>741</v>
      </c>
      <c r="K458" s="165" t="s">
        <v>240</v>
      </c>
      <c r="L458" s="165" t="s">
        <v>8</v>
      </c>
      <c r="M458" s="144">
        <v>46784</v>
      </c>
      <c r="N458" s="146">
        <v>10000</v>
      </c>
      <c r="O458">
        <v>9500</v>
      </c>
      <c r="P458">
        <v>500</v>
      </c>
      <c r="Q458" s="165" t="s">
        <v>225</v>
      </c>
      <c r="R458" s="165"/>
      <c r="S458" t="s">
        <v>269</v>
      </c>
    </row>
    <row r="459" spans="1:19" x14ac:dyDescent="0.25">
      <c r="A459">
        <v>222</v>
      </c>
      <c r="B459" s="144">
        <v>46058</v>
      </c>
      <c r="C459">
        <v>22665</v>
      </c>
      <c r="D459" s="165" t="s">
        <v>2376</v>
      </c>
      <c r="E459" s="165" t="s">
        <v>12</v>
      </c>
      <c r="F459" s="165" t="s">
        <v>255</v>
      </c>
      <c r="G459" s="165" t="s">
        <v>608</v>
      </c>
      <c r="H459" s="165" t="s">
        <v>2377</v>
      </c>
      <c r="I459" s="144">
        <v>46292</v>
      </c>
      <c r="J459">
        <v>234</v>
      </c>
      <c r="K459" s="165" t="s">
        <v>2019</v>
      </c>
      <c r="L459" s="165" t="s">
        <v>8</v>
      </c>
      <c r="M459" s="144">
        <v>46784</v>
      </c>
      <c r="N459" s="146">
        <v>16667</v>
      </c>
      <c r="O459">
        <v>0</v>
      </c>
      <c r="P459">
        <v>16667</v>
      </c>
      <c r="Q459" s="165" t="s">
        <v>225</v>
      </c>
      <c r="R459" s="165"/>
    </row>
    <row r="460" spans="1:19" x14ac:dyDescent="0.25">
      <c r="A460">
        <v>221</v>
      </c>
      <c r="B460" s="144">
        <v>46058</v>
      </c>
      <c r="C460">
        <v>22665</v>
      </c>
      <c r="D460" s="165" t="s">
        <v>2376</v>
      </c>
      <c r="E460" s="165" t="s">
        <v>12</v>
      </c>
      <c r="F460" s="165" t="s">
        <v>255</v>
      </c>
      <c r="G460" s="165" t="s">
        <v>1222</v>
      </c>
      <c r="H460" s="165" t="s">
        <v>2377</v>
      </c>
      <c r="I460" s="144">
        <v>46292</v>
      </c>
      <c r="J460">
        <v>234</v>
      </c>
      <c r="K460" s="165" t="s">
        <v>240</v>
      </c>
      <c r="L460" s="165" t="s">
        <v>8</v>
      </c>
      <c r="M460" s="144">
        <v>46784</v>
      </c>
      <c r="N460" s="146">
        <v>16667</v>
      </c>
      <c r="O460">
        <v>1000</v>
      </c>
      <c r="P460">
        <v>15667</v>
      </c>
      <c r="Q460" s="165" t="s">
        <v>225</v>
      </c>
      <c r="R460" s="165"/>
      <c r="S460" t="s">
        <v>241</v>
      </c>
    </row>
    <row r="461" spans="1:19" x14ac:dyDescent="0.25">
      <c r="A461">
        <v>220</v>
      </c>
      <c r="B461" s="144">
        <v>46058</v>
      </c>
      <c r="C461">
        <v>22668</v>
      </c>
      <c r="D461" s="165" t="s">
        <v>2378</v>
      </c>
      <c r="E461" s="165" t="s">
        <v>181</v>
      </c>
      <c r="F461" s="165" t="s">
        <v>247</v>
      </c>
      <c r="G461" s="165" t="s">
        <v>344</v>
      </c>
      <c r="H461" s="165" t="s">
        <v>2379</v>
      </c>
      <c r="I461" s="144">
        <v>47717</v>
      </c>
      <c r="J461">
        <v>1659</v>
      </c>
      <c r="K461" s="165" t="s">
        <v>2019</v>
      </c>
      <c r="L461" s="165" t="s">
        <v>8</v>
      </c>
      <c r="M461" s="144">
        <v>46784</v>
      </c>
      <c r="N461" s="146">
        <v>9901</v>
      </c>
      <c r="O461">
        <v>0</v>
      </c>
      <c r="P461">
        <v>9901</v>
      </c>
      <c r="Q461" s="165" t="s">
        <v>225</v>
      </c>
      <c r="R461" s="165"/>
    </row>
    <row r="462" spans="1:19" x14ac:dyDescent="0.25">
      <c r="A462">
        <v>219</v>
      </c>
      <c r="B462" s="144">
        <v>46058</v>
      </c>
      <c r="C462">
        <v>22668</v>
      </c>
      <c r="D462" s="165" t="s">
        <v>2378</v>
      </c>
      <c r="E462" s="165" t="s">
        <v>181</v>
      </c>
      <c r="F462" s="165" t="s">
        <v>247</v>
      </c>
      <c r="G462" s="165" t="s">
        <v>3910</v>
      </c>
      <c r="H462" s="165" t="s">
        <v>2379</v>
      </c>
      <c r="I462" s="144">
        <v>47717</v>
      </c>
      <c r="J462">
        <v>1659</v>
      </c>
      <c r="K462" s="165" t="s">
        <v>240</v>
      </c>
      <c r="L462" s="165" t="s">
        <v>8</v>
      </c>
      <c r="M462" s="144">
        <v>46784</v>
      </c>
      <c r="N462" s="146">
        <v>9901</v>
      </c>
      <c r="O462">
        <v>900</v>
      </c>
      <c r="P462">
        <v>9001</v>
      </c>
      <c r="Q462" s="165" t="s">
        <v>225</v>
      </c>
      <c r="R462" s="165"/>
      <c r="S462" t="s">
        <v>241</v>
      </c>
    </row>
    <row r="463" spans="1:19" x14ac:dyDescent="0.25">
      <c r="A463">
        <v>218</v>
      </c>
      <c r="B463" s="144">
        <v>46058</v>
      </c>
      <c r="C463">
        <v>22669</v>
      </c>
      <c r="D463" s="165" t="s">
        <v>2380</v>
      </c>
      <c r="E463" s="165" t="s">
        <v>2229</v>
      </c>
      <c r="F463" s="165" t="s">
        <v>2381</v>
      </c>
      <c r="G463" s="165" t="s">
        <v>452</v>
      </c>
      <c r="H463" s="165" t="s">
        <v>2382</v>
      </c>
      <c r="I463" s="144">
        <v>46391</v>
      </c>
      <c r="J463">
        <v>333</v>
      </c>
      <c r="K463" s="165" t="s">
        <v>2019</v>
      </c>
      <c r="L463" s="165" t="s">
        <v>8</v>
      </c>
      <c r="M463" s="144">
        <v>46784</v>
      </c>
      <c r="N463" s="146">
        <v>10200</v>
      </c>
      <c r="O463">
        <v>0</v>
      </c>
      <c r="P463">
        <v>10200</v>
      </c>
      <c r="Q463" s="165" t="s">
        <v>225</v>
      </c>
      <c r="R463" s="165"/>
    </row>
    <row r="464" spans="1:19" x14ac:dyDescent="0.25">
      <c r="A464">
        <v>217</v>
      </c>
      <c r="B464" s="144">
        <v>46058</v>
      </c>
      <c r="C464">
        <v>22669</v>
      </c>
      <c r="D464" s="165" t="s">
        <v>2380</v>
      </c>
      <c r="E464" s="165" t="s">
        <v>2229</v>
      </c>
      <c r="F464" s="165" t="s">
        <v>2381</v>
      </c>
      <c r="G464" s="165" t="s">
        <v>953</v>
      </c>
      <c r="H464" s="165" t="s">
        <v>2382</v>
      </c>
      <c r="I464" s="144">
        <v>46391</v>
      </c>
      <c r="J464">
        <v>333</v>
      </c>
      <c r="K464" s="165" t="s">
        <v>240</v>
      </c>
      <c r="L464" s="165" t="s">
        <v>8</v>
      </c>
      <c r="M464" s="144">
        <v>46784</v>
      </c>
      <c r="N464" s="146">
        <v>10200</v>
      </c>
      <c r="O464">
        <v>0</v>
      </c>
      <c r="P464">
        <v>10200</v>
      </c>
      <c r="Q464" s="165" t="s">
        <v>225</v>
      </c>
      <c r="R464" s="165"/>
      <c r="S464" t="s">
        <v>241</v>
      </c>
    </row>
    <row r="465" spans="1:19" x14ac:dyDescent="0.25">
      <c r="A465">
        <v>216</v>
      </c>
      <c r="B465" s="144">
        <v>46058</v>
      </c>
      <c r="C465">
        <v>22670</v>
      </c>
      <c r="D465" s="165" t="s">
        <v>2380</v>
      </c>
      <c r="E465" s="165" t="s">
        <v>2229</v>
      </c>
      <c r="F465" s="165" t="s">
        <v>2381</v>
      </c>
      <c r="G465" s="165" t="s">
        <v>452</v>
      </c>
      <c r="H465" s="165" t="s">
        <v>2382</v>
      </c>
      <c r="I465" s="144">
        <v>46391</v>
      </c>
      <c r="J465">
        <v>333</v>
      </c>
      <c r="K465" s="165" t="s">
        <v>2019</v>
      </c>
      <c r="L465" s="165" t="s">
        <v>8</v>
      </c>
      <c r="M465" s="144">
        <v>46784</v>
      </c>
      <c r="N465" s="146">
        <v>15300</v>
      </c>
      <c r="O465">
        <v>0</v>
      </c>
      <c r="P465">
        <v>15300</v>
      </c>
      <c r="Q465" s="165" t="s">
        <v>225</v>
      </c>
      <c r="R465" s="165"/>
    </row>
    <row r="466" spans="1:19" x14ac:dyDescent="0.25">
      <c r="A466">
        <v>215</v>
      </c>
      <c r="B466" s="144">
        <v>46058</v>
      </c>
      <c r="C466">
        <v>22670</v>
      </c>
      <c r="D466" s="165" t="s">
        <v>2380</v>
      </c>
      <c r="E466" s="165" t="s">
        <v>2229</v>
      </c>
      <c r="F466" s="165" t="s">
        <v>2381</v>
      </c>
      <c r="G466" s="165" t="s">
        <v>953</v>
      </c>
      <c r="H466" s="165" t="s">
        <v>2382</v>
      </c>
      <c r="I466" s="144">
        <v>46391</v>
      </c>
      <c r="J466">
        <v>333</v>
      </c>
      <c r="K466" s="165" t="s">
        <v>240</v>
      </c>
      <c r="L466" s="165" t="s">
        <v>8</v>
      </c>
      <c r="M466" s="144">
        <v>46784</v>
      </c>
      <c r="N466" s="146">
        <v>15300</v>
      </c>
      <c r="O466">
        <v>0</v>
      </c>
      <c r="P466">
        <v>15300</v>
      </c>
      <c r="Q466" s="165" t="s">
        <v>225</v>
      </c>
      <c r="R466" s="165"/>
      <c r="S466" t="s">
        <v>241</v>
      </c>
    </row>
    <row r="467" spans="1:19" x14ac:dyDescent="0.25">
      <c r="A467">
        <v>214</v>
      </c>
      <c r="B467" s="144">
        <v>46058</v>
      </c>
      <c r="C467">
        <v>22671</v>
      </c>
      <c r="D467" s="165" t="s">
        <v>2380</v>
      </c>
      <c r="E467" s="165" t="s">
        <v>2229</v>
      </c>
      <c r="F467" s="165" t="s">
        <v>2381</v>
      </c>
      <c r="G467" s="165" t="s">
        <v>452</v>
      </c>
      <c r="H467" s="165" t="s">
        <v>2382</v>
      </c>
      <c r="I467" s="144">
        <v>46391</v>
      </c>
      <c r="J467">
        <v>333</v>
      </c>
      <c r="K467" s="165" t="s">
        <v>2019</v>
      </c>
      <c r="L467" s="165" t="s">
        <v>8</v>
      </c>
      <c r="M467" s="144">
        <v>46784</v>
      </c>
      <c r="N467" s="146">
        <v>15300</v>
      </c>
      <c r="O467">
        <v>0</v>
      </c>
      <c r="P467">
        <v>15300</v>
      </c>
      <c r="Q467" s="165" t="s">
        <v>225</v>
      </c>
      <c r="R467" s="165"/>
    </row>
    <row r="468" spans="1:19" x14ac:dyDescent="0.25">
      <c r="A468">
        <v>213</v>
      </c>
      <c r="B468" s="144">
        <v>46058</v>
      </c>
      <c r="C468">
        <v>22671</v>
      </c>
      <c r="D468" s="165" t="s">
        <v>2380</v>
      </c>
      <c r="E468" s="165" t="s">
        <v>2229</v>
      </c>
      <c r="F468" s="165" t="s">
        <v>2381</v>
      </c>
      <c r="G468" s="165" t="s">
        <v>953</v>
      </c>
      <c r="H468" s="165" t="s">
        <v>2382</v>
      </c>
      <c r="I468" s="144">
        <v>46391</v>
      </c>
      <c r="J468">
        <v>333</v>
      </c>
      <c r="K468" s="165" t="s">
        <v>240</v>
      </c>
      <c r="L468" s="165" t="s">
        <v>8</v>
      </c>
      <c r="M468" s="144">
        <v>46784</v>
      </c>
      <c r="N468" s="146">
        <v>15300</v>
      </c>
      <c r="O468">
        <v>2800</v>
      </c>
      <c r="P468">
        <v>12500</v>
      </c>
      <c r="Q468" s="165" t="s">
        <v>225</v>
      </c>
      <c r="R468" s="165"/>
      <c r="S468" t="s">
        <v>241</v>
      </c>
    </row>
    <row r="469" spans="1:19" x14ac:dyDescent="0.25">
      <c r="A469">
        <v>212</v>
      </c>
      <c r="B469" s="144">
        <v>46058</v>
      </c>
      <c r="C469">
        <v>22674</v>
      </c>
      <c r="D469" s="165" t="s">
        <v>2383</v>
      </c>
      <c r="E469" s="165" t="s">
        <v>201</v>
      </c>
      <c r="F469" s="165" t="s">
        <v>299</v>
      </c>
      <c r="G469" s="165" t="s">
        <v>576</v>
      </c>
      <c r="H469" s="165" t="s">
        <v>2384</v>
      </c>
      <c r="I469" s="144">
        <v>47794</v>
      </c>
      <c r="J469">
        <v>1736</v>
      </c>
      <c r="K469" s="165" t="s">
        <v>2016</v>
      </c>
      <c r="L469" s="165" t="s">
        <v>8</v>
      </c>
      <c r="M469" s="144">
        <v>46784</v>
      </c>
      <c r="N469" s="146">
        <v>10500</v>
      </c>
      <c r="O469">
        <v>0</v>
      </c>
      <c r="P469">
        <v>10500</v>
      </c>
      <c r="Q469" s="165" t="s">
        <v>225</v>
      </c>
      <c r="R469" s="165"/>
    </row>
    <row r="470" spans="1:19" x14ac:dyDescent="0.25">
      <c r="A470">
        <v>211</v>
      </c>
      <c r="B470" s="144">
        <v>46058</v>
      </c>
      <c r="C470">
        <v>22674</v>
      </c>
      <c r="D470" s="165" t="s">
        <v>2383</v>
      </c>
      <c r="E470" s="165" t="s">
        <v>201</v>
      </c>
      <c r="F470" s="165" t="s">
        <v>299</v>
      </c>
      <c r="G470" s="165" t="s">
        <v>711</v>
      </c>
      <c r="H470" s="165" t="s">
        <v>2384</v>
      </c>
      <c r="I470" s="144">
        <v>47794</v>
      </c>
      <c r="J470">
        <v>1736</v>
      </c>
      <c r="K470" s="165" t="s">
        <v>2019</v>
      </c>
      <c r="L470" s="165" t="s">
        <v>8</v>
      </c>
      <c r="M470" s="144">
        <v>46784</v>
      </c>
      <c r="N470" s="146">
        <v>10500</v>
      </c>
      <c r="O470">
        <v>0</v>
      </c>
      <c r="P470">
        <v>10500</v>
      </c>
      <c r="Q470" s="165" t="s">
        <v>225</v>
      </c>
      <c r="R470" s="165"/>
    </row>
    <row r="471" spans="1:19" x14ac:dyDescent="0.25">
      <c r="A471">
        <v>210</v>
      </c>
      <c r="B471" s="144">
        <v>46058</v>
      </c>
      <c r="C471">
        <v>22674</v>
      </c>
      <c r="D471" s="165" t="s">
        <v>2383</v>
      </c>
      <c r="E471" s="165" t="s">
        <v>201</v>
      </c>
      <c r="F471" s="165" t="s">
        <v>299</v>
      </c>
      <c r="G471" s="165" t="s">
        <v>2972</v>
      </c>
      <c r="H471" s="165" t="s">
        <v>2384</v>
      </c>
      <c r="I471" s="144">
        <v>47794</v>
      </c>
      <c r="J471">
        <v>1736</v>
      </c>
      <c r="K471" s="165" t="s">
        <v>240</v>
      </c>
      <c r="L471" s="165" t="s">
        <v>8</v>
      </c>
      <c r="M471" s="144">
        <v>46784</v>
      </c>
      <c r="N471" s="146">
        <v>10500</v>
      </c>
      <c r="O471">
        <v>7000</v>
      </c>
      <c r="P471">
        <v>3500</v>
      </c>
      <c r="Q471" s="165" t="s">
        <v>225</v>
      </c>
      <c r="R471" s="165"/>
      <c r="S471" t="s">
        <v>269</v>
      </c>
    </row>
    <row r="472" spans="1:19" x14ac:dyDescent="0.25">
      <c r="A472">
        <v>209</v>
      </c>
      <c r="B472" s="144">
        <v>46058</v>
      </c>
      <c r="C472">
        <v>22679</v>
      </c>
      <c r="D472" s="165" t="s">
        <v>2369</v>
      </c>
      <c r="E472" s="165" t="s">
        <v>15</v>
      </c>
      <c r="F472" s="165" t="s">
        <v>247</v>
      </c>
      <c r="G472" s="165" t="s">
        <v>1652</v>
      </c>
      <c r="H472" s="165" t="s">
        <v>2236</v>
      </c>
      <c r="I472" s="144">
        <v>46677</v>
      </c>
      <c r="J472">
        <v>619</v>
      </c>
      <c r="K472" s="165" t="s">
        <v>2019</v>
      </c>
      <c r="L472" s="165" t="s">
        <v>2237</v>
      </c>
      <c r="M472" s="144">
        <v>46784</v>
      </c>
      <c r="N472" s="146">
        <v>12300</v>
      </c>
      <c r="O472">
        <v>0</v>
      </c>
      <c r="P472">
        <v>12300</v>
      </c>
      <c r="Q472" s="165" t="s">
        <v>225</v>
      </c>
      <c r="R472" s="165"/>
    </row>
    <row r="473" spans="1:19" x14ac:dyDescent="0.25">
      <c r="A473">
        <v>208</v>
      </c>
      <c r="B473" s="144">
        <v>46058</v>
      </c>
      <c r="C473">
        <v>22679</v>
      </c>
      <c r="D473" s="165" t="s">
        <v>2369</v>
      </c>
      <c r="E473" s="165" t="s">
        <v>15</v>
      </c>
      <c r="F473" s="165" t="s">
        <v>247</v>
      </c>
      <c r="G473" s="165" t="s">
        <v>576</v>
      </c>
      <c r="H473" s="165" t="s">
        <v>2236</v>
      </c>
      <c r="I473" s="144">
        <v>46677</v>
      </c>
      <c r="J473">
        <v>619</v>
      </c>
      <c r="K473" s="165" t="s">
        <v>2016</v>
      </c>
      <c r="L473" s="165" t="s">
        <v>2237</v>
      </c>
      <c r="M473" s="144">
        <v>46784</v>
      </c>
      <c r="N473" s="146">
        <v>12300</v>
      </c>
      <c r="O473">
        <v>0</v>
      </c>
      <c r="P473">
        <v>12300</v>
      </c>
      <c r="Q473" s="165" t="s">
        <v>225</v>
      </c>
      <c r="R473" s="165"/>
    </row>
    <row r="474" spans="1:19" x14ac:dyDescent="0.25">
      <c r="A474">
        <v>207</v>
      </c>
      <c r="B474" s="144">
        <v>46058</v>
      </c>
      <c r="C474">
        <v>22679</v>
      </c>
      <c r="D474" s="165" t="s">
        <v>2369</v>
      </c>
      <c r="E474" s="165" t="s">
        <v>15</v>
      </c>
      <c r="F474" s="165" t="s">
        <v>247</v>
      </c>
      <c r="G474" s="165" t="s">
        <v>1753</v>
      </c>
      <c r="H474" s="165" t="s">
        <v>2236</v>
      </c>
      <c r="I474" s="144">
        <v>46677</v>
      </c>
      <c r="J474">
        <v>619</v>
      </c>
      <c r="K474" s="165" t="s">
        <v>240</v>
      </c>
      <c r="L474" s="165" t="s">
        <v>2237</v>
      </c>
      <c r="M474" s="144">
        <v>46784</v>
      </c>
      <c r="N474" s="146">
        <v>12300</v>
      </c>
      <c r="O474">
        <v>1486</v>
      </c>
      <c r="P474">
        <v>10814</v>
      </c>
      <c r="Q474" s="165" t="s">
        <v>225</v>
      </c>
      <c r="R474" s="165"/>
      <c r="S474" t="s">
        <v>269</v>
      </c>
    </row>
    <row r="475" spans="1:19" x14ac:dyDescent="0.25">
      <c r="A475">
        <v>206</v>
      </c>
      <c r="B475" s="144">
        <v>46058</v>
      </c>
      <c r="C475">
        <v>22683</v>
      </c>
      <c r="D475" s="165" t="s">
        <v>2385</v>
      </c>
      <c r="E475" s="165" t="s">
        <v>15</v>
      </c>
      <c r="F475" s="165" t="s">
        <v>247</v>
      </c>
      <c r="G475" s="165" t="s">
        <v>544</v>
      </c>
      <c r="H475" s="165" t="s">
        <v>2386</v>
      </c>
      <c r="I475" s="144">
        <v>46618</v>
      </c>
      <c r="J475">
        <v>560</v>
      </c>
      <c r="K475" s="165" t="s">
        <v>2019</v>
      </c>
      <c r="L475" s="165" t="s">
        <v>8</v>
      </c>
      <c r="M475" s="144">
        <v>46784</v>
      </c>
      <c r="N475" s="146">
        <v>9804</v>
      </c>
      <c r="O475">
        <v>0</v>
      </c>
      <c r="P475">
        <v>9804</v>
      </c>
      <c r="Q475" s="165" t="s">
        <v>225</v>
      </c>
      <c r="R475" s="165"/>
    </row>
    <row r="476" spans="1:19" x14ac:dyDescent="0.25">
      <c r="A476">
        <v>205</v>
      </c>
      <c r="B476" s="144">
        <v>46058</v>
      </c>
      <c r="C476">
        <v>22683</v>
      </c>
      <c r="D476" s="165" t="s">
        <v>2385</v>
      </c>
      <c r="E476" s="165" t="s">
        <v>15</v>
      </c>
      <c r="F476" s="165" t="s">
        <v>247</v>
      </c>
      <c r="G476" s="165" t="s">
        <v>1132</v>
      </c>
      <c r="H476" s="165" t="s">
        <v>2386</v>
      </c>
      <c r="I476" s="144">
        <v>46618</v>
      </c>
      <c r="J476">
        <v>560</v>
      </c>
      <c r="K476" s="165" t="s">
        <v>240</v>
      </c>
      <c r="L476" s="165" t="s">
        <v>8</v>
      </c>
      <c r="M476" s="144">
        <v>46784</v>
      </c>
      <c r="N476" s="146">
        <v>9804</v>
      </c>
      <c r="O476">
        <v>0</v>
      </c>
      <c r="P476">
        <v>9804</v>
      </c>
      <c r="Q476" s="165" t="s">
        <v>225</v>
      </c>
      <c r="R476" s="165"/>
      <c r="S476" t="s">
        <v>241</v>
      </c>
    </row>
    <row r="477" spans="1:19" x14ac:dyDescent="0.25">
      <c r="A477">
        <v>204</v>
      </c>
      <c r="B477" s="144">
        <v>46058</v>
      </c>
      <c r="C477">
        <v>22682</v>
      </c>
      <c r="D477" s="165" t="s">
        <v>2385</v>
      </c>
      <c r="E477" s="165" t="s">
        <v>15</v>
      </c>
      <c r="F477" s="165" t="s">
        <v>247</v>
      </c>
      <c r="G477" s="165" t="s">
        <v>544</v>
      </c>
      <c r="H477" s="165" t="s">
        <v>2386</v>
      </c>
      <c r="I477" s="144">
        <v>46618</v>
      </c>
      <c r="J477">
        <v>560</v>
      </c>
      <c r="K477" s="165" t="s">
        <v>2019</v>
      </c>
      <c r="L477" s="165" t="s">
        <v>8</v>
      </c>
      <c r="M477" s="144">
        <v>46784</v>
      </c>
      <c r="N477" s="146">
        <v>9804</v>
      </c>
      <c r="O477">
        <v>0</v>
      </c>
      <c r="P477">
        <v>9804</v>
      </c>
      <c r="Q477" s="165" t="s">
        <v>225</v>
      </c>
      <c r="R477" s="165"/>
    </row>
    <row r="478" spans="1:19" x14ac:dyDescent="0.25">
      <c r="A478">
        <v>203</v>
      </c>
      <c r="B478" s="144">
        <v>46058</v>
      </c>
      <c r="C478">
        <v>22682</v>
      </c>
      <c r="D478" s="165" t="s">
        <v>2385</v>
      </c>
      <c r="E478" s="165" t="s">
        <v>15</v>
      </c>
      <c r="F478" s="165" t="s">
        <v>247</v>
      </c>
      <c r="G478" s="165" t="s">
        <v>1132</v>
      </c>
      <c r="H478" s="165" t="s">
        <v>2386</v>
      </c>
      <c r="I478" s="144">
        <v>46618</v>
      </c>
      <c r="J478">
        <v>560</v>
      </c>
      <c r="K478" s="165" t="s">
        <v>240</v>
      </c>
      <c r="L478" s="165" t="s">
        <v>8</v>
      </c>
      <c r="M478" s="144">
        <v>46784</v>
      </c>
      <c r="N478" s="146">
        <v>9804</v>
      </c>
      <c r="O478">
        <v>900</v>
      </c>
      <c r="P478">
        <v>8904</v>
      </c>
      <c r="Q478" s="165" t="s">
        <v>225</v>
      </c>
      <c r="R478" s="165"/>
      <c r="S478" t="s">
        <v>241</v>
      </c>
    </row>
    <row r="479" spans="1:19" x14ac:dyDescent="0.25">
      <c r="A479">
        <v>202</v>
      </c>
      <c r="B479" s="144">
        <v>46058</v>
      </c>
      <c r="C479">
        <v>22618</v>
      </c>
      <c r="D479" s="165" t="s">
        <v>2387</v>
      </c>
      <c r="E479" s="165" t="s">
        <v>141</v>
      </c>
      <c r="F479" s="165" t="s">
        <v>258</v>
      </c>
      <c r="G479" s="165" t="s">
        <v>480</v>
      </c>
      <c r="H479" s="165" t="s">
        <v>2388</v>
      </c>
      <c r="I479" s="144">
        <v>46825</v>
      </c>
      <c r="J479">
        <v>767</v>
      </c>
      <c r="K479" s="165" t="s">
        <v>2019</v>
      </c>
      <c r="L479" s="165" t="s">
        <v>8</v>
      </c>
      <c r="M479" s="144">
        <v>46784</v>
      </c>
      <c r="N479" s="146">
        <v>5000</v>
      </c>
      <c r="O479">
        <v>0</v>
      </c>
      <c r="P479">
        <v>5000</v>
      </c>
      <c r="Q479" s="165" t="s">
        <v>225</v>
      </c>
      <c r="R479" s="165" t="s">
        <v>2027</v>
      </c>
    </row>
    <row r="480" spans="1:19" x14ac:dyDescent="0.25">
      <c r="A480">
        <v>201</v>
      </c>
      <c r="B480" s="144">
        <v>46058</v>
      </c>
      <c r="C480">
        <v>22640</v>
      </c>
      <c r="D480" s="165" t="s">
        <v>2389</v>
      </c>
      <c r="E480" s="165" t="s">
        <v>9</v>
      </c>
      <c r="F480" s="165" t="s">
        <v>2390</v>
      </c>
      <c r="G480" s="165" t="s">
        <v>492</v>
      </c>
      <c r="H480" s="165" t="s">
        <v>2391</v>
      </c>
      <c r="I480" s="144">
        <v>46607</v>
      </c>
      <c r="J480">
        <v>549</v>
      </c>
      <c r="K480" s="165" t="s">
        <v>2019</v>
      </c>
      <c r="L480" s="165" t="s">
        <v>8</v>
      </c>
      <c r="M480" s="144">
        <v>46784</v>
      </c>
      <c r="N480" s="146">
        <v>3000</v>
      </c>
      <c r="O480">
        <v>400</v>
      </c>
      <c r="P480">
        <v>2600</v>
      </c>
      <c r="Q480" s="165" t="s">
        <v>225</v>
      </c>
      <c r="R480" s="165"/>
    </row>
    <row r="481" spans="1:19" x14ac:dyDescent="0.25">
      <c r="A481">
        <v>200</v>
      </c>
      <c r="B481" s="144">
        <v>46058</v>
      </c>
      <c r="C481">
        <v>22639</v>
      </c>
      <c r="D481" s="165" t="s">
        <v>2392</v>
      </c>
      <c r="E481" s="165" t="s">
        <v>2183</v>
      </c>
      <c r="F481" s="165" t="s">
        <v>290</v>
      </c>
      <c r="G481" s="165" t="s">
        <v>2853</v>
      </c>
      <c r="H481" s="165" t="s">
        <v>2393</v>
      </c>
      <c r="I481" s="144">
        <v>46489</v>
      </c>
      <c r="J481">
        <v>431</v>
      </c>
      <c r="K481" s="165" t="s">
        <v>2019</v>
      </c>
      <c r="L481" s="165" t="s">
        <v>8</v>
      </c>
      <c r="M481" s="144">
        <v>46784</v>
      </c>
      <c r="N481" s="146">
        <v>2300</v>
      </c>
      <c r="O481">
        <v>200</v>
      </c>
      <c r="P481">
        <v>2100</v>
      </c>
      <c r="Q481" s="165" t="s">
        <v>225</v>
      </c>
      <c r="R481" s="165" t="s">
        <v>2027</v>
      </c>
    </row>
    <row r="482" spans="1:19" x14ac:dyDescent="0.25">
      <c r="A482">
        <v>199</v>
      </c>
      <c r="B482" s="144">
        <v>46058</v>
      </c>
      <c r="D482" s="165" t="s">
        <v>2394</v>
      </c>
      <c r="E482" s="165" t="s">
        <v>2111</v>
      </c>
      <c r="F482" s="165" t="s">
        <v>2395</v>
      </c>
      <c r="G482" s="165" t="s">
        <v>504</v>
      </c>
      <c r="H482" s="165" t="s">
        <v>2396</v>
      </c>
      <c r="I482" s="144">
        <v>46826</v>
      </c>
      <c r="J482">
        <v>768</v>
      </c>
      <c r="K482" s="165" t="s">
        <v>2019</v>
      </c>
      <c r="L482" s="165" t="s">
        <v>8</v>
      </c>
      <c r="M482" s="144">
        <v>46784</v>
      </c>
      <c r="N482" s="146">
        <v>6667</v>
      </c>
      <c r="O482">
        <v>0</v>
      </c>
      <c r="P482">
        <v>6667</v>
      </c>
      <c r="Q482" s="165" t="s">
        <v>225</v>
      </c>
      <c r="R482" s="165" t="s">
        <v>2027</v>
      </c>
    </row>
    <row r="483" spans="1:19" x14ac:dyDescent="0.25">
      <c r="A483">
        <v>198</v>
      </c>
      <c r="B483" s="144">
        <v>46057</v>
      </c>
      <c r="C483">
        <v>13226</v>
      </c>
      <c r="D483" s="165" t="s">
        <v>2397</v>
      </c>
      <c r="E483" s="165" t="s">
        <v>2398</v>
      </c>
      <c r="F483" s="165" t="s">
        <v>2399</v>
      </c>
      <c r="G483" s="165" t="s">
        <v>2745</v>
      </c>
      <c r="H483" s="165" t="s">
        <v>2400</v>
      </c>
      <c r="I483" s="144">
        <v>47000</v>
      </c>
      <c r="J483">
        <v>943</v>
      </c>
      <c r="K483" s="165" t="s">
        <v>2292</v>
      </c>
      <c r="L483" s="165" t="s">
        <v>8</v>
      </c>
      <c r="M483" s="144">
        <v>46784</v>
      </c>
      <c r="N483" s="146">
        <v>1500</v>
      </c>
      <c r="O483">
        <v>325</v>
      </c>
      <c r="P483">
        <v>1175</v>
      </c>
      <c r="Q483" s="165" t="s">
        <v>225</v>
      </c>
      <c r="R483" s="165"/>
    </row>
    <row r="484" spans="1:19" x14ac:dyDescent="0.25">
      <c r="A484">
        <v>197</v>
      </c>
      <c r="B484" s="144">
        <v>46057</v>
      </c>
      <c r="C484">
        <v>11226</v>
      </c>
      <c r="D484" s="165" t="s">
        <v>2401</v>
      </c>
      <c r="E484" s="165" t="s">
        <v>2398</v>
      </c>
      <c r="F484" s="165" t="s">
        <v>2399</v>
      </c>
      <c r="G484" s="165" t="s">
        <v>5325</v>
      </c>
      <c r="H484" s="165" t="s">
        <v>2402</v>
      </c>
      <c r="I484" s="144">
        <v>47000</v>
      </c>
      <c r="J484">
        <v>943</v>
      </c>
      <c r="K484" s="165" t="s">
        <v>2292</v>
      </c>
      <c r="L484" s="165" t="s">
        <v>8</v>
      </c>
      <c r="M484" s="144">
        <v>46784</v>
      </c>
      <c r="N484" s="146">
        <v>1980</v>
      </c>
      <c r="O484">
        <v>400</v>
      </c>
      <c r="P484">
        <v>1580</v>
      </c>
      <c r="Q484" s="165" t="s">
        <v>225</v>
      </c>
      <c r="R484" s="165"/>
    </row>
    <row r="485" spans="1:19" x14ac:dyDescent="0.25">
      <c r="A485">
        <v>196</v>
      </c>
      <c r="B485" s="144">
        <v>46057</v>
      </c>
      <c r="C485">
        <v>22635</v>
      </c>
      <c r="D485" s="165" t="s">
        <v>2403</v>
      </c>
      <c r="E485" s="165" t="s">
        <v>2183</v>
      </c>
      <c r="F485" s="165" t="s">
        <v>2404</v>
      </c>
      <c r="G485" s="165" t="s">
        <v>399</v>
      </c>
      <c r="H485" s="165" t="s">
        <v>2405</v>
      </c>
      <c r="I485" s="144">
        <v>46386</v>
      </c>
      <c r="J485">
        <v>329</v>
      </c>
      <c r="K485" s="165" t="s">
        <v>2019</v>
      </c>
      <c r="L485" s="165" t="s">
        <v>8</v>
      </c>
      <c r="M485" s="144">
        <v>46784</v>
      </c>
      <c r="N485" s="146">
        <v>1400</v>
      </c>
      <c r="O485">
        <v>0</v>
      </c>
      <c r="P485">
        <v>1400</v>
      </c>
      <c r="Q485" s="165" t="s">
        <v>225</v>
      </c>
      <c r="R485" s="165"/>
    </row>
    <row r="486" spans="1:19" x14ac:dyDescent="0.25">
      <c r="A486">
        <v>195</v>
      </c>
      <c r="B486" s="144">
        <v>46057</v>
      </c>
      <c r="C486">
        <v>22635</v>
      </c>
      <c r="D486" s="165" t="s">
        <v>2403</v>
      </c>
      <c r="E486" s="165" t="s">
        <v>2183</v>
      </c>
      <c r="F486" s="165" t="s">
        <v>2404</v>
      </c>
      <c r="G486" s="165" t="s">
        <v>851</v>
      </c>
      <c r="H486" s="165" t="s">
        <v>2405</v>
      </c>
      <c r="I486" s="144">
        <v>46386</v>
      </c>
      <c r="J486">
        <v>329</v>
      </c>
      <c r="K486" s="165" t="s">
        <v>240</v>
      </c>
      <c r="L486" s="165" t="s">
        <v>8</v>
      </c>
      <c r="M486" s="144">
        <v>46784</v>
      </c>
      <c r="N486" s="146">
        <v>1400</v>
      </c>
      <c r="O486">
        <v>0</v>
      </c>
      <c r="P486">
        <v>1400</v>
      </c>
      <c r="Q486" s="165" t="s">
        <v>225</v>
      </c>
      <c r="R486" s="165"/>
      <c r="S486" t="s">
        <v>241</v>
      </c>
    </row>
    <row r="487" spans="1:19" x14ac:dyDescent="0.25">
      <c r="A487">
        <v>194</v>
      </c>
      <c r="B487" s="144">
        <v>46057</v>
      </c>
      <c r="D487" s="165" t="s">
        <v>2406</v>
      </c>
      <c r="E487" s="165" t="s">
        <v>212</v>
      </c>
      <c r="F487" s="165" t="s">
        <v>2038</v>
      </c>
      <c r="G487" s="165" t="s">
        <v>2625</v>
      </c>
      <c r="H487" s="165" t="s">
        <v>2407</v>
      </c>
      <c r="I487" s="144">
        <v>46960</v>
      </c>
      <c r="J487">
        <v>903</v>
      </c>
      <c r="K487" s="165" t="s">
        <v>2019</v>
      </c>
      <c r="L487" s="165" t="s">
        <v>8</v>
      </c>
      <c r="M487" s="144">
        <v>47515</v>
      </c>
      <c r="N487" s="146">
        <v>1440</v>
      </c>
      <c r="O487">
        <v>0</v>
      </c>
      <c r="P487">
        <v>1440</v>
      </c>
      <c r="Q487" s="165" t="s">
        <v>225</v>
      </c>
      <c r="R487" s="165"/>
    </row>
    <row r="488" spans="1:19" x14ac:dyDescent="0.25">
      <c r="A488">
        <v>194</v>
      </c>
      <c r="B488" s="144">
        <v>46057</v>
      </c>
      <c r="D488" s="165" t="s">
        <v>2406</v>
      </c>
      <c r="E488" s="165" t="s">
        <v>212</v>
      </c>
      <c r="F488" s="165" t="s">
        <v>2038</v>
      </c>
      <c r="G488" s="165" t="s">
        <v>2625</v>
      </c>
      <c r="H488" s="165" t="s">
        <v>2407</v>
      </c>
      <c r="I488" s="144">
        <v>46960</v>
      </c>
      <c r="J488">
        <v>903</v>
      </c>
      <c r="K488" s="165" t="s">
        <v>2019</v>
      </c>
      <c r="L488" s="165" t="s">
        <v>8</v>
      </c>
      <c r="M488" s="144">
        <v>47515</v>
      </c>
      <c r="N488" s="146">
        <v>1440</v>
      </c>
      <c r="O488">
        <v>0</v>
      </c>
      <c r="P488">
        <v>1440</v>
      </c>
      <c r="Q488" s="165" t="s">
        <v>225</v>
      </c>
      <c r="R488" s="165"/>
    </row>
    <row r="489" spans="1:19" x14ac:dyDescent="0.25">
      <c r="A489">
        <v>194</v>
      </c>
      <c r="B489" s="144">
        <v>46057</v>
      </c>
      <c r="D489" s="165" t="s">
        <v>2406</v>
      </c>
      <c r="E489" s="165" t="s">
        <v>212</v>
      </c>
      <c r="F489" s="165" t="s">
        <v>2038</v>
      </c>
      <c r="G489" s="165" t="s">
        <v>2625</v>
      </c>
      <c r="H489" s="165" t="s">
        <v>2407</v>
      </c>
      <c r="I489" s="144">
        <v>46960</v>
      </c>
      <c r="J489">
        <v>903</v>
      </c>
      <c r="K489" s="165" t="s">
        <v>2019</v>
      </c>
      <c r="L489" s="165" t="s">
        <v>8</v>
      </c>
      <c r="M489" s="144">
        <v>47515</v>
      </c>
      <c r="N489" s="146">
        <v>540</v>
      </c>
      <c r="O489">
        <v>0</v>
      </c>
      <c r="P489">
        <v>540</v>
      </c>
      <c r="Q489" s="165" t="s">
        <v>225</v>
      </c>
      <c r="R489" s="165"/>
    </row>
    <row r="490" spans="1:19" x14ac:dyDescent="0.25">
      <c r="A490">
        <v>193</v>
      </c>
      <c r="B490" s="144">
        <v>46057</v>
      </c>
      <c r="D490" s="165" t="s">
        <v>2406</v>
      </c>
      <c r="E490" s="165" t="s">
        <v>212</v>
      </c>
      <c r="F490" s="165" t="s">
        <v>2038</v>
      </c>
      <c r="G490" s="165" t="s">
        <v>1707</v>
      </c>
      <c r="H490" s="165" t="s">
        <v>2407</v>
      </c>
      <c r="I490" s="144">
        <v>46960</v>
      </c>
      <c r="J490">
        <v>903</v>
      </c>
      <c r="K490" s="165" t="s">
        <v>240</v>
      </c>
      <c r="L490" s="165" t="s">
        <v>8</v>
      </c>
      <c r="M490" s="144">
        <v>47515</v>
      </c>
      <c r="N490" s="146">
        <v>1440</v>
      </c>
      <c r="O490">
        <v>0</v>
      </c>
      <c r="P490">
        <v>1440</v>
      </c>
      <c r="Q490" s="165" t="s">
        <v>225</v>
      </c>
      <c r="R490" s="165"/>
      <c r="S490" t="s">
        <v>241</v>
      </c>
    </row>
    <row r="491" spans="1:19" x14ac:dyDescent="0.25">
      <c r="A491">
        <v>193</v>
      </c>
      <c r="B491" s="144">
        <v>46057</v>
      </c>
      <c r="D491" s="165" t="s">
        <v>2406</v>
      </c>
      <c r="E491" s="165" t="s">
        <v>212</v>
      </c>
      <c r="F491" s="165" t="s">
        <v>2038</v>
      </c>
      <c r="G491" s="165" t="s">
        <v>1707</v>
      </c>
      <c r="H491" s="165" t="s">
        <v>2407</v>
      </c>
      <c r="I491" s="144">
        <v>46960</v>
      </c>
      <c r="J491">
        <v>903</v>
      </c>
      <c r="K491" s="165" t="s">
        <v>240</v>
      </c>
      <c r="L491" s="165" t="s">
        <v>8</v>
      </c>
      <c r="M491" s="144">
        <v>47515</v>
      </c>
      <c r="N491" s="146">
        <v>540</v>
      </c>
      <c r="O491">
        <v>0</v>
      </c>
      <c r="P491">
        <v>540</v>
      </c>
      <c r="Q491" s="165" t="s">
        <v>225</v>
      </c>
      <c r="R491" s="165"/>
      <c r="S491" t="s">
        <v>241</v>
      </c>
    </row>
    <row r="492" spans="1:19" x14ac:dyDescent="0.25">
      <c r="A492">
        <v>193</v>
      </c>
      <c r="B492" s="144">
        <v>46057</v>
      </c>
      <c r="D492" s="165" t="s">
        <v>2406</v>
      </c>
      <c r="E492" s="165" t="s">
        <v>212</v>
      </c>
      <c r="F492" s="165" t="s">
        <v>2038</v>
      </c>
      <c r="G492" s="165" t="s">
        <v>1707</v>
      </c>
      <c r="H492" s="165" t="s">
        <v>2407</v>
      </c>
      <c r="I492" s="144">
        <v>46960</v>
      </c>
      <c r="J492">
        <v>903</v>
      </c>
      <c r="K492" s="165" t="s">
        <v>240</v>
      </c>
      <c r="L492" s="165" t="s">
        <v>8</v>
      </c>
      <c r="M492" s="144">
        <v>47515</v>
      </c>
      <c r="N492" s="146">
        <v>1440</v>
      </c>
      <c r="O492">
        <v>0</v>
      </c>
      <c r="P492">
        <v>1440</v>
      </c>
      <c r="Q492" s="165" t="s">
        <v>225</v>
      </c>
      <c r="R492" s="165"/>
      <c r="S492" t="s">
        <v>241</v>
      </c>
    </row>
    <row r="493" spans="1:19" x14ac:dyDescent="0.25">
      <c r="A493">
        <v>192</v>
      </c>
      <c r="B493" s="144">
        <v>46057</v>
      </c>
      <c r="C493">
        <v>14226</v>
      </c>
      <c r="D493" s="165" t="s">
        <v>2408</v>
      </c>
      <c r="E493" s="165" t="s">
        <v>2409</v>
      </c>
      <c r="F493" s="165" t="s">
        <v>2285</v>
      </c>
      <c r="G493" s="165" t="s">
        <v>554</v>
      </c>
      <c r="H493" s="165" t="s">
        <v>2410</v>
      </c>
      <c r="I493" s="144">
        <v>47085</v>
      </c>
      <c r="J493">
        <v>1028</v>
      </c>
      <c r="K493" s="165" t="s">
        <v>2019</v>
      </c>
      <c r="L493" s="165" t="s">
        <v>2085</v>
      </c>
      <c r="M493" s="144">
        <v>0</v>
      </c>
      <c r="N493" s="146">
        <v>3600</v>
      </c>
      <c r="O493">
        <v>500</v>
      </c>
      <c r="P493">
        <v>3100</v>
      </c>
      <c r="Q493" s="165" t="s">
        <v>225</v>
      </c>
      <c r="R493" s="165" t="s">
        <v>2291</v>
      </c>
    </row>
    <row r="494" spans="1:19" x14ac:dyDescent="0.25">
      <c r="A494">
        <v>191</v>
      </c>
      <c r="B494" s="144">
        <v>46057</v>
      </c>
      <c r="C494">
        <v>22611</v>
      </c>
      <c r="D494" s="165" t="s">
        <v>2097</v>
      </c>
      <c r="E494" s="165" t="s">
        <v>243</v>
      </c>
      <c r="F494" s="165" t="s">
        <v>244</v>
      </c>
      <c r="G494" s="165" t="s">
        <v>479</v>
      </c>
      <c r="H494" s="165" t="s">
        <v>2273</v>
      </c>
      <c r="I494" s="144">
        <v>46474</v>
      </c>
      <c r="J494">
        <v>417</v>
      </c>
      <c r="K494" s="165" t="s">
        <v>2019</v>
      </c>
      <c r="L494" s="165" t="s">
        <v>8</v>
      </c>
      <c r="M494" s="144">
        <v>46784</v>
      </c>
      <c r="N494" s="146">
        <v>6000</v>
      </c>
      <c r="O494">
        <v>0</v>
      </c>
      <c r="P494">
        <v>6000</v>
      </c>
      <c r="Q494" s="165" t="s">
        <v>225</v>
      </c>
      <c r="R494" s="165" t="s">
        <v>2027</v>
      </c>
    </row>
    <row r="495" spans="1:19" x14ac:dyDescent="0.25">
      <c r="A495">
        <v>190</v>
      </c>
      <c r="B495" s="144">
        <v>46057</v>
      </c>
      <c r="C495">
        <v>22611</v>
      </c>
      <c r="D495" s="165" t="s">
        <v>2097</v>
      </c>
      <c r="E495" s="165" t="s">
        <v>243</v>
      </c>
      <c r="F495" s="165" t="s">
        <v>244</v>
      </c>
      <c r="G495" s="165" t="s">
        <v>1019</v>
      </c>
      <c r="H495" s="165" t="s">
        <v>2273</v>
      </c>
      <c r="I495" s="144">
        <v>46474</v>
      </c>
      <c r="J495">
        <v>417</v>
      </c>
      <c r="K495" s="165" t="s">
        <v>240</v>
      </c>
      <c r="L495" s="165" t="s">
        <v>8</v>
      </c>
      <c r="M495" s="144">
        <v>46784</v>
      </c>
      <c r="N495" s="146">
        <v>6000</v>
      </c>
      <c r="O495">
        <v>3900</v>
      </c>
      <c r="P495">
        <v>2100</v>
      </c>
      <c r="Q495" s="165" t="s">
        <v>225</v>
      </c>
      <c r="R495" s="165"/>
      <c r="S495" t="s">
        <v>251</v>
      </c>
    </row>
    <row r="496" spans="1:19" x14ac:dyDescent="0.25">
      <c r="A496">
        <v>189</v>
      </c>
      <c r="B496" s="144">
        <v>46057</v>
      </c>
      <c r="C496">
        <v>22605</v>
      </c>
      <c r="D496" s="165" t="s">
        <v>2411</v>
      </c>
      <c r="E496" s="165" t="s">
        <v>2148</v>
      </c>
      <c r="F496" s="165" t="s">
        <v>2412</v>
      </c>
      <c r="G496" s="165" t="s">
        <v>1747</v>
      </c>
      <c r="H496" s="165" t="s">
        <v>2466</v>
      </c>
      <c r="I496" s="144">
        <v>45610</v>
      </c>
      <c r="J496">
        <v>-447</v>
      </c>
      <c r="K496" s="165" t="s">
        <v>240</v>
      </c>
      <c r="L496" s="165" t="s">
        <v>8</v>
      </c>
      <c r="M496" s="144">
        <v>47150</v>
      </c>
      <c r="N496" s="146">
        <v>800</v>
      </c>
      <c r="O496">
        <v>500</v>
      </c>
      <c r="P496">
        <v>300</v>
      </c>
      <c r="Q496" s="165" t="s">
        <v>225</v>
      </c>
      <c r="R496" s="165" t="s">
        <v>2467</v>
      </c>
      <c r="S496" t="s">
        <v>2030</v>
      </c>
    </row>
    <row r="497" spans="1:19" x14ac:dyDescent="0.25">
      <c r="A497">
        <v>188</v>
      </c>
      <c r="B497" s="144">
        <v>46057</v>
      </c>
      <c r="C497">
        <v>22602</v>
      </c>
      <c r="D497" s="165" t="s">
        <v>2413</v>
      </c>
      <c r="E497" s="165" t="s">
        <v>201</v>
      </c>
      <c r="F497" s="165" t="s">
        <v>2414</v>
      </c>
      <c r="G497" s="165" t="s">
        <v>576</v>
      </c>
      <c r="H497" s="165" t="s">
        <v>2415</v>
      </c>
      <c r="I497" s="144">
        <v>45946</v>
      </c>
      <c r="J497">
        <v>-111</v>
      </c>
      <c r="K497" s="165" t="s">
        <v>2016</v>
      </c>
      <c r="L497" s="165" t="s">
        <v>8</v>
      </c>
      <c r="M497" s="144">
        <v>46784</v>
      </c>
      <c r="N497" s="146">
        <v>4000</v>
      </c>
      <c r="O497">
        <v>0</v>
      </c>
      <c r="P497">
        <v>4000</v>
      </c>
      <c r="Q497" s="165" t="s">
        <v>225</v>
      </c>
      <c r="R497" s="165"/>
    </row>
    <row r="498" spans="1:19" x14ac:dyDescent="0.25">
      <c r="A498">
        <v>187</v>
      </c>
      <c r="B498" s="144">
        <v>46057</v>
      </c>
      <c r="C498">
        <v>22602</v>
      </c>
      <c r="D498" s="165" t="s">
        <v>2413</v>
      </c>
      <c r="E498" s="165" t="s">
        <v>201</v>
      </c>
      <c r="F498" s="165" t="s">
        <v>2414</v>
      </c>
      <c r="G498" s="165" t="s">
        <v>387</v>
      </c>
      <c r="H498" s="165" t="s">
        <v>2415</v>
      </c>
      <c r="I498" s="144">
        <v>45946</v>
      </c>
      <c r="J498">
        <v>-111</v>
      </c>
      <c r="K498" s="165" t="s">
        <v>2019</v>
      </c>
      <c r="L498" s="165" t="s">
        <v>8</v>
      </c>
      <c r="M498" s="144">
        <v>46784</v>
      </c>
      <c r="N498" s="146">
        <v>4000</v>
      </c>
      <c r="O498">
        <v>0</v>
      </c>
      <c r="P498">
        <v>4000</v>
      </c>
      <c r="Q498" s="165" t="s">
        <v>225</v>
      </c>
      <c r="R498" s="165"/>
    </row>
    <row r="499" spans="1:19" x14ac:dyDescent="0.25">
      <c r="A499">
        <v>186</v>
      </c>
      <c r="B499" s="144">
        <v>46057</v>
      </c>
      <c r="C499">
        <v>22602</v>
      </c>
      <c r="D499" s="165" t="s">
        <v>2413</v>
      </c>
      <c r="E499" s="165" t="s">
        <v>201</v>
      </c>
      <c r="F499" s="165" t="s">
        <v>2414</v>
      </c>
      <c r="G499" s="165" t="s">
        <v>831</v>
      </c>
      <c r="H499" s="165" t="s">
        <v>2415</v>
      </c>
      <c r="I499" s="144">
        <v>45946</v>
      </c>
      <c r="J499">
        <v>-111</v>
      </c>
      <c r="K499" s="165" t="s">
        <v>240</v>
      </c>
      <c r="L499" s="165" t="s">
        <v>8</v>
      </c>
      <c r="M499" s="144">
        <v>46784</v>
      </c>
      <c r="N499" s="146">
        <v>4000</v>
      </c>
      <c r="O499">
        <v>500</v>
      </c>
      <c r="P499">
        <v>3500</v>
      </c>
      <c r="Q499" s="165" t="s">
        <v>225</v>
      </c>
      <c r="R499" s="165"/>
      <c r="S499" t="s">
        <v>269</v>
      </c>
    </row>
    <row r="500" spans="1:19" x14ac:dyDescent="0.25">
      <c r="A500">
        <v>185</v>
      </c>
      <c r="B500" s="144">
        <v>46057</v>
      </c>
      <c r="C500">
        <v>22613</v>
      </c>
      <c r="D500" s="165" t="s">
        <v>2416</v>
      </c>
      <c r="E500" s="165" t="s">
        <v>181</v>
      </c>
      <c r="F500" s="165" t="s">
        <v>247</v>
      </c>
      <c r="G500" s="165" t="s">
        <v>717</v>
      </c>
      <c r="H500" s="165" t="s">
        <v>2417</v>
      </c>
      <c r="I500" s="144">
        <v>46832</v>
      </c>
      <c r="J500">
        <v>775</v>
      </c>
      <c r="K500" s="165" t="s">
        <v>2019</v>
      </c>
      <c r="L500" s="165" t="s">
        <v>8</v>
      </c>
      <c r="M500" s="144">
        <v>46784</v>
      </c>
      <c r="N500" s="146">
        <v>7000</v>
      </c>
      <c r="O500">
        <v>0</v>
      </c>
      <c r="P500">
        <v>7000</v>
      </c>
      <c r="Q500" s="165" t="s">
        <v>225</v>
      </c>
      <c r="R500" s="165"/>
    </row>
    <row r="501" spans="1:19" x14ac:dyDescent="0.25">
      <c r="A501">
        <v>184</v>
      </c>
      <c r="B501" s="144">
        <v>46057</v>
      </c>
      <c r="C501">
        <v>22613</v>
      </c>
      <c r="D501" s="165" t="s">
        <v>2416</v>
      </c>
      <c r="E501" s="165" t="s">
        <v>181</v>
      </c>
      <c r="F501" s="165" t="s">
        <v>247</v>
      </c>
      <c r="G501" s="165" t="s">
        <v>1466</v>
      </c>
      <c r="H501" s="165" t="s">
        <v>2417</v>
      </c>
      <c r="I501" s="144">
        <v>46832</v>
      </c>
      <c r="J501">
        <v>775</v>
      </c>
      <c r="K501" s="165" t="s">
        <v>240</v>
      </c>
      <c r="L501" s="165" t="s">
        <v>8</v>
      </c>
      <c r="M501" s="144">
        <v>46784</v>
      </c>
      <c r="N501" s="146">
        <v>7000</v>
      </c>
      <c r="O501">
        <v>4000</v>
      </c>
      <c r="P501">
        <v>3000</v>
      </c>
      <c r="Q501" s="165" t="s">
        <v>225</v>
      </c>
      <c r="R501" s="165"/>
      <c r="S501" t="s">
        <v>263</v>
      </c>
    </row>
    <row r="502" spans="1:19" x14ac:dyDescent="0.25">
      <c r="A502">
        <v>183</v>
      </c>
      <c r="B502" s="144">
        <v>46057</v>
      </c>
      <c r="C502">
        <v>22637</v>
      </c>
      <c r="D502" s="165" t="s">
        <v>2403</v>
      </c>
      <c r="E502" s="165" t="s">
        <v>2183</v>
      </c>
      <c r="F502" s="165" t="s">
        <v>2418</v>
      </c>
      <c r="G502" s="165" t="s">
        <v>399</v>
      </c>
      <c r="H502" s="165" t="s">
        <v>2405</v>
      </c>
      <c r="I502" s="144">
        <v>46386</v>
      </c>
      <c r="J502">
        <v>329</v>
      </c>
      <c r="K502" s="165" t="s">
        <v>2019</v>
      </c>
      <c r="L502" s="165" t="s">
        <v>8</v>
      </c>
      <c r="M502" s="144">
        <v>46784</v>
      </c>
      <c r="N502" s="146">
        <v>4200</v>
      </c>
      <c r="O502">
        <v>0</v>
      </c>
      <c r="P502">
        <v>4200</v>
      </c>
      <c r="Q502" s="165" t="s">
        <v>225</v>
      </c>
      <c r="R502" s="165"/>
    </row>
    <row r="503" spans="1:19" x14ac:dyDescent="0.25">
      <c r="A503">
        <v>182</v>
      </c>
      <c r="B503" s="144">
        <v>46057</v>
      </c>
      <c r="C503">
        <v>22637</v>
      </c>
      <c r="D503" s="165" t="s">
        <v>2403</v>
      </c>
      <c r="E503" s="165" t="s">
        <v>2183</v>
      </c>
      <c r="F503" s="165" t="s">
        <v>2418</v>
      </c>
      <c r="G503" s="165" t="s">
        <v>851</v>
      </c>
      <c r="H503" s="165" t="s">
        <v>2405</v>
      </c>
      <c r="I503" s="144">
        <v>46386</v>
      </c>
      <c r="J503">
        <v>329</v>
      </c>
      <c r="K503" s="165" t="s">
        <v>240</v>
      </c>
      <c r="L503" s="165" t="s">
        <v>8</v>
      </c>
      <c r="M503" s="144">
        <v>46784</v>
      </c>
      <c r="N503" s="146">
        <v>4200</v>
      </c>
      <c r="O503">
        <v>500</v>
      </c>
      <c r="P503">
        <v>3700</v>
      </c>
      <c r="Q503" s="165" t="s">
        <v>225</v>
      </c>
      <c r="R503" s="165"/>
      <c r="S503" t="s">
        <v>241</v>
      </c>
    </row>
    <row r="504" spans="1:19" x14ac:dyDescent="0.25">
      <c r="A504">
        <v>181</v>
      </c>
      <c r="B504" s="144">
        <v>46057</v>
      </c>
      <c r="C504">
        <v>22636</v>
      </c>
      <c r="D504" s="165" t="s">
        <v>2403</v>
      </c>
      <c r="E504" s="165" t="s">
        <v>2183</v>
      </c>
      <c r="F504" s="165" t="s">
        <v>2418</v>
      </c>
      <c r="G504" s="165" t="s">
        <v>399</v>
      </c>
      <c r="H504" s="165" t="s">
        <v>2405</v>
      </c>
      <c r="I504" s="144">
        <v>46386</v>
      </c>
      <c r="J504">
        <v>329</v>
      </c>
      <c r="K504" s="165" t="s">
        <v>2019</v>
      </c>
      <c r="L504" s="165" t="s">
        <v>8</v>
      </c>
      <c r="M504" s="144">
        <v>46784</v>
      </c>
      <c r="N504" s="146">
        <v>4200</v>
      </c>
      <c r="O504">
        <v>0</v>
      </c>
      <c r="P504">
        <v>4200</v>
      </c>
      <c r="Q504" s="165" t="s">
        <v>225</v>
      </c>
      <c r="R504" s="165"/>
    </row>
    <row r="505" spans="1:19" x14ac:dyDescent="0.25">
      <c r="A505">
        <v>180</v>
      </c>
      <c r="B505" s="144">
        <v>46057</v>
      </c>
      <c r="C505">
        <v>22638</v>
      </c>
      <c r="D505" s="165" t="s">
        <v>2392</v>
      </c>
      <c r="E505" s="165" t="s">
        <v>2183</v>
      </c>
      <c r="F505" s="165" t="s">
        <v>2419</v>
      </c>
      <c r="G505" s="165" t="s">
        <v>1674</v>
      </c>
      <c r="H505" s="165" t="s">
        <v>2393</v>
      </c>
      <c r="I505" s="144">
        <v>46489</v>
      </c>
      <c r="J505">
        <v>432</v>
      </c>
      <c r="K505" s="165" t="s">
        <v>262</v>
      </c>
      <c r="L505" s="165" t="s">
        <v>102</v>
      </c>
      <c r="M505" s="144">
        <v>46784</v>
      </c>
      <c r="N505" s="146">
        <v>17500</v>
      </c>
      <c r="O505">
        <v>2800</v>
      </c>
      <c r="P505">
        <v>14700</v>
      </c>
      <c r="Q505" s="165" t="s">
        <v>225</v>
      </c>
      <c r="R505" s="165"/>
      <c r="S505" t="s">
        <v>263</v>
      </c>
    </row>
    <row r="506" spans="1:19" x14ac:dyDescent="0.25">
      <c r="A506">
        <v>179</v>
      </c>
      <c r="B506" s="144">
        <v>46057</v>
      </c>
      <c r="C506">
        <v>22641</v>
      </c>
      <c r="D506" s="165" t="s">
        <v>2420</v>
      </c>
      <c r="E506" s="165" t="s">
        <v>9</v>
      </c>
      <c r="F506" s="165" t="s">
        <v>2419</v>
      </c>
      <c r="G506" s="165" t="s">
        <v>5262</v>
      </c>
      <c r="H506" s="165" t="s">
        <v>2421</v>
      </c>
      <c r="I506" s="144">
        <v>46818</v>
      </c>
      <c r="J506">
        <v>761</v>
      </c>
      <c r="K506" s="165" t="s">
        <v>262</v>
      </c>
      <c r="L506" s="165" t="s">
        <v>102</v>
      </c>
      <c r="M506" s="144">
        <v>46784</v>
      </c>
      <c r="N506" s="146">
        <v>17500</v>
      </c>
      <c r="O506">
        <v>0</v>
      </c>
      <c r="P506">
        <v>17500</v>
      </c>
      <c r="Q506" s="165" t="s">
        <v>225</v>
      </c>
      <c r="R506" s="165"/>
      <c r="S506" t="s">
        <v>263</v>
      </c>
    </row>
    <row r="507" spans="1:19" x14ac:dyDescent="0.25">
      <c r="A507">
        <v>178</v>
      </c>
      <c r="B507" s="144">
        <v>46057</v>
      </c>
      <c r="C507">
        <v>22644</v>
      </c>
      <c r="D507" s="165" t="s">
        <v>264</v>
      </c>
      <c r="E507" s="165" t="s">
        <v>100</v>
      </c>
      <c r="F507" s="165" t="s">
        <v>2422</v>
      </c>
      <c r="G507" s="165" t="s">
        <v>673</v>
      </c>
      <c r="H507" s="165" t="s">
        <v>265</v>
      </c>
      <c r="I507" s="144">
        <v>47735</v>
      </c>
      <c r="J507">
        <v>1678</v>
      </c>
      <c r="K507" s="165" t="s">
        <v>2019</v>
      </c>
      <c r="L507" s="165" t="s">
        <v>102</v>
      </c>
      <c r="M507" s="144">
        <v>47515</v>
      </c>
      <c r="N507" s="146">
        <v>20000</v>
      </c>
      <c r="O507">
        <v>4000</v>
      </c>
      <c r="P507">
        <v>16000</v>
      </c>
      <c r="Q507" s="165" t="s">
        <v>225</v>
      </c>
      <c r="R507" s="165"/>
    </row>
    <row r="508" spans="1:19" x14ac:dyDescent="0.25">
      <c r="A508">
        <v>177</v>
      </c>
      <c r="B508" s="144">
        <v>46057</v>
      </c>
      <c r="C508">
        <v>22644</v>
      </c>
      <c r="D508" s="165" t="s">
        <v>264</v>
      </c>
      <c r="E508" s="165" t="s">
        <v>100</v>
      </c>
      <c r="F508" s="165" t="s">
        <v>2422</v>
      </c>
      <c r="G508" s="165" t="s">
        <v>3385</v>
      </c>
      <c r="H508" s="165" t="s">
        <v>265</v>
      </c>
      <c r="I508" s="144">
        <v>47735</v>
      </c>
      <c r="J508">
        <v>1678</v>
      </c>
      <c r="K508" s="165" t="s">
        <v>240</v>
      </c>
      <c r="L508" s="165" t="s">
        <v>102</v>
      </c>
      <c r="M508" s="144">
        <v>47515</v>
      </c>
      <c r="N508" s="146">
        <v>20000</v>
      </c>
      <c r="O508">
        <v>0</v>
      </c>
      <c r="P508">
        <v>20000</v>
      </c>
      <c r="Q508" s="165" t="s">
        <v>225</v>
      </c>
      <c r="R508" s="165"/>
      <c r="S508" t="s">
        <v>263</v>
      </c>
    </row>
    <row r="509" spans="1:19" x14ac:dyDescent="0.25">
      <c r="A509">
        <v>176</v>
      </c>
      <c r="B509" s="144">
        <v>46057</v>
      </c>
      <c r="D509" s="165" t="s">
        <v>2423</v>
      </c>
      <c r="E509" s="165"/>
      <c r="F509" s="165" t="s">
        <v>2003</v>
      </c>
      <c r="G509" s="165" t="s">
        <v>25</v>
      </c>
      <c r="H509" s="165"/>
      <c r="I509" s="144"/>
      <c r="K509" s="165" t="s">
        <v>2292</v>
      </c>
      <c r="L509" s="165"/>
      <c r="M509" s="144"/>
      <c r="N509" s="146">
        <v>10000</v>
      </c>
      <c r="O509">
        <v>0</v>
      </c>
      <c r="P509">
        <v>10000</v>
      </c>
      <c r="Q509" s="165" t="s">
        <v>225</v>
      </c>
      <c r="R509" s="165"/>
    </row>
    <row r="510" spans="1:19" x14ac:dyDescent="0.25">
      <c r="A510">
        <v>175</v>
      </c>
      <c r="B510" s="144">
        <v>46057</v>
      </c>
      <c r="D510" s="165" t="s">
        <v>2424</v>
      </c>
      <c r="E510" s="165"/>
      <c r="F510" s="165" t="s">
        <v>2003</v>
      </c>
      <c r="G510" s="165" t="s">
        <v>25</v>
      </c>
      <c r="H510" s="165"/>
      <c r="I510" s="144"/>
      <c r="K510" s="165" t="s">
        <v>2292</v>
      </c>
      <c r="L510" s="165"/>
      <c r="M510" s="144"/>
      <c r="N510" s="146">
        <v>10000</v>
      </c>
      <c r="O510">
        <v>0</v>
      </c>
      <c r="P510">
        <v>10000</v>
      </c>
      <c r="Q510" s="165" t="s">
        <v>225</v>
      </c>
      <c r="R510" s="165"/>
    </row>
    <row r="511" spans="1:19" x14ac:dyDescent="0.25">
      <c r="A511">
        <v>174</v>
      </c>
      <c r="B511" s="144">
        <v>46056</v>
      </c>
      <c r="C511">
        <v>12694</v>
      </c>
      <c r="D511" s="165" t="s">
        <v>2425</v>
      </c>
      <c r="E511" s="165" t="s">
        <v>2183</v>
      </c>
      <c r="F511" s="165" t="s">
        <v>2418</v>
      </c>
      <c r="G511" s="165" t="s">
        <v>454</v>
      </c>
      <c r="H511" s="165" t="s">
        <v>2426</v>
      </c>
      <c r="I511" s="144">
        <v>46055</v>
      </c>
      <c r="J511">
        <v>-1</v>
      </c>
      <c r="K511" s="165" t="s">
        <v>2019</v>
      </c>
      <c r="L511" s="165" t="s">
        <v>8</v>
      </c>
      <c r="M511" s="144">
        <v>47484</v>
      </c>
      <c r="N511" s="146">
        <v>3000</v>
      </c>
      <c r="O511">
        <v>0</v>
      </c>
      <c r="P511">
        <v>3000</v>
      </c>
      <c r="Q511" s="165" t="s">
        <v>225</v>
      </c>
      <c r="R511" s="165"/>
    </row>
    <row r="512" spans="1:19" x14ac:dyDescent="0.25">
      <c r="A512">
        <v>174</v>
      </c>
      <c r="B512" s="144">
        <v>46056</v>
      </c>
      <c r="C512">
        <v>12695</v>
      </c>
      <c r="D512" s="165" t="s">
        <v>2425</v>
      </c>
      <c r="E512" s="165" t="s">
        <v>2183</v>
      </c>
      <c r="F512" s="165" t="s">
        <v>2418</v>
      </c>
      <c r="G512" s="165" t="s">
        <v>454</v>
      </c>
      <c r="H512" s="165" t="s">
        <v>2426</v>
      </c>
      <c r="I512" s="144">
        <v>46055</v>
      </c>
      <c r="J512">
        <v>-1</v>
      </c>
      <c r="K512" s="165" t="s">
        <v>2019</v>
      </c>
      <c r="L512" s="165" t="s">
        <v>8</v>
      </c>
      <c r="M512" s="144">
        <v>47484</v>
      </c>
      <c r="N512" s="146">
        <v>3000</v>
      </c>
      <c r="O512">
        <v>0</v>
      </c>
      <c r="P512">
        <v>3000</v>
      </c>
      <c r="Q512" s="165" t="s">
        <v>225</v>
      </c>
      <c r="R512" s="165"/>
    </row>
    <row r="513" spans="1:19" x14ac:dyDescent="0.25">
      <c r="A513">
        <v>174</v>
      </c>
      <c r="B513" s="144">
        <v>46056</v>
      </c>
      <c r="C513">
        <v>12696</v>
      </c>
      <c r="D513" s="165" t="s">
        <v>2425</v>
      </c>
      <c r="E513" s="165" t="s">
        <v>2183</v>
      </c>
      <c r="F513" s="165" t="s">
        <v>2418</v>
      </c>
      <c r="G513" s="165" t="s">
        <v>454</v>
      </c>
      <c r="H513" s="165" t="s">
        <v>2426</v>
      </c>
      <c r="I513" s="144">
        <v>46055</v>
      </c>
      <c r="J513">
        <v>-1</v>
      </c>
      <c r="K513" s="165" t="s">
        <v>2019</v>
      </c>
      <c r="L513" s="165" t="s">
        <v>8</v>
      </c>
      <c r="M513" s="144">
        <v>47484</v>
      </c>
      <c r="N513" s="146">
        <v>3000</v>
      </c>
      <c r="O513">
        <v>0</v>
      </c>
      <c r="P513">
        <v>3000</v>
      </c>
      <c r="Q513" s="165" t="s">
        <v>225</v>
      </c>
      <c r="R513" s="165"/>
    </row>
    <row r="514" spans="1:19" x14ac:dyDescent="0.25">
      <c r="A514">
        <v>174</v>
      </c>
      <c r="B514" s="144">
        <v>46056</v>
      </c>
      <c r="C514">
        <v>12698</v>
      </c>
      <c r="D514" s="165" t="s">
        <v>2425</v>
      </c>
      <c r="E514" s="165" t="s">
        <v>2183</v>
      </c>
      <c r="F514" s="165" t="s">
        <v>2418</v>
      </c>
      <c r="G514" s="165" t="s">
        <v>454</v>
      </c>
      <c r="H514" s="165" t="s">
        <v>2426</v>
      </c>
      <c r="I514" s="144">
        <v>46055</v>
      </c>
      <c r="J514">
        <v>-1</v>
      </c>
      <c r="K514" s="165" t="s">
        <v>2019</v>
      </c>
      <c r="L514" s="165" t="s">
        <v>8</v>
      </c>
      <c r="M514" s="144">
        <v>47484</v>
      </c>
      <c r="N514" s="146">
        <v>3000</v>
      </c>
      <c r="O514">
        <v>0</v>
      </c>
      <c r="P514">
        <v>3000</v>
      </c>
      <c r="Q514" s="165" t="s">
        <v>225</v>
      </c>
      <c r="R514" s="165"/>
    </row>
    <row r="515" spans="1:19" x14ac:dyDescent="0.25">
      <c r="A515">
        <v>173</v>
      </c>
      <c r="B515" s="144">
        <v>46056</v>
      </c>
      <c r="C515">
        <v>12698</v>
      </c>
      <c r="D515" s="165" t="s">
        <v>2425</v>
      </c>
      <c r="E515" s="165" t="s">
        <v>2183</v>
      </c>
      <c r="F515" s="165" t="s">
        <v>2418</v>
      </c>
      <c r="G515" s="165" t="s">
        <v>967</v>
      </c>
      <c r="H515" s="165" t="s">
        <v>2426</v>
      </c>
      <c r="I515" s="144">
        <v>46055</v>
      </c>
      <c r="J515">
        <v>-1</v>
      </c>
      <c r="K515" s="165" t="s">
        <v>240</v>
      </c>
      <c r="L515" s="165" t="s">
        <v>8</v>
      </c>
      <c r="M515" s="144">
        <v>47484</v>
      </c>
      <c r="N515" s="146">
        <v>3000</v>
      </c>
      <c r="O515">
        <v>0</v>
      </c>
      <c r="P515">
        <v>3000</v>
      </c>
      <c r="Q515" s="165" t="s">
        <v>225</v>
      </c>
      <c r="R515" s="165"/>
      <c r="S515" t="s">
        <v>241</v>
      </c>
    </row>
    <row r="516" spans="1:19" x14ac:dyDescent="0.25">
      <c r="A516">
        <v>173</v>
      </c>
      <c r="B516" s="144">
        <v>46056</v>
      </c>
      <c r="C516">
        <v>12695</v>
      </c>
      <c r="D516" s="165" t="s">
        <v>2425</v>
      </c>
      <c r="E516" s="165" t="s">
        <v>2183</v>
      </c>
      <c r="F516" s="165" t="s">
        <v>2418</v>
      </c>
      <c r="G516" s="165" t="s">
        <v>967</v>
      </c>
      <c r="H516" s="165" t="s">
        <v>2426</v>
      </c>
      <c r="I516" s="144">
        <v>46055</v>
      </c>
      <c r="J516">
        <v>-1</v>
      </c>
      <c r="K516" s="165" t="s">
        <v>240</v>
      </c>
      <c r="L516" s="165" t="s">
        <v>8</v>
      </c>
      <c r="M516" s="144">
        <v>47484</v>
      </c>
      <c r="N516" s="146">
        <v>3000</v>
      </c>
      <c r="O516">
        <v>0</v>
      </c>
      <c r="P516">
        <v>3000</v>
      </c>
      <c r="Q516" s="165" t="s">
        <v>225</v>
      </c>
      <c r="R516" s="165"/>
      <c r="S516" t="s">
        <v>241</v>
      </c>
    </row>
    <row r="517" spans="1:19" x14ac:dyDescent="0.25">
      <c r="A517">
        <v>173</v>
      </c>
      <c r="B517" s="144">
        <v>46056</v>
      </c>
      <c r="C517">
        <v>12694</v>
      </c>
      <c r="D517" s="165" t="s">
        <v>2425</v>
      </c>
      <c r="E517" s="165" t="s">
        <v>2183</v>
      </c>
      <c r="F517" s="165" t="s">
        <v>2418</v>
      </c>
      <c r="G517" s="165" t="s">
        <v>967</v>
      </c>
      <c r="H517" s="165" t="s">
        <v>2426</v>
      </c>
      <c r="I517" s="144">
        <v>46055</v>
      </c>
      <c r="J517">
        <v>-1</v>
      </c>
      <c r="K517" s="165" t="s">
        <v>240</v>
      </c>
      <c r="L517" s="165" t="s">
        <v>8</v>
      </c>
      <c r="M517" s="144">
        <v>47484</v>
      </c>
      <c r="N517" s="146">
        <v>3000</v>
      </c>
      <c r="O517">
        <v>0</v>
      </c>
      <c r="P517">
        <v>3000</v>
      </c>
      <c r="Q517" s="165" t="s">
        <v>225</v>
      </c>
      <c r="R517" s="165"/>
      <c r="S517" t="s">
        <v>241</v>
      </c>
    </row>
    <row r="518" spans="1:19" x14ac:dyDescent="0.25">
      <c r="A518">
        <v>173</v>
      </c>
      <c r="B518" s="144">
        <v>46056</v>
      </c>
      <c r="C518">
        <v>12696</v>
      </c>
      <c r="D518" s="165" t="s">
        <v>2425</v>
      </c>
      <c r="E518" s="165" t="s">
        <v>2183</v>
      </c>
      <c r="F518" s="165" t="s">
        <v>2418</v>
      </c>
      <c r="G518" s="165" t="s">
        <v>967</v>
      </c>
      <c r="H518" s="165" t="s">
        <v>2426</v>
      </c>
      <c r="I518" s="144">
        <v>46055</v>
      </c>
      <c r="J518">
        <v>-1</v>
      </c>
      <c r="K518" s="165" t="s">
        <v>240</v>
      </c>
      <c r="L518" s="165" t="s">
        <v>8</v>
      </c>
      <c r="M518" s="144">
        <v>47484</v>
      </c>
      <c r="N518" s="146">
        <v>3000</v>
      </c>
      <c r="O518">
        <v>0</v>
      </c>
      <c r="P518">
        <v>3000</v>
      </c>
      <c r="Q518" s="165" t="s">
        <v>225</v>
      </c>
      <c r="R518" s="165"/>
      <c r="S518" t="s">
        <v>241</v>
      </c>
    </row>
    <row r="519" spans="1:19" x14ac:dyDescent="0.25">
      <c r="A519">
        <v>172</v>
      </c>
      <c r="B519" s="144">
        <v>46056</v>
      </c>
      <c r="D519" s="165" t="s">
        <v>1556</v>
      </c>
      <c r="E519" s="165"/>
      <c r="F519" s="165" t="s">
        <v>2003</v>
      </c>
      <c r="G519" s="165" t="s">
        <v>25</v>
      </c>
      <c r="H519" s="165"/>
      <c r="I519" s="144"/>
      <c r="K519" s="165" t="s">
        <v>2292</v>
      </c>
      <c r="L519" s="165"/>
      <c r="M519" s="144"/>
      <c r="N519" s="146">
        <v>5000</v>
      </c>
      <c r="O519">
        <v>0</v>
      </c>
      <c r="P519">
        <v>5000</v>
      </c>
      <c r="Q519" s="165" t="s">
        <v>225</v>
      </c>
      <c r="R519" s="165"/>
    </row>
    <row r="520" spans="1:19" x14ac:dyDescent="0.25">
      <c r="A520">
        <v>171</v>
      </c>
      <c r="B520" s="144">
        <v>46055</v>
      </c>
      <c r="D520" s="165" t="s">
        <v>2251</v>
      </c>
      <c r="E520" s="165" t="s">
        <v>2111</v>
      </c>
      <c r="F520" s="165" t="s">
        <v>2252</v>
      </c>
      <c r="G520" s="165" t="s">
        <v>530</v>
      </c>
      <c r="H520" s="165" t="s">
        <v>2253</v>
      </c>
      <c r="I520" s="144">
        <v>46350</v>
      </c>
      <c r="J520">
        <v>295</v>
      </c>
      <c r="K520" s="165" t="s">
        <v>2019</v>
      </c>
      <c r="L520" s="165" t="s">
        <v>8</v>
      </c>
      <c r="M520" s="144">
        <v>47515</v>
      </c>
      <c r="N520" s="146">
        <v>1800</v>
      </c>
      <c r="O520">
        <v>0</v>
      </c>
      <c r="P520">
        <v>1800</v>
      </c>
      <c r="Q520" s="165" t="s">
        <v>225</v>
      </c>
      <c r="R520" s="165"/>
    </row>
    <row r="521" spans="1:19" x14ac:dyDescent="0.25">
      <c r="A521">
        <v>171</v>
      </c>
      <c r="B521" s="144">
        <v>46055</v>
      </c>
      <c r="D521" s="165" t="s">
        <v>2251</v>
      </c>
      <c r="E521" s="165" t="s">
        <v>2111</v>
      </c>
      <c r="F521" s="165" t="s">
        <v>2252</v>
      </c>
      <c r="G521" s="165" t="s">
        <v>530</v>
      </c>
      <c r="H521" s="165" t="s">
        <v>2253</v>
      </c>
      <c r="I521" s="144">
        <v>46350</v>
      </c>
      <c r="J521">
        <v>295</v>
      </c>
      <c r="K521" s="165" t="s">
        <v>2019</v>
      </c>
      <c r="L521" s="165" t="s">
        <v>8</v>
      </c>
      <c r="M521" s="144">
        <v>47515</v>
      </c>
      <c r="N521" s="146">
        <v>1800</v>
      </c>
      <c r="O521">
        <v>0</v>
      </c>
      <c r="P521">
        <v>1800</v>
      </c>
      <c r="Q521" s="165" t="s">
        <v>225</v>
      </c>
      <c r="R521" s="165"/>
    </row>
    <row r="522" spans="1:19" x14ac:dyDescent="0.25">
      <c r="A522">
        <v>171</v>
      </c>
      <c r="B522" s="144">
        <v>46055</v>
      </c>
      <c r="D522" s="165" t="s">
        <v>2251</v>
      </c>
      <c r="E522" s="165" t="s">
        <v>2111</v>
      </c>
      <c r="F522" s="165" t="s">
        <v>2252</v>
      </c>
      <c r="G522" s="165" t="s">
        <v>530</v>
      </c>
      <c r="H522" s="165" t="s">
        <v>2253</v>
      </c>
      <c r="I522" s="144">
        <v>46350</v>
      </c>
      <c r="J522">
        <v>295</v>
      </c>
      <c r="K522" s="165" t="s">
        <v>2019</v>
      </c>
      <c r="L522" s="165" t="s">
        <v>8</v>
      </c>
      <c r="M522" s="144">
        <v>47515</v>
      </c>
      <c r="N522" s="146">
        <v>1800</v>
      </c>
      <c r="O522">
        <v>0</v>
      </c>
      <c r="P522">
        <v>1800</v>
      </c>
      <c r="Q522" s="165" t="s">
        <v>225</v>
      </c>
      <c r="R522" s="165"/>
    </row>
    <row r="523" spans="1:19" x14ac:dyDescent="0.25">
      <c r="A523">
        <v>171</v>
      </c>
      <c r="B523" s="144">
        <v>46055</v>
      </c>
      <c r="D523" s="165" t="s">
        <v>2251</v>
      </c>
      <c r="E523" s="165" t="s">
        <v>2111</v>
      </c>
      <c r="F523" s="165" t="s">
        <v>2252</v>
      </c>
      <c r="G523" s="165" t="s">
        <v>530</v>
      </c>
      <c r="H523" s="165" t="s">
        <v>2253</v>
      </c>
      <c r="I523" s="144">
        <v>46350</v>
      </c>
      <c r="J523">
        <v>295</v>
      </c>
      <c r="K523" s="165" t="s">
        <v>2019</v>
      </c>
      <c r="L523" s="165" t="s">
        <v>8</v>
      </c>
      <c r="M523" s="144">
        <v>47515</v>
      </c>
      <c r="N523" s="146">
        <v>1800</v>
      </c>
      <c r="O523">
        <v>0</v>
      </c>
      <c r="P523">
        <v>1800</v>
      </c>
      <c r="Q523" s="165" t="s">
        <v>225</v>
      </c>
      <c r="R523" s="165"/>
    </row>
    <row r="524" spans="1:19" x14ac:dyDescent="0.25">
      <c r="A524">
        <v>170</v>
      </c>
      <c r="B524" s="144">
        <v>46055</v>
      </c>
      <c r="D524" s="165" t="s">
        <v>2251</v>
      </c>
      <c r="E524" s="165" t="s">
        <v>2111</v>
      </c>
      <c r="F524" s="165" t="s">
        <v>2252</v>
      </c>
      <c r="G524" s="165" t="s">
        <v>3291</v>
      </c>
      <c r="H524" s="165" t="s">
        <v>2253</v>
      </c>
      <c r="I524" s="144">
        <v>46350</v>
      </c>
      <c r="J524">
        <v>295</v>
      </c>
      <c r="K524" s="165" t="s">
        <v>240</v>
      </c>
      <c r="L524" s="165" t="s">
        <v>8</v>
      </c>
      <c r="M524" s="144">
        <v>47515</v>
      </c>
      <c r="N524" s="146">
        <v>1800</v>
      </c>
      <c r="O524">
        <v>0</v>
      </c>
      <c r="P524">
        <v>1800</v>
      </c>
      <c r="Q524" s="165" t="s">
        <v>225</v>
      </c>
      <c r="R524" s="165"/>
      <c r="S524" t="s">
        <v>241</v>
      </c>
    </row>
    <row r="525" spans="1:19" x14ac:dyDescent="0.25">
      <c r="A525">
        <v>170</v>
      </c>
      <c r="B525" s="144">
        <v>46055</v>
      </c>
      <c r="D525" s="165" t="s">
        <v>2251</v>
      </c>
      <c r="E525" s="165" t="s">
        <v>2111</v>
      </c>
      <c r="F525" s="165" t="s">
        <v>2252</v>
      </c>
      <c r="G525" s="165" t="s">
        <v>3291</v>
      </c>
      <c r="H525" s="165" t="s">
        <v>2253</v>
      </c>
      <c r="I525" s="144">
        <v>46350</v>
      </c>
      <c r="J525">
        <v>295</v>
      </c>
      <c r="K525" s="165" t="s">
        <v>240</v>
      </c>
      <c r="L525" s="165" t="s">
        <v>8</v>
      </c>
      <c r="M525" s="144">
        <v>47515</v>
      </c>
      <c r="N525" s="146">
        <v>1800</v>
      </c>
      <c r="O525">
        <v>0</v>
      </c>
      <c r="P525">
        <v>1800</v>
      </c>
      <c r="Q525" s="165" t="s">
        <v>225</v>
      </c>
      <c r="R525" s="165"/>
      <c r="S525" t="s">
        <v>241</v>
      </c>
    </row>
    <row r="526" spans="1:19" x14ac:dyDescent="0.25">
      <c r="A526">
        <v>170</v>
      </c>
      <c r="B526" s="144">
        <v>46055</v>
      </c>
      <c r="D526" s="165" t="s">
        <v>2251</v>
      </c>
      <c r="E526" s="165" t="s">
        <v>2111</v>
      </c>
      <c r="F526" s="165" t="s">
        <v>2252</v>
      </c>
      <c r="G526" s="165" t="s">
        <v>3291</v>
      </c>
      <c r="H526" s="165" t="s">
        <v>2253</v>
      </c>
      <c r="I526" s="144">
        <v>46350</v>
      </c>
      <c r="J526">
        <v>295</v>
      </c>
      <c r="K526" s="165" t="s">
        <v>240</v>
      </c>
      <c r="L526" s="165" t="s">
        <v>8</v>
      </c>
      <c r="M526" s="144">
        <v>47515</v>
      </c>
      <c r="N526" s="146">
        <v>1800</v>
      </c>
      <c r="O526">
        <v>0</v>
      </c>
      <c r="P526">
        <v>1800</v>
      </c>
      <c r="Q526" s="165" t="s">
        <v>225</v>
      </c>
      <c r="R526" s="165"/>
      <c r="S526" t="s">
        <v>241</v>
      </c>
    </row>
    <row r="527" spans="1:19" x14ac:dyDescent="0.25">
      <c r="A527">
        <v>170</v>
      </c>
      <c r="B527" s="144">
        <v>46055</v>
      </c>
      <c r="D527" s="165" t="s">
        <v>2251</v>
      </c>
      <c r="E527" s="165" t="s">
        <v>2111</v>
      </c>
      <c r="F527" s="165" t="s">
        <v>2252</v>
      </c>
      <c r="G527" s="165" t="s">
        <v>3291</v>
      </c>
      <c r="H527" s="165" t="s">
        <v>2253</v>
      </c>
      <c r="I527" s="144">
        <v>46350</v>
      </c>
      <c r="J527">
        <v>295</v>
      </c>
      <c r="K527" s="165" t="s">
        <v>240</v>
      </c>
      <c r="L527" s="165" t="s">
        <v>8</v>
      </c>
      <c r="M527" s="144">
        <v>47515</v>
      </c>
      <c r="N527" s="146">
        <v>1800</v>
      </c>
      <c r="O527">
        <v>0</v>
      </c>
      <c r="P527">
        <v>1800</v>
      </c>
      <c r="Q527" s="165" t="s">
        <v>225</v>
      </c>
      <c r="R527" s="165"/>
      <c r="S527" t="s">
        <v>241</v>
      </c>
    </row>
    <row r="528" spans="1:19" x14ac:dyDescent="0.25">
      <c r="A528">
        <v>170</v>
      </c>
      <c r="B528" s="144">
        <v>46055</v>
      </c>
      <c r="D528" s="165" t="s">
        <v>2251</v>
      </c>
      <c r="E528" s="165" t="s">
        <v>2111</v>
      </c>
      <c r="F528" s="165" t="s">
        <v>2252</v>
      </c>
      <c r="G528" s="165" t="s">
        <v>3291</v>
      </c>
      <c r="H528" s="165" t="s">
        <v>2253</v>
      </c>
      <c r="I528" s="144">
        <v>46350</v>
      </c>
      <c r="J528">
        <v>295</v>
      </c>
      <c r="K528" s="165" t="s">
        <v>240</v>
      </c>
      <c r="L528" s="165" t="s">
        <v>8</v>
      </c>
      <c r="M528" s="144">
        <v>47515</v>
      </c>
      <c r="N528" s="146">
        <v>1800</v>
      </c>
      <c r="O528">
        <v>900</v>
      </c>
      <c r="P528">
        <v>900</v>
      </c>
      <c r="Q528" s="165" t="s">
        <v>225</v>
      </c>
      <c r="R528" s="165" t="s">
        <v>2254</v>
      </c>
      <c r="S528" t="s">
        <v>241</v>
      </c>
    </row>
    <row r="529" spans="1:19" x14ac:dyDescent="0.25">
      <c r="A529">
        <v>169</v>
      </c>
      <c r="B529" s="144">
        <v>46055</v>
      </c>
      <c r="C529">
        <v>22620</v>
      </c>
      <c r="D529" s="165" t="s">
        <v>2255</v>
      </c>
      <c r="E529" s="165" t="s">
        <v>12</v>
      </c>
      <c r="F529" s="165" t="s">
        <v>261</v>
      </c>
      <c r="G529" s="165" t="s">
        <v>1416</v>
      </c>
      <c r="H529" s="165" t="s">
        <v>2256</v>
      </c>
      <c r="I529" s="144">
        <v>46540</v>
      </c>
      <c r="J529">
        <v>485</v>
      </c>
      <c r="K529" s="165" t="s">
        <v>262</v>
      </c>
      <c r="L529" s="165" t="s">
        <v>102</v>
      </c>
      <c r="M529" s="144">
        <v>47515</v>
      </c>
      <c r="N529" s="146">
        <v>20000</v>
      </c>
      <c r="O529">
        <v>1000</v>
      </c>
      <c r="P529">
        <v>19000</v>
      </c>
      <c r="Q529" s="165" t="s">
        <v>225</v>
      </c>
      <c r="R529" s="165"/>
      <c r="S529" t="s">
        <v>263</v>
      </c>
    </row>
    <row r="530" spans="1:19" x14ac:dyDescent="0.25">
      <c r="A530">
        <v>168</v>
      </c>
      <c r="B530" s="144">
        <v>46055</v>
      </c>
      <c r="C530">
        <v>22617</v>
      </c>
      <c r="D530" s="165" t="s">
        <v>2257</v>
      </c>
      <c r="E530" s="165" t="s">
        <v>11</v>
      </c>
      <c r="F530" s="165" t="s">
        <v>258</v>
      </c>
      <c r="G530" s="165" t="s">
        <v>352</v>
      </c>
      <c r="H530" s="165" t="s">
        <v>2258</v>
      </c>
      <c r="I530" s="144">
        <v>47695</v>
      </c>
      <c r="J530">
        <v>1640</v>
      </c>
      <c r="K530" s="165" t="s">
        <v>2019</v>
      </c>
      <c r="L530" s="165" t="s">
        <v>8</v>
      </c>
      <c r="M530" s="144">
        <v>47515</v>
      </c>
      <c r="N530" s="146">
        <v>10000</v>
      </c>
      <c r="O530">
        <v>0</v>
      </c>
      <c r="P530">
        <v>10000</v>
      </c>
      <c r="Q530" s="165" t="s">
        <v>225</v>
      </c>
      <c r="R530" s="165"/>
    </row>
    <row r="531" spans="1:19" x14ac:dyDescent="0.25">
      <c r="A531">
        <v>167</v>
      </c>
      <c r="B531" s="144">
        <v>46055</v>
      </c>
      <c r="C531">
        <v>22617</v>
      </c>
      <c r="D531" s="165" t="s">
        <v>2257</v>
      </c>
      <c r="E531" s="165" t="s">
        <v>11</v>
      </c>
      <c r="F531" s="165" t="s">
        <v>258</v>
      </c>
      <c r="G531" s="165" t="s">
        <v>778</v>
      </c>
      <c r="H531" s="165" t="s">
        <v>2258</v>
      </c>
      <c r="I531" s="144">
        <v>47695</v>
      </c>
      <c r="J531">
        <v>1640</v>
      </c>
      <c r="K531" s="165" t="s">
        <v>240</v>
      </c>
      <c r="L531" s="165" t="s">
        <v>8</v>
      </c>
      <c r="M531" s="144">
        <v>47515</v>
      </c>
      <c r="N531" s="146">
        <v>10000</v>
      </c>
      <c r="O531">
        <v>5000</v>
      </c>
      <c r="P531">
        <v>5000</v>
      </c>
      <c r="Q531" s="165" t="s">
        <v>225</v>
      </c>
      <c r="R531" s="165"/>
      <c r="S531" t="s">
        <v>241</v>
      </c>
    </row>
    <row r="532" spans="1:19" x14ac:dyDescent="0.25">
      <c r="A532">
        <v>166</v>
      </c>
      <c r="B532" s="144">
        <v>46055</v>
      </c>
      <c r="C532">
        <v>22621</v>
      </c>
      <c r="D532" s="165" t="s">
        <v>2259</v>
      </c>
      <c r="E532" s="165" t="s">
        <v>12</v>
      </c>
      <c r="F532" s="165" t="s">
        <v>261</v>
      </c>
      <c r="G532" s="165" t="s">
        <v>1412</v>
      </c>
      <c r="H532" s="165" t="s">
        <v>2260</v>
      </c>
      <c r="I532" s="144">
        <v>46764</v>
      </c>
      <c r="J532">
        <v>709</v>
      </c>
      <c r="K532" s="165" t="s">
        <v>262</v>
      </c>
      <c r="L532" s="165" t="s">
        <v>102</v>
      </c>
      <c r="M532" s="144">
        <v>46784</v>
      </c>
      <c r="N532" s="146">
        <v>20000</v>
      </c>
      <c r="O532">
        <v>2000</v>
      </c>
      <c r="P532">
        <v>18000</v>
      </c>
      <c r="Q532" s="165" t="s">
        <v>225</v>
      </c>
      <c r="R532" s="165"/>
      <c r="S532" t="s">
        <v>263</v>
      </c>
    </row>
    <row r="533" spans="1:19" x14ac:dyDescent="0.25">
      <c r="A533">
        <v>165</v>
      </c>
      <c r="B533" s="144">
        <v>46052</v>
      </c>
      <c r="C533">
        <v>12620</v>
      </c>
      <c r="D533" s="165" t="s">
        <v>2261</v>
      </c>
      <c r="E533" s="165" t="s">
        <v>11</v>
      </c>
      <c r="F533" s="165" t="s">
        <v>258</v>
      </c>
      <c r="G533" s="165" t="s">
        <v>638</v>
      </c>
      <c r="H533" s="165" t="s">
        <v>2262</v>
      </c>
      <c r="I533" s="144">
        <v>47022</v>
      </c>
      <c r="J533">
        <v>970</v>
      </c>
      <c r="K533" s="165" t="s">
        <v>2019</v>
      </c>
      <c r="L533" s="165" t="s">
        <v>8</v>
      </c>
      <c r="M533" s="144">
        <v>47119</v>
      </c>
      <c r="N533" s="146">
        <v>1500</v>
      </c>
      <c r="O533">
        <v>0</v>
      </c>
      <c r="P533">
        <v>1500</v>
      </c>
      <c r="Q533" s="165" t="s">
        <v>225</v>
      </c>
      <c r="R533" s="165"/>
    </row>
    <row r="534" spans="1:19" x14ac:dyDescent="0.25">
      <c r="A534">
        <v>164</v>
      </c>
      <c r="B534" s="144">
        <v>46052</v>
      </c>
      <c r="C534">
        <v>12620</v>
      </c>
      <c r="D534" s="165" t="s">
        <v>2261</v>
      </c>
      <c r="E534" s="165" t="s">
        <v>11</v>
      </c>
      <c r="F534" s="165" t="s">
        <v>258</v>
      </c>
      <c r="G534" s="165" t="s">
        <v>2805</v>
      </c>
      <c r="H534" s="165" t="s">
        <v>2262</v>
      </c>
      <c r="I534" s="144">
        <v>47022</v>
      </c>
      <c r="J534">
        <v>970</v>
      </c>
      <c r="K534" s="165" t="s">
        <v>240</v>
      </c>
      <c r="L534" s="165" t="s">
        <v>8</v>
      </c>
      <c r="M534" s="144">
        <v>47119</v>
      </c>
      <c r="N534" s="146">
        <v>1500</v>
      </c>
      <c r="O534">
        <v>0</v>
      </c>
      <c r="P534">
        <v>1500</v>
      </c>
      <c r="Q534" s="165" t="s">
        <v>225</v>
      </c>
      <c r="R534" s="165"/>
      <c r="S534" t="s">
        <v>241</v>
      </c>
    </row>
    <row r="535" spans="1:19" x14ac:dyDescent="0.25">
      <c r="A535">
        <v>163</v>
      </c>
      <c r="B535" s="144">
        <v>46051</v>
      </c>
      <c r="C535">
        <v>22601</v>
      </c>
      <c r="D535" s="165" t="s">
        <v>298</v>
      </c>
      <c r="E535" s="165" t="s">
        <v>15</v>
      </c>
      <c r="F535" s="165" t="s">
        <v>2100</v>
      </c>
      <c r="G535" s="165" t="s">
        <v>576</v>
      </c>
      <c r="H535" s="165" t="s">
        <v>300</v>
      </c>
      <c r="I535" s="144">
        <v>47245</v>
      </c>
      <c r="J535">
        <v>1194</v>
      </c>
      <c r="K535" s="165" t="s">
        <v>2016</v>
      </c>
      <c r="L535" s="165" t="s">
        <v>102</v>
      </c>
      <c r="M535" s="144">
        <v>47150</v>
      </c>
      <c r="N535" s="146">
        <v>12188</v>
      </c>
      <c r="O535">
        <v>0</v>
      </c>
      <c r="P535">
        <v>12188</v>
      </c>
      <c r="Q535" s="165" t="s">
        <v>225</v>
      </c>
      <c r="R535" s="165"/>
    </row>
    <row r="536" spans="1:19" x14ac:dyDescent="0.25">
      <c r="A536">
        <v>162</v>
      </c>
      <c r="B536" s="144">
        <v>46051</v>
      </c>
      <c r="C536">
        <v>22601</v>
      </c>
      <c r="D536" s="165" t="s">
        <v>298</v>
      </c>
      <c r="E536" s="165" t="s">
        <v>15</v>
      </c>
      <c r="F536" s="165" t="s">
        <v>2100</v>
      </c>
      <c r="G536" s="165" t="s">
        <v>562</v>
      </c>
      <c r="H536" s="165" t="s">
        <v>300</v>
      </c>
      <c r="I536" s="144">
        <v>47245</v>
      </c>
      <c r="J536">
        <v>1194</v>
      </c>
      <c r="K536" s="165" t="s">
        <v>2019</v>
      </c>
      <c r="L536" s="165" t="s">
        <v>102</v>
      </c>
      <c r="M536" s="144">
        <v>47150</v>
      </c>
      <c r="N536" s="146">
        <v>12188</v>
      </c>
      <c r="O536">
        <v>0</v>
      </c>
      <c r="P536">
        <v>12188</v>
      </c>
      <c r="Q536" s="165" t="s">
        <v>225</v>
      </c>
      <c r="R536" s="165"/>
    </row>
    <row r="537" spans="1:19" x14ac:dyDescent="0.25">
      <c r="A537">
        <v>161</v>
      </c>
      <c r="B537" s="144">
        <v>46051</v>
      </c>
      <c r="C537">
        <v>22601</v>
      </c>
      <c r="D537" s="165" t="s">
        <v>298</v>
      </c>
      <c r="E537" s="165" t="s">
        <v>15</v>
      </c>
      <c r="F537" s="165" t="s">
        <v>2100</v>
      </c>
      <c r="G537" s="165" t="s">
        <v>1896</v>
      </c>
      <c r="H537" s="165" t="s">
        <v>300</v>
      </c>
      <c r="I537" s="144">
        <v>47245</v>
      </c>
      <c r="J537">
        <v>1194</v>
      </c>
      <c r="K537" s="165" t="s">
        <v>240</v>
      </c>
      <c r="L537" s="165" t="s">
        <v>102</v>
      </c>
      <c r="M537" s="144">
        <v>47150</v>
      </c>
      <c r="N537" s="146">
        <v>12188</v>
      </c>
      <c r="O537">
        <v>1100</v>
      </c>
      <c r="P537">
        <v>11088</v>
      </c>
      <c r="Q537" s="165" t="s">
        <v>225</v>
      </c>
      <c r="R537" s="165"/>
      <c r="S537" t="s">
        <v>269</v>
      </c>
    </row>
    <row r="538" spans="1:19" x14ac:dyDescent="0.25">
      <c r="A538">
        <v>160</v>
      </c>
      <c r="B538" s="144">
        <v>46051</v>
      </c>
      <c r="D538" s="165" t="s">
        <v>2082</v>
      </c>
      <c r="E538" s="165" t="s">
        <v>168</v>
      </c>
      <c r="F538" s="165" t="s">
        <v>2263</v>
      </c>
      <c r="G538" s="165" t="s">
        <v>1435</v>
      </c>
      <c r="H538" s="165" t="s">
        <v>2084</v>
      </c>
      <c r="I538" s="144">
        <v>46608</v>
      </c>
      <c r="J538">
        <v>557</v>
      </c>
      <c r="K538" s="165" t="s">
        <v>262</v>
      </c>
      <c r="L538" s="165" t="s">
        <v>10</v>
      </c>
      <c r="M538" s="144">
        <v>46784</v>
      </c>
      <c r="N538" s="146">
        <v>40000</v>
      </c>
      <c r="O538">
        <v>0</v>
      </c>
      <c r="P538">
        <v>40000</v>
      </c>
      <c r="Q538" s="165" t="s">
        <v>225</v>
      </c>
      <c r="R538" s="165"/>
      <c r="S538" t="s">
        <v>263</v>
      </c>
    </row>
    <row r="539" spans="1:19" x14ac:dyDescent="0.25">
      <c r="A539">
        <v>159</v>
      </c>
      <c r="B539" s="144">
        <v>46051</v>
      </c>
      <c r="C539">
        <v>22607</v>
      </c>
      <c r="D539" s="165" t="s">
        <v>2264</v>
      </c>
      <c r="E539" s="165" t="s">
        <v>243</v>
      </c>
      <c r="F539" s="165" t="s">
        <v>2265</v>
      </c>
      <c r="G539" s="165" t="s">
        <v>2785</v>
      </c>
      <c r="H539" s="165" t="s">
        <v>2266</v>
      </c>
      <c r="I539" s="144">
        <v>46370</v>
      </c>
      <c r="J539">
        <v>319</v>
      </c>
      <c r="K539" s="165" t="s">
        <v>2019</v>
      </c>
      <c r="L539" s="165" t="s">
        <v>102</v>
      </c>
      <c r="M539" s="144">
        <v>46784</v>
      </c>
      <c r="N539" s="146">
        <v>25000</v>
      </c>
      <c r="O539">
        <v>0</v>
      </c>
      <c r="P539">
        <v>25000</v>
      </c>
      <c r="Q539" s="165" t="s">
        <v>225</v>
      </c>
      <c r="R539" s="165"/>
    </row>
    <row r="540" spans="1:19" x14ac:dyDescent="0.25">
      <c r="A540">
        <v>158</v>
      </c>
      <c r="B540" s="144">
        <v>46051</v>
      </c>
      <c r="C540">
        <v>22607</v>
      </c>
      <c r="D540" s="165" t="s">
        <v>2264</v>
      </c>
      <c r="E540" s="165" t="s">
        <v>243</v>
      </c>
      <c r="F540" s="165" t="s">
        <v>2265</v>
      </c>
      <c r="G540" s="165" t="s">
        <v>1375</v>
      </c>
      <c r="H540" s="165" t="s">
        <v>2266</v>
      </c>
      <c r="I540" s="144">
        <v>46370</v>
      </c>
      <c r="J540">
        <v>319</v>
      </c>
      <c r="K540" s="165" t="s">
        <v>240</v>
      </c>
      <c r="L540" s="165" t="s">
        <v>102</v>
      </c>
      <c r="M540" s="144">
        <v>46784</v>
      </c>
      <c r="N540" s="146">
        <v>25000</v>
      </c>
      <c r="O540">
        <v>1100</v>
      </c>
      <c r="P540">
        <v>23900</v>
      </c>
      <c r="Q540" s="165" t="s">
        <v>225</v>
      </c>
      <c r="R540" s="165"/>
      <c r="S540" t="s">
        <v>251</v>
      </c>
    </row>
    <row r="541" spans="1:19" x14ac:dyDescent="0.25">
      <c r="A541">
        <v>157</v>
      </c>
      <c r="B541" s="144">
        <v>46051</v>
      </c>
      <c r="C541">
        <v>22608</v>
      </c>
      <c r="D541" s="165" t="s">
        <v>2107</v>
      </c>
      <c r="E541" s="165" t="s">
        <v>243</v>
      </c>
      <c r="F541" s="165" t="s">
        <v>2267</v>
      </c>
      <c r="G541" s="165" t="s">
        <v>1418</v>
      </c>
      <c r="H541" s="165" t="s">
        <v>2268</v>
      </c>
      <c r="I541" s="144">
        <v>46649</v>
      </c>
      <c r="J541">
        <v>598</v>
      </c>
      <c r="K541" s="165" t="s">
        <v>262</v>
      </c>
      <c r="L541" s="165" t="s">
        <v>102</v>
      </c>
      <c r="M541" s="144">
        <v>46784</v>
      </c>
      <c r="N541" s="146">
        <v>25000</v>
      </c>
      <c r="O541">
        <v>1300</v>
      </c>
      <c r="P541">
        <v>23700</v>
      </c>
      <c r="Q541" s="165" t="s">
        <v>225</v>
      </c>
      <c r="R541" s="165"/>
      <c r="S541" t="s">
        <v>251</v>
      </c>
    </row>
    <row r="542" spans="1:19" x14ac:dyDescent="0.25">
      <c r="A542">
        <v>156</v>
      </c>
      <c r="B542" s="144">
        <v>46051</v>
      </c>
      <c r="C542">
        <v>22609</v>
      </c>
      <c r="D542" s="165" t="s">
        <v>2269</v>
      </c>
      <c r="E542" s="165" t="s">
        <v>243</v>
      </c>
      <c r="F542" s="165" t="s">
        <v>2270</v>
      </c>
      <c r="G542" s="165" t="s">
        <v>2787</v>
      </c>
      <c r="H542" s="165" t="s">
        <v>2271</v>
      </c>
      <c r="I542" s="144">
        <v>46467</v>
      </c>
      <c r="J542">
        <v>416</v>
      </c>
      <c r="K542" s="165" t="s">
        <v>2019</v>
      </c>
      <c r="L542" s="165" t="s">
        <v>8</v>
      </c>
      <c r="M542" s="144">
        <v>46784</v>
      </c>
      <c r="N542" s="146">
        <v>10000</v>
      </c>
      <c r="O542">
        <v>0</v>
      </c>
      <c r="P542">
        <v>10000</v>
      </c>
      <c r="Q542" s="165" t="s">
        <v>225</v>
      </c>
      <c r="R542" s="165" t="s">
        <v>2027</v>
      </c>
    </row>
    <row r="543" spans="1:19" x14ac:dyDescent="0.25">
      <c r="A543">
        <v>155</v>
      </c>
      <c r="B543" s="144">
        <v>46051</v>
      </c>
      <c r="C543">
        <v>22610</v>
      </c>
      <c r="D543" s="165" t="s">
        <v>2097</v>
      </c>
      <c r="E543" s="165" t="s">
        <v>243</v>
      </c>
      <c r="F543" s="165" t="s">
        <v>2272</v>
      </c>
      <c r="G543" s="165" t="s">
        <v>479</v>
      </c>
      <c r="H543" s="165" t="s">
        <v>2273</v>
      </c>
      <c r="I543" s="144">
        <v>46474</v>
      </c>
      <c r="J543">
        <v>423</v>
      </c>
      <c r="K543" s="165" t="s">
        <v>2019</v>
      </c>
      <c r="L543" s="165" t="s">
        <v>102</v>
      </c>
      <c r="M543" s="144">
        <v>46784</v>
      </c>
      <c r="N543" s="146">
        <v>25000</v>
      </c>
      <c r="O543">
        <v>0</v>
      </c>
      <c r="P543">
        <v>25000</v>
      </c>
      <c r="Q543" s="165" t="s">
        <v>225</v>
      </c>
      <c r="R543" s="165"/>
    </row>
    <row r="544" spans="1:19" x14ac:dyDescent="0.25">
      <c r="A544">
        <v>154</v>
      </c>
      <c r="B544" s="144">
        <v>46051</v>
      </c>
      <c r="C544">
        <v>22610</v>
      </c>
      <c r="D544" s="165" t="s">
        <v>2097</v>
      </c>
      <c r="E544" s="165" t="s">
        <v>243</v>
      </c>
      <c r="F544" s="165" t="s">
        <v>2272</v>
      </c>
      <c r="G544" s="165" t="s">
        <v>1393</v>
      </c>
      <c r="H544" s="165" t="s">
        <v>2273</v>
      </c>
      <c r="I544" s="144">
        <v>46474</v>
      </c>
      <c r="J544">
        <v>423</v>
      </c>
      <c r="K544" s="165" t="s">
        <v>240</v>
      </c>
      <c r="L544" s="165" t="s">
        <v>102</v>
      </c>
      <c r="M544" s="144">
        <v>46784</v>
      </c>
      <c r="N544" s="146">
        <v>25000</v>
      </c>
      <c r="O544">
        <v>1000</v>
      </c>
      <c r="P544">
        <v>24000</v>
      </c>
      <c r="Q544" s="165" t="s">
        <v>225</v>
      </c>
      <c r="R544" s="165"/>
      <c r="S544" t="s">
        <v>251</v>
      </c>
    </row>
    <row r="545" spans="1:19" x14ac:dyDescent="0.25">
      <c r="A545">
        <v>153</v>
      </c>
      <c r="B545" s="144">
        <v>46051</v>
      </c>
      <c r="C545">
        <v>22612</v>
      </c>
      <c r="D545" s="165" t="s">
        <v>2274</v>
      </c>
      <c r="E545" s="165" t="s">
        <v>181</v>
      </c>
      <c r="F545" s="165" t="s">
        <v>299</v>
      </c>
      <c r="G545" s="165" t="s">
        <v>646</v>
      </c>
      <c r="H545" s="165" t="s">
        <v>2275</v>
      </c>
      <c r="I545" s="144">
        <v>46104</v>
      </c>
      <c r="J545">
        <v>53</v>
      </c>
      <c r="K545" s="165" t="s">
        <v>2019</v>
      </c>
      <c r="L545" s="165" t="s">
        <v>8</v>
      </c>
      <c r="M545" s="144">
        <v>46784</v>
      </c>
      <c r="N545" s="146">
        <v>44262</v>
      </c>
      <c r="O545">
        <v>0</v>
      </c>
      <c r="P545">
        <v>44262</v>
      </c>
      <c r="Q545" s="165" t="s">
        <v>225</v>
      </c>
      <c r="R545" s="165"/>
    </row>
    <row r="546" spans="1:19" x14ac:dyDescent="0.25">
      <c r="A546">
        <v>152</v>
      </c>
      <c r="B546" s="144">
        <v>46051</v>
      </c>
      <c r="C546">
        <v>22612</v>
      </c>
      <c r="D546" s="165" t="s">
        <v>2274</v>
      </c>
      <c r="E546" s="165" t="s">
        <v>181</v>
      </c>
      <c r="F546" s="165" t="s">
        <v>299</v>
      </c>
      <c r="G546" s="165" t="s">
        <v>1290</v>
      </c>
      <c r="H546" s="165" t="s">
        <v>2275</v>
      </c>
      <c r="I546" s="144">
        <v>46104</v>
      </c>
      <c r="J546">
        <v>53</v>
      </c>
      <c r="K546" s="165" t="s">
        <v>240</v>
      </c>
      <c r="L546" s="165" t="s">
        <v>8</v>
      </c>
      <c r="M546" s="144">
        <v>46784</v>
      </c>
      <c r="N546" s="146">
        <v>44262</v>
      </c>
      <c r="O546">
        <v>1200</v>
      </c>
      <c r="P546">
        <v>43062</v>
      </c>
      <c r="Q546" s="165" t="s">
        <v>225</v>
      </c>
      <c r="R546" s="165"/>
      <c r="S546" t="s">
        <v>241</v>
      </c>
    </row>
    <row r="547" spans="1:19" x14ac:dyDescent="0.25">
      <c r="A547">
        <v>151</v>
      </c>
      <c r="B547" s="144">
        <v>46051</v>
      </c>
      <c r="C547">
        <v>22614</v>
      </c>
      <c r="D547" s="165" t="s">
        <v>2276</v>
      </c>
      <c r="E547" s="165" t="s">
        <v>181</v>
      </c>
      <c r="F547" s="165" t="s">
        <v>267</v>
      </c>
      <c r="G547" s="165" t="s">
        <v>576</v>
      </c>
      <c r="H547" s="165" t="s">
        <v>2277</v>
      </c>
      <c r="I547" s="144">
        <v>47836</v>
      </c>
      <c r="J547">
        <v>1785</v>
      </c>
      <c r="K547" s="165" t="s">
        <v>2016</v>
      </c>
      <c r="L547" s="165" t="s">
        <v>8</v>
      </c>
      <c r="M547" s="144">
        <v>47150</v>
      </c>
      <c r="N547" s="146">
        <v>29703</v>
      </c>
      <c r="O547">
        <v>0</v>
      </c>
      <c r="P547">
        <v>29703</v>
      </c>
      <c r="Q547" s="165" t="s">
        <v>225</v>
      </c>
      <c r="R547" s="165"/>
    </row>
    <row r="548" spans="1:19" x14ac:dyDescent="0.25">
      <c r="A548">
        <v>150</v>
      </c>
      <c r="B548" s="144">
        <v>46051</v>
      </c>
      <c r="C548">
        <v>22614</v>
      </c>
      <c r="D548" s="165" t="s">
        <v>2276</v>
      </c>
      <c r="E548" s="165" t="s">
        <v>181</v>
      </c>
      <c r="F548" s="165" t="s">
        <v>267</v>
      </c>
      <c r="G548" s="165" t="s">
        <v>385</v>
      </c>
      <c r="H548" s="165" t="s">
        <v>2277</v>
      </c>
      <c r="I548" s="144">
        <v>47836</v>
      </c>
      <c r="J548">
        <v>1785</v>
      </c>
      <c r="K548" s="165" t="s">
        <v>2019</v>
      </c>
      <c r="L548" s="165" t="s">
        <v>8</v>
      </c>
      <c r="M548" s="144">
        <v>47150</v>
      </c>
      <c r="N548" s="146">
        <v>29703</v>
      </c>
      <c r="O548">
        <v>0</v>
      </c>
      <c r="P548">
        <v>29703</v>
      </c>
      <c r="Q548" s="165" t="s">
        <v>225</v>
      </c>
      <c r="R548" s="165"/>
    </row>
    <row r="549" spans="1:19" x14ac:dyDescent="0.25">
      <c r="A549">
        <v>149</v>
      </c>
      <c r="B549" s="144">
        <v>46051</v>
      </c>
      <c r="C549">
        <v>22614</v>
      </c>
      <c r="D549" s="165" t="s">
        <v>2276</v>
      </c>
      <c r="E549" s="165" t="s">
        <v>181</v>
      </c>
      <c r="F549" s="165" t="s">
        <v>267</v>
      </c>
      <c r="G549" s="165" t="s">
        <v>3300</v>
      </c>
      <c r="H549" s="165" t="s">
        <v>2277</v>
      </c>
      <c r="I549" s="144">
        <v>47836</v>
      </c>
      <c r="J549">
        <v>1785</v>
      </c>
      <c r="K549" s="165" t="s">
        <v>240</v>
      </c>
      <c r="L549" s="165" t="s">
        <v>8</v>
      </c>
      <c r="M549" s="144">
        <v>47150</v>
      </c>
      <c r="N549" s="146">
        <v>29703</v>
      </c>
      <c r="O549">
        <v>0</v>
      </c>
      <c r="P549">
        <v>29703</v>
      </c>
      <c r="Q549" s="165" t="s">
        <v>225</v>
      </c>
      <c r="R549" s="165"/>
      <c r="S549" t="s">
        <v>269</v>
      </c>
    </row>
    <row r="550" spans="1:19" x14ac:dyDescent="0.25">
      <c r="A550">
        <v>148</v>
      </c>
      <c r="B550" s="144">
        <v>46051</v>
      </c>
      <c r="C550">
        <v>22615</v>
      </c>
      <c r="D550" s="165" t="s">
        <v>2278</v>
      </c>
      <c r="E550" s="165" t="s">
        <v>17</v>
      </c>
      <c r="F550" s="165" t="s">
        <v>2279</v>
      </c>
      <c r="G550" s="165" t="s">
        <v>375</v>
      </c>
      <c r="H550" s="165" t="s">
        <v>2280</v>
      </c>
      <c r="I550" s="144">
        <v>47011</v>
      </c>
      <c r="J550">
        <v>960</v>
      </c>
      <c r="K550" s="165" t="s">
        <v>2019</v>
      </c>
      <c r="L550" s="165" t="s">
        <v>8</v>
      </c>
      <c r="M550" s="144">
        <v>46784</v>
      </c>
      <c r="N550" s="146">
        <v>17100</v>
      </c>
      <c r="O550">
        <v>0</v>
      </c>
      <c r="P550">
        <v>17100</v>
      </c>
      <c r="Q550" s="165" t="s">
        <v>225</v>
      </c>
      <c r="R550" s="165"/>
    </row>
    <row r="551" spans="1:19" x14ac:dyDescent="0.25">
      <c r="A551">
        <v>147</v>
      </c>
      <c r="B551" s="144">
        <v>46051</v>
      </c>
      <c r="C551">
        <v>22615</v>
      </c>
      <c r="D551" s="165" t="s">
        <v>2278</v>
      </c>
      <c r="E551" s="165" t="s">
        <v>17</v>
      </c>
      <c r="F551" s="165" t="s">
        <v>2279</v>
      </c>
      <c r="G551" s="165" t="s">
        <v>823</v>
      </c>
      <c r="H551" s="165" t="s">
        <v>2280</v>
      </c>
      <c r="I551" s="144">
        <v>47011</v>
      </c>
      <c r="J551">
        <v>960</v>
      </c>
      <c r="K551" s="165" t="s">
        <v>240</v>
      </c>
      <c r="L551" s="165" t="s">
        <v>8</v>
      </c>
      <c r="M551" s="144">
        <v>46784</v>
      </c>
      <c r="N551" s="146">
        <v>17100</v>
      </c>
      <c r="O551">
        <v>1200</v>
      </c>
      <c r="P551">
        <v>15900</v>
      </c>
      <c r="Q551" s="165" t="s">
        <v>225</v>
      </c>
      <c r="R551" s="165"/>
      <c r="S551" t="s">
        <v>241</v>
      </c>
    </row>
    <row r="552" spans="1:19" x14ac:dyDescent="0.25">
      <c r="A552">
        <v>145</v>
      </c>
      <c r="B552" s="144">
        <v>46051</v>
      </c>
      <c r="D552" s="165" t="s">
        <v>2281</v>
      </c>
      <c r="E552" s="165" t="s">
        <v>212</v>
      </c>
      <c r="F552" s="165" t="s">
        <v>2282</v>
      </c>
      <c r="G552" s="165" t="s">
        <v>415</v>
      </c>
      <c r="H552" s="165" t="s">
        <v>2283</v>
      </c>
      <c r="I552" s="144">
        <v>47722</v>
      </c>
      <c r="J552">
        <v>1671</v>
      </c>
      <c r="K552" s="165" t="s">
        <v>2019</v>
      </c>
      <c r="L552" s="165" t="s">
        <v>8</v>
      </c>
      <c r="M552" s="144">
        <v>47515</v>
      </c>
      <c r="N552" s="146">
        <v>17400</v>
      </c>
      <c r="O552">
        <v>0</v>
      </c>
      <c r="P552">
        <v>17400</v>
      </c>
      <c r="Q552" s="165" t="s">
        <v>225</v>
      </c>
      <c r="R552" s="165"/>
    </row>
    <row r="553" spans="1:19" x14ac:dyDescent="0.25">
      <c r="A553">
        <v>145</v>
      </c>
      <c r="B553" s="144">
        <v>46051</v>
      </c>
      <c r="D553" s="165" t="s">
        <v>2281</v>
      </c>
      <c r="E553" s="165" t="s">
        <v>212</v>
      </c>
      <c r="F553" s="165" t="s">
        <v>2282</v>
      </c>
      <c r="G553" s="165" t="s">
        <v>415</v>
      </c>
      <c r="H553" s="165" t="s">
        <v>2283</v>
      </c>
      <c r="I553" s="144">
        <v>47722</v>
      </c>
      <c r="J553">
        <v>1671</v>
      </c>
      <c r="K553" s="165" t="s">
        <v>2019</v>
      </c>
      <c r="L553" s="165" t="s">
        <v>8</v>
      </c>
      <c r="M553" s="144">
        <v>47515</v>
      </c>
      <c r="N553" s="146">
        <v>21650</v>
      </c>
      <c r="O553">
        <v>0</v>
      </c>
      <c r="P553">
        <v>21650</v>
      </c>
      <c r="Q553" s="165" t="s">
        <v>225</v>
      </c>
      <c r="R553" s="165"/>
    </row>
    <row r="554" spans="1:19" x14ac:dyDescent="0.25">
      <c r="A554">
        <v>145</v>
      </c>
      <c r="B554" s="144">
        <v>46051</v>
      </c>
      <c r="D554" s="165" t="s">
        <v>2281</v>
      </c>
      <c r="E554" s="165" t="s">
        <v>212</v>
      </c>
      <c r="F554" s="165" t="s">
        <v>2282</v>
      </c>
      <c r="G554" s="165" t="s">
        <v>415</v>
      </c>
      <c r="H554" s="165" t="s">
        <v>2283</v>
      </c>
      <c r="I554" s="144">
        <v>47722</v>
      </c>
      <c r="J554">
        <v>1671</v>
      </c>
      <c r="K554" s="165" t="s">
        <v>2019</v>
      </c>
      <c r="L554" s="165" t="s">
        <v>8</v>
      </c>
      <c r="M554" s="144">
        <v>47515</v>
      </c>
      <c r="N554" s="146">
        <v>21650</v>
      </c>
      <c r="O554">
        <v>0</v>
      </c>
      <c r="P554">
        <v>21650</v>
      </c>
      <c r="Q554" s="165" t="s">
        <v>225</v>
      </c>
      <c r="R554" s="165"/>
    </row>
    <row r="555" spans="1:19" x14ac:dyDescent="0.25">
      <c r="A555">
        <v>144</v>
      </c>
      <c r="B555" s="144">
        <v>46051</v>
      </c>
      <c r="D555" s="165" t="s">
        <v>2281</v>
      </c>
      <c r="E555" s="165" t="s">
        <v>212</v>
      </c>
      <c r="F555" s="165" t="s">
        <v>2282</v>
      </c>
      <c r="G555" s="165" t="s">
        <v>871</v>
      </c>
      <c r="H555" s="165" t="s">
        <v>2283</v>
      </c>
      <c r="I555" s="144">
        <v>47722</v>
      </c>
      <c r="J555">
        <v>1671</v>
      </c>
      <c r="K555" s="165" t="s">
        <v>240</v>
      </c>
      <c r="L555" s="165" t="s">
        <v>8</v>
      </c>
      <c r="M555" s="144">
        <v>47515</v>
      </c>
      <c r="N555" s="146">
        <v>17400</v>
      </c>
      <c r="O555">
        <v>0</v>
      </c>
      <c r="P555">
        <v>17400</v>
      </c>
      <c r="Q555" s="165" t="s">
        <v>225</v>
      </c>
      <c r="R555" s="165"/>
      <c r="S555" t="s">
        <v>263</v>
      </c>
    </row>
    <row r="556" spans="1:19" x14ac:dyDescent="0.25">
      <c r="A556">
        <v>143</v>
      </c>
      <c r="B556" s="144">
        <v>46051</v>
      </c>
      <c r="D556" s="165" t="s">
        <v>2281</v>
      </c>
      <c r="E556" s="165" t="s">
        <v>212</v>
      </c>
      <c r="F556" s="165" t="s">
        <v>2282</v>
      </c>
      <c r="G556" s="165" t="s">
        <v>871</v>
      </c>
      <c r="H556" s="165" t="s">
        <v>2283</v>
      </c>
      <c r="I556" s="144">
        <v>47722</v>
      </c>
      <c r="J556">
        <v>1671</v>
      </c>
      <c r="K556" s="165" t="s">
        <v>240</v>
      </c>
      <c r="L556" s="165" t="s">
        <v>8</v>
      </c>
      <c r="M556" s="144">
        <v>47515</v>
      </c>
      <c r="N556" s="146">
        <v>21650</v>
      </c>
      <c r="O556">
        <v>0</v>
      </c>
      <c r="P556">
        <v>21650</v>
      </c>
      <c r="Q556" s="165" t="s">
        <v>225</v>
      </c>
      <c r="R556" s="165"/>
      <c r="S556" t="s">
        <v>263</v>
      </c>
    </row>
    <row r="557" spans="1:19" x14ac:dyDescent="0.25">
      <c r="A557">
        <v>142</v>
      </c>
      <c r="B557" s="144">
        <v>46051</v>
      </c>
      <c r="D557" s="165" t="s">
        <v>2281</v>
      </c>
      <c r="E557" s="165" t="s">
        <v>212</v>
      </c>
      <c r="F557" s="165" t="s">
        <v>2282</v>
      </c>
      <c r="G557" s="165" t="s">
        <v>871</v>
      </c>
      <c r="H557" s="165" t="s">
        <v>2283</v>
      </c>
      <c r="I557" s="144">
        <v>47722</v>
      </c>
      <c r="J557">
        <v>1671</v>
      </c>
      <c r="K557" s="165" t="s">
        <v>240</v>
      </c>
      <c r="L557" s="165" t="s">
        <v>8</v>
      </c>
      <c r="M557" s="144">
        <v>47515</v>
      </c>
      <c r="N557" s="146">
        <v>21650</v>
      </c>
      <c r="O557">
        <v>3200</v>
      </c>
      <c r="P557">
        <v>18450</v>
      </c>
      <c r="Q557" s="165" t="s">
        <v>225</v>
      </c>
      <c r="R557" s="165"/>
      <c r="S557" t="s">
        <v>263</v>
      </c>
    </row>
    <row r="558" spans="1:19" x14ac:dyDescent="0.25">
      <c r="A558">
        <v>141</v>
      </c>
      <c r="B558" s="144">
        <v>46051</v>
      </c>
      <c r="D558" s="165" t="s">
        <v>2284</v>
      </c>
      <c r="E558" s="165" t="s">
        <v>212</v>
      </c>
      <c r="F558" s="165" t="s">
        <v>2285</v>
      </c>
      <c r="G558" s="165" t="s">
        <v>719</v>
      </c>
      <c r="H558" s="165" t="s">
        <v>2286</v>
      </c>
      <c r="I558" s="144">
        <v>46670</v>
      </c>
      <c r="J558">
        <v>619</v>
      </c>
      <c r="K558" s="165" t="s">
        <v>2019</v>
      </c>
      <c r="L558" s="165" t="s">
        <v>8</v>
      </c>
      <c r="M558" s="144">
        <v>47515</v>
      </c>
      <c r="N558" s="146">
        <v>28200</v>
      </c>
      <c r="O558">
        <v>0</v>
      </c>
      <c r="P558">
        <v>28200</v>
      </c>
      <c r="Q558" s="165" t="s">
        <v>225</v>
      </c>
      <c r="R558" s="165"/>
    </row>
    <row r="559" spans="1:19" x14ac:dyDescent="0.25">
      <c r="A559">
        <v>141</v>
      </c>
      <c r="B559" s="144">
        <v>46051</v>
      </c>
      <c r="D559" s="165" t="s">
        <v>2284</v>
      </c>
      <c r="E559" s="165" t="s">
        <v>212</v>
      </c>
      <c r="F559" s="165" t="s">
        <v>2285</v>
      </c>
      <c r="G559" s="165" t="s">
        <v>719</v>
      </c>
      <c r="H559" s="165" t="s">
        <v>2286</v>
      </c>
      <c r="I559" s="144">
        <v>46670</v>
      </c>
      <c r="J559">
        <v>619</v>
      </c>
      <c r="K559" s="165" t="s">
        <v>2019</v>
      </c>
      <c r="L559" s="165" t="s">
        <v>8</v>
      </c>
      <c r="M559" s="144">
        <v>47515</v>
      </c>
      <c r="N559" s="146">
        <v>28200</v>
      </c>
      <c r="O559">
        <v>0</v>
      </c>
      <c r="P559">
        <v>28200</v>
      </c>
      <c r="Q559" s="165" t="s">
        <v>225</v>
      </c>
      <c r="R559" s="165"/>
    </row>
    <row r="560" spans="1:19" x14ac:dyDescent="0.25">
      <c r="A560">
        <v>141</v>
      </c>
      <c r="B560" s="144">
        <v>46051</v>
      </c>
      <c r="D560" s="165" t="s">
        <v>2284</v>
      </c>
      <c r="E560" s="165" t="s">
        <v>212</v>
      </c>
      <c r="F560" s="165" t="s">
        <v>2285</v>
      </c>
      <c r="G560" s="165" t="s">
        <v>719</v>
      </c>
      <c r="H560" s="165" t="s">
        <v>2286</v>
      </c>
      <c r="I560" s="144">
        <v>46670</v>
      </c>
      <c r="J560">
        <v>619</v>
      </c>
      <c r="K560" s="165" t="s">
        <v>2019</v>
      </c>
      <c r="L560" s="165" t="s">
        <v>8</v>
      </c>
      <c r="M560" s="144">
        <v>47515</v>
      </c>
      <c r="N560" s="146">
        <v>28200</v>
      </c>
      <c r="O560">
        <v>0</v>
      </c>
      <c r="P560">
        <v>28200</v>
      </c>
      <c r="Q560" s="165" t="s">
        <v>225</v>
      </c>
      <c r="R560" s="165"/>
    </row>
    <row r="561" spans="1:19" x14ac:dyDescent="0.25">
      <c r="A561">
        <v>140</v>
      </c>
      <c r="B561" s="144">
        <v>46051</v>
      </c>
      <c r="D561" s="165" t="s">
        <v>2284</v>
      </c>
      <c r="E561" s="165" t="s">
        <v>212</v>
      </c>
      <c r="F561" s="165" t="s">
        <v>2285</v>
      </c>
      <c r="G561" s="165" t="s">
        <v>1470</v>
      </c>
      <c r="H561" s="165" t="s">
        <v>2286</v>
      </c>
      <c r="I561" s="144">
        <v>46670</v>
      </c>
      <c r="J561">
        <v>619</v>
      </c>
      <c r="K561" s="165" t="s">
        <v>240</v>
      </c>
      <c r="L561" s="165" t="s">
        <v>8</v>
      </c>
      <c r="M561" s="144">
        <v>47515</v>
      </c>
      <c r="N561" s="146">
        <v>28200</v>
      </c>
      <c r="O561">
        <v>0</v>
      </c>
      <c r="P561">
        <v>28200</v>
      </c>
      <c r="Q561" s="165" t="s">
        <v>225</v>
      </c>
      <c r="R561" s="165"/>
      <c r="S561" t="s">
        <v>241</v>
      </c>
    </row>
    <row r="562" spans="1:19" x14ac:dyDescent="0.25">
      <c r="A562">
        <v>139</v>
      </c>
      <c r="B562" s="144">
        <v>46051</v>
      </c>
      <c r="D562" s="165" t="s">
        <v>2284</v>
      </c>
      <c r="E562" s="165" t="s">
        <v>212</v>
      </c>
      <c r="F562" s="165" t="s">
        <v>2285</v>
      </c>
      <c r="G562" s="165" t="s">
        <v>1470</v>
      </c>
      <c r="H562" s="165" t="s">
        <v>2286</v>
      </c>
      <c r="I562" s="144">
        <v>46670</v>
      </c>
      <c r="J562">
        <v>619</v>
      </c>
      <c r="K562" s="165" t="s">
        <v>240</v>
      </c>
      <c r="L562" s="165" t="s">
        <v>8</v>
      </c>
      <c r="M562" s="144">
        <v>47515</v>
      </c>
      <c r="N562" s="146">
        <v>28200</v>
      </c>
      <c r="O562">
        <v>0</v>
      </c>
      <c r="P562">
        <v>28200</v>
      </c>
      <c r="Q562" s="165" t="s">
        <v>225</v>
      </c>
      <c r="R562" s="165"/>
      <c r="S562" t="s">
        <v>241</v>
      </c>
    </row>
    <row r="563" spans="1:19" x14ac:dyDescent="0.25">
      <c r="A563">
        <v>138</v>
      </c>
      <c r="B563" s="144">
        <v>46051</v>
      </c>
      <c r="D563" s="165" t="s">
        <v>2284</v>
      </c>
      <c r="E563" s="165" t="s">
        <v>212</v>
      </c>
      <c r="F563" s="165" t="s">
        <v>2285</v>
      </c>
      <c r="G563" s="165" t="s">
        <v>1470</v>
      </c>
      <c r="H563" s="165" t="s">
        <v>2286</v>
      </c>
      <c r="I563" s="144">
        <v>46670</v>
      </c>
      <c r="J563">
        <v>619</v>
      </c>
      <c r="K563" s="165" t="s">
        <v>240</v>
      </c>
      <c r="L563" s="165" t="s">
        <v>8</v>
      </c>
      <c r="M563" s="144">
        <v>47515</v>
      </c>
      <c r="N563" s="146">
        <v>28200</v>
      </c>
      <c r="O563">
        <v>3200</v>
      </c>
      <c r="P563">
        <v>25000</v>
      </c>
      <c r="Q563" s="165" t="s">
        <v>225</v>
      </c>
      <c r="R563" s="165"/>
      <c r="S563" t="s">
        <v>241</v>
      </c>
    </row>
    <row r="564" spans="1:19" x14ac:dyDescent="0.25">
      <c r="A564">
        <v>137</v>
      </c>
      <c r="B564" s="144">
        <v>46051</v>
      </c>
      <c r="C564">
        <v>9226</v>
      </c>
      <c r="D564" s="165" t="s">
        <v>2287</v>
      </c>
      <c r="E564" s="165" t="s">
        <v>2288</v>
      </c>
      <c r="F564" s="165" t="s">
        <v>2289</v>
      </c>
      <c r="G564" s="165" t="s">
        <v>1296</v>
      </c>
      <c r="H564" s="165" t="s">
        <v>2290</v>
      </c>
      <c r="I564" s="144">
        <v>47000</v>
      </c>
      <c r="J564">
        <v>949</v>
      </c>
      <c r="K564" s="165" t="s">
        <v>240</v>
      </c>
      <c r="L564" s="165" t="s">
        <v>8</v>
      </c>
      <c r="M564" s="144">
        <v>46784</v>
      </c>
      <c r="N564" s="146">
        <v>4000</v>
      </c>
      <c r="O564">
        <v>0</v>
      </c>
      <c r="P564">
        <v>4000</v>
      </c>
      <c r="Q564" s="165" t="s">
        <v>225</v>
      </c>
      <c r="R564" s="165"/>
      <c r="S564" t="s">
        <v>176</v>
      </c>
    </row>
    <row r="565" spans="1:19" x14ac:dyDescent="0.25">
      <c r="A565">
        <v>137</v>
      </c>
      <c r="B565" s="144">
        <v>46051</v>
      </c>
      <c r="C565">
        <v>7226</v>
      </c>
      <c r="D565" s="165" t="s">
        <v>2287</v>
      </c>
      <c r="E565" s="165" t="s">
        <v>2288</v>
      </c>
      <c r="F565" s="165" t="s">
        <v>2289</v>
      </c>
      <c r="G565" s="165" t="s">
        <v>1296</v>
      </c>
      <c r="H565" s="165" t="s">
        <v>2290</v>
      </c>
      <c r="I565" s="144">
        <v>47000</v>
      </c>
      <c r="J565">
        <v>949</v>
      </c>
      <c r="K565" s="165" t="s">
        <v>240</v>
      </c>
      <c r="L565" s="165" t="s">
        <v>8</v>
      </c>
      <c r="M565" s="144">
        <v>46784</v>
      </c>
      <c r="N565" s="146">
        <v>4000</v>
      </c>
      <c r="O565">
        <v>0</v>
      </c>
      <c r="P565">
        <v>4000</v>
      </c>
      <c r="Q565" s="165" t="s">
        <v>225</v>
      </c>
      <c r="R565" s="165"/>
      <c r="S565" t="s">
        <v>176</v>
      </c>
    </row>
    <row r="566" spans="1:19" x14ac:dyDescent="0.25">
      <c r="A566">
        <v>137</v>
      </c>
      <c r="B566" s="144">
        <v>46051</v>
      </c>
      <c r="C566">
        <v>5226</v>
      </c>
      <c r="D566" s="165" t="s">
        <v>2287</v>
      </c>
      <c r="E566" s="165" t="s">
        <v>2288</v>
      </c>
      <c r="F566" s="165" t="s">
        <v>2289</v>
      </c>
      <c r="G566" s="165" t="s">
        <v>1296</v>
      </c>
      <c r="H566" s="165" t="s">
        <v>2290</v>
      </c>
      <c r="I566" s="144">
        <v>47000</v>
      </c>
      <c r="J566">
        <v>949</v>
      </c>
      <c r="K566" s="165" t="s">
        <v>240</v>
      </c>
      <c r="L566" s="165" t="s">
        <v>8</v>
      </c>
      <c r="M566" s="144">
        <v>46784</v>
      </c>
      <c r="N566" s="146">
        <v>4000</v>
      </c>
      <c r="O566">
        <v>0</v>
      </c>
      <c r="P566">
        <v>4000</v>
      </c>
      <c r="Q566" s="165" t="s">
        <v>225</v>
      </c>
      <c r="R566" s="165"/>
      <c r="S566" t="s">
        <v>176</v>
      </c>
    </row>
    <row r="567" spans="1:19" x14ac:dyDescent="0.25">
      <c r="A567">
        <v>136</v>
      </c>
      <c r="B567" s="144">
        <v>46051</v>
      </c>
      <c r="C567">
        <v>9226</v>
      </c>
      <c r="D567" s="165" t="s">
        <v>2287</v>
      </c>
      <c r="E567" s="165" t="s">
        <v>2288</v>
      </c>
      <c r="F567" s="165" t="s">
        <v>2289</v>
      </c>
      <c r="G567" s="165" t="s">
        <v>650</v>
      </c>
      <c r="H567" s="165" t="s">
        <v>2290</v>
      </c>
      <c r="I567" s="144">
        <v>47000</v>
      </c>
      <c r="J567">
        <v>949</v>
      </c>
      <c r="K567" s="165" t="s">
        <v>2019</v>
      </c>
      <c r="L567" s="165" t="s">
        <v>8</v>
      </c>
      <c r="M567" s="144">
        <v>46784</v>
      </c>
      <c r="N567" s="146">
        <v>4000</v>
      </c>
      <c r="O567">
        <v>0</v>
      </c>
      <c r="P567">
        <v>4000</v>
      </c>
      <c r="Q567" s="165" t="s">
        <v>225</v>
      </c>
      <c r="R567" s="165"/>
    </row>
    <row r="568" spans="1:19" x14ac:dyDescent="0.25">
      <c r="A568">
        <v>136</v>
      </c>
      <c r="B568" s="144">
        <v>46051</v>
      </c>
      <c r="C568">
        <v>7226</v>
      </c>
      <c r="D568" s="165" t="s">
        <v>2287</v>
      </c>
      <c r="E568" s="165" t="s">
        <v>2288</v>
      </c>
      <c r="F568" s="165" t="s">
        <v>2289</v>
      </c>
      <c r="G568" s="165" t="s">
        <v>650</v>
      </c>
      <c r="H568" s="165" t="s">
        <v>2290</v>
      </c>
      <c r="I568" s="144">
        <v>47000</v>
      </c>
      <c r="J568">
        <v>949</v>
      </c>
      <c r="K568" s="165" t="s">
        <v>2019</v>
      </c>
      <c r="L568" s="165" t="s">
        <v>8</v>
      </c>
      <c r="M568" s="144">
        <v>46784</v>
      </c>
      <c r="N568" s="146">
        <v>4000</v>
      </c>
      <c r="O568">
        <v>0</v>
      </c>
      <c r="P568">
        <v>4000</v>
      </c>
      <c r="Q568" s="165" t="s">
        <v>225</v>
      </c>
      <c r="R568" s="165"/>
    </row>
    <row r="569" spans="1:19" x14ac:dyDescent="0.25">
      <c r="A569">
        <v>136</v>
      </c>
      <c r="B569" s="144">
        <v>46051</v>
      </c>
      <c r="C569">
        <v>3226</v>
      </c>
      <c r="D569" s="165" t="s">
        <v>2287</v>
      </c>
      <c r="E569" s="165" t="s">
        <v>2288</v>
      </c>
      <c r="F569" s="165" t="s">
        <v>2289</v>
      </c>
      <c r="G569" s="165" t="s">
        <v>650</v>
      </c>
      <c r="H569" s="165" t="s">
        <v>2290</v>
      </c>
      <c r="I569" s="144">
        <v>47000</v>
      </c>
      <c r="J569">
        <v>949</v>
      </c>
      <c r="K569" s="165" t="s">
        <v>2019</v>
      </c>
      <c r="L569" s="165" t="s">
        <v>8</v>
      </c>
      <c r="M569" s="144">
        <v>46784</v>
      </c>
      <c r="N569" s="146">
        <v>4000</v>
      </c>
      <c r="O569">
        <v>0</v>
      </c>
      <c r="P569">
        <v>4000</v>
      </c>
      <c r="Q569" s="165" t="s">
        <v>225</v>
      </c>
      <c r="R569" s="165" t="s">
        <v>2027</v>
      </c>
    </row>
    <row r="570" spans="1:19" x14ac:dyDescent="0.25">
      <c r="A570">
        <v>136</v>
      </c>
      <c r="B570" s="144">
        <v>46051</v>
      </c>
      <c r="C570">
        <v>1226</v>
      </c>
      <c r="D570" s="165" t="s">
        <v>2287</v>
      </c>
      <c r="E570" s="165" t="s">
        <v>2288</v>
      </c>
      <c r="F570" s="165" t="s">
        <v>2289</v>
      </c>
      <c r="G570" s="165" t="s">
        <v>650</v>
      </c>
      <c r="H570" s="165" t="s">
        <v>2290</v>
      </c>
      <c r="I570" s="144">
        <v>47000</v>
      </c>
      <c r="J570">
        <v>949</v>
      </c>
      <c r="K570" s="165" t="s">
        <v>2019</v>
      </c>
      <c r="L570" s="165" t="s">
        <v>8</v>
      </c>
      <c r="M570" s="144">
        <v>46784</v>
      </c>
      <c r="N570" s="146">
        <v>4000</v>
      </c>
      <c r="O570">
        <v>0</v>
      </c>
      <c r="P570">
        <v>4000</v>
      </c>
      <c r="Q570" s="165" t="s">
        <v>225</v>
      </c>
      <c r="R570" s="165" t="s">
        <v>2291</v>
      </c>
    </row>
    <row r="571" spans="1:19" x14ac:dyDescent="0.25">
      <c r="A571">
        <v>136</v>
      </c>
      <c r="B571" s="144">
        <v>46051</v>
      </c>
      <c r="C571">
        <v>5226</v>
      </c>
      <c r="D571" s="165" t="s">
        <v>2287</v>
      </c>
      <c r="E571" s="165" t="s">
        <v>2288</v>
      </c>
      <c r="F571" s="165" t="s">
        <v>2289</v>
      </c>
      <c r="G571" s="165" t="s">
        <v>650</v>
      </c>
      <c r="H571" s="165" t="s">
        <v>2290</v>
      </c>
      <c r="I571" s="144">
        <v>47000</v>
      </c>
      <c r="J571">
        <v>949</v>
      </c>
      <c r="K571" s="165" t="s">
        <v>2019</v>
      </c>
      <c r="L571" s="165" t="s">
        <v>8</v>
      </c>
      <c r="M571" s="144">
        <v>46784</v>
      </c>
      <c r="N571" s="146">
        <v>4000</v>
      </c>
      <c r="O571">
        <v>0</v>
      </c>
      <c r="P571">
        <v>4000</v>
      </c>
      <c r="Q571" s="165" t="s">
        <v>225</v>
      </c>
      <c r="R571" s="165"/>
    </row>
    <row r="572" spans="1:19" x14ac:dyDescent="0.25">
      <c r="A572">
        <v>135</v>
      </c>
      <c r="B572" s="144">
        <v>46043</v>
      </c>
      <c r="D572" s="165" t="s">
        <v>1556</v>
      </c>
      <c r="E572" s="165"/>
      <c r="F572" s="165" t="s">
        <v>2003</v>
      </c>
      <c r="G572" s="165" t="s">
        <v>25</v>
      </c>
      <c r="H572" s="165"/>
      <c r="I572" s="144"/>
      <c r="K572" s="165" t="s">
        <v>2292</v>
      </c>
      <c r="L572" s="165"/>
      <c r="M572" s="144"/>
      <c r="N572" s="146">
        <v>5000</v>
      </c>
      <c r="O572">
        <v>0</v>
      </c>
      <c r="P572">
        <v>5000</v>
      </c>
      <c r="Q572" s="165" t="s">
        <v>225</v>
      </c>
      <c r="R572" s="165"/>
    </row>
    <row r="573" spans="1:19" x14ac:dyDescent="0.25">
      <c r="A573">
        <v>134</v>
      </c>
      <c r="B573" s="144">
        <v>46035</v>
      </c>
      <c r="C573">
        <v>12614</v>
      </c>
      <c r="D573" s="165" t="s">
        <v>260</v>
      </c>
      <c r="E573" s="165" t="s">
        <v>12</v>
      </c>
      <c r="F573" s="165" t="s">
        <v>2293</v>
      </c>
      <c r="G573" s="165" t="s">
        <v>508</v>
      </c>
      <c r="H573" s="165" t="s">
        <v>2294</v>
      </c>
      <c r="I573" s="144">
        <v>47853</v>
      </c>
      <c r="J573">
        <v>1818</v>
      </c>
      <c r="K573" s="165" t="s">
        <v>2019</v>
      </c>
      <c r="L573" s="165" t="s">
        <v>102</v>
      </c>
      <c r="M573" s="144">
        <v>46753</v>
      </c>
      <c r="N573" s="146">
        <v>23000</v>
      </c>
      <c r="O573">
        <v>0</v>
      </c>
      <c r="P573">
        <v>23000</v>
      </c>
      <c r="Q573" s="165" t="s">
        <v>225</v>
      </c>
      <c r="R573" s="165"/>
    </row>
    <row r="574" spans="1:19" x14ac:dyDescent="0.25">
      <c r="A574">
        <v>133</v>
      </c>
      <c r="B574" s="144">
        <v>46035</v>
      </c>
      <c r="D574" s="165" t="s">
        <v>2295</v>
      </c>
      <c r="E574" s="165" t="s">
        <v>2111</v>
      </c>
      <c r="F574" s="165" t="s">
        <v>2296</v>
      </c>
      <c r="G574" s="165" t="s">
        <v>348</v>
      </c>
      <c r="H574" s="165" t="s">
        <v>2297</v>
      </c>
      <c r="I574" s="144">
        <v>47142</v>
      </c>
      <c r="J574">
        <v>1107</v>
      </c>
      <c r="K574" s="165" t="s">
        <v>2019</v>
      </c>
      <c r="L574" s="165" t="s">
        <v>8</v>
      </c>
      <c r="M574" s="144">
        <v>46753</v>
      </c>
      <c r="N574" s="146">
        <v>1800</v>
      </c>
      <c r="O574">
        <v>500</v>
      </c>
      <c r="P574">
        <v>1300</v>
      </c>
      <c r="Q574" s="165" t="s">
        <v>225</v>
      </c>
      <c r="R574" s="165"/>
    </row>
    <row r="575" spans="1:19" x14ac:dyDescent="0.25">
      <c r="A575">
        <v>132</v>
      </c>
      <c r="B575" s="144">
        <v>46035</v>
      </c>
      <c r="D575" s="165" t="s">
        <v>2295</v>
      </c>
      <c r="E575" s="165" t="s">
        <v>2111</v>
      </c>
      <c r="F575" s="165" t="s">
        <v>2296</v>
      </c>
      <c r="G575" s="165" t="s">
        <v>774</v>
      </c>
      <c r="H575" s="165" t="s">
        <v>2297</v>
      </c>
      <c r="I575" s="144">
        <v>47142</v>
      </c>
      <c r="J575">
        <v>1107</v>
      </c>
      <c r="K575" s="165" t="s">
        <v>240</v>
      </c>
      <c r="L575" s="165" t="s">
        <v>8</v>
      </c>
      <c r="M575" s="144">
        <v>46753</v>
      </c>
      <c r="N575" s="146">
        <v>1800</v>
      </c>
      <c r="O575">
        <v>595</v>
      </c>
      <c r="P575">
        <v>1205</v>
      </c>
      <c r="Q575" s="165" t="s">
        <v>225</v>
      </c>
      <c r="R575" s="165"/>
      <c r="S575" t="s">
        <v>241</v>
      </c>
    </row>
    <row r="576" spans="1:19" x14ac:dyDescent="0.25">
      <c r="A576">
        <v>131</v>
      </c>
      <c r="B576" s="144">
        <v>46035</v>
      </c>
      <c r="D576" s="165" t="s">
        <v>2055</v>
      </c>
      <c r="E576" s="165" t="s">
        <v>2111</v>
      </c>
      <c r="F576" s="165" t="s">
        <v>2296</v>
      </c>
      <c r="G576" s="165" t="s">
        <v>452</v>
      </c>
      <c r="H576" s="165" t="s">
        <v>2298</v>
      </c>
      <c r="I576" s="144">
        <v>47196</v>
      </c>
      <c r="J576">
        <v>1161</v>
      </c>
      <c r="K576" s="165" t="s">
        <v>2019</v>
      </c>
      <c r="L576" s="165" t="s">
        <v>8</v>
      </c>
      <c r="M576" s="144">
        <v>47484</v>
      </c>
      <c r="N576" s="146">
        <v>9280</v>
      </c>
      <c r="O576">
        <v>500</v>
      </c>
      <c r="P576">
        <v>8780</v>
      </c>
      <c r="Q576" s="165" t="s">
        <v>225</v>
      </c>
      <c r="R576" s="165" t="s">
        <v>2299</v>
      </c>
    </row>
    <row r="577" spans="1:19" x14ac:dyDescent="0.25">
      <c r="A577">
        <v>130</v>
      </c>
      <c r="B577" s="144">
        <v>46035</v>
      </c>
      <c r="C577">
        <v>12692</v>
      </c>
      <c r="D577" s="165" t="s">
        <v>2300</v>
      </c>
      <c r="E577" s="165" t="s">
        <v>201</v>
      </c>
      <c r="F577" s="165" t="s">
        <v>247</v>
      </c>
      <c r="G577" s="165" t="s">
        <v>354</v>
      </c>
      <c r="H577" s="165" t="s">
        <v>2301</v>
      </c>
      <c r="I577" s="144">
        <v>46768</v>
      </c>
      <c r="J577">
        <v>733</v>
      </c>
      <c r="K577" s="165" t="s">
        <v>2019</v>
      </c>
      <c r="L577" s="165" t="s">
        <v>8</v>
      </c>
      <c r="M577" s="144">
        <v>46753</v>
      </c>
      <c r="N577" s="146">
        <v>6000</v>
      </c>
      <c r="O577">
        <v>1000</v>
      </c>
      <c r="P577">
        <v>5000</v>
      </c>
      <c r="Q577" s="165" t="s">
        <v>225</v>
      </c>
      <c r="R577" s="165"/>
    </row>
    <row r="578" spans="1:19" x14ac:dyDescent="0.25">
      <c r="A578">
        <v>129</v>
      </c>
      <c r="B578" s="144">
        <v>46035</v>
      </c>
      <c r="C578">
        <v>12692</v>
      </c>
      <c r="D578" s="165" t="s">
        <v>2300</v>
      </c>
      <c r="E578" s="165" t="s">
        <v>201</v>
      </c>
      <c r="F578" s="165" t="s">
        <v>247</v>
      </c>
      <c r="G578" s="165" t="s">
        <v>1799</v>
      </c>
      <c r="H578" s="165" t="s">
        <v>2301</v>
      </c>
      <c r="I578" s="144">
        <v>46768</v>
      </c>
      <c r="J578">
        <v>733</v>
      </c>
      <c r="K578" s="165" t="s">
        <v>240</v>
      </c>
      <c r="L578" s="165" t="s">
        <v>8</v>
      </c>
      <c r="M578" s="144">
        <v>46753</v>
      </c>
      <c r="N578" s="146">
        <v>6000</v>
      </c>
      <c r="O578">
        <v>3492</v>
      </c>
      <c r="P578">
        <v>2508</v>
      </c>
      <c r="Q578" s="165" t="s">
        <v>225</v>
      </c>
      <c r="R578" s="165"/>
      <c r="S578" t="s">
        <v>241</v>
      </c>
    </row>
    <row r="579" spans="1:19" x14ac:dyDescent="0.25">
      <c r="A579">
        <v>128</v>
      </c>
      <c r="B579" s="144">
        <v>46035</v>
      </c>
      <c r="C579">
        <v>12691</v>
      </c>
      <c r="D579" s="165" t="s">
        <v>2302</v>
      </c>
      <c r="E579" s="165" t="s">
        <v>9</v>
      </c>
      <c r="F579" s="165" t="s">
        <v>2303</v>
      </c>
      <c r="G579" s="165" t="s">
        <v>1639</v>
      </c>
      <c r="H579" s="165" t="s">
        <v>2304</v>
      </c>
      <c r="I579" s="144">
        <v>47462</v>
      </c>
      <c r="J579">
        <v>1427</v>
      </c>
      <c r="K579" s="165" t="s">
        <v>240</v>
      </c>
      <c r="L579" s="165" t="s">
        <v>8</v>
      </c>
      <c r="M579" s="144">
        <v>47119</v>
      </c>
      <c r="N579" s="146">
        <v>8500</v>
      </c>
      <c r="O579">
        <v>4583</v>
      </c>
      <c r="P579">
        <v>3917</v>
      </c>
      <c r="Q579" s="165" t="s">
        <v>225</v>
      </c>
      <c r="R579" s="165"/>
      <c r="S579" t="s">
        <v>2305</v>
      </c>
    </row>
    <row r="580" spans="1:19" x14ac:dyDescent="0.25">
      <c r="A580">
        <v>127</v>
      </c>
      <c r="B580" s="144">
        <v>46035</v>
      </c>
      <c r="C580">
        <v>12668</v>
      </c>
      <c r="D580" s="165" t="s">
        <v>2033</v>
      </c>
      <c r="E580" s="165" t="s">
        <v>243</v>
      </c>
      <c r="F580" s="165" t="s">
        <v>244</v>
      </c>
      <c r="G580" s="165" t="s">
        <v>431</v>
      </c>
      <c r="H580" s="165" t="s">
        <v>2034</v>
      </c>
      <c r="I580" s="144">
        <v>46471</v>
      </c>
      <c r="J580">
        <v>436</v>
      </c>
      <c r="K580" s="165" t="s">
        <v>2019</v>
      </c>
      <c r="L580" s="165" t="s">
        <v>8</v>
      </c>
      <c r="M580" s="144">
        <v>46753</v>
      </c>
      <c r="N580" s="146">
        <v>8000</v>
      </c>
      <c r="O580">
        <v>0</v>
      </c>
      <c r="P580">
        <v>8000</v>
      </c>
      <c r="Q580" s="165" t="s">
        <v>225</v>
      </c>
      <c r="R580" s="165"/>
    </row>
    <row r="581" spans="1:19" x14ac:dyDescent="0.25">
      <c r="A581">
        <v>126</v>
      </c>
      <c r="B581" s="144">
        <v>46035</v>
      </c>
      <c r="C581">
        <v>12668</v>
      </c>
      <c r="D581" s="165" t="s">
        <v>2033</v>
      </c>
      <c r="E581" s="165" t="s">
        <v>243</v>
      </c>
      <c r="F581" s="165" t="s">
        <v>244</v>
      </c>
      <c r="G581" s="165" t="s">
        <v>911</v>
      </c>
      <c r="H581" s="165" t="s">
        <v>2034</v>
      </c>
      <c r="I581" s="144">
        <v>46471</v>
      </c>
      <c r="J581">
        <v>436</v>
      </c>
      <c r="K581" s="165" t="s">
        <v>240</v>
      </c>
      <c r="L581" s="165" t="s">
        <v>8</v>
      </c>
      <c r="M581" s="144">
        <v>46753</v>
      </c>
      <c r="N581" s="146">
        <v>8000</v>
      </c>
      <c r="O581">
        <v>4000</v>
      </c>
      <c r="P581">
        <v>4000</v>
      </c>
      <c r="Q581" s="165" t="s">
        <v>225</v>
      </c>
      <c r="R581" s="165"/>
      <c r="S581" t="s">
        <v>241</v>
      </c>
    </row>
    <row r="582" spans="1:19" x14ac:dyDescent="0.25">
      <c r="A582">
        <v>125</v>
      </c>
      <c r="B582" s="144">
        <v>46035</v>
      </c>
      <c r="D582" s="165" t="s">
        <v>2035</v>
      </c>
      <c r="E582" s="165" t="s">
        <v>212</v>
      </c>
      <c r="F582" s="165" t="s">
        <v>2036</v>
      </c>
      <c r="G582" s="165" t="s">
        <v>405</v>
      </c>
      <c r="H582" s="165" t="s">
        <v>2037</v>
      </c>
      <c r="I582" s="144">
        <v>47434</v>
      </c>
      <c r="J582">
        <v>1399</v>
      </c>
      <c r="K582" s="165" t="s">
        <v>2019</v>
      </c>
      <c r="L582" s="165" t="s">
        <v>102</v>
      </c>
      <c r="M582" s="144">
        <v>47484</v>
      </c>
      <c r="N582" s="146">
        <v>25000</v>
      </c>
      <c r="O582">
        <v>0</v>
      </c>
      <c r="P582">
        <v>25000</v>
      </c>
      <c r="Q582" s="165" t="s">
        <v>225</v>
      </c>
      <c r="R582" s="165"/>
    </row>
    <row r="583" spans="1:19" x14ac:dyDescent="0.25">
      <c r="A583">
        <v>124</v>
      </c>
      <c r="B583" s="144">
        <v>46035</v>
      </c>
      <c r="D583" s="165" t="s">
        <v>2035</v>
      </c>
      <c r="E583" s="165" t="s">
        <v>212</v>
      </c>
      <c r="F583" s="165" t="s">
        <v>2036</v>
      </c>
      <c r="G583" s="165" t="s">
        <v>861</v>
      </c>
      <c r="H583" s="165" t="s">
        <v>2037</v>
      </c>
      <c r="I583" s="144">
        <v>47434</v>
      </c>
      <c r="J583">
        <v>1399</v>
      </c>
      <c r="K583" s="165" t="s">
        <v>240</v>
      </c>
      <c r="L583" s="165" t="s">
        <v>102</v>
      </c>
      <c r="M583" s="144">
        <v>47484</v>
      </c>
      <c r="N583" s="146">
        <v>25000</v>
      </c>
      <c r="O583">
        <v>2500</v>
      </c>
      <c r="P583">
        <v>22500</v>
      </c>
      <c r="Q583" s="165" t="s">
        <v>225</v>
      </c>
      <c r="R583" s="165"/>
      <c r="S583" t="s">
        <v>263</v>
      </c>
    </row>
    <row r="584" spans="1:19" x14ac:dyDescent="0.25">
      <c r="A584">
        <v>123</v>
      </c>
      <c r="B584" s="144">
        <v>46035</v>
      </c>
      <c r="D584" s="165" t="s">
        <v>2035</v>
      </c>
      <c r="E584" s="165" t="s">
        <v>212</v>
      </c>
      <c r="F584" s="165" t="s">
        <v>2038</v>
      </c>
      <c r="G584" s="165" t="s">
        <v>859</v>
      </c>
      <c r="H584" s="165" t="s">
        <v>2037</v>
      </c>
      <c r="I584" s="144">
        <v>47434</v>
      </c>
      <c r="J584">
        <v>1399</v>
      </c>
      <c r="K584" s="165" t="s">
        <v>240</v>
      </c>
      <c r="L584" s="165" t="s">
        <v>8</v>
      </c>
      <c r="M584" s="144">
        <v>47484</v>
      </c>
      <c r="N584" s="146">
        <v>2800</v>
      </c>
      <c r="O584">
        <v>0</v>
      </c>
      <c r="P584">
        <v>2800</v>
      </c>
      <c r="Q584" s="165" t="s">
        <v>225</v>
      </c>
      <c r="R584" s="165" t="s">
        <v>2039</v>
      </c>
      <c r="S584" t="s">
        <v>263</v>
      </c>
    </row>
    <row r="585" spans="1:19" x14ac:dyDescent="0.25">
      <c r="A585">
        <v>122</v>
      </c>
      <c r="B585" s="144">
        <v>46035</v>
      </c>
      <c r="D585" s="165" t="s">
        <v>2035</v>
      </c>
      <c r="E585" s="165" t="s">
        <v>212</v>
      </c>
      <c r="F585" s="165" t="s">
        <v>2038</v>
      </c>
      <c r="G585" s="165" t="s">
        <v>405</v>
      </c>
      <c r="H585" s="165" t="s">
        <v>2037</v>
      </c>
      <c r="I585" s="144">
        <v>47434</v>
      </c>
      <c r="J585">
        <v>1399</v>
      </c>
      <c r="K585" s="165" t="s">
        <v>2019</v>
      </c>
      <c r="L585" s="165" t="s">
        <v>8</v>
      </c>
      <c r="M585" s="144">
        <v>47484</v>
      </c>
      <c r="N585" s="146">
        <v>4000</v>
      </c>
      <c r="O585">
        <v>0</v>
      </c>
      <c r="P585">
        <v>4000</v>
      </c>
      <c r="Q585" s="165" t="s">
        <v>225</v>
      </c>
      <c r="R585" s="165" t="s">
        <v>2040</v>
      </c>
    </row>
    <row r="586" spans="1:19" x14ac:dyDescent="0.25">
      <c r="A586">
        <v>121</v>
      </c>
      <c r="B586" s="144">
        <v>46035</v>
      </c>
      <c r="D586" s="165" t="s">
        <v>2041</v>
      </c>
      <c r="E586" s="165" t="s">
        <v>212</v>
      </c>
      <c r="F586" s="165" t="s">
        <v>2038</v>
      </c>
      <c r="G586" s="165" t="s">
        <v>407</v>
      </c>
      <c r="H586" s="165" t="s">
        <v>2042</v>
      </c>
      <c r="I586" s="144">
        <v>47024</v>
      </c>
      <c r="J586">
        <v>989</v>
      </c>
      <c r="K586" s="165" t="s">
        <v>2019</v>
      </c>
      <c r="L586" s="165" t="s">
        <v>8</v>
      </c>
      <c r="M586" s="144">
        <v>47484</v>
      </c>
      <c r="N586" s="146">
        <v>3600</v>
      </c>
      <c r="O586">
        <v>0</v>
      </c>
      <c r="P586">
        <v>3600</v>
      </c>
      <c r="Q586" s="165" t="s">
        <v>225</v>
      </c>
      <c r="R586" s="165" t="s">
        <v>2043</v>
      </c>
    </row>
    <row r="587" spans="1:19" x14ac:dyDescent="0.25">
      <c r="A587">
        <v>120</v>
      </c>
      <c r="B587" s="144">
        <v>46035</v>
      </c>
      <c r="D587" s="165" t="s">
        <v>2044</v>
      </c>
      <c r="E587" s="165" t="s">
        <v>212</v>
      </c>
      <c r="F587" s="165" t="s">
        <v>2045</v>
      </c>
      <c r="G587" s="165" t="s">
        <v>648</v>
      </c>
      <c r="H587" s="165" t="s">
        <v>2046</v>
      </c>
      <c r="I587" s="144">
        <v>47412</v>
      </c>
      <c r="J587">
        <v>1377</v>
      </c>
      <c r="K587" s="165" t="s">
        <v>2019</v>
      </c>
      <c r="L587" s="165" t="s">
        <v>8</v>
      </c>
      <c r="M587" s="144">
        <v>47484</v>
      </c>
      <c r="N587" s="146">
        <v>2850</v>
      </c>
      <c r="O587">
        <v>0</v>
      </c>
      <c r="P587">
        <v>2850</v>
      </c>
      <c r="Q587" s="165" t="s">
        <v>225</v>
      </c>
      <c r="R587" s="165"/>
    </row>
    <row r="588" spans="1:19" x14ac:dyDescent="0.25">
      <c r="A588">
        <v>119</v>
      </c>
      <c r="B588" s="144">
        <v>46035</v>
      </c>
      <c r="D588" s="165" t="s">
        <v>2044</v>
      </c>
      <c r="E588" s="165" t="s">
        <v>212</v>
      </c>
      <c r="F588" s="165" t="s">
        <v>2045</v>
      </c>
      <c r="G588" s="165" t="s">
        <v>1789</v>
      </c>
      <c r="H588" s="165" t="s">
        <v>2046</v>
      </c>
      <c r="I588" s="144">
        <v>47412</v>
      </c>
      <c r="J588">
        <v>1377</v>
      </c>
      <c r="K588" s="165" t="s">
        <v>240</v>
      </c>
      <c r="L588" s="165" t="s">
        <v>8</v>
      </c>
      <c r="M588" s="144">
        <v>47484</v>
      </c>
      <c r="N588" s="146">
        <v>2850</v>
      </c>
      <c r="O588">
        <v>0</v>
      </c>
      <c r="P588">
        <v>2850</v>
      </c>
      <c r="Q588" s="165" t="s">
        <v>225</v>
      </c>
      <c r="R588" s="165" t="s">
        <v>2047</v>
      </c>
      <c r="S588" t="s">
        <v>241</v>
      </c>
    </row>
    <row r="589" spans="1:19" x14ac:dyDescent="0.25">
      <c r="A589">
        <v>118</v>
      </c>
      <c r="B589" s="144">
        <v>46035</v>
      </c>
      <c r="C589">
        <v>12613</v>
      </c>
      <c r="D589" s="165" t="s">
        <v>2048</v>
      </c>
      <c r="E589" s="165" t="s">
        <v>12</v>
      </c>
      <c r="F589" s="165" t="s">
        <v>2049</v>
      </c>
      <c r="G589" s="165" t="s">
        <v>1837</v>
      </c>
      <c r="H589" s="165" t="s">
        <v>2050</v>
      </c>
      <c r="I589" s="144">
        <v>47100</v>
      </c>
      <c r="J589">
        <v>1065</v>
      </c>
      <c r="K589" s="165" t="s">
        <v>2019</v>
      </c>
      <c r="L589" s="165" t="s">
        <v>8</v>
      </c>
      <c r="M589" s="144">
        <v>46753</v>
      </c>
      <c r="N589" s="146">
        <v>3115</v>
      </c>
      <c r="O589">
        <v>0</v>
      </c>
      <c r="P589">
        <v>3115</v>
      </c>
      <c r="Q589" s="165" t="s">
        <v>225</v>
      </c>
      <c r="R589" s="165"/>
    </row>
    <row r="590" spans="1:19" x14ac:dyDescent="0.25">
      <c r="A590">
        <v>117</v>
      </c>
      <c r="B590" s="144">
        <v>46035</v>
      </c>
      <c r="C590">
        <v>12613</v>
      </c>
      <c r="D590" s="165" t="s">
        <v>2048</v>
      </c>
      <c r="E590" s="165" t="s">
        <v>12</v>
      </c>
      <c r="F590" s="165" t="s">
        <v>2049</v>
      </c>
      <c r="G590" s="165" t="s">
        <v>2885</v>
      </c>
      <c r="H590" s="165" t="s">
        <v>2050</v>
      </c>
      <c r="I590" s="144">
        <v>47100</v>
      </c>
      <c r="J590">
        <v>1065</v>
      </c>
      <c r="K590" s="165" t="s">
        <v>240</v>
      </c>
      <c r="L590" s="165" t="s">
        <v>8</v>
      </c>
      <c r="M590" s="144">
        <v>46753</v>
      </c>
      <c r="N590" s="146">
        <v>3115</v>
      </c>
      <c r="O590">
        <v>1900</v>
      </c>
      <c r="P590">
        <v>1215</v>
      </c>
      <c r="Q590" s="165" t="s">
        <v>225</v>
      </c>
      <c r="R590" s="165"/>
      <c r="S590" t="s">
        <v>263</v>
      </c>
    </row>
    <row r="591" spans="1:19" x14ac:dyDescent="0.25">
      <c r="A591">
        <v>116</v>
      </c>
      <c r="B591" s="144">
        <v>46034</v>
      </c>
      <c r="C591">
        <v>2126</v>
      </c>
      <c r="D591" s="165" t="s">
        <v>2051</v>
      </c>
      <c r="E591" s="165" t="s">
        <v>2052</v>
      </c>
      <c r="F591" s="165" t="s">
        <v>258</v>
      </c>
      <c r="G591" s="165" t="s">
        <v>520</v>
      </c>
      <c r="H591" s="165" t="s">
        <v>2053</v>
      </c>
      <c r="I591" s="144">
        <v>47013</v>
      </c>
      <c r="J591">
        <v>979</v>
      </c>
      <c r="K591" s="165" t="s">
        <v>2019</v>
      </c>
      <c r="L591" s="165" t="s">
        <v>8</v>
      </c>
      <c r="M591" s="144">
        <v>47484</v>
      </c>
      <c r="N591" s="146">
        <v>400</v>
      </c>
      <c r="O591">
        <v>0</v>
      </c>
      <c r="P591">
        <v>400</v>
      </c>
      <c r="Q591" s="165" t="s">
        <v>225</v>
      </c>
      <c r="R591" s="165"/>
    </row>
    <row r="592" spans="1:19" x14ac:dyDescent="0.25">
      <c r="A592">
        <v>115</v>
      </c>
      <c r="B592" s="144">
        <v>46034</v>
      </c>
      <c r="C592">
        <v>12609</v>
      </c>
      <c r="D592" s="165" t="s">
        <v>2051</v>
      </c>
      <c r="E592" s="165" t="s">
        <v>141</v>
      </c>
      <c r="F592" s="165" t="s">
        <v>258</v>
      </c>
      <c r="G592" s="165" t="s">
        <v>2789</v>
      </c>
      <c r="H592" s="165" t="s">
        <v>2054</v>
      </c>
      <c r="I592" s="144">
        <v>46047</v>
      </c>
      <c r="J592">
        <v>13</v>
      </c>
      <c r="K592" s="165" t="s">
        <v>2019</v>
      </c>
      <c r="L592" s="165" t="s">
        <v>8</v>
      </c>
      <c r="M592" s="144">
        <v>46753</v>
      </c>
      <c r="N592" s="146">
        <v>2400</v>
      </c>
      <c r="O592">
        <v>0</v>
      </c>
      <c r="P592">
        <v>2400</v>
      </c>
      <c r="Q592" s="165" t="s">
        <v>225</v>
      </c>
      <c r="R592" s="165"/>
    </row>
    <row r="593" spans="1:19" x14ac:dyDescent="0.25">
      <c r="A593">
        <v>114</v>
      </c>
      <c r="B593" s="144">
        <v>46034</v>
      </c>
      <c r="C593">
        <v>12609</v>
      </c>
      <c r="D593" s="165" t="s">
        <v>2051</v>
      </c>
      <c r="E593" s="165" t="s">
        <v>141</v>
      </c>
      <c r="F593" s="165" t="s">
        <v>258</v>
      </c>
      <c r="G593" s="165" t="s">
        <v>1096</v>
      </c>
      <c r="H593" s="165" t="s">
        <v>2054</v>
      </c>
      <c r="I593" s="144">
        <v>46047</v>
      </c>
      <c r="J593">
        <v>13</v>
      </c>
      <c r="K593" s="165" t="s">
        <v>240</v>
      </c>
      <c r="L593" s="165" t="s">
        <v>8</v>
      </c>
      <c r="M593" s="144">
        <v>46753</v>
      </c>
      <c r="N593" s="146">
        <v>2400</v>
      </c>
      <c r="O593">
        <v>1000</v>
      </c>
      <c r="P593">
        <v>1400</v>
      </c>
      <c r="Q593" s="165" t="s">
        <v>225</v>
      </c>
      <c r="R593" s="165"/>
      <c r="S593" t="s">
        <v>241</v>
      </c>
    </row>
    <row r="594" spans="1:19" x14ac:dyDescent="0.25">
      <c r="A594">
        <v>113</v>
      </c>
      <c r="B594" s="144">
        <v>46034</v>
      </c>
      <c r="C594">
        <v>12623</v>
      </c>
      <c r="D594" s="165" t="s">
        <v>2055</v>
      </c>
      <c r="E594" s="165" t="s">
        <v>12</v>
      </c>
      <c r="F594" s="165" t="s">
        <v>258</v>
      </c>
      <c r="G594" s="165" t="s">
        <v>452</v>
      </c>
      <c r="H594" s="165" t="s">
        <v>2056</v>
      </c>
      <c r="I594" s="144">
        <v>46097</v>
      </c>
      <c r="J594">
        <v>63</v>
      </c>
      <c r="K594" s="165" t="s">
        <v>2019</v>
      </c>
      <c r="L594" s="165" t="s">
        <v>8</v>
      </c>
      <c r="M594" s="144">
        <v>46753</v>
      </c>
      <c r="N594" s="146">
        <v>800</v>
      </c>
      <c r="O594">
        <v>0</v>
      </c>
      <c r="P594">
        <v>800</v>
      </c>
      <c r="Q594" s="165" t="s">
        <v>225</v>
      </c>
      <c r="R594" s="165" t="s">
        <v>2057</v>
      </c>
    </row>
    <row r="595" spans="1:19" x14ac:dyDescent="0.25">
      <c r="A595">
        <v>112</v>
      </c>
      <c r="B595" s="144">
        <v>46034</v>
      </c>
      <c r="C595">
        <v>5126</v>
      </c>
      <c r="D595" s="165" t="s">
        <v>2058</v>
      </c>
      <c r="E595" s="165" t="s">
        <v>2059</v>
      </c>
      <c r="F595" s="165" t="s">
        <v>247</v>
      </c>
      <c r="G595" s="165" t="s">
        <v>576</v>
      </c>
      <c r="H595" s="165" t="s">
        <v>2060</v>
      </c>
      <c r="I595" s="144">
        <v>47085</v>
      </c>
      <c r="J595">
        <v>1051</v>
      </c>
      <c r="K595" s="165" t="s">
        <v>2016</v>
      </c>
      <c r="L595" s="165" t="s">
        <v>8</v>
      </c>
      <c r="M595" s="144">
        <v>46753</v>
      </c>
      <c r="N595" s="146">
        <v>4902</v>
      </c>
      <c r="O595">
        <v>0</v>
      </c>
      <c r="P595">
        <v>4902</v>
      </c>
      <c r="Q595" s="165" t="s">
        <v>225</v>
      </c>
      <c r="R595" s="165"/>
    </row>
    <row r="596" spans="1:19" x14ac:dyDescent="0.25">
      <c r="A596">
        <v>111</v>
      </c>
      <c r="B596" s="144">
        <v>46034</v>
      </c>
      <c r="C596">
        <v>5126</v>
      </c>
      <c r="D596" s="165" t="s">
        <v>2058</v>
      </c>
      <c r="E596" s="165" t="s">
        <v>2059</v>
      </c>
      <c r="F596" s="165" t="s">
        <v>247</v>
      </c>
      <c r="G596" s="165" t="s">
        <v>576</v>
      </c>
      <c r="H596" s="165" t="s">
        <v>2060</v>
      </c>
      <c r="I596" s="144">
        <v>47085</v>
      </c>
      <c r="J596">
        <v>1051</v>
      </c>
      <c r="K596" s="165" t="s">
        <v>2019</v>
      </c>
      <c r="L596" s="165" t="s">
        <v>8</v>
      </c>
      <c r="M596" s="144">
        <v>46753</v>
      </c>
      <c r="N596" s="146">
        <v>4902</v>
      </c>
      <c r="O596">
        <v>0</v>
      </c>
      <c r="P596">
        <v>4902</v>
      </c>
      <c r="Q596" s="165" t="s">
        <v>225</v>
      </c>
      <c r="R596" s="165" t="s">
        <v>2057</v>
      </c>
    </row>
    <row r="597" spans="1:19" x14ac:dyDescent="0.25">
      <c r="A597">
        <v>110</v>
      </c>
      <c r="B597" s="144">
        <v>46034</v>
      </c>
      <c r="C597">
        <v>4126</v>
      </c>
      <c r="D597" s="165" t="s">
        <v>2061</v>
      </c>
      <c r="E597" s="165" t="s">
        <v>201</v>
      </c>
      <c r="F597" s="165" t="s">
        <v>299</v>
      </c>
      <c r="G597" s="165" t="s">
        <v>1666</v>
      </c>
      <c r="H597" s="165" t="s">
        <v>2062</v>
      </c>
      <c r="I597" s="144">
        <v>46469</v>
      </c>
      <c r="J597">
        <v>435</v>
      </c>
      <c r="K597" s="165" t="s">
        <v>2019</v>
      </c>
      <c r="L597" s="165" t="s">
        <v>8</v>
      </c>
      <c r="M597" s="144">
        <v>46753</v>
      </c>
      <c r="N597" s="146">
        <v>1500</v>
      </c>
      <c r="O597">
        <v>0</v>
      </c>
      <c r="P597">
        <v>1500</v>
      </c>
      <c r="Q597" s="165" t="s">
        <v>225</v>
      </c>
      <c r="R597" s="165"/>
    </row>
    <row r="598" spans="1:19" x14ac:dyDescent="0.25">
      <c r="A598">
        <v>109</v>
      </c>
      <c r="B598" s="144">
        <v>46034</v>
      </c>
      <c r="C598">
        <v>4126</v>
      </c>
      <c r="D598" s="165" t="s">
        <v>2061</v>
      </c>
      <c r="E598" s="165" t="s">
        <v>201</v>
      </c>
      <c r="F598" s="165" t="s">
        <v>299</v>
      </c>
      <c r="G598" s="165" t="s">
        <v>1638</v>
      </c>
      <c r="H598" s="165" t="s">
        <v>2062</v>
      </c>
      <c r="I598" s="144">
        <v>46469</v>
      </c>
      <c r="J598">
        <v>435</v>
      </c>
      <c r="K598" s="165" t="s">
        <v>240</v>
      </c>
      <c r="L598" s="165" t="s">
        <v>8</v>
      </c>
      <c r="M598" s="144">
        <v>46753</v>
      </c>
      <c r="N598" s="146">
        <v>1500</v>
      </c>
      <c r="O598">
        <v>0</v>
      </c>
      <c r="P598">
        <v>1500</v>
      </c>
      <c r="Q598" s="165" t="s">
        <v>225</v>
      </c>
      <c r="R598" s="165"/>
      <c r="S598" t="s">
        <v>176</v>
      </c>
    </row>
    <row r="599" spans="1:19" x14ac:dyDescent="0.25">
      <c r="A599">
        <v>108</v>
      </c>
      <c r="B599" s="144">
        <v>46034</v>
      </c>
      <c r="C599">
        <v>3126</v>
      </c>
      <c r="D599" s="165" t="s">
        <v>2063</v>
      </c>
      <c r="E599" s="165" t="s">
        <v>2064</v>
      </c>
      <c r="F599" s="165" t="s">
        <v>258</v>
      </c>
      <c r="G599" s="165" t="s">
        <v>395</v>
      </c>
      <c r="H599" s="165" t="s">
        <v>2065</v>
      </c>
      <c r="I599" s="144">
        <v>47013</v>
      </c>
      <c r="J599">
        <v>979</v>
      </c>
      <c r="K599" s="165" t="s">
        <v>2019</v>
      </c>
      <c r="L599" s="165" t="s">
        <v>8</v>
      </c>
      <c r="M599" s="144">
        <v>47484</v>
      </c>
      <c r="N599" s="146">
        <v>700</v>
      </c>
      <c r="O599">
        <v>0</v>
      </c>
      <c r="P599">
        <v>700</v>
      </c>
      <c r="Q599" s="165" t="s">
        <v>225</v>
      </c>
      <c r="R599" s="165"/>
    </row>
    <row r="600" spans="1:19" x14ac:dyDescent="0.25">
      <c r="A600">
        <v>107</v>
      </c>
      <c r="B600" s="144">
        <v>46034</v>
      </c>
      <c r="C600">
        <v>3126</v>
      </c>
      <c r="D600" s="165" t="s">
        <v>2063</v>
      </c>
      <c r="E600" s="165" t="s">
        <v>2064</v>
      </c>
      <c r="F600" s="165" t="s">
        <v>258</v>
      </c>
      <c r="G600" s="165" t="s">
        <v>2795</v>
      </c>
      <c r="H600" s="165" t="s">
        <v>2065</v>
      </c>
      <c r="I600" s="144">
        <v>47013</v>
      </c>
      <c r="J600">
        <v>979</v>
      </c>
      <c r="K600" s="165" t="s">
        <v>240</v>
      </c>
      <c r="L600" s="165" t="s">
        <v>8</v>
      </c>
      <c r="M600" s="144">
        <v>47484</v>
      </c>
      <c r="N600" s="146">
        <v>700</v>
      </c>
      <c r="O600">
        <v>0</v>
      </c>
      <c r="P600">
        <v>700</v>
      </c>
      <c r="Q600" s="165" t="s">
        <v>225</v>
      </c>
      <c r="R600" s="165"/>
      <c r="S600" t="s">
        <v>176</v>
      </c>
    </row>
    <row r="601" spans="1:19" x14ac:dyDescent="0.25">
      <c r="A601">
        <v>106</v>
      </c>
      <c r="B601" s="144">
        <v>46034</v>
      </c>
      <c r="C601">
        <v>12624</v>
      </c>
      <c r="D601" s="165" t="s">
        <v>2066</v>
      </c>
      <c r="E601" s="165" t="s">
        <v>12</v>
      </c>
      <c r="F601" s="165" t="s">
        <v>255</v>
      </c>
      <c r="G601" s="165" t="s">
        <v>2791</v>
      </c>
      <c r="H601" s="165" t="s">
        <v>2067</v>
      </c>
      <c r="I601" s="144">
        <v>45872</v>
      </c>
      <c r="J601">
        <v>-162</v>
      </c>
      <c r="K601" s="165" t="s">
        <v>2019</v>
      </c>
      <c r="L601" s="165" t="s">
        <v>8</v>
      </c>
      <c r="M601" s="144">
        <v>46753</v>
      </c>
      <c r="N601" s="146">
        <v>1667</v>
      </c>
      <c r="O601">
        <v>0</v>
      </c>
      <c r="P601">
        <v>1667</v>
      </c>
      <c r="Q601" s="165" t="s">
        <v>225</v>
      </c>
      <c r="R601" s="165"/>
    </row>
    <row r="602" spans="1:19" x14ac:dyDescent="0.25">
      <c r="A602">
        <v>105</v>
      </c>
      <c r="B602" s="144">
        <v>46034</v>
      </c>
      <c r="C602">
        <v>12624</v>
      </c>
      <c r="D602" s="165" t="s">
        <v>2066</v>
      </c>
      <c r="E602" s="165" t="s">
        <v>12</v>
      </c>
      <c r="F602" s="165" t="s">
        <v>255</v>
      </c>
      <c r="G602" s="165" t="s">
        <v>1345</v>
      </c>
      <c r="H602" s="165" t="s">
        <v>2067</v>
      </c>
      <c r="I602" s="144">
        <v>45872</v>
      </c>
      <c r="J602">
        <v>-162</v>
      </c>
      <c r="K602" s="165" t="s">
        <v>240</v>
      </c>
      <c r="L602" s="165" t="s">
        <v>8</v>
      </c>
      <c r="M602" s="144">
        <v>46753</v>
      </c>
      <c r="N602" s="146">
        <v>1667</v>
      </c>
      <c r="O602">
        <v>0</v>
      </c>
      <c r="P602">
        <v>1667</v>
      </c>
      <c r="Q602" s="165" t="s">
        <v>225</v>
      </c>
      <c r="R602" s="165"/>
      <c r="S602" t="s">
        <v>263</v>
      </c>
    </row>
    <row r="603" spans="1:19" x14ac:dyDescent="0.25">
      <c r="A603">
        <v>104</v>
      </c>
      <c r="B603" s="144">
        <v>46034</v>
      </c>
      <c r="C603">
        <v>12619</v>
      </c>
      <c r="D603" s="165" t="s">
        <v>2068</v>
      </c>
      <c r="E603" s="165" t="s">
        <v>12</v>
      </c>
      <c r="F603" s="165" t="s">
        <v>255</v>
      </c>
      <c r="G603" s="165" t="s">
        <v>568</v>
      </c>
      <c r="H603" s="165" t="s">
        <v>2069</v>
      </c>
      <c r="I603" s="144">
        <v>46625</v>
      </c>
      <c r="J603">
        <v>591</v>
      </c>
      <c r="K603" s="165" t="s">
        <v>2019</v>
      </c>
      <c r="L603" s="165" t="s">
        <v>8</v>
      </c>
      <c r="M603" s="144">
        <v>47484</v>
      </c>
      <c r="N603" s="146">
        <v>3000</v>
      </c>
      <c r="O603">
        <v>0</v>
      </c>
      <c r="P603">
        <v>3000</v>
      </c>
      <c r="Q603" s="165" t="s">
        <v>225</v>
      </c>
      <c r="R603" s="165"/>
    </row>
    <row r="604" spans="1:19" x14ac:dyDescent="0.25">
      <c r="A604">
        <v>103</v>
      </c>
      <c r="B604" s="144">
        <v>46034</v>
      </c>
      <c r="C604">
        <v>12619</v>
      </c>
      <c r="D604" s="165" t="s">
        <v>2068</v>
      </c>
      <c r="E604" s="165" t="s">
        <v>12</v>
      </c>
      <c r="F604" s="165" t="s">
        <v>255</v>
      </c>
      <c r="G604" s="165" t="s">
        <v>1168</v>
      </c>
      <c r="H604" s="165" t="s">
        <v>2069</v>
      </c>
      <c r="I604" s="144">
        <v>46625</v>
      </c>
      <c r="J604">
        <v>591</v>
      </c>
      <c r="K604" s="165" t="s">
        <v>240</v>
      </c>
      <c r="L604" s="165" t="s">
        <v>8</v>
      </c>
      <c r="M604" s="144">
        <v>47484</v>
      </c>
      <c r="N604" s="146">
        <v>3000</v>
      </c>
      <c r="O604">
        <v>1200</v>
      </c>
      <c r="P604">
        <v>1800</v>
      </c>
      <c r="Q604" s="165" t="s">
        <v>225</v>
      </c>
      <c r="R604" s="165"/>
      <c r="S604" t="s">
        <v>263</v>
      </c>
    </row>
    <row r="605" spans="1:19" x14ac:dyDescent="0.25">
      <c r="A605">
        <v>102</v>
      </c>
      <c r="B605" s="144">
        <v>46034</v>
      </c>
      <c r="C605">
        <v>12618</v>
      </c>
      <c r="D605" s="165" t="s">
        <v>2070</v>
      </c>
      <c r="E605" s="165" t="s">
        <v>12</v>
      </c>
      <c r="F605" s="165" t="s">
        <v>258</v>
      </c>
      <c r="G605" s="165" t="s">
        <v>687</v>
      </c>
      <c r="H605" s="165" t="s">
        <v>2071</v>
      </c>
      <c r="I605" s="144">
        <v>47643</v>
      </c>
      <c r="J605">
        <v>1609</v>
      </c>
      <c r="K605" s="165" t="s">
        <v>2019</v>
      </c>
      <c r="L605" s="165" t="s">
        <v>8</v>
      </c>
      <c r="M605" s="144">
        <v>46753</v>
      </c>
      <c r="N605" s="146">
        <v>2500</v>
      </c>
      <c r="O605">
        <v>0</v>
      </c>
      <c r="P605">
        <v>2500</v>
      </c>
      <c r="Q605" s="165" t="s">
        <v>225</v>
      </c>
      <c r="R605" s="165" t="s">
        <v>2027</v>
      </c>
    </row>
    <row r="606" spans="1:19" x14ac:dyDescent="0.25">
      <c r="A606">
        <v>101</v>
      </c>
      <c r="B606" s="144">
        <v>46034</v>
      </c>
      <c r="C606">
        <v>12608</v>
      </c>
      <c r="D606" s="165" t="s">
        <v>2072</v>
      </c>
      <c r="E606" s="165" t="s">
        <v>11</v>
      </c>
      <c r="F606" s="165" t="s">
        <v>258</v>
      </c>
      <c r="G606" s="165" t="s">
        <v>448</v>
      </c>
      <c r="H606" s="165" t="s">
        <v>2073</v>
      </c>
      <c r="I606" s="144">
        <v>45928</v>
      </c>
      <c r="J606">
        <v>-106</v>
      </c>
      <c r="K606" s="165" t="s">
        <v>2019</v>
      </c>
      <c r="L606" s="165" t="s">
        <v>8</v>
      </c>
      <c r="M606" s="144">
        <v>46753</v>
      </c>
      <c r="N606" s="146">
        <v>1500</v>
      </c>
      <c r="O606">
        <v>0</v>
      </c>
      <c r="P606">
        <v>1500</v>
      </c>
      <c r="Q606" s="165" t="s">
        <v>225</v>
      </c>
      <c r="R606" s="165"/>
    </row>
    <row r="607" spans="1:19" x14ac:dyDescent="0.25">
      <c r="A607">
        <v>100</v>
      </c>
      <c r="B607" s="144">
        <v>46034</v>
      </c>
      <c r="C607">
        <v>12608</v>
      </c>
      <c r="D607" s="165" t="s">
        <v>2072</v>
      </c>
      <c r="E607" s="165" t="s">
        <v>11</v>
      </c>
      <c r="F607" s="165" t="s">
        <v>258</v>
      </c>
      <c r="G607" s="165" t="s">
        <v>943</v>
      </c>
      <c r="H607" s="165" t="s">
        <v>2073</v>
      </c>
      <c r="I607" s="144">
        <v>45928</v>
      </c>
      <c r="J607">
        <v>-106</v>
      </c>
      <c r="K607" s="165" t="s">
        <v>240</v>
      </c>
      <c r="L607" s="165" t="s">
        <v>8</v>
      </c>
      <c r="M607" s="144">
        <v>46753</v>
      </c>
      <c r="N607" s="146">
        <v>1500</v>
      </c>
      <c r="O607">
        <v>500</v>
      </c>
      <c r="P607">
        <v>1000</v>
      </c>
      <c r="Q607" s="165" t="s">
        <v>225</v>
      </c>
      <c r="R607" s="165"/>
      <c r="S607" t="s">
        <v>241</v>
      </c>
    </row>
    <row r="608" spans="1:19" x14ac:dyDescent="0.25">
      <c r="A608">
        <v>99</v>
      </c>
      <c r="B608" s="144">
        <v>46034</v>
      </c>
      <c r="C608">
        <v>12607</v>
      </c>
      <c r="D608" s="165" t="s">
        <v>2074</v>
      </c>
      <c r="E608" s="165" t="s">
        <v>11</v>
      </c>
      <c r="F608" s="165" t="s">
        <v>258</v>
      </c>
      <c r="G608" s="165" t="s">
        <v>733</v>
      </c>
      <c r="H608" s="165" t="s">
        <v>2075</v>
      </c>
      <c r="I608" s="144">
        <v>45908</v>
      </c>
      <c r="J608">
        <v>-126</v>
      </c>
      <c r="K608" s="165" t="s">
        <v>2019</v>
      </c>
      <c r="L608" s="165" t="s">
        <v>8</v>
      </c>
      <c r="M608" s="144">
        <v>47484</v>
      </c>
      <c r="N608" s="146">
        <v>750</v>
      </c>
      <c r="O608">
        <v>0</v>
      </c>
      <c r="P608">
        <v>750</v>
      </c>
      <c r="Q608" s="165" t="s">
        <v>225</v>
      </c>
      <c r="R608" s="165" t="s">
        <v>2427</v>
      </c>
    </row>
    <row r="609" spans="1:19" x14ac:dyDescent="0.25">
      <c r="A609">
        <v>98</v>
      </c>
      <c r="B609" s="144">
        <v>46034</v>
      </c>
      <c r="C609">
        <v>12607</v>
      </c>
      <c r="D609" s="165" t="s">
        <v>2074</v>
      </c>
      <c r="E609" s="165" t="s">
        <v>11</v>
      </c>
      <c r="F609" s="165" t="s">
        <v>258</v>
      </c>
      <c r="G609" s="165" t="s">
        <v>1486</v>
      </c>
      <c r="H609" s="165" t="s">
        <v>2075</v>
      </c>
      <c r="I609" s="144">
        <v>45908</v>
      </c>
      <c r="J609">
        <v>-126</v>
      </c>
      <c r="K609" s="165" t="s">
        <v>240</v>
      </c>
      <c r="L609" s="165" t="s">
        <v>8</v>
      </c>
      <c r="M609" s="144">
        <v>47484</v>
      </c>
      <c r="N609" s="146">
        <v>750</v>
      </c>
      <c r="O609">
        <v>600</v>
      </c>
      <c r="P609">
        <v>150</v>
      </c>
      <c r="Q609" s="165" t="s">
        <v>225</v>
      </c>
      <c r="R609" s="165"/>
      <c r="S609" t="s">
        <v>241</v>
      </c>
    </row>
    <row r="610" spans="1:19" x14ac:dyDescent="0.25">
      <c r="A610">
        <v>97</v>
      </c>
      <c r="B610" s="144">
        <v>46034</v>
      </c>
      <c r="C610">
        <v>12606</v>
      </c>
      <c r="D610" s="165" t="s">
        <v>2076</v>
      </c>
      <c r="E610" s="165" t="s">
        <v>11</v>
      </c>
      <c r="F610" s="165" t="s">
        <v>258</v>
      </c>
      <c r="G610" s="165" t="s">
        <v>733</v>
      </c>
      <c r="H610" s="165" t="s">
        <v>2077</v>
      </c>
      <c r="I610" s="144">
        <v>47815</v>
      </c>
      <c r="J610">
        <v>1781</v>
      </c>
      <c r="K610" s="165" t="s">
        <v>2019</v>
      </c>
      <c r="L610" s="165" t="s">
        <v>8</v>
      </c>
      <c r="M610" s="144">
        <v>47484</v>
      </c>
      <c r="N610" s="146">
        <v>5000</v>
      </c>
      <c r="O610">
        <v>0</v>
      </c>
      <c r="P610">
        <v>5000</v>
      </c>
      <c r="Q610" s="165" t="s">
        <v>225</v>
      </c>
      <c r="R610" s="165"/>
    </row>
    <row r="611" spans="1:19" x14ac:dyDescent="0.25">
      <c r="A611">
        <v>96</v>
      </c>
      <c r="B611" s="144">
        <v>46034</v>
      </c>
      <c r="C611">
        <v>12606</v>
      </c>
      <c r="D611" s="165" t="s">
        <v>2076</v>
      </c>
      <c r="E611" s="165" t="s">
        <v>11</v>
      </c>
      <c r="F611" s="165" t="s">
        <v>258</v>
      </c>
      <c r="G611" s="165" t="s">
        <v>1480</v>
      </c>
      <c r="H611" s="165" t="s">
        <v>2077</v>
      </c>
      <c r="I611" s="144">
        <v>47815</v>
      </c>
      <c r="J611">
        <v>1781</v>
      </c>
      <c r="K611" s="165" t="s">
        <v>240</v>
      </c>
      <c r="L611" s="165" t="s">
        <v>8</v>
      </c>
      <c r="M611" s="144">
        <v>47484</v>
      </c>
      <c r="N611" s="146">
        <v>5000</v>
      </c>
      <c r="O611">
        <v>0</v>
      </c>
      <c r="P611">
        <v>5000</v>
      </c>
      <c r="Q611" s="165" t="s">
        <v>225</v>
      </c>
      <c r="R611" s="165"/>
      <c r="S611" t="s">
        <v>241</v>
      </c>
    </row>
    <row r="612" spans="1:19" x14ac:dyDescent="0.25">
      <c r="A612">
        <v>95</v>
      </c>
      <c r="B612" s="144">
        <v>46034</v>
      </c>
      <c r="C612">
        <v>12605</v>
      </c>
      <c r="D612" s="165" t="s">
        <v>2078</v>
      </c>
      <c r="E612" s="165" t="s">
        <v>11</v>
      </c>
      <c r="F612" s="165" t="s">
        <v>258</v>
      </c>
      <c r="G612" s="165" t="s">
        <v>612</v>
      </c>
      <c r="H612" s="165" t="s">
        <v>2079</v>
      </c>
      <c r="I612" s="144">
        <v>46145</v>
      </c>
      <c r="J612">
        <v>111</v>
      </c>
      <c r="K612" s="165" t="s">
        <v>2019</v>
      </c>
      <c r="L612" s="165" t="s">
        <v>8</v>
      </c>
      <c r="M612" s="144">
        <v>46753</v>
      </c>
      <c r="N612" s="146">
        <v>5000</v>
      </c>
      <c r="O612">
        <v>0</v>
      </c>
      <c r="P612">
        <v>5000</v>
      </c>
      <c r="Q612" s="165" t="s">
        <v>225</v>
      </c>
      <c r="R612" s="165"/>
    </row>
    <row r="613" spans="1:19" x14ac:dyDescent="0.25">
      <c r="A613">
        <v>94</v>
      </c>
      <c r="B613" s="144">
        <v>46034</v>
      </c>
      <c r="C613">
        <v>12605</v>
      </c>
      <c r="D613" s="165" t="s">
        <v>2078</v>
      </c>
      <c r="E613" s="165" t="s">
        <v>11</v>
      </c>
      <c r="F613" s="165" t="s">
        <v>258</v>
      </c>
      <c r="G613" s="165" t="s">
        <v>1232</v>
      </c>
      <c r="H613" s="165" t="s">
        <v>2079</v>
      </c>
      <c r="I613" s="144">
        <v>46145</v>
      </c>
      <c r="J613">
        <v>111</v>
      </c>
      <c r="K613" s="165" t="s">
        <v>240</v>
      </c>
      <c r="L613" s="165" t="s">
        <v>8</v>
      </c>
      <c r="M613" s="144">
        <v>46753</v>
      </c>
      <c r="N613" s="146">
        <v>5000</v>
      </c>
      <c r="O613">
        <v>1000</v>
      </c>
      <c r="P613">
        <v>4000</v>
      </c>
      <c r="Q613" s="165" t="s">
        <v>225</v>
      </c>
      <c r="R613" s="165"/>
      <c r="S613" t="s">
        <v>241</v>
      </c>
    </row>
    <row r="614" spans="1:19" x14ac:dyDescent="0.25">
      <c r="A614">
        <v>93</v>
      </c>
      <c r="B614" s="144">
        <v>46034</v>
      </c>
      <c r="C614">
        <v>12604</v>
      </c>
      <c r="D614" s="165" t="s">
        <v>2080</v>
      </c>
      <c r="E614" s="165" t="s">
        <v>11</v>
      </c>
      <c r="F614" s="165" t="s">
        <v>258</v>
      </c>
      <c r="G614" s="165" t="s">
        <v>516</v>
      </c>
      <c r="H614" s="165" t="s">
        <v>2081</v>
      </c>
      <c r="I614" s="144">
        <v>47071</v>
      </c>
      <c r="J614">
        <v>1037</v>
      </c>
      <c r="K614" s="165" t="s">
        <v>2019</v>
      </c>
      <c r="L614" s="165" t="s">
        <v>8</v>
      </c>
      <c r="M614" s="144">
        <v>46753</v>
      </c>
      <c r="N614" s="146">
        <v>2600</v>
      </c>
      <c r="O614">
        <v>0</v>
      </c>
      <c r="P614">
        <v>2600</v>
      </c>
      <c r="Q614" s="165" t="s">
        <v>225</v>
      </c>
      <c r="R614" s="165" t="s">
        <v>2027</v>
      </c>
    </row>
    <row r="615" spans="1:19" x14ac:dyDescent="0.25">
      <c r="A615">
        <v>92</v>
      </c>
      <c r="B615" s="144">
        <v>46031</v>
      </c>
      <c r="C615">
        <v>12631</v>
      </c>
      <c r="D615" s="165" t="s">
        <v>2082</v>
      </c>
      <c r="E615" s="165" t="s">
        <v>168</v>
      </c>
      <c r="F615" s="165" t="s">
        <v>2083</v>
      </c>
      <c r="G615" s="165" t="s">
        <v>1436</v>
      </c>
      <c r="H615" s="165" t="s">
        <v>2084</v>
      </c>
      <c r="I615" s="144">
        <v>46608</v>
      </c>
      <c r="J615">
        <v>577</v>
      </c>
      <c r="K615" s="165" t="s">
        <v>262</v>
      </c>
      <c r="L615" s="165" t="s">
        <v>2085</v>
      </c>
      <c r="M615" s="144">
        <v>0</v>
      </c>
      <c r="N615" s="146">
        <v>40000</v>
      </c>
      <c r="O615">
        <v>1200</v>
      </c>
      <c r="P615">
        <v>38800</v>
      </c>
      <c r="Q615" s="165" t="s">
        <v>225</v>
      </c>
      <c r="R615" s="165"/>
      <c r="S615" t="s">
        <v>263</v>
      </c>
    </row>
    <row r="616" spans="1:19" x14ac:dyDescent="0.25">
      <c r="A616">
        <v>91</v>
      </c>
      <c r="B616" s="144">
        <v>46031</v>
      </c>
      <c r="C616">
        <v>12631</v>
      </c>
      <c r="D616" s="165" t="s">
        <v>2082</v>
      </c>
      <c r="E616" s="165" t="s">
        <v>168</v>
      </c>
      <c r="F616" s="165" t="s">
        <v>2083</v>
      </c>
      <c r="G616" s="165" t="s">
        <v>1728</v>
      </c>
      <c r="H616" s="165" t="s">
        <v>2084</v>
      </c>
      <c r="I616" s="144">
        <v>46608</v>
      </c>
      <c r="J616">
        <v>577</v>
      </c>
      <c r="K616" s="165" t="s">
        <v>240</v>
      </c>
      <c r="L616" s="165" t="s">
        <v>2085</v>
      </c>
      <c r="M616" s="144">
        <v>0</v>
      </c>
      <c r="N616" s="146">
        <v>4000</v>
      </c>
      <c r="O616">
        <v>800</v>
      </c>
      <c r="P616">
        <v>3200</v>
      </c>
      <c r="Q616" s="165" t="s">
        <v>225</v>
      </c>
      <c r="R616" s="165"/>
      <c r="S616" t="s">
        <v>263</v>
      </c>
    </row>
    <row r="617" spans="1:19" x14ac:dyDescent="0.25">
      <c r="A617">
        <v>90</v>
      </c>
      <c r="B617" s="144">
        <v>46031</v>
      </c>
      <c r="C617">
        <v>12656</v>
      </c>
      <c r="D617" s="165" t="s">
        <v>2086</v>
      </c>
      <c r="E617" s="165" t="s">
        <v>13</v>
      </c>
      <c r="F617" s="165" t="s">
        <v>2087</v>
      </c>
      <c r="G617" s="165" t="s">
        <v>1739</v>
      </c>
      <c r="H617" s="165" t="s">
        <v>2088</v>
      </c>
      <c r="I617" s="144">
        <v>46969</v>
      </c>
      <c r="J617">
        <v>938</v>
      </c>
      <c r="K617" s="165" t="s">
        <v>2019</v>
      </c>
      <c r="L617" s="165" t="s">
        <v>8</v>
      </c>
      <c r="M617" s="144">
        <v>46753</v>
      </c>
      <c r="N617" s="146">
        <v>8000</v>
      </c>
      <c r="O617">
        <v>0</v>
      </c>
      <c r="P617">
        <v>8000</v>
      </c>
      <c r="Q617" s="165" t="s">
        <v>225</v>
      </c>
      <c r="R617" s="165" t="s">
        <v>2027</v>
      </c>
    </row>
    <row r="618" spans="1:19" x14ac:dyDescent="0.25">
      <c r="A618">
        <v>89</v>
      </c>
      <c r="B618" s="144">
        <v>46031</v>
      </c>
      <c r="C618">
        <v>12687</v>
      </c>
      <c r="D618" s="165" t="s">
        <v>2089</v>
      </c>
      <c r="E618" s="165" t="s">
        <v>15</v>
      </c>
      <c r="F618" s="165" t="s">
        <v>267</v>
      </c>
      <c r="G618" s="165" t="s">
        <v>576</v>
      </c>
      <c r="H618" s="165" t="s">
        <v>2090</v>
      </c>
      <c r="I618" s="144">
        <v>47513</v>
      </c>
      <c r="J618">
        <v>1482</v>
      </c>
      <c r="K618" s="165" t="s">
        <v>2016</v>
      </c>
      <c r="L618" s="165" t="s">
        <v>8</v>
      </c>
      <c r="M618" s="144">
        <v>47119</v>
      </c>
      <c r="N618" s="146">
        <v>4902</v>
      </c>
      <c r="O618">
        <v>0</v>
      </c>
      <c r="P618">
        <v>4902</v>
      </c>
      <c r="Q618" s="165" t="s">
        <v>225</v>
      </c>
      <c r="R618" s="165"/>
    </row>
    <row r="619" spans="1:19" x14ac:dyDescent="0.25">
      <c r="A619">
        <v>88</v>
      </c>
      <c r="B619" s="144">
        <v>46031</v>
      </c>
      <c r="C619">
        <v>12687</v>
      </c>
      <c r="D619" s="165" t="s">
        <v>2089</v>
      </c>
      <c r="E619" s="165" t="s">
        <v>15</v>
      </c>
      <c r="F619" s="165" t="s">
        <v>267</v>
      </c>
      <c r="G619" s="165" t="s">
        <v>460</v>
      </c>
      <c r="H619" s="165" t="s">
        <v>2090</v>
      </c>
      <c r="I619" s="144">
        <v>47513</v>
      </c>
      <c r="J619">
        <v>1482</v>
      </c>
      <c r="K619" s="165" t="s">
        <v>2019</v>
      </c>
      <c r="L619" s="165" t="s">
        <v>8</v>
      </c>
      <c r="M619" s="144">
        <v>47119</v>
      </c>
      <c r="N619" s="146">
        <v>4902</v>
      </c>
      <c r="O619">
        <v>0</v>
      </c>
      <c r="P619">
        <v>4902</v>
      </c>
      <c r="Q619" s="165" t="s">
        <v>225</v>
      </c>
      <c r="R619" s="165" t="s">
        <v>2027</v>
      </c>
    </row>
    <row r="620" spans="1:19" x14ac:dyDescent="0.25">
      <c r="A620">
        <v>87</v>
      </c>
      <c r="B620" s="144">
        <v>46031</v>
      </c>
      <c r="C620">
        <v>12689</v>
      </c>
      <c r="D620" s="165" t="s">
        <v>2091</v>
      </c>
      <c r="E620" s="165" t="s">
        <v>15</v>
      </c>
      <c r="F620" s="165" t="s">
        <v>299</v>
      </c>
      <c r="G620" s="165" t="s">
        <v>576</v>
      </c>
      <c r="H620" s="165" t="s">
        <v>2092</v>
      </c>
      <c r="I620" s="144">
        <v>47232</v>
      </c>
      <c r="J620">
        <v>1201</v>
      </c>
      <c r="K620" s="165" t="s">
        <v>2016</v>
      </c>
      <c r="L620" s="165" t="s">
        <v>8</v>
      </c>
      <c r="M620" s="144">
        <v>47119</v>
      </c>
      <c r="N620" s="146">
        <v>4839</v>
      </c>
      <c r="O620">
        <v>0</v>
      </c>
      <c r="P620">
        <v>4839</v>
      </c>
      <c r="Q620" s="165" t="s">
        <v>225</v>
      </c>
      <c r="R620" s="165"/>
    </row>
    <row r="621" spans="1:19" x14ac:dyDescent="0.25">
      <c r="A621">
        <v>86</v>
      </c>
      <c r="B621" s="144">
        <v>46031</v>
      </c>
      <c r="C621">
        <v>12689</v>
      </c>
      <c r="D621" s="165" t="s">
        <v>2091</v>
      </c>
      <c r="E621" s="165" t="s">
        <v>15</v>
      </c>
      <c r="F621" s="165" t="s">
        <v>299</v>
      </c>
      <c r="G621" s="165" t="s">
        <v>562</v>
      </c>
      <c r="H621" s="165" t="s">
        <v>2092</v>
      </c>
      <c r="I621" s="144">
        <v>47232</v>
      </c>
      <c r="J621">
        <v>1201</v>
      </c>
      <c r="K621" s="165" t="s">
        <v>2019</v>
      </c>
      <c r="L621" s="165" t="s">
        <v>8</v>
      </c>
      <c r="M621" s="144">
        <v>47119</v>
      </c>
      <c r="N621" s="146">
        <v>4839</v>
      </c>
      <c r="O621">
        <v>0</v>
      </c>
      <c r="P621">
        <v>4839</v>
      </c>
      <c r="Q621" s="165" t="s">
        <v>225</v>
      </c>
      <c r="R621" s="165" t="s">
        <v>2027</v>
      </c>
    </row>
    <row r="622" spans="1:19" x14ac:dyDescent="0.25">
      <c r="A622">
        <v>85</v>
      </c>
      <c r="B622" s="144">
        <v>46031</v>
      </c>
      <c r="C622">
        <v>12661</v>
      </c>
      <c r="D622" s="165" t="s">
        <v>2093</v>
      </c>
      <c r="E622" s="165" t="s">
        <v>181</v>
      </c>
      <c r="F622" s="165" t="s">
        <v>2094</v>
      </c>
      <c r="G622" s="165" t="s">
        <v>628</v>
      </c>
      <c r="H622" s="165" t="s">
        <v>2095</v>
      </c>
      <c r="I622" s="144">
        <v>47294</v>
      </c>
      <c r="J622">
        <v>1263</v>
      </c>
      <c r="K622" s="165" t="s">
        <v>2019</v>
      </c>
      <c r="L622" s="165" t="s">
        <v>8</v>
      </c>
      <c r="M622" s="144">
        <v>46753</v>
      </c>
      <c r="N622" s="146">
        <v>4959</v>
      </c>
      <c r="O622">
        <v>0</v>
      </c>
      <c r="P622">
        <v>4959</v>
      </c>
      <c r="Q622" s="165" t="s">
        <v>225</v>
      </c>
      <c r="R622" s="165" t="s">
        <v>2027</v>
      </c>
    </row>
    <row r="623" spans="1:19" x14ac:dyDescent="0.25">
      <c r="A623">
        <v>84</v>
      </c>
      <c r="B623" s="144">
        <v>46031</v>
      </c>
      <c r="C623">
        <v>12633</v>
      </c>
      <c r="D623" s="165" t="s">
        <v>295</v>
      </c>
      <c r="E623" s="165" t="s">
        <v>106</v>
      </c>
      <c r="F623" s="165" t="s">
        <v>2096</v>
      </c>
      <c r="G623" s="165" t="s">
        <v>632</v>
      </c>
      <c r="H623" s="165" t="s">
        <v>297</v>
      </c>
      <c r="I623" s="144">
        <v>46063</v>
      </c>
      <c r="J623">
        <v>32</v>
      </c>
      <c r="K623" s="165" t="s">
        <v>2019</v>
      </c>
      <c r="L623" s="165" t="s">
        <v>8</v>
      </c>
      <c r="M623" s="144">
        <v>46753</v>
      </c>
      <c r="N623" s="146">
        <v>1000</v>
      </c>
      <c r="O623">
        <v>0</v>
      </c>
      <c r="P623">
        <v>1000</v>
      </c>
      <c r="Q623" s="165" t="s">
        <v>225</v>
      </c>
      <c r="R623" s="165"/>
    </row>
    <row r="624" spans="1:19" x14ac:dyDescent="0.25">
      <c r="A624">
        <v>83</v>
      </c>
      <c r="B624" s="144">
        <v>46031</v>
      </c>
      <c r="C624">
        <v>12633</v>
      </c>
      <c r="D624" s="165" t="s">
        <v>295</v>
      </c>
      <c r="E624" s="165" t="s">
        <v>106</v>
      </c>
      <c r="F624" s="165" t="s">
        <v>2096</v>
      </c>
      <c r="G624" s="165" t="s">
        <v>1268</v>
      </c>
      <c r="H624" s="165" t="s">
        <v>297</v>
      </c>
      <c r="I624" s="144">
        <v>46063</v>
      </c>
      <c r="J624">
        <v>32</v>
      </c>
      <c r="K624" s="165" t="s">
        <v>240</v>
      </c>
      <c r="L624" s="165" t="s">
        <v>8</v>
      </c>
      <c r="M624" s="144">
        <v>46753</v>
      </c>
      <c r="N624" s="146">
        <v>1000</v>
      </c>
      <c r="O624">
        <v>0</v>
      </c>
      <c r="P624">
        <v>1000</v>
      </c>
      <c r="Q624" s="165" t="s">
        <v>225</v>
      </c>
      <c r="R624" s="165"/>
      <c r="S624" t="s">
        <v>251</v>
      </c>
    </row>
    <row r="625" spans="1:19" x14ac:dyDescent="0.25">
      <c r="A625">
        <v>82</v>
      </c>
      <c r="B625" s="144">
        <v>46031</v>
      </c>
      <c r="C625">
        <v>12635</v>
      </c>
      <c r="D625" s="165" t="s">
        <v>2097</v>
      </c>
      <c r="E625" s="165" t="s">
        <v>106</v>
      </c>
      <c r="F625" s="165" t="s">
        <v>2096</v>
      </c>
      <c r="G625" s="165" t="s">
        <v>5326</v>
      </c>
      <c r="H625" s="165" t="s">
        <v>2098</v>
      </c>
      <c r="I625" s="144">
        <v>46896</v>
      </c>
      <c r="J625">
        <v>865</v>
      </c>
      <c r="K625" s="165" t="s">
        <v>2019</v>
      </c>
      <c r="L625" s="165" t="s">
        <v>8</v>
      </c>
      <c r="M625" s="144">
        <v>46753</v>
      </c>
      <c r="N625" s="146">
        <v>1500</v>
      </c>
      <c r="O625">
        <v>0</v>
      </c>
      <c r="P625">
        <v>1500</v>
      </c>
      <c r="Q625" s="165" t="s">
        <v>225</v>
      </c>
      <c r="R625" s="165" t="s">
        <v>2027</v>
      </c>
    </row>
    <row r="626" spans="1:19" x14ac:dyDescent="0.25">
      <c r="A626">
        <v>81</v>
      </c>
      <c r="B626" s="144">
        <v>46031</v>
      </c>
      <c r="C626">
        <v>12634</v>
      </c>
      <c r="D626" s="165" t="s">
        <v>2097</v>
      </c>
      <c r="E626" s="165" t="s">
        <v>106</v>
      </c>
      <c r="F626" s="165" t="s">
        <v>2099</v>
      </c>
      <c r="G626" s="165" t="s">
        <v>578</v>
      </c>
      <c r="H626" s="165" t="s">
        <v>2098</v>
      </c>
      <c r="I626" s="144">
        <v>46896</v>
      </c>
      <c r="J626">
        <v>865</v>
      </c>
      <c r="K626" s="165" t="s">
        <v>2019</v>
      </c>
      <c r="L626" s="165" t="s">
        <v>102</v>
      </c>
      <c r="M626" s="144">
        <v>46753</v>
      </c>
      <c r="N626" s="146">
        <v>8500</v>
      </c>
      <c r="O626">
        <v>0</v>
      </c>
      <c r="P626">
        <v>8500</v>
      </c>
      <c r="Q626" s="165" t="s">
        <v>225</v>
      </c>
      <c r="R626" s="165"/>
    </row>
    <row r="627" spans="1:19" x14ac:dyDescent="0.25">
      <c r="A627">
        <v>80</v>
      </c>
      <c r="B627" s="144">
        <v>46031</v>
      </c>
      <c r="C627">
        <v>12634</v>
      </c>
      <c r="D627" s="165" t="s">
        <v>2097</v>
      </c>
      <c r="E627" s="165" t="s">
        <v>106</v>
      </c>
      <c r="F627" s="165" t="s">
        <v>2099</v>
      </c>
      <c r="G627" s="165" t="s">
        <v>1751</v>
      </c>
      <c r="H627" s="165" t="s">
        <v>2098</v>
      </c>
      <c r="I627" s="144">
        <v>46896</v>
      </c>
      <c r="J627">
        <v>865</v>
      </c>
      <c r="K627" s="165" t="s">
        <v>240</v>
      </c>
      <c r="L627" s="165" t="s">
        <v>102</v>
      </c>
      <c r="M627" s="144">
        <v>46753</v>
      </c>
      <c r="N627" s="146">
        <v>8500</v>
      </c>
      <c r="O627">
        <v>1500</v>
      </c>
      <c r="P627">
        <v>7000</v>
      </c>
      <c r="Q627" s="165" t="s">
        <v>225</v>
      </c>
      <c r="R627" s="165"/>
      <c r="S627" t="s">
        <v>251</v>
      </c>
    </row>
    <row r="628" spans="1:19" x14ac:dyDescent="0.25">
      <c r="A628">
        <v>79</v>
      </c>
      <c r="B628" s="144">
        <v>46030</v>
      </c>
      <c r="C628">
        <v>12686</v>
      </c>
      <c r="D628" s="165" t="s">
        <v>292</v>
      </c>
      <c r="E628" s="165" t="s">
        <v>15</v>
      </c>
      <c r="F628" s="165" t="s">
        <v>2100</v>
      </c>
      <c r="G628" s="165" t="s">
        <v>576</v>
      </c>
      <c r="H628" s="165" t="s">
        <v>2101</v>
      </c>
      <c r="I628" s="144">
        <v>46204</v>
      </c>
      <c r="J628">
        <v>174</v>
      </c>
      <c r="K628" s="165" t="s">
        <v>2016</v>
      </c>
      <c r="L628" s="165" t="s">
        <v>102</v>
      </c>
      <c r="M628" s="144">
        <v>46753</v>
      </c>
      <c r="N628" s="146">
        <v>24376</v>
      </c>
      <c r="O628">
        <v>0</v>
      </c>
      <c r="P628">
        <v>24376</v>
      </c>
      <c r="Q628" s="165" t="s">
        <v>225</v>
      </c>
      <c r="R628" s="165"/>
    </row>
    <row r="629" spans="1:19" x14ac:dyDescent="0.25">
      <c r="A629">
        <v>78</v>
      </c>
      <c r="B629" s="144">
        <v>46030</v>
      </c>
      <c r="C629">
        <v>12686</v>
      </c>
      <c r="D629" s="165" t="s">
        <v>292</v>
      </c>
      <c r="E629" s="165" t="s">
        <v>15</v>
      </c>
      <c r="F629" s="165" t="s">
        <v>2100</v>
      </c>
      <c r="G629" s="165" t="s">
        <v>458</v>
      </c>
      <c r="H629" s="165" t="s">
        <v>2101</v>
      </c>
      <c r="I629" s="144">
        <v>46204</v>
      </c>
      <c r="J629">
        <v>174</v>
      </c>
      <c r="K629" s="165" t="s">
        <v>2019</v>
      </c>
      <c r="L629" s="165" t="s">
        <v>102</v>
      </c>
      <c r="M629" s="144">
        <v>46753</v>
      </c>
      <c r="N629" s="146">
        <v>24376</v>
      </c>
      <c r="O629">
        <v>0</v>
      </c>
      <c r="P629">
        <v>24376</v>
      </c>
      <c r="Q629" s="165" t="s">
        <v>225</v>
      </c>
      <c r="R629" s="165"/>
    </row>
    <row r="630" spans="1:19" x14ac:dyDescent="0.25">
      <c r="A630">
        <v>77</v>
      </c>
      <c r="B630" s="144">
        <v>46030</v>
      </c>
      <c r="C630">
        <v>12686</v>
      </c>
      <c r="D630" s="165" t="s">
        <v>292</v>
      </c>
      <c r="E630" s="165" t="s">
        <v>15</v>
      </c>
      <c r="F630" s="165" t="s">
        <v>2100</v>
      </c>
      <c r="G630" s="165" t="s">
        <v>975</v>
      </c>
      <c r="H630" s="165" t="s">
        <v>2101</v>
      </c>
      <c r="I630" s="144">
        <v>46204</v>
      </c>
      <c r="J630">
        <v>174</v>
      </c>
      <c r="K630" s="165" t="s">
        <v>240</v>
      </c>
      <c r="L630" s="165" t="s">
        <v>102</v>
      </c>
      <c r="M630" s="144">
        <v>46753</v>
      </c>
      <c r="N630" s="146">
        <v>24376</v>
      </c>
      <c r="O630">
        <v>1576</v>
      </c>
      <c r="P630">
        <v>22800</v>
      </c>
      <c r="Q630" s="165" t="s">
        <v>225</v>
      </c>
      <c r="R630" s="165"/>
      <c r="S630" t="s">
        <v>269</v>
      </c>
    </row>
    <row r="631" spans="1:19" x14ac:dyDescent="0.25">
      <c r="A631">
        <v>76</v>
      </c>
      <c r="B631" s="144">
        <v>46030</v>
      </c>
      <c r="C631">
        <v>12685</v>
      </c>
      <c r="D631" s="165" t="s">
        <v>2102</v>
      </c>
      <c r="E631" s="165" t="s">
        <v>15</v>
      </c>
      <c r="F631" s="165" t="s">
        <v>247</v>
      </c>
      <c r="G631" s="165" t="s">
        <v>624</v>
      </c>
      <c r="H631" s="165" t="s">
        <v>2103</v>
      </c>
      <c r="I631" s="144">
        <v>47196</v>
      </c>
      <c r="J631">
        <v>1166</v>
      </c>
      <c r="K631" s="165" t="s">
        <v>2019</v>
      </c>
      <c r="L631" s="165" t="s">
        <v>8</v>
      </c>
      <c r="M631" s="144">
        <v>46753</v>
      </c>
      <c r="N631" s="146">
        <v>14706</v>
      </c>
      <c r="O631">
        <v>0</v>
      </c>
      <c r="P631">
        <v>14706</v>
      </c>
      <c r="Q631" s="165" t="s">
        <v>225</v>
      </c>
      <c r="R631" s="165"/>
    </row>
    <row r="632" spans="1:19" x14ac:dyDescent="0.25">
      <c r="A632">
        <v>75</v>
      </c>
      <c r="B632" s="144">
        <v>46030</v>
      </c>
      <c r="C632">
        <v>12685</v>
      </c>
      <c r="D632" s="165" t="s">
        <v>2102</v>
      </c>
      <c r="E632" s="165" t="s">
        <v>15</v>
      </c>
      <c r="F632" s="165" t="s">
        <v>247</v>
      </c>
      <c r="G632" s="165" t="s">
        <v>1256</v>
      </c>
      <c r="H632" s="165" t="s">
        <v>2103</v>
      </c>
      <c r="I632" s="144">
        <v>47196</v>
      </c>
      <c r="J632">
        <v>1166</v>
      </c>
      <c r="K632" s="165" t="s">
        <v>240</v>
      </c>
      <c r="L632" s="165" t="s">
        <v>8</v>
      </c>
      <c r="M632" s="144">
        <v>46753</v>
      </c>
      <c r="N632" s="146">
        <v>14706</v>
      </c>
      <c r="O632">
        <v>3000</v>
      </c>
      <c r="P632">
        <v>11706</v>
      </c>
      <c r="Q632" s="165" t="s">
        <v>225</v>
      </c>
      <c r="R632" s="165"/>
      <c r="S632" t="s">
        <v>241</v>
      </c>
    </row>
    <row r="633" spans="1:19" x14ac:dyDescent="0.25">
      <c r="A633">
        <v>74</v>
      </c>
      <c r="B633" s="144">
        <v>46030</v>
      </c>
      <c r="C633">
        <v>12681</v>
      </c>
      <c r="D633" s="165" t="s">
        <v>287</v>
      </c>
      <c r="E633" s="165" t="s">
        <v>201</v>
      </c>
      <c r="F633" s="165" t="s">
        <v>271</v>
      </c>
      <c r="G633" s="165" t="s">
        <v>576</v>
      </c>
      <c r="H633" s="165" t="s">
        <v>288</v>
      </c>
      <c r="I633" s="144">
        <v>47100</v>
      </c>
      <c r="J633">
        <v>1070</v>
      </c>
      <c r="K633" s="165" t="s">
        <v>2016</v>
      </c>
      <c r="L633" s="165" t="s">
        <v>8</v>
      </c>
      <c r="M633" s="144">
        <v>46753</v>
      </c>
      <c r="N633" s="146">
        <v>10000</v>
      </c>
      <c r="O633">
        <v>0</v>
      </c>
      <c r="P633">
        <v>10000</v>
      </c>
      <c r="Q633" s="165" t="s">
        <v>225</v>
      </c>
      <c r="R633" s="165"/>
    </row>
    <row r="634" spans="1:19" x14ac:dyDescent="0.25">
      <c r="A634">
        <v>73</v>
      </c>
      <c r="B634" s="144">
        <v>46030</v>
      </c>
      <c r="C634">
        <v>12637</v>
      </c>
      <c r="D634" s="165" t="s">
        <v>2104</v>
      </c>
      <c r="E634" s="165" t="s">
        <v>106</v>
      </c>
      <c r="F634" s="165" t="s">
        <v>2105</v>
      </c>
      <c r="G634" s="165" t="s">
        <v>654</v>
      </c>
      <c r="H634" s="165" t="s">
        <v>2106</v>
      </c>
      <c r="I634" s="144">
        <v>46792</v>
      </c>
      <c r="J634">
        <v>762</v>
      </c>
      <c r="K634" s="165" t="s">
        <v>2019</v>
      </c>
      <c r="L634" s="165" t="s">
        <v>8</v>
      </c>
      <c r="M634" s="144">
        <v>46753</v>
      </c>
      <c r="N634" s="146">
        <v>5250</v>
      </c>
      <c r="O634">
        <v>0</v>
      </c>
      <c r="P634">
        <v>5250</v>
      </c>
      <c r="Q634" s="165" t="s">
        <v>225</v>
      </c>
      <c r="R634" s="165" t="s">
        <v>2057</v>
      </c>
    </row>
    <row r="635" spans="1:19" x14ac:dyDescent="0.25">
      <c r="A635">
        <v>72</v>
      </c>
      <c r="B635" s="144">
        <v>46030</v>
      </c>
      <c r="C635">
        <v>12652</v>
      </c>
      <c r="D635" s="165" t="s">
        <v>2107</v>
      </c>
      <c r="E635" s="165" t="s">
        <v>106</v>
      </c>
      <c r="F635" s="165" t="s">
        <v>2108</v>
      </c>
      <c r="G635" s="165" t="s">
        <v>578</v>
      </c>
      <c r="H635" s="165" t="s">
        <v>2109</v>
      </c>
      <c r="I635" s="144">
        <v>46334</v>
      </c>
      <c r="J635">
        <v>304</v>
      </c>
      <c r="K635" s="165" t="s">
        <v>2019</v>
      </c>
      <c r="L635" s="165" t="s">
        <v>8</v>
      </c>
      <c r="M635" s="144">
        <v>46753</v>
      </c>
      <c r="N635" s="146">
        <v>1700</v>
      </c>
      <c r="O635">
        <v>0</v>
      </c>
      <c r="P635">
        <v>1700</v>
      </c>
      <c r="Q635" s="165" t="s">
        <v>225</v>
      </c>
      <c r="R635" s="165"/>
    </row>
    <row r="636" spans="1:19" x14ac:dyDescent="0.25">
      <c r="A636">
        <v>71</v>
      </c>
      <c r="B636" s="144">
        <v>46030</v>
      </c>
      <c r="C636">
        <v>12667</v>
      </c>
      <c r="D636" s="165" t="s">
        <v>270</v>
      </c>
      <c r="E636" s="165" t="s">
        <v>178</v>
      </c>
      <c r="F636" s="165" t="s">
        <v>271</v>
      </c>
      <c r="G636" s="165" t="s">
        <v>1978</v>
      </c>
      <c r="H636" s="165" t="s">
        <v>272</v>
      </c>
      <c r="I636" s="144">
        <v>46561</v>
      </c>
      <c r="J636">
        <v>531</v>
      </c>
      <c r="K636" s="165" t="s">
        <v>2016</v>
      </c>
      <c r="L636" s="165" t="s">
        <v>8</v>
      </c>
      <c r="M636" s="144">
        <v>47484</v>
      </c>
      <c r="N636" s="146">
        <v>30000</v>
      </c>
      <c r="O636">
        <v>0</v>
      </c>
      <c r="P636">
        <v>30000</v>
      </c>
      <c r="Q636" s="165" t="s">
        <v>225</v>
      </c>
      <c r="R636" s="165" t="s">
        <v>2017</v>
      </c>
    </row>
    <row r="637" spans="1:19" x14ac:dyDescent="0.25">
      <c r="A637">
        <v>70</v>
      </c>
      <c r="B637" s="144">
        <v>46030</v>
      </c>
      <c r="C637">
        <v>12658</v>
      </c>
      <c r="D637" s="165" t="s">
        <v>266</v>
      </c>
      <c r="E637" s="165" t="s">
        <v>181</v>
      </c>
      <c r="F637" s="165" t="s">
        <v>267</v>
      </c>
      <c r="G637" s="165" t="s">
        <v>576</v>
      </c>
      <c r="H637" s="165" t="s">
        <v>268</v>
      </c>
      <c r="I637" s="144">
        <v>46300</v>
      </c>
      <c r="J637">
        <v>270</v>
      </c>
      <c r="K637" s="165" t="s">
        <v>2016</v>
      </c>
      <c r="L637" s="165" t="s">
        <v>8</v>
      </c>
      <c r="M637" s="144">
        <v>46753</v>
      </c>
      <c r="N637" s="146">
        <v>59406</v>
      </c>
      <c r="O637">
        <v>0</v>
      </c>
      <c r="P637">
        <v>59406</v>
      </c>
      <c r="Q637" s="165" t="s">
        <v>225</v>
      </c>
      <c r="R637" s="165" t="s">
        <v>2018</v>
      </c>
    </row>
    <row r="638" spans="1:19" x14ac:dyDescent="0.25">
      <c r="A638">
        <v>69</v>
      </c>
      <c r="B638" s="144">
        <v>46030</v>
      </c>
      <c r="C638">
        <v>12679</v>
      </c>
      <c r="D638" s="165" t="s">
        <v>237</v>
      </c>
      <c r="E638" s="165" t="s">
        <v>186</v>
      </c>
      <c r="F638" s="165" t="s">
        <v>238</v>
      </c>
      <c r="G638" s="165" t="s">
        <v>371</v>
      </c>
      <c r="H638" s="165" t="s">
        <v>239</v>
      </c>
      <c r="I638" s="144">
        <v>47398</v>
      </c>
      <c r="J638">
        <v>1368</v>
      </c>
      <c r="K638" s="165" t="s">
        <v>2019</v>
      </c>
      <c r="L638" s="165" t="s">
        <v>8</v>
      </c>
      <c r="M638" s="144">
        <v>46753</v>
      </c>
      <c r="N638" s="146">
        <v>25500</v>
      </c>
      <c r="O638">
        <v>0</v>
      </c>
      <c r="P638">
        <v>25500</v>
      </c>
      <c r="Q638" s="165" t="s">
        <v>225</v>
      </c>
      <c r="R638" s="165"/>
    </row>
    <row r="639" spans="1:19" x14ac:dyDescent="0.25">
      <c r="A639">
        <v>68</v>
      </c>
      <c r="B639" s="144">
        <v>46030</v>
      </c>
      <c r="C639">
        <v>12679</v>
      </c>
      <c r="D639" s="165" t="s">
        <v>237</v>
      </c>
      <c r="E639" s="165" t="s">
        <v>186</v>
      </c>
      <c r="F639" s="165" t="s">
        <v>238</v>
      </c>
      <c r="G639" s="165" t="s">
        <v>819</v>
      </c>
      <c r="H639" s="165" t="s">
        <v>239</v>
      </c>
      <c r="I639" s="144">
        <v>47398</v>
      </c>
      <c r="J639">
        <v>1368</v>
      </c>
      <c r="K639" s="165" t="s">
        <v>240</v>
      </c>
      <c r="L639" s="165" t="s">
        <v>8</v>
      </c>
      <c r="M639" s="144">
        <v>46753</v>
      </c>
      <c r="N639" s="146">
        <v>25500</v>
      </c>
      <c r="O639">
        <v>4000</v>
      </c>
      <c r="P639">
        <v>21500</v>
      </c>
      <c r="Q639" s="165" t="s">
        <v>225</v>
      </c>
      <c r="R639" s="165"/>
      <c r="S639" t="s">
        <v>241</v>
      </c>
    </row>
    <row r="640" spans="1:19" x14ac:dyDescent="0.25">
      <c r="A640">
        <v>67</v>
      </c>
      <c r="B640" s="144">
        <v>46030</v>
      </c>
      <c r="C640">
        <v>12669</v>
      </c>
      <c r="D640" s="165" t="s">
        <v>242</v>
      </c>
      <c r="E640" s="165" t="s">
        <v>243</v>
      </c>
      <c r="F640" s="165" t="s">
        <v>244</v>
      </c>
      <c r="G640" s="165" t="s">
        <v>624</v>
      </c>
      <c r="H640" s="165" t="s">
        <v>245</v>
      </c>
      <c r="I640" s="144">
        <v>46540</v>
      </c>
      <c r="J640">
        <v>510</v>
      </c>
      <c r="K640" s="165" t="s">
        <v>2019</v>
      </c>
      <c r="L640" s="165" t="s">
        <v>8</v>
      </c>
      <c r="M640" s="144">
        <v>47119</v>
      </c>
      <c r="N640" s="146">
        <v>22000</v>
      </c>
      <c r="O640">
        <v>0</v>
      </c>
      <c r="P640">
        <v>22000</v>
      </c>
      <c r="Q640" s="165" t="s">
        <v>225</v>
      </c>
      <c r="R640" s="165"/>
    </row>
    <row r="641" spans="1:19" x14ac:dyDescent="0.25">
      <c r="A641">
        <v>66</v>
      </c>
      <c r="B641" s="144">
        <v>46030</v>
      </c>
      <c r="C641">
        <v>12669</v>
      </c>
      <c r="D641" s="165" t="s">
        <v>242</v>
      </c>
      <c r="E641" s="165" t="s">
        <v>243</v>
      </c>
      <c r="F641" s="165" t="s">
        <v>244</v>
      </c>
      <c r="G641" s="165" t="s">
        <v>1258</v>
      </c>
      <c r="H641" s="165" t="s">
        <v>245</v>
      </c>
      <c r="I641" s="144">
        <v>46540</v>
      </c>
      <c r="J641">
        <v>510</v>
      </c>
      <c r="K641" s="165" t="s">
        <v>240</v>
      </c>
      <c r="L641" s="165" t="s">
        <v>8</v>
      </c>
      <c r="M641" s="144">
        <v>47119</v>
      </c>
      <c r="N641" s="146">
        <v>22000</v>
      </c>
      <c r="O641">
        <v>0</v>
      </c>
      <c r="P641">
        <v>22000</v>
      </c>
      <c r="Q641" s="165" t="s">
        <v>225</v>
      </c>
      <c r="R641" s="165"/>
      <c r="S641" t="s">
        <v>241</v>
      </c>
    </row>
    <row r="642" spans="1:19" x14ac:dyDescent="0.25">
      <c r="A642">
        <v>65</v>
      </c>
      <c r="B642" s="144">
        <v>46030</v>
      </c>
      <c r="C642">
        <v>12660</v>
      </c>
      <c r="D642" s="165" t="s">
        <v>246</v>
      </c>
      <c r="E642" s="165" t="s">
        <v>181</v>
      </c>
      <c r="F642" s="165" t="s">
        <v>247</v>
      </c>
      <c r="G642" s="165" t="s">
        <v>435</v>
      </c>
      <c r="H642" s="165" t="s">
        <v>248</v>
      </c>
      <c r="I642" s="144">
        <v>46212</v>
      </c>
      <c r="J642">
        <v>182</v>
      </c>
      <c r="K642" s="165" t="s">
        <v>2019</v>
      </c>
      <c r="L642" s="165" t="s">
        <v>8</v>
      </c>
      <c r="M642" s="144">
        <v>46753</v>
      </c>
      <c r="N642" s="146">
        <v>29703</v>
      </c>
      <c r="O642">
        <v>0</v>
      </c>
      <c r="P642">
        <v>29703</v>
      </c>
      <c r="Q642" s="165" t="s">
        <v>225</v>
      </c>
      <c r="R642" s="165"/>
    </row>
    <row r="643" spans="1:19" x14ac:dyDescent="0.25">
      <c r="A643">
        <v>64</v>
      </c>
      <c r="B643" s="144">
        <v>46030</v>
      </c>
      <c r="C643">
        <v>12660</v>
      </c>
      <c r="D643" s="165" t="s">
        <v>246</v>
      </c>
      <c r="E643" s="165" t="s">
        <v>181</v>
      </c>
      <c r="F643" s="165" t="s">
        <v>247</v>
      </c>
      <c r="G643" s="165" t="s">
        <v>917</v>
      </c>
      <c r="H643" s="165" t="s">
        <v>248</v>
      </c>
      <c r="I643" s="144">
        <v>46212</v>
      </c>
      <c r="J643">
        <v>182</v>
      </c>
      <c r="K643" s="165" t="s">
        <v>240</v>
      </c>
      <c r="L643" s="165" t="s">
        <v>8</v>
      </c>
      <c r="M643" s="144">
        <v>46753</v>
      </c>
      <c r="N643" s="146">
        <v>29703</v>
      </c>
      <c r="O643">
        <v>0</v>
      </c>
      <c r="P643">
        <v>29703</v>
      </c>
      <c r="Q643" s="165" t="s">
        <v>225</v>
      </c>
      <c r="R643" s="165"/>
      <c r="S643" t="s">
        <v>241</v>
      </c>
    </row>
    <row r="644" spans="1:19" x14ac:dyDescent="0.25">
      <c r="A644">
        <v>63</v>
      </c>
      <c r="B644" s="144">
        <v>46030</v>
      </c>
      <c r="C644">
        <v>12652</v>
      </c>
      <c r="D644" s="165" t="s">
        <v>2107</v>
      </c>
      <c r="E644" s="165" t="s">
        <v>106</v>
      </c>
      <c r="F644" s="165" t="s">
        <v>2108</v>
      </c>
      <c r="G644" s="165" t="s">
        <v>1176</v>
      </c>
      <c r="H644" s="165" t="s">
        <v>2109</v>
      </c>
      <c r="I644" s="144">
        <v>46334</v>
      </c>
      <c r="J644">
        <v>304</v>
      </c>
      <c r="K644" s="165" t="s">
        <v>240</v>
      </c>
      <c r="L644" s="165" t="s">
        <v>8</v>
      </c>
      <c r="M644" s="144">
        <v>46753</v>
      </c>
      <c r="N644" s="146">
        <v>1700</v>
      </c>
      <c r="O644">
        <v>0</v>
      </c>
      <c r="P644">
        <v>1700</v>
      </c>
      <c r="Q644" s="165" t="s">
        <v>225</v>
      </c>
      <c r="R644" s="165"/>
      <c r="S644" t="s">
        <v>251</v>
      </c>
    </row>
    <row r="645" spans="1:19" x14ac:dyDescent="0.25">
      <c r="A645">
        <v>62</v>
      </c>
      <c r="B645" s="144">
        <v>46030</v>
      </c>
      <c r="C645">
        <v>12654</v>
      </c>
      <c r="D645" s="165" t="s">
        <v>249</v>
      </c>
      <c r="E645" s="165" t="s">
        <v>14</v>
      </c>
      <c r="F645" s="165" t="s">
        <v>250</v>
      </c>
      <c r="G645" s="165" t="s">
        <v>1033</v>
      </c>
      <c r="H645" s="165" t="s">
        <v>154</v>
      </c>
      <c r="I645" s="144">
        <v>47003</v>
      </c>
      <c r="J645">
        <v>973</v>
      </c>
      <c r="K645" s="165" t="s">
        <v>240</v>
      </c>
      <c r="L645" s="165" t="s">
        <v>10</v>
      </c>
      <c r="M645" s="144">
        <v>47119</v>
      </c>
      <c r="N645" s="146">
        <v>15000</v>
      </c>
      <c r="O645">
        <v>0</v>
      </c>
      <c r="P645">
        <v>15000</v>
      </c>
      <c r="Q645" s="165" t="s">
        <v>225</v>
      </c>
      <c r="R645" s="165"/>
      <c r="S645" t="s">
        <v>251</v>
      </c>
    </row>
    <row r="646" spans="1:19" x14ac:dyDescent="0.25">
      <c r="A646">
        <v>61</v>
      </c>
      <c r="B646" s="144">
        <v>46030</v>
      </c>
      <c r="C646">
        <v>12636</v>
      </c>
      <c r="D646" s="165" t="s">
        <v>252</v>
      </c>
      <c r="E646" s="165" t="s">
        <v>106</v>
      </c>
      <c r="F646" s="165" t="s">
        <v>250</v>
      </c>
      <c r="G646" s="165" t="s">
        <v>429</v>
      </c>
      <c r="H646" s="165" t="s">
        <v>253</v>
      </c>
      <c r="I646" s="144">
        <v>47407</v>
      </c>
      <c r="J646">
        <v>1377</v>
      </c>
      <c r="K646" s="165" t="s">
        <v>2019</v>
      </c>
      <c r="L646" s="165" t="s">
        <v>102</v>
      </c>
      <c r="M646" s="144">
        <v>47119</v>
      </c>
      <c r="N646" s="146">
        <v>10000</v>
      </c>
      <c r="O646">
        <v>0</v>
      </c>
      <c r="P646">
        <v>10000</v>
      </c>
      <c r="Q646" s="165" t="s">
        <v>225</v>
      </c>
      <c r="R646" s="165"/>
    </row>
    <row r="647" spans="1:19" x14ac:dyDescent="0.25">
      <c r="A647">
        <v>60</v>
      </c>
      <c r="B647" s="144">
        <v>46030</v>
      </c>
      <c r="C647">
        <v>12636</v>
      </c>
      <c r="D647" s="165" t="s">
        <v>252</v>
      </c>
      <c r="E647" s="165" t="s">
        <v>106</v>
      </c>
      <c r="F647" s="165" t="s">
        <v>250</v>
      </c>
      <c r="G647" s="165" t="s">
        <v>901</v>
      </c>
      <c r="H647" s="165" t="s">
        <v>253</v>
      </c>
      <c r="I647" s="144">
        <v>47407</v>
      </c>
      <c r="J647">
        <v>1377</v>
      </c>
      <c r="K647" s="165" t="s">
        <v>240</v>
      </c>
      <c r="L647" s="165" t="s">
        <v>102</v>
      </c>
      <c r="M647" s="144">
        <v>47119</v>
      </c>
      <c r="N647" s="146">
        <v>10000</v>
      </c>
      <c r="O647">
        <v>0</v>
      </c>
      <c r="P647">
        <v>10000</v>
      </c>
      <c r="Q647" s="165" t="s">
        <v>225</v>
      </c>
      <c r="R647" s="165"/>
      <c r="S647" t="s">
        <v>251</v>
      </c>
    </row>
    <row r="648" spans="1:19" x14ac:dyDescent="0.25">
      <c r="A648">
        <v>59</v>
      </c>
      <c r="B648" s="144">
        <v>46030</v>
      </c>
      <c r="C648">
        <v>12617</v>
      </c>
      <c r="D648" s="165" t="s">
        <v>254</v>
      </c>
      <c r="E648" s="165" t="s">
        <v>12</v>
      </c>
      <c r="F648" s="165" t="s">
        <v>255</v>
      </c>
      <c r="G648" s="165" t="s">
        <v>367</v>
      </c>
      <c r="H648" s="165" t="s">
        <v>256</v>
      </c>
      <c r="I648" s="144">
        <v>46047</v>
      </c>
      <c r="J648">
        <v>17</v>
      </c>
      <c r="K648" s="165" t="s">
        <v>2019</v>
      </c>
      <c r="L648" s="165" t="s">
        <v>8</v>
      </c>
      <c r="M648" s="144">
        <v>46753</v>
      </c>
      <c r="N648" s="146">
        <v>16667</v>
      </c>
      <c r="O648">
        <v>0</v>
      </c>
      <c r="P648">
        <v>16667</v>
      </c>
      <c r="Q648" s="165" t="s">
        <v>225</v>
      </c>
      <c r="R648" s="165"/>
    </row>
    <row r="649" spans="1:19" x14ac:dyDescent="0.25">
      <c r="A649">
        <v>58</v>
      </c>
      <c r="B649" s="144">
        <v>46030</v>
      </c>
      <c r="C649">
        <v>12617</v>
      </c>
      <c r="D649" s="165" t="s">
        <v>254</v>
      </c>
      <c r="E649" s="165" t="s">
        <v>12</v>
      </c>
      <c r="F649" s="165" t="s">
        <v>255</v>
      </c>
      <c r="G649" s="165" t="s">
        <v>811</v>
      </c>
      <c r="H649" s="165" t="s">
        <v>256</v>
      </c>
      <c r="I649" s="144">
        <v>46047</v>
      </c>
      <c r="J649">
        <v>17</v>
      </c>
      <c r="K649" s="165" t="s">
        <v>240</v>
      </c>
      <c r="L649" s="165" t="s">
        <v>8</v>
      </c>
      <c r="M649" s="144">
        <v>46753</v>
      </c>
      <c r="N649" s="146">
        <v>16667</v>
      </c>
      <c r="O649">
        <v>0</v>
      </c>
      <c r="P649">
        <v>16667</v>
      </c>
      <c r="Q649" s="165" t="s">
        <v>225</v>
      </c>
      <c r="R649" s="165"/>
      <c r="S649" t="s">
        <v>241</v>
      </c>
    </row>
    <row r="650" spans="1:19" x14ac:dyDescent="0.25">
      <c r="A650">
        <v>57</v>
      </c>
      <c r="B650" s="144">
        <v>46030</v>
      </c>
      <c r="C650">
        <v>12615</v>
      </c>
      <c r="D650" s="165" t="s">
        <v>257</v>
      </c>
      <c r="E650" s="165" t="s">
        <v>12</v>
      </c>
      <c r="F650" s="165" t="s">
        <v>258</v>
      </c>
      <c r="G650" s="165" t="s">
        <v>528</v>
      </c>
      <c r="H650" s="165" t="s">
        <v>259</v>
      </c>
      <c r="I650" s="144">
        <v>46646</v>
      </c>
      <c r="J650">
        <v>616</v>
      </c>
      <c r="K650" s="165" t="s">
        <v>2019</v>
      </c>
      <c r="L650" s="165" t="s">
        <v>8</v>
      </c>
      <c r="M650" s="144">
        <v>46753</v>
      </c>
      <c r="N650" s="146">
        <v>10000</v>
      </c>
      <c r="O650">
        <v>0</v>
      </c>
      <c r="P650">
        <v>10000</v>
      </c>
      <c r="Q650" s="165" t="s">
        <v>225</v>
      </c>
      <c r="R650" s="165"/>
    </row>
    <row r="651" spans="1:19" x14ac:dyDescent="0.25">
      <c r="A651">
        <v>56</v>
      </c>
      <c r="B651" s="144">
        <v>46030</v>
      </c>
      <c r="C651">
        <v>12615</v>
      </c>
      <c r="D651" s="165" t="s">
        <v>257</v>
      </c>
      <c r="E651" s="165" t="s">
        <v>12</v>
      </c>
      <c r="F651" s="165" t="s">
        <v>258</v>
      </c>
      <c r="G651" s="165" t="s">
        <v>1106</v>
      </c>
      <c r="H651" s="165" t="s">
        <v>259</v>
      </c>
      <c r="I651" s="144">
        <v>46646</v>
      </c>
      <c r="J651">
        <v>616</v>
      </c>
      <c r="K651" s="165" t="s">
        <v>240</v>
      </c>
      <c r="L651" s="165" t="s">
        <v>8</v>
      </c>
      <c r="M651" s="144">
        <v>46753</v>
      </c>
      <c r="N651" s="146">
        <v>10000</v>
      </c>
      <c r="O651">
        <v>0</v>
      </c>
      <c r="P651">
        <v>10000</v>
      </c>
      <c r="Q651" s="165" t="s">
        <v>225</v>
      </c>
      <c r="R651" s="165"/>
      <c r="S651" t="s">
        <v>241</v>
      </c>
    </row>
    <row r="652" spans="1:19" x14ac:dyDescent="0.25">
      <c r="A652">
        <v>55</v>
      </c>
      <c r="B652" s="144">
        <v>46030</v>
      </c>
      <c r="C652">
        <v>12614</v>
      </c>
      <c r="D652" s="165" t="s">
        <v>260</v>
      </c>
      <c r="E652" s="165" t="s">
        <v>12</v>
      </c>
      <c r="F652" s="165" t="s">
        <v>2293</v>
      </c>
      <c r="G652" s="165" t="s">
        <v>2807</v>
      </c>
      <c r="H652" s="165" t="s">
        <v>2294</v>
      </c>
      <c r="I652" s="144">
        <v>47853</v>
      </c>
      <c r="J652">
        <v>1823</v>
      </c>
      <c r="K652" s="165" t="s">
        <v>240</v>
      </c>
      <c r="L652" s="165" t="s">
        <v>102</v>
      </c>
      <c r="M652" s="144">
        <v>46753</v>
      </c>
      <c r="N652" s="146">
        <v>23000</v>
      </c>
      <c r="O652">
        <v>0</v>
      </c>
      <c r="P652">
        <v>23000</v>
      </c>
      <c r="Q652" s="165" t="s">
        <v>225</v>
      </c>
      <c r="R652" s="165"/>
      <c r="S652" t="s">
        <v>263</v>
      </c>
    </row>
    <row r="653" spans="1:19" x14ac:dyDescent="0.25">
      <c r="A653">
        <v>54</v>
      </c>
      <c r="B653" s="144">
        <v>46030</v>
      </c>
      <c r="C653">
        <v>12603</v>
      </c>
      <c r="D653" s="165" t="s">
        <v>264</v>
      </c>
      <c r="E653" s="165" t="s">
        <v>100</v>
      </c>
      <c r="F653" s="165" t="s">
        <v>255</v>
      </c>
      <c r="G653" s="165" t="s">
        <v>673</v>
      </c>
      <c r="H653" s="165" t="s">
        <v>265</v>
      </c>
      <c r="I653" s="144">
        <v>47735</v>
      </c>
      <c r="J653">
        <v>1705</v>
      </c>
      <c r="K653" s="165" t="s">
        <v>2019</v>
      </c>
      <c r="L653" s="165" t="s">
        <v>8</v>
      </c>
      <c r="M653" s="144">
        <v>47484</v>
      </c>
      <c r="N653" s="146">
        <v>1000</v>
      </c>
      <c r="O653">
        <v>0</v>
      </c>
      <c r="P653">
        <v>1000</v>
      </c>
      <c r="Q653" s="165" t="s">
        <v>225</v>
      </c>
      <c r="R653" s="165"/>
    </row>
    <row r="654" spans="1:19" x14ac:dyDescent="0.25">
      <c r="A654">
        <v>53</v>
      </c>
      <c r="B654" s="144">
        <v>46030</v>
      </c>
      <c r="C654">
        <v>12603</v>
      </c>
      <c r="D654" s="165" t="s">
        <v>264</v>
      </c>
      <c r="E654" s="165" t="s">
        <v>100</v>
      </c>
      <c r="F654" s="165" t="s">
        <v>255</v>
      </c>
      <c r="G654" s="165" t="s">
        <v>1339</v>
      </c>
      <c r="H654" s="165" t="s">
        <v>265</v>
      </c>
      <c r="I654" s="144">
        <v>47735</v>
      </c>
      <c r="J654">
        <v>1705</v>
      </c>
      <c r="K654" s="165" t="s">
        <v>240</v>
      </c>
      <c r="L654" s="165" t="s">
        <v>8</v>
      </c>
      <c r="M654" s="144">
        <v>47484</v>
      </c>
      <c r="N654" s="146">
        <v>1000</v>
      </c>
      <c r="O654">
        <v>0</v>
      </c>
      <c r="P654">
        <v>1000</v>
      </c>
      <c r="Q654" s="165" t="s">
        <v>225</v>
      </c>
      <c r="R654" s="165"/>
      <c r="S654" t="s">
        <v>263</v>
      </c>
    </row>
    <row r="655" spans="1:19" x14ac:dyDescent="0.25">
      <c r="A655">
        <v>52</v>
      </c>
      <c r="B655" s="144">
        <v>46030</v>
      </c>
      <c r="C655">
        <v>12658</v>
      </c>
      <c r="D655" s="165" t="s">
        <v>266</v>
      </c>
      <c r="E655" s="165" t="s">
        <v>181</v>
      </c>
      <c r="F655" s="165" t="s">
        <v>267</v>
      </c>
      <c r="G655" s="165" t="s">
        <v>463</v>
      </c>
      <c r="H655" s="165" t="s">
        <v>268</v>
      </c>
      <c r="I655" s="144">
        <v>46300</v>
      </c>
      <c r="J655">
        <v>270</v>
      </c>
      <c r="K655" s="165" t="s">
        <v>2019</v>
      </c>
      <c r="L655" s="165" t="s">
        <v>8</v>
      </c>
      <c r="M655" s="144">
        <v>46753</v>
      </c>
      <c r="N655" s="146">
        <v>29703</v>
      </c>
      <c r="O655">
        <v>0</v>
      </c>
      <c r="P655">
        <v>29703</v>
      </c>
      <c r="Q655" s="165" t="s">
        <v>225</v>
      </c>
      <c r="R655" s="165"/>
    </row>
    <row r="656" spans="1:19" x14ac:dyDescent="0.25">
      <c r="A656">
        <v>51</v>
      </c>
      <c r="B656" s="144">
        <v>46030</v>
      </c>
      <c r="C656">
        <v>12658</v>
      </c>
      <c r="D656" s="165" t="s">
        <v>266</v>
      </c>
      <c r="E656" s="165" t="s">
        <v>181</v>
      </c>
      <c r="F656" s="165" t="s">
        <v>267</v>
      </c>
      <c r="G656" s="165" t="s">
        <v>989</v>
      </c>
      <c r="H656" s="165" t="s">
        <v>268</v>
      </c>
      <c r="I656" s="144">
        <v>46300</v>
      </c>
      <c r="J656">
        <v>270</v>
      </c>
      <c r="K656" s="165" t="s">
        <v>240</v>
      </c>
      <c r="L656" s="165" t="s">
        <v>8</v>
      </c>
      <c r="M656" s="144">
        <v>46753</v>
      </c>
      <c r="N656" s="146">
        <v>29703</v>
      </c>
      <c r="O656">
        <v>0</v>
      </c>
      <c r="P656">
        <v>29703</v>
      </c>
      <c r="Q656" s="165" t="s">
        <v>225</v>
      </c>
      <c r="R656" s="165"/>
      <c r="S656" t="s">
        <v>269</v>
      </c>
    </row>
    <row r="657" spans="1:19" x14ac:dyDescent="0.25">
      <c r="A657">
        <v>50</v>
      </c>
      <c r="B657" s="144">
        <v>46030</v>
      </c>
      <c r="C657">
        <v>12657</v>
      </c>
      <c r="D657" s="165" t="s">
        <v>266</v>
      </c>
      <c r="E657" s="165" t="s">
        <v>181</v>
      </c>
      <c r="F657" s="165" t="s">
        <v>267</v>
      </c>
      <c r="G657" s="165" t="s">
        <v>463</v>
      </c>
      <c r="H657" s="165" t="s">
        <v>268</v>
      </c>
      <c r="I657" s="144">
        <v>46300</v>
      </c>
      <c r="J657">
        <v>270</v>
      </c>
      <c r="K657" s="165" t="s">
        <v>2019</v>
      </c>
      <c r="L657" s="165" t="s">
        <v>8</v>
      </c>
      <c r="M657" s="144">
        <v>46753</v>
      </c>
      <c r="N657" s="146">
        <v>29703</v>
      </c>
      <c r="O657">
        <v>0</v>
      </c>
      <c r="P657">
        <v>29703</v>
      </c>
      <c r="Q657" s="165" t="s">
        <v>225</v>
      </c>
      <c r="R657" s="165"/>
    </row>
    <row r="658" spans="1:19" x14ac:dyDescent="0.25">
      <c r="A658">
        <v>49</v>
      </c>
      <c r="B658" s="144">
        <v>46030</v>
      </c>
      <c r="C658">
        <v>12657</v>
      </c>
      <c r="D658" s="165" t="s">
        <v>266</v>
      </c>
      <c r="E658" s="165" t="s">
        <v>181</v>
      </c>
      <c r="F658" s="165" t="s">
        <v>267</v>
      </c>
      <c r="G658" s="165" t="s">
        <v>989</v>
      </c>
      <c r="H658" s="165" t="s">
        <v>268</v>
      </c>
      <c r="I658" s="144">
        <v>46300</v>
      </c>
      <c r="J658">
        <v>270</v>
      </c>
      <c r="K658" s="165" t="s">
        <v>240</v>
      </c>
      <c r="L658" s="165" t="s">
        <v>8</v>
      </c>
      <c r="M658" s="144">
        <v>46753</v>
      </c>
      <c r="N658" s="146">
        <v>29703</v>
      </c>
      <c r="O658">
        <v>0</v>
      </c>
      <c r="P658">
        <v>29703</v>
      </c>
      <c r="Q658" s="165" t="s">
        <v>225</v>
      </c>
      <c r="R658" s="165"/>
      <c r="S658" t="s">
        <v>269</v>
      </c>
    </row>
    <row r="659" spans="1:19" x14ac:dyDescent="0.25">
      <c r="A659">
        <v>48</v>
      </c>
      <c r="B659" s="144">
        <v>46030</v>
      </c>
      <c r="C659">
        <v>12667</v>
      </c>
      <c r="D659" s="165" t="s">
        <v>270</v>
      </c>
      <c r="E659" s="165" t="s">
        <v>178</v>
      </c>
      <c r="F659" s="165" t="s">
        <v>271</v>
      </c>
      <c r="G659" s="165" t="s">
        <v>558</v>
      </c>
      <c r="H659" s="165" t="s">
        <v>272</v>
      </c>
      <c r="I659" s="144">
        <v>46561</v>
      </c>
      <c r="J659">
        <v>531</v>
      </c>
      <c r="K659" s="165" t="s">
        <v>2019</v>
      </c>
      <c r="L659" s="165" t="s">
        <v>8</v>
      </c>
      <c r="M659" s="144">
        <v>47484</v>
      </c>
      <c r="N659" s="146">
        <v>15000</v>
      </c>
      <c r="O659">
        <v>0</v>
      </c>
      <c r="P659">
        <v>15000</v>
      </c>
      <c r="Q659" s="165" t="s">
        <v>225</v>
      </c>
      <c r="R659" s="165"/>
    </row>
    <row r="660" spans="1:19" x14ac:dyDescent="0.25">
      <c r="A660">
        <v>47</v>
      </c>
      <c r="B660" s="144">
        <v>46030</v>
      </c>
      <c r="C660">
        <v>12667</v>
      </c>
      <c r="D660" s="165" t="s">
        <v>270</v>
      </c>
      <c r="E660" s="165" t="s">
        <v>178</v>
      </c>
      <c r="F660" s="165" t="s">
        <v>271</v>
      </c>
      <c r="G660" s="165" t="s">
        <v>1156</v>
      </c>
      <c r="H660" s="165" t="s">
        <v>272</v>
      </c>
      <c r="I660" s="144">
        <v>46561</v>
      </c>
      <c r="J660">
        <v>531</v>
      </c>
      <c r="K660" s="165" t="s">
        <v>240</v>
      </c>
      <c r="L660" s="165" t="s">
        <v>8</v>
      </c>
      <c r="M660" s="144">
        <v>47484</v>
      </c>
      <c r="N660" s="146">
        <v>15000</v>
      </c>
      <c r="O660">
        <v>0</v>
      </c>
      <c r="P660">
        <v>15000</v>
      </c>
      <c r="Q660" s="165" t="s">
        <v>225</v>
      </c>
      <c r="R660" s="165"/>
      <c r="S660" t="s">
        <v>263</v>
      </c>
    </row>
    <row r="661" spans="1:19" x14ac:dyDescent="0.25">
      <c r="A661">
        <v>46</v>
      </c>
      <c r="B661" s="144">
        <v>46030</v>
      </c>
      <c r="C661">
        <v>12666</v>
      </c>
      <c r="D661" s="165" t="s">
        <v>270</v>
      </c>
      <c r="E661" s="165" t="s">
        <v>178</v>
      </c>
      <c r="F661" s="165" t="s">
        <v>271</v>
      </c>
      <c r="G661" s="165" t="s">
        <v>558</v>
      </c>
      <c r="H661" s="165" t="s">
        <v>272</v>
      </c>
      <c r="I661" s="144">
        <v>46561</v>
      </c>
      <c r="J661">
        <v>531</v>
      </c>
      <c r="K661" s="165" t="s">
        <v>2019</v>
      </c>
      <c r="L661" s="165" t="s">
        <v>8</v>
      </c>
      <c r="M661" s="144">
        <v>47484</v>
      </c>
      <c r="N661" s="146">
        <v>15000</v>
      </c>
      <c r="O661">
        <v>0</v>
      </c>
      <c r="P661">
        <v>15000</v>
      </c>
      <c r="Q661" s="165" t="s">
        <v>225</v>
      </c>
      <c r="R661" s="165"/>
    </row>
    <row r="662" spans="1:19" x14ac:dyDescent="0.25">
      <c r="A662">
        <v>45</v>
      </c>
      <c r="B662" s="144">
        <v>46030</v>
      </c>
      <c r="C662">
        <v>12666</v>
      </c>
      <c r="D662" s="165" t="s">
        <v>270</v>
      </c>
      <c r="E662" s="165" t="s">
        <v>178</v>
      </c>
      <c r="F662" s="165" t="s">
        <v>271</v>
      </c>
      <c r="G662" s="165" t="s">
        <v>1156</v>
      </c>
      <c r="H662" s="165" t="s">
        <v>272</v>
      </c>
      <c r="I662" s="144">
        <v>46561</v>
      </c>
      <c r="J662">
        <v>531</v>
      </c>
      <c r="K662" s="165" t="s">
        <v>240</v>
      </c>
      <c r="L662" s="165" t="s">
        <v>8</v>
      </c>
      <c r="M662" s="144">
        <v>47484</v>
      </c>
      <c r="N662" s="146">
        <v>15000</v>
      </c>
      <c r="O662">
        <v>1000</v>
      </c>
      <c r="P662">
        <v>14000</v>
      </c>
      <c r="Q662" s="165" t="s">
        <v>225</v>
      </c>
      <c r="R662" s="165"/>
      <c r="S662" t="s">
        <v>263</v>
      </c>
    </row>
    <row r="663" spans="1:19" x14ac:dyDescent="0.25">
      <c r="A663">
        <v>44</v>
      </c>
      <c r="B663" s="144">
        <v>46030</v>
      </c>
      <c r="C663">
        <v>12626</v>
      </c>
      <c r="D663" s="165" t="s">
        <v>273</v>
      </c>
      <c r="E663" s="165" t="s">
        <v>12</v>
      </c>
      <c r="F663" s="165" t="s">
        <v>274</v>
      </c>
      <c r="G663" s="165" t="s">
        <v>689</v>
      </c>
      <c r="H663" s="165" t="s">
        <v>275</v>
      </c>
      <c r="I663" s="144">
        <v>47428</v>
      </c>
      <c r="J663">
        <v>1398</v>
      </c>
      <c r="K663" s="165" t="s">
        <v>2019</v>
      </c>
      <c r="L663" s="165" t="s">
        <v>8</v>
      </c>
      <c r="M663" s="144">
        <v>46753</v>
      </c>
      <c r="N663" s="146">
        <v>4000</v>
      </c>
      <c r="O663">
        <v>0</v>
      </c>
      <c r="P663">
        <v>4000</v>
      </c>
      <c r="Q663" s="165" t="s">
        <v>225</v>
      </c>
      <c r="R663" s="165"/>
    </row>
    <row r="664" spans="1:19" x14ac:dyDescent="0.25">
      <c r="A664">
        <v>43</v>
      </c>
      <c r="B664" s="144">
        <v>46030</v>
      </c>
      <c r="C664">
        <v>12626</v>
      </c>
      <c r="D664" s="165" t="s">
        <v>273</v>
      </c>
      <c r="E664" s="165" t="s">
        <v>12</v>
      </c>
      <c r="F664" s="165" t="s">
        <v>274</v>
      </c>
      <c r="G664" s="165" t="s">
        <v>1444</v>
      </c>
      <c r="H664" s="165" t="s">
        <v>275</v>
      </c>
      <c r="I664" s="144">
        <v>47428</v>
      </c>
      <c r="J664">
        <v>1398</v>
      </c>
      <c r="K664" s="165" t="s">
        <v>240</v>
      </c>
      <c r="L664" s="165" t="s">
        <v>8</v>
      </c>
      <c r="M664" s="144">
        <v>46753</v>
      </c>
      <c r="N664" s="146">
        <v>4000</v>
      </c>
      <c r="O664">
        <v>2000</v>
      </c>
      <c r="P664">
        <v>2000</v>
      </c>
      <c r="Q664" s="165" t="s">
        <v>225</v>
      </c>
      <c r="R664" s="165" t="s">
        <v>276</v>
      </c>
      <c r="S664" t="s">
        <v>241</v>
      </c>
    </row>
    <row r="665" spans="1:19" x14ac:dyDescent="0.25">
      <c r="A665">
        <v>42</v>
      </c>
      <c r="B665" s="144">
        <v>46030</v>
      </c>
      <c r="C665">
        <v>12670</v>
      </c>
      <c r="D665" s="165" t="s">
        <v>2020</v>
      </c>
      <c r="E665" s="165" t="s">
        <v>192</v>
      </c>
      <c r="F665" s="165" t="s">
        <v>2021</v>
      </c>
      <c r="G665" s="165" t="s">
        <v>5327</v>
      </c>
      <c r="H665" s="165" t="s">
        <v>2022</v>
      </c>
      <c r="I665" s="144">
        <v>46337</v>
      </c>
      <c r="J665">
        <v>307</v>
      </c>
      <c r="K665" s="165" t="s">
        <v>2019</v>
      </c>
      <c r="L665" s="165" t="s">
        <v>8</v>
      </c>
      <c r="M665" s="144">
        <v>46753</v>
      </c>
      <c r="N665" s="146">
        <v>8000</v>
      </c>
      <c r="O665">
        <v>0</v>
      </c>
      <c r="P665">
        <v>8000</v>
      </c>
      <c r="Q665" s="165" t="s">
        <v>225</v>
      </c>
      <c r="R665" s="165" t="s">
        <v>2023</v>
      </c>
    </row>
    <row r="666" spans="1:19" x14ac:dyDescent="0.25">
      <c r="A666">
        <v>41</v>
      </c>
      <c r="B666" s="144">
        <v>46030</v>
      </c>
      <c r="C666">
        <v>12664</v>
      </c>
      <c r="D666" s="165" t="s">
        <v>277</v>
      </c>
      <c r="E666" s="165" t="s">
        <v>178</v>
      </c>
      <c r="F666" s="165" t="s">
        <v>247</v>
      </c>
      <c r="G666" s="165" t="s">
        <v>1626</v>
      </c>
      <c r="H666" s="165" t="s">
        <v>278</v>
      </c>
      <c r="I666" s="144">
        <v>46930</v>
      </c>
      <c r="J666">
        <v>900</v>
      </c>
      <c r="K666" s="165" t="s">
        <v>240</v>
      </c>
      <c r="L666" s="165" t="s">
        <v>8</v>
      </c>
      <c r="M666" s="144">
        <v>46753</v>
      </c>
      <c r="N666" s="146">
        <v>13000</v>
      </c>
      <c r="O666">
        <v>0</v>
      </c>
      <c r="P666">
        <v>13000</v>
      </c>
      <c r="Q666" s="165" t="s">
        <v>225</v>
      </c>
      <c r="R666" s="165" t="s">
        <v>279</v>
      </c>
      <c r="S666" t="s">
        <v>263</v>
      </c>
    </row>
    <row r="667" spans="1:19" x14ac:dyDescent="0.25">
      <c r="A667">
        <v>40</v>
      </c>
      <c r="B667" s="144">
        <v>46030</v>
      </c>
      <c r="C667">
        <v>12662</v>
      </c>
      <c r="D667" s="165" t="s">
        <v>277</v>
      </c>
      <c r="E667" s="165" t="s">
        <v>178</v>
      </c>
      <c r="F667" s="165" t="s">
        <v>247</v>
      </c>
      <c r="G667" s="165" t="s">
        <v>685</v>
      </c>
      <c r="H667" s="165" t="s">
        <v>278</v>
      </c>
      <c r="I667" s="144">
        <v>46930</v>
      </c>
      <c r="J667">
        <v>900</v>
      </c>
      <c r="K667" s="165" t="s">
        <v>2019</v>
      </c>
      <c r="L667" s="165" t="s">
        <v>8</v>
      </c>
      <c r="M667" s="144">
        <v>46753</v>
      </c>
      <c r="N667" s="146">
        <v>20000</v>
      </c>
      <c r="O667">
        <v>0</v>
      </c>
      <c r="P667">
        <v>20000</v>
      </c>
      <c r="Q667" s="165" t="s">
        <v>225</v>
      </c>
      <c r="R667" s="165" t="s">
        <v>2024</v>
      </c>
    </row>
    <row r="668" spans="1:19" x14ac:dyDescent="0.25">
      <c r="A668">
        <v>39</v>
      </c>
      <c r="B668" s="144">
        <v>46015</v>
      </c>
      <c r="C668">
        <v>12659</v>
      </c>
      <c r="D668" s="165" t="s">
        <v>280</v>
      </c>
      <c r="E668" s="165" t="s">
        <v>181</v>
      </c>
      <c r="F668" s="165" t="s">
        <v>247</v>
      </c>
      <c r="G668" s="165" t="s">
        <v>411</v>
      </c>
      <c r="H668" s="165" t="s">
        <v>281</v>
      </c>
      <c r="I668" s="144">
        <v>46166</v>
      </c>
      <c r="J668">
        <v>151</v>
      </c>
      <c r="K668" s="165" t="s">
        <v>2019</v>
      </c>
      <c r="L668" s="165" t="s">
        <v>8</v>
      </c>
      <c r="M668" s="144">
        <v>46753</v>
      </c>
      <c r="N668" s="146">
        <v>9901</v>
      </c>
      <c r="O668">
        <v>0</v>
      </c>
      <c r="P668">
        <v>9901</v>
      </c>
      <c r="Q668" s="165" t="s">
        <v>225</v>
      </c>
      <c r="R668" s="165"/>
    </row>
    <row r="669" spans="1:19" x14ac:dyDescent="0.25">
      <c r="A669">
        <v>38</v>
      </c>
      <c r="B669" s="144">
        <v>46015</v>
      </c>
      <c r="C669">
        <v>12659</v>
      </c>
      <c r="D669" s="165" t="s">
        <v>280</v>
      </c>
      <c r="E669" s="165" t="s">
        <v>181</v>
      </c>
      <c r="F669" s="165" t="s">
        <v>247</v>
      </c>
      <c r="G669" s="165" t="s">
        <v>869</v>
      </c>
      <c r="H669" s="165" t="s">
        <v>281</v>
      </c>
      <c r="I669" s="144">
        <v>46166</v>
      </c>
      <c r="J669">
        <v>151</v>
      </c>
      <c r="K669" s="165" t="s">
        <v>240</v>
      </c>
      <c r="L669" s="165" t="s">
        <v>8</v>
      </c>
      <c r="M669" s="144">
        <v>46753</v>
      </c>
      <c r="N669" s="146">
        <v>9901</v>
      </c>
      <c r="O669">
        <v>0</v>
      </c>
      <c r="P669">
        <v>9901</v>
      </c>
      <c r="Q669" s="165" t="s">
        <v>225</v>
      </c>
      <c r="R669" s="165"/>
      <c r="S669" t="s">
        <v>241</v>
      </c>
    </row>
    <row r="670" spans="1:19" x14ac:dyDescent="0.25">
      <c r="A670">
        <v>37</v>
      </c>
      <c r="B670" s="144">
        <v>46015</v>
      </c>
      <c r="C670">
        <v>12688</v>
      </c>
      <c r="D670" s="165" t="s">
        <v>282</v>
      </c>
      <c r="E670" s="165" t="s">
        <v>15</v>
      </c>
      <c r="F670" s="165" t="s">
        <v>283</v>
      </c>
      <c r="G670" s="165" t="s">
        <v>548</v>
      </c>
      <c r="H670" s="165" t="s">
        <v>284</v>
      </c>
      <c r="I670" s="144">
        <v>47304</v>
      </c>
      <c r="J670">
        <v>1289</v>
      </c>
      <c r="K670" s="165" t="s">
        <v>2019</v>
      </c>
      <c r="L670" s="165" t="s">
        <v>8</v>
      </c>
      <c r="M670" s="144">
        <v>47119</v>
      </c>
      <c r="N670" s="146">
        <v>9804</v>
      </c>
      <c r="O670">
        <v>0</v>
      </c>
      <c r="P670">
        <v>9804</v>
      </c>
      <c r="Q670" s="165" t="s">
        <v>225</v>
      </c>
      <c r="R670" s="165"/>
    </row>
    <row r="671" spans="1:19" x14ac:dyDescent="0.25">
      <c r="A671">
        <v>36</v>
      </c>
      <c r="B671" s="144">
        <v>46015</v>
      </c>
      <c r="C671">
        <v>12688</v>
      </c>
      <c r="D671" s="165" t="s">
        <v>282</v>
      </c>
      <c r="E671" s="165" t="s">
        <v>15</v>
      </c>
      <c r="F671" s="165" t="s">
        <v>283</v>
      </c>
      <c r="G671" s="165" t="s">
        <v>1144</v>
      </c>
      <c r="H671" s="165" t="s">
        <v>284</v>
      </c>
      <c r="I671" s="144">
        <v>47304</v>
      </c>
      <c r="J671">
        <v>1289</v>
      </c>
      <c r="K671" s="165" t="s">
        <v>240</v>
      </c>
      <c r="L671" s="165" t="s">
        <v>8</v>
      </c>
      <c r="M671" s="144">
        <v>47119</v>
      </c>
      <c r="N671" s="146">
        <v>9804</v>
      </c>
      <c r="O671">
        <v>3000</v>
      </c>
      <c r="P671">
        <v>6804</v>
      </c>
      <c r="Q671" s="165" t="s">
        <v>225</v>
      </c>
      <c r="R671" s="165"/>
      <c r="S671" t="s">
        <v>269</v>
      </c>
    </row>
    <row r="672" spans="1:19" x14ac:dyDescent="0.25">
      <c r="A672">
        <v>35</v>
      </c>
      <c r="B672" s="144">
        <v>46015</v>
      </c>
      <c r="C672">
        <v>12683</v>
      </c>
      <c r="D672" s="165" t="s">
        <v>285</v>
      </c>
      <c r="E672" s="165" t="s">
        <v>15</v>
      </c>
      <c r="F672" s="165" t="s">
        <v>271</v>
      </c>
      <c r="G672" s="165" t="s">
        <v>610</v>
      </c>
      <c r="H672" s="165" t="s">
        <v>286</v>
      </c>
      <c r="I672" s="144">
        <v>47021</v>
      </c>
      <c r="J672">
        <v>1006</v>
      </c>
      <c r="K672" s="165" t="s">
        <v>2019</v>
      </c>
      <c r="L672" s="165" t="s">
        <v>8</v>
      </c>
      <c r="M672" s="144">
        <v>46753</v>
      </c>
      <c r="N672" s="146">
        <v>9800</v>
      </c>
      <c r="O672">
        <v>0</v>
      </c>
      <c r="P672">
        <v>9800</v>
      </c>
      <c r="Q672" s="165" t="s">
        <v>225</v>
      </c>
      <c r="R672" s="165"/>
    </row>
    <row r="673" spans="1:19" x14ac:dyDescent="0.25">
      <c r="A673">
        <v>34</v>
      </c>
      <c r="B673" s="144">
        <v>46015</v>
      </c>
      <c r="C673">
        <v>12683</v>
      </c>
      <c r="D673" s="165" t="s">
        <v>285</v>
      </c>
      <c r="E673" s="165" t="s">
        <v>15</v>
      </c>
      <c r="F673" s="165" t="s">
        <v>271</v>
      </c>
      <c r="G673" s="165" t="s">
        <v>1228</v>
      </c>
      <c r="H673" s="165" t="s">
        <v>286</v>
      </c>
      <c r="I673" s="144">
        <v>47021</v>
      </c>
      <c r="J673">
        <v>1006</v>
      </c>
      <c r="K673" s="165" t="s">
        <v>240</v>
      </c>
      <c r="L673" s="165" t="s">
        <v>8</v>
      </c>
      <c r="M673" s="144">
        <v>46753</v>
      </c>
      <c r="N673" s="146">
        <v>9800</v>
      </c>
      <c r="O673">
        <v>0</v>
      </c>
      <c r="P673">
        <v>9800</v>
      </c>
      <c r="Q673" s="165" t="s">
        <v>225</v>
      </c>
      <c r="R673" s="165"/>
      <c r="S673" t="s">
        <v>241</v>
      </c>
    </row>
    <row r="674" spans="1:19" x14ac:dyDescent="0.25">
      <c r="A674">
        <v>33</v>
      </c>
      <c r="B674" s="144">
        <v>46015</v>
      </c>
      <c r="C674">
        <v>12681</v>
      </c>
      <c r="D674" s="165" t="s">
        <v>287</v>
      </c>
      <c r="E674" s="165" t="s">
        <v>201</v>
      </c>
      <c r="F674" s="165" t="s">
        <v>271</v>
      </c>
      <c r="G674" s="165" t="s">
        <v>735</v>
      </c>
      <c r="H674" s="165" t="s">
        <v>288</v>
      </c>
      <c r="I674" s="144">
        <v>47100</v>
      </c>
      <c r="J674">
        <v>1085</v>
      </c>
      <c r="K674" s="165" t="s">
        <v>2019</v>
      </c>
      <c r="L674" s="165" t="s">
        <v>8</v>
      </c>
      <c r="M674" s="144">
        <v>46753</v>
      </c>
      <c r="N674" s="146">
        <v>9000</v>
      </c>
      <c r="O674">
        <v>0</v>
      </c>
      <c r="P674">
        <v>9000</v>
      </c>
      <c r="Q674" s="165" t="s">
        <v>225</v>
      </c>
      <c r="R674" s="165"/>
    </row>
    <row r="675" spans="1:19" x14ac:dyDescent="0.25">
      <c r="A675">
        <v>32</v>
      </c>
      <c r="B675" s="144">
        <v>46015</v>
      </c>
      <c r="C675">
        <v>12681</v>
      </c>
      <c r="D675" s="165" t="s">
        <v>287</v>
      </c>
      <c r="E675" s="165" t="s">
        <v>201</v>
      </c>
      <c r="F675" s="165" t="s">
        <v>271</v>
      </c>
      <c r="G675" s="165" t="s">
        <v>1491</v>
      </c>
      <c r="H675" s="165" t="s">
        <v>288</v>
      </c>
      <c r="I675" s="144">
        <v>47100</v>
      </c>
      <c r="J675">
        <v>1085</v>
      </c>
      <c r="K675" s="165" t="s">
        <v>240</v>
      </c>
      <c r="L675" s="165" t="s">
        <v>8</v>
      </c>
      <c r="M675" s="144">
        <v>46753</v>
      </c>
      <c r="N675" s="146">
        <v>9000</v>
      </c>
      <c r="O675">
        <v>0</v>
      </c>
      <c r="P675">
        <v>9000</v>
      </c>
      <c r="Q675" s="165" t="s">
        <v>225</v>
      </c>
      <c r="R675" s="165"/>
      <c r="S675" t="s">
        <v>269</v>
      </c>
    </row>
    <row r="676" spans="1:19" x14ac:dyDescent="0.25">
      <c r="A676">
        <v>31</v>
      </c>
      <c r="B676" s="144">
        <v>46015</v>
      </c>
      <c r="C676">
        <v>12601</v>
      </c>
      <c r="D676" s="165" t="s">
        <v>289</v>
      </c>
      <c r="E676" s="165" t="s">
        <v>9</v>
      </c>
      <c r="F676" s="165" t="s">
        <v>290</v>
      </c>
      <c r="G676" s="165" t="s">
        <v>492</v>
      </c>
      <c r="H676" s="165" t="s">
        <v>291</v>
      </c>
      <c r="I676" s="144">
        <v>47302</v>
      </c>
      <c r="J676">
        <v>1287</v>
      </c>
      <c r="K676" s="165" t="s">
        <v>2019</v>
      </c>
      <c r="L676" s="165" t="s">
        <v>8</v>
      </c>
      <c r="M676" s="144">
        <v>46753</v>
      </c>
      <c r="N676" s="146">
        <v>9000</v>
      </c>
      <c r="O676">
        <v>0</v>
      </c>
      <c r="P676">
        <v>9000</v>
      </c>
      <c r="Q676" s="165" t="s">
        <v>225</v>
      </c>
      <c r="R676" s="165"/>
    </row>
    <row r="677" spans="1:19" x14ac:dyDescent="0.25">
      <c r="A677">
        <v>30</v>
      </c>
      <c r="B677" s="144">
        <v>46015</v>
      </c>
      <c r="C677">
        <v>12601</v>
      </c>
      <c r="D677" s="165" t="s">
        <v>289</v>
      </c>
      <c r="E677" s="165" t="s">
        <v>9</v>
      </c>
      <c r="F677" s="165" t="s">
        <v>290</v>
      </c>
      <c r="G677" s="165" t="s">
        <v>1053</v>
      </c>
      <c r="H677" s="165" t="s">
        <v>291</v>
      </c>
      <c r="I677" s="144">
        <v>47302</v>
      </c>
      <c r="J677">
        <v>1287</v>
      </c>
      <c r="K677" s="165" t="s">
        <v>240</v>
      </c>
      <c r="L677" s="165" t="s">
        <v>8</v>
      </c>
      <c r="M677" s="144">
        <v>46753</v>
      </c>
      <c r="N677" s="146">
        <v>9000</v>
      </c>
      <c r="O677">
        <v>4000</v>
      </c>
      <c r="P677">
        <v>5000</v>
      </c>
      <c r="Q677" s="165" t="s">
        <v>225</v>
      </c>
      <c r="R677" s="165"/>
      <c r="S677" t="s">
        <v>263</v>
      </c>
    </row>
    <row r="678" spans="1:19" x14ac:dyDescent="0.25">
      <c r="A678">
        <v>29</v>
      </c>
      <c r="B678" s="144">
        <v>46015</v>
      </c>
      <c r="C678">
        <v>12629</v>
      </c>
      <c r="D678" s="165" t="s">
        <v>292</v>
      </c>
      <c r="E678" s="165" t="s">
        <v>12</v>
      </c>
      <c r="F678" s="165" t="s">
        <v>293</v>
      </c>
      <c r="G678" s="165" t="s">
        <v>458</v>
      </c>
      <c r="H678" s="165" t="s">
        <v>294</v>
      </c>
      <c r="I678" s="144">
        <v>46190</v>
      </c>
      <c r="J678">
        <v>175</v>
      </c>
      <c r="K678" s="165" t="s">
        <v>2019</v>
      </c>
      <c r="L678" s="165" t="s">
        <v>8</v>
      </c>
      <c r="M678" s="144">
        <v>47484</v>
      </c>
      <c r="N678" s="146">
        <v>8000</v>
      </c>
      <c r="O678">
        <v>0</v>
      </c>
      <c r="P678">
        <v>8000</v>
      </c>
      <c r="Q678" s="165" t="s">
        <v>225</v>
      </c>
      <c r="R678" s="165"/>
    </row>
    <row r="679" spans="1:19" x14ac:dyDescent="0.25">
      <c r="A679">
        <v>28</v>
      </c>
      <c r="B679" s="144">
        <v>46015</v>
      </c>
      <c r="C679">
        <v>12629</v>
      </c>
      <c r="D679" s="165" t="s">
        <v>292</v>
      </c>
      <c r="E679" s="165" t="s">
        <v>12</v>
      </c>
      <c r="F679" s="165" t="s">
        <v>293</v>
      </c>
      <c r="G679" s="165" t="s">
        <v>973</v>
      </c>
      <c r="H679" s="165" t="s">
        <v>294</v>
      </c>
      <c r="I679" s="144">
        <v>46190</v>
      </c>
      <c r="J679">
        <v>175</v>
      </c>
      <c r="K679" s="165" t="s">
        <v>240</v>
      </c>
      <c r="L679" s="165" t="s">
        <v>8</v>
      </c>
      <c r="M679" s="144">
        <v>47484</v>
      </c>
      <c r="N679" s="146">
        <v>8000</v>
      </c>
      <c r="O679">
        <v>2500</v>
      </c>
      <c r="P679">
        <v>5500</v>
      </c>
      <c r="Q679" s="165" t="s">
        <v>225</v>
      </c>
      <c r="R679" s="165"/>
      <c r="S679" t="s">
        <v>263</v>
      </c>
    </row>
    <row r="680" spans="1:19" x14ac:dyDescent="0.25">
      <c r="A680">
        <v>27</v>
      </c>
      <c r="B680" s="144">
        <v>46015</v>
      </c>
      <c r="C680">
        <v>12632</v>
      </c>
      <c r="D680" s="165" t="s">
        <v>295</v>
      </c>
      <c r="E680" s="165" t="s">
        <v>106</v>
      </c>
      <c r="F680" s="165" t="s">
        <v>296</v>
      </c>
      <c r="G680" s="165" t="s">
        <v>632</v>
      </c>
      <c r="H680" s="165" t="s">
        <v>297</v>
      </c>
      <c r="I680" s="144">
        <v>46063</v>
      </c>
      <c r="J680">
        <v>48</v>
      </c>
      <c r="K680" s="165" t="s">
        <v>2019</v>
      </c>
      <c r="L680" s="165" t="s">
        <v>102</v>
      </c>
      <c r="M680" s="144">
        <v>46753</v>
      </c>
      <c r="N680" s="146">
        <v>6000</v>
      </c>
      <c r="O680">
        <v>0</v>
      </c>
      <c r="P680">
        <v>6000</v>
      </c>
      <c r="Q680" s="165" t="s">
        <v>225</v>
      </c>
      <c r="R680" s="165"/>
    </row>
    <row r="681" spans="1:19" x14ac:dyDescent="0.25">
      <c r="A681">
        <v>26</v>
      </c>
      <c r="B681" s="144">
        <v>46015</v>
      </c>
      <c r="C681">
        <v>12632</v>
      </c>
      <c r="D681" s="165" t="s">
        <v>295</v>
      </c>
      <c r="E681" s="165" t="s">
        <v>106</v>
      </c>
      <c r="F681" s="165" t="s">
        <v>296</v>
      </c>
      <c r="G681" s="165" t="s">
        <v>2803</v>
      </c>
      <c r="H681" s="165" t="s">
        <v>297</v>
      </c>
      <c r="I681" s="144">
        <v>46063</v>
      </c>
      <c r="J681">
        <v>48</v>
      </c>
      <c r="K681" s="165" t="s">
        <v>240</v>
      </c>
      <c r="L681" s="165" t="s">
        <v>102</v>
      </c>
      <c r="M681" s="144">
        <v>46753</v>
      </c>
      <c r="N681" s="146">
        <v>6000</v>
      </c>
      <c r="O681">
        <v>0</v>
      </c>
      <c r="P681">
        <v>6000</v>
      </c>
      <c r="Q681" s="165" t="s">
        <v>225</v>
      </c>
      <c r="R681" s="165"/>
      <c r="S681" t="s">
        <v>251</v>
      </c>
    </row>
    <row r="682" spans="1:19" x14ac:dyDescent="0.25">
      <c r="A682">
        <v>25</v>
      </c>
      <c r="B682" s="144">
        <v>46015</v>
      </c>
      <c r="C682">
        <v>12684</v>
      </c>
      <c r="D682" s="165" t="s">
        <v>298</v>
      </c>
      <c r="E682" s="165" t="s">
        <v>15</v>
      </c>
      <c r="F682" s="165" t="s">
        <v>299</v>
      </c>
      <c r="G682" s="165" t="s">
        <v>562</v>
      </c>
      <c r="H682" s="165" t="s">
        <v>300</v>
      </c>
      <c r="I682" s="144">
        <v>47245</v>
      </c>
      <c r="J682">
        <v>1230</v>
      </c>
      <c r="K682" s="165" t="s">
        <v>2019</v>
      </c>
      <c r="L682" s="165" t="s">
        <v>8</v>
      </c>
      <c r="M682" s="144">
        <v>47119</v>
      </c>
      <c r="N682" s="146">
        <v>3500</v>
      </c>
      <c r="O682">
        <v>0</v>
      </c>
      <c r="P682">
        <v>3500</v>
      </c>
      <c r="Q682" s="165" t="s">
        <v>225</v>
      </c>
      <c r="R682" s="165"/>
    </row>
    <row r="683" spans="1:19" x14ac:dyDescent="0.25">
      <c r="A683">
        <v>24</v>
      </c>
      <c r="B683" s="144">
        <v>46015</v>
      </c>
      <c r="C683">
        <v>12684</v>
      </c>
      <c r="D683" s="165" t="s">
        <v>298</v>
      </c>
      <c r="E683" s="165" t="s">
        <v>15</v>
      </c>
      <c r="F683" s="165" t="s">
        <v>299</v>
      </c>
      <c r="G683" s="165" t="s">
        <v>1160</v>
      </c>
      <c r="H683" s="165" t="s">
        <v>300</v>
      </c>
      <c r="I683" s="144">
        <v>47245</v>
      </c>
      <c r="J683">
        <v>1230</v>
      </c>
      <c r="K683" s="165" t="s">
        <v>240</v>
      </c>
      <c r="L683" s="165" t="s">
        <v>8</v>
      </c>
      <c r="M683" s="144">
        <v>47119</v>
      </c>
      <c r="N683" s="146">
        <v>3500</v>
      </c>
      <c r="O683">
        <v>0</v>
      </c>
      <c r="P683">
        <v>3500</v>
      </c>
      <c r="Q683" s="165" t="s">
        <v>225</v>
      </c>
      <c r="R683" s="165"/>
      <c r="S683" t="s">
        <v>269</v>
      </c>
    </row>
    <row r="684" spans="1:19" x14ac:dyDescent="0.25">
      <c r="A684">
        <v>23</v>
      </c>
      <c r="B684" s="144">
        <v>46010</v>
      </c>
      <c r="C684">
        <v>12697</v>
      </c>
      <c r="D684" s="165" t="s">
        <v>301</v>
      </c>
      <c r="E684" s="165" t="s">
        <v>12</v>
      </c>
      <c r="F684" s="165" t="s">
        <v>258</v>
      </c>
      <c r="G684" s="165" t="s">
        <v>1208</v>
      </c>
      <c r="H684" s="165" t="s">
        <v>302</v>
      </c>
      <c r="I684" s="144">
        <v>46152</v>
      </c>
      <c r="J684">
        <v>142</v>
      </c>
      <c r="K684" s="165" t="s">
        <v>240</v>
      </c>
      <c r="L684" s="165" t="s">
        <v>8</v>
      </c>
      <c r="M684" s="144">
        <v>46753</v>
      </c>
      <c r="N684" s="146">
        <v>1000</v>
      </c>
      <c r="O684">
        <v>0</v>
      </c>
      <c r="P684">
        <v>1000</v>
      </c>
      <c r="Q684" s="165" t="s">
        <v>225</v>
      </c>
      <c r="R684" s="165" t="s">
        <v>303</v>
      </c>
      <c r="S684" t="s">
        <v>241</v>
      </c>
    </row>
    <row r="685" spans="1:19" x14ac:dyDescent="0.25">
      <c r="A685">
        <v>22</v>
      </c>
      <c r="B685" s="144">
        <v>46010</v>
      </c>
      <c r="C685">
        <v>12653</v>
      </c>
      <c r="D685" s="165" t="s">
        <v>304</v>
      </c>
      <c r="E685" s="165" t="s">
        <v>141</v>
      </c>
      <c r="F685" s="165" t="s">
        <v>258</v>
      </c>
      <c r="G685" s="165" t="s">
        <v>538</v>
      </c>
      <c r="H685" s="165" t="s">
        <v>305</v>
      </c>
      <c r="I685" s="144">
        <v>46987</v>
      </c>
      <c r="J685">
        <v>977</v>
      </c>
      <c r="K685" s="165" t="s">
        <v>2019</v>
      </c>
      <c r="L685" s="165" t="s">
        <v>8</v>
      </c>
      <c r="M685" s="144">
        <v>46753</v>
      </c>
      <c r="N685" s="146">
        <v>5000</v>
      </c>
      <c r="O685">
        <v>0</v>
      </c>
      <c r="P685">
        <v>5000</v>
      </c>
      <c r="Q685" s="165" t="s">
        <v>225</v>
      </c>
      <c r="R685" s="165"/>
    </row>
    <row r="686" spans="1:19" x14ac:dyDescent="0.25">
      <c r="A686">
        <v>21</v>
      </c>
      <c r="B686" s="144">
        <v>46010</v>
      </c>
      <c r="C686">
        <v>12653</v>
      </c>
      <c r="D686" s="165" t="s">
        <v>304</v>
      </c>
      <c r="E686" s="165" t="s">
        <v>141</v>
      </c>
      <c r="F686" s="165" t="s">
        <v>258</v>
      </c>
      <c r="G686" s="165" t="s">
        <v>1716</v>
      </c>
      <c r="H686" s="165" t="s">
        <v>305</v>
      </c>
      <c r="I686" s="144">
        <v>46987</v>
      </c>
      <c r="J686">
        <v>977</v>
      </c>
      <c r="K686" s="165" t="s">
        <v>240</v>
      </c>
      <c r="L686" s="165" t="s">
        <v>8</v>
      </c>
      <c r="M686" s="144">
        <v>46753</v>
      </c>
      <c r="N686" s="146">
        <v>5000</v>
      </c>
      <c r="O686">
        <v>0</v>
      </c>
      <c r="P686">
        <v>5000</v>
      </c>
      <c r="Q686" s="165" t="s">
        <v>225</v>
      </c>
      <c r="R686" s="165"/>
      <c r="S686" t="s">
        <v>241</v>
      </c>
    </row>
    <row r="687" spans="1:19" x14ac:dyDescent="0.25">
      <c r="A687">
        <v>20</v>
      </c>
      <c r="B687" s="144">
        <v>46010</v>
      </c>
      <c r="C687">
        <v>12650</v>
      </c>
      <c r="D687" s="165" t="s">
        <v>306</v>
      </c>
      <c r="E687" s="165" t="s">
        <v>16</v>
      </c>
      <c r="F687" s="165" t="s">
        <v>293</v>
      </c>
      <c r="G687" s="165" t="s">
        <v>596</v>
      </c>
      <c r="H687" s="165" t="s">
        <v>307</v>
      </c>
      <c r="I687" s="144">
        <v>45928</v>
      </c>
      <c r="J687">
        <v>-82</v>
      </c>
      <c r="K687" s="165" t="s">
        <v>2019</v>
      </c>
      <c r="L687" s="165" t="s">
        <v>8</v>
      </c>
      <c r="M687" s="144">
        <v>47119</v>
      </c>
      <c r="N687" s="146">
        <v>3500</v>
      </c>
      <c r="O687">
        <v>0</v>
      </c>
      <c r="P687">
        <v>3500</v>
      </c>
      <c r="Q687" s="165" t="s">
        <v>225</v>
      </c>
      <c r="R687" s="165"/>
    </row>
    <row r="688" spans="1:19" x14ac:dyDescent="0.25">
      <c r="A688">
        <v>19</v>
      </c>
      <c r="B688" s="144">
        <v>46010</v>
      </c>
      <c r="C688">
        <v>12650</v>
      </c>
      <c r="D688" s="165" t="s">
        <v>306</v>
      </c>
      <c r="E688" s="165" t="s">
        <v>16</v>
      </c>
      <c r="F688" s="165" t="s">
        <v>293</v>
      </c>
      <c r="G688" s="165" t="s">
        <v>2801</v>
      </c>
      <c r="H688" s="165" t="s">
        <v>307</v>
      </c>
      <c r="I688" s="144">
        <v>45928</v>
      </c>
      <c r="J688">
        <v>-82</v>
      </c>
      <c r="K688" s="165" t="s">
        <v>240</v>
      </c>
      <c r="L688" s="165" t="s">
        <v>8</v>
      </c>
      <c r="M688" s="144">
        <v>47119</v>
      </c>
      <c r="N688" s="146">
        <v>3500</v>
      </c>
      <c r="O688">
        <v>0</v>
      </c>
      <c r="P688">
        <v>3500</v>
      </c>
      <c r="Q688" s="165" t="s">
        <v>225</v>
      </c>
      <c r="R688" s="165"/>
      <c r="S688" t="s">
        <v>263</v>
      </c>
    </row>
    <row r="689" spans="1:19" x14ac:dyDescent="0.25">
      <c r="A689">
        <v>18</v>
      </c>
      <c r="B689" s="144">
        <v>46010</v>
      </c>
      <c r="C689">
        <v>12649</v>
      </c>
      <c r="D689" s="165" t="s">
        <v>308</v>
      </c>
      <c r="E689" s="165" t="s">
        <v>11</v>
      </c>
      <c r="F689" s="165" t="s">
        <v>258</v>
      </c>
      <c r="G689" s="165" t="s">
        <v>1693</v>
      </c>
      <c r="H689" s="165" t="s">
        <v>309</v>
      </c>
      <c r="I689" s="144">
        <v>46047</v>
      </c>
      <c r="J689">
        <v>37</v>
      </c>
      <c r="K689" s="165" t="s">
        <v>2019</v>
      </c>
      <c r="L689" s="165" t="s">
        <v>8</v>
      </c>
      <c r="M689" s="144">
        <v>47484</v>
      </c>
      <c r="N689" s="146">
        <v>3000</v>
      </c>
      <c r="O689">
        <v>0</v>
      </c>
      <c r="P689">
        <v>3000</v>
      </c>
      <c r="Q689" s="165" t="s">
        <v>225</v>
      </c>
      <c r="R689" s="165"/>
    </row>
    <row r="690" spans="1:19" x14ac:dyDescent="0.25">
      <c r="A690">
        <v>17</v>
      </c>
      <c r="B690" s="144">
        <v>46010</v>
      </c>
      <c r="C690">
        <v>12649</v>
      </c>
      <c r="D690" s="165" t="s">
        <v>308</v>
      </c>
      <c r="E690" s="165" t="s">
        <v>11</v>
      </c>
      <c r="F690" s="165" t="s">
        <v>258</v>
      </c>
      <c r="G690" s="165" t="s">
        <v>937</v>
      </c>
      <c r="H690" s="165" t="s">
        <v>309</v>
      </c>
      <c r="I690" s="144">
        <v>46047</v>
      </c>
      <c r="J690">
        <v>37</v>
      </c>
      <c r="K690" s="165" t="s">
        <v>240</v>
      </c>
      <c r="L690" s="165" t="s">
        <v>8</v>
      </c>
      <c r="M690" s="144">
        <v>47484</v>
      </c>
      <c r="N690" s="146">
        <v>3000</v>
      </c>
      <c r="O690">
        <v>0</v>
      </c>
      <c r="P690">
        <v>3000</v>
      </c>
      <c r="Q690" s="165" t="s">
        <v>225</v>
      </c>
      <c r="R690" s="165"/>
      <c r="S690" t="s">
        <v>241</v>
      </c>
    </row>
    <row r="691" spans="1:19" x14ac:dyDescent="0.25">
      <c r="A691">
        <v>16</v>
      </c>
      <c r="B691" s="144">
        <v>46010</v>
      </c>
      <c r="C691">
        <v>12616</v>
      </c>
      <c r="D691" s="165" t="s">
        <v>310</v>
      </c>
      <c r="E691" s="165" t="s">
        <v>11</v>
      </c>
      <c r="F691" s="165" t="s">
        <v>274</v>
      </c>
      <c r="G691" s="165" t="s">
        <v>620</v>
      </c>
      <c r="H691" s="165" t="s">
        <v>311</v>
      </c>
      <c r="I691" s="144">
        <v>46586</v>
      </c>
      <c r="J691">
        <v>576</v>
      </c>
      <c r="K691" s="165" t="s">
        <v>2019</v>
      </c>
      <c r="L691" s="165" t="s">
        <v>8</v>
      </c>
      <c r="M691" s="144">
        <v>46753</v>
      </c>
      <c r="N691" s="146">
        <v>700</v>
      </c>
      <c r="O691">
        <v>0</v>
      </c>
      <c r="P691">
        <v>700</v>
      </c>
      <c r="Q691" s="165" t="s">
        <v>225</v>
      </c>
      <c r="R691" s="165"/>
    </row>
    <row r="692" spans="1:19" x14ac:dyDescent="0.25">
      <c r="A692">
        <v>15</v>
      </c>
      <c r="B692" s="144">
        <v>46010</v>
      </c>
      <c r="C692">
        <v>12616</v>
      </c>
      <c r="D692" s="165" t="s">
        <v>310</v>
      </c>
      <c r="E692" s="165" t="s">
        <v>11</v>
      </c>
      <c r="F692" s="165" t="s">
        <v>274</v>
      </c>
      <c r="G692" s="165" t="s">
        <v>1244</v>
      </c>
      <c r="H692" s="165" t="s">
        <v>311</v>
      </c>
      <c r="I692" s="144">
        <v>46586</v>
      </c>
      <c r="J692">
        <v>576</v>
      </c>
      <c r="K692" s="165" t="s">
        <v>240</v>
      </c>
      <c r="L692" s="165" t="s">
        <v>8</v>
      </c>
      <c r="M692" s="144">
        <v>46753</v>
      </c>
      <c r="N692" s="146">
        <v>700</v>
      </c>
      <c r="O692">
        <v>0</v>
      </c>
      <c r="P692">
        <v>700</v>
      </c>
      <c r="Q692" s="165" t="s">
        <v>225</v>
      </c>
      <c r="R692" s="165"/>
      <c r="S692" t="s">
        <v>241</v>
      </c>
    </row>
    <row r="693" spans="1:19" x14ac:dyDescent="0.25">
      <c r="A693">
        <v>14</v>
      </c>
      <c r="B693" s="144">
        <v>46010</v>
      </c>
      <c r="C693">
        <v>12611</v>
      </c>
      <c r="D693" s="165" t="s">
        <v>312</v>
      </c>
      <c r="E693" s="165" t="s">
        <v>166</v>
      </c>
      <c r="F693" s="165" t="s">
        <v>290</v>
      </c>
      <c r="G693" s="165" t="s">
        <v>484</v>
      </c>
      <c r="H693" s="165" t="s">
        <v>313</v>
      </c>
      <c r="I693" s="144">
        <v>46390</v>
      </c>
      <c r="J693">
        <v>380</v>
      </c>
      <c r="K693" s="165" t="s">
        <v>2019</v>
      </c>
      <c r="L693" s="165" t="s">
        <v>8</v>
      </c>
      <c r="M693" s="144">
        <v>46753</v>
      </c>
      <c r="N693" s="146">
        <v>3000</v>
      </c>
      <c r="O693">
        <v>0</v>
      </c>
      <c r="P693">
        <v>3000</v>
      </c>
      <c r="Q693" s="165" t="s">
        <v>225</v>
      </c>
      <c r="R693" s="165"/>
    </row>
    <row r="694" spans="1:19" x14ac:dyDescent="0.25">
      <c r="A694">
        <v>13</v>
      </c>
      <c r="B694" s="144">
        <v>46010</v>
      </c>
      <c r="C694">
        <v>12611</v>
      </c>
      <c r="D694" s="165" t="s">
        <v>312</v>
      </c>
      <c r="E694" s="165" t="s">
        <v>166</v>
      </c>
      <c r="F694" s="165" t="s">
        <v>290</v>
      </c>
      <c r="G694" s="165" t="s">
        <v>1812</v>
      </c>
      <c r="H694" s="165" t="s">
        <v>313</v>
      </c>
      <c r="I694" s="144">
        <v>46390</v>
      </c>
      <c r="J694">
        <v>380</v>
      </c>
      <c r="K694" s="165" t="s">
        <v>240</v>
      </c>
      <c r="L694" s="165" t="s">
        <v>8</v>
      </c>
      <c r="M694" s="144">
        <v>46753</v>
      </c>
      <c r="N694" s="146">
        <v>3000</v>
      </c>
      <c r="O694">
        <v>0</v>
      </c>
      <c r="P694">
        <v>3000</v>
      </c>
      <c r="Q694" s="165" t="s">
        <v>225</v>
      </c>
      <c r="R694" s="165"/>
      <c r="S694" t="s">
        <v>263</v>
      </c>
    </row>
    <row r="695" spans="1:19" x14ac:dyDescent="0.25">
      <c r="A695">
        <v>12</v>
      </c>
      <c r="B695" s="144">
        <v>46010</v>
      </c>
      <c r="C695">
        <v>12638</v>
      </c>
      <c r="D695" s="165" t="s">
        <v>2025</v>
      </c>
      <c r="E695" s="165" t="s">
        <v>11</v>
      </c>
      <c r="F695" s="165" t="s">
        <v>293</v>
      </c>
      <c r="G695" s="165" t="s">
        <v>456</v>
      </c>
      <c r="H695" s="165" t="s">
        <v>2026</v>
      </c>
      <c r="I695" s="144">
        <v>47258</v>
      </c>
      <c r="J695">
        <v>1248</v>
      </c>
      <c r="K695" s="165" t="s">
        <v>2019</v>
      </c>
      <c r="L695" s="165" t="s">
        <v>8</v>
      </c>
      <c r="M695" s="144">
        <v>47484</v>
      </c>
      <c r="N695" s="146">
        <v>12000</v>
      </c>
      <c r="O695">
        <v>0</v>
      </c>
      <c r="P695">
        <v>12000</v>
      </c>
      <c r="Q695" s="165" t="s">
        <v>225</v>
      </c>
      <c r="R695" s="165" t="s">
        <v>2027</v>
      </c>
    </row>
    <row r="696" spans="1:19" x14ac:dyDescent="0.25">
      <c r="A696">
        <v>11</v>
      </c>
      <c r="B696" s="144">
        <v>46010</v>
      </c>
      <c r="C696">
        <v>12651</v>
      </c>
      <c r="D696" s="165" t="s">
        <v>306</v>
      </c>
      <c r="E696" s="165" t="s">
        <v>16</v>
      </c>
      <c r="F696" s="165" t="s">
        <v>261</v>
      </c>
      <c r="G696" s="165" t="s">
        <v>1210</v>
      </c>
      <c r="H696" s="165" t="s">
        <v>307</v>
      </c>
      <c r="I696" s="144">
        <v>45928</v>
      </c>
      <c r="J696">
        <v>-82</v>
      </c>
      <c r="K696" s="165" t="s">
        <v>262</v>
      </c>
      <c r="L696" s="165" t="s">
        <v>102</v>
      </c>
      <c r="M696" s="144">
        <v>47119</v>
      </c>
      <c r="N696" s="146">
        <v>21500</v>
      </c>
      <c r="O696">
        <v>0</v>
      </c>
      <c r="P696">
        <v>21500</v>
      </c>
      <c r="Q696" s="165" t="s">
        <v>225</v>
      </c>
      <c r="R696" s="165"/>
      <c r="S696" t="s">
        <v>263</v>
      </c>
    </row>
    <row r="697" spans="1:19" x14ac:dyDescent="0.25">
      <c r="A697">
        <v>10</v>
      </c>
      <c r="B697" s="144">
        <v>46010</v>
      </c>
      <c r="C697">
        <v>12676</v>
      </c>
      <c r="D697" s="165" t="s">
        <v>314</v>
      </c>
      <c r="E697" s="165" t="s">
        <v>15</v>
      </c>
      <c r="F697" s="165" t="s">
        <v>247</v>
      </c>
      <c r="G697" s="165" t="s">
        <v>544</v>
      </c>
      <c r="H697" s="165" t="s">
        <v>315</v>
      </c>
      <c r="I697" s="144">
        <v>47590</v>
      </c>
      <c r="J697">
        <v>1580</v>
      </c>
      <c r="K697" s="165" t="s">
        <v>2019</v>
      </c>
      <c r="L697" s="165" t="s">
        <v>8</v>
      </c>
      <c r="M697" s="144">
        <v>46753</v>
      </c>
      <c r="N697" s="146">
        <v>23529</v>
      </c>
      <c r="O697">
        <v>0</v>
      </c>
      <c r="P697">
        <v>23529</v>
      </c>
      <c r="Q697" s="165" t="s">
        <v>225</v>
      </c>
      <c r="R697" s="165"/>
    </row>
    <row r="698" spans="1:19" x14ac:dyDescent="0.25">
      <c r="A698">
        <v>9</v>
      </c>
      <c r="B698" s="144">
        <v>46010</v>
      </c>
      <c r="C698">
        <v>12676</v>
      </c>
      <c r="D698" s="165" t="s">
        <v>314</v>
      </c>
      <c r="E698" s="165" t="s">
        <v>15</v>
      </c>
      <c r="F698" s="165" t="s">
        <v>247</v>
      </c>
      <c r="G698" s="165" t="s">
        <v>1130</v>
      </c>
      <c r="H698" s="165" t="s">
        <v>315</v>
      </c>
      <c r="I698" s="144">
        <v>47590</v>
      </c>
      <c r="J698">
        <v>1580</v>
      </c>
      <c r="K698" s="165" t="s">
        <v>240</v>
      </c>
      <c r="L698" s="165" t="s">
        <v>8</v>
      </c>
      <c r="M698" s="144">
        <v>46753</v>
      </c>
      <c r="N698" s="146">
        <v>23529</v>
      </c>
      <c r="O698">
        <v>0</v>
      </c>
      <c r="P698">
        <v>23529</v>
      </c>
      <c r="Q698" s="165" t="s">
        <v>225</v>
      </c>
      <c r="R698" s="165"/>
      <c r="S698" t="s">
        <v>241</v>
      </c>
    </row>
    <row r="699" spans="1:19" x14ac:dyDescent="0.25">
      <c r="A699">
        <v>8</v>
      </c>
      <c r="B699" s="144">
        <v>46010</v>
      </c>
      <c r="C699">
        <v>12677</v>
      </c>
      <c r="D699" s="165" t="s">
        <v>314</v>
      </c>
      <c r="E699" s="165" t="s">
        <v>15</v>
      </c>
      <c r="F699" s="165" t="s">
        <v>247</v>
      </c>
      <c r="G699" s="165" t="s">
        <v>544</v>
      </c>
      <c r="H699" s="165" t="s">
        <v>315</v>
      </c>
      <c r="I699" s="144">
        <v>47590</v>
      </c>
      <c r="J699">
        <v>1580</v>
      </c>
      <c r="K699" s="165" t="s">
        <v>2019</v>
      </c>
      <c r="L699" s="165" t="s">
        <v>8</v>
      </c>
      <c r="M699" s="144">
        <v>46753</v>
      </c>
      <c r="N699" s="146">
        <v>23529</v>
      </c>
      <c r="O699">
        <v>0</v>
      </c>
      <c r="P699">
        <v>23529</v>
      </c>
      <c r="Q699" s="165" t="s">
        <v>225</v>
      </c>
      <c r="R699" s="165"/>
    </row>
    <row r="700" spans="1:19" x14ac:dyDescent="0.25">
      <c r="A700">
        <v>7</v>
      </c>
      <c r="B700" s="144">
        <v>46010</v>
      </c>
      <c r="C700">
        <v>12677</v>
      </c>
      <c r="D700" s="165" t="s">
        <v>314</v>
      </c>
      <c r="E700" s="165" t="s">
        <v>15</v>
      </c>
      <c r="F700" s="165" t="s">
        <v>247</v>
      </c>
      <c r="G700" s="165" t="s">
        <v>1130</v>
      </c>
      <c r="H700" s="165" t="s">
        <v>315</v>
      </c>
      <c r="I700" s="144">
        <v>47590</v>
      </c>
      <c r="J700">
        <v>1580</v>
      </c>
      <c r="K700" s="165" t="s">
        <v>240</v>
      </c>
      <c r="L700" s="165" t="s">
        <v>8</v>
      </c>
      <c r="M700" s="144">
        <v>46753</v>
      </c>
      <c r="N700" s="146">
        <v>23529</v>
      </c>
      <c r="O700">
        <v>0</v>
      </c>
      <c r="P700">
        <v>23529</v>
      </c>
      <c r="Q700" s="165" t="s">
        <v>225</v>
      </c>
      <c r="R700" s="165"/>
      <c r="S700" t="s">
        <v>241</v>
      </c>
    </row>
    <row r="701" spans="1:19" x14ac:dyDescent="0.25">
      <c r="A701">
        <v>6</v>
      </c>
      <c r="B701" s="144">
        <v>46010</v>
      </c>
      <c r="C701">
        <v>12678</v>
      </c>
      <c r="D701" s="165" t="s">
        <v>314</v>
      </c>
      <c r="E701" s="165" t="s">
        <v>15</v>
      </c>
      <c r="F701" s="165" t="s">
        <v>247</v>
      </c>
      <c r="G701" s="165" t="s">
        <v>544</v>
      </c>
      <c r="H701" s="165" t="s">
        <v>315</v>
      </c>
      <c r="I701" s="144">
        <v>47590</v>
      </c>
      <c r="J701">
        <v>1580</v>
      </c>
      <c r="K701" s="165" t="s">
        <v>2019</v>
      </c>
      <c r="L701" s="165" t="s">
        <v>8</v>
      </c>
      <c r="M701" s="144">
        <v>46753</v>
      </c>
      <c r="N701" s="146">
        <v>23529</v>
      </c>
      <c r="O701">
        <v>0</v>
      </c>
      <c r="P701">
        <v>23529</v>
      </c>
      <c r="Q701" s="165" t="s">
        <v>225</v>
      </c>
      <c r="R701" s="165"/>
    </row>
    <row r="702" spans="1:19" x14ac:dyDescent="0.25">
      <c r="A702">
        <v>5</v>
      </c>
      <c r="B702" s="144">
        <v>46010</v>
      </c>
      <c r="C702">
        <v>12678</v>
      </c>
      <c r="D702" s="165" t="s">
        <v>314</v>
      </c>
      <c r="E702" s="165" t="s">
        <v>15</v>
      </c>
      <c r="F702" s="165" t="s">
        <v>247</v>
      </c>
      <c r="G702" s="165" t="s">
        <v>1130</v>
      </c>
      <c r="H702" s="165" t="s">
        <v>315</v>
      </c>
      <c r="I702" s="144">
        <v>47590</v>
      </c>
      <c r="J702">
        <v>1580</v>
      </c>
      <c r="K702" s="165" t="s">
        <v>240</v>
      </c>
      <c r="L702" s="165" t="s">
        <v>8</v>
      </c>
      <c r="M702" s="144">
        <v>46753</v>
      </c>
      <c r="N702" s="146">
        <v>23529</v>
      </c>
      <c r="O702">
        <v>0</v>
      </c>
      <c r="P702">
        <v>23529</v>
      </c>
      <c r="Q702" s="165" t="s">
        <v>225</v>
      </c>
      <c r="R702" s="165"/>
      <c r="S702" t="s">
        <v>241</v>
      </c>
    </row>
    <row r="703" spans="1:19" x14ac:dyDescent="0.25">
      <c r="A703">
        <v>4</v>
      </c>
      <c r="B703" s="144">
        <v>46010</v>
      </c>
      <c r="C703">
        <v>12680</v>
      </c>
      <c r="D703" s="165" t="s">
        <v>316</v>
      </c>
      <c r="E703" s="165" t="s">
        <v>13</v>
      </c>
      <c r="F703" s="165" t="s">
        <v>317</v>
      </c>
      <c r="G703" s="165" t="s">
        <v>646</v>
      </c>
      <c r="H703" s="165" t="s">
        <v>3696</v>
      </c>
      <c r="I703" s="144">
        <v>47868</v>
      </c>
      <c r="J703">
        <v>1858</v>
      </c>
      <c r="K703" s="165" t="s">
        <v>2019</v>
      </c>
      <c r="L703" s="165" t="s">
        <v>8</v>
      </c>
      <c r="M703" s="144">
        <v>47484</v>
      </c>
      <c r="N703" s="146">
        <v>56250</v>
      </c>
      <c r="O703">
        <v>0</v>
      </c>
      <c r="P703">
        <v>56250</v>
      </c>
      <c r="Q703" s="165" t="s">
        <v>225</v>
      </c>
      <c r="R703" s="165"/>
    </row>
    <row r="704" spans="1:19" x14ac:dyDescent="0.25">
      <c r="A704">
        <v>3</v>
      </c>
      <c r="B704" s="144">
        <v>46010</v>
      </c>
      <c r="C704">
        <v>12680</v>
      </c>
      <c r="D704" s="165" t="s">
        <v>316</v>
      </c>
      <c r="E704" s="165" t="s">
        <v>13</v>
      </c>
      <c r="F704" s="165" t="s">
        <v>317</v>
      </c>
      <c r="G704" s="165" t="s">
        <v>3344</v>
      </c>
      <c r="H704" s="165" t="s">
        <v>3696</v>
      </c>
      <c r="I704" s="144">
        <v>47868</v>
      </c>
      <c r="J704">
        <v>1858</v>
      </c>
      <c r="K704" s="165" t="s">
        <v>240</v>
      </c>
      <c r="L704" s="165" t="s">
        <v>8</v>
      </c>
      <c r="M704" s="144">
        <v>47484</v>
      </c>
      <c r="N704" s="146">
        <v>56250</v>
      </c>
      <c r="O704">
        <v>0</v>
      </c>
      <c r="P704">
        <v>56250</v>
      </c>
      <c r="Q704" s="165" t="s">
        <v>225</v>
      </c>
      <c r="R704" s="165"/>
      <c r="S704" t="s">
        <v>241</v>
      </c>
    </row>
    <row r="705" spans="1:19" x14ac:dyDescent="0.25">
      <c r="A705">
        <v>2</v>
      </c>
      <c r="B705" s="144">
        <v>46010</v>
      </c>
      <c r="C705">
        <v>12639</v>
      </c>
      <c r="D705" s="165" t="s">
        <v>318</v>
      </c>
      <c r="E705" s="165" t="s">
        <v>11</v>
      </c>
      <c r="F705" s="165" t="s">
        <v>274</v>
      </c>
      <c r="G705" s="165" t="s">
        <v>646</v>
      </c>
      <c r="H705" s="165" t="s">
        <v>319</v>
      </c>
      <c r="I705" s="144">
        <v>47822</v>
      </c>
      <c r="J705">
        <v>1812</v>
      </c>
      <c r="K705" s="165" t="s">
        <v>2019</v>
      </c>
      <c r="L705" s="165" t="s">
        <v>8</v>
      </c>
      <c r="M705" s="144">
        <v>47484</v>
      </c>
      <c r="N705" s="146">
        <v>12000</v>
      </c>
      <c r="O705">
        <v>0</v>
      </c>
      <c r="P705">
        <v>12000</v>
      </c>
      <c r="Q705" s="165" t="s">
        <v>225</v>
      </c>
      <c r="R705" s="165" t="s">
        <v>320</v>
      </c>
    </row>
    <row r="706" spans="1:19" x14ac:dyDescent="0.25">
      <c r="A706">
        <v>1</v>
      </c>
      <c r="B706" s="144">
        <v>46010</v>
      </c>
      <c r="C706">
        <v>12639</v>
      </c>
      <c r="D706" s="165" t="s">
        <v>318</v>
      </c>
      <c r="E706" s="165" t="s">
        <v>11</v>
      </c>
      <c r="F706" s="165" t="s">
        <v>274</v>
      </c>
      <c r="G706" s="165" t="s">
        <v>1292</v>
      </c>
      <c r="H706" s="165" t="s">
        <v>319</v>
      </c>
      <c r="I706" s="144">
        <v>47822</v>
      </c>
      <c r="J706">
        <v>1812</v>
      </c>
      <c r="K706" s="165" t="s">
        <v>240</v>
      </c>
      <c r="L706" s="165" t="s">
        <v>8</v>
      </c>
      <c r="M706" s="144">
        <v>47484</v>
      </c>
      <c r="N706" s="146">
        <v>12000</v>
      </c>
      <c r="O706">
        <v>0</v>
      </c>
      <c r="P706">
        <v>12000</v>
      </c>
      <c r="Q706" s="165" t="s">
        <v>225</v>
      </c>
      <c r="R706" s="165" t="s">
        <v>320</v>
      </c>
      <c r="S706" t="s">
        <v>241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5A0D-429A-46E9-A491-E1787E49F3EE}">
  <sheetPr codeName="Hoja8"/>
  <dimension ref="A1:AU677"/>
  <sheetViews>
    <sheetView topLeftCell="Y1" workbookViewId="0">
      <selection activeCell="AB208" sqref="AB208"/>
    </sheetView>
  </sheetViews>
  <sheetFormatPr baseColWidth="10" defaultRowHeight="15" x14ac:dyDescent="0.25"/>
  <cols>
    <col min="1" max="1" width="10.5703125" bestFit="1" customWidth="1"/>
    <col min="2" max="2" width="20.85546875" bestFit="1" customWidth="1"/>
    <col min="3" max="3" width="12.28515625" bestFit="1" customWidth="1"/>
    <col min="4" max="4" width="81.140625" bestFit="1" customWidth="1"/>
    <col min="5" max="5" width="34.140625" bestFit="1" customWidth="1"/>
    <col min="6" max="6" width="24.7109375" bestFit="1" customWidth="1"/>
    <col min="7" max="7" width="17" bestFit="1" customWidth="1"/>
    <col min="8" max="8" width="14.5703125" bestFit="1" customWidth="1"/>
    <col min="9" max="9" width="15.28515625" bestFit="1" customWidth="1"/>
    <col min="10" max="10" width="13.28515625" bestFit="1" customWidth="1"/>
    <col min="11" max="11" width="7.7109375" bestFit="1" customWidth="1"/>
    <col min="12" max="13" width="12.5703125" bestFit="1" customWidth="1"/>
    <col min="14" max="14" width="9.7109375" bestFit="1" customWidth="1"/>
    <col min="15" max="15" width="32.7109375" bestFit="1" customWidth="1"/>
    <col min="16" max="16" width="26.28515625" bestFit="1" customWidth="1"/>
    <col min="17" max="17" width="23.140625" bestFit="1" customWidth="1"/>
    <col min="18" max="18" width="22.140625" bestFit="1" customWidth="1"/>
    <col min="19" max="19" width="29" bestFit="1" customWidth="1"/>
    <col min="20" max="20" width="28.85546875" bestFit="1" customWidth="1"/>
    <col min="21" max="21" width="25.7109375" bestFit="1" customWidth="1"/>
    <col min="22" max="22" width="25.28515625" bestFit="1" customWidth="1"/>
    <col min="23" max="23" width="31.7109375" bestFit="1" customWidth="1"/>
    <col min="24" max="24" width="23.28515625" bestFit="1" customWidth="1"/>
    <col min="25" max="25" width="24" bestFit="1" customWidth="1"/>
    <col min="26" max="26" width="10.5703125" bestFit="1" customWidth="1"/>
    <col min="27" max="29" width="17.28515625" bestFit="1" customWidth="1"/>
    <col min="30" max="30" width="35.5703125" bestFit="1" customWidth="1"/>
    <col min="31" max="31" width="13.42578125" bestFit="1" customWidth="1"/>
    <col min="32" max="32" width="22.140625" bestFit="1" customWidth="1"/>
    <col min="33" max="33" width="17.85546875" bestFit="1" customWidth="1"/>
    <col min="34" max="34" width="17.7109375" bestFit="1" customWidth="1"/>
    <col min="35" max="35" width="15.28515625" bestFit="1" customWidth="1"/>
    <col min="36" max="36" width="15.140625" bestFit="1" customWidth="1"/>
    <col min="37" max="37" width="19.5703125" bestFit="1" customWidth="1"/>
    <col min="38" max="38" width="21.7109375" bestFit="1" customWidth="1"/>
    <col min="39" max="39" width="21.5703125" bestFit="1" customWidth="1"/>
    <col min="40" max="40" width="19.140625" bestFit="1" customWidth="1"/>
    <col min="41" max="41" width="21.140625" bestFit="1" customWidth="1"/>
    <col min="42" max="42" width="19.85546875" bestFit="1" customWidth="1"/>
    <col min="43" max="43" width="18.7109375" bestFit="1" customWidth="1"/>
    <col min="44" max="44" width="70" bestFit="1" customWidth="1"/>
    <col min="45" max="45" width="26" bestFit="1" customWidth="1"/>
    <col min="46" max="46" width="13.85546875" bestFit="1" customWidth="1"/>
    <col min="47" max="47" width="10.85546875" bestFit="1" customWidth="1"/>
  </cols>
  <sheetData>
    <row r="1" spans="1:47" x14ac:dyDescent="0.25">
      <c r="A1" t="s">
        <v>3760</v>
      </c>
      <c r="B1" t="s">
        <v>3761</v>
      </c>
      <c r="C1" t="s">
        <v>103</v>
      </c>
      <c r="D1" t="s">
        <v>3762</v>
      </c>
      <c r="E1" t="s">
        <v>3763</v>
      </c>
      <c r="F1" t="s">
        <v>3764</v>
      </c>
      <c r="G1" t="s">
        <v>3765</v>
      </c>
      <c r="H1" t="s">
        <v>3766</v>
      </c>
      <c r="I1" t="s">
        <v>3767</v>
      </c>
      <c r="J1" t="s">
        <v>3768</v>
      </c>
      <c r="K1" t="s">
        <v>3769</v>
      </c>
      <c r="L1" t="s">
        <v>3770</v>
      </c>
      <c r="M1" t="s">
        <v>3771</v>
      </c>
      <c r="N1" t="s">
        <v>3772</v>
      </c>
      <c r="O1" t="s">
        <v>3773</v>
      </c>
      <c r="P1" t="s">
        <v>3774</v>
      </c>
      <c r="Q1" t="s">
        <v>3775</v>
      </c>
      <c r="R1" t="s">
        <v>3776</v>
      </c>
      <c r="S1" t="s">
        <v>3777</v>
      </c>
      <c r="T1" t="s">
        <v>3778</v>
      </c>
      <c r="U1" t="s">
        <v>3779</v>
      </c>
      <c r="V1" t="s">
        <v>3780</v>
      </c>
      <c r="W1" t="s">
        <v>3781</v>
      </c>
      <c r="X1" t="s">
        <v>3782</v>
      </c>
      <c r="Y1" t="s">
        <v>3783</v>
      </c>
      <c r="Z1" t="s">
        <v>3784</v>
      </c>
      <c r="AA1" t="s">
        <v>3785</v>
      </c>
      <c r="AB1" t="s">
        <v>3786</v>
      </c>
      <c r="AC1" t="s">
        <v>174</v>
      </c>
      <c r="AD1" t="s">
        <v>3787</v>
      </c>
      <c r="AE1" t="s">
        <v>3788</v>
      </c>
      <c r="AF1" t="s">
        <v>3789</v>
      </c>
      <c r="AG1" t="s">
        <v>3790</v>
      </c>
      <c r="AH1" t="s">
        <v>3791</v>
      </c>
      <c r="AI1" t="s">
        <v>3792</v>
      </c>
      <c r="AJ1" t="s">
        <v>3793</v>
      </c>
      <c r="AK1" t="s">
        <v>3794</v>
      </c>
      <c r="AL1" t="s">
        <v>3795</v>
      </c>
      <c r="AM1" t="s">
        <v>3796</v>
      </c>
      <c r="AN1" t="s">
        <v>3797</v>
      </c>
      <c r="AO1" t="s">
        <v>3798</v>
      </c>
      <c r="AP1" t="s">
        <v>3799</v>
      </c>
      <c r="AQ1" t="s">
        <v>21</v>
      </c>
      <c r="AR1" t="s">
        <v>3800</v>
      </c>
      <c r="AS1" t="s">
        <v>3801</v>
      </c>
      <c r="AT1" t="s">
        <v>5347</v>
      </c>
      <c r="AU1" t="s">
        <v>5467</v>
      </c>
    </row>
    <row r="2" spans="1:47" hidden="1" x14ac:dyDescent="0.25">
      <c r="A2" s="165" t="s">
        <v>1761</v>
      </c>
      <c r="B2" s="165" t="s">
        <v>88</v>
      </c>
      <c r="C2" s="165" t="s">
        <v>23</v>
      </c>
      <c r="D2" s="165" t="s">
        <v>1762</v>
      </c>
      <c r="E2" s="165" t="s">
        <v>3802</v>
      </c>
      <c r="F2" s="165" t="s">
        <v>11</v>
      </c>
      <c r="G2" s="165" t="s">
        <v>8</v>
      </c>
      <c r="H2" s="165" t="s">
        <v>263</v>
      </c>
      <c r="I2" s="165" t="s">
        <v>3803</v>
      </c>
      <c r="J2" s="165" t="s">
        <v>3804</v>
      </c>
      <c r="K2" s="165"/>
      <c r="L2" s="165"/>
      <c r="M2" s="165"/>
      <c r="N2" s="165" t="s">
        <v>3805</v>
      </c>
      <c r="O2" s="165"/>
      <c r="P2" s="165"/>
      <c r="Q2" s="165"/>
      <c r="R2" s="165"/>
      <c r="S2" s="165"/>
      <c r="T2" s="165" t="s">
        <v>3806</v>
      </c>
      <c r="U2" s="165" t="s">
        <v>3807</v>
      </c>
      <c r="V2" s="165"/>
      <c r="W2" s="165"/>
      <c r="X2" s="165"/>
      <c r="Y2">
        <v>3</v>
      </c>
      <c r="Z2" s="165" t="s">
        <v>3808</v>
      </c>
      <c r="AA2" s="165" t="s">
        <v>3809</v>
      </c>
      <c r="AB2" s="165" t="s">
        <v>3810</v>
      </c>
      <c r="AC2" s="165" t="s">
        <v>3811</v>
      </c>
      <c r="AD2" s="165" t="s">
        <v>3812</v>
      </c>
      <c r="AE2">
        <v>26</v>
      </c>
      <c r="AF2" s="165" t="s">
        <v>3813</v>
      </c>
      <c r="AG2">
        <v>41</v>
      </c>
      <c r="AH2">
        <v>425</v>
      </c>
      <c r="AI2">
        <v>44</v>
      </c>
      <c r="AJ2">
        <v>45.5</v>
      </c>
      <c r="AK2" s="165" t="s">
        <v>3814</v>
      </c>
      <c r="AN2">
        <v>1</v>
      </c>
      <c r="AO2">
        <v>2</v>
      </c>
      <c r="AP2">
        <v>2</v>
      </c>
      <c r="AQ2" s="165" t="s">
        <v>3815</v>
      </c>
      <c r="AR2" t="s">
        <v>3816</v>
      </c>
      <c r="AS2" s="165" t="s">
        <v>174</v>
      </c>
      <c r="AT2" t="s">
        <v>5291</v>
      </c>
      <c r="AU2" t="s">
        <v>5291</v>
      </c>
    </row>
    <row r="3" spans="1:47" hidden="1" x14ac:dyDescent="0.25">
      <c r="A3" s="165" t="s">
        <v>1898</v>
      </c>
      <c r="B3" s="165" t="s">
        <v>3434</v>
      </c>
      <c r="C3" s="165" t="s">
        <v>23</v>
      </c>
      <c r="D3" s="165" t="s">
        <v>1899</v>
      </c>
      <c r="E3" s="165" t="s">
        <v>3817</v>
      </c>
      <c r="F3" s="165" t="s">
        <v>106</v>
      </c>
      <c r="G3" s="165" t="s">
        <v>8</v>
      </c>
      <c r="H3" s="165" t="s">
        <v>251</v>
      </c>
      <c r="I3" s="165" t="s">
        <v>3805</v>
      </c>
      <c r="J3" s="165" t="s">
        <v>3818</v>
      </c>
      <c r="K3" s="165" t="s">
        <v>3819</v>
      </c>
      <c r="L3" s="165" t="s">
        <v>3820</v>
      </c>
      <c r="M3" s="165" t="s">
        <v>3803</v>
      </c>
      <c r="N3" s="165" t="s">
        <v>3805</v>
      </c>
      <c r="O3" s="165"/>
      <c r="P3" s="165"/>
      <c r="Q3" s="165"/>
      <c r="R3" s="165"/>
      <c r="S3" s="165"/>
      <c r="T3" s="165"/>
      <c r="U3" s="165" t="s">
        <v>3807</v>
      </c>
      <c r="V3" s="165" t="s">
        <v>3821</v>
      </c>
      <c r="W3" s="165" t="s">
        <v>3822</v>
      </c>
      <c r="X3" s="165"/>
      <c r="Y3">
        <v>7</v>
      </c>
      <c r="Z3" s="165" t="s">
        <v>3823</v>
      </c>
      <c r="AA3" s="165" t="s">
        <v>3809</v>
      </c>
      <c r="AB3" s="165" t="s">
        <v>3810</v>
      </c>
      <c r="AC3" s="165" t="s">
        <v>3811</v>
      </c>
      <c r="AD3" s="165" t="s">
        <v>3824</v>
      </c>
      <c r="AE3">
        <v>49</v>
      </c>
      <c r="AF3" s="165" t="s">
        <v>3825</v>
      </c>
      <c r="AG3">
        <v>333</v>
      </c>
      <c r="AH3">
        <v>327</v>
      </c>
      <c r="AI3">
        <v>36.299999999999997</v>
      </c>
      <c r="AJ3">
        <v>35.700000000000003</v>
      </c>
      <c r="AK3" s="165" t="s">
        <v>3826</v>
      </c>
      <c r="AN3">
        <v>1</v>
      </c>
      <c r="AO3">
        <v>6</v>
      </c>
      <c r="AP3">
        <v>6</v>
      </c>
      <c r="AQ3" s="165" t="s">
        <v>3815</v>
      </c>
      <c r="AR3" t="s">
        <v>3827</v>
      </c>
      <c r="AS3" s="165" t="s">
        <v>174</v>
      </c>
      <c r="AT3" t="s">
        <v>5291</v>
      </c>
      <c r="AU3" t="s">
        <v>5291</v>
      </c>
    </row>
    <row r="4" spans="1:47" hidden="1" x14ac:dyDescent="0.25">
      <c r="A4" s="165" t="s">
        <v>1773</v>
      </c>
      <c r="B4" s="165" t="s">
        <v>3828</v>
      </c>
      <c r="C4" s="165" t="s">
        <v>23</v>
      </c>
      <c r="D4" s="165" t="s">
        <v>1774</v>
      </c>
      <c r="E4" s="165" t="s">
        <v>3829</v>
      </c>
      <c r="F4" s="165" t="s">
        <v>11</v>
      </c>
      <c r="G4" s="165" t="s">
        <v>8</v>
      </c>
      <c r="H4" s="165" t="s">
        <v>263</v>
      </c>
      <c r="I4" s="165" t="s">
        <v>3803</v>
      </c>
      <c r="J4" s="165" t="s">
        <v>3804</v>
      </c>
      <c r="K4" s="165"/>
      <c r="L4" s="165"/>
      <c r="M4" s="165"/>
      <c r="N4" s="165" t="s">
        <v>3805</v>
      </c>
      <c r="O4" s="165"/>
      <c r="P4" s="165"/>
      <c r="Q4" s="165"/>
      <c r="R4" s="165"/>
      <c r="S4" s="165"/>
      <c r="T4" s="165" t="s">
        <v>3806</v>
      </c>
      <c r="U4" s="165" t="s">
        <v>3807</v>
      </c>
      <c r="V4" s="165"/>
      <c r="W4" s="165"/>
      <c r="X4" s="165"/>
      <c r="Y4">
        <v>3</v>
      </c>
      <c r="Z4" s="165" t="s">
        <v>3808</v>
      </c>
      <c r="AA4" s="165" t="s">
        <v>3811</v>
      </c>
      <c r="AB4" s="165" t="s">
        <v>3810</v>
      </c>
      <c r="AC4" s="165" t="s">
        <v>3809</v>
      </c>
      <c r="AD4" s="165" t="s">
        <v>3812</v>
      </c>
      <c r="AE4">
        <v>26</v>
      </c>
      <c r="AF4" s="165" t="s">
        <v>3813</v>
      </c>
      <c r="AG4">
        <v>41</v>
      </c>
      <c r="AH4">
        <v>425</v>
      </c>
      <c r="AI4">
        <v>44</v>
      </c>
      <c r="AJ4">
        <v>45.5</v>
      </c>
      <c r="AK4" s="165" t="s">
        <v>3814</v>
      </c>
      <c r="AN4">
        <v>1</v>
      </c>
      <c r="AO4">
        <v>2</v>
      </c>
      <c r="AP4">
        <v>2</v>
      </c>
      <c r="AQ4" s="165" t="s">
        <v>3815</v>
      </c>
      <c r="AR4" t="s">
        <v>3830</v>
      </c>
      <c r="AS4" s="165" t="s">
        <v>30</v>
      </c>
      <c r="AT4" t="s">
        <v>5291</v>
      </c>
      <c r="AU4" t="s">
        <v>5291</v>
      </c>
    </row>
    <row r="5" spans="1:47" hidden="1" x14ac:dyDescent="0.25">
      <c r="A5" s="165" t="s">
        <v>1771</v>
      </c>
      <c r="B5" s="165" t="s">
        <v>3831</v>
      </c>
      <c r="C5" s="165" t="s">
        <v>23</v>
      </c>
      <c r="D5" s="165" t="s">
        <v>1772</v>
      </c>
      <c r="E5" s="165" t="s">
        <v>3832</v>
      </c>
      <c r="F5" s="165" t="s">
        <v>11</v>
      </c>
      <c r="G5" s="165" t="s">
        <v>8</v>
      </c>
      <c r="H5" s="165" t="s">
        <v>263</v>
      </c>
      <c r="I5" s="165" t="s">
        <v>3803</v>
      </c>
      <c r="J5" s="165" t="s">
        <v>3804</v>
      </c>
      <c r="K5" s="165"/>
      <c r="L5" s="165"/>
      <c r="M5" s="165"/>
      <c r="N5" s="165" t="s">
        <v>3805</v>
      </c>
      <c r="O5" s="165"/>
      <c r="P5" s="165"/>
      <c r="Q5" s="165"/>
      <c r="R5" s="165"/>
      <c r="S5" s="165"/>
      <c r="T5" s="165" t="s">
        <v>3806</v>
      </c>
      <c r="U5" s="165" t="s">
        <v>3807</v>
      </c>
      <c r="V5" s="165"/>
      <c r="W5" s="165"/>
      <c r="X5" s="165"/>
      <c r="Y5">
        <v>3</v>
      </c>
      <c r="Z5" s="165" t="s">
        <v>3808</v>
      </c>
      <c r="AA5" s="165" t="s">
        <v>3809</v>
      </c>
      <c r="AB5" s="165" t="s">
        <v>3810</v>
      </c>
      <c r="AC5" s="165" t="s">
        <v>3811</v>
      </c>
      <c r="AD5" s="165" t="s">
        <v>3833</v>
      </c>
      <c r="AE5">
        <v>50</v>
      </c>
      <c r="AF5" s="165" t="s">
        <v>3834</v>
      </c>
      <c r="AG5">
        <v>35</v>
      </c>
      <c r="AH5">
        <v>324</v>
      </c>
      <c r="AI5">
        <v>38</v>
      </c>
      <c r="AJ5">
        <v>35.4</v>
      </c>
      <c r="AK5" s="165" t="s">
        <v>3835</v>
      </c>
      <c r="AN5">
        <v>4</v>
      </c>
      <c r="AO5">
        <v>6</v>
      </c>
      <c r="AP5">
        <v>24</v>
      </c>
      <c r="AQ5" s="165" t="s">
        <v>3815</v>
      </c>
      <c r="AR5" t="s">
        <v>3836</v>
      </c>
      <c r="AS5" s="165" t="s">
        <v>174</v>
      </c>
      <c r="AT5" t="s">
        <v>5291</v>
      </c>
      <c r="AU5" t="s">
        <v>5291</v>
      </c>
    </row>
    <row r="6" spans="1:47" hidden="1" x14ac:dyDescent="0.25">
      <c r="A6" s="165" t="s">
        <v>1769</v>
      </c>
      <c r="B6" s="165" t="s">
        <v>3837</v>
      </c>
      <c r="C6" s="165" t="s">
        <v>23</v>
      </c>
      <c r="D6" s="165" t="s">
        <v>1770</v>
      </c>
      <c r="E6" s="165" t="s">
        <v>3832</v>
      </c>
      <c r="F6" s="165" t="s">
        <v>11</v>
      </c>
      <c r="G6" s="165" t="s">
        <v>8</v>
      </c>
      <c r="H6" s="165" t="s">
        <v>263</v>
      </c>
      <c r="I6" s="165" t="s">
        <v>3803</v>
      </c>
      <c r="J6" s="165" t="s">
        <v>3804</v>
      </c>
      <c r="K6" s="165"/>
      <c r="L6" s="165"/>
      <c r="M6" s="165"/>
      <c r="N6" s="165" t="s">
        <v>3805</v>
      </c>
      <c r="O6" s="165"/>
      <c r="P6" s="165"/>
      <c r="Q6" s="165"/>
      <c r="R6" s="165"/>
      <c r="S6" s="165"/>
      <c r="T6" s="165" t="s">
        <v>3806</v>
      </c>
      <c r="U6" s="165" t="s">
        <v>3807</v>
      </c>
      <c r="V6" s="165"/>
      <c r="W6" s="165"/>
      <c r="X6" s="165"/>
      <c r="Y6">
        <v>3</v>
      </c>
      <c r="Z6" s="165" t="s">
        <v>3808</v>
      </c>
      <c r="AA6" s="165" t="s">
        <v>3809</v>
      </c>
      <c r="AB6" s="165" t="s">
        <v>3810</v>
      </c>
      <c r="AC6" s="165" t="s">
        <v>3811</v>
      </c>
      <c r="AD6" s="165" t="s">
        <v>3833</v>
      </c>
      <c r="AE6">
        <v>50</v>
      </c>
      <c r="AF6" s="165" t="s">
        <v>3834</v>
      </c>
      <c r="AG6">
        <v>35</v>
      </c>
      <c r="AH6">
        <v>324</v>
      </c>
      <c r="AI6">
        <v>38</v>
      </c>
      <c r="AJ6">
        <v>35.4</v>
      </c>
      <c r="AK6" s="165" t="s">
        <v>3835</v>
      </c>
      <c r="AN6">
        <v>4</v>
      </c>
      <c r="AO6">
        <v>6</v>
      </c>
      <c r="AP6">
        <v>24</v>
      </c>
      <c r="AQ6" s="165" t="s">
        <v>3815</v>
      </c>
      <c r="AR6" t="s">
        <v>3836</v>
      </c>
      <c r="AS6" s="165" t="s">
        <v>174</v>
      </c>
      <c r="AT6" t="s">
        <v>5291</v>
      </c>
      <c r="AU6" t="s">
        <v>5291</v>
      </c>
    </row>
    <row r="7" spans="1:47" hidden="1" x14ac:dyDescent="0.25">
      <c r="A7" s="165" t="s">
        <v>1785</v>
      </c>
      <c r="B7" s="165" t="s">
        <v>3838</v>
      </c>
      <c r="C7" s="165" t="s">
        <v>23</v>
      </c>
      <c r="D7" s="165" t="s">
        <v>1786</v>
      </c>
      <c r="E7" s="165" t="s">
        <v>3839</v>
      </c>
      <c r="F7" s="165" t="s">
        <v>3840</v>
      </c>
      <c r="G7" s="165" t="s">
        <v>8</v>
      </c>
      <c r="H7" s="165" t="s">
        <v>176</v>
      </c>
      <c r="I7" s="165" t="s">
        <v>3805</v>
      </c>
      <c r="J7" s="165" t="s">
        <v>3841</v>
      </c>
      <c r="K7" s="165"/>
      <c r="L7" s="165"/>
      <c r="M7" s="165"/>
      <c r="N7" s="165"/>
      <c r="O7" s="165"/>
      <c r="P7" s="165"/>
      <c r="Q7" s="165"/>
      <c r="R7" s="165" t="s">
        <v>3842</v>
      </c>
      <c r="S7" s="165"/>
      <c r="T7" s="165"/>
      <c r="U7" s="165" t="s">
        <v>3807</v>
      </c>
      <c r="V7" s="165"/>
      <c r="W7" s="165"/>
      <c r="X7" s="165"/>
      <c r="Y7">
        <v>2</v>
      </c>
      <c r="Z7" s="165" t="s">
        <v>3843</v>
      </c>
      <c r="AA7" s="165" t="s">
        <v>3811</v>
      </c>
      <c r="AB7" s="165" t="s">
        <v>3810</v>
      </c>
      <c r="AC7" s="165" t="s">
        <v>3809</v>
      </c>
      <c r="AD7" s="165" t="s">
        <v>3844</v>
      </c>
      <c r="AE7">
        <v>5</v>
      </c>
      <c r="AF7" s="165" t="s">
        <v>3845</v>
      </c>
      <c r="AG7">
        <v>465</v>
      </c>
      <c r="AH7">
        <v>176</v>
      </c>
      <c r="AI7">
        <v>51.5</v>
      </c>
      <c r="AJ7">
        <v>19.600000000000001</v>
      </c>
      <c r="AK7" s="165" t="s">
        <v>3846</v>
      </c>
      <c r="AN7">
        <v>2</v>
      </c>
      <c r="AO7">
        <v>4</v>
      </c>
      <c r="AP7">
        <v>8</v>
      </c>
      <c r="AQ7" s="165" t="s">
        <v>3815</v>
      </c>
      <c r="AR7" t="s">
        <v>3847</v>
      </c>
      <c r="AS7" s="165" t="s">
        <v>30</v>
      </c>
      <c r="AT7" t="s">
        <v>5291</v>
      </c>
      <c r="AU7" t="s">
        <v>5291</v>
      </c>
    </row>
    <row r="8" spans="1:47" hidden="1" x14ac:dyDescent="0.25">
      <c r="A8" s="165" t="s">
        <v>1832</v>
      </c>
      <c r="B8" s="165" t="s">
        <v>3848</v>
      </c>
      <c r="C8" s="165" t="s">
        <v>23</v>
      </c>
      <c r="D8" s="165" t="s">
        <v>1833</v>
      </c>
      <c r="E8" s="165" t="s">
        <v>3849</v>
      </c>
      <c r="F8" s="165" t="s">
        <v>3850</v>
      </c>
      <c r="G8" s="165" t="s">
        <v>8</v>
      </c>
      <c r="H8" s="165" t="s">
        <v>263</v>
      </c>
      <c r="I8" s="165" t="s">
        <v>3819</v>
      </c>
      <c r="J8" s="165" t="s">
        <v>3851</v>
      </c>
      <c r="K8" s="165"/>
      <c r="L8" s="165"/>
      <c r="M8" s="165"/>
      <c r="N8" s="165" t="s">
        <v>3805</v>
      </c>
      <c r="O8" s="165"/>
      <c r="P8" s="165"/>
      <c r="Q8" s="165"/>
      <c r="R8" s="165"/>
      <c r="S8" s="165"/>
      <c r="T8" s="165" t="s">
        <v>3806</v>
      </c>
      <c r="U8" s="165" t="s">
        <v>3807</v>
      </c>
      <c r="V8" s="165"/>
      <c r="W8" s="165"/>
      <c r="X8" s="165"/>
      <c r="Y8">
        <v>3</v>
      </c>
      <c r="Z8" s="165" t="s">
        <v>3808</v>
      </c>
      <c r="AA8" s="165" t="s">
        <v>3811</v>
      </c>
      <c r="AB8" s="165" t="s">
        <v>3810</v>
      </c>
      <c r="AC8" s="165" t="s">
        <v>3809</v>
      </c>
      <c r="AD8" s="165" t="s">
        <v>3852</v>
      </c>
      <c r="AE8">
        <v>99</v>
      </c>
      <c r="AF8" s="165" t="s">
        <v>3853</v>
      </c>
      <c r="AG8">
        <v>518</v>
      </c>
      <c r="AH8">
        <v>39</v>
      </c>
      <c r="AI8">
        <v>54.8</v>
      </c>
      <c r="AJ8">
        <v>42</v>
      </c>
      <c r="AK8" s="165" t="s">
        <v>3854</v>
      </c>
      <c r="AN8">
        <v>1</v>
      </c>
      <c r="AO8">
        <v>2</v>
      </c>
      <c r="AP8">
        <v>2</v>
      </c>
      <c r="AQ8" s="165" t="s">
        <v>3815</v>
      </c>
      <c r="AR8" t="s">
        <v>3855</v>
      </c>
      <c r="AS8" s="165" t="s">
        <v>30</v>
      </c>
      <c r="AT8" t="s">
        <v>5291</v>
      </c>
      <c r="AU8" t="s">
        <v>5291</v>
      </c>
    </row>
    <row r="9" spans="1:47" hidden="1" x14ac:dyDescent="0.25">
      <c r="A9" s="165" t="s">
        <v>2885</v>
      </c>
      <c r="B9" s="165" t="s">
        <v>3357</v>
      </c>
      <c r="C9" s="165" t="s">
        <v>23</v>
      </c>
      <c r="D9" s="165" t="s">
        <v>2886</v>
      </c>
      <c r="E9" s="165" t="s">
        <v>3856</v>
      </c>
      <c r="F9" s="165" t="s">
        <v>11</v>
      </c>
      <c r="G9" s="165" t="s">
        <v>8</v>
      </c>
      <c r="H9" s="165" t="s">
        <v>263</v>
      </c>
      <c r="I9" s="165" t="s">
        <v>3803</v>
      </c>
      <c r="J9" s="165" t="s">
        <v>3804</v>
      </c>
      <c r="K9" s="165"/>
      <c r="L9" s="165"/>
      <c r="M9" s="165"/>
      <c r="N9" s="165" t="s">
        <v>3805</v>
      </c>
      <c r="O9" s="165"/>
      <c r="P9" s="165"/>
      <c r="Q9" s="165"/>
      <c r="R9" s="165"/>
      <c r="S9" s="165"/>
      <c r="T9" s="165" t="s">
        <v>3806</v>
      </c>
      <c r="U9" s="165" t="s">
        <v>3807</v>
      </c>
      <c r="V9" s="165"/>
      <c r="W9" s="165"/>
      <c r="X9" s="165"/>
      <c r="Y9">
        <v>3</v>
      </c>
      <c r="Z9" s="165" t="s">
        <v>3808</v>
      </c>
      <c r="AA9" s="165" t="s">
        <v>3809</v>
      </c>
      <c r="AB9" s="165" t="s">
        <v>3810</v>
      </c>
      <c r="AC9" s="165" t="s">
        <v>3811</v>
      </c>
      <c r="AD9" s="165" t="s">
        <v>3857</v>
      </c>
      <c r="AE9">
        <v>42</v>
      </c>
      <c r="AF9" s="165" t="s">
        <v>3858</v>
      </c>
      <c r="AG9">
        <v>315</v>
      </c>
      <c r="AH9">
        <v>284</v>
      </c>
      <c r="AI9">
        <v>34.5</v>
      </c>
      <c r="AJ9">
        <v>31.4</v>
      </c>
      <c r="AK9" s="165" t="s">
        <v>3859</v>
      </c>
      <c r="AN9">
        <v>4</v>
      </c>
      <c r="AO9">
        <v>6</v>
      </c>
      <c r="AP9">
        <v>24</v>
      </c>
      <c r="AQ9" s="165" t="s">
        <v>3815</v>
      </c>
      <c r="AR9" t="s">
        <v>3860</v>
      </c>
      <c r="AS9" s="165" t="s">
        <v>174</v>
      </c>
      <c r="AT9" t="s">
        <v>5291</v>
      </c>
      <c r="AU9" t="s">
        <v>5291</v>
      </c>
    </row>
    <row r="10" spans="1:47" hidden="1" x14ac:dyDescent="0.25">
      <c r="A10" s="165" t="s">
        <v>1851</v>
      </c>
      <c r="B10" s="165" t="s">
        <v>3861</v>
      </c>
      <c r="C10" s="165" t="s">
        <v>23</v>
      </c>
      <c r="D10" s="165" t="s">
        <v>1852</v>
      </c>
      <c r="E10" s="165" t="s">
        <v>3862</v>
      </c>
      <c r="F10" s="165" t="s">
        <v>9</v>
      </c>
      <c r="G10" s="165" t="s">
        <v>8</v>
      </c>
      <c r="H10" s="165" t="s">
        <v>2206</v>
      </c>
      <c r="I10" s="165" t="s">
        <v>3820</v>
      </c>
      <c r="J10" s="165" t="s">
        <v>3863</v>
      </c>
      <c r="K10" s="165"/>
      <c r="L10" s="165"/>
      <c r="M10" s="165"/>
      <c r="N10" s="165" t="s">
        <v>3805</v>
      </c>
      <c r="O10" s="165" t="s">
        <v>3864</v>
      </c>
      <c r="P10" s="165" t="s">
        <v>3865</v>
      </c>
      <c r="Q10" s="165"/>
      <c r="R10" s="165"/>
      <c r="S10" s="165"/>
      <c r="T10" s="165"/>
      <c r="U10" s="165" t="s">
        <v>3807</v>
      </c>
      <c r="V10" s="165"/>
      <c r="W10" s="165"/>
      <c r="X10" s="165"/>
      <c r="Y10">
        <v>4</v>
      </c>
      <c r="Z10" s="165" t="s">
        <v>3866</v>
      </c>
      <c r="AA10" s="165" t="s">
        <v>3809</v>
      </c>
      <c r="AB10" s="165" t="s">
        <v>3810</v>
      </c>
      <c r="AC10" s="165" t="s">
        <v>3811</v>
      </c>
      <c r="AD10" s="165" t="s">
        <v>3867</v>
      </c>
      <c r="AE10">
        <v>39</v>
      </c>
      <c r="AF10" s="165" t="s">
        <v>3868</v>
      </c>
      <c r="AG10">
        <v>45</v>
      </c>
      <c r="AH10">
        <v>16</v>
      </c>
      <c r="AI10">
        <v>48</v>
      </c>
      <c r="AJ10">
        <v>19</v>
      </c>
      <c r="AK10" s="165" t="s">
        <v>3869</v>
      </c>
      <c r="AN10">
        <v>3</v>
      </c>
      <c r="AO10">
        <v>8</v>
      </c>
      <c r="AP10">
        <v>24</v>
      </c>
      <c r="AQ10" s="165" t="s">
        <v>3815</v>
      </c>
      <c r="AR10" t="s">
        <v>3870</v>
      </c>
      <c r="AS10" s="165" t="s">
        <v>174</v>
      </c>
      <c r="AT10" t="s">
        <v>5291</v>
      </c>
      <c r="AU10" t="s">
        <v>5291</v>
      </c>
    </row>
    <row r="11" spans="1:47" hidden="1" x14ac:dyDescent="0.25">
      <c r="A11" s="165" t="s">
        <v>1891</v>
      </c>
      <c r="B11" s="165" t="s">
        <v>3359</v>
      </c>
      <c r="C11" s="165" t="s">
        <v>23</v>
      </c>
      <c r="D11" s="165" t="s">
        <v>1892</v>
      </c>
      <c r="E11" s="165" t="s">
        <v>3871</v>
      </c>
      <c r="F11" s="165" t="s">
        <v>9</v>
      </c>
      <c r="G11" s="165" t="s">
        <v>8</v>
      </c>
      <c r="H11" s="165" t="s">
        <v>2305</v>
      </c>
      <c r="I11" s="165" t="s">
        <v>3820</v>
      </c>
      <c r="J11" s="165" t="s">
        <v>3872</v>
      </c>
      <c r="K11" s="165" t="s">
        <v>3819</v>
      </c>
      <c r="L11" s="165" t="s">
        <v>3820</v>
      </c>
      <c r="M11" s="165" t="s">
        <v>3803</v>
      </c>
      <c r="N11" s="165" t="s">
        <v>3805</v>
      </c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>
        <v>4</v>
      </c>
      <c r="Z11" s="165" t="s">
        <v>3873</v>
      </c>
      <c r="AA11" s="165" t="s">
        <v>3809</v>
      </c>
      <c r="AB11" s="165" t="s">
        <v>3811</v>
      </c>
      <c r="AC11" s="165" t="s">
        <v>3810</v>
      </c>
      <c r="AD11" s="165" t="s">
        <v>3874</v>
      </c>
      <c r="AE11">
        <v>63</v>
      </c>
      <c r="AF11" s="165" t="s">
        <v>3875</v>
      </c>
      <c r="AG11">
        <v>33</v>
      </c>
      <c r="AH11">
        <v>29</v>
      </c>
      <c r="AI11">
        <v>36</v>
      </c>
      <c r="AJ11">
        <v>32</v>
      </c>
      <c r="AK11" s="165" t="s">
        <v>3876</v>
      </c>
      <c r="AN11">
        <v>4</v>
      </c>
      <c r="AO11">
        <v>6</v>
      </c>
      <c r="AP11">
        <v>24</v>
      </c>
      <c r="AQ11" s="165" t="s">
        <v>3815</v>
      </c>
      <c r="AR11" t="s">
        <v>3870</v>
      </c>
      <c r="AS11" s="165" t="s">
        <v>3786</v>
      </c>
      <c r="AT11" t="s">
        <v>5291</v>
      </c>
      <c r="AU11" t="s">
        <v>5291</v>
      </c>
    </row>
    <row r="12" spans="1:47" hidden="1" x14ac:dyDescent="0.25">
      <c r="A12" s="165" t="s">
        <v>1866</v>
      </c>
      <c r="B12" s="165" t="s">
        <v>3877</v>
      </c>
      <c r="C12" s="165" t="s">
        <v>23</v>
      </c>
      <c r="D12" s="165" t="s">
        <v>1867</v>
      </c>
      <c r="E12" s="165" t="s">
        <v>3832</v>
      </c>
      <c r="F12" s="165" t="s">
        <v>11</v>
      </c>
      <c r="G12" s="165" t="s">
        <v>3878</v>
      </c>
      <c r="H12" s="165" t="s">
        <v>263</v>
      </c>
      <c r="I12" s="165" t="s">
        <v>3821</v>
      </c>
      <c r="J12" s="165" t="s">
        <v>3879</v>
      </c>
      <c r="K12" s="165"/>
      <c r="L12" s="165"/>
      <c r="M12" s="165"/>
      <c r="N12" s="165"/>
      <c r="O12" s="165"/>
      <c r="P12" s="165"/>
      <c r="Q12" s="165"/>
      <c r="R12" s="165"/>
      <c r="S12" s="165"/>
      <c r="T12" s="165" t="s">
        <v>3806</v>
      </c>
      <c r="U12" s="165" t="s">
        <v>3807</v>
      </c>
      <c r="V12" s="165"/>
      <c r="W12" s="165"/>
      <c r="X12" s="165"/>
      <c r="Y12">
        <v>2</v>
      </c>
      <c r="Z12" s="165" t="s">
        <v>3880</v>
      </c>
      <c r="AA12" s="165" t="s">
        <v>3810</v>
      </c>
      <c r="AB12" s="165" t="s">
        <v>3810</v>
      </c>
      <c r="AC12" s="165" t="s">
        <v>3811</v>
      </c>
      <c r="AD12" s="165" t="s">
        <v>3881</v>
      </c>
      <c r="AE12">
        <v>1</v>
      </c>
      <c r="AF12" s="165" t="s">
        <v>3882</v>
      </c>
      <c r="AG12">
        <v>34</v>
      </c>
      <c r="AH12">
        <v>29</v>
      </c>
      <c r="AI12">
        <v>37</v>
      </c>
      <c r="AJ12">
        <v>32</v>
      </c>
      <c r="AK12" s="165" t="s">
        <v>3883</v>
      </c>
      <c r="AL12">
        <v>36</v>
      </c>
      <c r="AM12">
        <v>32</v>
      </c>
      <c r="AN12">
        <v>6</v>
      </c>
      <c r="AO12">
        <v>6</v>
      </c>
      <c r="AP12">
        <v>36</v>
      </c>
      <c r="AQ12" s="165" t="s">
        <v>3815</v>
      </c>
      <c r="AR12" t="s">
        <v>3884</v>
      </c>
      <c r="AS12" s="165" t="s">
        <v>174</v>
      </c>
      <c r="AT12" t="s">
        <v>5291</v>
      </c>
      <c r="AU12" t="s">
        <v>5291</v>
      </c>
    </row>
    <row r="13" spans="1:47" hidden="1" x14ac:dyDescent="0.25">
      <c r="A13" s="165" t="s">
        <v>1869</v>
      </c>
      <c r="B13" s="165" t="s">
        <v>3885</v>
      </c>
      <c r="C13" s="165" t="s">
        <v>23</v>
      </c>
      <c r="D13" s="165" t="s">
        <v>1870</v>
      </c>
      <c r="E13" s="165" t="s">
        <v>3886</v>
      </c>
      <c r="F13" s="165" t="s">
        <v>15</v>
      </c>
      <c r="G13" s="165" t="s">
        <v>3878</v>
      </c>
      <c r="H13" s="165" t="s">
        <v>269</v>
      </c>
      <c r="I13" s="165" t="s">
        <v>2428</v>
      </c>
      <c r="J13" s="165" t="s">
        <v>3887</v>
      </c>
      <c r="K13" s="165" t="s">
        <v>3819</v>
      </c>
      <c r="L13" s="165" t="s">
        <v>3820</v>
      </c>
      <c r="M13" s="165" t="s">
        <v>3803</v>
      </c>
      <c r="N13" s="165" t="s">
        <v>3805</v>
      </c>
      <c r="O13" s="165"/>
      <c r="P13" s="165"/>
      <c r="Q13" s="165" t="s">
        <v>3888</v>
      </c>
      <c r="R13" s="165"/>
      <c r="S13" s="165"/>
      <c r="T13" s="165"/>
      <c r="U13" s="165" t="s">
        <v>3807</v>
      </c>
      <c r="V13" s="165"/>
      <c r="W13" s="165"/>
      <c r="X13" s="165"/>
      <c r="Y13">
        <v>6</v>
      </c>
      <c r="Z13" s="165" t="s">
        <v>3889</v>
      </c>
      <c r="AA13" s="165" t="s">
        <v>3809</v>
      </c>
      <c r="AB13" s="165" t="s">
        <v>3811</v>
      </c>
      <c r="AC13" s="165" t="s">
        <v>3810</v>
      </c>
      <c r="AD13" s="165" t="s">
        <v>3890</v>
      </c>
      <c r="AE13">
        <v>77</v>
      </c>
      <c r="AF13" s="165" t="s">
        <v>3891</v>
      </c>
      <c r="AG13">
        <v>435</v>
      </c>
      <c r="AH13">
        <v>222</v>
      </c>
      <c r="AI13">
        <v>46.5</v>
      </c>
      <c r="AJ13">
        <v>25.2</v>
      </c>
      <c r="AK13" s="165" t="s">
        <v>3892</v>
      </c>
      <c r="AL13">
        <v>50</v>
      </c>
      <c r="AM13">
        <v>26</v>
      </c>
      <c r="AN13">
        <v>2</v>
      </c>
      <c r="AO13">
        <v>6</v>
      </c>
      <c r="AP13">
        <v>12</v>
      </c>
      <c r="AQ13" s="165" t="s">
        <v>3815</v>
      </c>
      <c r="AR13" t="s">
        <v>3830</v>
      </c>
      <c r="AS13" s="165" t="s">
        <v>3786</v>
      </c>
      <c r="AT13" t="s">
        <v>5291</v>
      </c>
      <c r="AU13" t="s">
        <v>5291</v>
      </c>
    </row>
    <row r="14" spans="1:47" hidden="1" x14ac:dyDescent="0.25">
      <c r="A14" s="165" t="s">
        <v>1871</v>
      </c>
      <c r="B14" s="165" t="s">
        <v>3893</v>
      </c>
      <c r="C14" s="165" t="s">
        <v>23</v>
      </c>
      <c r="D14" s="165" t="s">
        <v>1872</v>
      </c>
      <c r="E14" s="165" t="s">
        <v>3886</v>
      </c>
      <c r="F14" s="165" t="s">
        <v>15</v>
      </c>
      <c r="G14" s="165" t="s">
        <v>8</v>
      </c>
      <c r="H14" s="165" t="s">
        <v>269</v>
      </c>
      <c r="I14" s="165" t="s">
        <v>3864</v>
      </c>
      <c r="J14" s="165" t="s">
        <v>3894</v>
      </c>
      <c r="K14" s="165" t="s">
        <v>3819</v>
      </c>
      <c r="L14" s="165" t="s">
        <v>3820</v>
      </c>
      <c r="M14" s="165" t="s">
        <v>3803</v>
      </c>
      <c r="N14" s="165" t="s">
        <v>3805</v>
      </c>
      <c r="O14" s="165"/>
      <c r="P14" s="165"/>
      <c r="Q14" s="165" t="s">
        <v>3888</v>
      </c>
      <c r="R14" s="165"/>
      <c r="S14" s="165"/>
      <c r="T14" s="165"/>
      <c r="U14" s="165" t="s">
        <v>3807</v>
      </c>
      <c r="V14" s="165"/>
      <c r="W14" s="165"/>
      <c r="X14" s="165"/>
      <c r="Y14">
        <v>6</v>
      </c>
      <c r="Z14" s="165" t="s">
        <v>3889</v>
      </c>
      <c r="AA14" s="165" t="s">
        <v>3809</v>
      </c>
      <c r="AB14" s="165" t="s">
        <v>3811</v>
      </c>
      <c r="AC14" s="165" t="s">
        <v>3810</v>
      </c>
      <c r="AD14" s="165" t="s">
        <v>3895</v>
      </c>
      <c r="AE14">
        <v>75</v>
      </c>
      <c r="AF14" s="165" t="s">
        <v>3896</v>
      </c>
      <c r="AG14">
        <v>251</v>
      </c>
      <c r="AH14">
        <v>475</v>
      </c>
      <c r="AI14">
        <v>28.1</v>
      </c>
      <c r="AJ14">
        <v>50.5</v>
      </c>
      <c r="AK14" s="165" t="s">
        <v>3897</v>
      </c>
      <c r="AL14">
        <v>26.2</v>
      </c>
      <c r="AM14">
        <v>54</v>
      </c>
      <c r="AN14">
        <v>2</v>
      </c>
      <c r="AO14">
        <v>6</v>
      </c>
      <c r="AP14">
        <v>12</v>
      </c>
      <c r="AQ14" s="165" t="s">
        <v>3815</v>
      </c>
      <c r="AR14" t="s">
        <v>3870</v>
      </c>
      <c r="AS14" s="165" t="s">
        <v>3786</v>
      </c>
      <c r="AT14" t="s">
        <v>5291</v>
      </c>
      <c r="AU14" t="s">
        <v>5291</v>
      </c>
    </row>
    <row r="15" spans="1:47" hidden="1" x14ac:dyDescent="0.25">
      <c r="A15" s="165" t="s">
        <v>1843</v>
      </c>
      <c r="B15" s="165" t="s">
        <v>88</v>
      </c>
      <c r="C15" s="165" t="s">
        <v>23</v>
      </c>
      <c r="D15" s="165" t="s">
        <v>3898</v>
      </c>
      <c r="E15" s="165" t="s">
        <v>3856</v>
      </c>
      <c r="F15" s="165" t="s">
        <v>11</v>
      </c>
      <c r="G15" s="165" t="s">
        <v>3878</v>
      </c>
      <c r="H15" s="165" t="s">
        <v>263</v>
      </c>
      <c r="I15" s="165" t="s">
        <v>3821</v>
      </c>
      <c r="J15" s="165" t="s">
        <v>3879</v>
      </c>
      <c r="K15" s="165"/>
      <c r="L15" s="165"/>
      <c r="M15" s="165"/>
      <c r="N15" s="165"/>
      <c r="O15" s="165"/>
      <c r="P15" s="165"/>
      <c r="Q15" s="165"/>
      <c r="R15" s="165"/>
      <c r="S15" s="165"/>
      <c r="T15" s="165" t="s">
        <v>3806</v>
      </c>
      <c r="U15" s="165" t="s">
        <v>3807</v>
      </c>
      <c r="V15" s="165"/>
      <c r="W15" s="165"/>
      <c r="X15" s="165"/>
      <c r="Y15">
        <v>2</v>
      </c>
      <c r="Z15" s="165" t="s">
        <v>3880</v>
      </c>
      <c r="AA15" s="165" t="s">
        <v>3810</v>
      </c>
      <c r="AB15" s="165" t="s">
        <v>3810</v>
      </c>
      <c r="AC15" s="165" t="s">
        <v>3811</v>
      </c>
      <c r="AD15" s="165" t="s">
        <v>3881</v>
      </c>
      <c r="AE15">
        <v>1</v>
      </c>
      <c r="AF15" s="165" t="s">
        <v>3882</v>
      </c>
      <c r="AG15">
        <v>34</v>
      </c>
      <c r="AH15">
        <v>29</v>
      </c>
      <c r="AI15">
        <v>37</v>
      </c>
      <c r="AJ15">
        <v>32</v>
      </c>
      <c r="AK15" s="165" t="s">
        <v>3883</v>
      </c>
      <c r="AL15">
        <v>36</v>
      </c>
      <c r="AM15">
        <v>32</v>
      </c>
      <c r="AN15">
        <v>6</v>
      </c>
      <c r="AO15">
        <v>6</v>
      </c>
      <c r="AP15">
        <v>36</v>
      </c>
      <c r="AQ15" s="165" t="s">
        <v>3815</v>
      </c>
      <c r="AR15" t="s">
        <v>3870</v>
      </c>
      <c r="AS15" s="165" t="s">
        <v>174</v>
      </c>
      <c r="AT15" t="s">
        <v>5291</v>
      </c>
      <c r="AU15" t="s">
        <v>5291</v>
      </c>
    </row>
    <row r="16" spans="1:47" hidden="1" x14ac:dyDescent="0.25">
      <c r="A16" s="165" t="s">
        <v>743</v>
      </c>
      <c r="B16" s="165" t="s">
        <v>3899</v>
      </c>
      <c r="C16" s="165" t="s">
        <v>23</v>
      </c>
      <c r="D16" s="165" t="s">
        <v>744</v>
      </c>
      <c r="E16" s="165" t="s">
        <v>3900</v>
      </c>
      <c r="F16" s="165" t="s">
        <v>15</v>
      </c>
      <c r="G16" s="165" t="s">
        <v>8</v>
      </c>
      <c r="H16" s="165" t="s">
        <v>241</v>
      </c>
      <c r="I16" s="165" t="s">
        <v>3864</v>
      </c>
      <c r="J16" s="165" t="s">
        <v>3901</v>
      </c>
      <c r="K16" s="165"/>
      <c r="L16" s="165"/>
      <c r="M16" s="165"/>
      <c r="N16" s="165"/>
      <c r="O16" s="165"/>
      <c r="P16" s="165"/>
      <c r="Q16" s="165"/>
      <c r="R16" s="165"/>
      <c r="S16" s="165" t="s">
        <v>3902</v>
      </c>
      <c r="T16" s="165"/>
      <c r="U16" s="165"/>
      <c r="V16" s="165"/>
      <c r="W16" s="165"/>
      <c r="X16" s="165" t="s">
        <v>2428</v>
      </c>
      <c r="Y16">
        <v>2</v>
      </c>
      <c r="Z16" s="165" t="s">
        <v>3903</v>
      </c>
      <c r="AA16" s="165" t="s">
        <v>3811</v>
      </c>
      <c r="AB16" s="165" t="s">
        <v>3810</v>
      </c>
      <c r="AC16" s="165" t="s">
        <v>3809</v>
      </c>
      <c r="AD16" s="165" t="s">
        <v>3904</v>
      </c>
      <c r="AE16">
        <v>8</v>
      </c>
      <c r="AF16" s="165" t="s">
        <v>3905</v>
      </c>
      <c r="AG16">
        <v>24</v>
      </c>
      <c r="AH16">
        <v>455</v>
      </c>
      <c r="AI16">
        <v>27</v>
      </c>
      <c r="AJ16">
        <v>48.5</v>
      </c>
      <c r="AK16" s="165" t="s">
        <v>3906</v>
      </c>
      <c r="AL16">
        <v>26</v>
      </c>
      <c r="AM16">
        <v>54.5</v>
      </c>
      <c r="AN16">
        <v>2</v>
      </c>
      <c r="AO16">
        <v>6</v>
      </c>
      <c r="AP16">
        <v>12</v>
      </c>
      <c r="AQ16" s="165" t="s">
        <v>3815</v>
      </c>
      <c r="AR16" t="s">
        <v>3907</v>
      </c>
      <c r="AS16" s="165" t="s">
        <v>30</v>
      </c>
      <c r="AT16" t="s">
        <v>5291</v>
      </c>
      <c r="AU16" t="s">
        <v>5291</v>
      </c>
    </row>
    <row r="17" spans="1:47" hidden="1" x14ac:dyDescent="0.25">
      <c r="A17" s="165" t="s">
        <v>772</v>
      </c>
      <c r="B17" s="165" t="s">
        <v>3321</v>
      </c>
      <c r="C17" s="165" t="s">
        <v>23</v>
      </c>
      <c r="D17" s="165" t="s">
        <v>773</v>
      </c>
      <c r="E17" s="165" t="s">
        <v>3908</v>
      </c>
      <c r="F17" s="165" t="s">
        <v>181</v>
      </c>
      <c r="G17" s="165" t="s">
        <v>8</v>
      </c>
      <c r="H17" s="165" t="s">
        <v>241</v>
      </c>
      <c r="I17" s="165" t="s">
        <v>3864</v>
      </c>
      <c r="J17" s="165" t="s">
        <v>3901</v>
      </c>
      <c r="K17" s="165"/>
      <c r="L17" s="165"/>
      <c r="M17" s="165"/>
      <c r="N17" s="165"/>
      <c r="O17" s="165"/>
      <c r="P17" s="165"/>
      <c r="Q17" s="165"/>
      <c r="R17" s="165"/>
      <c r="S17" s="165" t="s">
        <v>3902</v>
      </c>
      <c r="T17" s="165"/>
      <c r="U17" s="165"/>
      <c r="V17" s="165"/>
      <c r="W17" s="165"/>
      <c r="X17" s="165" t="s">
        <v>2428</v>
      </c>
      <c r="Y17">
        <v>2</v>
      </c>
      <c r="Z17" s="165" t="s">
        <v>3903</v>
      </c>
      <c r="AA17" s="165" t="s">
        <v>3811</v>
      </c>
      <c r="AB17" s="165" t="s">
        <v>3810</v>
      </c>
      <c r="AC17" s="165" t="s">
        <v>3809</v>
      </c>
      <c r="AD17" s="165" t="s">
        <v>3904</v>
      </c>
      <c r="AE17">
        <v>8</v>
      </c>
      <c r="AF17" s="165" t="s">
        <v>3905</v>
      </c>
      <c r="AG17">
        <v>24</v>
      </c>
      <c r="AH17">
        <v>455</v>
      </c>
      <c r="AI17">
        <v>27</v>
      </c>
      <c r="AJ17">
        <v>48.5</v>
      </c>
      <c r="AK17" s="165" t="s">
        <v>3906</v>
      </c>
      <c r="AL17">
        <v>26</v>
      </c>
      <c r="AM17">
        <v>54.5</v>
      </c>
      <c r="AN17">
        <v>2</v>
      </c>
      <c r="AO17">
        <v>6</v>
      </c>
      <c r="AP17">
        <v>12</v>
      </c>
      <c r="AQ17" s="165" t="s">
        <v>3815</v>
      </c>
      <c r="AR17" t="s">
        <v>3909</v>
      </c>
      <c r="AS17" s="165" t="s">
        <v>30</v>
      </c>
      <c r="AT17" t="s">
        <v>5291</v>
      </c>
      <c r="AU17" t="s">
        <v>5291</v>
      </c>
    </row>
    <row r="18" spans="1:47" hidden="1" x14ac:dyDescent="0.25">
      <c r="A18" s="165" t="s">
        <v>3910</v>
      </c>
      <c r="B18" s="165" t="s">
        <v>3911</v>
      </c>
      <c r="C18" s="165" t="s">
        <v>23</v>
      </c>
      <c r="D18" s="165" t="s">
        <v>3912</v>
      </c>
      <c r="E18" s="165" t="s">
        <v>3913</v>
      </c>
      <c r="F18" s="165" t="s">
        <v>181</v>
      </c>
      <c r="G18" s="165" t="s">
        <v>8</v>
      </c>
      <c r="H18" s="165" t="s">
        <v>241</v>
      </c>
      <c r="I18" s="165" t="s">
        <v>3864</v>
      </c>
      <c r="J18" s="165" t="s">
        <v>3901</v>
      </c>
      <c r="K18" s="165"/>
      <c r="L18" s="165"/>
      <c r="M18" s="165"/>
      <c r="N18" s="165"/>
      <c r="O18" s="165"/>
      <c r="P18" s="165"/>
      <c r="Q18" s="165"/>
      <c r="R18" s="165"/>
      <c r="S18" s="165" t="s">
        <v>3902</v>
      </c>
      <c r="T18" s="165"/>
      <c r="U18" s="165"/>
      <c r="V18" s="165"/>
      <c r="W18" s="165"/>
      <c r="X18" s="165" t="s">
        <v>2428</v>
      </c>
      <c r="Y18">
        <v>2</v>
      </c>
      <c r="Z18" s="165" t="s">
        <v>3903</v>
      </c>
      <c r="AA18" s="165" t="s">
        <v>3811</v>
      </c>
      <c r="AB18" s="165" t="s">
        <v>3810</v>
      </c>
      <c r="AC18" s="165" t="s">
        <v>3809</v>
      </c>
      <c r="AD18" s="165" t="s">
        <v>3904</v>
      </c>
      <c r="AE18">
        <v>8</v>
      </c>
      <c r="AF18" s="165" t="s">
        <v>3905</v>
      </c>
      <c r="AG18">
        <v>24</v>
      </c>
      <c r="AH18">
        <v>455</v>
      </c>
      <c r="AI18">
        <v>27</v>
      </c>
      <c r="AJ18">
        <v>48.5</v>
      </c>
      <c r="AK18" s="165" t="s">
        <v>3906</v>
      </c>
      <c r="AL18">
        <v>26</v>
      </c>
      <c r="AM18">
        <v>54.5</v>
      </c>
      <c r="AN18">
        <v>2</v>
      </c>
      <c r="AO18">
        <v>6</v>
      </c>
      <c r="AP18">
        <v>12</v>
      </c>
      <c r="AQ18" s="165" t="s">
        <v>3815</v>
      </c>
      <c r="AR18" t="s">
        <v>3870</v>
      </c>
      <c r="AS18" s="165" t="s">
        <v>30</v>
      </c>
      <c r="AT18" t="s">
        <v>5291</v>
      </c>
      <c r="AU18" t="s">
        <v>5291</v>
      </c>
    </row>
    <row r="19" spans="1:47" hidden="1" x14ac:dyDescent="0.25">
      <c r="A19" s="165" t="s">
        <v>792</v>
      </c>
      <c r="B19" s="165" t="s">
        <v>3409</v>
      </c>
      <c r="C19" s="165" t="s">
        <v>23</v>
      </c>
      <c r="D19" s="165" t="s">
        <v>793</v>
      </c>
      <c r="E19" s="165" t="s">
        <v>3914</v>
      </c>
      <c r="F19" s="165" t="s">
        <v>15</v>
      </c>
      <c r="G19" s="165" t="s">
        <v>8</v>
      </c>
      <c r="H19" s="165" t="s">
        <v>241</v>
      </c>
      <c r="I19" s="165" t="s">
        <v>3864</v>
      </c>
      <c r="J19" s="165" t="s">
        <v>3901</v>
      </c>
      <c r="K19" s="165"/>
      <c r="L19" s="165"/>
      <c r="M19" s="165"/>
      <c r="N19" s="165"/>
      <c r="O19" s="165"/>
      <c r="P19" s="165"/>
      <c r="Q19" s="165"/>
      <c r="R19" s="165"/>
      <c r="S19" s="165" t="s">
        <v>3902</v>
      </c>
      <c r="T19" s="165"/>
      <c r="U19" s="165"/>
      <c r="V19" s="165"/>
      <c r="W19" s="165"/>
      <c r="X19" s="165" t="s">
        <v>2428</v>
      </c>
      <c r="Y19">
        <v>2</v>
      </c>
      <c r="Z19" s="165" t="s">
        <v>3903</v>
      </c>
      <c r="AA19" s="165" t="s">
        <v>3811</v>
      </c>
      <c r="AB19" s="165" t="s">
        <v>3810</v>
      </c>
      <c r="AC19" s="165" t="s">
        <v>3809</v>
      </c>
      <c r="AD19" s="165" t="s">
        <v>3904</v>
      </c>
      <c r="AE19">
        <v>8</v>
      </c>
      <c r="AF19" s="165" t="s">
        <v>3905</v>
      </c>
      <c r="AG19">
        <v>24</v>
      </c>
      <c r="AH19">
        <v>455</v>
      </c>
      <c r="AI19">
        <v>27</v>
      </c>
      <c r="AJ19">
        <v>48.5</v>
      </c>
      <c r="AK19" s="165" t="s">
        <v>3906</v>
      </c>
      <c r="AL19">
        <v>26</v>
      </c>
      <c r="AM19">
        <v>54.5</v>
      </c>
      <c r="AN19">
        <v>2</v>
      </c>
      <c r="AO19">
        <v>6</v>
      </c>
      <c r="AP19">
        <v>12</v>
      </c>
      <c r="AQ19" s="165" t="s">
        <v>3815</v>
      </c>
      <c r="AR19" t="s">
        <v>3884</v>
      </c>
      <c r="AS19" s="165" t="s">
        <v>30</v>
      </c>
      <c r="AT19" t="s">
        <v>5291</v>
      </c>
      <c r="AU19" t="s">
        <v>5291</v>
      </c>
    </row>
    <row r="20" spans="1:47" hidden="1" x14ac:dyDescent="0.25">
      <c r="A20" s="165" t="s">
        <v>794</v>
      </c>
      <c r="B20" s="165" t="s">
        <v>3915</v>
      </c>
      <c r="C20" s="165" t="s">
        <v>23</v>
      </c>
      <c r="D20" s="165" t="s">
        <v>795</v>
      </c>
      <c r="E20" s="165" t="s">
        <v>3914</v>
      </c>
      <c r="F20" s="165" t="s">
        <v>15</v>
      </c>
      <c r="G20" s="165" t="s">
        <v>8</v>
      </c>
      <c r="H20" s="165" t="s">
        <v>241</v>
      </c>
      <c r="I20" s="165" t="s">
        <v>3864</v>
      </c>
      <c r="J20" s="165" t="s">
        <v>3901</v>
      </c>
      <c r="K20" s="165"/>
      <c r="L20" s="165"/>
      <c r="M20" s="165"/>
      <c r="N20" s="165"/>
      <c r="O20" s="165"/>
      <c r="P20" s="165"/>
      <c r="Q20" s="165"/>
      <c r="R20" s="165"/>
      <c r="S20" s="165" t="s">
        <v>3902</v>
      </c>
      <c r="T20" s="165"/>
      <c r="U20" s="165"/>
      <c r="V20" s="165"/>
      <c r="W20" s="165"/>
      <c r="X20" s="165" t="s">
        <v>2428</v>
      </c>
      <c r="Y20">
        <v>2</v>
      </c>
      <c r="Z20" s="165" t="s">
        <v>3903</v>
      </c>
      <c r="AA20" s="165" t="s">
        <v>3811</v>
      </c>
      <c r="AB20" s="165" t="s">
        <v>3810</v>
      </c>
      <c r="AC20" s="165" t="s">
        <v>3809</v>
      </c>
      <c r="AD20" s="165" t="s">
        <v>3904</v>
      </c>
      <c r="AE20">
        <v>8</v>
      </c>
      <c r="AF20" s="165" t="s">
        <v>3905</v>
      </c>
      <c r="AG20">
        <v>24</v>
      </c>
      <c r="AH20">
        <v>455</v>
      </c>
      <c r="AI20">
        <v>27</v>
      </c>
      <c r="AJ20">
        <v>48.5</v>
      </c>
      <c r="AK20" s="165" t="s">
        <v>3906</v>
      </c>
      <c r="AL20">
        <v>26</v>
      </c>
      <c r="AM20">
        <v>54.5</v>
      </c>
      <c r="AN20">
        <v>2</v>
      </c>
      <c r="AO20">
        <v>6</v>
      </c>
      <c r="AP20">
        <v>12</v>
      </c>
      <c r="AQ20" s="165" t="s">
        <v>3815</v>
      </c>
      <c r="AR20" t="s">
        <v>3830</v>
      </c>
      <c r="AS20" s="165" t="s">
        <v>30</v>
      </c>
      <c r="AT20" t="s">
        <v>5291</v>
      </c>
      <c r="AU20" t="s">
        <v>5291</v>
      </c>
    </row>
    <row r="21" spans="1:47" hidden="1" x14ac:dyDescent="0.25">
      <c r="A21" s="165" t="s">
        <v>1799</v>
      </c>
      <c r="B21" s="165" t="s">
        <v>3916</v>
      </c>
      <c r="C21" s="165" t="s">
        <v>23</v>
      </c>
      <c r="D21" s="165" t="s">
        <v>1800</v>
      </c>
      <c r="E21" s="165" t="s">
        <v>3917</v>
      </c>
      <c r="F21" s="165" t="s">
        <v>15</v>
      </c>
      <c r="G21" s="165" t="s">
        <v>8</v>
      </c>
      <c r="H21" s="165" t="s">
        <v>241</v>
      </c>
      <c r="I21" s="165" t="s">
        <v>3864</v>
      </c>
      <c r="J21" s="165" t="s">
        <v>3901</v>
      </c>
      <c r="K21" s="165"/>
      <c r="L21" s="165"/>
      <c r="M21" s="165"/>
      <c r="N21" s="165"/>
      <c r="O21" s="165"/>
      <c r="P21" s="165"/>
      <c r="Q21" s="165"/>
      <c r="R21" s="165"/>
      <c r="S21" s="165" t="s">
        <v>3902</v>
      </c>
      <c r="T21" s="165"/>
      <c r="U21" s="165"/>
      <c r="V21" s="165"/>
      <c r="W21" s="165"/>
      <c r="X21" s="165" t="s">
        <v>2428</v>
      </c>
      <c r="Y21">
        <v>2</v>
      </c>
      <c r="Z21" s="165" t="s">
        <v>3903</v>
      </c>
      <c r="AA21" s="165" t="s">
        <v>3811</v>
      </c>
      <c r="AB21" s="165" t="s">
        <v>3810</v>
      </c>
      <c r="AC21" s="165" t="s">
        <v>3809</v>
      </c>
      <c r="AD21" s="165" t="s">
        <v>3904</v>
      </c>
      <c r="AE21">
        <v>8</v>
      </c>
      <c r="AF21" s="165" t="s">
        <v>3905</v>
      </c>
      <c r="AG21">
        <v>24</v>
      </c>
      <c r="AH21">
        <v>455</v>
      </c>
      <c r="AI21">
        <v>27</v>
      </c>
      <c r="AJ21">
        <v>48.5</v>
      </c>
      <c r="AK21" s="165" t="s">
        <v>3906</v>
      </c>
      <c r="AL21">
        <v>26</v>
      </c>
      <c r="AM21">
        <v>54.5</v>
      </c>
      <c r="AN21">
        <v>2</v>
      </c>
      <c r="AO21">
        <v>6</v>
      </c>
      <c r="AP21">
        <v>12</v>
      </c>
      <c r="AQ21" s="165" t="s">
        <v>3815</v>
      </c>
      <c r="AR21" t="s">
        <v>3907</v>
      </c>
      <c r="AS21" s="165" t="s">
        <v>30</v>
      </c>
      <c r="AT21" t="s">
        <v>5291</v>
      </c>
      <c r="AU21" t="s">
        <v>5291</v>
      </c>
    </row>
    <row r="22" spans="1:47" hidden="1" x14ac:dyDescent="0.25">
      <c r="A22" s="165" t="s">
        <v>798</v>
      </c>
      <c r="B22" s="165" t="s">
        <v>3918</v>
      </c>
      <c r="C22" s="165" t="s">
        <v>23</v>
      </c>
      <c r="D22" s="165" t="s">
        <v>799</v>
      </c>
      <c r="E22" s="165" t="s">
        <v>3917</v>
      </c>
      <c r="F22" s="165" t="s">
        <v>15</v>
      </c>
      <c r="G22" s="165" t="s">
        <v>8</v>
      </c>
      <c r="H22" s="165" t="s">
        <v>241</v>
      </c>
      <c r="I22" s="165" t="s">
        <v>3864</v>
      </c>
      <c r="J22" s="165" t="s">
        <v>3901</v>
      </c>
      <c r="K22" s="165"/>
      <c r="L22" s="165"/>
      <c r="M22" s="165"/>
      <c r="N22" s="165"/>
      <c r="O22" s="165"/>
      <c r="P22" s="165"/>
      <c r="Q22" s="165"/>
      <c r="R22" s="165"/>
      <c r="S22" s="165" t="s">
        <v>3902</v>
      </c>
      <c r="T22" s="165"/>
      <c r="U22" s="165"/>
      <c r="V22" s="165"/>
      <c r="W22" s="165"/>
      <c r="X22" s="165" t="s">
        <v>2428</v>
      </c>
      <c r="Y22">
        <v>2</v>
      </c>
      <c r="Z22" s="165" t="s">
        <v>3903</v>
      </c>
      <c r="AA22" s="165" t="s">
        <v>3811</v>
      </c>
      <c r="AB22" s="165" t="s">
        <v>3810</v>
      </c>
      <c r="AC22" s="165" t="s">
        <v>3809</v>
      </c>
      <c r="AD22" s="165" t="s">
        <v>3904</v>
      </c>
      <c r="AE22">
        <v>8</v>
      </c>
      <c r="AF22" s="165" t="s">
        <v>3905</v>
      </c>
      <c r="AG22">
        <v>24</v>
      </c>
      <c r="AH22">
        <v>455</v>
      </c>
      <c r="AI22">
        <v>27</v>
      </c>
      <c r="AJ22">
        <v>48.5</v>
      </c>
      <c r="AK22" s="165" t="s">
        <v>3906</v>
      </c>
      <c r="AL22">
        <v>26</v>
      </c>
      <c r="AM22">
        <v>54.5</v>
      </c>
      <c r="AN22">
        <v>2</v>
      </c>
      <c r="AO22">
        <v>6</v>
      </c>
      <c r="AP22">
        <v>12</v>
      </c>
      <c r="AQ22" s="165" t="s">
        <v>3815</v>
      </c>
      <c r="AR22" t="s">
        <v>3907</v>
      </c>
      <c r="AS22" s="165" t="s">
        <v>30</v>
      </c>
      <c r="AT22" t="s">
        <v>5291</v>
      </c>
      <c r="AU22" t="s">
        <v>5291</v>
      </c>
    </row>
    <row r="23" spans="1:47" hidden="1" x14ac:dyDescent="0.25">
      <c r="A23" s="165" t="s">
        <v>3919</v>
      </c>
      <c r="B23" s="165" t="s">
        <v>3920</v>
      </c>
      <c r="C23" s="165" t="s">
        <v>23</v>
      </c>
      <c r="D23" s="165" t="s">
        <v>3921</v>
      </c>
      <c r="E23" s="165" t="s">
        <v>3922</v>
      </c>
      <c r="F23" s="165" t="s">
        <v>181</v>
      </c>
      <c r="G23" s="165" t="s">
        <v>8</v>
      </c>
      <c r="H23" s="165" t="s">
        <v>241</v>
      </c>
      <c r="I23" s="165" t="s">
        <v>3864</v>
      </c>
      <c r="J23" s="165" t="s">
        <v>3901</v>
      </c>
      <c r="K23" s="165"/>
      <c r="L23" s="165"/>
      <c r="M23" s="165"/>
      <c r="N23" s="165"/>
      <c r="O23" s="165"/>
      <c r="P23" s="165"/>
      <c r="Q23" s="165"/>
      <c r="R23" s="165"/>
      <c r="S23" s="165" t="s">
        <v>3902</v>
      </c>
      <c r="T23" s="165"/>
      <c r="U23" s="165"/>
      <c r="V23" s="165"/>
      <c r="W23" s="165"/>
      <c r="X23" s="165" t="s">
        <v>2428</v>
      </c>
      <c r="Y23">
        <v>2</v>
      </c>
      <c r="Z23" s="165" t="s">
        <v>3903</v>
      </c>
      <c r="AA23" s="165" t="s">
        <v>3811</v>
      </c>
      <c r="AB23" s="165" t="s">
        <v>3810</v>
      </c>
      <c r="AC23" s="165" t="s">
        <v>3809</v>
      </c>
      <c r="AD23" s="165" t="s">
        <v>3904</v>
      </c>
      <c r="AE23">
        <v>8</v>
      </c>
      <c r="AF23" s="165" t="s">
        <v>3905</v>
      </c>
      <c r="AG23">
        <v>24</v>
      </c>
      <c r="AH23">
        <v>455</v>
      </c>
      <c r="AI23">
        <v>27</v>
      </c>
      <c r="AJ23">
        <v>48.5</v>
      </c>
      <c r="AK23" s="165" t="s">
        <v>3906</v>
      </c>
      <c r="AL23">
        <v>26</v>
      </c>
      <c r="AM23">
        <v>54.5</v>
      </c>
      <c r="AN23">
        <v>2</v>
      </c>
      <c r="AO23">
        <v>6</v>
      </c>
      <c r="AP23">
        <v>12</v>
      </c>
      <c r="AQ23" s="165" t="s">
        <v>3815</v>
      </c>
      <c r="AR23" t="s">
        <v>3923</v>
      </c>
      <c r="AS23" s="165" t="s">
        <v>30</v>
      </c>
      <c r="AT23" t="s">
        <v>5291</v>
      </c>
      <c r="AU23" t="s">
        <v>5291</v>
      </c>
    </row>
    <row r="24" spans="1:47" hidden="1" x14ac:dyDescent="0.25">
      <c r="A24" s="165" t="s">
        <v>869</v>
      </c>
      <c r="B24" s="165" t="s">
        <v>3362</v>
      </c>
      <c r="C24" s="165" t="s">
        <v>23</v>
      </c>
      <c r="D24" s="165" t="s">
        <v>3924</v>
      </c>
      <c r="E24" s="165" t="s">
        <v>3925</v>
      </c>
      <c r="F24" s="165" t="s">
        <v>181</v>
      </c>
      <c r="G24" s="165" t="s">
        <v>8</v>
      </c>
      <c r="H24" s="165" t="s">
        <v>241</v>
      </c>
      <c r="I24" s="165" t="s">
        <v>3864</v>
      </c>
      <c r="J24" s="165" t="s">
        <v>3901</v>
      </c>
      <c r="K24" s="165"/>
      <c r="L24" s="165"/>
      <c r="M24" s="165"/>
      <c r="N24" s="165"/>
      <c r="O24" s="165"/>
      <c r="P24" s="165"/>
      <c r="Q24" s="165"/>
      <c r="R24" s="165"/>
      <c r="S24" s="165" t="s">
        <v>3902</v>
      </c>
      <c r="T24" s="165"/>
      <c r="U24" s="165"/>
      <c r="V24" s="165"/>
      <c r="W24" s="165"/>
      <c r="X24" s="165" t="s">
        <v>2428</v>
      </c>
      <c r="Y24">
        <v>2</v>
      </c>
      <c r="Z24" s="165" t="s">
        <v>3903</v>
      </c>
      <c r="AA24" s="165" t="s">
        <v>3811</v>
      </c>
      <c r="AB24" s="165" t="s">
        <v>3810</v>
      </c>
      <c r="AC24" s="165" t="s">
        <v>3809</v>
      </c>
      <c r="AD24" s="165" t="s">
        <v>3904</v>
      </c>
      <c r="AE24">
        <v>8</v>
      </c>
      <c r="AF24" s="165" t="s">
        <v>3905</v>
      </c>
      <c r="AG24">
        <v>24</v>
      </c>
      <c r="AH24">
        <v>455</v>
      </c>
      <c r="AI24">
        <v>27</v>
      </c>
      <c r="AJ24">
        <v>48.5</v>
      </c>
      <c r="AK24" s="165" t="s">
        <v>3906</v>
      </c>
      <c r="AL24">
        <v>26</v>
      </c>
      <c r="AM24">
        <v>54.5</v>
      </c>
      <c r="AN24">
        <v>2</v>
      </c>
      <c r="AO24">
        <v>6</v>
      </c>
      <c r="AP24">
        <v>12</v>
      </c>
      <c r="AQ24" s="165" t="s">
        <v>3815</v>
      </c>
      <c r="AR24" t="s">
        <v>3830</v>
      </c>
      <c r="AS24" s="165" t="s">
        <v>30</v>
      </c>
      <c r="AT24" t="s">
        <v>5291</v>
      </c>
      <c r="AU24" t="s">
        <v>5291</v>
      </c>
    </row>
    <row r="25" spans="1:47" hidden="1" x14ac:dyDescent="0.25">
      <c r="A25" s="165" t="s">
        <v>917</v>
      </c>
      <c r="B25" s="165" t="s">
        <v>3926</v>
      </c>
      <c r="C25" s="165" t="s">
        <v>23</v>
      </c>
      <c r="D25" s="165" t="s">
        <v>918</v>
      </c>
      <c r="E25" s="165" t="s">
        <v>3927</v>
      </c>
      <c r="F25" s="165" t="s">
        <v>181</v>
      </c>
      <c r="G25" s="165" t="s">
        <v>8</v>
      </c>
      <c r="H25" s="165" t="s">
        <v>241</v>
      </c>
      <c r="I25" s="165" t="s">
        <v>3864</v>
      </c>
      <c r="J25" s="165" t="s">
        <v>3901</v>
      </c>
      <c r="K25" s="165"/>
      <c r="L25" s="165"/>
      <c r="M25" s="165"/>
      <c r="N25" s="165"/>
      <c r="O25" s="165"/>
      <c r="P25" s="165"/>
      <c r="Q25" s="165"/>
      <c r="R25" s="165"/>
      <c r="S25" s="165" t="s">
        <v>3902</v>
      </c>
      <c r="T25" s="165"/>
      <c r="U25" s="165"/>
      <c r="V25" s="165"/>
      <c r="W25" s="165"/>
      <c r="X25" s="165" t="s">
        <v>2428</v>
      </c>
      <c r="Y25">
        <v>2</v>
      </c>
      <c r="Z25" s="165" t="s">
        <v>3903</v>
      </c>
      <c r="AA25" s="165" t="s">
        <v>3811</v>
      </c>
      <c r="AB25" s="165" t="s">
        <v>3810</v>
      </c>
      <c r="AC25" s="165" t="s">
        <v>3809</v>
      </c>
      <c r="AD25" s="165" t="s">
        <v>3904</v>
      </c>
      <c r="AE25">
        <v>8</v>
      </c>
      <c r="AF25" s="165" t="s">
        <v>3905</v>
      </c>
      <c r="AG25">
        <v>24</v>
      </c>
      <c r="AH25">
        <v>455</v>
      </c>
      <c r="AI25">
        <v>27</v>
      </c>
      <c r="AJ25">
        <v>48.5</v>
      </c>
      <c r="AK25" s="165" t="s">
        <v>3906</v>
      </c>
      <c r="AL25">
        <v>26</v>
      </c>
      <c r="AM25">
        <v>54.5</v>
      </c>
      <c r="AN25">
        <v>2</v>
      </c>
      <c r="AO25">
        <v>6</v>
      </c>
      <c r="AP25">
        <v>12</v>
      </c>
      <c r="AQ25" s="165" t="s">
        <v>3815</v>
      </c>
      <c r="AR25" t="s">
        <v>3830</v>
      </c>
      <c r="AS25" s="165" t="s">
        <v>30</v>
      </c>
      <c r="AT25" t="s">
        <v>5291</v>
      </c>
      <c r="AU25" t="s">
        <v>5291</v>
      </c>
    </row>
    <row r="26" spans="1:47" hidden="1" x14ac:dyDescent="0.25">
      <c r="A26" s="165" t="s">
        <v>919</v>
      </c>
      <c r="B26" s="165" t="s">
        <v>3442</v>
      </c>
      <c r="C26" s="165" t="s">
        <v>23</v>
      </c>
      <c r="D26" s="165" t="s">
        <v>920</v>
      </c>
      <c r="E26" s="165" t="s">
        <v>2352</v>
      </c>
      <c r="F26" s="165" t="s">
        <v>181</v>
      </c>
      <c r="G26" s="165" t="s">
        <v>8</v>
      </c>
      <c r="H26" s="165" t="s">
        <v>241</v>
      </c>
      <c r="I26" s="165" t="s">
        <v>3864</v>
      </c>
      <c r="J26" s="165" t="s">
        <v>3901</v>
      </c>
      <c r="K26" s="165"/>
      <c r="L26" s="165"/>
      <c r="M26" s="165"/>
      <c r="N26" s="165"/>
      <c r="O26" s="165"/>
      <c r="P26" s="165"/>
      <c r="Q26" s="165"/>
      <c r="R26" s="165"/>
      <c r="S26" s="165" t="s">
        <v>3902</v>
      </c>
      <c r="T26" s="165"/>
      <c r="U26" s="165"/>
      <c r="V26" s="165"/>
      <c r="W26" s="165"/>
      <c r="X26" s="165" t="s">
        <v>2428</v>
      </c>
      <c r="Y26">
        <v>2</v>
      </c>
      <c r="Z26" s="165" t="s">
        <v>3903</v>
      </c>
      <c r="AA26" s="165" t="s">
        <v>3811</v>
      </c>
      <c r="AB26" s="165" t="s">
        <v>3810</v>
      </c>
      <c r="AC26" s="165" t="s">
        <v>3809</v>
      </c>
      <c r="AD26" s="165" t="s">
        <v>3904</v>
      </c>
      <c r="AE26">
        <v>8</v>
      </c>
      <c r="AF26" s="165" t="s">
        <v>3905</v>
      </c>
      <c r="AG26">
        <v>24</v>
      </c>
      <c r="AH26">
        <v>455</v>
      </c>
      <c r="AI26">
        <v>27</v>
      </c>
      <c r="AJ26">
        <v>48.5</v>
      </c>
      <c r="AK26" s="165" t="s">
        <v>3906</v>
      </c>
      <c r="AL26">
        <v>26</v>
      </c>
      <c r="AM26">
        <v>54.5</v>
      </c>
      <c r="AN26">
        <v>2</v>
      </c>
      <c r="AO26">
        <v>6</v>
      </c>
      <c r="AP26">
        <v>12</v>
      </c>
      <c r="AQ26" s="165" t="s">
        <v>3815</v>
      </c>
      <c r="AR26" t="s">
        <v>3928</v>
      </c>
      <c r="AS26" s="165" t="s">
        <v>30</v>
      </c>
      <c r="AT26" t="s">
        <v>5291</v>
      </c>
      <c r="AU26" t="s">
        <v>5291</v>
      </c>
    </row>
    <row r="27" spans="1:47" hidden="1" x14ac:dyDescent="0.25">
      <c r="A27" s="165" t="s">
        <v>929</v>
      </c>
      <c r="B27" s="165" t="s">
        <v>3347</v>
      </c>
      <c r="C27" s="165" t="s">
        <v>23</v>
      </c>
      <c r="D27" s="165" t="s">
        <v>930</v>
      </c>
      <c r="E27" s="165" t="s">
        <v>3929</v>
      </c>
      <c r="F27" s="165" t="s">
        <v>15</v>
      </c>
      <c r="G27" s="165" t="s">
        <v>8</v>
      </c>
      <c r="H27" s="165" t="s">
        <v>241</v>
      </c>
      <c r="I27" s="165" t="s">
        <v>3864</v>
      </c>
      <c r="J27" s="165" t="s">
        <v>3901</v>
      </c>
      <c r="K27" s="165"/>
      <c r="L27" s="165"/>
      <c r="M27" s="165"/>
      <c r="N27" s="165"/>
      <c r="O27" s="165"/>
      <c r="P27" s="165"/>
      <c r="Q27" s="165"/>
      <c r="R27" s="165"/>
      <c r="S27" s="165" t="s">
        <v>3902</v>
      </c>
      <c r="T27" s="165"/>
      <c r="U27" s="165"/>
      <c r="V27" s="165"/>
      <c r="W27" s="165"/>
      <c r="X27" s="165" t="s">
        <v>2428</v>
      </c>
      <c r="Y27">
        <v>2</v>
      </c>
      <c r="Z27" s="165" t="s">
        <v>3903</v>
      </c>
      <c r="AA27" s="165" t="s">
        <v>3811</v>
      </c>
      <c r="AB27" s="165" t="s">
        <v>3810</v>
      </c>
      <c r="AC27" s="165" t="s">
        <v>3809</v>
      </c>
      <c r="AD27" s="165" t="s">
        <v>3904</v>
      </c>
      <c r="AE27">
        <v>8</v>
      </c>
      <c r="AF27" s="165" t="s">
        <v>3905</v>
      </c>
      <c r="AG27">
        <v>24</v>
      </c>
      <c r="AH27">
        <v>455</v>
      </c>
      <c r="AI27">
        <v>27</v>
      </c>
      <c r="AJ27">
        <v>48.5</v>
      </c>
      <c r="AK27" s="165" t="s">
        <v>3906</v>
      </c>
      <c r="AL27">
        <v>26</v>
      </c>
      <c r="AM27">
        <v>54.5</v>
      </c>
      <c r="AN27">
        <v>2</v>
      </c>
      <c r="AO27">
        <v>6</v>
      </c>
      <c r="AP27">
        <v>12</v>
      </c>
      <c r="AQ27" s="165" t="s">
        <v>3815</v>
      </c>
      <c r="AR27" t="s">
        <v>3930</v>
      </c>
      <c r="AS27" s="165" t="s">
        <v>30</v>
      </c>
      <c r="AT27" t="s">
        <v>5291</v>
      </c>
      <c r="AU27" t="s">
        <v>5291</v>
      </c>
    </row>
    <row r="28" spans="1:47" hidden="1" x14ac:dyDescent="0.25">
      <c r="A28" s="165" t="s">
        <v>1711</v>
      </c>
      <c r="B28" s="165" t="s">
        <v>3931</v>
      </c>
      <c r="C28" s="165" t="s">
        <v>23</v>
      </c>
      <c r="D28" s="165" t="s">
        <v>1712</v>
      </c>
      <c r="E28" s="165" t="s">
        <v>3929</v>
      </c>
      <c r="F28" s="165" t="s">
        <v>15</v>
      </c>
      <c r="G28" s="165" t="s">
        <v>8</v>
      </c>
      <c r="H28" s="165" t="s">
        <v>241</v>
      </c>
      <c r="I28" s="165" t="s">
        <v>3864</v>
      </c>
      <c r="J28" s="165" t="s">
        <v>3901</v>
      </c>
      <c r="K28" s="165"/>
      <c r="L28" s="165"/>
      <c r="M28" s="165"/>
      <c r="N28" s="165"/>
      <c r="O28" s="165"/>
      <c r="P28" s="165"/>
      <c r="Q28" s="165"/>
      <c r="R28" s="165"/>
      <c r="S28" s="165" t="s">
        <v>3902</v>
      </c>
      <c r="T28" s="165"/>
      <c r="U28" s="165"/>
      <c r="V28" s="165"/>
      <c r="W28" s="165"/>
      <c r="X28" s="165" t="s">
        <v>2428</v>
      </c>
      <c r="Y28">
        <v>2</v>
      </c>
      <c r="Z28" s="165" t="s">
        <v>3903</v>
      </c>
      <c r="AA28" s="165" t="s">
        <v>3811</v>
      </c>
      <c r="AB28" s="165" t="s">
        <v>3810</v>
      </c>
      <c r="AC28" s="165" t="s">
        <v>3809</v>
      </c>
      <c r="AD28" s="165" t="s">
        <v>3904</v>
      </c>
      <c r="AE28">
        <v>8</v>
      </c>
      <c r="AF28" s="165" t="s">
        <v>3905</v>
      </c>
      <c r="AG28">
        <v>24</v>
      </c>
      <c r="AH28">
        <v>455</v>
      </c>
      <c r="AI28">
        <v>27</v>
      </c>
      <c r="AJ28">
        <v>48.5</v>
      </c>
      <c r="AK28" s="165" t="s">
        <v>3906</v>
      </c>
      <c r="AL28">
        <v>26</v>
      </c>
      <c r="AM28">
        <v>54.5</v>
      </c>
      <c r="AN28">
        <v>2</v>
      </c>
      <c r="AO28">
        <v>6</v>
      </c>
      <c r="AP28">
        <v>12</v>
      </c>
      <c r="AQ28" s="165" t="s">
        <v>3815</v>
      </c>
      <c r="AR28" t="s">
        <v>3932</v>
      </c>
      <c r="AS28" s="165" t="s">
        <v>30</v>
      </c>
      <c r="AT28" t="s">
        <v>5291</v>
      </c>
      <c r="AU28" t="s">
        <v>5291</v>
      </c>
    </row>
    <row r="29" spans="1:47" hidden="1" x14ac:dyDescent="0.25">
      <c r="A29" s="165" t="s">
        <v>951</v>
      </c>
      <c r="B29" s="165" t="s">
        <v>3443</v>
      </c>
      <c r="C29" s="165" t="s">
        <v>23</v>
      </c>
      <c r="D29" s="165" t="s">
        <v>952</v>
      </c>
      <c r="E29" s="165" t="s">
        <v>3933</v>
      </c>
      <c r="F29" s="165" t="s">
        <v>181</v>
      </c>
      <c r="G29" s="165" t="s">
        <v>8</v>
      </c>
      <c r="H29" s="165" t="s">
        <v>241</v>
      </c>
      <c r="I29" s="165" t="s">
        <v>3864</v>
      </c>
      <c r="J29" s="165" t="s">
        <v>3901</v>
      </c>
      <c r="K29" s="165"/>
      <c r="L29" s="165"/>
      <c r="M29" s="165"/>
      <c r="N29" s="165"/>
      <c r="O29" s="165"/>
      <c r="P29" s="165"/>
      <c r="Q29" s="165"/>
      <c r="R29" s="165"/>
      <c r="S29" s="165" t="s">
        <v>3902</v>
      </c>
      <c r="T29" s="165"/>
      <c r="U29" s="165"/>
      <c r="V29" s="165"/>
      <c r="W29" s="165"/>
      <c r="X29" s="165" t="s">
        <v>2428</v>
      </c>
      <c r="Y29">
        <v>2</v>
      </c>
      <c r="Z29" s="165" t="s">
        <v>3903</v>
      </c>
      <c r="AA29" s="165" t="s">
        <v>3811</v>
      </c>
      <c r="AB29" s="165" t="s">
        <v>3810</v>
      </c>
      <c r="AC29" s="165" t="s">
        <v>3809</v>
      </c>
      <c r="AD29" s="165" t="s">
        <v>3904</v>
      </c>
      <c r="AE29">
        <v>8</v>
      </c>
      <c r="AF29" s="165" t="s">
        <v>3905</v>
      </c>
      <c r="AG29">
        <v>24</v>
      </c>
      <c r="AH29">
        <v>455</v>
      </c>
      <c r="AI29">
        <v>27</v>
      </c>
      <c r="AJ29">
        <v>48.5</v>
      </c>
      <c r="AK29" s="165" t="s">
        <v>3906</v>
      </c>
      <c r="AL29">
        <v>26</v>
      </c>
      <c r="AM29">
        <v>54.5</v>
      </c>
      <c r="AN29">
        <v>2</v>
      </c>
      <c r="AO29">
        <v>6</v>
      </c>
      <c r="AP29">
        <v>12</v>
      </c>
      <c r="AQ29" s="165" t="s">
        <v>3815</v>
      </c>
      <c r="AR29" t="s">
        <v>3830</v>
      </c>
      <c r="AS29" s="165" t="s">
        <v>30</v>
      </c>
      <c r="AT29" t="s">
        <v>5291</v>
      </c>
      <c r="AU29" t="s">
        <v>5291</v>
      </c>
    </row>
    <row r="30" spans="1:47" hidden="1" x14ac:dyDescent="0.25">
      <c r="A30" s="165" t="s">
        <v>963</v>
      </c>
      <c r="B30" s="165" t="s">
        <v>3411</v>
      </c>
      <c r="C30" s="165" t="s">
        <v>23</v>
      </c>
      <c r="D30" s="165" t="s">
        <v>964</v>
      </c>
      <c r="E30" s="165" t="s">
        <v>3934</v>
      </c>
      <c r="F30" s="165" t="s">
        <v>3935</v>
      </c>
      <c r="G30" s="165" t="s">
        <v>8</v>
      </c>
      <c r="H30" s="165" t="s">
        <v>241</v>
      </c>
      <c r="I30" s="165" t="s">
        <v>3864</v>
      </c>
      <c r="J30" s="165" t="s">
        <v>3901</v>
      </c>
      <c r="K30" s="165"/>
      <c r="L30" s="165"/>
      <c r="M30" s="165"/>
      <c r="N30" s="165"/>
      <c r="O30" s="165"/>
      <c r="P30" s="165"/>
      <c r="Q30" s="165"/>
      <c r="R30" s="165"/>
      <c r="S30" s="165" t="s">
        <v>3902</v>
      </c>
      <c r="T30" s="165"/>
      <c r="U30" s="165"/>
      <c r="V30" s="165"/>
      <c r="W30" s="165"/>
      <c r="X30" s="165" t="s">
        <v>2428</v>
      </c>
      <c r="Y30">
        <v>2</v>
      </c>
      <c r="Z30" s="165" t="s">
        <v>3903</v>
      </c>
      <c r="AA30" s="165" t="s">
        <v>3811</v>
      </c>
      <c r="AB30" s="165" t="s">
        <v>3810</v>
      </c>
      <c r="AC30" s="165" t="s">
        <v>3809</v>
      </c>
      <c r="AD30" s="165" t="s">
        <v>3904</v>
      </c>
      <c r="AE30">
        <v>8</v>
      </c>
      <c r="AF30" s="165" t="s">
        <v>3905</v>
      </c>
      <c r="AG30">
        <v>24</v>
      </c>
      <c r="AH30">
        <v>455</v>
      </c>
      <c r="AI30">
        <v>27</v>
      </c>
      <c r="AJ30">
        <v>48.5</v>
      </c>
      <c r="AK30" s="165" t="s">
        <v>3906</v>
      </c>
      <c r="AL30">
        <v>26</v>
      </c>
      <c r="AM30">
        <v>54.5</v>
      </c>
      <c r="AN30">
        <v>2</v>
      </c>
      <c r="AO30">
        <v>6</v>
      </c>
      <c r="AP30">
        <v>12</v>
      </c>
      <c r="AQ30" s="165" t="s">
        <v>3815</v>
      </c>
      <c r="AR30" t="s">
        <v>3870</v>
      </c>
      <c r="AS30" s="165" t="s">
        <v>30</v>
      </c>
      <c r="AT30" t="s">
        <v>5291</v>
      </c>
      <c r="AU30" t="s">
        <v>5291</v>
      </c>
    </row>
    <row r="31" spans="1:47" hidden="1" x14ac:dyDescent="0.25">
      <c r="A31" s="165" t="s">
        <v>1025</v>
      </c>
      <c r="B31" s="165" t="s">
        <v>3936</v>
      </c>
      <c r="C31" s="165" t="s">
        <v>23</v>
      </c>
      <c r="D31" s="165" t="s">
        <v>1026</v>
      </c>
      <c r="E31" s="165" t="s">
        <v>3937</v>
      </c>
      <c r="F31" s="165" t="s">
        <v>15</v>
      </c>
      <c r="G31" s="165" t="s">
        <v>8</v>
      </c>
      <c r="H31" s="165" t="s">
        <v>241</v>
      </c>
      <c r="I31" s="165" t="s">
        <v>3864</v>
      </c>
      <c r="J31" s="165" t="s">
        <v>3901</v>
      </c>
      <c r="K31" s="165"/>
      <c r="L31" s="165"/>
      <c r="M31" s="165"/>
      <c r="N31" s="165"/>
      <c r="O31" s="165"/>
      <c r="P31" s="165"/>
      <c r="Q31" s="165"/>
      <c r="R31" s="165"/>
      <c r="S31" s="165" t="s">
        <v>3902</v>
      </c>
      <c r="T31" s="165"/>
      <c r="U31" s="165"/>
      <c r="V31" s="165"/>
      <c r="W31" s="165"/>
      <c r="X31" s="165" t="s">
        <v>2428</v>
      </c>
      <c r="Y31">
        <v>2</v>
      </c>
      <c r="Z31" s="165" t="s">
        <v>3903</v>
      </c>
      <c r="AA31" s="165" t="s">
        <v>3811</v>
      </c>
      <c r="AB31" s="165" t="s">
        <v>3810</v>
      </c>
      <c r="AC31" s="165" t="s">
        <v>3809</v>
      </c>
      <c r="AD31" s="165" t="s">
        <v>3904</v>
      </c>
      <c r="AE31">
        <v>8</v>
      </c>
      <c r="AF31" s="165" t="s">
        <v>3905</v>
      </c>
      <c r="AG31">
        <v>24</v>
      </c>
      <c r="AH31">
        <v>455</v>
      </c>
      <c r="AI31">
        <v>27</v>
      </c>
      <c r="AJ31">
        <v>48.5</v>
      </c>
      <c r="AK31" s="165" t="s">
        <v>3906</v>
      </c>
      <c r="AL31">
        <v>26</v>
      </c>
      <c r="AM31">
        <v>54.5</v>
      </c>
      <c r="AN31">
        <v>2</v>
      </c>
      <c r="AO31">
        <v>6</v>
      </c>
      <c r="AP31">
        <v>12</v>
      </c>
      <c r="AQ31" s="165" t="s">
        <v>3815</v>
      </c>
      <c r="AR31" t="s">
        <v>3928</v>
      </c>
      <c r="AS31" s="165" t="s">
        <v>30</v>
      </c>
      <c r="AT31" t="s">
        <v>5291</v>
      </c>
      <c r="AU31" t="s">
        <v>5291</v>
      </c>
    </row>
    <row r="32" spans="1:47" hidden="1" x14ac:dyDescent="0.25">
      <c r="A32" s="165" t="s">
        <v>1130</v>
      </c>
      <c r="B32" s="165" t="s">
        <v>3351</v>
      </c>
      <c r="C32" s="165" t="s">
        <v>23</v>
      </c>
      <c r="D32" s="165" t="s">
        <v>1131</v>
      </c>
      <c r="E32" s="165" t="s">
        <v>3938</v>
      </c>
      <c r="F32" s="165" t="s">
        <v>15</v>
      </c>
      <c r="G32" s="165" t="s">
        <v>8</v>
      </c>
      <c r="H32" s="165" t="s">
        <v>241</v>
      </c>
      <c r="I32" s="165" t="s">
        <v>3864</v>
      </c>
      <c r="J32" s="165" t="s">
        <v>3901</v>
      </c>
      <c r="K32" s="165"/>
      <c r="L32" s="165"/>
      <c r="M32" s="165"/>
      <c r="N32" s="165"/>
      <c r="O32" s="165"/>
      <c r="P32" s="165"/>
      <c r="Q32" s="165"/>
      <c r="R32" s="165"/>
      <c r="S32" s="165" t="s">
        <v>3902</v>
      </c>
      <c r="T32" s="165"/>
      <c r="U32" s="165"/>
      <c r="V32" s="165"/>
      <c r="W32" s="165"/>
      <c r="X32" s="165" t="s">
        <v>2428</v>
      </c>
      <c r="Y32">
        <v>2</v>
      </c>
      <c r="Z32" s="165" t="s">
        <v>3903</v>
      </c>
      <c r="AA32" s="165" t="s">
        <v>3811</v>
      </c>
      <c r="AB32" s="165" t="s">
        <v>3810</v>
      </c>
      <c r="AC32" s="165" t="s">
        <v>3809</v>
      </c>
      <c r="AD32" s="165" t="s">
        <v>3904</v>
      </c>
      <c r="AE32">
        <v>8</v>
      </c>
      <c r="AF32" s="165" t="s">
        <v>3905</v>
      </c>
      <c r="AG32">
        <v>24</v>
      </c>
      <c r="AH32">
        <v>455</v>
      </c>
      <c r="AI32">
        <v>27</v>
      </c>
      <c r="AJ32">
        <v>48.5</v>
      </c>
      <c r="AK32" s="165" t="s">
        <v>3906</v>
      </c>
      <c r="AL32">
        <v>26</v>
      </c>
      <c r="AM32">
        <v>54.5</v>
      </c>
      <c r="AN32">
        <v>2</v>
      </c>
      <c r="AO32">
        <v>6</v>
      </c>
      <c r="AP32">
        <v>12</v>
      </c>
      <c r="AQ32" s="165" t="s">
        <v>3815</v>
      </c>
      <c r="AR32" t="s">
        <v>3932</v>
      </c>
      <c r="AS32" s="165" t="s">
        <v>30</v>
      </c>
      <c r="AT32" t="s">
        <v>5291</v>
      </c>
      <c r="AU32" t="s">
        <v>5291</v>
      </c>
    </row>
    <row r="33" spans="1:47" hidden="1" x14ac:dyDescent="0.25">
      <c r="A33" s="165" t="s">
        <v>1132</v>
      </c>
      <c r="B33" s="165" t="s">
        <v>3939</v>
      </c>
      <c r="C33" s="165" t="s">
        <v>23</v>
      </c>
      <c r="D33" s="165" t="s">
        <v>1133</v>
      </c>
      <c r="E33" s="165" t="s">
        <v>3938</v>
      </c>
      <c r="F33" s="165" t="s">
        <v>181</v>
      </c>
      <c r="G33" s="165" t="s">
        <v>8</v>
      </c>
      <c r="H33" s="165" t="s">
        <v>241</v>
      </c>
      <c r="I33" s="165" t="s">
        <v>3864</v>
      </c>
      <c r="J33" s="165" t="s">
        <v>3901</v>
      </c>
      <c r="K33" s="165"/>
      <c r="L33" s="165"/>
      <c r="M33" s="165"/>
      <c r="N33" s="165"/>
      <c r="O33" s="165"/>
      <c r="P33" s="165"/>
      <c r="Q33" s="165"/>
      <c r="R33" s="165"/>
      <c r="S33" s="165" t="s">
        <v>3902</v>
      </c>
      <c r="T33" s="165"/>
      <c r="U33" s="165"/>
      <c r="V33" s="165"/>
      <c r="W33" s="165"/>
      <c r="X33" s="165" t="s">
        <v>2428</v>
      </c>
      <c r="Y33">
        <v>2</v>
      </c>
      <c r="Z33" s="165" t="s">
        <v>3903</v>
      </c>
      <c r="AA33" s="165" t="s">
        <v>3811</v>
      </c>
      <c r="AB33" s="165" t="s">
        <v>3810</v>
      </c>
      <c r="AC33" s="165" t="s">
        <v>3809</v>
      </c>
      <c r="AD33" s="165" t="s">
        <v>3904</v>
      </c>
      <c r="AE33">
        <v>8</v>
      </c>
      <c r="AF33" s="165" t="s">
        <v>3905</v>
      </c>
      <c r="AG33">
        <v>24</v>
      </c>
      <c r="AH33">
        <v>455</v>
      </c>
      <c r="AI33">
        <v>27</v>
      </c>
      <c r="AJ33">
        <v>48.5</v>
      </c>
      <c r="AK33" s="165" t="s">
        <v>3906</v>
      </c>
      <c r="AL33">
        <v>26</v>
      </c>
      <c r="AM33">
        <v>54.5</v>
      </c>
      <c r="AN33">
        <v>2</v>
      </c>
      <c r="AO33">
        <v>6</v>
      </c>
      <c r="AP33">
        <v>12</v>
      </c>
      <c r="AQ33" s="165" t="s">
        <v>3815</v>
      </c>
      <c r="AR33" t="s">
        <v>3932</v>
      </c>
      <c r="AS33" s="165" t="s">
        <v>30</v>
      </c>
      <c r="AT33" t="s">
        <v>5291</v>
      </c>
      <c r="AU33" t="s">
        <v>5291</v>
      </c>
    </row>
    <row r="34" spans="1:47" hidden="1" x14ac:dyDescent="0.25">
      <c r="A34" s="165" t="s">
        <v>3940</v>
      </c>
      <c r="B34" s="165" t="s">
        <v>3941</v>
      </c>
      <c r="C34" s="165" t="s">
        <v>23</v>
      </c>
      <c r="D34" s="165" t="s">
        <v>3942</v>
      </c>
      <c r="E34" s="165" t="s">
        <v>3943</v>
      </c>
      <c r="F34" s="165" t="s">
        <v>15</v>
      </c>
      <c r="G34" s="165" t="s">
        <v>8</v>
      </c>
      <c r="H34" s="165" t="s">
        <v>241</v>
      </c>
      <c r="I34" s="165" t="s">
        <v>3864</v>
      </c>
      <c r="J34" s="165" t="s">
        <v>3901</v>
      </c>
      <c r="K34" s="165"/>
      <c r="L34" s="165"/>
      <c r="M34" s="165"/>
      <c r="N34" s="165"/>
      <c r="O34" s="165"/>
      <c r="P34" s="165"/>
      <c r="Q34" s="165"/>
      <c r="R34" s="165"/>
      <c r="S34" s="165" t="s">
        <v>3902</v>
      </c>
      <c r="T34" s="165"/>
      <c r="U34" s="165"/>
      <c r="V34" s="165"/>
      <c r="W34" s="165"/>
      <c r="X34" s="165" t="s">
        <v>2428</v>
      </c>
      <c r="Y34">
        <v>2</v>
      </c>
      <c r="Z34" s="165" t="s">
        <v>3903</v>
      </c>
      <c r="AA34" s="165" t="s">
        <v>3811</v>
      </c>
      <c r="AB34" s="165" t="s">
        <v>3810</v>
      </c>
      <c r="AC34" s="165" t="s">
        <v>3809</v>
      </c>
      <c r="AD34" s="165" t="s">
        <v>3904</v>
      </c>
      <c r="AE34">
        <v>8</v>
      </c>
      <c r="AF34" s="165" t="s">
        <v>3905</v>
      </c>
      <c r="AG34">
        <v>24</v>
      </c>
      <c r="AH34">
        <v>455</v>
      </c>
      <c r="AI34">
        <v>27</v>
      </c>
      <c r="AJ34">
        <v>48.5</v>
      </c>
      <c r="AK34" s="165" t="s">
        <v>3906</v>
      </c>
      <c r="AL34">
        <v>26</v>
      </c>
      <c r="AM34">
        <v>54.5</v>
      </c>
      <c r="AN34">
        <v>2</v>
      </c>
      <c r="AO34">
        <v>6</v>
      </c>
      <c r="AP34">
        <v>12</v>
      </c>
      <c r="AQ34" s="165" t="s">
        <v>3815</v>
      </c>
      <c r="AR34" t="s">
        <v>3944</v>
      </c>
      <c r="AS34" s="165" t="s">
        <v>30</v>
      </c>
      <c r="AT34" t="s">
        <v>5291</v>
      </c>
      <c r="AU34" t="s">
        <v>5291</v>
      </c>
    </row>
    <row r="35" spans="1:47" hidden="1" x14ac:dyDescent="0.25">
      <c r="A35" s="165" t="s">
        <v>1256</v>
      </c>
      <c r="B35" s="165" t="s">
        <v>3945</v>
      </c>
      <c r="C35" s="165" t="s">
        <v>23</v>
      </c>
      <c r="D35" s="165" t="s">
        <v>1257</v>
      </c>
      <c r="E35" s="165" t="s">
        <v>3943</v>
      </c>
      <c r="F35" s="165" t="s">
        <v>15</v>
      </c>
      <c r="G35" s="165" t="s">
        <v>8</v>
      </c>
      <c r="H35" s="165" t="s">
        <v>241</v>
      </c>
      <c r="I35" s="165" t="s">
        <v>3864</v>
      </c>
      <c r="J35" s="165" t="s">
        <v>3901</v>
      </c>
      <c r="K35" s="165"/>
      <c r="L35" s="165"/>
      <c r="M35" s="165"/>
      <c r="N35" s="165"/>
      <c r="O35" s="165"/>
      <c r="P35" s="165"/>
      <c r="Q35" s="165"/>
      <c r="R35" s="165"/>
      <c r="S35" s="165" t="s">
        <v>3902</v>
      </c>
      <c r="T35" s="165"/>
      <c r="U35" s="165"/>
      <c r="V35" s="165"/>
      <c r="W35" s="165"/>
      <c r="X35" s="165" t="s">
        <v>2428</v>
      </c>
      <c r="Y35">
        <v>2</v>
      </c>
      <c r="Z35" s="165" t="s">
        <v>3903</v>
      </c>
      <c r="AA35" s="165" t="s">
        <v>3811</v>
      </c>
      <c r="AB35" s="165" t="s">
        <v>3810</v>
      </c>
      <c r="AC35" s="165" t="s">
        <v>3809</v>
      </c>
      <c r="AD35" s="165" t="s">
        <v>3904</v>
      </c>
      <c r="AE35">
        <v>8</v>
      </c>
      <c r="AF35" s="165" t="s">
        <v>3905</v>
      </c>
      <c r="AG35">
        <v>24</v>
      </c>
      <c r="AH35">
        <v>455</v>
      </c>
      <c r="AI35">
        <v>27</v>
      </c>
      <c r="AJ35">
        <v>48.5</v>
      </c>
      <c r="AK35" s="165" t="s">
        <v>3906</v>
      </c>
      <c r="AL35">
        <v>26</v>
      </c>
      <c r="AM35">
        <v>54.5</v>
      </c>
      <c r="AN35">
        <v>2</v>
      </c>
      <c r="AO35">
        <v>6</v>
      </c>
      <c r="AP35">
        <v>12</v>
      </c>
      <c r="AQ35" s="165" t="s">
        <v>3815</v>
      </c>
      <c r="AR35" t="s">
        <v>3930</v>
      </c>
      <c r="AS35" s="165" t="s">
        <v>30</v>
      </c>
      <c r="AT35" t="s">
        <v>5291</v>
      </c>
      <c r="AU35" t="s">
        <v>5291</v>
      </c>
    </row>
    <row r="36" spans="1:47" hidden="1" x14ac:dyDescent="0.25">
      <c r="A36" s="165" t="s">
        <v>3946</v>
      </c>
      <c r="B36" s="165" t="s">
        <v>88</v>
      </c>
      <c r="C36" s="165" t="s">
        <v>23</v>
      </c>
      <c r="D36" s="165" t="s">
        <v>3947</v>
      </c>
      <c r="E36" s="165" t="s">
        <v>3948</v>
      </c>
      <c r="F36" s="165" t="s">
        <v>15</v>
      </c>
      <c r="G36" s="165" t="s">
        <v>8</v>
      </c>
      <c r="H36" s="165" t="s">
        <v>241</v>
      </c>
      <c r="I36" s="165" t="s">
        <v>3864</v>
      </c>
      <c r="J36" s="165" t="s">
        <v>3901</v>
      </c>
      <c r="K36" s="165"/>
      <c r="L36" s="165"/>
      <c r="M36" s="165"/>
      <c r="N36" s="165"/>
      <c r="O36" s="165"/>
      <c r="P36" s="165"/>
      <c r="Q36" s="165"/>
      <c r="R36" s="165"/>
      <c r="S36" s="165" t="s">
        <v>3902</v>
      </c>
      <c r="T36" s="165"/>
      <c r="U36" s="165"/>
      <c r="V36" s="165"/>
      <c r="W36" s="165"/>
      <c r="X36" s="165" t="s">
        <v>2428</v>
      </c>
      <c r="Y36">
        <v>2</v>
      </c>
      <c r="Z36" s="165" t="s">
        <v>3903</v>
      </c>
      <c r="AA36" s="165" t="s">
        <v>3811</v>
      </c>
      <c r="AB36" s="165" t="s">
        <v>3810</v>
      </c>
      <c r="AC36" s="165" t="s">
        <v>3809</v>
      </c>
      <c r="AD36" s="165" t="s">
        <v>3904</v>
      </c>
      <c r="AE36">
        <v>8</v>
      </c>
      <c r="AF36" s="165" t="s">
        <v>3905</v>
      </c>
      <c r="AG36">
        <v>24</v>
      </c>
      <c r="AH36">
        <v>455</v>
      </c>
      <c r="AI36">
        <v>27</v>
      </c>
      <c r="AJ36">
        <v>48.5</v>
      </c>
      <c r="AK36" s="165" t="s">
        <v>3906</v>
      </c>
      <c r="AL36">
        <v>26</v>
      </c>
      <c r="AM36">
        <v>54.5</v>
      </c>
      <c r="AN36">
        <v>2</v>
      </c>
      <c r="AO36">
        <v>6</v>
      </c>
      <c r="AP36">
        <v>12</v>
      </c>
      <c r="AQ36" s="165" t="s">
        <v>3815</v>
      </c>
      <c r="AR36" t="s">
        <v>3949</v>
      </c>
      <c r="AS36" s="165" t="s">
        <v>30</v>
      </c>
      <c r="AT36" t="s">
        <v>5291</v>
      </c>
      <c r="AU36" t="s">
        <v>5291</v>
      </c>
    </row>
    <row r="37" spans="1:47" hidden="1" x14ac:dyDescent="0.25">
      <c r="A37" s="165" t="s">
        <v>1286</v>
      </c>
      <c r="B37" s="165" t="s">
        <v>3403</v>
      </c>
      <c r="C37" s="165" t="s">
        <v>23</v>
      </c>
      <c r="D37" s="165" t="s">
        <v>1287</v>
      </c>
      <c r="E37" s="165" t="s">
        <v>3950</v>
      </c>
      <c r="F37" s="165" t="s">
        <v>181</v>
      </c>
      <c r="G37" s="165" t="s">
        <v>8</v>
      </c>
      <c r="H37" s="165" t="s">
        <v>241</v>
      </c>
      <c r="I37" s="165" t="s">
        <v>3864</v>
      </c>
      <c r="J37" s="165" t="s">
        <v>3901</v>
      </c>
      <c r="K37" s="165"/>
      <c r="L37" s="165"/>
      <c r="M37" s="165"/>
      <c r="N37" s="165"/>
      <c r="O37" s="165"/>
      <c r="P37" s="165"/>
      <c r="Q37" s="165"/>
      <c r="R37" s="165"/>
      <c r="S37" s="165" t="s">
        <v>3902</v>
      </c>
      <c r="T37" s="165"/>
      <c r="U37" s="165"/>
      <c r="V37" s="165"/>
      <c r="W37" s="165"/>
      <c r="X37" s="165" t="s">
        <v>2428</v>
      </c>
      <c r="Y37">
        <v>2</v>
      </c>
      <c r="Z37" s="165" t="s">
        <v>3903</v>
      </c>
      <c r="AA37" s="165" t="s">
        <v>3811</v>
      </c>
      <c r="AB37" s="165" t="s">
        <v>3810</v>
      </c>
      <c r="AC37" s="165" t="s">
        <v>3809</v>
      </c>
      <c r="AD37" s="165" t="s">
        <v>3904</v>
      </c>
      <c r="AE37">
        <v>8</v>
      </c>
      <c r="AF37" s="165" t="s">
        <v>3905</v>
      </c>
      <c r="AG37">
        <v>24</v>
      </c>
      <c r="AH37">
        <v>455</v>
      </c>
      <c r="AI37">
        <v>27</v>
      </c>
      <c r="AJ37">
        <v>48.5</v>
      </c>
      <c r="AK37" s="165" t="s">
        <v>3906</v>
      </c>
      <c r="AL37">
        <v>26</v>
      </c>
      <c r="AM37">
        <v>54.5</v>
      </c>
      <c r="AN37">
        <v>2</v>
      </c>
      <c r="AO37">
        <v>6</v>
      </c>
      <c r="AP37">
        <v>12</v>
      </c>
      <c r="AQ37" s="165" t="s">
        <v>3815</v>
      </c>
      <c r="AR37" t="s">
        <v>3830</v>
      </c>
      <c r="AS37" s="165" t="s">
        <v>30</v>
      </c>
      <c r="AT37" t="s">
        <v>5291</v>
      </c>
      <c r="AU37" t="s">
        <v>5291</v>
      </c>
    </row>
    <row r="38" spans="1:47" hidden="1" x14ac:dyDescent="0.25">
      <c r="A38" s="165" t="s">
        <v>1482</v>
      </c>
      <c r="B38" s="165" t="s">
        <v>3371</v>
      </c>
      <c r="C38" s="165" t="s">
        <v>23</v>
      </c>
      <c r="D38" s="165" t="s">
        <v>1483</v>
      </c>
      <c r="E38" s="165" t="s">
        <v>3951</v>
      </c>
      <c r="F38" s="165" t="s">
        <v>181</v>
      </c>
      <c r="G38" s="165" t="s">
        <v>8</v>
      </c>
      <c r="H38" s="165" t="s">
        <v>241</v>
      </c>
      <c r="I38" s="165" t="s">
        <v>3864</v>
      </c>
      <c r="J38" s="165" t="s">
        <v>3901</v>
      </c>
      <c r="K38" s="165"/>
      <c r="L38" s="165"/>
      <c r="M38" s="165"/>
      <c r="N38" s="165"/>
      <c r="O38" s="165"/>
      <c r="P38" s="165"/>
      <c r="Q38" s="165"/>
      <c r="R38" s="165"/>
      <c r="S38" s="165" t="s">
        <v>3902</v>
      </c>
      <c r="T38" s="165"/>
      <c r="U38" s="165"/>
      <c r="V38" s="165"/>
      <c r="W38" s="165"/>
      <c r="X38" s="165" t="s">
        <v>2428</v>
      </c>
      <c r="Y38">
        <v>2</v>
      </c>
      <c r="Z38" s="165" t="s">
        <v>3903</v>
      </c>
      <c r="AA38" s="165" t="s">
        <v>3811</v>
      </c>
      <c r="AB38" s="165" t="s">
        <v>3810</v>
      </c>
      <c r="AC38" s="165" t="s">
        <v>3809</v>
      </c>
      <c r="AD38" s="165" t="s">
        <v>3904</v>
      </c>
      <c r="AE38">
        <v>8</v>
      </c>
      <c r="AF38" s="165" t="s">
        <v>3905</v>
      </c>
      <c r="AG38">
        <v>24</v>
      </c>
      <c r="AH38">
        <v>455</v>
      </c>
      <c r="AI38">
        <v>27</v>
      </c>
      <c r="AJ38">
        <v>48.5</v>
      </c>
      <c r="AK38" s="165" t="s">
        <v>3906</v>
      </c>
      <c r="AL38">
        <v>26</v>
      </c>
      <c r="AM38">
        <v>54.5</v>
      </c>
      <c r="AN38">
        <v>2</v>
      </c>
      <c r="AO38">
        <v>6</v>
      </c>
      <c r="AP38">
        <v>12</v>
      </c>
      <c r="AQ38" s="165" t="s">
        <v>3815</v>
      </c>
      <c r="AR38" t="s">
        <v>3909</v>
      </c>
      <c r="AS38" s="165" t="s">
        <v>30</v>
      </c>
      <c r="AT38" t="s">
        <v>5291</v>
      </c>
      <c r="AU38" t="s">
        <v>5291</v>
      </c>
    </row>
    <row r="39" spans="1:47" hidden="1" x14ac:dyDescent="0.25">
      <c r="A39" s="165" t="s">
        <v>821</v>
      </c>
      <c r="B39" s="165" t="s">
        <v>88</v>
      </c>
      <c r="C39" s="165" t="s">
        <v>23</v>
      </c>
      <c r="D39" s="165" t="s">
        <v>822</v>
      </c>
      <c r="E39" s="165" t="s">
        <v>3952</v>
      </c>
      <c r="F39" s="165" t="s">
        <v>3953</v>
      </c>
      <c r="G39" s="165" t="s">
        <v>8</v>
      </c>
      <c r="H39" s="165" t="s">
        <v>263</v>
      </c>
      <c r="I39" s="165" t="s">
        <v>3864</v>
      </c>
      <c r="J39" s="165" t="s">
        <v>3954</v>
      </c>
      <c r="K39" s="165"/>
      <c r="L39" s="165"/>
      <c r="M39" s="165"/>
      <c r="N39" s="165" t="s">
        <v>3805</v>
      </c>
      <c r="O39" s="165"/>
      <c r="P39" s="165"/>
      <c r="Q39" s="165"/>
      <c r="R39" s="165"/>
      <c r="S39" s="165"/>
      <c r="T39" s="165"/>
      <c r="U39" s="165" t="s">
        <v>3807</v>
      </c>
      <c r="V39" s="165"/>
      <c r="W39" s="165"/>
      <c r="X39" s="165"/>
      <c r="Y39">
        <v>2</v>
      </c>
      <c r="Z39" s="165" t="s">
        <v>3955</v>
      </c>
      <c r="AA39" s="165" t="s">
        <v>3811</v>
      </c>
      <c r="AB39" s="165" t="s">
        <v>3810</v>
      </c>
      <c r="AC39" s="165" t="s">
        <v>3809</v>
      </c>
      <c r="AD39" s="165" t="s">
        <v>3904</v>
      </c>
      <c r="AE39">
        <v>8</v>
      </c>
      <c r="AF39" s="165" t="s">
        <v>3905</v>
      </c>
      <c r="AG39">
        <v>24</v>
      </c>
      <c r="AH39">
        <v>455</v>
      </c>
      <c r="AI39">
        <v>27</v>
      </c>
      <c r="AJ39">
        <v>48.5</v>
      </c>
      <c r="AK39" s="165" t="s">
        <v>3906</v>
      </c>
      <c r="AL39">
        <v>26</v>
      </c>
      <c r="AM39">
        <v>54.5</v>
      </c>
      <c r="AN39">
        <v>2</v>
      </c>
      <c r="AO39">
        <v>6</v>
      </c>
      <c r="AP39">
        <v>12</v>
      </c>
      <c r="AQ39" s="165" t="s">
        <v>3815</v>
      </c>
      <c r="AR39" t="s">
        <v>3956</v>
      </c>
      <c r="AS39" s="165" t="s">
        <v>30</v>
      </c>
      <c r="AT39" t="s">
        <v>5291</v>
      </c>
      <c r="AU39" t="s">
        <v>5291</v>
      </c>
    </row>
    <row r="40" spans="1:47" hidden="1" x14ac:dyDescent="0.25">
      <c r="A40" s="165" t="s">
        <v>893</v>
      </c>
      <c r="B40" s="165" t="s">
        <v>88</v>
      </c>
      <c r="C40" s="165" t="s">
        <v>23</v>
      </c>
      <c r="D40" s="165" t="s">
        <v>894</v>
      </c>
      <c r="E40" s="165" t="s">
        <v>3957</v>
      </c>
      <c r="F40" s="165" t="s">
        <v>3958</v>
      </c>
      <c r="G40" s="165" t="s">
        <v>8</v>
      </c>
      <c r="H40" s="165" t="s">
        <v>263</v>
      </c>
      <c r="I40" s="165" t="s">
        <v>3864</v>
      </c>
      <c r="J40" s="165" t="s">
        <v>3954</v>
      </c>
      <c r="K40" s="165"/>
      <c r="L40" s="165"/>
      <c r="M40" s="165"/>
      <c r="N40" s="165" t="s">
        <v>3805</v>
      </c>
      <c r="O40" s="165"/>
      <c r="P40" s="165"/>
      <c r="Q40" s="165"/>
      <c r="R40" s="165"/>
      <c r="S40" s="165"/>
      <c r="T40" s="165"/>
      <c r="U40" s="165" t="s">
        <v>3807</v>
      </c>
      <c r="V40" s="165"/>
      <c r="W40" s="165"/>
      <c r="X40" s="165"/>
      <c r="Y40">
        <v>2</v>
      </c>
      <c r="Z40" s="165" t="s">
        <v>3955</v>
      </c>
      <c r="AA40" s="165" t="s">
        <v>3811</v>
      </c>
      <c r="AB40" s="165" t="s">
        <v>3810</v>
      </c>
      <c r="AC40" s="165" t="s">
        <v>3809</v>
      </c>
      <c r="AD40" s="165" t="s">
        <v>3904</v>
      </c>
      <c r="AE40">
        <v>8</v>
      </c>
      <c r="AF40" s="165" t="s">
        <v>3905</v>
      </c>
      <c r="AG40">
        <v>24</v>
      </c>
      <c r="AH40">
        <v>455</v>
      </c>
      <c r="AI40">
        <v>27</v>
      </c>
      <c r="AJ40">
        <v>48.5</v>
      </c>
      <c r="AK40" s="165" t="s">
        <v>3906</v>
      </c>
      <c r="AL40">
        <v>26</v>
      </c>
      <c r="AM40">
        <v>54.5</v>
      </c>
      <c r="AN40">
        <v>2</v>
      </c>
      <c r="AO40">
        <v>6</v>
      </c>
      <c r="AP40">
        <v>12</v>
      </c>
      <c r="AQ40" s="165" t="s">
        <v>3815</v>
      </c>
      <c r="AR40" t="s">
        <v>3959</v>
      </c>
      <c r="AS40" s="165" t="s">
        <v>30</v>
      </c>
      <c r="AT40" t="s">
        <v>5291</v>
      </c>
      <c r="AU40" t="s">
        <v>5291</v>
      </c>
    </row>
    <row r="41" spans="1:47" hidden="1" x14ac:dyDescent="0.25">
      <c r="A41" s="165" t="s">
        <v>1626</v>
      </c>
      <c r="B41" s="165" t="s">
        <v>3447</v>
      </c>
      <c r="C41" s="165" t="s">
        <v>23</v>
      </c>
      <c r="D41" s="165" t="s">
        <v>1627</v>
      </c>
      <c r="E41" s="165" t="s">
        <v>3960</v>
      </c>
      <c r="F41" s="165" t="s">
        <v>3953</v>
      </c>
      <c r="G41" s="165" t="s">
        <v>8</v>
      </c>
      <c r="H41" s="165" t="s">
        <v>263</v>
      </c>
      <c r="I41" s="165" t="s">
        <v>3864</v>
      </c>
      <c r="J41" s="165" t="s">
        <v>3954</v>
      </c>
      <c r="K41" s="165"/>
      <c r="L41" s="165"/>
      <c r="M41" s="165"/>
      <c r="N41" s="165" t="s">
        <v>3805</v>
      </c>
      <c r="O41" s="165"/>
      <c r="P41" s="165"/>
      <c r="Q41" s="165"/>
      <c r="R41" s="165"/>
      <c r="S41" s="165"/>
      <c r="T41" s="165"/>
      <c r="U41" s="165" t="s">
        <v>3807</v>
      </c>
      <c r="V41" s="165"/>
      <c r="W41" s="165"/>
      <c r="X41" s="165"/>
      <c r="Y41">
        <v>2</v>
      </c>
      <c r="Z41" s="165" t="s">
        <v>3955</v>
      </c>
      <c r="AA41" s="165" t="s">
        <v>3811</v>
      </c>
      <c r="AB41" s="165" t="s">
        <v>3810</v>
      </c>
      <c r="AC41" s="165" t="s">
        <v>3809</v>
      </c>
      <c r="AD41" s="165" t="s">
        <v>3904</v>
      </c>
      <c r="AE41">
        <v>8</v>
      </c>
      <c r="AF41" s="165" t="s">
        <v>3905</v>
      </c>
      <c r="AG41">
        <v>24</v>
      </c>
      <c r="AH41">
        <v>455</v>
      </c>
      <c r="AI41">
        <v>27</v>
      </c>
      <c r="AJ41">
        <v>48.5</v>
      </c>
      <c r="AK41" s="165" t="s">
        <v>3906</v>
      </c>
      <c r="AL41">
        <v>26</v>
      </c>
      <c r="AM41">
        <v>54.5</v>
      </c>
      <c r="AN41">
        <v>2</v>
      </c>
      <c r="AO41">
        <v>6</v>
      </c>
      <c r="AP41">
        <v>12</v>
      </c>
      <c r="AQ41" s="165" t="s">
        <v>3815</v>
      </c>
      <c r="AR41" t="s">
        <v>3961</v>
      </c>
      <c r="AS41" s="165" t="s">
        <v>30</v>
      </c>
      <c r="AT41" t="s">
        <v>5291</v>
      </c>
      <c r="AU41" t="s">
        <v>5291</v>
      </c>
    </row>
    <row r="42" spans="1:47" hidden="1" x14ac:dyDescent="0.25">
      <c r="A42" s="165" t="s">
        <v>1603</v>
      </c>
      <c r="B42" s="165" t="s">
        <v>3962</v>
      </c>
      <c r="C42" s="165" t="s">
        <v>23</v>
      </c>
      <c r="D42" s="165" t="s">
        <v>1604</v>
      </c>
      <c r="E42" s="165" t="s">
        <v>3963</v>
      </c>
      <c r="F42" s="165" t="s">
        <v>3958</v>
      </c>
      <c r="G42" s="165" t="s">
        <v>8</v>
      </c>
      <c r="H42" s="165" t="s">
        <v>263</v>
      </c>
      <c r="I42" s="165" t="s">
        <v>3864</v>
      </c>
      <c r="J42" s="165" t="s">
        <v>3954</v>
      </c>
      <c r="K42" s="165"/>
      <c r="L42" s="165"/>
      <c r="M42" s="165"/>
      <c r="N42" s="165" t="s">
        <v>3805</v>
      </c>
      <c r="O42" s="165"/>
      <c r="P42" s="165"/>
      <c r="Q42" s="165"/>
      <c r="R42" s="165"/>
      <c r="S42" s="165"/>
      <c r="T42" s="165"/>
      <c r="U42" s="165" t="s">
        <v>3807</v>
      </c>
      <c r="V42" s="165"/>
      <c r="W42" s="165"/>
      <c r="X42" s="165"/>
      <c r="Y42">
        <v>2</v>
      </c>
      <c r="Z42" s="165" t="s">
        <v>3955</v>
      </c>
      <c r="AA42" s="165" t="s">
        <v>3811</v>
      </c>
      <c r="AB42" s="165" t="s">
        <v>3810</v>
      </c>
      <c r="AC42" s="165" t="s">
        <v>3809</v>
      </c>
      <c r="AD42" s="165" t="s">
        <v>3904</v>
      </c>
      <c r="AE42">
        <v>8</v>
      </c>
      <c r="AF42" s="165" t="s">
        <v>3905</v>
      </c>
      <c r="AG42">
        <v>24</v>
      </c>
      <c r="AH42">
        <v>455</v>
      </c>
      <c r="AI42">
        <v>27</v>
      </c>
      <c r="AJ42">
        <v>48.5</v>
      </c>
      <c r="AK42" s="165" t="s">
        <v>3906</v>
      </c>
      <c r="AL42">
        <v>26</v>
      </c>
      <c r="AM42">
        <v>54.5</v>
      </c>
      <c r="AN42">
        <v>2</v>
      </c>
      <c r="AO42">
        <v>6</v>
      </c>
      <c r="AP42">
        <v>12</v>
      </c>
      <c r="AQ42" s="165" t="s">
        <v>3815</v>
      </c>
      <c r="AR42" t="s">
        <v>3884</v>
      </c>
      <c r="AS42" s="165" t="s">
        <v>30</v>
      </c>
      <c r="AT42" t="s">
        <v>5291</v>
      </c>
      <c r="AU42" t="s">
        <v>5291</v>
      </c>
    </row>
    <row r="43" spans="1:47" hidden="1" x14ac:dyDescent="0.25">
      <c r="A43" s="165" t="s">
        <v>1466</v>
      </c>
      <c r="B43" s="165" t="s">
        <v>3964</v>
      </c>
      <c r="C43" s="165" t="s">
        <v>23</v>
      </c>
      <c r="D43" s="165" t="s">
        <v>1467</v>
      </c>
      <c r="E43" s="165" t="s">
        <v>3965</v>
      </c>
      <c r="F43" s="165" t="s">
        <v>181</v>
      </c>
      <c r="G43" s="165" t="s">
        <v>8</v>
      </c>
      <c r="H43" s="165" t="s">
        <v>263</v>
      </c>
      <c r="I43" s="165" t="s">
        <v>3864</v>
      </c>
      <c r="J43" s="165" t="s">
        <v>3954</v>
      </c>
      <c r="K43" s="165"/>
      <c r="L43" s="165"/>
      <c r="M43" s="165"/>
      <c r="N43" s="165" t="s">
        <v>3805</v>
      </c>
      <c r="O43" s="165"/>
      <c r="P43" s="165"/>
      <c r="Q43" s="165"/>
      <c r="R43" s="165"/>
      <c r="S43" s="165"/>
      <c r="T43" s="165" t="s">
        <v>3806</v>
      </c>
      <c r="U43" s="165" t="s">
        <v>3807</v>
      </c>
      <c r="V43" s="165"/>
      <c r="W43" s="165"/>
      <c r="X43" s="165"/>
      <c r="Y43">
        <v>3</v>
      </c>
      <c r="Z43" s="165" t="s">
        <v>3808</v>
      </c>
      <c r="AA43" s="165" t="s">
        <v>3809</v>
      </c>
      <c r="AB43" s="165" t="s">
        <v>3810</v>
      </c>
      <c r="AC43" s="165" t="s">
        <v>3811</v>
      </c>
      <c r="AD43" s="165" t="s">
        <v>3904</v>
      </c>
      <c r="AE43">
        <v>8</v>
      </c>
      <c r="AF43" s="165" t="s">
        <v>3905</v>
      </c>
      <c r="AG43">
        <v>24</v>
      </c>
      <c r="AH43">
        <v>455</v>
      </c>
      <c r="AI43">
        <v>27</v>
      </c>
      <c r="AJ43">
        <v>48.5</v>
      </c>
      <c r="AK43" s="165" t="s">
        <v>3906</v>
      </c>
      <c r="AL43">
        <v>26</v>
      </c>
      <c r="AM43">
        <v>54.5</v>
      </c>
      <c r="AN43">
        <v>2</v>
      </c>
      <c r="AO43">
        <v>6</v>
      </c>
      <c r="AP43">
        <v>12</v>
      </c>
      <c r="AQ43" s="165" t="s">
        <v>3815</v>
      </c>
      <c r="AR43" t="s">
        <v>3966</v>
      </c>
      <c r="AS43" s="165" t="s">
        <v>174</v>
      </c>
      <c r="AT43" t="s">
        <v>5291</v>
      </c>
      <c r="AU43" t="s">
        <v>5291</v>
      </c>
    </row>
    <row r="44" spans="1:47" hidden="1" x14ac:dyDescent="0.25">
      <c r="A44" s="165" t="s">
        <v>1264</v>
      </c>
      <c r="B44" s="165" t="s">
        <v>3967</v>
      </c>
      <c r="C44" s="165" t="s">
        <v>23</v>
      </c>
      <c r="D44" s="165" t="s">
        <v>1265</v>
      </c>
      <c r="E44" s="165" t="s">
        <v>3968</v>
      </c>
      <c r="F44" s="165" t="s">
        <v>181</v>
      </c>
      <c r="G44" s="165" t="s">
        <v>8</v>
      </c>
      <c r="H44" s="165" t="s">
        <v>269</v>
      </c>
      <c r="I44" s="165" t="s">
        <v>3864</v>
      </c>
      <c r="J44" s="165" t="s">
        <v>3894</v>
      </c>
      <c r="K44" s="165" t="s">
        <v>3819</v>
      </c>
      <c r="L44" s="165" t="s">
        <v>3820</v>
      </c>
      <c r="M44" s="165" t="s">
        <v>3803</v>
      </c>
      <c r="N44" s="165" t="s">
        <v>3805</v>
      </c>
      <c r="O44" s="165"/>
      <c r="P44" s="165"/>
      <c r="Q44" s="165" t="s">
        <v>3888</v>
      </c>
      <c r="R44" s="165"/>
      <c r="S44" s="165"/>
      <c r="T44" s="165"/>
      <c r="U44" s="165" t="s">
        <v>3807</v>
      </c>
      <c r="V44" s="165"/>
      <c r="W44" s="165"/>
      <c r="X44" s="165"/>
      <c r="Y44">
        <v>6</v>
      </c>
      <c r="Z44" s="165" t="s">
        <v>3889</v>
      </c>
      <c r="AA44" s="165" t="s">
        <v>3809</v>
      </c>
      <c r="AB44" s="165" t="s">
        <v>3811</v>
      </c>
      <c r="AC44" s="165" t="s">
        <v>3810</v>
      </c>
      <c r="AD44" s="165" t="s">
        <v>3904</v>
      </c>
      <c r="AE44">
        <v>8</v>
      </c>
      <c r="AF44" s="165" t="s">
        <v>3905</v>
      </c>
      <c r="AG44">
        <v>24</v>
      </c>
      <c r="AH44">
        <v>455</v>
      </c>
      <c r="AI44">
        <v>27</v>
      </c>
      <c r="AJ44">
        <v>48.5</v>
      </c>
      <c r="AK44" s="165" t="s">
        <v>3906</v>
      </c>
      <c r="AL44">
        <v>26</v>
      </c>
      <c r="AM44">
        <v>54.5</v>
      </c>
      <c r="AN44">
        <v>2</v>
      </c>
      <c r="AO44">
        <v>6</v>
      </c>
      <c r="AP44">
        <v>12</v>
      </c>
      <c r="AQ44" s="165" t="s">
        <v>3815</v>
      </c>
      <c r="AR44" t="s">
        <v>3870</v>
      </c>
      <c r="AS44" s="165" t="s">
        <v>3786</v>
      </c>
      <c r="AT44" t="s">
        <v>5291</v>
      </c>
      <c r="AU44" t="s">
        <v>5291</v>
      </c>
    </row>
    <row r="45" spans="1:47" hidden="1" x14ac:dyDescent="0.25">
      <c r="A45" s="165" t="s">
        <v>941</v>
      </c>
      <c r="B45" s="165" t="s">
        <v>3419</v>
      </c>
      <c r="C45" s="165" t="s">
        <v>23</v>
      </c>
      <c r="D45" s="165" t="s">
        <v>942</v>
      </c>
      <c r="E45" s="165" t="s">
        <v>3969</v>
      </c>
      <c r="F45" s="165" t="s">
        <v>3953</v>
      </c>
      <c r="G45" s="165" t="s">
        <v>8</v>
      </c>
      <c r="H45" s="165" t="s">
        <v>176</v>
      </c>
      <c r="I45" s="165" t="s">
        <v>3864</v>
      </c>
      <c r="J45" s="165" t="s">
        <v>3970</v>
      </c>
      <c r="K45" s="165"/>
      <c r="L45" s="165"/>
      <c r="M45" s="165"/>
      <c r="N45" s="165"/>
      <c r="O45" s="165"/>
      <c r="P45" s="165"/>
      <c r="Q45" s="165"/>
      <c r="R45" s="165" t="s">
        <v>3842</v>
      </c>
      <c r="S45" s="165"/>
      <c r="T45" s="165"/>
      <c r="U45" s="165" t="s">
        <v>3807</v>
      </c>
      <c r="V45" s="165"/>
      <c r="W45" s="165"/>
      <c r="X45" s="165"/>
      <c r="Y45">
        <v>2</v>
      </c>
      <c r="Z45" s="165" t="s">
        <v>3843</v>
      </c>
      <c r="AA45" s="165" t="s">
        <v>3811</v>
      </c>
      <c r="AB45" s="165" t="s">
        <v>3810</v>
      </c>
      <c r="AC45" s="165" t="s">
        <v>3809</v>
      </c>
      <c r="AD45" s="165" t="s">
        <v>3904</v>
      </c>
      <c r="AE45">
        <v>8</v>
      </c>
      <c r="AF45" s="165" t="s">
        <v>3905</v>
      </c>
      <c r="AG45">
        <v>24</v>
      </c>
      <c r="AH45">
        <v>455</v>
      </c>
      <c r="AI45">
        <v>27</v>
      </c>
      <c r="AJ45">
        <v>48.5</v>
      </c>
      <c r="AK45" s="165" t="s">
        <v>3906</v>
      </c>
      <c r="AL45">
        <v>26</v>
      </c>
      <c r="AM45">
        <v>54.5</v>
      </c>
      <c r="AN45">
        <v>2</v>
      </c>
      <c r="AO45">
        <v>6</v>
      </c>
      <c r="AP45">
        <v>12</v>
      </c>
      <c r="AQ45" s="165" t="s">
        <v>3815</v>
      </c>
      <c r="AR45" t="s">
        <v>3971</v>
      </c>
      <c r="AS45" s="165" t="s">
        <v>30</v>
      </c>
      <c r="AT45" t="s">
        <v>5291</v>
      </c>
      <c r="AU45" t="s">
        <v>5291</v>
      </c>
    </row>
    <row r="46" spans="1:47" hidden="1" x14ac:dyDescent="0.25">
      <c r="A46" s="165" t="s">
        <v>1128</v>
      </c>
      <c r="B46" s="165" t="s">
        <v>3972</v>
      </c>
      <c r="C46" s="165" t="s">
        <v>23</v>
      </c>
      <c r="D46" s="165" t="s">
        <v>1129</v>
      </c>
      <c r="E46" s="165" t="s">
        <v>3973</v>
      </c>
      <c r="F46" s="165" t="s">
        <v>181</v>
      </c>
      <c r="G46" s="165" t="s">
        <v>8</v>
      </c>
      <c r="H46" s="165" t="s">
        <v>176</v>
      </c>
      <c r="I46" s="165" t="s">
        <v>3864</v>
      </c>
      <c r="J46" s="165" t="s">
        <v>3970</v>
      </c>
      <c r="K46" s="165"/>
      <c r="L46" s="165"/>
      <c r="M46" s="165"/>
      <c r="N46" s="165"/>
      <c r="O46" s="165"/>
      <c r="P46" s="165"/>
      <c r="Q46" s="165"/>
      <c r="R46" s="165" t="s">
        <v>3842</v>
      </c>
      <c r="S46" s="165"/>
      <c r="T46" s="165"/>
      <c r="U46" s="165" t="s">
        <v>3807</v>
      </c>
      <c r="V46" s="165"/>
      <c r="W46" s="165"/>
      <c r="X46" s="165"/>
      <c r="Y46">
        <v>2</v>
      </c>
      <c r="Z46" s="165" t="s">
        <v>3843</v>
      </c>
      <c r="AA46" s="165" t="s">
        <v>3811</v>
      </c>
      <c r="AB46" s="165" t="s">
        <v>3810</v>
      </c>
      <c r="AC46" s="165" t="s">
        <v>3809</v>
      </c>
      <c r="AD46" s="165" t="s">
        <v>3904</v>
      </c>
      <c r="AE46">
        <v>8</v>
      </c>
      <c r="AF46" s="165" t="s">
        <v>3905</v>
      </c>
      <c r="AG46">
        <v>24</v>
      </c>
      <c r="AH46">
        <v>455</v>
      </c>
      <c r="AI46">
        <v>27</v>
      </c>
      <c r="AJ46">
        <v>48.5</v>
      </c>
      <c r="AK46" s="165" t="s">
        <v>3906</v>
      </c>
      <c r="AL46">
        <v>26</v>
      </c>
      <c r="AM46">
        <v>54.5</v>
      </c>
      <c r="AN46">
        <v>2</v>
      </c>
      <c r="AO46">
        <v>6</v>
      </c>
      <c r="AP46">
        <v>12</v>
      </c>
      <c r="AQ46" s="165" t="s">
        <v>3815</v>
      </c>
      <c r="AR46" t="s">
        <v>3974</v>
      </c>
      <c r="AS46" s="165" t="s">
        <v>30</v>
      </c>
      <c r="AT46" t="s">
        <v>5291</v>
      </c>
      <c r="AU46" t="s">
        <v>5291</v>
      </c>
    </row>
    <row r="47" spans="1:47" hidden="1" x14ac:dyDescent="0.25">
      <c r="A47" s="165" t="s">
        <v>3975</v>
      </c>
      <c r="B47" s="165" t="s">
        <v>88</v>
      </c>
      <c r="C47" s="165" t="s">
        <v>23</v>
      </c>
      <c r="D47" s="165" t="s">
        <v>3976</v>
      </c>
      <c r="E47" s="165" t="s">
        <v>3977</v>
      </c>
      <c r="F47" s="165" t="s">
        <v>181</v>
      </c>
      <c r="G47" s="165" t="s">
        <v>8</v>
      </c>
      <c r="H47" s="165" t="s">
        <v>269</v>
      </c>
      <c r="I47" s="165" t="s">
        <v>3864</v>
      </c>
      <c r="J47" s="165" t="s">
        <v>3894</v>
      </c>
      <c r="K47" s="165" t="s">
        <v>3819</v>
      </c>
      <c r="L47" s="165" t="s">
        <v>3820</v>
      </c>
      <c r="M47" s="165" t="s">
        <v>3803</v>
      </c>
      <c r="N47" s="165" t="s">
        <v>3805</v>
      </c>
      <c r="O47" s="165"/>
      <c r="P47" s="165"/>
      <c r="Q47" s="165" t="s">
        <v>3888</v>
      </c>
      <c r="R47" s="165"/>
      <c r="S47" s="165"/>
      <c r="T47" s="165"/>
      <c r="U47" s="165" t="s">
        <v>3807</v>
      </c>
      <c r="V47" s="165"/>
      <c r="W47" s="165"/>
      <c r="X47" s="165"/>
      <c r="Y47">
        <v>6</v>
      </c>
      <c r="Z47" s="165" t="s">
        <v>3889</v>
      </c>
      <c r="AA47" s="165" t="s">
        <v>3809</v>
      </c>
      <c r="AB47" s="165" t="s">
        <v>3811</v>
      </c>
      <c r="AC47" s="165" t="s">
        <v>3810</v>
      </c>
      <c r="AD47" s="165" t="s">
        <v>3895</v>
      </c>
      <c r="AE47">
        <v>75</v>
      </c>
      <c r="AF47" s="165" t="s">
        <v>3896</v>
      </c>
      <c r="AG47">
        <v>251</v>
      </c>
      <c r="AH47">
        <v>475</v>
      </c>
      <c r="AI47">
        <v>28.1</v>
      </c>
      <c r="AJ47">
        <v>50.5</v>
      </c>
      <c r="AK47" s="165" t="s">
        <v>3897</v>
      </c>
      <c r="AL47">
        <v>26.2</v>
      </c>
      <c r="AM47">
        <v>54</v>
      </c>
      <c r="AN47">
        <v>2</v>
      </c>
      <c r="AO47">
        <v>6</v>
      </c>
      <c r="AP47">
        <v>12</v>
      </c>
      <c r="AQ47" s="165" t="s">
        <v>3978</v>
      </c>
      <c r="AR47" t="s">
        <v>3979</v>
      </c>
      <c r="AS47" s="165" t="s">
        <v>3786</v>
      </c>
      <c r="AT47" t="s">
        <v>5291</v>
      </c>
      <c r="AU47" t="s">
        <v>5291</v>
      </c>
    </row>
    <row r="48" spans="1:47" hidden="1" x14ac:dyDescent="0.25">
      <c r="A48" s="165" t="s">
        <v>3300</v>
      </c>
      <c r="B48" s="165" t="s">
        <v>3299</v>
      </c>
      <c r="C48" s="165" t="s">
        <v>23</v>
      </c>
      <c r="D48" s="165" t="s">
        <v>3980</v>
      </c>
      <c r="E48" s="165" t="s">
        <v>3981</v>
      </c>
      <c r="F48" s="165" t="s">
        <v>181</v>
      </c>
      <c r="G48" s="165" t="s">
        <v>8</v>
      </c>
      <c r="H48" s="165" t="s">
        <v>269</v>
      </c>
      <c r="I48" s="165" t="s">
        <v>3864</v>
      </c>
      <c r="J48" s="165" t="s">
        <v>3894</v>
      </c>
      <c r="K48" s="165" t="s">
        <v>3819</v>
      </c>
      <c r="L48" s="165" t="s">
        <v>3820</v>
      </c>
      <c r="M48" s="165" t="s">
        <v>3803</v>
      </c>
      <c r="N48" s="165" t="s">
        <v>3805</v>
      </c>
      <c r="O48" s="165"/>
      <c r="P48" s="165"/>
      <c r="Q48" s="165" t="s">
        <v>3888</v>
      </c>
      <c r="R48" s="165"/>
      <c r="S48" s="165"/>
      <c r="T48" s="165"/>
      <c r="U48" s="165" t="s">
        <v>3807</v>
      </c>
      <c r="V48" s="165"/>
      <c r="W48" s="165"/>
      <c r="X48" s="165"/>
      <c r="Y48">
        <v>6</v>
      </c>
      <c r="Z48" s="165" t="s">
        <v>3889</v>
      </c>
      <c r="AA48" s="165" t="s">
        <v>3809</v>
      </c>
      <c r="AB48" s="165" t="s">
        <v>3811</v>
      </c>
      <c r="AC48" s="165" t="s">
        <v>3810</v>
      </c>
      <c r="AD48" s="165" t="s">
        <v>3895</v>
      </c>
      <c r="AE48">
        <v>75</v>
      </c>
      <c r="AF48" s="165" t="s">
        <v>3896</v>
      </c>
      <c r="AG48">
        <v>251</v>
      </c>
      <c r="AH48">
        <v>475</v>
      </c>
      <c r="AI48">
        <v>28.1</v>
      </c>
      <c r="AJ48">
        <v>50.5</v>
      </c>
      <c r="AK48" s="165" t="s">
        <v>3897</v>
      </c>
      <c r="AL48">
        <v>26.2</v>
      </c>
      <c r="AM48">
        <v>54</v>
      </c>
      <c r="AN48">
        <v>2</v>
      </c>
      <c r="AO48">
        <v>6</v>
      </c>
      <c r="AP48">
        <v>12</v>
      </c>
      <c r="AQ48" s="165" t="s">
        <v>3815</v>
      </c>
      <c r="AR48" t="s">
        <v>3932</v>
      </c>
      <c r="AS48" s="165" t="s">
        <v>3786</v>
      </c>
      <c r="AT48" t="s">
        <v>5291</v>
      </c>
      <c r="AU48" t="s">
        <v>5291</v>
      </c>
    </row>
    <row r="49" spans="1:47" hidden="1" x14ac:dyDescent="0.25">
      <c r="A49" s="165" t="s">
        <v>3982</v>
      </c>
      <c r="B49" s="165" t="s">
        <v>3983</v>
      </c>
      <c r="C49" s="165" t="s">
        <v>23</v>
      </c>
      <c r="D49" s="165" t="s">
        <v>3984</v>
      </c>
      <c r="E49" s="165" t="s">
        <v>3985</v>
      </c>
      <c r="F49" s="165" t="s">
        <v>181</v>
      </c>
      <c r="G49" s="165" t="s">
        <v>8</v>
      </c>
      <c r="H49" s="165" t="s">
        <v>269</v>
      </c>
      <c r="I49" s="165" t="s">
        <v>3864</v>
      </c>
      <c r="J49" s="165" t="s">
        <v>3894</v>
      </c>
      <c r="K49" s="165" t="s">
        <v>3819</v>
      </c>
      <c r="L49" s="165" t="s">
        <v>3820</v>
      </c>
      <c r="M49" s="165" t="s">
        <v>3803</v>
      </c>
      <c r="N49" s="165" t="s">
        <v>3805</v>
      </c>
      <c r="O49" s="165"/>
      <c r="P49" s="165"/>
      <c r="Q49" s="165" t="s">
        <v>3888</v>
      </c>
      <c r="R49" s="165"/>
      <c r="S49" s="165"/>
      <c r="T49" s="165"/>
      <c r="U49" s="165" t="s">
        <v>3807</v>
      </c>
      <c r="V49" s="165"/>
      <c r="W49" s="165"/>
      <c r="X49" s="165"/>
      <c r="Y49">
        <v>6</v>
      </c>
      <c r="Z49" s="165" t="s">
        <v>3889</v>
      </c>
      <c r="AA49" s="165" t="s">
        <v>3809</v>
      </c>
      <c r="AB49" s="165" t="s">
        <v>3811</v>
      </c>
      <c r="AC49" s="165" t="s">
        <v>3810</v>
      </c>
      <c r="AD49" s="165" t="s">
        <v>3895</v>
      </c>
      <c r="AE49">
        <v>75</v>
      </c>
      <c r="AF49" s="165" t="s">
        <v>3896</v>
      </c>
      <c r="AG49">
        <v>251</v>
      </c>
      <c r="AH49">
        <v>475</v>
      </c>
      <c r="AI49">
        <v>28.1</v>
      </c>
      <c r="AJ49">
        <v>50.5</v>
      </c>
      <c r="AK49" s="165" t="s">
        <v>3897</v>
      </c>
      <c r="AL49">
        <v>26.2</v>
      </c>
      <c r="AM49">
        <v>54</v>
      </c>
      <c r="AN49">
        <v>2</v>
      </c>
      <c r="AO49">
        <v>6</v>
      </c>
      <c r="AP49">
        <v>12</v>
      </c>
      <c r="AQ49" s="165" t="s">
        <v>3815</v>
      </c>
      <c r="AR49" t="s">
        <v>3860</v>
      </c>
      <c r="AS49" s="165" t="s">
        <v>3786</v>
      </c>
      <c r="AT49" t="s">
        <v>5291</v>
      </c>
      <c r="AU49" t="s">
        <v>5291</v>
      </c>
    </row>
    <row r="50" spans="1:47" hidden="1" x14ac:dyDescent="0.25">
      <c r="A50" s="165" t="s">
        <v>971</v>
      </c>
      <c r="B50" s="165" t="s">
        <v>3986</v>
      </c>
      <c r="C50" s="165" t="s">
        <v>23</v>
      </c>
      <c r="D50" s="165" t="s">
        <v>972</v>
      </c>
      <c r="E50" s="165" t="s">
        <v>3987</v>
      </c>
      <c r="F50" s="165" t="s">
        <v>15</v>
      </c>
      <c r="G50" s="165" t="s">
        <v>8</v>
      </c>
      <c r="H50" s="165" t="s">
        <v>269</v>
      </c>
      <c r="I50" s="165" t="s">
        <v>3864</v>
      </c>
      <c r="J50" s="165" t="s">
        <v>3894</v>
      </c>
      <c r="K50" s="165" t="s">
        <v>3819</v>
      </c>
      <c r="L50" s="165" t="s">
        <v>3820</v>
      </c>
      <c r="M50" s="165" t="s">
        <v>3803</v>
      </c>
      <c r="N50" s="165" t="s">
        <v>3805</v>
      </c>
      <c r="O50" s="165"/>
      <c r="P50" s="165"/>
      <c r="Q50" s="165" t="s">
        <v>3888</v>
      </c>
      <c r="R50" s="165"/>
      <c r="S50" s="165"/>
      <c r="T50" s="165"/>
      <c r="U50" s="165" t="s">
        <v>3807</v>
      </c>
      <c r="V50" s="165"/>
      <c r="W50" s="165"/>
      <c r="X50" s="165"/>
      <c r="Y50">
        <v>6</v>
      </c>
      <c r="Z50" s="165" t="s">
        <v>3889</v>
      </c>
      <c r="AA50" s="165" t="s">
        <v>3809</v>
      </c>
      <c r="AB50" s="165" t="s">
        <v>3811</v>
      </c>
      <c r="AC50" s="165" t="s">
        <v>3810</v>
      </c>
      <c r="AD50" s="165" t="s">
        <v>3895</v>
      </c>
      <c r="AE50">
        <v>75</v>
      </c>
      <c r="AF50" s="165" t="s">
        <v>3896</v>
      </c>
      <c r="AG50">
        <v>251</v>
      </c>
      <c r="AH50">
        <v>475</v>
      </c>
      <c r="AI50">
        <v>28.1</v>
      </c>
      <c r="AJ50">
        <v>50.5</v>
      </c>
      <c r="AK50" s="165" t="s">
        <v>3897</v>
      </c>
      <c r="AL50">
        <v>26.2</v>
      </c>
      <c r="AM50">
        <v>54</v>
      </c>
      <c r="AN50">
        <v>2</v>
      </c>
      <c r="AO50">
        <v>6</v>
      </c>
      <c r="AP50">
        <v>12</v>
      </c>
      <c r="AQ50" s="165" t="s">
        <v>3815</v>
      </c>
      <c r="AR50" t="s">
        <v>3860</v>
      </c>
      <c r="AS50" s="165" t="s">
        <v>3786</v>
      </c>
      <c r="AT50" t="s">
        <v>5291</v>
      </c>
      <c r="AU50" t="s">
        <v>5291</v>
      </c>
    </row>
    <row r="51" spans="1:47" hidden="1" x14ac:dyDescent="0.25">
      <c r="A51" s="165" t="s">
        <v>1793</v>
      </c>
      <c r="B51" s="165" t="s">
        <v>3988</v>
      </c>
      <c r="C51" s="165" t="s">
        <v>23</v>
      </c>
      <c r="D51" s="165" t="s">
        <v>1794</v>
      </c>
      <c r="E51" s="165" t="s">
        <v>3989</v>
      </c>
      <c r="F51" s="165" t="s">
        <v>181</v>
      </c>
      <c r="G51" s="165" t="s">
        <v>8</v>
      </c>
      <c r="H51" s="165" t="s">
        <v>269</v>
      </c>
      <c r="I51" s="165" t="s">
        <v>3864</v>
      </c>
      <c r="J51" s="165" t="s">
        <v>3894</v>
      </c>
      <c r="K51" s="165" t="s">
        <v>3819</v>
      </c>
      <c r="L51" s="165" t="s">
        <v>3820</v>
      </c>
      <c r="M51" s="165" t="s">
        <v>3803</v>
      </c>
      <c r="N51" s="165" t="s">
        <v>3805</v>
      </c>
      <c r="O51" s="165"/>
      <c r="P51" s="165"/>
      <c r="Q51" s="165" t="s">
        <v>3888</v>
      </c>
      <c r="R51" s="165"/>
      <c r="S51" s="165"/>
      <c r="T51" s="165"/>
      <c r="U51" s="165" t="s">
        <v>3807</v>
      </c>
      <c r="V51" s="165"/>
      <c r="W51" s="165"/>
      <c r="X51" s="165"/>
      <c r="Y51">
        <v>6</v>
      </c>
      <c r="Z51" s="165" t="s">
        <v>3889</v>
      </c>
      <c r="AA51" s="165" t="s">
        <v>3809</v>
      </c>
      <c r="AB51" s="165" t="s">
        <v>3811</v>
      </c>
      <c r="AC51" s="165" t="s">
        <v>3810</v>
      </c>
      <c r="AD51" s="165" t="s">
        <v>3895</v>
      </c>
      <c r="AE51">
        <v>75</v>
      </c>
      <c r="AF51" s="165" t="s">
        <v>3896</v>
      </c>
      <c r="AG51">
        <v>251</v>
      </c>
      <c r="AH51">
        <v>475</v>
      </c>
      <c r="AI51">
        <v>28.1</v>
      </c>
      <c r="AJ51">
        <v>50.5</v>
      </c>
      <c r="AK51" s="165" t="s">
        <v>3897</v>
      </c>
      <c r="AL51">
        <v>26.2</v>
      </c>
      <c r="AM51">
        <v>54</v>
      </c>
      <c r="AN51">
        <v>2</v>
      </c>
      <c r="AO51">
        <v>6</v>
      </c>
      <c r="AP51">
        <v>12</v>
      </c>
      <c r="AQ51" s="165" t="s">
        <v>3815</v>
      </c>
      <c r="AR51" t="s">
        <v>3830</v>
      </c>
      <c r="AS51" s="165" t="s">
        <v>3786</v>
      </c>
      <c r="AT51" t="s">
        <v>5291</v>
      </c>
      <c r="AU51" t="s">
        <v>5291</v>
      </c>
    </row>
    <row r="52" spans="1:47" hidden="1" x14ac:dyDescent="0.25">
      <c r="A52" s="165" t="s">
        <v>989</v>
      </c>
      <c r="B52" s="165" t="s">
        <v>3990</v>
      </c>
      <c r="C52" s="165" t="s">
        <v>23</v>
      </c>
      <c r="D52" s="165" t="s">
        <v>990</v>
      </c>
      <c r="E52" s="165" t="s">
        <v>3991</v>
      </c>
      <c r="F52" s="165" t="s">
        <v>181</v>
      </c>
      <c r="G52" s="165" t="s">
        <v>8</v>
      </c>
      <c r="H52" s="165" t="s">
        <v>269</v>
      </c>
      <c r="I52" s="165" t="s">
        <v>3864</v>
      </c>
      <c r="J52" s="165" t="s">
        <v>3894</v>
      </c>
      <c r="K52" s="165" t="s">
        <v>3819</v>
      </c>
      <c r="L52" s="165" t="s">
        <v>3820</v>
      </c>
      <c r="M52" s="165" t="s">
        <v>3803</v>
      </c>
      <c r="N52" s="165" t="s">
        <v>3805</v>
      </c>
      <c r="O52" s="165"/>
      <c r="P52" s="165"/>
      <c r="Q52" s="165" t="s">
        <v>3888</v>
      </c>
      <c r="R52" s="165"/>
      <c r="S52" s="165"/>
      <c r="T52" s="165"/>
      <c r="U52" s="165" t="s">
        <v>3807</v>
      </c>
      <c r="V52" s="165"/>
      <c r="W52" s="165"/>
      <c r="X52" s="165"/>
      <c r="Y52">
        <v>6</v>
      </c>
      <c r="Z52" s="165" t="s">
        <v>3889</v>
      </c>
      <c r="AA52" s="165" t="s">
        <v>3809</v>
      </c>
      <c r="AB52" s="165" t="s">
        <v>3811</v>
      </c>
      <c r="AC52" s="165" t="s">
        <v>3810</v>
      </c>
      <c r="AD52" s="165" t="s">
        <v>3895</v>
      </c>
      <c r="AE52">
        <v>75</v>
      </c>
      <c r="AF52" s="165" t="s">
        <v>3896</v>
      </c>
      <c r="AG52">
        <v>251</v>
      </c>
      <c r="AH52">
        <v>475</v>
      </c>
      <c r="AI52">
        <v>28.1</v>
      </c>
      <c r="AJ52">
        <v>50.5</v>
      </c>
      <c r="AK52" s="165" t="s">
        <v>3897</v>
      </c>
      <c r="AL52">
        <v>26.2</v>
      </c>
      <c r="AM52">
        <v>54</v>
      </c>
      <c r="AN52">
        <v>2</v>
      </c>
      <c r="AO52">
        <v>6</v>
      </c>
      <c r="AP52">
        <v>12</v>
      </c>
      <c r="AQ52" s="165" t="s">
        <v>3815</v>
      </c>
      <c r="AR52" t="s">
        <v>3830</v>
      </c>
      <c r="AS52" s="165" t="s">
        <v>3786</v>
      </c>
      <c r="AT52" t="s">
        <v>5291</v>
      </c>
      <c r="AU52" t="s">
        <v>5291</v>
      </c>
    </row>
    <row r="53" spans="1:47" hidden="1" x14ac:dyDescent="0.25">
      <c r="A53" s="165" t="s">
        <v>1713</v>
      </c>
      <c r="B53" s="165" t="s">
        <v>3437</v>
      </c>
      <c r="C53" s="165" t="s">
        <v>23</v>
      </c>
      <c r="D53" s="165" t="s">
        <v>1714</v>
      </c>
      <c r="E53" s="165" t="s">
        <v>3992</v>
      </c>
      <c r="F53" s="165" t="s">
        <v>181</v>
      </c>
      <c r="G53" s="165" t="s">
        <v>8</v>
      </c>
      <c r="H53" s="165" t="s">
        <v>269</v>
      </c>
      <c r="I53" s="165" t="s">
        <v>3864</v>
      </c>
      <c r="J53" s="165" t="s">
        <v>3894</v>
      </c>
      <c r="K53" s="165" t="s">
        <v>3819</v>
      </c>
      <c r="L53" s="165" t="s">
        <v>3820</v>
      </c>
      <c r="M53" s="165" t="s">
        <v>3803</v>
      </c>
      <c r="N53" s="165" t="s">
        <v>3805</v>
      </c>
      <c r="O53" s="165"/>
      <c r="P53" s="165"/>
      <c r="Q53" s="165" t="s">
        <v>3888</v>
      </c>
      <c r="R53" s="165"/>
      <c r="S53" s="165"/>
      <c r="T53" s="165"/>
      <c r="U53" s="165" t="s">
        <v>3807</v>
      </c>
      <c r="V53" s="165"/>
      <c r="W53" s="165"/>
      <c r="X53" s="165"/>
      <c r="Y53">
        <v>6</v>
      </c>
      <c r="Z53" s="165" t="s">
        <v>3889</v>
      </c>
      <c r="AA53" s="165" t="s">
        <v>3809</v>
      </c>
      <c r="AB53" s="165" t="s">
        <v>3811</v>
      </c>
      <c r="AC53" s="165" t="s">
        <v>3810</v>
      </c>
      <c r="AD53" s="165" t="s">
        <v>3895</v>
      </c>
      <c r="AE53">
        <v>75</v>
      </c>
      <c r="AF53" s="165" t="s">
        <v>3896</v>
      </c>
      <c r="AG53">
        <v>251</v>
      </c>
      <c r="AH53">
        <v>475</v>
      </c>
      <c r="AI53">
        <v>28.1</v>
      </c>
      <c r="AJ53">
        <v>50.5</v>
      </c>
      <c r="AK53" s="165" t="s">
        <v>3897</v>
      </c>
      <c r="AL53">
        <v>26.2</v>
      </c>
      <c r="AM53">
        <v>54</v>
      </c>
      <c r="AN53">
        <v>2</v>
      </c>
      <c r="AO53">
        <v>6</v>
      </c>
      <c r="AP53">
        <v>12</v>
      </c>
      <c r="AQ53" s="165" t="s">
        <v>3815</v>
      </c>
      <c r="AR53" t="s">
        <v>3907</v>
      </c>
      <c r="AS53" s="165" t="s">
        <v>3786</v>
      </c>
      <c r="AT53" t="s">
        <v>5291</v>
      </c>
      <c r="AU53" t="s">
        <v>5291</v>
      </c>
    </row>
    <row r="54" spans="1:47" hidden="1" x14ac:dyDescent="0.25">
      <c r="A54" s="165" t="s">
        <v>1630</v>
      </c>
      <c r="B54" s="165" t="s">
        <v>3426</v>
      </c>
      <c r="C54" s="165" t="s">
        <v>23</v>
      </c>
      <c r="D54" s="165" t="s">
        <v>1631</v>
      </c>
      <c r="E54" s="165" t="s">
        <v>3993</v>
      </c>
      <c r="F54" s="165" t="s">
        <v>181</v>
      </c>
      <c r="G54" s="165" t="s">
        <v>8</v>
      </c>
      <c r="H54" s="165" t="s">
        <v>269</v>
      </c>
      <c r="I54" s="165" t="s">
        <v>3864</v>
      </c>
      <c r="J54" s="165" t="s">
        <v>3894</v>
      </c>
      <c r="K54" s="165" t="s">
        <v>3819</v>
      </c>
      <c r="L54" s="165" t="s">
        <v>3820</v>
      </c>
      <c r="M54" s="165" t="s">
        <v>3803</v>
      </c>
      <c r="N54" s="165" t="s">
        <v>3805</v>
      </c>
      <c r="O54" s="165"/>
      <c r="P54" s="165"/>
      <c r="Q54" s="165" t="s">
        <v>3888</v>
      </c>
      <c r="R54" s="165"/>
      <c r="S54" s="165"/>
      <c r="T54" s="165"/>
      <c r="U54" s="165" t="s">
        <v>3807</v>
      </c>
      <c r="V54" s="165"/>
      <c r="W54" s="165"/>
      <c r="X54" s="165"/>
      <c r="Y54">
        <v>6</v>
      </c>
      <c r="Z54" s="165" t="s">
        <v>3889</v>
      </c>
      <c r="AA54" s="165" t="s">
        <v>3809</v>
      </c>
      <c r="AB54" s="165" t="s">
        <v>3811</v>
      </c>
      <c r="AC54" s="165" t="s">
        <v>3810</v>
      </c>
      <c r="AD54" s="165" t="s">
        <v>3895</v>
      </c>
      <c r="AE54">
        <v>75</v>
      </c>
      <c r="AF54" s="165" t="s">
        <v>3896</v>
      </c>
      <c r="AG54">
        <v>251</v>
      </c>
      <c r="AH54">
        <v>475</v>
      </c>
      <c r="AI54">
        <v>28.1</v>
      </c>
      <c r="AJ54">
        <v>50.5</v>
      </c>
      <c r="AK54" s="165" t="s">
        <v>3897</v>
      </c>
      <c r="AL54">
        <v>26.2</v>
      </c>
      <c r="AM54">
        <v>54</v>
      </c>
      <c r="AN54">
        <v>2</v>
      </c>
      <c r="AO54">
        <v>6</v>
      </c>
      <c r="AP54">
        <v>12</v>
      </c>
      <c r="AQ54" s="165" t="s">
        <v>3815</v>
      </c>
      <c r="AR54" t="s">
        <v>3994</v>
      </c>
      <c r="AS54" s="165" t="s">
        <v>3786</v>
      </c>
      <c r="AT54" t="s">
        <v>5291</v>
      </c>
      <c r="AU54" t="s">
        <v>5291</v>
      </c>
    </row>
    <row r="55" spans="1:47" hidden="1" x14ac:dyDescent="0.25">
      <c r="A55" s="165" t="s">
        <v>1144</v>
      </c>
      <c r="B55" s="165" t="s">
        <v>3995</v>
      </c>
      <c r="C55" s="165" t="s">
        <v>23</v>
      </c>
      <c r="D55" s="165" t="s">
        <v>1145</v>
      </c>
      <c r="E55" s="165" t="s">
        <v>3977</v>
      </c>
      <c r="F55" s="165" t="s">
        <v>181</v>
      </c>
      <c r="G55" s="165" t="s">
        <v>8</v>
      </c>
      <c r="H55" s="165" t="s">
        <v>269</v>
      </c>
      <c r="I55" s="165" t="s">
        <v>3864</v>
      </c>
      <c r="J55" s="165" t="s">
        <v>3894</v>
      </c>
      <c r="K55" s="165" t="s">
        <v>3819</v>
      </c>
      <c r="L55" s="165" t="s">
        <v>3820</v>
      </c>
      <c r="M55" s="165" t="s">
        <v>3803</v>
      </c>
      <c r="N55" s="165" t="s">
        <v>3805</v>
      </c>
      <c r="O55" s="165"/>
      <c r="P55" s="165"/>
      <c r="Q55" s="165" t="s">
        <v>3888</v>
      </c>
      <c r="R55" s="165"/>
      <c r="S55" s="165"/>
      <c r="T55" s="165"/>
      <c r="U55" s="165" t="s">
        <v>3807</v>
      </c>
      <c r="V55" s="165"/>
      <c r="W55" s="165"/>
      <c r="X55" s="165"/>
      <c r="Y55">
        <v>6</v>
      </c>
      <c r="Z55" s="165" t="s">
        <v>3889</v>
      </c>
      <c r="AA55" s="165" t="s">
        <v>3809</v>
      </c>
      <c r="AB55" s="165" t="s">
        <v>3811</v>
      </c>
      <c r="AC55" s="165" t="s">
        <v>3810</v>
      </c>
      <c r="AD55" s="165" t="s">
        <v>3895</v>
      </c>
      <c r="AE55">
        <v>75</v>
      </c>
      <c r="AF55" s="165" t="s">
        <v>3896</v>
      </c>
      <c r="AG55">
        <v>251</v>
      </c>
      <c r="AH55">
        <v>475</v>
      </c>
      <c r="AI55">
        <v>28.1</v>
      </c>
      <c r="AJ55">
        <v>50.5</v>
      </c>
      <c r="AK55" s="165" t="s">
        <v>3897</v>
      </c>
      <c r="AL55">
        <v>26.2</v>
      </c>
      <c r="AM55">
        <v>54</v>
      </c>
      <c r="AN55">
        <v>2</v>
      </c>
      <c r="AO55">
        <v>6</v>
      </c>
      <c r="AP55">
        <v>12</v>
      </c>
      <c r="AQ55" s="165" t="s">
        <v>3815</v>
      </c>
      <c r="AR55" t="s">
        <v>3855</v>
      </c>
      <c r="AS55" s="165" t="s">
        <v>3786</v>
      </c>
      <c r="AT55" t="s">
        <v>5291</v>
      </c>
      <c r="AU55" t="s">
        <v>5291</v>
      </c>
    </row>
    <row r="56" spans="1:47" hidden="1" x14ac:dyDescent="0.25">
      <c r="A56" s="165" t="s">
        <v>1726</v>
      </c>
      <c r="B56" s="165" t="s">
        <v>3996</v>
      </c>
      <c r="C56" s="165" t="s">
        <v>23</v>
      </c>
      <c r="D56" s="165" t="s">
        <v>1727</v>
      </c>
      <c r="E56" s="165" t="s">
        <v>3997</v>
      </c>
      <c r="F56" s="165" t="s">
        <v>15</v>
      </c>
      <c r="G56" s="165" t="s">
        <v>8</v>
      </c>
      <c r="H56" s="165" t="s">
        <v>269</v>
      </c>
      <c r="I56" s="165" t="s">
        <v>3864</v>
      </c>
      <c r="J56" s="165" t="s">
        <v>3894</v>
      </c>
      <c r="K56" s="165" t="s">
        <v>3819</v>
      </c>
      <c r="L56" s="165" t="s">
        <v>3820</v>
      </c>
      <c r="M56" s="165" t="s">
        <v>3803</v>
      </c>
      <c r="N56" s="165" t="s">
        <v>3805</v>
      </c>
      <c r="O56" s="165"/>
      <c r="P56" s="165"/>
      <c r="Q56" s="165" t="s">
        <v>3888</v>
      </c>
      <c r="R56" s="165"/>
      <c r="S56" s="165"/>
      <c r="T56" s="165"/>
      <c r="U56" s="165" t="s">
        <v>3807</v>
      </c>
      <c r="V56" s="165"/>
      <c r="W56" s="165"/>
      <c r="X56" s="165"/>
      <c r="Y56">
        <v>6</v>
      </c>
      <c r="Z56" s="165" t="s">
        <v>3889</v>
      </c>
      <c r="AA56" s="165" t="s">
        <v>3809</v>
      </c>
      <c r="AB56" s="165" t="s">
        <v>3811</v>
      </c>
      <c r="AC56" s="165" t="s">
        <v>3810</v>
      </c>
      <c r="AD56" s="165" t="s">
        <v>3895</v>
      </c>
      <c r="AE56">
        <v>75</v>
      </c>
      <c r="AF56" s="165" t="s">
        <v>3896</v>
      </c>
      <c r="AG56">
        <v>251</v>
      </c>
      <c r="AH56">
        <v>475</v>
      </c>
      <c r="AI56">
        <v>28.1</v>
      </c>
      <c r="AJ56">
        <v>50.5</v>
      </c>
      <c r="AK56" s="165" t="s">
        <v>3897</v>
      </c>
      <c r="AL56">
        <v>26.2</v>
      </c>
      <c r="AM56">
        <v>54</v>
      </c>
      <c r="AN56">
        <v>2</v>
      </c>
      <c r="AO56">
        <v>6</v>
      </c>
      <c r="AP56">
        <v>12</v>
      </c>
      <c r="AQ56" s="165" t="s">
        <v>3815</v>
      </c>
      <c r="AR56" t="s">
        <v>3998</v>
      </c>
      <c r="AS56" s="165" t="s">
        <v>3786</v>
      </c>
      <c r="AT56" t="s">
        <v>5291</v>
      </c>
      <c r="AU56" t="s">
        <v>5291</v>
      </c>
    </row>
    <row r="57" spans="1:47" hidden="1" x14ac:dyDescent="0.25">
      <c r="A57" s="165" t="s">
        <v>1160</v>
      </c>
      <c r="B57" s="165" t="s">
        <v>3999</v>
      </c>
      <c r="C57" s="165" t="s">
        <v>23</v>
      </c>
      <c r="D57" s="165" t="s">
        <v>1161</v>
      </c>
      <c r="E57" s="165" t="s">
        <v>4000</v>
      </c>
      <c r="F57" s="165" t="s">
        <v>181</v>
      </c>
      <c r="G57" s="165" t="s">
        <v>3878</v>
      </c>
      <c r="H57" s="165" t="s">
        <v>269</v>
      </c>
      <c r="I57" s="165" t="s">
        <v>2428</v>
      </c>
      <c r="J57" s="165" t="s">
        <v>3887</v>
      </c>
      <c r="K57" s="165" t="s">
        <v>3819</v>
      </c>
      <c r="L57" s="165" t="s">
        <v>3820</v>
      </c>
      <c r="M57" s="165" t="s">
        <v>3803</v>
      </c>
      <c r="N57" s="165" t="s">
        <v>3805</v>
      </c>
      <c r="O57" s="165"/>
      <c r="P57" s="165"/>
      <c r="Q57" s="165" t="s">
        <v>3888</v>
      </c>
      <c r="R57" s="165"/>
      <c r="S57" s="165"/>
      <c r="T57" s="165"/>
      <c r="U57" s="165" t="s">
        <v>3807</v>
      </c>
      <c r="V57" s="165"/>
      <c r="W57" s="165"/>
      <c r="X57" s="165"/>
      <c r="Y57">
        <v>6</v>
      </c>
      <c r="Z57" s="165" t="s">
        <v>3889</v>
      </c>
      <c r="AA57" s="165" t="s">
        <v>3809</v>
      </c>
      <c r="AB57" s="165" t="s">
        <v>3811</v>
      </c>
      <c r="AC57" s="165" t="s">
        <v>3810</v>
      </c>
      <c r="AD57" s="165" t="s">
        <v>3895</v>
      </c>
      <c r="AE57">
        <v>75</v>
      </c>
      <c r="AF57" s="165" t="s">
        <v>3896</v>
      </c>
      <c r="AG57">
        <v>251</v>
      </c>
      <c r="AH57">
        <v>475</v>
      </c>
      <c r="AI57">
        <v>28.1</v>
      </c>
      <c r="AJ57">
        <v>50.5</v>
      </c>
      <c r="AK57" s="165" t="s">
        <v>3897</v>
      </c>
      <c r="AL57">
        <v>26.2</v>
      </c>
      <c r="AM57">
        <v>54</v>
      </c>
      <c r="AN57">
        <v>2</v>
      </c>
      <c r="AO57">
        <v>6</v>
      </c>
      <c r="AP57">
        <v>12</v>
      </c>
      <c r="AQ57" s="165" t="s">
        <v>3815</v>
      </c>
      <c r="AR57" t="s">
        <v>3860</v>
      </c>
      <c r="AS57" s="165" t="s">
        <v>3786</v>
      </c>
      <c r="AT57" t="s">
        <v>5291</v>
      </c>
      <c r="AU57" t="s">
        <v>5291</v>
      </c>
    </row>
    <row r="58" spans="1:47" hidden="1" x14ac:dyDescent="0.25">
      <c r="A58" s="165" t="s">
        <v>1680</v>
      </c>
      <c r="B58" s="165" t="s">
        <v>5659</v>
      </c>
      <c r="C58" s="165" t="s">
        <v>23</v>
      </c>
      <c r="D58" s="165" t="s">
        <v>1681</v>
      </c>
      <c r="E58" s="165" t="s">
        <v>4001</v>
      </c>
      <c r="F58" s="165" t="s">
        <v>4002</v>
      </c>
      <c r="G58" s="165" t="s">
        <v>8</v>
      </c>
      <c r="H58" s="165" t="s">
        <v>2030</v>
      </c>
      <c r="I58" s="165" t="s">
        <v>3842</v>
      </c>
      <c r="J58" s="165" t="s">
        <v>4003</v>
      </c>
      <c r="K58" s="165" t="s">
        <v>3819</v>
      </c>
      <c r="L58" s="165" t="s">
        <v>3820</v>
      </c>
      <c r="M58" s="165" t="s">
        <v>3803</v>
      </c>
      <c r="N58" s="165" t="s">
        <v>3805</v>
      </c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>
        <v>4</v>
      </c>
      <c r="Z58" s="165" t="s">
        <v>3873</v>
      </c>
      <c r="AA58" s="165" t="s">
        <v>3809</v>
      </c>
      <c r="AB58" s="165" t="s">
        <v>3811</v>
      </c>
      <c r="AC58" s="165" t="s">
        <v>3810</v>
      </c>
      <c r="AD58" s="165" t="s">
        <v>4004</v>
      </c>
      <c r="AE58">
        <v>120</v>
      </c>
      <c r="AF58" s="165" t="s">
        <v>4005</v>
      </c>
      <c r="AG58">
        <v>271</v>
      </c>
      <c r="AH58">
        <v>50</v>
      </c>
      <c r="AI58">
        <v>32.1</v>
      </c>
      <c r="AJ58">
        <v>55</v>
      </c>
      <c r="AK58" s="165" t="s">
        <v>4006</v>
      </c>
      <c r="AN58">
        <v>2</v>
      </c>
      <c r="AO58">
        <v>4</v>
      </c>
      <c r="AP58">
        <v>8</v>
      </c>
      <c r="AQ58" s="165" t="s">
        <v>3815</v>
      </c>
      <c r="AR58" t="s">
        <v>4007</v>
      </c>
      <c r="AS58" s="165" t="s">
        <v>3786</v>
      </c>
      <c r="AT58" t="s">
        <v>5291</v>
      </c>
      <c r="AU58" t="s">
        <v>5291</v>
      </c>
    </row>
    <row r="59" spans="1:47" hidden="1" x14ac:dyDescent="0.25">
      <c r="A59" s="165" t="s">
        <v>1618</v>
      </c>
      <c r="B59" s="165" t="s">
        <v>4008</v>
      </c>
      <c r="C59" s="165" t="s">
        <v>23</v>
      </c>
      <c r="D59" s="165" t="s">
        <v>1619</v>
      </c>
      <c r="E59" s="165" t="s">
        <v>4001</v>
      </c>
      <c r="F59" s="165" t="s">
        <v>4002</v>
      </c>
      <c r="G59" s="165" t="s">
        <v>8</v>
      </c>
      <c r="H59" s="165" t="s">
        <v>2030</v>
      </c>
      <c r="I59" s="165" t="s">
        <v>3842</v>
      </c>
      <c r="J59" s="165" t="s">
        <v>4003</v>
      </c>
      <c r="K59" s="165" t="s">
        <v>3819</v>
      </c>
      <c r="L59" s="165" t="s">
        <v>3820</v>
      </c>
      <c r="M59" s="165" t="s">
        <v>3803</v>
      </c>
      <c r="N59" s="165" t="s">
        <v>3805</v>
      </c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>
        <v>4</v>
      </c>
      <c r="Z59" s="165" t="s">
        <v>3873</v>
      </c>
      <c r="AA59" s="165" t="s">
        <v>3809</v>
      </c>
      <c r="AB59" s="165" t="s">
        <v>3811</v>
      </c>
      <c r="AC59" s="165" t="s">
        <v>3810</v>
      </c>
      <c r="AD59" s="165" t="s">
        <v>4004</v>
      </c>
      <c r="AE59">
        <v>120</v>
      </c>
      <c r="AF59" s="165" t="s">
        <v>4005</v>
      </c>
      <c r="AG59">
        <v>271</v>
      </c>
      <c r="AH59">
        <v>50</v>
      </c>
      <c r="AI59">
        <v>32.1</v>
      </c>
      <c r="AJ59">
        <v>55</v>
      </c>
      <c r="AK59" s="165" t="s">
        <v>4006</v>
      </c>
      <c r="AN59">
        <v>2</v>
      </c>
      <c r="AO59">
        <v>4</v>
      </c>
      <c r="AP59">
        <v>8</v>
      </c>
      <c r="AQ59" s="165" t="s">
        <v>3815</v>
      </c>
      <c r="AR59" t="s">
        <v>4009</v>
      </c>
      <c r="AS59" s="165" t="s">
        <v>3786</v>
      </c>
      <c r="AT59" t="s">
        <v>5291</v>
      </c>
      <c r="AU59" t="s">
        <v>5291</v>
      </c>
    </row>
    <row r="60" spans="1:47" hidden="1" x14ac:dyDescent="0.25">
      <c r="A60" s="165" t="s">
        <v>1460</v>
      </c>
      <c r="B60" s="165" t="s">
        <v>3418</v>
      </c>
      <c r="C60" s="165" t="s">
        <v>23</v>
      </c>
      <c r="D60" s="165" t="s">
        <v>1461</v>
      </c>
      <c r="E60" s="165" t="s">
        <v>4010</v>
      </c>
      <c r="F60" s="165" t="s">
        <v>11</v>
      </c>
      <c r="G60" s="165" t="s">
        <v>8</v>
      </c>
      <c r="H60" s="165" t="s">
        <v>241</v>
      </c>
      <c r="I60" s="165" t="s">
        <v>3803</v>
      </c>
      <c r="J60" s="165" t="s">
        <v>4011</v>
      </c>
      <c r="K60" s="165"/>
      <c r="L60" s="165"/>
      <c r="M60" s="165"/>
      <c r="N60" s="165"/>
      <c r="O60" s="165"/>
      <c r="P60" s="165"/>
      <c r="Q60" s="165"/>
      <c r="R60" s="165"/>
      <c r="S60" s="165" t="s">
        <v>3902</v>
      </c>
      <c r="T60" s="165"/>
      <c r="U60" s="165"/>
      <c r="V60" s="165"/>
      <c r="W60" s="165"/>
      <c r="X60" s="165" t="s">
        <v>2428</v>
      </c>
      <c r="Y60">
        <v>2</v>
      </c>
      <c r="Z60" s="165" t="s">
        <v>3903</v>
      </c>
      <c r="AA60" s="165" t="s">
        <v>3811</v>
      </c>
      <c r="AB60" s="165" t="s">
        <v>3810</v>
      </c>
      <c r="AC60" s="165" t="s">
        <v>3809</v>
      </c>
      <c r="AD60" s="165" t="s">
        <v>4012</v>
      </c>
      <c r="AE60">
        <v>37</v>
      </c>
      <c r="AF60" s="165" t="s">
        <v>4013</v>
      </c>
      <c r="AG60">
        <v>275</v>
      </c>
      <c r="AH60">
        <v>253</v>
      </c>
      <c r="AI60">
        <v>30.5</v>
      </c>
      <c r="AJ60">
        <v>28.3</v>
      </c>
      <c r="AK60" s="165" t="s">
        <v>4014</v>
      </c>
      <c r="AN60">
        <v>4</v>
      </c>
      <c r="AO60">
        <v>6</v>
      </c>
      <c r="AP60">
        <v>24</v>
      </c>
      <c r="AQ60" s="165" t="s">
        <v>3815</v>
      </c>
      <c r="AR60" t="s">
        <v>3870</v>
      </c>
      <c r="AS60" s="165" t="s">
        <v>30</v>
      </c>
      <c r="AT60" t="s">
        <v>5291</v>
      </c>
      <c r="AU60" t="s">
        <v>5291</v>
      </c>
    </row>
    <row r="61" spans="1:47" hidden="1" x14ac:dyDescent="0.25">
      <c r="A61" s="165" t="s">
        <v>3327</v>
      </c>
      <c r="B61" s="165" t="s">
        <v>3326</v>
      </c>
      <c r="C61" s="165" t="s">
        <v>23</v>
      </c>
      <c r="D61" s="165" t="s">
        <v>4015</v>
      </c>
      <c r="E61" s="165" t="s">
        <v>4016</v>
      </c>
      <c r="F61" s="165" t="s">
        <v>11</v>
      </c>
      <c r="G61" s="165" t="s">
        <v>8</v>
      </c>
      <c r="H61" s="165" t="s">
        <v>263</v>
      </c>
      <c r="I61" s="165" t="s">
        <v>3803</v>
      </c>
      <c r="J61" s="165" t="s">
        <v>3804</v>
      </c>
      <c r="K61" s="165"/>
      <c r="L61" s="165"/>
      <c r="M61" s="165"/>
      <c r="N61" s="165" t="s">
        <v>3805</v>
      </c>
      <c r="O61" s="165"/>
      <c r="P61" s="165"/>
      <c r="Q61" s="165"/>
      <c r="R61" s="165"/>
      <c r="S61" s="165"/>
      <c r="T61" s="165" t="s">
        <v>3806</v>
      </c>
      <c r="U61" s="165" t="s">
        <v>3807</v>
      </c>
      <c r="V61" s="165"/>
      <c r="W61" s="165"/>
      <c r="X61" s="165"/>
      <c r="Y61">
        <v>3</v>
      </c>
      <c r="Z61" s="165" t="s">
        <v>3808</v>
      </c>
      <c r="AA61" s="165" t="s">
        <v>3809</v>
      </c>
      <c r="AB61" s="165" t="s">
        <v>3810</v>
      </c>
      <c r="AC61" s="165" t="s">
        <v>3811</v>
      </c>
      <c r="AD61" s="165" t="s">
        <v>3881</v>
      </c>
      <c r="AE61">
        <v>1</v>
      </c>
      <c r="AF61" s="165" t="s">
        <v>3882</v>
      </c>
      <c r="AG61">
        <v>34</v>
      </c>
      <c r="AH61">
        <v>29</v>
      </c>
      <c r="AI61">
        <v>37</v>
      </c>
      <c r="AJ61">
        <v>32</v>
      </c>
      <c r="AK61" s="165" t="s">
        <v>3883</v>
      </c>
      <c r="AN61">
        <v>6</v>
      </c>
      <c r="AO61">
        <v>6</v>
      </c>
      <c r="AP61">
        <v>36</v>
      </c>
      <c r="AQ61" s="165" t="s">
        <v>3815</v>
      </c>
      <c r="AR61" t="s">
        <v>4017</v>
      </c>
      <c r="AS61" s="165" t="s">
        <v>174</v>
      </c>
      <c r="AT61" t="s">
        <v>5291</v>
      </c>
      <c r="AU61" t="s">
        <v>5291</v>
      </c>
    </row>
    <row r="62" spans="1:47" hidden="1" x14ac:dyDescent="0.25">
      <c r="A62" s="165" t="s">
        <v>1212</v>
      </c>
      <c r="B62" s="165" t="s">
        <v>4018</v>
      </c>
      <c r="C62" s="165" t="s">
        <v>23</v>
      </c>
      <c r="D62" s="165" t="s">
        <v>1213</v>
      </c>
      <c r="E62" s="165" t="s">
        <v>4019</v>
      </c>
      <c r="F62" s="165" t="s">
        <v>9</v>
      </c>
      <c r="G62" s="165" t="s">
        <v>8</v>
      </c>
      <c r="H62" s="165" t="s">
        <v>2206</v>
      </c>
      <c r="I62" s="165" t="s">
        <v>3820</v>
      </c>
      <c r="J62" s="165" t="s">
        <v>3863</v>
      </c>
      <c r="K62" s="165"/>
      <c r="L62" s="165"/>
      <c r="M62" s="165"/>
      <c r="N62" s="165" t="s">
        <v>3805</v>
      </c>
      <c r="O62" s="165" t="s">
        <v>3864</v>
      </c>
      <c r="P62" s="165" t="s">
        <v>3865</v>
      </c>
      <c r="Q62" s="165"/>
      <c r="R62" s="165"/>
      <c r="S62" s="165"/>
      <c r="T62" s="165"/>
      <c r="U62" s="165" t="s">
        <v>3807</v>
      </c>
      <c r="V62" s="165"/>
      <c r="W62" s="165"/>
      <c r="X62" s="165"/>
      <c r="Y62">
        <v>4</v>
      </c>
      <c r="Z62" s="165" t="s">
        <v>3866</v>
      </c>
      <c r="AA62" s="165" t="s">
        <v>3809</v>
      </c>
      <c r="AB62" s="165" t="s">
        <v>3810</v>
      </c>
      <c r="AC62" s="165" t="s">
        <v>3811</v>
      </c>
      <c r="AD62" s="165" t="s">
        <v>4020</v>
      </c>
      <c r="AE62">
        <v>53</v>
      </c>
      <c r="AF62" s="165" t="s">
        <v>4021</v>
      </c>
      <c r="AG62">
        <v>415</v>
      </c>
      <c r="AH62">
        <v>288</v>
      </c>
      <c r="AI62">
        <v>44.5</v>
      </c>
      <c r="AJ62">
        <v>31.8</v>
      </c>
      <c r="AK62" s="165" t="s">
        <v>4022</v>
      </c>
      <c r="AN62">
        <v>6</v>
      </c>
      <c r="AO62">
        <v>4</v>
      </c>
      <c r="AP62">
        <v>24</v>
      </c>
      <c r="AQ62" s="165" t="s">
        <v>3815</v>
      </c>
      <c r="AR62" t="s">
        <v>4023</v>
      </c>
      <c r="AS62" s="165" t="s">
        <v>174</v>
      </c>
      <c r="AT62" t="s">
        <v>5291</v>
      </c>
      <c r="AU62" t="s">
        <v>5291</v>
      </c>
    </row>
    <row r="63" spans="1:47" hidden="1" x14ac:dyDescent="0.25">
      <c r="A63" s="165" t="s">
        <v>991</v>
      </c>
      <c r="B63" s="165" t="s">
        <v>4024</v>
      </c>
      <c r="C63" s="165" t="s">
        <v>23</v>
      </c>
      <c r="D63" s="165" t="s">
        <v>992</v>
      </c>
      <c r="E63" s="165" t="s">
        <v>4025</v>
      </c>
      <c r="F63" s="165" t="s">
        <v>11</v>
      </c>
      <c r="G63" s="165" t="s">
        <v>8</v>
      </c>
      <c r="H63" s="165" t="s">
        <v>263</v>
      </c>
      <c r="I63" s="165" t="s">
        <v>3803</v>
      </c>
      <c r="J63" s="165" t="s">
        <v>3804</v>
      </c>
      <c r="K63" s="165" t="s">
        <v>3819</v>
      </c>
      <c r="L63" s="165" t="s">
        <v>3820</v>
      </c>
      <c r="M63" s="165" t="s">
        <v>3803</v>
      </c>
      <c r="N63" s="165" t="s">
        <v>3805</v>
      </c>
      <c r="O63" s="165"/>
      <c r="P63" s="165"/>
      <c r="Q63" s="165"/>
      <c r="R63" s="165"/>
      <c r="S63" s="165"/>
      <c r="T63" s="165" t="s">
        <v>3806</v>
      </c>
      <c r="U63" s="165" t="s">
        <v>3807</v>
      </c>
      <c r="V63" s="165"/>
      <c r="W63" s="165"/>
      <c r="X63" s="165"/>
      <c r="Y63">
        <v>6</v>
      </c>
      <c r="Z63" s="165" t="s">
        <v>4026</v>
      </c>
      <c r="AA63" s="165" t="s">
        <v>3809</v>
      </c>
      <c r="AB63" s="165" t="s">
        <v>3810</v>
      </c>
      <c r="AC63" s="165" t="s">
        <v>3811</v>
      </c>
      <c r="AD63" s="165" t="s">
        <v>4027</v>
      </c>
      <c r="AE63">
        <v>109</v>
      </c>
      <c r="AF63" s="165" t="s">
        <v>4028</v>
      </c>
      <c r="AG63">
        <v>293</v>
      </c>
      <c r="AH63">
        <v>328</v>
      </c>
      <c r="AI63">
        <v>32.299999999999997</v>
      </c>
      <c r="AJ63">
        <v>35.799999999999997</v>
      </c>
      <c r="AK63" s="165" t="s">
        <v>4029</v>
      </c>
      <c r="AN63">
        <v>1</v>
      </c>
      <c r="AO63">
        <v>6</v>
      </c>
      <c r="AP63">
        <v>6</v>
      </c>
      <c r="AQ63" s="165" t="s">
        <v>3815</v>
      </c>
      <c r="AR63" t="s">
        <v>4030</v>
      </c>
      <c r="AS63" s="165" t="s">
        <v>174</v>
      </c>
      <c r="AT63" t="s">
        <v>5291</v>
      </c>
      <c r="AU63" t="s">
        <v>5291</v>
      </c>
    </row>
    <row r="64" spans="1:47" hidden="1" x14ac:dyDescent="0.25">
      <c r="A64" s="165" t="s">
        <v>981</v>
      </c>
      <c r="B64" s="165" t="s">
        <v>4031</v>
      </c>
      <c r="C64" s="165" t="s">
        <v>23</v>
      </c>
      <c r="D64" s="165" t="s">
        <v>982</v>
      </c>
      <c r="E64" s="165" t="s">
        <v>4032</v>
      </c>
      <c r="F64" s="165" t="s">
        <v>3850</v>
      </c>
      <c r="G64" s="165" t="s">
        <v>3878</v>
      </c>
      <c r="H64" s="165" t="s">
        <v>263</v>
      </c>
      <c r="I64" s="165" t="s">
        <v>3806</v>
      </c>
      <c r="J64" s="165" t="s">
        <v>4033</v>
      </c>
      <c r="K64" s="165"/>
      <c r="L64" s="165"/>
      <c r="M64" s="165"/>
      <c r="N64" s="165" t="s">
        <v>3805</v>
      </c>
      <c r="O64" s="165"/>
      <c r="P64" s="165"/>
      <c r="Q64" s="165"/>
      <c r="R64" s="165"/>
      <c r="S64" s="165"/>
      <c r="T64" s="165" t="s">
        <v>3806</v>
      </c>
      <c r="U64" s="165" t="s">
        <v>3807</v>
      </c>
      <c r="V64" s="165"/>
      <c r="W64" s="165"/>
      <c r="X64" s="165"/>
      <c r="Y64">
        <v>3</v>
      </c>
      <c r="Z64" s="165" t="s">
        <v>3808</v>
      </c>
      <c r="AA64" s="165" t="s">
        <v>3809</v>
      </c>
      <c r="AB64" s="165" t="s">
        <v>3810</v>
      </c>
      <c r="AC64" s="165" t="s">
        <v>3811</v>
      </c>
      <c r="AD64" s="165" t="s">
        <v>4034</v>
      </c>
      <c r="AE64">
        <v>95</v>
      </c>
      <c r="AF64" s="165" t="s">
        <v>4035</v>
      </c>
      <c r="AG64">
        <v>296</v>
      </c>
      <c r="AH64">
        <v>276</v>
      </c>
      <c r="AI64">
        <v>32.6</v>
      </c>
      <c r="AJ64">
        <v>30.6</v>
      </c>
      <c r="AK64" s="165" t="s">
        <v>4036</v>
      </c>
      <c r="AN64">
        <v>4</v>
      </c>
      <c r="AO64">
        <v>6</v>
      </c>
      <c r="AP64">
        <v>24</v>
      </c>
      <c r="AQ64" s="165" t="s">
        <v>3815</v>
      </c>
      <c r="AR64" t="s">
        <v>3998</v>
      </c>
      <c r="AS64" s="165" t="s">
        <v>174</v>
      </c>
      <c r="AT64" t="s">
        <v>5291</v>
      </c>
      <c r="AU64" t="s">
        <v>5291</v>
      </c>
    </row>
    <row r="65" spans="1:47" hidden="1" x14ac:dyDescent="0.25">
      <c r="A65" s="165" t="s">
        <v>780</v>
      </c>
      <c r="B65" s="165" t="s">
        <v>3388</v>
      </c>
      <c r="C65" s="165" t="s">
        <v>23</v>
      </c>
      <c r="D65" s="165" t="s">
        <v>781</v>
      </c>
      <c r="E65" s="165" t="s">
        <v>4037</v>
      </c>
      <c r="F65" s="165" t="s">
        <v>11</v>
      </c>
      <c r="G65" s="165" t="s">
        <v>8</v>
      </c>
      <c r="H65" s="165" t="s">
        <v>241</v>
      </c>
      <c r="I65" s="165" t="s">
        <v>3803</v>
      </c>
      <c r="J65" s="165" t="s">
        <v>4011</v>
      </c>
      <c r="K65" s="165"/>
      <c r="L65" s="165"/>
      <c r="M65" s="165"/>
      <c r="N65" s="165"/>
      <c r="O65" s="165"/>
      <c r="P65" s="165"/>
      <c r="Q65" s="165"/>
      <c r="R65" s="165"/>
      <c r="S65" s="165" t="s">
        <v>3902</v>
      </c>
      <c r="T65" s="165"/>
      <c r="U65" s="165"/>
      <c r="V65" s="165"/>
      <c r="W65" s="165"/>
      <c r="X65" s="165" t="s">
        <v>2428</v>
      </c>
      <c r="Y65">
        <v>2</v>
      </c>
      <c r="Z65" s="165" t="s">
        <v>3903</v>
      </c>
      <c r="AA65" s="165" t="s">
        <v>3811</v>
      </c>
      <c r="AB65" s="165" t="s">
        <v>3810</v>
      </c>
      <c r="AC65" s="165" t="s">
        <v>3809</v>
      </c>
      <c r="AD65" s="165" t="s">
        <v>4038</v>
      </c>
      <c r="AE65">
        <v>31</v>
      </c>
      <c r="AF65" s="165" t="s">
        <v>4035</v>
      </c>
      <c r="AG65">
        <v>296</v>
      </c>
      <c r="AH65">
        <v>276</v>
      </c>
      <c r="AI65">
        <v>32.6</v>
      </c>
      <c r="AJ65">
        <v>30.6</v>
      </c>
      <c r="AK65" s="165" t="s">
        <v>4036</v>
      </c>
      <c r="AN65">
        <v>4</v>
      </c>
      <c r="AO65">
        <v>6</v>
      </c>
      <c r="AP65">
        <v>24</v>
      </c>
      <c r="AQ65" s="165" t="s">
        <v>3978</v>
      </c>
      <c r="AR65" t="s">
        <v>88</v>
      </c>
      <c r="AS65" s="165" t="s">
        <v>30</v>
      </c>
      <c r="AT65" t="s">
        <v>5291</v>
      </c>
      <c r="AU65" t="s">
        <v>5291</v>
      </c>
    </row>
    <row r="66" spans="1:47" hidden="1" x14ac:dyDescent="0.25">
      <c r="A66" s="165" t="s">
        <v>811</v>
      </c>
      <c r="B66" s="165" t="s">
        <v>3287</v>
      </c>
      <c r="C66" s="165" t="s">
        <v>23</v>
      </c>
      <c r="D66" s="165" t="s">
        <v>812</v>
      </c>
      <c r="E66" s="165" t="s">
        <v>4039</v>
      </c>
      <c r="F66" s="165" t="s">
        <v>11</v>
      </c>
      <c r="G66" s="165" t="s">
        <v>8</v>
      </c>
      <c r="H66" s="165" t="s">
        <v>241</v>
      </c>
      <c r="I66" s="165" t="s">
        <v>3803</v>
      </c>
      <c r="J66" s="165" t="s">
        <v>4011</v>
      </c>
      <c r="K66" s="165"/>
      <c r="L66" s="165"/>
      <c r="M66" s="165"/>
      <c r="N66" s="165"/>
      <c r="O66" s="165"/>
      <c r="P66" s="165"/>
      <c r="Q66" s="165"/>
      <c r="R66" s="165"/>
      <c r="S66" s="165" t="s">
        <v>3902</v>
      </c>
      <c r="T66" s="165"/>
      <c r="U66" s="165"/>
      <c r="V66" s="165"/>
      <c r="W66" s="165"/>
      <c r="X66" s="165" t="s">
        <v>2428</v>
      </c>
      <c r="Y66">
        <v>2</v>
      </c>
      <c r="Z66" s="165" t="s">
        <v>3903</v>
      </c>
      <c r="AA66" s="165" t="s">
        <v>3811</v>
      </c>
      <c r="AB66" s="165" t="s">
        <v>3810</v>
      </c>
      <c r="AC66" s="165" t="s">
        <v>3809</v>
      </c>
      <c r="AD66" s="165" t="s">
        <v>4038</v>
      </c>
      <c r="AE66">
        <v>31</v>
      </c>
      <c r="AF66" s="165" t="s">
        <v>4035</v>
      </c>
      <c r="AG66">
        <v>296</v>
      </c>
      <c r="AH66">
        <v>276</v>
      </c>
      <c r="AI66">
        <v>32.6</v>
      </c>
      <c r="AJ66">
        <v>30.6</v>
      </c>
      <c r="AK66" s="165" t="s">
        <v>4036</v>
      </c>
      <c r="AN66">
        <v>4</v>
      </c>
      <c r="AO66">
        <v>6</v>
      </c>
      <c r="AP66">
        <v>24</v>
      </c>
      <c r="AQ66" s="165" t="s">
        <v>3815</v>
      </c>
      <c r="AR66" t="s">
        <v>3884</v>
      </c>
      <c r="AS66" s="165" t="s">
        <v>30</v>
      </c>
      <c r="AT66" t="s">
        <v>5291</v>
      </c>
      <c r="AU66" t="s">
        <v>5291</v>
      </c>
    </row>
    <row r="67" spans="1:47" hidden="1" x14ac:dyDescent="0.25">
      <c r="A67" s="165" t="s">
        <v>1222</v>
      </c>
      <c r="B67" s="165" t="s">
        <v>4040</v>
      </c>
      <c r="C67" s="165" t="s">
        <v>23</v>
      </c>
      <c r="D67" s="165" t="s">
        <v>1223</v>
      </c>
      <c r="E67" s="165" t="s">
        <v>4041</v>
      </c>
      <c r="F67" s="165" t="s">
        <v>11</v>
      </c>
      <c r="G67" s="165" t="s">
        <v>8</v>
      </c>
      <c r="H67" s="165" t="s">
        <v>241</v>
      </c>
      <c r="I67" s="165" t="s">
        <v>3803</v>
      </c>
      <c r="J67" s="165" t="s">
        <v>4011</v>
      </c>
      <c r="K67" s="165"/>
      <c r="L67" s="165"/>
      <c r="M67" s="165"/>
      <c r="N67" s="165"/>
      <c r="O67" s="165"/>
      <c r="P67" s="165"/>
      <c r="Q67" s="165"/>
      <c r="R67" s="165"/>
      <c r="S67" s="165" t="s">
        <v>3902</v>
      </c>
      <c r="T67" s="165"/>
      <c r="U67" s="165"/>
      <c r="V67" s="165"/>
      <c r="W67" s="165"/>
      <c r="X67" s="165" t="s">
        <v>2428</v>
      </c>
      <c r="Y67">
        <v>2</v>
      </c>
      <c r="Z67" s="165" t="s">
        <v>3903</v>
      </c>
      <c r="AA67" s="165" t="s">
        <v>3811</v>
      </c>
      <c r="AB67" s="165" t="s">
        <v>3810</v>
      </c>
      <c r="AC67" s="165" t="s">
        <v>3809</v>
      </c>
      <c r="AD67" s="165" t="s">
        <v>4038</v>
      </c>
      <c r="AE67">
        <v>31</v>
      </c>
      <c r="AF67" s="165" t="s">
        <v>4035</v>
      </c>
      <c r="AG67">
        <v>296</v>
      </c>
      <c r="AH67">
        <v>276</v>
      </c>
      <c r="AI67">
        <v>32.6</v>
      </c>
      <c r="AJ67">
        <v>30.6</v>
      </c>
      <c r="AK67" s="165" t="s">
        <v>4036</v>
      </c>
      <c r="AN67">
        <v>4</v>
      </c>
      <c r="AO67">
        <v>6</v>
      </c>
      <c r="AP67">
        <v>24</v>
      </c>
      <c r="AQ67" s="165" t="s">
        <v>3815</v>
      </c>
      <c r="AR67" t="s">
        <v>3909</v>
      </c>
      <c r="AS67" s="165" t="s">
        <v>30</v>
      </c>
      <c r="AT67" t="s">
        <v>5291</v>
      </c>
      <c r="AU67" t="s">
        <v>5291</v>
      </c>
    </row>
    <row r="68" spans="1:47" hidden="1" x14ac:dyDescent="0.25">
      <c r="A68" s="165" t="s">
        <v>1759</v>
      </c>
      <c r="B68" s="165" t="s">
        <v>3363</v>
      </c>
      <c r="C68" s="165" t="s">
        <v>23</v>
      </c>
      <c r="D68" s="165" t="s">
        <v>1760</v>
      </c>
      <c r="E68" s="165" t="s">
        <v>4042</v>
      </c>
      <c r="F68" s="165" t="s">
        <v>11</v>
      </c>
      <c r="G68" s="165" t="s">
        <v>8</v>
      </c>
      <c r="H68" s="165" t="s">
        <v>241</v>
      </c>
      <c r="I68" s="165" t="s">
        <v>3803</v>
      </c>
      <c r="J68" s="165" t="s">
        <v>4011</v>
      </c>
      <c r="K68" s="165"/>
      <c r="L68" s="165"/>
      <c r="M68" s="165"/>
      <c r="N68" s="165"/>
      <c r="O68" s="165"/>
      <c r="P68" s="165"/>
      <c r="Q68" s="165"/>
      <c r="R68" s="165"/>
      <c r="S68" s="165" t="s">
        <v>3902</v>
      </c>
      <c r="T68" s="165"/>
      <c r="U68" s="165"/>
      <c r="V68" s="165"/>
      <c r="W68" s="165"/>
      <c r="X68" s="165" t="s">
        <v>2428</v>
      </c>
      <c r="Y68">
        <v>2</v>
      </c>
      <c r="Z68" s="165" t="s">
        <v>3903</v>
      </c>
      <c r="AA68" s="165" t="s">
        <v>3811</v>
      </c>
      <c r="AB68" s="165" t="s">
        <v>3810</v>
      </c>
      <c r="AC68" s="165" t="s">
        <v>3809</v>
      </c>
      <c r="AD68" s="165" t="s">
        <v>4038</v>
      </c>
      <c r="AE68">
        <v>31</v>
      </c>
      <c r="AF68" s="165" t="s">
        <v>4035</v>
      </c>
      <c r="AG68">
        <v>296</v>
      </c>
      <c r="AH68">
        <v>276</v>
      </c>
      <c r="AI68">
        <v>32.6</v>
      </c>
      <c r="AJ68">
        <v>30.6</v>
      </c>
      <c r="AK68" s="165" t="s">
        <v>4036</v>
      </c>
      <c r="AN68">
        <v>4</v>
      </c>
      <c r="AO68">
        <v>6</v>
      </c>
      <c r="AP68">
        <v>24</v>
      </c>
      <c r="AQ68" s="165" t="s">
        <v>3815</v>
      </c>
      <c r="AR68" t="s">
        <v>3870</v>
      </c>
      <c r="AS68" s="165" t="s">
        <v>30</v>
      </c>
      <c r="AT68" t="s">
        <v>5291</v>
      </c>
      <c r="AU68" t="s">
        <v>5291</v>
      </c>
    </row>
    <row r="69" spans="1:47" hidden="1" x14ac:dyDescent="0.25">
      <c r="A69" s="165" t="s">
        <v>1170</v>
      </c>
      <c r="B69" s="165" t="s">
        <v>4043</v>
      </c>
      <c r="C69" s="165" t="s">
        <v>23</v>
      </c>
      <c r="D69" s="165" t="s">
        <v>1171</v>
      </c>
      <c r="E69" s="165" t="s">
        <v>4044</v>
      </c>
      <c r="F69" s="165" t="s">
        <v>11</v>
      </c>
      <c r="G69" s="165" t="s">
        <v>8</v>
      </c>
      <c r="H69" s="165" t="s">
        <v>263</v>
      </c>
      <c r="I69" s="165" t="s">
        <v>3803</v>
      </c>
      <c r="J69" s="165" t="s">
        <v>3804</v>
      </c>
      <c r="K69" s="165"/>
      <c r="L69" s="165"/>
      <c r="M69" s="165"/>
      <c r="N69" s="165" t="s">
        <v>3805</v>
      </c>
      <c r="O69" s="165"/>
      <c r="P69" s="165"/>
      <c r="Q69" s="165"/>
      <c r="R69" s="165"/>
      <c r="S69" s="165"/>
      <c r="T69" s="165" t="s">
        <v>3806</v>
      </c>
      <c r="U69" s="165" t="s">
        <v>3807</v>
      </c>
      <c r="V69" s="165"/>
      <c r="W69" s="165"/>
      <c r="X69" s="165"/>
      <c r="Y69">
        <v>3</v>
      </c>
      <c r="Z69" s="165" t="s">
        <v>3808</v>
      </c>
      <c r="AA69" s="165" t="s">
        <v>3809</v>
      </c>
      <c r="AB69" s="165" t="s">
        <v>3810</v>
      </c>
      <c r="AC69" s="165" t="s">
        <v>3811</v>
      </c>
      <c r="AD69" s="165" t="s">
        <v>4038</v>
      </c>
      <c r="AE69">
        <v>31</v>
      </c>
      <c r="AF69" s="165" t="s">
        <v>4035</v>
      </c>
      <c r="AG69">
        <v>296</v>
      </c>
      <c r="AH69">
        <v>276</v>
      </c>
      <c r="AI69">
        <v>32.6</v>
      </c>
      <c r="AJ69">
        <v>30.6</v>
      </c>
      <c r="AK69" s="165" t="s">
        <v>4036</v>
      </c>
      <c r="AN69">
        <v>4</v>
      </c>
      <c r="AO69">
        <v>6</v>
      </c>
      <c r="AP69">
        <v>24</v>
      </c>
      <c r="AQ69" s="165" t="s">
        <v>3815</v>
      </c>
      <c r="AR69" t="s">
        <v>4045</v>
      </c>
      <c r="AS69" s="165" t="s">
        <v>174</v>
      </c>
      <c r="AT69" t="s">
        <v>5291</v>
      </c>
      <c r="AU69" t="s">
        <v>5291</v>
      </c>
    </row>
    <row r="70" spans="1:47" hidden="1" x14ac:dyDescent="0.25">
      <c r="A70" s="165" t="s">
        <v>1041</v>
      </c>
      <c r="B70" s="165" t="s">
        <v>4046</v>
      </c>
      <c r="C70" s="165" t="s">
        <v>23</v>
      </c>
      <c r="D70" s="165" t="s">
        <v>1042</v>
      </c>
      <c r="E70" s="165" t="s">
        <v>4047</v>
      </c>
      <c r="F70" s="165" t="s">
        <v>3850</v>
      </c>
      <c r="G70" s="165" t="s">
        <v>3878</v>
      </c>
      <c r="H70" s="165" t="s">
        <v>263</v>
      </c>
      <c r="I70" s="165" t="s">
        <v>3806</v>
      </c>
      <c r="J70" s="165" t="s">
        <v>4033</v>
      </c>
      <c r="K70" s="165"/>
      <c r="L70" s="165"/>
      <c r="M70" s="165"/>
      <c r="N70" s="165" t="s">
        <v>3805</v>
      </c>
      <c r="O70" s="165"/>
      <c r="P70" s="165"/>
      <c r="Q70" s="165"/>
      <c r="R70" s="165"/>
      <c r="S70" s="165"/>
      <c r="T70" s="165" t="s">
        <v>3806</v>
      </c>
      <c r="U70" s="165" t="s">
        <v>3807</v>
      </c>
      <c r="V70" s="165"/>
      <c r="W70" s="165"/>
      <c r="X70" s="165"/>
      <c r="Y70">
        <v>3</v>
      </c>
      <c r="Z70" s="165" t="s">
        <v>3808</v>
      </c>
      <c r="AA70" s="165" t="s">
        <v>3809</v>
      </c>
      <c r="AB70" s="165" t="s">
        <v>3810</v>
      </c>
      <c r="AC70" s="165" t="s">
        <v>3811</v>
      </c>
      <c r="AD70" s="165" t="s">
        <v>4038</v>
      </c>
      <c r="AE70">
        <v>31</v>
      </c>
      <c r="AF70" s="165" t="s">
        <v>4035</v>
      </c>
      <c r="AG70">
        <v>296</v>
      </c>
      <c r="AH70">
        <v>276</v>
      </c>
      <c r="AI70">
        <v>32.6</v>
      </c>
      <c r="AJ70">
        <v>30.6</v>
      </c>
      <c r="AK70" s="165" t="s">
        <v>4036</v>
      </c>
      <c r="AN70">
        <v>4</v>
      </c>
      <c r="AO70">
        <v>6</v>
      </c>
      <c r="AP70">
        <v>24</v>
      </c>
      <c r="AQ70" s="165" t="s">
        <v>3815</v>
      </c>
      <c r="AR70" t="s">
        <v>3830</v>
      </c>
      <c r="AS70" s="165" t="s">
        <v>174</v>
      </c>
      <c r="AT70" t="s">
        <v>5291</v>
      </c>
      <c r="AU70" t="s">
        <v>5291</v>
      </c>
    </row>
    <row r="71" spans="1:47" hidden="1" x14ac:dyDescent="0.25">
      <c r="A71" s="165" t="s">
        <v>1822</v>
      </c>
      <c r="B71" s="165" t="s">
        <v>4048</v>
      </c>
      <c r="C71" s="165" t="s">
        <v>23</v>
      </c>
      <c r="D71" s="165" t="s">
        <v>1823</v>
      </c>
      <c r="E71" s="165" t="s">
        <v>4049</v>
      </c>
      <c r="F71" s="165" t="s">
        <v>3850</v>
      </c>
      <c r="G71" s="165" t="s">
        <v>3878</v>
      </c>
      <c r="H71" s="165" t="s">
        <v>263</v>
      </c>
      <c r="I71" s="165" t="s">
        <v>3806</v>
      </c>
      <c r="J71" s="165" t="s">
        <v>4033</v>
      </c>
      <c r="K71" s="165"/>
      <c r="L71" s="165"/>
      <c r="M71" s="165"/>
      <c r="N71" s="165" t="s">
        <v>3805</v>
      </c>
      <c r="O71" s="165"/>
      <c r="P71" s="165"/>
      <c r="Q71" s="165"/>
      <c r="R71" s="165"/>
      <c r="S71" s="165"/>
      <c r="T71" s="165" t="s">
        <v>3806</v>
      </c>
      <c r="U71" s="165" t="s">
        <v>3807</v>
      </c>
      <c r="V71" s="165"/>
      <c r="W71" s="165"/>
      <c r="X71" s="165"/>
      <c r="Y71">
        <v>3</v>
      </c>
      <c r="Z71" s="165" t="s">
        <v>3808</v>
      </c>
      <c r="AA71" s="165" t="s">
        <v>3809</v>
      </c>
      <c r="AB71" s="165" t="s">
        <v>3810</v>
      </c>
      <c r="AC71" s="165" t="s">
        <v>3811</v>
      </c>
      <c r="AD71" s="165" t="s">
        <v>4038</v>
      </c>
      <c r="AE71">
        <v>31</v>
      </c>
      <c r="AF71" s="165" t="s">
        <v>4035</v>
      </c>
      <c r="AG71">
        <v>296</v>
      </c>
      <c r="AH71">
        <v>276</v>
      </c>
      <c r="AI71">
        <v>32.6</v>
      </c>
      <c r="AJ71">
        <v>30.6</v>
      </c>
      <c r="AK71" s="165" t="s">
        <v>4036</v>
      </c>
      <c r="AN71">
        <v>4</v>
      </c>
      <c r="AO71">
        <v>6</v>
      </c>
      <c r="AP71">
        <v>24</v>
      </c>
      <c r="AQ71" s="165" t="s">
        <v>3815</v>
      </c>
      <c r="AR71" t="s">
        <v>3909</v>
      </c>
      <c r="AS71" s="165" t="s">
        <v>174</v>
      </c>
      <c r="AT71" t="s">
        <v>5291</v>
      </c>
      <c r="AU71" t="s">
        <v>5291</v>
      </c>
    </row>
    <row r="72" spans="1:47" hidden="1" x14ac:dyDescent="0.25">
      <c r="A72" s="165" t="s">
        <v>1351</v>
      </c>
      <c r="B72" s="165" t="s">
        <v>3387</v>
      </c>
      <c r="C72" s="165" t="s">
        <v>23</v>
      </c>
      <c r="D72" s="165" t="s">
        <v>1352</v>
      </c>
      <c r="E72" s="165" t="s">
        <v>4049</v>
      </c>
      <c r="F72" s="165" t="s">
        <v>3850</v>
      </c>
      <c r="G72" s="165" t="s">
        <v>3878</v>
      </c>
      <c r="H72" s="165" t="s">
        <v>263</v>
      </c>
      <c r="I72" s="165" t="s">
        <v>3806</v>
      </c>
      <c r="J72" s="165" t="s">
        <v>4033</v>
      </c>
      <c r="K72" s="165"/>
      <c r="L72" s="165"/>
      <c r="M72" s="165"/>
      <c r="N72" s="165" t="s">
        <v>3805</v>
      </c>
      <c r="O72" s="165"/>
      <c r="P72" s="165"/>
      <c r="Q72" s="165"/>
      <c r="R72" s="165"/>
      <c r="S72" s="165"/>
      <c r="T72" s="165" t="s">
        <v>3806</v>
      </c>
      <c r="U72" s="165" t="s">
        <v>3807</v>
      </c>
      <c r="V72" s="165"/>
      <c r="W72" s="165"/>
      <c r="X72" s="165"/>
      <c r="Y72">
        <v>3</v>
      </c>
      <c r="Z72" s="165" t="s">
        <v>3808</v>
      </c>
      <c r="AA72" s="165" t="s">
        <v>3809</v>
      </c>
      <c r="AB72" s="165" t="s">
        <v>3810</v>
      </c>
      <c r="AC72" s="165" t="s">
        <v>3811</v>
      </c>
      <c r="AD72" s="165" t="s">
        <v>4038</v>
      </c>
      <c r="AE72">
        <v>31</v>
      </c>
      <c r="AF72" s="165" t="s">
        <v>4035</v>
      </c>
      <c r="AG72">
        <v>296</v>
      </c>
      <c r="AH72">
        <v>276</v>
      </c>
      <c r="AI72">
        <v>32.6</v>
      </c>
      <c r="AJ72">
        <v>30.6</v>
      </c>
      <c r="AK72" s="165" t="s">
        <v>4036</v>
      </c>
      <c r="AN72">
        <v>4</v>
      </c>
      <c r="AO72">
        <v>6</v>
      </c>
      <c r="AP72">
        <v>24</v>
      </c>
      <c r="AQ72" s="165" t="s">
        <v>3815</v>
      </c>
      <c r="AR72" t="s">
        <v>3830</v>
      </c>
      <c r="AS72" s="165" t="s">
        <v>174</v>
      </c>
      <c r="AT72" t="s">
        <v>5291</v>
      </c>
      <c r="AU72" t="s">
        <v>5291</v>
      </c>
    </row>
    <row r="73" spans="1:47" hidden="1" x14ac:dyDescent="0.25">
      <c r="A73" s="165" t="s">
        <v>4050</v>
      </c>
      <c r="B73" s="165" t="s">
        <v>4051</v>
      </c>
      <c r="C73" s="165" t="s">
        <v>23</v>
      </c>
      <c r="D73" s="165" t="s">
        <v>4052</v>
      </c>
      <c r="E73" s="165" t="s">
        <v>3886</v>
      </c>
      <c r="F73" s="165" t="s">
        <v>11</v>
      </c>
      <c r="G73" s="165" t="s">
        <v>8</v>
      </c>
      <c r="H73" s="165" t="s">
        <v>263</v>
      </c>
      <c r="I73" s="165" t="s">
        <v>3803</v>
      </c>
      <c r="J73" s="165" t="s">
        <v>3804</v>
      </c>
      <c r="K73" s="165"/>
      <c r="L73" s="165"/>
      <c r="M73" s="165"/>
      <c r="N73" s="165" t="s">
        <v>3805</v>
      </c>
      <c r="O73" s="165"/>
      <c r="P73" s="165"/>
      <c r="Q73" s="165"/>
      <c r="R73" s="165"/>
      <c r="S73" s="165"/>
      <c r="T73" s="165" t="s">
        <v>3806</v>
      </c>
      <c r="U73" s="165" t="s">
        <v>3807</v>
      </c>
      <c r="V73" s="165"/>
      <c r="W73" s="165"/>
      <c r="X73" s="165" t="s">
        <v>2428</v>
      </c>
      <c r="Y73">
        <v>4</v>
      </c>
      <c r="Z73" s="165" t="s">
        <v>4053</v>
      </c>
      <c r="AA73" s="165" t="s">
        <v>3809</v>
      </c>
      <c r="AB73" s="165" t="s">
        <v>3810</v>
      </c>
      <c r="AC73" s="165" t="s">
        <v>3811</v>
      </c>
      <c r="AD73" s="165" t="s">
        <v>4038</v>
      </c>
      <c r="AE73">
        <v>31</v>
      </c>
      <c r="AF73" s="165" t="s">
        <v>4035</v>
      </c>
      <c r="AG73">
        <v>296</v>
      </c>
      <c r="AH73">
        <v>276</v>
      </c>
      <c r="AI73">
        <v>32.6</v>
      </c>
      <c r="AJ73">
        <v>30.6</v>
      </c>
      <c r="AK73" s="165" t="s">
        <v>4036</v>
      </c>
      <c r="AN73">
        <v>4</v>
      </c>
      <c r="AO73">
        <v>6</v>
      </c>
      <c r="AP73">
        <v>24</v>
      </c>
      <c r="AQ73" s="165" t="s">
        <v>3815</v>
      </c>
      <c r="AR73" t="s">
        <v>3956</v>
      </c>
      <c r="AS73" s="165" t="s">
        <v>174</v>
      </c>
      <c r="AT73" t="s">
        <v>5291</v>
      </c>
      <c r="AU73" t="s">
        <v>5291</v>
      </c>
    </row>
    <row r="74" spans="1:47" hidden="1" x14ac:dyDescent="0.25">
      <c r="A74" s="165" t="s">
        <v>1449</v>
      </c>
      <c r="B74" s="165" t="s">
        <v>4054</v>
      </c>
      <c r="C74" s="165" t="s">
        <v>23</v>
      </c>
      <c r="D74" s="165" t="s">
        <v>1450</v>
      </c>
      <c r="E74" s="165" t="s">
        <v>4055</v>
      </c>
      <c r="F74" s="165" t="s">
        <v>11</v>
      </c>
      <c r="G74" s="165" t="s">
        <v>8</v>
      </c>
      <c r="H74" s="165" t="s">
        <v>263</v>
      </c>
      <c r="I74" s="165" t="s">
        <v>3803</v>
      </c>
      <c r="J74" s="165" t="s">
        <v>3804</v>
      </c>
      <c r="K74" s="165"/>
      <c r="L74" s="165"/>
      <c r="M74" s="165"/>
      <c r="N74" s="165" t="s">
        <v>3805</v>
      </c>
      <c r="O74" s="165"/>
      <c r="P74" s="165"/>
      <c r="Q74" s="165"/>
      <c r="R74" s="165"/>
      <c r="S74" s="165"/>
      <c r="T74" s="165" t="s">
        <v>3806</v>
      </c>
      <c r="U74" s="165" t="s">
        <v>3807</v>
      </c>
      <c r="V74" s="165"/>
      <c r="W74" s="165"/>
      <c r="X74" s="165"/>
      <c r="Y74">
        <v>3</v>
      </c>
      <c r="Z74" s="165" t="s">
        <v>3808</v>
      </c>
      <c r="AA74" s="165" t="s">
        <v>3809</v>
      </c>
      <c r="AB74" s="165" t="s">
        <v>3810</v>
      </c>
      <c r="AC74" s="165" t="s">
        <v>3811</v>
      </c>
      <c r="AD74" s="165" t="s">
        <v>4038</v>
      </c>
      <c r="AE74">
        <v>31</v>
      </c>
      <c r="AF74" s="165" t="s">
        <v>4035</v>
      </c>
      <c r="AG74">
        <v>296</v>
      </c>
      <c r="AH74">
        <v>276</v>
      </c>
      <c r="AI74">
        <v>32.6</v>
      </c>
      <c r="AJ74">
        <v>30.6</v>
      </c>
      <c r="AK74" s="165" t="s">
        <v>4036</v>
      </c>
      <c r="AN74">
        <v>4</v>
      </c>
      <c r="AO74">
        <v>6</v>
      </c>
      <c r="AP74">
        <v>24</v>
      </c>
      <c r="AQ74" s="165" t="s">
        <v>3815</v>
      </c>
      <c r="AR74" t="s">
        <v>3949</v>
      </c>
      <c r="AS74" s="165" t="s">
        <v>174</v>
      </c>
      <c r="AT74" t="s">
        <v>5291</v>
      </c>
      <c r="AU74" t="s">
        <v>5291</v>
      </c>
    </row>
    <row r="75" spans="1:47" hidden="1" x14ac:dyDescent="0.25">
      <c r="A75" s="165" t="s">
        <v>1452</v>
      </c>
      <c r="B75" s="165" t="s">
        <v>4056</v>
      </c>
      <c r="C75" s="165" t="s">
        <v>23</v>
      </c>
      <c r="D75" s="165" t="s">
        <v>1453</v>
      </c>
      <c r="E75" s="165" t="s">
        <v>4055</v>
      </c>
      <c r="F75" s="165" t="s">
        <v>11</v>
      </c>
      <c r="G75" s="165" t="s">
        <v>8</v>
      </c>
      <c r="H75" s="165" t="s">
        <v>263</v>
      </c>
      <c r="I75" s="165" t="s">
        <v>3803</v>
      </c>
      <c r="J75" s="165" t="s">
        <v>3804</v>
      </c>
      <c r="K75" s="165"/>
      <c r="L75" s="165"/>
      <c r="M75" s="165"/>
      <c r="N75" s="165" t="s">
        <v>3805</v>
      </c>
      <c r="O75" s="165"/>
      <c r="P75" s="165"/>
      <c r="Q75" s="165"/>
      <c r="R75" s="165"/>
      <c r="S75" s="165"/>
      <c r="T75" s="165" t="s">
        <v>3806</v>
      </c>
      <c r="U75" s="165" t="s">
        <v>3807</v>
      </c>
      <c r="V75" s="165"/>
      <c r="W75" s="165"/>
      <c r="X75" s="165"/>
      <c r="Y75">
        <v>3</v>
      </c>
      <c r="Z75" s="165" t="s">
        <v>3808</v>
      </c>
      <c r="AA75" s="165" t="s">
        <v>3809</v>
      </c>
      <c r="AB75" s="165" t="s">
        <v>3810</v>
      </c>
      <c r="AC75" s="165" t="s">
        <v>3811</v>
      </c>
      <c r="AD75" s="165" t="s">
        <v>4038</v>
      </c>
      <c r="AE75">
        <v>31</v>
      </c>
      <c r="AF75" s="165" t="s">
        <v>4035</v>
      </c>
      <c r="AG75">
        <v>296</v>
      </c>
      <c r="AH75">
        <v>276</v>
      </c>
      <c r="AI75">
        <v>32.6</v>
      </c>
      <c r="AJ75">
        <v>30.6</v>
      </c>
      <c r="AK75" s="165" t="s">
        <v>4036</v>
      </c>
      <c r="AN75">
        <v>4</v>
      </c>
      <c r="AO75">
        <v>6</v>
      </c>
      <c r="AP75">
        <v>24</v>
      </c>
      <c r="AQ75" s="165" t="s">
        <v>3815</v>
      </c>
      <c r="AR75" t="s">
        <v>3949</v>
      </c>
      <c r="AS75" s="165" t="s">
        <v>174</v>
      </c>
      <c r="AT75" t="s">
        <v>5291</v>
      </c>
      <c r="AU75" t="s">
        <v>5291</v>
      </c>
    </row>
    <row r="76" spans="1:47" hidden="1" x14ac:dyDescent="0.25">
      <c r="A76" s="165" t="s">
        <v>2970</v>
      </c>
      <c r="B76" s="165" t="s">
        <v>4057</v>
      </c>
      <c r="C76" s="165" t="s">
        <v>23</v>
      </c>
      <c r="D76" s="165" t="s">
        <v>2971</v>
      </c>
      <c r="E76" s="165" t="s">
        <v>4055</v>
      </c>
      <c r="F76" s="165" t="s">
        <v>11</v>
      </c>
      <c r="G76" s="165" t="s">
        <v>8</v>
      </c>
      <c r="H76" s="165" t="s">
        <v>263</v>
      </c>
      <c r="I76" s="165" t="s">
        <v>3803</v>
      </c>
      <c r="J76" s="165" t="s">
        <v>3804</v>
      </c>
      <c r="K76" s="165"/>
      <c r="L76" s="165"/>
      <c r="M76" s="165"/>
      <c r="N76" s="165" t="s">
        <v>3805</v>
      </c>
      <c r="O76" s="165"/>
      <c r="P76" s="165"/>
      <c r="Q76" s="165"/>
      <c r="R76" s="165"/>
      <c r="S76" s="165"/>
      <c r="T76" s="165" t="s">
        <v>3806</v>
      </c>
      <c r="U76" s="165" t="s">
        <v>3807</v>
      </c>
      <c r="V76" s="165"/>
      <c r="W76" s="165"/>
      <c r="X76" s="165"/>
      <c r="Y76">
        <v>3</v>
      </c>
      <c r="Z76" s="165" t="s">
        <v>3808</v>
      </c>
      <c r="AA76" s="165" t="s">
        <v>3809</v>
      </c>
      <c r="AB76" s="165" t="s">
        <v>3810</v>
      </c>
      <c r="AC76" s="165" t="s">
        <v>3811</v>
      </c>
      <c r="AD76" s="165" t="s">
        <v>4038</v>
      </c>
      <c r="AE76">
        <v>31</v>
      </c>
      <c r="AF76" s="165" t="s">
        <v>4035</v>
      </c>
      <c r="AG76">
        <v>296</v>
      </c>
      <c r="AH76">
        <v>276</v>
      </c>
      <c r="AI76">
        <v>32.6</v>
      </c>
      <c r="AJ76">
        <v>30.6</v>
      </c>
      <c r="AK76" s="165" t="s">
        <v>4036</v>
      </c>
      <c r="AN76">
        <v>4</v>
      </c>
      <c r="AO76">
        <v>6</v>
      </c>
      <c r="AP76">
        <v>24</v>
      </c>
      <c r="AQ76" s="165" t="s">
        <v>3815</v>
      </c>
      <c r="AR76" t="s">
        <v>3949</v>
      </c>
      <c r="AS76" s="165" t="s">
        <v>174</v>
      </c>
      <c r="AT76" t="s">
        <v>5291</v>
      </c>
      <c r="AU76" t="s">
        <v>5291</v>
      </c>
    </row>
    <row r="77" spans="1:47" hidden="1" x14ac:dyDescent="0.25">
      <c r="A77" s="165" t="s">
        <v>969</v>
      </c>
      <c r="B77" s="165" t="s">
        <v>3353</v>
      </c>
      <c r="C77" s="165" t="s">
        <v>23</v>
      </c>
      <c r="D77" s="165" t="s">
        <v>970</v>
      </c>
      <c r="E77" s="165" t="s">
        <v>4058</v>
      </c>
      <c r="F77" s="165" t="s">
        <v>11</v>
      </c>
      <c r="G77" s="165" t="s">
        <v>8</v>
      </c>
      <c r="H77" s="165" t="s">
        <v>241</v>
      </c>
      <c r="I77" s="165" t="s">
        <v>3803</v>
      </c>
      <c r="J77" s="165" t="s">
        <v>4011</v>
      </c>
      <c r="K77" s="165"/>
      <c r="L77" s="165"/>
      <c r="M77" s="165"/>
      <c r="N77" s="165"/>
      <c r="O77" s="165"/>
      <c r="P77" s="165"/>
      <c r="Q77" s="165"/>
      <c r="R77" s="165"/>
      <c r="S77" s="165" t="s">
        <v>3902</v>
      </c>
      <c r="T77" s="165"/>
      <c r="U77" s="165"/>
      <c r="V77" s="165"/>
      <c r="W77" s="165"/>
      <c r="X77" s="165" t="s">
        <v>2428</v>
      </c>
      <c r="Y77">
        <v>2</v>
      </c>
      <c r="Z77" s="165" t="s">
        <v>3903</v>
      </c>
      <c r="AA77" s="165" t="s">
        <v>3811</v>
      </c>
      <c r="AB77" s="165" t="s">
        <v>3810</v>
      </c>
      <c r="AC77" s="165" t="s">
        <v>3809</v>
      </c>
      <c r="AD77" s="165" t="s">
        <v>3857</v>
      </c>
      <c r="AE77">
        <v>42</v>
      </c>
      <c r="AF77" s="165" t="s">
        <v>3858</v>
      </c>
      <c r="AG77">
        <v>315</v>
      </c>
      <c r="AH77">
        <v>284</v>
      </c>
      <c r="AI77">
        <v>34.5</v>
      </c>
      <c r="AJ77">
        <v>31.4</v>
      </c>
      <c r="AK77" s="165" t="s">
        <v>3859</v>
      </c>
      <c r="AN77">
        <v>4</v>
      </c>
      <c r="AO77">
        <v>6</v>
      </c>
      <c r="AP77">
        <v>24</v>
      </c>
      <c r="AQ77" s="165" t="s">
        <v>3815</v>
      </c>
      <c r="AR77" t="s">
        <v>3884</v>
      </c>
      <c r="AS77" s="165" t="s">
        <v>30</v>
      </c>
      <c r="AT77" t="s">
        <v>5291</v>
      </c>
      <c r="AU77" t="s">
        <v>5291</v>
      </c>
    </row>
    <row r="78" spans="1:47" hidden="1" x14ac:dyDescent="0.25">
      <c r="A78" s="165" t="s">
        <v>1353</v>
      </c>
      <c r="B78" s="165" t="s">
        <v>3435</v>
      </c>
      <c r="C78" s="165" t="s">
        <v>23</v>
      </c>
      <c r="D78" s="165" t="s">
        <v>1354</v>
      </c>
      <c r="E78" s="165" t="s">
        <v>4049</v>
      </c>
      <c r="F78" s="165" t="s">
        <v>11</v>
      </c>
      <c r="G78" s="165" t="s">
        <v>8</v>
      </c>
      <c r="H78" s="165" t="s">
        <v>263</v>
      </c>
      <c r="I78" s="165" t="s">
        <v>3803</v>
      </c>
      <c r="J78" s="165" t="s">
        <v>3804</v>
      </c>
      <c r="K78" s="165"/>
      <c r="L78" s="165"/>
      <c r="M78" s="165"/>
      <c r="N78" s="165" t="s">
        <v>3805</v>
      </c>
      <c r="O78" s="165"/>
      <c r="P78" s="165"/>
      <c r="Q78" s="165"/>
      <c r="R78" s="165"/>
      <c r="S78" s="165"/>
      <c r="T78" s="165" t="s">
        <v>3806</v>
      </c>
      <c r="U78" s="165" t="s">
        <v>3807</v>
      </c>
      <c r="V78" s="165"/>
      <c r="W78" s="165"/>
      <c r="X78" s="165"/>
      <c r="Y78">
        <v>3</v>
      </c>
      <c r="Z78" s="165" t="s">
        <v>3808</v>
      </c>
      <c r="AA78" s="165" t="s">
        <v>3809</v>
      </c>
      <c r="AB78" s="165" t="s">
        <v>3810</v>
      </c>
      <c r="AC78" s="165" t="s">
        <v>3811</v>
      </c>
      <c r="AD78" s="165" t="s">
        <v>3857</v>
      </c>
      <c r="AE78">
        <v>42</v>
      </c>
      <c r="AF78" s="165" t="s">
        <v>3858</v>
      </c>
      <c r="AG78">
        <v>315</v>
      </c>
      <c r="AH78">
        <v>284</v>
      </c>
      <c r="AI78">
        <v>34.5</v>
      </c>
      <c r="AJ78">
        <v>31.4</v>
      </c>
      <c r="AK78" s="165" t="s">
        <v>3859</v>
      </c>
      <c r="AN78">
        <v>4</v>
      </c>
      <c r="AO78">
        <v>6</v>
      </c>
      <c r="AP78">
        <v>24</v>
      </c>
      <c r="AQ78" s="165" t="s">
        <v>3815</v>
      </c>
      <c r="AR78" t="s">
        <v>3855</v>
      </c>
      <c r="AS78" s="165" t="s">
        <v>174</v>
      </c>
      <c r="AT78" t="s">
        <v>5291</v>
      </c>
      <c r="AU78" t="s">
        <v>5291</v>
      </c>
    </row>
    <row r="79" spans="1:47" hidden="1" x14ac:dyDescent="0.25">
      <c r="A79" s="165" t="s">
        <v>1634</v>
      </c>
      <c r="B79" s="165" t="s">
        <v>3412</v>
      </c>
      <c r="C79" s="165" t="s">
        <v>23</v>
      </c>
      <c r="D79" s="165" t="s">
        <v>1635</v>
      </c>
      <c r="E79" s="165" t="s">
        <v>4049</v>
      </c>
      <c r="F79" s="165" t="s">
        <v>11</v>
      </c>
      <c r="G79" s="165" t="s">
        <v>8</v>
      </c>
      <c r="H79" s="165" t="s">
        <v>263</v>
      </c>
      <c r="I79" s="165" t="s">
        <v>3803</v>
      </c>
      <c r="J79" s="165" t="s">
        <v>3804</v>
      </c>
      <c r="K79" s="165"/>
      <c r="L79" s="165"/>
      <c r="M79" s="165"/>
      <c r="N79" s="165" t="s">
        <v>3805</v>
      </c>
      <c r="O79" s="165"/>
      <c r="P79" s="165"/>
      <c r="Q79" s="165"/>
      <c r="R79" s="165"/>
      <c r="S79" s="165"/>
      <c r="T79" s="165" t="s">
        <v>3806</v>
      </c>
      <c r="U79" s="165" t="s">
        <v>3807</v>
      </c>
      <c r="V79" s="165"/>
      <c r="W79" s="165"/>
      <c r="X79" s="165"/>
      <c r="Y79">
        <v>3</v>
      </c>
      <c r="Z79" s="165" t="s">
        <v>3808</v>
      </c>
      <c r="AA79" s="165" t="s">
        <v>3809</v>
      </c>
      <c r="AB79" s="165" t="s">
        <v>3810</v>
      </c>
      <c r="AC79" s="165" t="s">
        <v>3811</v>
      </c>
      <c r="AD79" s="165" t="s">
        <v>3857</v>
      </c>
      <c r="AE79">
        <v>42</v>
      </c>
      <c r="AF79" s="165" t="s">
        <v>3858</v>
      </c>
      <c r="AG79">
        <v>315</v>
      </c>
      <c r="AH79">
        <v>284</v>
      </c>
      <c r="AI79">
        <v>34.5</v>
      </c>
      <c r="AJ79">
        <v>31.4</v>
      </c>
      <c r="AK79" s="165" t="s">
        <v>3859</v>
      </c>
      <c r="AN79">
        <v>4</v>
      </c>
      <c r="AO79">
        <v>6</v>
      </c>
      <c r="AP79">
        <v>24</v>
      </c>
      <c r="AQ79" s="165" t="s">
        <v>3815</v>
      </c>
      <c r="AR79" t="s">
        <v>3830</v>
      </c>
      <c r="AS79" s="165" t="s">
        <v>174</v>
      </c>
      <c r="AT79" t="s">
        <v>5291</v>
      </c>
      <c r="AU79" t="s">
        <v>5291</v>
      </c>
    </row>
    <row r="80" spans="1:47" hidden="1" x14ac:dyDescent="0.25">
      <c r="A80" s="165" t="s">
        <v>1436</v>
      </c>
      <c r="B80" s="165" t="s">
        <v>4059</v>
      </c>
      <c r="C80" s="165" t="s">
        <v>2471</v>
      </c>
      <c r="D80" s="165" t="s">
        <v>4060</v>
      </c>
      <c r="E80" s="165" t="s">
        <v>4061</v>
      </c>
      <c r="F80" s="165" t="s">
        <v>11</v>
      </c>
      <c r="G80" s="165" t="s">
        <v>8</v>
      </c>
      <c r="H80" s="165" t="s">
        <v>263</v>
      </c>
      <c r="I80" s="165" t="s">
        <v>3803</v>
      </c>
      <c r="J80" s="165" t="s">
        <v>3804</v>
      </c>
      <c r="K80" s="165"/>
      <c r="L80" s="165"/>
      <c r="M80" s="165"/>
      <c r="N80" s="165" t="s">
        <v>3805</v>
      </c>
      <c r="O80" s="165"/>
      <c r="P80" s="165"/>
      <c r="Q80" s="165"/>
      <c r="R80" s="165"/>
      <c r="S80" s="165"/>
      <c r="T80" s="165" t="s">
        <v>3806</v>
      </c>
      <c r="U80" s="165" t="s">
        <v>3807</v>
      </c>
      <c r="V80" s="165"/>
      <c r="W80" s="165"/>
      <c r="X80" s="165"/>
      <c r="Y80">
        <v>3</v>
      </c>
      <c r="Z80" s="165" t="s">
        <v>3808</v>
      </c>
      <c r="AA80" s="165" t="s">
        <v>3809</v>
      </c>
      <c r="AB80" s="165" t="s">
        <v>3810</v>
      </c>
      <c r="AC80" s="165" t="s">
        <v>3811</v>
      </c>
      <c r="AD80" s="165" t="s">
        <v>4062</v>
      </c>
      <c r="AE80">
        <v>58</v>
      </c>
      <c r="AF80" s="165" t="s">
        <v>4063</v>
      </c>
      <c r="AG80">
        <v>31</v>
      </c>
      <c r="AH80">
        <v>272</v>
      </c>
      <c r="AI80">
        <v>34</v>
      </c>
      <c r="AJ80">
        <v>30.2</v>
      </c>
      <c r="AK80" s="165" t="s">
        <v>4064</v>
      </c>
      <c r="AN80">
        <v>3</v>
      </c>
      <c r="AO80">
        <v>6</v>
      </c>
      <c r="AP80">
        <v>18</v>
      </c>
      <c r="AQ80" s="165" t="s">
        <v>3815</v>
      </c>
      <c r="AR80" t="s">
        <v>3830</v>
      </c>
      <c r="AS80" s="165" t="s">
        <v>174</v>
      </c>
      <c r="AT80" t="s">
        <v>5291</v>
      </c>
      <c r="AU80" t="s">
        <v>3809</v>
      </c>
    </row>
    <row r="81" spans="1:47" hidden="1" x14ac:dyDescent="0.25">
      <c r="A81" s="165" t="s">
        <v>803</v>
      </c>
      <c r="B81" s="165" t="s">
        <v>4065</v>
      </c>
      <c r="C81" s="165" t="s">
        <v>23</v>
      </c>
      <c r="D81" s="165" t="s">
        <v>804</v>
      </c>
      <c r="E81" s="165" t="s">
        <v>4066</v>
      </c>
      <c r="F81" s="165" t="s">
        <v>13</v>
      </c>
      <c r="G81" s="165" t="s">
        <v>8</v>
      </c>
      <c r="H81" s="165" t="s">
        <v>241</v>
      </c>
      <c r="I81" s="165" t="s">
        <v>3864</v>
      </c>
      <c r="J81" s="165" t="s">
        <v>3901</v>
      </c>
      <c r="K81" s="165"/>
      <c r="L81" s="165"/>
      <c r="M81" s="165"/>
      <c r="N81" s="165"/>
      <c r="O81" s="165"/>
      <c r="P81" s="165"/>
      <c r="Q81" s="165"/>
      <c r="R81" s="165"/>
      <c r="S81" s="165" t="s">
        <v>3902</v>
      </c>
      <c r="T81" s="165"/>
      <c r="U81" s="165"/>
      <c r="V81" s="165"/>
      <c r="W81" s="165"/>
      <c r="X81" s="165" t="s">
        <v>2428</v>
      </c>
      <c r="Y81">
        <v>2</v>
      </c>
      <c r="Z81" s="165" t="s">
        <v>3903</v>
      </c>
      <c r="AA81" s="165" t="s">
        <v>3811</v>
      </c>
      <c r="AB81" s="165" t="s">
        <v>3810</v>
      </c>
      <c r="AC81" s="165" t="s">
        <v>3809</v>
      </c>
      <c r="AD81" s="165" t="s">
        <v>4067</v>
      </c>
      <c r="AE81">
        <v>25</v>
      </c>
      <c r="AF81" s="165" t="s">
        <v>4068</v>
      </c>
      <c r="AG81">
        <v>50</v>
      </c>
      <c r="AH81">
        <v>326</v>
      </c>
      <c r="AI81">
        <v>53</v>
      </c>
      <c r="AJ81">
        <v>35.6</v>
      </c>
      <c r="AK81" s="165" t="s">
        <v>4069</v>
      </c>
      <c r="AN81">
        <v>6</v>
      </c>
      <c r="AO81">
        <v>4</v>
      </c>
      <c r="AP81">
        <v>24</v>
      </c>
      <c r="AQ81" s="165" t="s">
        <v>3815</v>
      </c>
      <c r="AR81" t="s">
        <v>3998</v>
      </c>
      <c r="AS81" s="165" t="s">
        <v>30</v>
      </c>
      <c r="AT81" t="s">
        <v>5291</v>
      </c>
      <c r="AU81" t="s">
        <v>5291</v>
      </c>
    </row>
    <row r="82" spans="1:47" hidden="1" x14ac:dyDescent="0.25">
      <c r="A82" s="165" t="s">
        <v>1035</v>
      </c>
      <c r="B82" s="165" t="s">
        <v>88</v>
      </c>
      <c r="C82" s="165" t="s">
        <v>23</v>
      </c>
      <c r="D82" s="165" t="s">
        <v>1036</v>
      </c>
      <c r="E82" s="165" t="s">
        <v>4070</v>
      </c>
      <c r="F82" s="165" t="s">
        <v>106</v>
      </c>
      <c r="G82" s="165" t="s">
        <v>8</v>
      </c>
      <c r="H82" s="165" t="s">
        <v>251</v>
      </c>
      <c r="I82" s="165" t="s">
        <v>3805</v>
      </c>
      <c r="J82" s="165" t="s">
        <v>3818</v>
      </c>
      <c r="K82" s="165"/>
      <c r="L82" s="165"/>
      <c r="M82" s="165"/>
      <c r="N82" s="165" t="s">
        <v>3805</v>
      </c>
      <c r="O82" s="165"/>
      <c r="P82" s="165"/>
      <c r="Q82" s="165"/>
      <c r="R82" s="165"/>
      <c r="S82" s="165"/>
      <c r="T82" s="165"/>
      <c r="U82" s="165" t="s">
        <v>3807</v>
      </c>
      <c r="V82" s="165" t="s">
        <v>3821</v>
      </c>
      <c r="W82" s="165" t="s">
        <v>3822</v>
      </c>
      <c r="X82" s="165"/>
      <c r="Y82">
        <v>4</v>
      </c>
      <c r="Z82" s="165" t="s">
        <v>4071</v>
      </c>
      <c r="AA82" s="165" t="s">
        <v>3809</v>
      </c>
      <c r="AB82" s="165" t="s">
        <v>3810</v>
      </c>
      <c r="AC82" s="165" t="s">
        <v>3811</v>
      </c>
      <c r="AD82" s="165" t="s">
        <v>3824</v>
      </c>
      <c r="AE82">
        <v>49</v>
      </c>
      <c r="AF82" s="165" t="s">
        <v>3825</v>
      </c>
      <c r="AG82">
        <v>333</v>
      </c>
      <c r="AH82">
        <v>327</v>
      </c>
      <c r="AI82">
        <v>36.299999999999997</v>
      </c>
      <c r="AJ82">
        <v>35.700000000000003</v>
      </c>
      <c r="AK82" s="165" t="s">
        <v>3826</v>
      </c>
      <c r="AN82">
        <v>1</v>
      </c>
      <c r="AO82">
        <v>6</v>
      </c>
      <c r="AP82">
        <v>6</v>
      </c>
      <c r="AQ82" s="165" t="s">
        <v>3815</v>
      </c>
      <c r="AR82" t="s">
        <v>3930</v>
      </c>
      <c r="AS82" s="165" t="s">
        <v>174</v>
      </c>
      <c r="AT82" t="s">
        <v>5291</v>
      </c>
      <c r="AU82" t="s">
        <v>5291</v>
      </c>
    </row>
    <row r="83" spans="1:47" hidden="1" x14ac:dyDescent="0.25">
      <c r="A83" s="165" t="s">
        <v>1176</v>
      </c>
      <c r="B83" s="165" t="s">
        <v>4072</v>
      </c>
      <c r="C83" s="165" t="s">
        <v>23</v>
      </c>
      <c r="D83" s="165" t="s">
        <v>1177</v>
      </c>
      <c r="E83" s="165" t="s">
        <v>4073</v>
      </c>
      <c r="F83" s="165" t="s">
        <v>106</v>
      </c>
      <c r="G83" s="165" t="s">
        <v>8</v>
      </c>
      <c r="H83" s="165" t="s">
        <v>251</v>
      </c>
      <c r="I83" s="165" t="s">
        <v>3805</v>
      </c>
      <c r="J83" s="165" t="s">
        <v>3818</v>
      </c>
      <c r="K83" s="165"/>
      <c r="L83" s="165"/>
      <c r="M83" s="165"/>
      <c r="N83" s="165" t="s">
        <v>3805</v>
      </c>
      <c r="O83" s="165"/>
      <c r="P83" s="165"/>
      <c r="Q83" s="165"/>
      <c r="R83" s="165"/>
      <c r="S83" s="165"/>
      <c r="T83" s="165"/>
      <c r="U83" s="165" t="s">
        <v>3807</v>
      </c>
      <c r="V83" s="165" t="s">
        <v>3821</v>
      </c>
      <c r="W83" s="165" t="s">
        <v>3822</v>
      </c>
      <c r="X83" s="165"/>
      <c r="Y83">
        <v>4</v>
      </c>
      <c r="Z83" s="165" t="s">
        <v>4071</v>
      </c>
      <c r="AA83" s="165" t="s">
        <v>3809</v>
      </c>
      <c r="AB83" s="165" t="s">
        <v>3810</v>
      </c>
      <c r="AC83" s="165" t="s">
        <v>3811</v>
      </c>
      <c r="AD83" s="165" t="s">
        <v>3824</v>
      </c>
      <c r="AE83">
        <v>49</v>
      </c>
      <c r="AF83" s="165" t="s">
        <v>3825</v>
      </c>
      <c r="AG83">
        <v>333</v>
      </c>
      <c r="AH83">
        <v>327</v>
      </c>
      <c r="AI83">
        <v>36.299999999999997</v>
      </c>
      <c r="AJ83">
        <v>35.700000000000003</v>
      </c>
      <c r="AK83" s="165" t="s">
        <v>3826</v>
      </c>
      <c r="AN83">
        <v>1</v>
      </c>
      <c r="AO83">
        <v>6</v>
      </c>
      <c r="AP83">
        <v>6</v>
      </c>
      <c r="AQ83" s="165" t="s">
        <v>3815</v>
      </c>
      <c r="AR83" t="s">
        <v>3860</v>
      </c>
      <c r="AS83" s="165" t="s">
        <v>174</v>
      </c>
      <c r="AT83" t="s">
        <v>5291</v>
      </c>
      <c r="AU83" t="s">
        <v>5291</v>
      </c>
    </row>
    <row r="84" spans="1:47" hidden="1" x14ac:dyDescent="0.25">
      <c r="A84" s="165" t="s">
        <v>1268</v>
      </c>
      <c r="B84" s="165" t="s">
        <v>4074</v>
      </c>
      <c r="C84" s="165" t="s">
        <v>23</v>
      </c>
      <c r="D84" s="165" t="s">
        <v>1269</v>
      </c>
      <c r="E84" s="165" t="s">
        <v>4075</v>
      </c>
      <c r="F84" s="165" t="s">
        <v>106</v>
      </c>
      <c r="G84" s="165" t="s">
        <v>8</v>
      </c>
      <c r="H84" s="165" t="s">
        <v>251</v>
      </c>
      <c r="I84" s="165" t="s">
        <v>3805</v>
      </c>
      <c r="J84" s="165" t="s">
        <v>3818</v>
      </c>
      <c r="K84" s="165"/>
      <c r="L84" s="165"/>
      <c r="M84" s="165"/>
      <c r="N84" s="165" t="s">
        <v>3805</v>
      </c>
      <c r="O84" s="165"/>
      <c r="P84" s="165"/>
      <c r="Q84" s="165"/>
      <c r="R84" s="165"/>
      <c r="S84" s="165"/>
      <c r="T84" s="165"/>
      <c r="U84" s="165" t="s">
        <v>3807</v>
      </c>
      <c r="V84" s="165" t="s">
        <v>3821</v>
      </c>
      <c r="W84" s="165" t="s">
        <v>3822</v>
      </c>
      <c r="X84" s="165"/>
      <c r="Y84">
        <v>4</v>
      </c>
      <c r="Z84" s="165" t="s">
        <v>4071</v>
      </c>
      <c r="AA84" s="165" t="s">
        <v>3809</v>
      </c>
      <c r="AB84" s="165" t="s">
        <v>3810</v>
      </c>
      <c r="AC84" s="165" t="s">
        <v>3811</v>
      </c>
      <c r="AD84" s="165" t="s">
        <v>3824</v>
      </c>
      <c r="AE84">
        <v>49</v>
      </c>
      <c r="AF84" s="165" t="s">
        <v>3825</v>
      </c>
      <c r="AG84">
        <v>333</v>
      </c>
      <c r="AH84">
        <v>327</v>
      </c>
      <c r="AI84">
        <v>36.299999999999997</v>
      </c>
      <c r="AJ84">
        <v>35.700000000000003</v>
      </c>
      <c r="AK84" s="165" t="s">
        <v>3826</v>
      </c>
      <c r="AN84">
        <v>1</v>
      </c>
      <c r="AO84">
        <v>6</v>
      </c>
      <c r="AP84">
        <v>6</v>
      </c>
      <c r="AQ84" s="165" t="s">
        <v>3815</v>
      </c>
      <c r="AR84" t="s">
        <v>4076</v>
      </c>
      <c r="AS84" s="165" t="s">
        <v>174</v>
      </c>
      <c r="AT84" t="s">
        <v>5291</v>
      </c>
      <c r="AU84" t="s">
        <v>5291</v>
      </c>
    </row>
    <row r="85" spans="1:47" hidden="1" x14ac:dyDescent="0.25">
      <c r="A85" s="165" t="s">
        <v>1306</v>
      </c>
      <c r="B85" s="165" t="s">
        <v>4077</v>
      </c>
      <c r="C85" s="165" t="s">
        <v>23</v>
      </c>
      <c r="D85" s="165" t="s">
        <v>1307</v>
      </c>
      <c r="E85" s="165" t="s">
        <v>2104</v>
      </c>
      <c r="F85" s="165" t="s">
        <v>106</v>
      </c>
      <c r="G85" s="165" t="s">
        <v>8</v>
      </c>
      <c r="H85" s="165" t="s">
        <v>251</v>
      </c>
      <c r="I85" s="165" t="s">
        <v>3805</v>
      </c>
      <c r="J85" s="165" t="s">
        <v>3818</v>
      </c>
      <c r="K85" s="165"/>
      <c r="L85" s="165"/>
      <c r="M85" s="165"/>
      <c r="N85" s="165" t="s">
        <v>3805</v>
      </c>
      <c r="O85" s="165"/>
      <c r="P85" s="165"/>
      <c r="Q85" s="165"/>
      <c r="R85" s="165"/>
      <c r="S85" s="165"/>
      <c r="T85" s="165"/>
      <c r="U85" s="165" t="s">
        <v>3807</v>
      </c>
      <c r="V85" s="165" t="s">
        <v>3821</v>
      </c>
      <c r="W85" s="165" t="s">
        <v>3822</v>
      </c>
      <c r="X85" s="165"/>
      <c r="Y85">
        <v>4</v>
      </c>
      <c r="Z85" s="165" t="s">
        <v>4071</v>
      </c>
      <c r="AA85" s="165" t="s">
        <v>3809</v>
      </c>
      <c r="AB85" s="165" t="s">
        <v>3810</v>
      </c>
      <c r="AC85" s="165" t="s">
        <v>3811</v>
      </c>
      <c r="AD85" s="165" t="s">
        <v>3824</v>
      </c>
      <c r="AE85">
        <v>49</v>
      </c>
      <c r="AF85" s="165" t="s">
        <v>3825</v>
      </c>
      <c r="AG85">
        <v>333</v>
      </c>
      <c r="AH85">
        <v>327</v>
      </c>
      <c r="AI85">
        <v>36.299999999999997</v>
      </c>
      <c r="AJ85">
        <v>35.700000000000003</v>
      </c>
      <c r="AK85" s="165" t="s">
        <v>3826</v>
      </c>
      <c r="AN85">
        <v>1</v>
      </c>
      <c r="AO85">
        <v>6</v>
      </c>
      <c r="AP85">
        <v>6</v>
      </c>
      <c r="AQ85" s="165" t="s">
        <v>3815</v>
      </c>
      <c r="AR85" t="s">
        <v>4078</v>
      </c>
      <c r="AS85" s="165" t="s">
        <v>174</v>
      </c>
      <c r="AT85" t="s">
        <v>5291</v>
      </c>
      <c r="AU85" t="s">
        <v>5291</v>
      </c>
    </row>
    <row r="86" spans="1:47" hidden="1" x14ac:dyDescent="0.25">
      <c r="A86" s="165" t="s">
        <v>4079</v>
      </c>
      <c r="B86" s="165" t="s">
        <v>4080</v>
      </c>
      <c r="C86" s="165" t="s">
        <v>23</v>
      </c>
      <c r="D86" s="165" t="s">
        <v>4081</v>
      </c>
      <c r="E86" s="165" t="s">
        <v>3991</v>
      </c>
      <c r="F86" s="165" t="s">
        <v>9</v>
      </c>
      <c r="G86" s="165" t="s">
        <v>8</v>
      </c>
      <c r="H86" s="165" t="s">
        <v>263</v>
      </c>
      <c r="I86" s="165" t="s">
        <v>3820</v>
      </c>
      <c r="J86" s="165" t="s">
        <v>4082</v>
      </c>
      <c r="K86" s="165"/>
      <c r="L86" s="165"/>
      <c r="M86" s="165"/>
      <c r="N86" s="165" t="s">
        <v>3805</v>
      </c>
      <c r="O86" s="165"/>
      <c r="P86" s="165"/>
      <c r="Q86" s="165"/>
      <c r="R86" s="165"/>
      <c r="S86" s="165"/>
      <c r="T86" s="165" t="s">
        <v>3806</v>
      </c>
      <c r="U86" s="165" t="s">
        <v>3807</v>
      </c>
      <c r="V86" s="165"/>
      <c r="W86" s="165"/>
      <c r="X86" s="165"/>
      <c r="Y86">
        <v>3</v>
      </c>
      <c r="Z86" s="165" t="s">
        <v>3808</v>
      </c>
      <c r="AA86" s="165" t="s">
        <v>3809</v>
      </c>
      <c r="AB86" s="165" t="s">
        <v>3810</v>
      </c>
      <c r="AC86" s="165" t="s">
        <v>3811</v>
      </c>
      <c r="AD86" s="165" t="s">
        <v>4083</v>
      </c>
      <c r="AE86">
        <v>68</v>
      </c>
      <c r="AF86" s="165" t="s">
        <v>4084</v>
      </c>
      <c r="AG86">
        <v>342</v>
      </c>
      <c r="AH86">
        <v>346</v>
      </c>
      <c r="AI86">
        <v>37.200000000000003</v>
      </c>
      <c r="AJ86">
        <v>37.6</v>
      </c>
      <c r="AK86" s="165" t="s">
        <v>4085</v>
      </c>
      <c r="AN86">
        <v>1</v>
      </c>
      <c r="AO86">
        <v>6</v>
      </c>
      <c r="AP86">
        <v>6</v>
      </c>
      <c r="AQ86" s="165" t="s">
        <v>3815</v>
      </c>
      <c r="AR86" t="s">
        <v>3956</v>
      </c>
      <c r="AS86" s="165" t="s">
        <v>174</v>
      </c>
      <c r="AT86" t="s">
        <v>5291</v>
      </c>
      <c r="AU86" t="s">
        <v>5291</v>
      </c>
    </row>
    <row r="87" spans="1:47" hidden="1" x14ac:dyDescent="0.25">
      <c r="A87" s="165" t="s">
        <v>4086</v>
      </c>
      <c r="B87" s="165" t="s">
        <v>4087</v>
      </c>
      <c r="C87" s="165" t="s">
        <v>23</v>
      </c>
      <c r="D87" s="165" t="s">
        <v>4088</v>
      </c>
      <c r="E87" s="165" t="s">
        <v>3991</v>
      </c>
      <c r="F87" s="165" t="s">
        <v>9</v>
      </c>
      <c r="G87" s="165" t="s">
        <v>8</v>
      </c>
      <c r="H87" s="165" t="s">
        <v>2206</v>
      </c>
      <c r="I87" s="165" t="s">
        <v>3820</v>
      </c>
      <c r="J87" s="165" t="s">
        <v>3863</v>
      </c>
      <c r="K87" s="165"/>
      <c r="L87" s="165"/>
      <c r="M87" s="165"/>
      <c r="N87" s="165" t="s">
        <v>3805</v>
      </c>
      <c r="O87" s="165" t="s">
        <v>3864</v>
      </c>
      <c r="P87" s="165" t="s">
        <v>3865</v>
      </c>
      <c r="Q87" s="165"/>
      <c r="R87" s="165"/>
      <c r="S87" s="165"/>
      <c r="T87" s="165"/>
      <c r="U87" s="165" t="s">
        <v>3807</v>
      </c>
      <c r="V87" s="165"/>
      <c r="W87" s="165"/>
      <c r="X87" s="165"/>
      <c r="Y87">
        <v>4</v>
      </c>
      <c r="Z87" s="165" t="s">
        <v>3866</v>
      </c>
      <c r="AA87" s="165" t="s">
        <v>3809</v>
      </c>
      <c r="AB87" s="165" t="s">
        <v>3810</v>
      </c>
      <c r="AC87" s="165" t="s">
        <v>3811</v>
      </c>
      <c r="AD87" s="165" t="s">
        <v>4083</v>
      </c>
      <c r="AE87">
        <v>68</v>
      </c>
      <c r="AF87" s="165" t="s">
        <v>4084</v>
      </c>
      <c r="AG87">
        <v>342</v>
      </c>
      <c r="AH87">
        <v>346</v>
      </c>
      <c r="AI87">
        <v>37.200000000000003</v>
      </c>
      <c r="AJ87">
        <v>37.6</v>
      </c>
      <c r="AK87" s="165" t="s">
        <v>4085</v>
      </c>
      <c r="AN87">
        <v>1</v>
      </c>
      <c r="AO87">
        <v>6</v>
      </c>
      <c r="AP87">
        <v>6</v>
      </c>
      <c r="AQ87" s="165" t="s">
        <v>3815</v>
      </c>
      <c r="AR87" t="s">
        <v>3956</v>
      </c>
      <c r="AS87" s="165" t="s">
        <v>174</v>
      </c>
      <c r="AT87" t="s">
        <v>5291</v>
      </c>
      <c r="AU87" t="s">
        <v>5291</v>
      </c>
    </row>
    <row r="88" spans="1:47" hidden="1" x14ac:dyDescent="0.25">
      <c r="A88" s="165" t="s">
        <v>1288</v>
      </c>
      <c r="B88" s="165" t="s">
        <v>3369</v>
      </c>
      <c r="C88" s="165" t="s">
        <v>23</v>
      </c>
      <c r="D88" s="165" t="s">
        <v>1289</v>
      </c>
      <c r="E88" s="165" t="s">
        <v>3950</v>
      </c>
      <c r="F88" s="165" t="s">
        <v>12</v>
      </c>
      <c r="G88" s="165" t="s">
        <v>8</v>
      </c>
      <c r="H88" s="165" t="s">
        <v>241</v>
      </c>
      <c r="I88" s="165" t="s">
        <v>3803</v>
      </c>
      <c r="J88" s="165" t="s">
        <v>4011</v>
      </c>
      <c r="K88" s="165"/>
      <c r="L88" s="165"/>
      <c r="M88" s="165"/>
      <c r="N88" s="165"/>
      <c r="O88" s="165"/>
      <c r="P88" s="165"/>
      <c r="Q88" s="165"/>
      <c r="R88" s="165"/>
      <c r="S88" s="165" t="s">
        <v>3902</v>
      </c>
      <c r="T88" s="165"/>
      <c r="U88" s="165"/>
      <c r="V88" s="165"/>
      <c r="W88" s="165"/>
      <c r="X88" s="165" t="s">
        <v>2428</v>
      </c>
      <c r="Y88">
        <v>2</v>
      </c>
      <c r="Z88" s="165" t="s">
        <v>3903</v>
      </c>
      <c r="AA88" s="165" t="s">
        <v>3811</v>
      </c>
      <c r="AB88" s="165" t="s">
        <v>3810</v>
      </c>
      <c r="AC88" s="165" t="s">
        <v>3809</v>
      </c>
      <c r="AD88" s="165" t="s">
        <v>4089</v>
      </c>
      <c r="AE88">
        <v>80</v>
      </c>
      <c r="AF88" s="165" t="s">
        <v>4090</v>
      </c>
      <c r="AG88">
        <v>345</v>
      </c>
      <c r="AH88">
        <v>465</v>
      </c>
      <c r="AI88">
        <v>37.5</v>
      </c>
      <c r="AJ88">
        <v>49.5</v>
      </c>
      <c r="AK88" s="165" t="s">
        <v>4091</v>
      </c>
      <c r="AN88">
        <v>2</v>
      </c>
      <c r="AP88">
        <v>0</v>
      </c>
      <c r="AQ88" s="165" t="s">
        <v>3815</v>
      </c>
      <c r="AR88" t="s">
        <v>4092</v>
      </c>
      <c r="AS88" s="165" t="s">
        <v>30</v>
      </c>
      <c r="AT88" t="s">
        <v>5291</v>
      </c>
      <c r="AU88" t="s">
        <v>5291</v>
      </c>
    </row>
    <row r="89" spans="1:47" hidden="1" x14ac:dyDescent="0.25">
      <c r="A89" s="165" t="s">
        <v>745</v>
      </c>
      <c r="B89" s="165" t="s">
        <v>4093</v>
      </c>
      <c r="C89" s="165" t="s">
        <v>23</v>
      </c>
      <c r="D89" s="165" t="s">
        <v>746</v>
      </c>
      <c r="E89" s="165" t="s">
        <v>3900</v>
      </c>
      <c r="F89" s="165" t="s">
        <v>11</v>
      </c>
      <c r="G89" s="165" t="s">
        <v>8</v>
      </c>
      <c r="H89" s="165" t="s">
        <v>241</v>
      </c>
      <c r="I89" s="165" t="s">
        <v>3803</v>
      </c>
      <c r="J89" s="165" t="s">
        <v>4011</v>
      </c>
      <c r="K89" s="165"/>
      <c r="L89" s="165"/>
      <c r="M89" s="165"/>
      <c r="N89" s="165"/>
      <c r="O89" s="165"/>
      <c r="P89" s="165"/>
      <c r="Q89" s="165"/>
      <c r="R89" s="165"/>
      <c r="S89" s="165" t="s">
        <v>3902</v>
      </c>
      <c r="T89" s="165"/>
      <c r="U89" s="165"/>
      <c r="V89" s="165"/>
      <c r="W89" s="165"/>
      <c r="X89" s="165" t="s">
        <v>2428</v>
      </c>
      <c r="Y89">
        <v>2</v>
      </c>
      <c r="Z89" s="165" t="s">
        <v>3903</v>
      </c>
      <c r="AA89" s="165" t="s">
        <v>3811</v>
      </c>
      <c r="AB89" s="165" t="s">
        <v>3810</v>
      </c>
      <c r="AC89" s="165" t="s">
        <v>3809</v>
      </c>
      <c r="AD89" s="165" t="s">
        <v>4094</v>
      </c>
      <c r="AE89">
        <v>30</v>
      </c>
      <c r="AF89" s="165" t="s">
        <v>4095</v>
      </c>
      <c r="AG89">
        <v>44</v>
      </c>
      <c r="AH89">
        <v>345</v>
      </c>
      <c r="AI89">
        <v>47</v>
      </c>
      <c r="AJ89">
        <v>37.5</v>
      </c>
      <c r="AK89" s="165" t="s">
        <v>4096</v>
      </c>
      <c r="AN89">
        <v>2</v>
      </c>
      <c r="AO89">
        <v>4</v>
      </c>
      <c r="AP89">
        <v>8</v>
      </c>
      <c r="AQ89" s="165" t="s">
        <v>3815</v>
      </c>
      <c r="AR89" t="s">
        <v>3998</v>
      </c>
      <c r="AS89" s="165" t="s">
        <v>30</v>
      </c>
      <c r="AT89" t="s">
        <v>5291</v>
      </c>
      <c r="AU89" t="s">
        <v>5291</v>
      </c>
    </row>
    <row r="90" spans="1:47" hidden="1" x14ac:dyDescent="0.25">
      <c r="A90" s="165" t="s">
        <v>4097</v>
      </c>
      <c r="B90" s="165" t="s">
        <v>88</v>
      </c>
      <c r="C90" s="165" t="s">
        <v>23</v>
      </c>
      <c r="D90" s="165" t="s">
        <v>4098</v>
      </c>
      <c r="E90" s="165" t="s">
        <v>4099</v>
      </c>
      <c r="F90" s="165" t="s">
        <v>11</v>
      </c>
      <c r="G90" s="165" t="s">
        <v>8</v>
      </c>
      <c r="H90" s="165" t="s">
        <v>241</v>
      </c>
      <c r="I90" s="165" t="s">
        <v>3803</v>
      </c>
      <c r="J90" s="165" t="s">
        <v>4011</v>
      </c>
      <c r="K90" s="165"/>
      <c r="L90" s="165"/>
      <c r="M90" s="165"/>
      <c r="N90" s="165"/>
      <c r="O90" s="165"/>
      <c r="P90" s="165"/>
      <c r="Q90" s="165"/>
      <c r="R90" s="165"/>
      <c r="S90" s="165" t="s">
        <v>3902</v>
      </c>
      <c r="T90" s="165"/>
      <c r="U90" s="165"/>
      <c r="V90" s="165"/>
      <c r="W90" s="165"/>
      <c r="X90" s="165" t="s">
        <v>2428</v>
      </c>
      <c r="Y90">
        <v>2</v>
      </c>
      <c r="Z90" s="165" t="s">
        <v>3903</v>
      </c>
      <c r="AA90" s="165" t="s">
        <v>3811</v>
      </c>
      <c r="AB90" s="165" t="s">
        <v>3810</v>
      </c>
      <c r="AC90" s="165" t="s">
        <v>3809</v>
      </c>
      <c r="AD90" s="165" t="s">
        <v>4094</v>
      </c>
      <c r="AE90">
        <v>30</v>
      </c>
      <c r="AF90" s="165" t="s">
        <v>4100</v>
      </c>
      <c r="AG90">
        <v>349</v>
      </c>
      <c r="AH90">
        <v>613</v>
      </c>
      <c r="AI90">
        <v>37.9</v>
      </c>
      <c r="AJ90">
        <v>64.3</v>
      </c>
      <c r="AK90" s="165" t="s">
        <v>4101</v>
      </c>
      <c r="AN90">
        <v>3</v>
      </c>
      <c r="AP90">
        <v>0</v>
      </c>
      <c r="AQ90" s="165" t="s">
        <v>3978</v>
      </c>
      <c r="AR90" t="s">
        <v>4102</v>
      </c>
      <c r="AS90" s="165" t="s">
        <v>30</v>
      </c>
      <c r="AT90" t="s">
        <v>5291</v>
      </c>
      <c r="AU90" t="s">
        <v>5291</v>
      </c>
    </row>
    <row r="91" spans="1:47" hidden="1" x14ac:dyDescent="0.25">
      <c r="A91" s="165" t="s">
        <v>4103</v>
      </c>
      <c r="B91" s="165" t="s">
        <v>3828</v>
      </c>
      <c r="C91" s="165" t="s">
        <v>23</v>
      </c>
      <c r="D91" s="165" t="s">
        <v>4104</v>
      </c>
      <c r="E91" s="165" t="s">
        <v>3829</v>
      </c>
      <c r="F91" s="165" t="s">
        <v>11</v>
      </c>
      <c r="G91" s="165" t="s">
        <v>8</v>
      </c>
      <c r="H91" s="165" t="s">
        <v>263</v>
      </c>
      <c r="I91" s="165" t="s">
        <v>3803</v>
      </c>
      <c r="J91" s="165" t="s">
        <v>3804</v>
      </c>
      <c r="K91" s="165"/>
      <c r="L91" s="165"/>
      <c r="M91" s="165"/>
      <c r="N91" s="165" t="s">
        <v>3805</v>
      </c>
      <c r="O91" s="165"/>
      <c r="P91" s="165"/>
      <c r="Q91" s="165"/>
      <c r="R91" s="165"/>
      <c r="S91" s="165"/>
      <c r="T91" s="165" t="s">
        <v>3806</v>
      </c>
      <c r="U91" s="165" t="s">
        <v>3807</v>
      </c>
      <c r="V91" s="165"/>
      <c r="W91" s="165"/>
      <c r="X91" s="165"/>
      <c r="Y91">
        <v>3</v>
      </c>
      <c r="Z91" s="165" t="s">
        <v>3808</v>
      </c>
      <c r="AA91" s="165" t="s">
        <v>3809</v>
      </c>
      <c r="AB91" s="165" t="s">
        <v>3810</v>
      </c>
      <c r="AC91" s="165" t="s">
        <v>3811</v>
      </c>
      <c r="AD91" s="165" t="s">
        <v>4094</v>
      </c>
      <c r="AE91">
        <v>30</v>
      </c>
      <c r="AF91" s="165" t="s">
        <v>4100</v>
      </c>
      <c r="AG91">
        <v>349</v>
      </c>
      <c r="AH91">
        <v>613</v>
      </c>
      <c r="AI91">
        <v>37.9</v>
      </c>
      <c r="AJ91">
        <v>64.3</v>
      </c>
      <c r="AK91" s="165" t="s">
        <v>4101</v>
      </c>
      <c r="AN91">
        <v>3</v>
      </c>
      <c r="AP91">
        <v>0</v>
      </c>
      <c r="AQ91" s="165" t="s">
        <v>3978</v>
      </c>
      <c r="AR91" t="s">
        <v>4102</v>
      </c>
      <c r="AS91" s="165" t="s">
        <v>174</v>
      </c>
      <c r="AT91" t="s">
        <v>5291</v>
      </c>
      <c r="AU91" t="s">
        <v>5291</v>
      </c>
    </row>
    <row r="92" spans="1:47" hidden="1" x14ac:dyDescent="0.25">
      <c r="A92" s="165" t="s">
        <v>1083</v>
      </c>
      <c r="B92" s="165" t="s">
        <v>3459</v>
      </c>
      <c r="C92" s="165" t="s">
        <v>23</v>
      </c>
      <c r="D92" s="165" t="s">
        <v>1084</v>
      </c>
      <c r="E92" s="165" t="s">
        <v>4105</v>
      </c>
      <c r="F92" s="165" t="s">
        <v>2183</v>
      </c>
      <c r="G92" s="165" t="s">
        <v>8</v>
      </c>
      <c r="H92" s="165" t="s">
        <v>241</v>
      </c>
      <c r="I92" s="165" t="s">
        <v>3820</v>
      </c>
      <c r="J92" s="165" t="s">
        <v>4106</v>
      </c>
      <c r="K92" s="165"/>
      <c r="L92" s="165"/>
      <c r="M92" s="165"/>
      <c r="N92" s="165"/>
      <c r="O92" s="165"/>
      <c r="P92" s="165"/>
      <c r="Q92" s="165"/>
      <c r="R92" s="165"/>
      <c r="S92" s="165" t="s">
        <v>3902</v>
      </c>
      <c r="T92" s="165"/>
      <c r="U92" s="165"/>
      <c r="V92" s="165"/>
      <c r="W92" s="165"/>
      <c r="X92" s="165" t="s">
        <v>2428</v>
      </c>
      <c r="Y92">
        <v>2</v>
      </c>
      <c r="Z92" s="165" t="s">
        <v>3903</v>
      </c>
      <c r="AA92" s="165" t="s">
        <v>3811</v>
      </c>
      <c r="AB92" s="165" t="s">
        <v>3810</v>
      </c>
      <c r="AC92" s="165" t="s">
        <v>3809</v>
      </c>
      <c r="AD92" s="165" t="s">
        <v>3881</v>
      </c>
      <c r="AE92">
        <v>1</v>
      </c>
      <c r="AF92" s="165" t="s">
        <v>3882</v>
      </c>
      <c r="AG92">
        <v>34</v>
      </c>
      <c r="AH92">
        <v>29</v>
      </c>
      <c r="AI92">
        <v>37</v>
      </c>
      <c r="AJ92">
        <v>32</v>
      </c>
      <c r="AK92" s="165" t="s">
        <v>3883</v>
      </c>
      <c r="AL92">
        <v>36</v>
      </c>
      <c r="AM92">
        <v>32</v>
      </c>
      <c r="AN92">
        <v>6</v>
      </c>
      <c r="AO92">
        <v>6</v>
      </c>
      <c r="AP92">
        <v>36</v>
      </c>
      <c r="AQ92" s="165" t="s">
        <v>3815</v>
      </c>
      <c r="AR92" t="s">
        <v>3830</v>
      </c>
      <c r="AS92" s="165" t="s">
        <v>30</v>
      </c>
      <c r="AT92" t="s">
        <v>5291</v>
      </c>
      <c r="AU92" t="s">
        <v>5291</v>
      </c>
    </row>
    <row r="93" spans="1:47" hidden="1" x14ac:dyDescent="0.25">
      <c r="A93" s="165" t="s">
        <v>1085</v>
      </c>
      <c r="B93" s="165" t="s">
        <v>4107</v>
      </c>
      <c r="C93" s="165" t="s">
        <v>23</v>
      </c>
      <c r="D93" s="165" t="s">
        <v>4108</v>
      </c>
      <c r="E93" s="165" t="s">
        <v>4105</v>
      </c>
      <c r="F93" s="165" t="s">
        <v>2183</v>
      </c>
      <c r="G93" s="165" t="s">
        <v>8</v>
      </c>
      <c r="H93" s="165" t="s">
        <v>241</v>
      </c>
      <c r="I93" s="165" t="s">
        <v>3820</v>
      </c>
      <c r="J93" s="165" t="s">
        <v>4106</v>
      </c>
      <c r="K93" s="165"/>
      <c r="L93" s="165"/>
      <c r="M93" s="165"/>
      <c r="N93" s="165"/>
      <c r="O93" s="165"/>
      <c r="P93" s="165"/>
      <c r="Q93" s="165"/>
      <c r="R93" s="165"/>
      <c r="S93" s="165" t="s">
        <v>3902</v>
      </c>
      <c r="T93" s="165"/>
      <c r="U93" s="165"/>
      <c r="V93" s="165"/>
      <c r="W93" s="165"/>
      <c r="X93" s="165" t="s">
        <v>2428</v>
      </c>
      <c r="Y93">
        <v>2</v>
      </c>
      <c r="Z93" s="165" t="s">
        <v>3903</v>
      </c>
      <c r="AA93" s="165" t="s">
        <v>3811</v>
      </c>
      <c r="AB93" s="165" t="s">
        <v>3810</v>
      </c>
      <c r="AC93" s="165" t="s">
        <v>3809</v>
      </c>
      <c r="AD93" s="165" t="s">
        <v>3881</v>
      </c>
      <c r="AE93">
        <v>1</v>
      </c>
      <c r="AF93" s="165" t="s">
        <v>3882</v>
      </c>
      <c r="AG93">
        <v>34</v>
      </c>
      <c r="AH93">
        <v>29</v>
      </c>
      <c r="AI93">
        <v>37</v>
      </c>
      <c r="AJ93">
        <v>32</v>
      </c>
      <c r="AK93" s="165" t="s">
        <v>3883</v>
      </c>
      <c r="AL93">
        <v>36</v>
      </c>
      <c r="AM93">
        <v>32</v>
      </c>
      <c r="AN93">
        <v>6</v>
      </c>
      <c r="AO93">
        <v>6</v>
      </c>
      <c r="AP93">
        <v>36</v>
      </c>
      <c r="AQ93" s="165" t="s">
        <v>3815</v>
      </c>
      <c r="AR93" t="s">
        <v>3932</v>
      </c>
      <c r="AS93" s="165" t="s">
        <v>30</v>
      </c>
      <c r="AT93" t="s">
        <v>5291</v>
      </c>
      <c r="AU93" t="s">
        <v>5291</v>
      </c>
    </row>
    <row r="94" spans="1:47" hidden="1" x14ac:dyDescent="0.25">
      <c r="A94" s="165" t="s">
        <v>1079</v>
      </c>
      <c r="B94" s="165" t="s">
        <v>3332</v>
      </c>
      <c r="C94" s="165" t="s">
        <v>23</v>
      </c>
      <c r="D94" s="165" t="s">
        <v>1080</v>
      </c>
      <c r="E94" s="165" t="s">
        <v>4109</v>
      </c>
      <c r="F94" s="165" t="s">
        <v>2183</v>
      </c>
      <c r="G94" s="165" t="s">
        <v>8</v>
      </c>
      <c r="H94" s="165" t="s">
        <v>251</v>
      </c>
      <c r="I94" s="165" t="s">
        <v>3820</v>
      </c>
      <c r="J94" s="165" t="s">
        <v>4110</v>
      </c>
      <c r="K94" s="165"/>
      <c r="L94" s="165"/>
      <c r="M94" s="165"/>
      <c r="N94" s="165" t="s">
        <v>3805</v>
      </c>
      <c r="O94" s="165"/>
      <c r="P94" s="165"/>
      <c r="Q94" s="165"/>
      <c r="R94" s="165"/>
      <c r="S94" s="165"/>
      <c r="T94" s="165"/>
      <c r="U94" s="165" t="s">
        <v>3807</v>
      </c>
      <c r="V94" s="165" t="s">
        <v>3821</v>
      </c>
      <c r="W94" s="165" t="s">
        <v>3822</v>
      </c>
      <c r="X94" s="165"/>
      <c r="Y94">
        <v>4</v>
      </c>
      <c r="Z94" s="165" t="s">
        <v>4071</v>
      </c>
      <c r="AA94" s="165" t="s">
        <v>3809</v>
      </c>
      <c r="AB94" s="165" t="s">
        <v>3810</v>
      </c>
      <c r="AC94" s="165" t="s">
        <v>3811</v>
      </c>
      <c r="AD94" s="165" t="s">
        <v>3881</v>
      </c>
      <c r="AE94">
        <v>1</v>
      </c>
      <c r="AF94" s="165" t="s">
        <v>3882</v>
      </c>
      <c r="AG94">
        <v>34</v>
      </c>
      <c r="AH94">
        <v>29</v>
      </c>
      <c r="AI94">
        <v>37</v>
      </c>
      <c r="AJ94">
        <v>32</v>
      </c>
      <c r="AK94" s="165" t="s">
        <v>3883</v>
      </c>
      <c r="AL94">
        <v>36</v>
      </c>
      <c r="AM94">
        <v>32</v>
      </c>
      <c r="AN94">
        <v>6</v>
      </c>
      <c r="AO94">
        <v>6</v>
      </c>
      <c r="AP94">
        <v>36</v>
      </c>
      <c r="AQ94" s="165" t="s">
        <v>3815</v>
      </c>
      <c r="AR94" t="s">
        <v>4111</v>
      </c>
      <c r="AS94" s="165" t="s">
        <v>174</v>
      </c>
      <c r="AT94" t="s">
        <v>5291</v>
      </c>
      <c r="AU94" t="s">
        <v>5291</v>
      </c>
    </row>
    <row r="95" spans="1:47" hidden="1" x14ac:dyDescent="0.25">
      <c r="A95" s="165" t="s">
        <v>1081</v>
      </c>
      <c r="B95" s="165" t="s">
        <v>4112</v>
      </c>
      <c r="C95" s="165" t="s">
        <v>23</v>
      </c>
      <c r="D95" s="165" t="s">
        <v>4113</v>
      </c>
      <c r="E95" s="165" t="s">
        <v>4109</v>
      </c>
      <c r="F95" s="165" t="s">
        <v>2183</v>
      </c>
      <c r="G95" s="165" t="s">
        <v>8</v>
      </c>
      <c r="H95" s="165" t="s">
        <v>251</v>
      </c>
      <c r="I95" s="165" t="s">
        <v>3820</v>
      </c>
      <c r="J95" s="165" t="s">
        <v>4110</v>
      </c>
      <c r="K95" s="165"/>
      <c r="L95" s="165"/>
      <c r="M95" s="165"/>
      <c r="N95" s="165" t="s">
        <v>3805</v>
      </c>
      <c r="O95" s="165"/>
      <c r="P95" s="165"/>
      <c r="Q95" s="165"/>
      <c r="R95" s="165"/>
      <c r="S95" s="165"/>
      <c r="T95" s="165"/>
      <c r="U95" s="165" t="s">
        <v>3807</v>
      </c>
      <c r="V95" s="165" t="s">
        <v>3821</v>
      </c>
      <c r="W95" s="165" t="s">
        <v>3822</v>
      </c>
      <c r="X95" s="165"/>
      <c r="Y95">
        <v>4</v>
      </c>
      <c r="Z95" s="165" t="s">
        <v>4071</v>
      </c>
      <c r="AA95" s="165" t="s">
        <v>3809</v>
      </c>
      <c r="AB95" s="165" t="s">
        <v>3810</v>
      </c>
      <c r="AC95" s="165" t="s">
        <v>3811</v>
      </c>
      <c r="AD95" s="165" t="s">
        <v>3881</v>
      </c>
      <c r="AE95">
        <v>1</v>
      </c>
      <c r="AF95" s="165" t="s">
        <v>3882</v>
      </c>
      <c r="AG95">
        <v>34</v>
      </c>
      <c r="AH95">
        <v>29</v>
      </c>
      <c r="AI95">
        <v>37</v>
      </c>
      <c r="AJ95">
        <v>32</v>
      </c>
      <c r="AK95" s="165" t="s">
        <v>3883</v>
      </c>
      <c r="AL95">
        <v>36</v>
      </c>
      <c r="AM95">
        <v>32</v>
      </c>
      <c r="AN95">
        <v>6</v>
      </c>
      <c r="AO95">
        <v>6</v>
      </c>
      <c r="AP95">
        <v>36</v>
      </c>
      <c r="AQ95" s="165" t="s">
        <v>3815</v>
      </c>
      <c r="AR95" t="s">
        <v>3830</v>
      </c>
      <c r="AS95" s="165" t="s">
        <v>174</v>
      </c>
      <c r="AT95" t="s">
        <v>5291</v>
      </c>
      <c r="AU95" t="s">
        <v>5291</v>
      </c>
    </row>
    <row r="96" spans="1:47" hidden="1" x14ac:dyDescent="0.25">
      <c r="A96" s="165" t="s">
        <v>1003</v>
      </c>
      <c r="B96" s="165" t="s">
        <v>4114</v>
      </c>
      <c r="C96" s="165" t="s">
        <v>23</v>
      </c>
      <c r="D96" s="165" t="s">
        <v>1004</v>
      </c>
      <c r="E96" s="165" t="s">
        <v>4115</v>
      </c>
      <c r="F96" s="165" t="s">
        <v>11</v>
      </c>
      <c r="G96" s="165" t="s">
        <v>8</v>
      </c>
      <c r="H96" s="165" t="s">
        <v>176</v>
      </c>
      <c r="I96" s="165" t="s">
        <v>3803</v>
      </c>
      <c r="J96" s="165" t="s">
        <v>4116</v>
      </c>
      <c r="K96" s="165"/>
      <c r="L96" s="165"/>
      <c r="M96" s="165"/>
      <c r="N96" s="165"/>
      <c r="O96" s="165"/>
      <c r="P96" s="165"/>
      <c r="Q96" s="165"/>
      <c r="R96" s="165" t="s">
        <v>3842</v>
      </c>
      <c r="S96" s="165"/>
      <c r="T96" s="165"/>
      <c r="U96" s="165" t="s">
        <v>3807</v>
      </c>
      <c r="V96" s="165"/>
      <c r="W96" s="165"/>
      <c r="X96" s="165"/>
      <c r="Y96">
        <v>2</v>
      </c>
      <c r="Z96" s="165" t="s">
        <v>3843</v>
      </c>
      <c r="AA96" s="165" t="s">
        <v>3811</v>
      </c>
      <c r="AB96" s="165" t="s">
        <v>3810</v>
      </c>
      <c r="AC96" s="165" t="s">
        <v>3809</v>
      </c>
      <c r="AD96" s="165" t="s">
        <v>4117</v>
      </c>
      <c r="AE96">
        <v>100</v>
      </c>
      <c r="AF96" s="165" t="s">
        <v>4118</v>
      </c>
      <c r="AG96">
        <v>356</v>
      </c>
      <c r="AH96">
        <v>211</v>
      </c>
      <c r="AI96">
        <v>38.6</v>
      </c>
      <c r="AJ96">
        <v>24.1</v>
      </c>
      <c r="AK96" s="165" t="s">
        <v>4119</v>
      </c>
      <c r="AN96">
        <v>2</v>
      </c>
      <c r="AO96">
        <v>9</v>
      </c>
      <c r="AP96">
        <v>18</v>
      </c>
      <c r="AQ96" s="165" t="s">
        <v>3815</v>
      </c>
      <c r="AR96" t="s">
        <v>4120</v>
      </c>
      <c r="AS96" s="165" t="s">
        <v>30</v>
      </c>
      <c r="AT96" t="s">
        <v>5291</v>
      </c>
      <c r="AU96" t="s">
        <v>5291</v>
      </c>
    </row>
    <row r="97" spans="1:47" hidden="1" x14ac:dyDescent="0.25">
      <c r="A97" s="165" t="s">
        <v>1647</v>
      </c>
      <c r="B97" s="165" t="s">
        <v>3305</v>
      </c>
      <c r="C97" s="165" t="s">
        <v>23</v>
      </c>
      <c r="D97" s="165" t="s">
        <v>1648</v>
      </c>
      <c r="E97" s="165" t="s">
        <v>4121</v>
      </c>
      <c r="F97" s="165" t="s">
        <v>2183</v>
      </c>
      <c r="G97" s="165" t="s">
        <v>8</v>
      </c>
      <c r="H97" s="165" t="s">
        <v>263</v>
      </c>
      <c r="I97" s="165" t="s">
        <v>3820</v>
      </c>
      <c r="J97" s="165" t="s">
        <v>4082</v>
      </c>
      <c r="K97" s="165"/>
      <c r="L97" s="165"/>
      <c r="M97" s="165"/>
      <c r="N97" s="165" t="s">
        <v>3805</v>
      </c>
      <c r="O97" s="165"/>
      <c r="P97" s="165"/>
      <c r="Q97" s="165"/>
      <c r="R97" s="165"/>
      <c r="S97" s="165"/>
      <c r="T97" s="165" t="s">
        <v>3806</v>
      </c>
      <c r="U97" s="165" t="s">
        <v>3807</v>
      </c>
      <c r="V97" s="165"/>
      <c r="W97" s="165"/>
      <c r="X97" s="165"/>
      <c r="Y97">
        <v>3</v>
      </c>
      <c r="Z97" s="165" t="s">
        <v>3808</v>
      </c>
      <c r="AA97" s="165" t="s">
        <v>3809</v>
      </c>
      <c r="AB97" s="165" t="s">
        <v>3810</v>
      </c>
      <c r="AC97" s="165" t="s">
        <v>3811</v>
      </c>
      <c r="AD97" s="165" t="s">
        <v>4122</v>
      </c>
      <c r="AE97">
        <v>113</v>
      </c>
      <c r="AF97" s="165" t="s">
        <v>4123</v>
      </c>
      <c r="AG97">
        <v>365</v>
      </c>
      <c r="AH97">
        <v>262</v>
      </c>
      <c r="AI97">
        <v>39.5</v>
      </c>
      <c r="AJ97">
        <v>29.2</v>
      </c>
      <c r="AK97" s="165" t="s">
        <v>4124</v>
      </c>
      <c r="AN97">
        <v>2</v>
      </c>
      <c r="AO97">
        <v>6</v>
      </c>
      <c r="AP97">
        <v>12</v>
      </c>
      <c r="AQ97" s="165" t="s">
        <v>3815</v>
      </c>
      <c r="AR97" t="s">
        <v>4125</v>
      </c>
      <c r="AS97" s="165" t="s">
        <v>174</v>
      </c>
      <c r="AT97" t="s">
        <v>5291</v>
      </c>
      <c r="AU97" t="s">
        <v>5291</v>
      </c>
    </row>
    <row r="98" spans="1:47" hidden="1" x14ac:dyDescent="0.25">
      <c r="A98" s="165" t="s">
        <v>1140</v>
      </c>
      <c r="B98" s="165" t="s">
        <v>3424</v>
      </c>
      <c r="C98" s="165" t="s">
        <v>23</v>
      </c>
      <c r="D98" s="165" t="s">
        <v>1141</v>
      </c>
      <c r="E98" s="165" t="s">
        <v>4126</v>
      </c>
      <c r="F98" s="165" t="s">
        <v>181</v>
      </c>
      <c r="G98" s="165" t="s">
        <v>8</v>
      </c>
      <c r="H98" s="165" t="s">
        <v>263</v>
      </c>
      <c r="I98" s="165" t="s">
        <v>3864</v>
      </c>
      <c r="J98" s="165" t="s">
        <v>3954</v>
      </c>
      <c r="K98" s="165"/>
      <c r="L98" s="165"/>
      <c r="M98" s="165"/>
      <c r="N98" s="165" t="s">
        <v>3805</v>
      </c>
      <c r="O98" s="165"/>
      <c r="P98" s="165"/>
      <c r="Q98" s="165"/>
      <c r="R98" s="165"/>
      <c r="S98" s="165"/>
      <c r="T98" s="165" t="s">
        <v>3806</v>
      </c>
      <c r="U98" s="165" t="s">
        <v>3807</v>
      </c>
      <c r="V98" s="165"/>
      <c r="W98" s="165"/>
      <c r="X98" s="165"/>
      <c r="Y98">
        <v>3</v>
      </c>
      <c r="Z98" s="165" t="s">
        <v>3808</v>
      </c>
      <c r="AA98" s="165" t="s">
        <v>3809</v>
      </c>
      <c r="AB98" s="165" t="s">
        <v>3810</v>
      </c>
      <c r="AC98" s="165" t="s">
        <v>3811</v>
      </c>
      <c r="AD98" s="165" t="s">
        <v>4127</v>
      </c>
      <c r="AE98">
        <v>32</v>
      </c>
      <c r="AF98" s="165" t="s">
        <v>4128</v>
      </c>
      <c r="AG98">
        <v>369</v>
      </c>
      <c r="AH98">
        <v>19</v>
      </c>
      <c r="AI98">
        <v>39.9</v>
      </c>
      <c r="AJ98">
        <v>22</v>
      </c>
      <c r="AK98" s="165" t="s">
        <v>4129</v>
      </c>
      <c r="AN98">
        <v>2</v>
      </c>
      <c r="AO98">
        <v>8</v>
      </c>
      <c r="AP98">
        <v>16</v>
      </c>
      <c r="AQ98" s="165" t="s">
        <v>3815</v>
      </c>
      <c r="AR98" t="s">
        <v>3830</v>
      </c>
      <c r="AS98" s="165" t="s">
        <v>174</v>
      </c>
      <c r="AT98" t="s">
        <v>5291</v>
      </c>
      <c r="AU98" t="s">
        <v>5291</v>
      </c>
    </row>
    <row r="99" spans="1:47" hidden="1" x14ac:dyDescent="0.25">
      <c r="A99" s="165" t="s">
        <v>1468</v>
      </c>
      <c r="B99" s="165" t="s">
        <v>3317</v>
      </c>
      <c r="C99" s="165" t="s">
        <v>23</v>
      </c>
      <c r="D99" s="165" t="s">
        <v>1469</v>
      </c>
      <c r="E99" s="165" t="s">
        <v>3965</v>
      </c>
      <c r="F99" s="165" t="s">
        <v>181</v>
      </c>
      <c r="G99" s="165" t="s">
        <v>3878</v>
      </c>
      <c r="H99" s="165" t="s">
        <v>263</v>
      </c>
      <c r="I99" s="165" t="s">
        <v>2428</v>
      </c>
      <c r="J99" s="165" t="s">
        <v>4130</v>
      </c>
      <c r="K99" s="165"/>
      <c r="L99" s="165"/>
      <c r="M99" s="165"/>
      <c r="N99" s="165" t="s">
        <v>3805</v>
      </c>
      <c r="O99" s="165"/>
      <c r="P99" s="165"/>
      <c r="Q99" s="165"/>
      <c r="R99" s="165"/>
      <c r="S99" s="165"/>
      <c r="T99" s="165" t="s">
        <v>3806</v>
      </c>
      <c r="U99" s="165" t="s">
        <v>3807</v>
      </c>
      <c r="V99" s="165"/>
      <c r="W99" s="165"/>
      <c r="X99" s="165"/>
      <c r="Y99">
        <v>3</v>
      </c>
      <c r="Z99" s="165" t="s">
        <v>3808</v>
      </c>
      <c r="AA99" s="165" t="s">
        <v>3809</v>
      </c>
      <c r="AB99" s="165" t="s">
        <v>3810</v>
      </c>
      <c r="AC99" s="165" t="s">
        <v>3811</v>
      </c>
      <c r="AD99" s="165" t="s">
        <v>4127</v>
      </c>
      <c r="AE99">
        <v>32</v>
      </c>
      <c r="AF99" s="165" t="s">
        <v>4128</v>
      </c>
      <c r="AG99">
        <v>369</v>
      </c>
      <c r="AH99">
        <v>19</v>
      </c>
      <c r="AI99">
        <v>39.9</v>
      </c>
      <c r="AJ99">
        <v>22</v>
      </c>
      <c r="AK99" s="165" t="s">
        <v>4129</v>
      </c>
      <c r="AN99">
        <v>2</v>
      </c>
      <c r="AO99">
        <v>6</v>
      </c>
      <c r="AP99">
        <v>12</v>
      </c>
      <c r="AQ99" s="165" t="s">
        <v>3815</v>
      </c>
      <c r="AR99" t="s">
        <v>3830</v>
      </c>
      <c r="AS99" s="165" t="s">
        <v>174</v>
      </c>
      <c r="AT99" t="s">
        <v>5291</v>
      </c>
      <c r="AU99" t="s">
        <v>5291</v>
      </c>
    </row>
    <row r="100" spans="1:47" hidden="1" x14ac:dyDescent="0.25">
      <c r="A100" s="165" t="s">
        <v>957</v>
      </c>
      <c r="B100" s="165" t="s">
        <v>3456</v>
      </c>
      <c r="C100" s="165" t="s">
        <v>23</v>
      </c>
      <c r="D100" s="165" t="s">
        <v>958</v>
      </c>
      <c r="E100" s="165" t="s">
        <v>4131</v>
      </c>
      <c r="F100" s="165" t="s">
        <v>12</v>
      </c>
      <c r="G100" s="165" t="s">
        <v>8</v>
      </c>
      <c r="H100" s="165" t="s">
        <v>241</v>
      </c>
      <c r="I100" s="165" t="s">
        <v>3803</v>
      </c>
      <c r="J100" s="165" t="s">
        <v>4011</v>
      </c>
      <c r="K100" s="165"/>
      <c r="L100" s="165"/>
      <c r="M100" s="165"/>
      <c r="N100" s="165"/>
      <c r="O100" s="165"/>
      <c r="P100" s="165"/>
      <c r="Q100" s="165"/>
      <c r="R100" s="165"/>
      <c r="S100" s="165" t="s">
        <v>3902</v>
      </c>
      <c r="T100" s="165"/>
      <c r="U100" s="165"/>
      <c r="V100" s="165"/>
      <c r="W100" s="165"/>
      <c r="X100" s="165" t="s">
        <v>2428</v>
      </c>
      <c r="Y100">
        <v>2</v>
      </c>
      <c r="Z100" s="165" t="s">
        <v>3903</v>
      </c>
      <c r="AA100" s="165" t="s">
        <v>3811</v>
      </c>
      <c r="AB100" s="165" t="s">
        <v>3810</v>
      </c>
      <c r="AC100" s="165" t="s">
        <v>3809</v>
      </c>
      <c r="AD100" s="165" t="s">
        <v>4132</v>
      </c>
      <c r="AE100">
        <v>35</v>
      </c>
      <c r="AF100" s="165" t="s">
        <v>4133</v>
      </c>
      <c r="AG100">
        <v>373</v>
      </c>
      <c r="AH100">
        <v>251</v>
      </c>
      <c r="AI100">
        <v>40.299999999999997</v>
      </c>
      <c r="AJ100">
        <v>28.1</v>
      </c>
      <c r="AK100" s="165" t="s">
        <v>4134</v>
      </c>
      <c r="AN100">
        <v>1</v>
      </c>
      <c r="AO100">
        <v>8</v>
      </c>
      <c r="AP100">
        <v>8</v>
      </c>
      <c r="AQ100" s="165" t="s">
        <v>3815</v>
      </c>
      <c r="AR100" t="s">
        <v>4135</v>
      </c>
      <c r="AS100" s="165" t="s">
        <v>30</v>
      </c>
      <c r="AT100" t="s">
        <v>5291</v>
      </c>
      <c r="AU100" t="s">
        <v>5291</v>
      </c>
    </row>
    <row r="101" spans="1:47" hidden="1" x14ac:dyDescent="0.25">
      <c r="A101" s="165" t="s">
        <v>871</v>
      </c>
      <c r="B101" s="165" t="s">
        <v>3294</v>
      </c>
      <c r="C101" s="165" t="s">
        <v>23</v>
      </c>
      <c r="D101" s="165" t="s">
        <v>872</v>
      </c>
      <c r="E101" s="165" t="s">
        <v>4136</v>
      </c>
      <c r="F101" s="165" t="s">
        <v>4137</v>
      </c>
      <c r="G101" s="165" t="s">
        <v>8</v>
      </c>
      <c r="H101" s="165" t="s">
        <v>263</v>
      </c>
      <c r="I101" s="165" t="s">
        <v>3902</v>
      </c>
      <c r="J101" s="165" t="s">
        <v>4138</v>
      </c>
      <c r="K101" s="165"/>
      <c r="L101" s="165"/>
      <c r="M101" s="165"/>
      <c r="N101" s="165" t="s">
        <v>3805</v>
      </c>
      <c r="O101" s="165"/>
      <c r="P101" s="165"/>
      <c r="Q101" s="165"/>
      <c r="R101" s="165"/>
      <c r="S101" s="165"/>
      <c r="T101" s="165" t="s">
        <v>3806</v>
      </c>
      <c r="U101" s="165" t="s">
        <v>3807</v>
      </c>
      <c r="V101" s="165"/>
      <c r="W101" s="165"/>
      <c r="X101" s="165"/>
      <c r="Y101">
        <v>3</v>
      </c>
      <c r="Z101" s="165" t="s">
        <v>3808</v>
      </c>
      <c r="AA101" s="165" t="s">
        <v>3809</v>
      </c>
      <c r="AB101" s="165" t="s">
        <v>3810</v>
      </c>
      <c r="AC101" s="165" t="s">
        <v>3811</v>
      </c>
      <c r="AD101" s="165" t="s">
        <v>4139</v>
      </c>
      <c r="AE101">
        <v>2</v>
      </c>
      <c r="AF101" s="165" t="s">
        <v>4140</v>
      </c>
      <c r="AG101">
        <v>375</v>
      </c>
      <c r="AH101">
        <v>266</v>
      </c>
      <c r="AI101">
        <v>40.5</v>
      </c>
      <c r="AJ101">
        <v>29.6</v>
      </c>
      <c r="AK101" s="165" t="s">
        <v>4141</v>
      </c>
      <c r="AN101">
        <v>2</v>
      </c>
      <c r="AO101">
        <v>6</v>
      </c>
      <c r="AP101">
        <v>12</v>
      </c>
      <c r="AQ101" s="165" t="s">
        <v>3815</v>
      </c>
      <c r="AR101" t="s">
        <v>3909</v>
      </c>
      <c r="AS101" s="165" t="s">
        <v>174</v>
      </c>
      <c r="AT101" t="s">
        <v>5291</v>
      </c>
      <c r="AU101" t="s">
        <v>5291</v>
      </c>
    </row>
    <row r="102" spans="1:47" hidden="1" x14ac:dyDescent="0.25">
      <c r="A102" s="165" t="s">
        <v>887</v>
      </c>
      <c r="B102" s="165" t="s">
        <v>3364</v>
      </c>
      <c r="C102" s="165" t="s">
        <v>23</v>
      </c>
      <c r="D102" s="165" t="s">
        <v>888</v>
      </c>
      <c r="E102" s="165" t="s">
        <v>4142</v>
      </c>
      <c r="F102" s="165" t="s">
        <v>11</v>
      </c>
      <c r="G102" s="165" t="s">
        <v>8</v>
      </c>
      <c r="H102" s="165" t="s">
        <v>241</v>
      </c>
      <c r="I102" s="165" t="s">
        <v>3803</v>
      </c>
      <c r="J102" s="165" t="s">
        <v>4011</v>
      </c>
      <c r="K102" s="165"/>
      <c r="L102" s="165"/>
      <c r="M102" s="165"/>
      <c r="N102" s="165"/>
      <c r="O102" s="165"/>
      <c r="P102" s="165"/>
      <c r="Q102" s="165"/>
      <c r="R102" s="165"/>
      <c r="S102" s="165" t="s">
        <v>3902</v>
      </c>
      <c r="T102" s="165"/>
      <c r="U102" s="165"/>
      <c r="V102" s="165"/>
      <c r="W102" s="165"/>
      <c r="X102" s="165" t="s">
        <v>2428</v>
      </c>
      <c r="Y102">
        <v>2</v>
      </c>
      <c r="Z102" s="165" t="s">
        <v>3903</v>
      </c>
      <c r="AA102" s="165" t="s">
        <v>3811</v>
      </c>
      <c r="AB102" s="165" t="s">
        <v>3810</v>
      </c>
      <c r="AC102" s="165" t="s">
        <v>3809</v>
      </c>
      <c r="AD102" s="165" t="s">
        <v>4143</v>
      </c>
      <c r="AE102">
        <v>92</v>
      </c>
      <c r="AF102" s="165" t="s">
        <v>4144</v>
      </c>
      <c r="AG102">
        <v>378</v>
      </c>
      <c r="AH102">
        <v>411</v>
      </c>
      <c r="AI102">
        <v>40.799999999999997</v>
      </c>
      <c r="AJ102">
        <v>44.1</v>
      </c>
      <c r="AK102" s="165" t="s">
        <v>4145</v>
      </c>
      <c r="AN102">
        <v>4</v>
      </c>
      <c r="AO102">
        <v>4</v>
      </c>
      <c r="AP102">
        <v>16</v>
      </c>
      <c r="AQ102" s="165" t="s">
        <v>3815</v>
      </c>
      <c r="AR102" t="s">
        <v>4146</v>
      </c>
      <c r="AS102" s="165" t="s">
        <v>30</v>
      </c>
      <c r="AT102" t="s">
        <v>5291</v>
      </c>
      <c r="AU102" t="s">
        <v>5291</v>
      </c>
    </row>
    <row r="103" spans="1:47" hidden="1" x14ac:dyDescent="0.25">
      <c r="A103" s="165" t="s">
        <v>943</v>
      </c>
      <c r="B103" s="165" t="s">
        <v>4147</v>
      </c>
      <c r="C103" s="165" t="s">
        <v>23</v>
      </c>
      <c r="D103" s="165" t="s">
        <v>944</v>
      </c>
      <c r="E103" s="165" t="s">
        <v>4148</v>
      </c>
      <c r="F103" s="165" t="s">
        <v>11</v>
      </c>
      <c r="G103" s="165" t="s">
        <v>8</v>
      </c>
      <c r="H103" s="165" t="s">
        <v>241</v>
      </c>
      <c r="I103" s="165" t="s">
        <v>3803</v>
      </c>
      <c r="J103" s="165" t="s">
        <v>4011</v>
      </c>
      <c r="K103" s="165"/>
      <c r="L103" s="165"/>
      <c r="M103" s="165"/>
      <c r="N103" s="165"/>
      <c r="O103" s="165"/>
      <c r="P103" s="165"/>
      <c r="Q103" s="165"/>
      <c r="R103" s="165"/>
      <c r="S103" s="165" t="s">
        <v>3902</v>
      </c>
      <c r="T103" s="165"/>
      <c r="U103" s="165"/>
      <c r="V103" s="165"/>
      <c r="W103" s="165"/>
      <c r="X103" s="165" t="s">
        <v>2428</v>
      </c>
      <c r="Y103">
        <v>2</v>
      </c>
      <c r="Z103" s="165" t="s">
        <v>3903</v>
      </c>
      <c r="AA103" s="165" t="s">
        <v>3811</v>
      </c>
      <c r="AB103" s="165" t="s">
        <v>3810</v>
      </c>
      <c r="AC103" s="165" t="s">
        <v>3809</v>
      </c>
      <c r="AD103" s="165" t="s">
        <v>4149</v>
      </c>
      <c r="AE103">
        <v>92</v>
      </c>
      <c r="AF103" s="165" t="s">
        <v>4150</v>
      </c>
      <c r="AG103">
        <v>378</v>
      </c>
      <c r="AH103">
        <v>412</v>
      </c>
      <c r="AI103">
        <v>40.799999999999997</v>
      </c>
      <c r="AJ103">
        <v>44.2</v>
      </c>
      <c r="AK103" s="165" t="s">
        <v>4151</v>
      </c>
      <c r="AN103">
        <v>4</v>
      </c>
      <c r="AO103">
        <v>4</v>
      </c>
      <c r="AP103">
        <v>16</v>
      </c>
      <c r="AQ103" s="165" t="s">
        <v>3815</v>
      </c>
      <c r="AR103" t="s">
        <v>3907</v>
      </c>
      <c r="AS103" s="165" t="s">
        <v>30</v>
      </c>
      <c r="AT103" t="s">
        <v>5291</v>
      </c>
      <c r="AU103" t="s">
        <v>5291</v>
      </c>
    </row>
    <row r="104" spans="1:47" hidden="1" x14ac:dyDescent="0.25">
      <c r="A104" s="165" t="s">
        <v>1021</v>
      </c>
      <c r="B104" s="165" t="s">
        <v>4152</v>
      </c>
      <c r="C104" s="165" t="s">
        <v>23</v>
      </c>
      <c r="D104" s="165" t="s">
        <v>1022</v>
      </c>
      <c r="E104" s="165" t="s">
        <v>4153</v>
      </c>
      <c r="F104" s="165" t="s">
        <v>11</v>
      </c>
      <c r="G104" s="165" t="s">
        <v>8</v>
      </c>
      <c r="H104" s="165" t="s">
        <v>241</v>
      </c>
      <c r="I104" s="165" t="s">
        <v>3803</v>
      </c>
      <c r="J104" s="165" t="s">
        <v>4011</v>
      </c>
      <c r="K104" s="165"/>
      <c r="L104" s="165"/>
      <c r="M104" s="165"/>
      <c r="N104" s="165"/>
      <c r="O104" s="165"/>
      <c r="P104" s="165"/>
      <c r="Q104" s="165"/>
      <c r="R104" s="165"/>
      <c r="S104" s="165" t="s">
        <v>3902</v>
      </c>
      <c r="T104" s="165"/>
      <c r="U104" s="165"/>
      <c r="V104" s="165"/>
      <c r="W104" s="165"/>
      <c r="X104" s="165" t="s">
        <v>2428</v>
      </c>
      <c r="Y104">
        <v>2</v>
      </c>
      <c r="Z104" s="165" t="s">
        <v>3903</v>
      </c>
      <c r="AA104" s="165" t="s">
        <v>3811</v>
      </c>
      <c r="AB104" s="165" t="s">
        <v>3810</v>
      </c>
      <c r="AC104" s="165" t="s">
        <v>3809</v>
      </c>
      <c r="AD104" s="165" t="s">
        <v>4149</v>
      </c>
      <c r="AE104">
        <v>92</v>
      </c>
      <c r="AF104" s="165" t="s">
        <v>4150</v>
      </c>
      <c r="AG104">
        <v>378</v>
      </c>
      <c r="AH104">
        <v>412</v>
      </c>
      <c r="AI104">
        <v>40.799999999999997</v>
      </c>
      <c r="AJ104">
        <v>44.2</v>
      </c>
      <c r="AK104" s="165" t="s">
        <v>4151</v>
      </c>
      <c r="AN104">
        <v>4</v>
      </c>
      <c r="AO104">
        <v>4</v>
      </c>
      <c r="AP104">
        <v>16</v>
      </c>
      <c r="AQ104" s="165" t="s">
        <v>3815</v>
      </c>
      <c r="AR104" t="s">
        <v>4154</v>
      </c>
      <c r="AS104" s="165" t="s">
        <v>30</v>
      </c>
      <c r="AT104" t="s">
        <v>5291</v>
      </c>
      <c r="AU104" t="s">
        <v>5291</v>
      </c>
    </row>
    <row r="105" spans="1:47" hidden="1" x14ac:dyDescent="0.25">
      <c r="A105" s="165" t="s">
        <v>1049</v>
      </c>
      <c r="B105" s="165" t="s">
        <v>4155</v>
      </c>
      <c r="C105" s="165" t="s">
        <v>23</v>
      </c>
      <c r="D105" s="165" t="s">
        <v>4156</v>
      </c>
      <c r="E105" s="165" t="s">
        <v>4157</v>
      </c>
      <c r="F105" s="165" t="s">
        <v>11</v>
      </c>
      <c r="G105" s="165" t="s">
        <v>8</v>
      </c>
      <c r="H105" s="165" t="s">
        <v>241</v>
      </c>
      <c r="I105" s="165" t="s">
        <v>3803</v>
      </c>
      <c r="J105" s="165" t="s">
        <v>4011</v>
      </c>
      <c r="K105" s="165"/>
      <c r="L105" s="165"/>
      <c r="M105" s="165"/>
      <c r="N105" s="165"/>
      <c r="O105" s="165"/>
      <c r="P105" s="165"/>
      <c r="Q105" s="165"/>
      <c r="R105" s="165"/>
      <c r="S105" s="165" t="s">
        <v>3902</v>
      </c>
      <c r="T105" s="165"/>
      <c r="U105" s="165"/>
      <c r="V105" s="165"/>
      <c r="W105" s="165"/>
      <c r="X105" s="165" t="s">
        <v>2428</v>
      </c>
      <c r="Y105">
        <v>2</v>
      </c>
      <c r="Z105" s="165" t="s">
        <v>3903</v>
      </c>
      <c r="AA105" s="165" t="s">
        <v>3811</v>
      </c>
      <c r="AB105" s="165" t="s">
        <v>3810</v>
      </c>
      <c r="AC105" s="165" t="s">
        <v>3809</v>
      </c>
      <c r="AD105" s="165" t="s">
        <v>4149</v>
      </c>
      <c r="AE105">
        <v>92</v>
      </c>
      <c r="AF105" s="165" t="s">
        <v>4150</v>
      </c>
      <c r="AG105">
        <v>378</v>
      </c>
      <c r="AH105">
        <v>412</v>
      </c>
      <c r="AI105">
        <v>40.799999999999997</v>
      </c>
      <c r="AJ105">
        <v>44.2</v>
      </c>
      <c r="AK105" s="165" t="s">
        <v>4151</v>
      </c>
      <c r="AN105">
        <v>4</v>
      </c>
      <c r="AO105">
        <v>4</v>
      </c>
      <c r="AP105">
        <v>16</v>
      </c>
      <c r="AQ105" s="165" t="s">
        <v>3815</v>
      </c>
      <c r="AR105" t="s">
        <v>3944</v>
      </c>
      <c r="AS105" s="165" t="s">
        <v>30</v>
      </c>
      <c r="AT105" t="s">
        <v>5291</v>
      </c>
      <c r="AU105" t="s">
        <v>5291</v>
      </c>
    </row>
    <row r="106" spans="1:47" hidden="1" x14ac:dyDescent="0.25">
      <c r="A106" s="165" t="s">
        <v>1716</v>
      </c>
      <c r="B106" s="165" t="s">
        <v>4158</v>
      </c>
      <c r="C106" s="165" t="s">
        <v>23</v>
      </c>
      <c r="D106" s="165" t="s">
        <v>1717</v>
      </c>
      <c r="E106" s="165" t="s">
        <v>4159</v>
      </c>
      <c r="F106" s="165" t="s">
        <v>11</v>
      </c>
      <c r="G106" s="165" t="s">
        <v>8</v>
      </c>
      <c r="H106" s="165" t="s">
        <v>241</v>
      </c>
      <c r="I106" s="165" t="s">
        <v>3803</v>
      </c>
      <c r="J106" s="165" t="s">
        <v>4011</v>
      </c>
      <c r="K106" s="165"/>
      <c r="L106" s="165"/>
      <c r="M106" s="165"/>
      <c r="N106" s="165"/>
      <c r="O106" s="165"/>
      <c r="P106" s="165"/>
      <c r="Q106" s="165"/>
      <c r="R106" s="165"/>
      <c r="S106" s="165" t="s">
        <v>3902</v>
      </c>
      <c r="T106" s="165"/>
      <c r="U106" s="165"/>
      <c r="V106" s="165"/>
      <c r="W106" s="165"/>
      <c r="X106" s="165" t="s">
        <v>2428</v>
      </c>
      <c r="Y106">
        <v>2</v>
      </c>
      <c r="Z106" s="165" t="s">
        <v>3903</v>
      </c>
      <c r="AA106" s="165" t="s">
        <v>3811</v>
      </c>
      <c r="AB106" s="165" t="s">
        <v>3810</v>
      </c>
      <c r="AC106" s="165" t="s">
        <v>3809</v>
      </c>
      <c r="AD106" s="165" t="s">
        <v>4149</v>
      </c>
      <c r="AE106">
        <v>92</v>
      </c>
      <c r="AF106" s="165" t="s">
        <v>4150</v>
      </c>
      <c r="AG106">
        <v>378</v>
      </c>
      <c r="AH106">
        <v>412</v>
      </c>
      <c r="AI106">
        <v>40.799999999999997</v>
      </c>
      <c r="AJ106">
        <v>44.2</v>
      </c>
      <c r="AK106" s="165" t="s">
        <v>4151</v>
      </c>
      <c r="AN106">
        <v>4</v>
      </c>
      <c r="AO106">
        <v>4</v>
      </c>
      <c r="AP106">
        <v>16</v>
      </c>
      <c r="AQ106" s="165" t="s">
        <v>3815</v>
      </c>
      <c r="AR106" t="s">
        <v>4135</v>
      </c>
      <c r="AS106" s="165" t="s">
        <v>30</v>
      </c>
      <c r="AT106" t="s">
        <v>5291</v>
      </c>
      <c r="AU106" t="s">
        <v>5291</v>
      </c>
    </row>
    <row r="107" spans="1:47" hidden="1" x14ac:dyDescent="0.25">
      <c r="A107" s="165" t="s">
        <v>1172</v>
      </c>
      <c r="B107" s="165" t="s">
        <v>4160</v>
      </c>
      <c r="C107" s="165" t="s">
        <v>23</v>
      </c>
      <c r="D107" s="165" t="s">
        <v>1173</v>
      </c>
      <c r="E107" s="165" t="s">
        <v>4161</v>
      </c>
      <c r="F107" s="165" t="s">
        <v>11</v>
      </c>
      <c r="G107" s="165" t="s">
        <v>8</v>
      </c>
      <c r="H107" s="165" t="s">
        <v>241</v>
      </c>
      <c r="I107" s="165" t="s">
        <v>3803</v>
      </c>
      <c r="J107" s="165" t="s">
        <v>4011</v>
      </c>
      <c r="K107" s="165"/>
      <c r="L107" s="165"/>
      <c r="M107" s="165"/>
      <c r="N107" s="165"/>
      <c r="O107" s="165"/>
      <c r="P107" s="165"/>
      <c r="Q107" s="165"/>
      <c r="R107" s="165"/>
      <c r="S107" s="165" t="s">
        <v>3902</v>
      </c>
      <c r="T107" s="165"/>
      <c r="U107" s="165"/>
      <c r="V107" s="165"/>
      <c r="W107" s="165"/>
      <c r="X107" s="165" t="s">
        <v>2428</v>
      </c>
      <c r="Y107">
        <v>2</v>
      </c>
      <c r="Z107" s="165" t="s">
        <v>3903</v>
      </c>
      <c r="AA107" s="165" t="s">
        <v>3811</v>
      </c>
      <c r="AB107" s="165" t="s">
        <v>3810</v>
      </c>
      <c r="AC107" s="165" t="s">
        <v>3809</v>
      </c>
      <c r="AD107" s="165" t="s">
        <v>4149</v>
      </c>
      <c r="AE107">
        <v>92</v>
      </c>
      <c r="AF107" s="165" t="s">
        <v>4150</v>
      </c>
      <c r="AG107">
        <v>378</v>
      </c>
      <c r="AH107">
        <v>412</v>
      </c>
      <c r="AI107">
        <v>40.799999999999997</v>
      </c>
      <c r="AJ107">
        <v>44.2</v>
      </c>
      <c r="AK107" s="165" t="s">
        <v>4151</v>
      </c>
      <c r="AN107">
        <v>4</v>
      </c>
      <c r="AO107">
        <v>4</v>
      </c>
      <c r="AP107">
        <v>16</v>
      </c>
      <c r="AQ107" s="165" t="s">
        <v>3815</v>
      </c>
      <c r="AR107" t="s">
        <v>3944</v>
      </c>
      <c r="AS107" s="165" t="s">
        <v>30</v>
      </c>
      <c r="AT107" t="s">
        <v>5291</v>
      </c>
      <c r="AU107" t="s">
        <v>5291</v>
      </c>
    </row>
    <row r="108" spans="1:47" hidden="1" x14ac:dyDescent="0.25">
      <c r="A108" s="165" t="s">
        <v>1226</v>
      </c>
      <c r="B108" s="165" t="s">
        <v>4162</v>
      </c>
      <c r="C108" s="165" t="s">
        <v>23</v>
      </c>
      <c r="D108" s="165" t="s">
        <v>1227</v>
      </c>
      <c r="E108" s="165" t="s">
        <v>4163</v>
      </c>
      <c r="F108" s="165" t="s">
        <v>11</v>
      </c>
      <c r="G108" s="165" t="s">
        <v>8</v>
      </c>
      <c r="H108" s="165" t="s">
        <v>241</v>
      </c>
      <c r="I108" s="165" t="s">
        <v>3803</v>
      </c>
      <c r="J108" s="165" t="s">
        <v>4011</v>
      </c>
      <c r="K108" s="165"/>
      <c r="L108" s="165"/>
      <c r="M108" s="165"/>
      <c r="N108" s="165"/>
      <c r="O108" s="165"/>
      <c r="P108" s="165"/>
      <c r="Q108" s="165"/>
      <c r="R108" s="165"/>
      <c r="S108" s="165" t="s">
        <v>3902</v>
      </c>
      <c r="T108" s="165"/>
      <c r="U108" s="165"/>
      <c r="V108" s="165"/>
      <c r="W108" s="165"/>
      <c r="X108" s="165" t="s">
        <v>2428</v>
      </c>
      <c r="Y108">
        <v>2</v>
      </c>
      <c r="Z108" s="165" t="s">
        <v>3903</v>
      </c>
      <c r="AA108" s="165" t="s">
        <v>3811</v>
      </c>
      <c r="AB108" s="165" t="s">
        <v>3810</v>
      </c>
      <c r="AC108" s="165" t="s">
        <v>3809</v>
      </c>
      <c r="AD108" s="165" t="s">
        <v>4149</v>
      </c>
      <c r="AE108">
        <v>92</v>
      </c>
      <c r="AF108" s="165" t="s">
        <v>4150</v>
      </c>
      <c r="AG108">
        <v>378</v>
      </c>
      <c r="AH108">
        <v>412</v>
      </c>
      <c r="AI108">
        <v>40.799999999999997</v>
      </c>
      <c r="AJ108">
        <v>44.2</v>
      </c>
      <c r="AK108" s="165" t="s">
        <v>4151</v>
      </c>
      <c r="AN108">
        <v>2</v>
      </c>
      <c r="AO108">
        <v>8</v>
      </c>
      <c r="AP108">
        <v>16</v>
      </c>
      <c r="AQ108" s="165" t="s">
        <v>3815</v>
      </c>
      <c r="AR108" t="s">
        <v>3956</v>
      </c>
      <c r="AS108" s="165" t="s">
        <v>30</v>
      </c>
      <c r="AT108" t="s">
        <v>5291</v>
      </c>
      <c r="AU108" t="s">
        <v>5291</v>
      </c>
    </row>
    <row r="109" spans="1:47" hidden="1" x14ac:dyDescent="0.25">
      <c r="A109" s="165" t="s">
        <v>1232</v>
      </c>
      <c r="B109" s="165" t="s">
        <v>3396</v>
      </c>
      <c r="C109" s="165" t="s">
        <v>23</v>
      </c>
      <c r="D109" s="165" t="s">
        <v>1233</v>
      </c>
      <c r="E109" s="165" t="s">
        <v>4164</v>
      </c>
      <c r="F109" s="165" t="s">
        <v>11</v>
      </c>
      <c r="G109" s="165" t="s">
        <v>8</v>
      </c>
      <c r="H109" s="165" t="s">
        <v>241</v>
      </c>
      <c r="I109" s="165" t="s">
        <v>3803</v>
      </c>
      <c r="J109" s="165" t="s">
        <v>4011</v>
      </c>
      <c r="K109" s="165"/>
      <c r="L109" s="165"/>
      <c r="M109" s="165"/>
      <c r="N109" s="165"/>
      <c r="O109" s="165"/>
      <c r="P109" s="165"/>
      <c r="Q109" s="165"/>
      <c r="R109" s="165"/>
      <c r="S109" s="165" t="s">
        <v>3902</v>
      </c>
      <c r="T109" s="165"/>
      <c r="U109" s="165"/>
      <c r="V109" s="165"/>
      <c r="W109" s="165"/>
      <c r="X109" s="165" t="s">
        <v>2428</v>
      </c>
      <c r="Y109">
        <v>2</v>
      </c>
      <c r="Z109" s="165" t="s">
        <v>3903</v>
      </c>
      <c r="AA109" s="165" t="s">
        <v>3811</v>
      </c>
      <c r="AB109" s="165" t="s">
        <v>3810</v>
      </c>
      <c r="AC109" s="165" t="s">
        <v>3809</v>
      </c>
      <c r="AD109" s="165" t="s">
        <v>4149</v>
      </c>
      <c r="AE109">
        <v>92</v>
      </c>
      <c r="AF109" s="165" t="s">
        <v>4150</v>
      </c>
      <c r="AG109">
        <v>378</v>
      </c>
      <c r="AH109">
        <v>412</v>
      </c>
      <c r="AI109">
        <v>40.799999999999997</v>
      </c>
      <c r="AJ109">
        <v>44.2</v>
      </c>
      <c r="AK109" s="165" t="s">
        <v>4151</v>
      </c>
      <c r="AN109">
        <v>4</v>
      </c>
      <c r="AO109">
        <v>8</v>
      </c>
      <c r="AP109">
        <v>32</v>
      </c>
      <c r="AQ109" s="165" t="s">
        <v>3815</v>
      </c>
      <c r="AR109" t="s">
        <v>4165</v>
      </c>
      <c r="AS109" s="165" t="s">
        <v>30</v>
      </c>
      <c r="AT109" t="s">
        <v>5291</v>
      </c>
      <c r="AU109" t="s">
        <v>5291</v>
      </c>
    </row>
    <row r="110" spans="1:47" hidden="1" x14ac:dyDescent="0.25">
      <c r="A110" s="165" t="s">
        <v>1320</v>
      </c>
      <c r="B110" s="165" t="s">
        <v>4166</v>
      </c>
      <c r="C110" s="165" t="s">
        <v>23</v>
      </c>
      <c r="D110" s="165" t="s">
        <v>1321</v>
      </c>
      <c r="E110" s="165" t="s">
        <v>4167</v>
      </c>
      <c r="F110" s="165" t="s">
        <v>11</v>
      </c>
      <c r="G110" s="165" t="s">
        <v>8</v>
      </c>
      <c r="H110" s="165" t="s">
        <v>241</v>
      </c>
      <c r="I110" s="165" t="s">
        <v>3803</v>
      </c>
      <c r="J110" s="165" t="s">
        <v>4011</v>
      </c>
      <c r="K110" s="165"/>
      <c r="L110" s="165"/>
      <c r="M110" s="165"/>
      <c r="N110" s="165"/>
      <c r="O110" s="165"/>
      <c r="P110" s="165"/>
      <c r="Q110" s="165"/>
      <c r="R110" s="165"/>
      <c r="S110" s="165" t="s">
        <v>3902</v>
      </c>
      <c r="T110" s="165"/>
      <c r="U110" s="165"/>
      <c r="V110" s="165"/>
      <c r="W110" s="165"/>
      <c r="X110" s="165" t="s">
        <v>2428</v>
      </c>
      <c r="Y110">
        <v>2</v>
      </c>
      <c r="Z110" s="165" t="s">
        <v>3903</v>
      </c>
      <c r="AA110" s="165" t="s">
        <v>3811</v>
      </c>
      <c r="AB110" s="165" t="s">
        <v>3810</v>
      </c>
      <c r="AC110" s="165" t="s">
        <v>3809</v>
      </c>
      <c r="AD110" s="165" t="s">
        <v>4149</v>
      </c>
      <c r="AE110">
        <v>92</v>
      </c>
      <c r="AF110" s="165" t="s">
        <v>4150</v>
      </c>
      <c r="AG110">
        <v>378</v>
      </c>
      <c r="AH110">
        <v>412</v>
      </c>
      <c r="AI110">
        <v>40.799999999999997</v>
      </c>
      <c r="AJ110">
        <v>44.2</v>
      </c>
      <c r="AK110" s="165" t="s">
        <v>4151</v>
      </c>
      <c r="AN110">
        <v>4</v>
      </c>
      <c r="AO110">
        <v>4</v>
      </c>
      <c r="AP110">
        <v>16</v>
      </c>
      <c r="AQ110" s="165" t="s">
        <v>3815</v>
      </c>
      <c r="AR110" t="s">
        <v>4168</v>
      </c>
      <c r="AS110" s="165" t="s">
        <v>30</v>
      </c>
      <c r="AT110" t="s">
        <v>5291</v>
      </c>
      <c r="AU110" t="s">
        <v>5291</v>
      </c>
    </row>
    <row r="111" spans="1:47" hidden="1" x14ac:dyDescent="0.25">
      <c r="A111" s="165" t="s">
        <v>1355</v>
      </c>
      <c r="B111" s="165" t="s">
        <v>3345</v>
      </c>
      <c r="C111" s="165" t="s">
        <v>23</v>
      </c>
      <c r="D111" s="165" t="s">
        <v>1356</v>
      </c>
      <c r="E111" s="165" t="s">
        <v>4042</v>
      </c>
      <c r="F111" s="165" t="s">
        <v>12</v>
      </c>
      <c r="G111" s="165" t="s">
        <v>8</v>
      </c>
      <c r="H111" s="165" t="s">
        <v>241</v>
      </c>
      <c r="I111" s="165" t="s">
        <v>3803</v>
      </c>
      <c r="J111" s="165" t="s">
        <v>4011</v>
      </c>
      <c r="K111" s="165"/>
      <c r="L111" s="165"/>
      <c r="M111" s="165"/>
      <c r="N111" s="165"/>
      <c r="O111" s="165"/>
      <c r="P111" s="165"/>
      <c r="Q111" s="165"/>
      <c r="R111" s="165"/>
      <c r="S111" s="165" t="s">
        <v>3902</v>
      </c>
      <c r="T111" s="165"/>
      <c r="U111" s="165"/>
      <c r="V111" s="165"/>
      <c r="W111" s="165"/>
      <c r="X111" s="165" t="s">
        <v>2428</v>
      </c>
      <c r="Y111">
        <v>2</v>
      </c>
      <c r="Z111" s="165" t="s">
        <v>3903</v>
      </c>
      <c r="AA111" s="165" t="s">
        <v>3811</v>
      </c>
      <c r="AB111" s="165" t="s">
        <v>3810</v>
      </c>
      <c r="AC111" s="165" t="s">
        <v>3809</v>
      </c>
      <c r="AD111" s="165" t="s">
        <v>4149</v>
      </c>
      <c r="AE111">
        <v>92</v>
      </c>
      <c r="AF111" s="165" t="s">
        <v>4150</v>
      </c>
      <c r="AG111">
        <v>378</v>
      </c>
      <c r="AH111">
        <v>412</v>
      </c>
      <c r="AI111">
        <v>40.799999999999997</v>
      </c>
      <c r="AJ111">
        <v>44.2</v>
      </c>
      <c r="AK111" s="165" t="s">
        <v>4151</v>
      </c>
      <c r="AN111">
        <v>4</v>
      </c>
      <c r="AO111">
        <v>4</v>
      </c>
      <c r="AP111">
        <v>16</v>
      </c>
      <c r="AQ111" s="165" t="s">
        <v>3815</v>
      </c>
      <c r="AR111" t="s">
        <v>3870</v>
      </c>
      <c r="AS111" s="165" t="s">
        <v>30</v>
      </c>
      <c r="AT111" t="s">
        <v>5291</v>
      </c>
      <c r="AU111" t="s">
        <v>5291</v>
      </c>
    </row>
    <row r="112" spans="1:47" hidden="1" x14ac:dyDescent="0.25">
      <c r="A112" s="165" t="s">
        <v>1486</v>
      </c>
      <c r="B112" s="165" t="s">
        <v>4169</v>
      </c>
      <c r="C112" s="165" t="s">
        <v>23</v>
      </c>
      <c r="D112" s="165" t="s">
        <v>1487</v>
      </c>
      <c r="E112" s="165" t="s">
        <v>3951</v>
      </c>
      <c r="F112" s="165" t="s">
        <v>11</v>
      </c>
      <c r="G112" s="165" t="s">
        <v>8</v>
      </c>
      <c r="H112" s="165" t="s">
        <v>241</v>
      </c>
      <c r="I112" s="165" t="s">
        <v>3803</v>
      </c>
      <c r="J112" s="165" t="s">
        <v>4011</v>
      </c>
      <c r="K112" s="165"/>
      <c r="L112" s="165"/>
      <c r="M112" s="165"/>
      <c r="N112" s="165"/>
      <c r="O112" s="165"/>
      <c r="P112" s="165"/>
      <c r="Q112" s="165"/>
      <c r="R112" s="165"/>
      <c r="S112" s="165" t="s">
        <v>3902</v>
      </c>
      <c r="T112" s="165"/>
      <c r="U112" s="165"/>
      <c r="V112" s="165"/>
      <c r="W112" s="165"/>
      <c r="X112" s="165" t="s">
        <v>2428</v>
      </c>
      <c r="Y112">
        <v>2</v>
      </c>
      <c r="Z112" s="165" t="s">
        <v>3903</v>
      </c>
      <c r="AA112" s="165" t="s">
        <v>3811</v>
      </c>
      <c r="AB112" s="165" t="s">
        <v>3810</v>
      </c>
      <c r="AC112" s="165" t="s">
        <v>3809</v>
      </c>
      <c r="AD112" s="165" t="s">
        <v>4149</v>
      </c>
      <c r="AE112">
        <v>92</v>
      </c>
      <c r="AF112" s="165" t="s">
        <v>4150</v>
      </c>
      <c r="AG112">
        <v>378</v>
      </c>
      <c r="AH112">
        <v>412</v>
      </c>
      <c r="AI112">
        <v>40.799999999999997</v>
      </c>
      <c r="AJ112">
        <v>44.2</v>
      </c>
      <c r="AK112" s="165" t="s">
        <v>4151</v>
      </c>
      <c r="AN112">
        <v>4</v>
      </c>
      <c r="AO112">
        <v>4</v>
      </c>
      <c r="AP112">
        <v>16</v>
      </c>
      <c r="AQ112" s="165" t="s">
        <v>3815</v>
      </c>
      <c r="AR112" t="s">
        <v>4170</v>
      </c>
      <c r="AS112" s="165" t="s">
        <v>30</v>
      </c>
      <c r="AT112" t="s">
        <v>5291</v>
      </c>
      <c r="AU112" t="s">
        <v>5291</v>
      </c>
    </row>
    <row r="113" spans="1:47" hidden="1" x14ac:dyDescent="0.25">
      <c r="A113" s="165" t="s">
        <v>778</v>
      </c>
      <c r="B113" s="165" t="s">
        <v>4171</v>
      </c>
      <c r="C113" s="165" t="s">
        <v>23</v>
      </c>
      <c r="D113" s="165" t="s">
        <v>779</v>
      </c>
      <c r="E113" s="165" t="s">
        <v>4037</v>
      </c>
      <c r="F113" s="165" t="s">
        <v>11</v>
      </c>
      <c r="G113" s="165" t="s">
        <v>8</v>
      </c>
      <c r="H113" s="165" t="s">
        <v>241</v>
      </c>
      <c r="I113" s="165" t="s">
        <v>3803</v>
      </c>
      <c r="J113" s="165" t="s">
        <v>4011</v>
      </c>
      <c r="K113" s="165"/>
      <c r="L113" s="165"/>
      <c r="M113" s="165"/>
      <c r="N113" s="165"/>
      <c r="O113" s="165"/>
      <c r="P113" s="165"/>
      <c r="Q113" s="165"/>
      <c r="R113" s="165"/>
      <c r="S113" s="165" t="s">
        <v>3902</v>
      </c>
      <c r="T113" s="165"/>
      <c r="U113" s="165"/>
      <c r="V113" s="165"/>
      <c r="W113" s="165"/>
      <c r="X113" s="165" t="s">
        <v>2428</v>
      </c>
      <c r="Y113">
        <v>2</v>
      </c>
      <c r="Z113" s="165" t="s">
        <v>3903</v>
      </c>
      <c r="AA113" s="165" t="s">
        <v>3811</v>
      </c>
      <c r="AB113" s="165" t="s">
        <v>3810</v>
      </c>
      <c r="AC113" s="165" t="s">
        <v>3809</v>
      </c>
      <c r="AD113" s="165" t="s">
        <v>4143</v>
      </c>
      <c r="AE113">
        <v>108</v>
      </c>
      <c r="AF113" s="165" t="s">
        <v>4150</v>
      </c>
      <c r="AG113">
        <v>378</v>
      </c>
      <c r="AH113">
        <v>412</v>
      </c>
      <c r="AI113">
        <v>40.799999999999997</v>
      </c>
      <c r="AJ113">
        <v>44.2</v>
      </c>
      <c r="AK113" s="165" t="s">
        <v>4151</v>
      </c>
      <c r="AN113">
        <v>4</v>
      </c>
      <c r="AO113">
        <v>4</v>
      </c>
      <c r="AP113">
        <v>16</v>
      </c>
      <c r="AQ113" s="165" t="s">
        <v>3815</v>
      </c>
      <c r="AR113" t="s">
        <v>4172</v>
      </c>
      <c r="AS113" s="165" t="s">
        <v>30</v>
      </c>
      <c r="AT113" t="s">
        <v>5291</v>
      </c>
      <c r="AU113" t="s">
        <v>5291</v>
      </c>
    </row>
    <row r="114" spans="1:47" hidden="1" x14ac:dyDescent="0.25">
      <c r="A114" s="165" t="s">
        <v>815</v>
      </c>
      <c r="B114" s="165" t="s">
        <v>88</v>
      </c>
      <c r="C114" s="165" t="s">
        <v>23</v>
      </c>
      <c r="D114" s="165" t="s">
        <v>816</v>
      </c>
      <c r="E114" s="165" t="s">
        <v>4039</v>
      </c>
      <c r="F114" s="165" t="s">
        <v>12</v>
      </c>
      <c r="G114" s="165" t="s">
        <v>8</v>
      </c>
      <c r="H114" s="165" t="s">
        <v>241</v>
      </c>
      <c r="I114" s="165" t="s">
        <v>3803</v>
      </c>
      <c r="J114" s="165" t="s">
        <v>4011</v>
      </c>
      <c r="K114" s="165"/>
      <c r="L114" s="165"/>
      <c r="M114" s="165"/>
      <c r="N114" s="165"/>
      <c r="O114" s="165"/>
      <c r="P114" s="165"/>
      <c r="Q114" s="165"/>
      <c r="R114" s="165"/>
      <c r="S114" s="165" t="s">
        <v>3902</v>
      </c>
      <c r="T114" s="165"/>
      <c r="U114" s="165"/>
      <c r="V114" s="165"/>
      <c r="W114" s="165"/>
      <c r="X114" s="165" t="s">
        <v>2428</v>
      </c>
      <c r="Y114">
        <v>2</v>
      </c>
      <c r="Z114" s="165" t="s">
        <v>3903</v>
      </c>
      <c r="AA114" s="165" t="s">
        <v>3811</v>
      </c>
      <c r="AB114" s="165" t="s">
        <v>3810</v>
      </c>
      <c r="AC114" s="165" t="s">
        <v>3809</v>
      </c>
      <c r="AD114" s="165" t="s">
        <v>4143</v>
      </c>
      <c r="AE114">
        <v>92</v>
      </c>
      <c r="AF114" s="165" t="s">
        <v>4150</v>
      </c>
      <c r="AG114">
        <v>378</v>
      </c>
      <c r="AH114">
        <v>412</v>
      </c>
      <c r="AI114">
        <v>40.799999999999997</v>
      </c>
      <c r="AJ114">
        <v>44.2</v>
      </c>
      <c r="AK114" s="165" t="s">
        <v>4151</v>
      </c>
      <c r="AN114">
        <v>4</v>
      </c>
      <c r="AO114">
        <v>4</v>
      </c>
      <c r="AP114">
        <v>16</v>
      </c>
      <c r="AQ114" s="165" t="s">
        <v>3815</v>
      </c>
      <c r="AR114" t="s">
        <v>4173</v>
      </c>
      <c r="AS114" s="165" t="s">
        <v>30</v>
      </c>
      <c r="AT114" t="s">
        <v>5291</v>
      </c>
      <c r="AU114" t="s">
        <v>5291</v>
      </c>
    </row>
    <row r="115" spans="1:47" hidden="1" x14ac:dyDescent="0.25">
      <c r="A115" s="165" t="s">
        <v>923</v>
      </c>
      <c r="B115" s="165" t="s">
        <v>4174</v>
      </c>
      <c r="C115" s="165" t="s">
        <v>23</v>
      </c>
      <c r="D115" s="165" t="s">
        <v>924</v>
      </c>
      <c r="E115" s="165" t="s">
        <v>2352</v>
      </c>
      <c r="F115" s="165" t="s">
        <v>11</v>
      </c>
      <c r="G115" s="165" t="s">
        <v>8</v>
      </c>
      <c r="H115" s="165" t="s">
        <v>241</v>
      </c>
      <c r="I115" s="165" t="s">
        <v>3803</v>
      </c>
      <c r="J115" s="165" t="s">
        <v>4011</v>
      </c>
      <c r="K115" s="165"/>
      <c r="L115" s="165"/>
      <c r="M115" s="165"/>
      <c r="N115" s="165"/>
      <c r="O115" s="165"/>
      <c r="P115" s="165"/>
      <c r="Q115" s="165"/>
      <c r="R115" s="165"/>
      <c r="S115" s="165" t="s">
        <v>3902</v>
      </c>
      <c r="T115" s="165"/>
      <c r="U115" s="165"/>
      <c r="V115" s="165"/>
      <c r="W115" s="165"/>
      <c r="X115" s="165" t="s">
        <v>2428</v>
      </c>
      <c r="Y115">
        <v>2</v>
      </c>
      <c r="Z115" s="165" t="s">
        <v>3903</v>
      </c>
      <c r="AA115" s="165" t="s">
        <v>3811</v>
      </c>
      <c r="AB115" s="165" t="s">
        <v>3810</v>
      </c>
      <c r="AC115" s="165" t="s">
        <v>3809</v>
      </c>
      <c r="AD115" s="165" t="s">
        <v>4143</v>
      </c>
      <c r="AE115">
        <v>108</v>
      </c>
      <c r="AF115" s="165" t="s">
        <v>4150</v>
      </c>
      <c r="AG115">
        <v>378</v>
      </c>
      <c r="AH115">
        <v>412</v>
      </c>
      <c r="AI115">
        <v>40.799999999999997</v>
      </c>
      <c r="AJ115">
        <v>44.2</v>
      </c>
      <c r="AK115" s="165" t="s">
        <v>4151</v>
      </c>
      <c r="AN115">
        <v>4</v>
      </c>
      <c r="AO115">
        <v>4</v>
      </c>
      <c r="AP115">
        <v>16</v>
      </c>
      <c r="AQ115" s="165" t="s">
        <v>3815</v>
      </c>
      <c r="AR115" t="s">
        <v>4175</v>
      </c>
      <c r="AS115" s="165" t="s">
        <v>30</v>
      </c>
      <c r="AT115" t="s">
        <v>5291</v>
      </c>
      <c r="AU115" t="s">
        <v>5291</v>
      </c>
    </row>
    <row r="116" spans="1:47" hidden="1" x14ac:dyDescent="0.25">
      <c r="A116" s="165" t="s">
        <v>959</v>
      </c>
      <c r="B116" s="165" t="s">
        <v>4176</v>
      </c>
      <c r="C116" s="165" t="s">
        <v>23</v>
      </c>
      <c r="D116" s="165" t="s">
        <v>960</v>
      </c>
      <c r="E116" s="165" t="s">
        <v>4131</v>
      </c>
      <c r="F116" s="165" t="s">
        <v>11</v>
      </c>
      <c r="G116" s="165" t="s">
        <v>8</v>
      </c>
      <c r="H116" s="165" t="s">
        <v>241</v>
      </c>
      <c r="I116" s="165" t="s">
        <v>3803</v>
      </c>
      <c r="J116" s="165" t="s">
        <v>4011</v>
      </c>
      <c r="K116" s="165"/>
      <c r="L116" s="165"/>
      <c r="M116" s="165"/>
      <c r="N116" s="165"/>
      <c r="O116" s="165"/>
      <c r="P116" s="165"/>
      <c r="Q116" s="165"/>
      <c r="R116" s="165"/>
      <c r="S116" s="165" t="s">
        <v>3902</v>
      </c>
      <c r="T116" s="165"/>
      <c r="U116" s="165"/>
      <c r="V116" s="165"/>
      <c r="W116" s="165"/>
      <c r="X116" s="165" t="s">
        <v>2428</v>
      </c>
      <c r="Y116">
        <v>2</v>
      </c>
      <c r="Z116" s="165" t="s">
        <v>3903</v>
      </c>
      <c r="AA116" s="165" t="s">
        <v>3811</v>
      </c>
      <c r="AB116" s="165" t="s">
        <v>3810</v>
      </c>
      <c r="AC116" s="165" t="s">
        <v>3809</v>
      </c>
      <c r="AD116" s="165" t="s">
        <v>4143</v>
      </c>
      <c r="AE116">
        <v>108</v>
      </c>
      <c r="AF116" s="165" t="s">
        <v>4150</v>
      </c>
      <c r="AG116">
        <v>378</v>
      </c>
      <c r="AH116">
        <v>412</v>
      </c>
      <c r="AI116">
        <v>40.799999999999997</v>
      </c>
      <c r="AJ116">
        <v>44.2</v>
      </c>
      <c r="AK116" s="165" t="s">
        <v>4151</v>
      </c>
      <c r="AN116">
        <v>4</v>
      </c>
      <c r="AO116">
        <v>4</v>
      </c>
      <c r="AP116">
        <v>16</v>
      </c>
      <c r="AQ116" s="165" t="s">
        <v>3815</v>
      </c>
      <c r="AR116" t="s">
        <v>4168</v>
      </c>
      <c r="AS116" s="165" t="s">
        <v>30</v>
      </c>
      <c r="AT116" t="s">
        <v>5291</v>
      </c>
      <c r="AU116" t="s">
        <v>5291</v>
      </c>
    </row>
    <row r="117" spans="1:47" hidden="1" x14ac:dyDescent="0.25">
      <c r="A117" s="165" t="s">
        <v>1240</v>
      </c>
      <c r="B117" s="165" t="s">
        <v>3368</v>
      </c>
      <c r="C117" s="165" t="s">
        <v>23</v>
      </c>
      <c r="D117" s="165" t="s">
        <v>1241</v>
      </c>
      <c r="E117" s="165" t="s">
        <v>4177</v>
      </c>
      <c r="F117" s="165" t="s">
        <v>11</v>
      </c>
      <c r="G117" s="165" t="s">
        <v>8</v>
      </c>
      <c r="H117" s="165" t="s">
        <v>241</v>
      </c>
      <c r="I117" s="165" t="s">
        <v>3803</v>
      </c>
      <c r="J117" s="165" t="s">
        <v>4011</v>
      </c>
      <c r="K117" s="165"/>
      <c r="L117" s="165"/>
      <c r="M117" s="165"/>
      <c r="N117" s="165"/>
      <c r="O117" s="165"/>
      <c r="P117" s="165"/>
      <c r="Q117" s="165"/>
      <c r="R117" s="165"/>
      <c r="S117" s="165" t="s">
        <v>3902</v>
      </c>
      <c r="T117" s="165"/>
      <c r="U117" s="165"/>
      <c r="V117" s="165"/>
      <c r="W117" s="165"/>
      <c r="X117" s="165" t="s">
        <v>2428</v>
      </c>
      <c r="Y117">
        <v>2</v>
      </c>
      <c r="Z117" s="165" t="s">
        <v>3903</v>
      </c>
      <c r="AA117" s="165" t="s">
        <v>3811</v>
      </c>
      <c r="AB117" s="165" t="s">
        <v>3810</v>
      </c>
      <c r="AC117" s="165" t="s">
        <v>3809</v>
      </c>
      <c r="AD117" s="165" t="s">
        <v>4143</v>
      </c>
      <c r="AE117">
        <v>92</v>
      </c>
      <c r="AF117" s="165" t="s">
        <v>4150</v>
      </c>
      <c r="AG117">
        <v>378</v>
      </c>
      <c r="AH117">
        <v>412</v>
      </c>
      <c r="AI117">
        <v>40.799999999999997</v>
      </c>
      <c r="AJ117">
        <v>44.2</v>
      </c>
      <c r="AK117" s="165" t="s">
        <v>4151</v>
      </c>
      <c r="AN117">
        <v>4</v>
      </c>
      <c r="AO117">
        <v>4</v>
      </c>
      <c r="AP117">
        <v>16</v>
      </c>
      <c r="AQ117" s="165" t="s">
        <v>3815</v>
      </c>
      <c r="AR117" t="s">
        <v>4178</v>
      </c>
      <c r="AS117" s="165" t="s">
        <v>30</v>
      </c>
      <c r="AT117" t="s">
        <v>5291</v>
      </c>
      <c r="AU117" t="s">
        <v>5291</v>
      </c>
    </row>
    <row r="118" spans="1:47" hidden="1" x14ac:dyDescent="0.25">
      <c r="A118" s="165" t="s">
        <v>1270</v>
      </c>
      <c r="B118" s="165" t="s">
        <v>3439</v>
      </c>
      <c r="C118" s="165" t="s">
        <v>23</v>
      </c>
      <c r="D118" s="165" t="s">
        <v>1271</v>
      </c>
      <c r="E118" s="165" t="s">
        <v>3492</v>
      </c>
      <c r="F118" s="165" t="s">
        <v>11</v>
      </c>
      <c r="G118" s="165" t="s">
        <v>8</v>
      </c>
      <c r="H118" s="165" t="s">
        <v>241</v>
      </c>
      <c r="I118" s="165" t="s">
        <v>3803</v>
      </c>
      <c r="J118" s="165" t="s">
        <v>4011</v>
      </c>
      <c r="K118" s="165"/>
      <c r="L118" s="165"/>
      <c r="M118" s="165"/>
      <c r="N118" s="165"/>
      <c r="O118" s="165"/>
      <c r="P118" s="165"/>
      <c r="Q118" s="165"/>
      <c r="R118" s="165"/>
      <c r="S118" s="165" t="s">
        <v>3902</v>
      </c>
      <c r="T118" s="165"/>
      <c r="U118" s="165"/>
      <c r="V118" s="165"/>
      <c r="W118" s="165"/>
      <c r="X118" s="165" t="s">
        <v>2428</v>
      </c>
      <c r="Y118">
        <v>2</v>
      </c>
      <c r="Z118" s="165" t="s">
        <v>3903</v>
      </c>
      <c r="AA118" s="165" t="s">
        <v>3811</v>
      </c>
      <c r="AB118" s="165" t="s">
        <v>3810</v>
      </c>
      <c r="AC118" s="165" t="s">
        <v>3809</v>
      </c>
      <c r="AD118" s="165" t="s">
        <v>4143</v>
      </c>
      <c r="AE118">
        <v>108</v>
      </c>
      <c r="AF118" s="165" t="s">
        <v>4150</v>
      </c>
      <c r="AG118">
        <v>378</v>
      </c>
      <c r="AH118">
        <v>412</v>
      </c>
      <c r="AI118">
        <v>40.799999999999997</v>
      </c>
      <c r="AJ118">
        <v>44.2</v>
      </c>
      <c r="AK118" s="165" t="s">
        <v>4151</v>
      </c>
      <c r="AN118">
        <v>4</v>
      </c>
      <c r="AO118">
        <v>4</v>
      </c>
      <c r="AP118">
        <v>16</v>
      </c>
      <c r="AQ118" s="165" t="s">
        <v>3815</v>
      </c>
      <c r="AR118" t="s">
        <v>4125</v>
      </c>
      <c r="AS118" s="165" t="s">
        <v>30</v>
      </c>
      <c r="AT118" t="s">
        <v>5291</v>
      </c>
      <c r="AU118" t="s">
        <v>5291</v>
      </c>
    </row>
    <row r="119" spans="1:47" hidden="1" x14ac:dyDescent="0.25">
      <c r="A119" s="165" t="s">
        <v>1314</v>
      </c>
      <c r="B119" s="165" t="s">
        <v>3446</v>
      </c>
      <c r="C119" s="165" t="s">
        <v>23</v>
      </c>
      <c r="D119" s="165" t="s">
        <v>1315</v>
      </c>
      <c r="E119" s="165" t="s">
        <v>4167</v>
      </c>
      <c r="F119" s="165" t="s">
        <v>11</v>
      </c>
      <c r="G119" s="165" t="s">
        <v>8</v>
      </c>
      <c r="H119" s="165" t="s">
        <v>241</v>
      </c>
      <c r="I119" s="165" t="s">
        <v>3803</v>
      </c>
      <c r="J119" s="165" t="s">
        <v>4011</v>
      </c>
      <c r="K119" s="165"/>
      <c r="L119" s="165"/>
      <c r="M119" s="165"/>
      <c r="N119" s="165"/>
      <c r="O119" s="165"/>
      <c r="P119" s="165"/>
      <c r="Q119" s="165"/>
      <c r="R119" s="165"/>
      <c r="S119" s="165" t="s">
        <v>3902</v>
      </c>
      <c r="T119" s="165"/>
      <c r="U119" s="165"/>
      <c r="V119" s="165"/>
      <c r="W119" s="165"/>
      <c r="X119" s="165" t="s">
        <v>2428</v>
      </c>
      <c r="Y119">
        <v>2</v>
      </c>
      <c r="Z119" s="165" t="s">
        <v>3903</v>
      </c>
      <c r="AA119" s="165" t="s">
        <v>3811</v>
      </c>
      <c r="AB119" s="165" t="s">
        <v>3810</v>
      </c>
      <c r="AC119" s="165" t="s">
        <v>3809</v>
      </c>
      <c r="AD119" s="165" t="s">
        <v>4143</v>
      </c>
      <c r="AE119">
        <v>92</v>
      </c>
      <c r="AF119" s="165" t="s">
        <v>4150</v>
      </c>
      <c r="AG119">
        <v>378</v>
      </c>
      <c r="AH119">
        <v>412</v>
      </c>
      <c r="AI119">
        <v>40.799999999999997</v>
      </c>
      <c r="AJ119">
        <v>44.2</v>
      </c>
      <c r="AK119" s="165" t="s">
        <v>4151</v>
      </c>
      <c r="AN119">
        <v>4</v>
      </c>
      <c r="AO119">
        <v>4</v>
      </c>
      <c r="AP119">
        <v>16</v>
      </c>
      <c r="AQ119" s="165" t="s">
        <v>3815</v>
      </c>
      <c r="AR119" t="s">
        <v>3930</v>
      </c>
      <c r="AS119" s="165" t="s">
        <v>30</v>
      </c>
      <c r="AT119" t="s">
        <v>5291</v>
      </c>
      <c r="AU119" t="s">
        <v>5291</v>
      </c>
    </row>
    <row r="120" spans="1:47" hidden="1" x14ac:dyDescent="0.25">
      <c r="A120" s="165" t="s">
        <v>1812</v>
      </c>
      <c r="B120" s="165" t="s">
        <v>4179</v>
      </c>
      <c r="C120" s="165" t="s">
        <v>23</v>
      </c>
      <c r="D120" s="165" t="s">
        <v>4180</v>
      </c>
      <c r="E120" s="165" t="s">
        <v>4047</v>
      </c>
      <c r="F120" s="165" t="s">
        <v>2183</v>
      </c>
      <c r="G120" s="165" t="s">
        <v>8</v>
      </c>
      <c r="H120" s="165" t="s">
        <v>263</v>
      </c>
      <c r="I120" s="165" t="s">
        <v>3820</v>
      </c>
      <c r="J120" s="165" t="s">
        <v>4082</v>
      </c>
      <c r="K120" s="165"/>
      <c r="L120" s="165"/>
      <c r="M120" s="165"/>
      <c r="N120" s="165" t="s">
        <v>3805</v>
      </c>
      <c r="O120" s="165"/>
      <c r="P120" s="165"/>
      <c r="Q120" s="165"/>
      <c r="R120" s="165"/>
      <c r="S120" s="165"/>
      <c r="T120" s="165" t="s">
        <v>3806</v>
      </c>
      <c r="U120" s="165" t="s">
        <v>3807</v>
      </c>
      <c r="V120" s="165"/>
      <c r="W120" s="165"/>
      <c r="X120" s="165"/>
      <c r="Y120">
        <v>3</v>
      </c>
      <c r="Z120" s="165" t="s">
        <v>3808</v>
      </c>
      <c r="AA120" s="165" t="s">
        <v>3809</v>
      </c>
      <c r="AB120" s="165" t="s">
        <v>3810</v>
      </c>
      <c r="AC120" s="165" t="s">
        <v>3811</v>
      </c>
      <c r="AD120" s="165" t="s">
        <v>4149</v>
      </c>
      <c r="AE120">
        <v>92</v>
      </c>
      <c r="AF120" s="165" t="s">
        <v>4181</v>
      </c>
      <c r="AG120">
        <v>381</v>
      </c>
      <c r="AH120">
        <v>205</v>
      </c>
      <c r="AI120">
        <v>41.1</v>
      </c>
      <c r="AJ120">
        <v>23.5</v>
      </c>
      <c r="AK120" s="165" t="s">
        <v>4182</v>
      </c>
      <c r="AN120">
        <v>2</v>
      </c>
      <c r="AO120">
        <v>6</v>
      </c>
      <c r="AP120">
        <v>12</v>
      </c>
      <c r="AQ120" s="165" t="s">
        <v>3815</v>
      </c>
      <c r="AR120" t="s">
        <v>3909</v>
      </c>
      <c r="AS120" s="165" t="s">
        <v>174</v>
      </c>
      <c r="AT120" t="s">
        <v>5291</v>
      </c>
      <c r="AU120" t="s">
        <v>5291</v>
      </c>
    </row>
    <row r="121" spans="1:47" hidden="1" x14ac:dyDescent="0.25">
      <c r="A121" s="165" t="s">
        <v>1643</v>
      </c>
      <c r="B121" s="165" t="s">
        <v>88</v>
      </c>
      <c r="C121" s="165" t="s">
        <v>23</v>
      </c>
      <c r="D121" s="165" t="s">
        <v>1644</v>
      </c>
      <c r="E121" s="165" t="s">
        <v>4183</v>
      </c>
      <c r="F121" s="165" t="s">
        <v>11</v>
      </c>
      <c r="G121" s="165" t="s">
        <v>8</v>
      </c>
      <c r="H121" s="165" t="s">
        <v>176</v>
      </c>
      <c r="I121" s="165" t="s">
        <v>3803</v>
      </c>
      <c r="J121" s="165" t="s">
        <v>4116</v>
      </c>
      <c r="K121" s="165"/>
      <c r="L121" s="165"/>
      <c r="M121" s="165"/>
      <c r="N121" s="165"/>
      <c r="O121" s="165"/>
      <c r="P121" s="165"/>
      <c r="Q121" s="165"/>
      <c r="R121" s="165" t="s">
        <v>3842</v>
      </c>
      <c r="S121" s="165"/>
      <c r="T121" s="165"/>
      <c r="U121" s="165" t="s">
        <v>3807</v>
      </c>
      <c r="V121" s="165"/>
      <c r="W121" s="165"/>
      <c r="X121" s="165"/>
      <c r="Y121">
        <v>2</v>
      </c>
      <c r="Z121" s="165" t="s">
        <v>3843</v>
      </c>
      <c r="AA121" s="165" t="s">
        <v>3811</v>
      </c>
      <c r="AB121" s="165" t="s">
        <v>3810</v>
      </c>
      <c r="AC121" s="165" t="s">
        <v>3809</v>
      </c>
      <c r="AD121" s="165" t="s">
        <v>4149</v>
      </c>
      <c r="AE121">
        <v>92</v>
      </c>
      <c r="AF121" s="165" t="s">
        <v>4150</v>
      </c>
      <c r="AG121">
        <v>378</v>
      </c>
      <c r="AH121">
        <v>412</v>
      </c>
      <c r="AI121">
        <v>40.799999999999997</v>
      </c>
      <c r="AJ121">
        <v>44.2</v>
      </c>
      <c r="AK121" s="165" t="s">
        <v>4151</v>
      </c>
      <c r="AN121">
        <v>4</v>
      </c>
      <c r="AO121">
        <v>4</v>
      </c>
      <c r="AP121">
        <v>16</v>
      </c>
      <c r="AQ121" s="165" t="s">
        <v>3815</v>
      </c>
      <c r="AR121" t="s">
        <v>4009</v>
      </c>
      <c r="AS121" s="165" t="s">
        <v>30</v>
      </c>
      <c r="AT121" t="s">
        <v>5291</v>
      </c>
      <c r="AU121" t="s">
        <v>5291</v>
      </c>
    </row>
    <row r="122" spans="1:47" hidden="1" x14ac:dyDescent="0.25">
      <c r="A122" s="165" t="s">
        <v>4184</v>
      </c>
      <c r="B122" s="165" t="s">
        <v>88</v>
      </c>
      <c r="C122" s="165" t="s">
        <v>23</v>
      </c>
      <c r="D122" s="165" t="s">
        <v>4185</v>
      </c>
      <c r="E122" s="165" t="s">
        <v>3914</v>
      </c>
      <c r="F122" s="165" t="s">
        <v>3935</v>
      </c>
      <c r="G122" s="165" t="s">
        <v>8</v>
      </c>
      <c r="H122" s="165" t="s">
        <v>241</v>
      </c>
      <c r="I122" s="165" t="s">
        <v>3864</v>
      </c>
      <c r="J122" s="165" t="s">
        <v>3901</v>
      </c>
      <c r="K122" s="165"/>
      <c r="L122" s="165"/>
      <c r="M122" s="165"/>
      <c r="N122" s="165"/>
      <c r="O122" s="165"/>
      <c r="P122" s="165"/>
      <c r="Q122" s="165"/>
      <c r="R122" s="165"/>
      <c r="S122" s="165" t="s">
        <v>3902</v>
      </c>
      <c r="T122" s="165"/>
      <c r="U122" s="165"/>
      <c r="V122" s="165"/>
      <c r="W122" s="165"/>
      <c r="X122" s="165" t="s">
        <v>2428</v>
      </c>
      <c r="Y122">
        <v>2</v>
      </c>
      <c r="Z122" s="165" t="s">
        <v>3903</v>
      </c>
      <c r="AA122" s="165" t="s">
        <v>3811</v>
      </c>
      <c r="AB122" s="165" t="s">
        <v>3810</v>
      </c>
      <c r="AC122" s="165" t="s">
        <v>3809</v>
      </c>
      <c r="AD122" s="165" t="s">
        <v>4186</v>
      </c>
      <c r="AE122">
        <v>3</v>
      </c>
      <c r="AF122" s="165" t="s">
        <v>4187</v>
      </c>
      <c r="AG122">
        <v>388</v>
      </c>
      <c r="AH122">
        <v>418</v>
      </c>
      <c r="AI122">
        <v>41.8</v>
      </c>
      <c r="AJ122">
        <v>44.8</v>
      </c>
      <c r="AK122" s="165" t="s">
        <v>4188</v>
      </c>
      <c r="AL122">
        <v>39</v>
      </c>
      <c r="AM122">
        <v>44</v>
      </c>
      <c r="AN122">
        <v>4</v>
      </c>
      <c r="AO122">
        <v>4</v>
      </c>
      <c r="AP122">
        <v>16</v>
      </c>
      <c r="AQ122" s="165" t="s">
        <v>3815</v>
      </c>
      <c r="AR122" t="s">
        <v>4189</v>
      </c>
      <c r="AS122" s="165" t="s">
        <v>30</v>
      </c>
      <c r="AT122" t="s">
        <v>5291</v>
      </c>
      <c r="AU122" t="s">
        <v>5291</v>
      </c>
    </row>
    <row r="123" spans="1:47" hidden="1" x14ac:dyDescent="0.25">
      <c r="A123" s="165" t="s">
        <v>790</v>
      </c>
      <c r="B123" s="165" t="s">
        <v>3438</v>
      </c>
      <c r="C123" s="165" t="s">
        <v>23</v>
      </c>
      <c r="D123" s="165" t="s">
        <v>791</v>
      </c>
      <c r="E123" s="165" t="s">
        <v>3914</v>
      </c>
      <c r="F123" s="165" t="s">
        <v>3935</v>
      </c>
      <c r="G123" s="165" t="s">
        <v>8</v>
      </c>
      <c r="H123" s="165" t="s">
        <v>241</v>
      </c>
      <c r="I123" s="165" t="s">
        <v>3864</v>
      </c>
      <c r="J123" s="165" t="s">
        <v>3901</v>
      </c>
      <c r="K123" s="165"/>
      <c r="L123" s="165"/>
      <c r="M123" s="165"/>
      <c r="N123" s="165"/>
      <c r="O123" s="165"/>
      <c r="P123" s="165"/>
      <c r="Q123" s="165"/>
      <c r="R123" s="165"/>
      <c r="S123" s="165" t="s">
        <v>3902</v>
      </c>
      <c r="T123" s="165"/>
      <c r="U123" s="165"/>
      <c r="V123" s="165"/>
      <c r="W123" s="165"/>
      <c r="X123" s="165" t="s">
        <v>2428</v>
      </c>
      <c r="Y123">
        <v>2</v>
      </c>
      <c r="Z123" s="165" t="s">
        <v>3903</v>
      </c>
      <c r="AA123" s="165" t="s">
        <v>3811</v>
      </c>
      <c r="AB123" s="165" t="s">
        <v>3810</v>
      </c>
      <c r="AC123" s="165" t="s">
        <v>3809</v>
      </c>
      <c r="AD123" s="165" t="s">
        <v>4186</v>
      </c>
      <c r="AE123">
        <v>3</v>
      </c>
      <c r="AF123" s="165" t="s">
        <v>4187</v>
      </c>
      <c r="AG123">
        <v>388</v>
      </c>
      <c r="AH123">
        <v>418</v>
      </c>
      <c r="AI123">
        <v>41.8</v>
      </c>
      <c r="AJ123">
        <v>44.8</v>
      </c>
      <c r="AK123" s="165" t="s">
        <v>4188</v>
      </c>
      <c r="AL123">
        <v>39</v>
      </c>
      <c r="AM123">
        <v>44</v>
      </c>
      <c r="AN123">
        <v>4</v>
      </c>
      <c r="AO123">
        <v>4</v>
      </c>
      <c r="AP123">
        <v>16</v>
      </c>
      <c r="AQ123" s="165" t="s">
        <v>3815</v>
      </c>
      <c r="AR123" t="s">
        <v>3974</v>
      </c>
      <c r="AS123" s="165" t="s">
        <v>30</v>
      </c>
      <c r="AT123" t="s">
        <v>5291</v>
      </c>
      <c r="AU123" t="s">
        <v>5291</v>
      </c>
    </row>
    <row r="124" spans="1:47" hidden="1" x14ac:dyDescent="0.25">
      <c r="A124" s="165" t="s">
        <v>1779</v>
      </c>
      <c r="B124" s="165" t="s">
        <v>4190</v>
      </c>
      <c r="C124" s="165" t="s">
        <v>23</v>
      </c>
      <c r="D124" s="165" t="s">
        <v>1780</v>
      </c>
      <c r="E124" s="165" t="s">
        <v>3914</v>
      </c>
      <c r="F124" s="165" t="s">
        <v>181</v>
      </c>
      <c r="G124" s="165" t="s">
        <v>8</v>
      </c>
      <c r="H124" s="165" t="s">
        <v>241</v>
      </c>
      <c r="I124" s="165" t="s">
        <v>3864</v>
      </c>
      <c r="J124" s="165" t="s">
        <v>3901</v>
      </c>
      <c r="K124" s="165"/>
      <c r="L124" s="165"/>
      <c r="M124" s="165"/>
      <c r="N124" s="165"/>
      <c r="O124" s="165"/>
      <c r="P124" s="165"/>
      <c r="Q124" s="165"/>
      <c r="R124" s="165"/>
      <c r="S124" s="165" t="s">
        <v>3902</v>
      </c>
      <c r="T124" s="165"/>
      <c r="U124" s="165"/>
      <c r="V124" s="165"/>
      <c r="W124" s="165"/>
      <c r="X124" s="165" t="s">
        <v>2428</v>
      </c>
      <c r="Y124">
        <v>2</v>
      </c>
      <c r="Z124" s="165" t="s">
        <v>3903</v>
      </c>
      <c r="AA124" s="165" t="s">
        <v>3811</v>
      </c>
      <c r="AB124" s="165" t="s">
        <v>3810</v>
      </c>
      <c r="AC124" s="165" t="s">
        <v>3809</v>
      </c>
      <c r="AD124" s="165" t="s">
        <v>4186</v>
      </c>
      <c r="AE124">
        <v>3</v>
      </c>
      <c r="AF124" s="165" t="s">
        <v>4187</v>
      </c>
      <c r="AG124">
        <v>388</v>
      </c>
      <c r="AH124">
        <v>418</v>
      </c>
      <c r="AI124">
        <v>41.8</v>
      </c>
      <c r="AJ124">
        <v>44.8</v>
      </c>
      <c r="AK124" s="165" t="s">
        <v>4188</v>
      </c>
      <c r="AL124">
        <v>39</v>
      </c>
      <c r="AM124">
        <v>44</v>
      </c>
      <c r="AN124">
        <v>4</v>
      </c>
      <c r="AO124">
        <v>4</v>
      </c>
      <c r="AP124">
        <v>16</v>
      </c>
      <c r="AQ124" s="165" t="s">
        <v>3815</v>
      </c>
      <c r="AR124" t="s">
        <v>3830</v>
      </c>
      <c r="AS124" s="165" t="s">
        <v>30</v>
      </c>
      <c r="AT124" t="s">
        <v>5291</v>
      </c>
      <c r="AU124" t="s">
        <v>5291</v>
      </c>
    </row>
    <row r="125" spans="1:47" hidden="1" x14ac:dyDescent="0.25">
      <c r="A125" s="165" t="s">
        <v>847</v>
      </c>
      <c r="B125" s="165" t="s">
        <v>4191</v>
      </c>
      <c r="C125" s="165" t="s">
        <v>23</v>
      </c>
      <c r="D125" s="165" t="s">
        <v>848</v>
      </c>
      <c r="E125" s="165" t="s">
        <v>4192</v>
      </c>
      <c r="F125" s="165" t="s">
        <v>3935</v>
      </c>
      <c r="G125" s="165" t="s">
        <v>8</v>
      </c>
      <c r="H125" s="165" t="s">
        <v>241</v>
      </c>
      <c r="I125" s="165" t="s">
        <v>3864</v>
      </c>
      <c r="J125" s="165" t="s">
        <v>3901</v>
      </c>
      <c r="K125" s="165"/>
      <c r="L125" s="165"/>
      <c r="M125" s="165"/>
      <c r="N125" s="165"/>
      <c r="O125" s="165"/>
      <c r="P125" s="165"/>
      <c r="Q125" s="165"/>
      <c r="R125" s="165"/>
      <c r="S125" s="165" t="s">
        <v>3902</v>
      </c>
      <c r="T125" s="165"/>
      <c r="U125" s="165"/>
      <c r="V125" s="165"/>
      <c r="W125" s="165"/>
      <c r="X125" s="165" t="s">
        <v>2428</v>
      </c>
      <c r="Y125">
        <v>2</v>
      </c>
      <c r="Z125" s="165" t="s">
        <v>3903</v>
      </c>
      <c r="AA125" s="165" t="s">
        <v>3811</v>
      </c>
      <c r="AB125" s="165" t="s">
        <v>3810</v>
      </c>
      <c r="AC125" s="165" t="s">
        <v>3809</v>
      </c>
      <c r="AD125" s="165" t="s">
        <v>4193</v>
      </c>
      <c r="AE125">
        <v>3</v>
      </c>
      <c r="AF125" s="165" t="s">
        <v>4187</v>
      </c>
      <c r="AG125">
        <v>388</v>
      </c>
      <c r="AH125">
        <v>418</v>
      </c>
      <c r="AI125">
        <v>41.8</v>
      </c>
      <c r="AJ125">
        <v>44.8</v>
      </c>
      <c r="AK125" s="165" t="s">
        <v>4188</v>
      </c>
      <c r="AL125">
        <v>39</v>
      </c>
      <c r="AM125">
        <v>44</v>
      </c>
      <c r="AN125">
        <v>4</v>
      </c>
      <c r="AO125">
        <v>4</v>
      </c>
      <c r="AP125">
        <v>16</v>
      </c>
      <c r="AQ125" s="165" t="s">
        <v>3815</v>
      </c>
      <c r="AR125" t="s">
        <v>3870</v>
      </c>
      <c r="AS125" s="165" t="s">
        <v>30</v>
      </c>
      <c r="AT125" t="s">
        <v>5291</v>
      </c>
      <c r="AU125" t="s">
        <v>5291</v>
      </c>
    </row>
    <row r="126" spans="1:47" hidden="1" x14ac:dyDescent="0.25">
      <c r="A126" s="165" t="s">
        <v>885</v>
      </c>
      <c r="B126" s="165" t="s">
        <v>4194</v>
      </c>
      <c r="C126" s="165" t="s">
        <v>23</v>
      </c>
      <c r="D126" s="165" t="s">
        <v>886</v>
      </c>
      <c r="E126" s="165" t="s">
        <v>4142</v>
      </c>
      <c r="F126" s="165" t="s">
        <v>181</v>
      </c>
      <c r="G126" s="165" t="s">
        <v>8</v>
      </c>
      <c r="H126" s="165" t="s">
        <v>241</v>
      </c>
      <c r="I126" s="165" t="s">
        <v>3864</v>
      </c>
      <c r="J126" s="165" t="s">
        <v>3901</v>
      </c>
      <c r="K126" s="165"/>
      <c r="L126" s="165"/>
      <c r="M126" s="165"/>
      <c r="N126" s="165"/>
      <c r="O126" s="165"/>
      <c r="P126" s="165"/>
      <c r="Q126" s="165"/>
      <c r="R126" s="165"/>
      <c r="S126" s="165" t="s">
        <v>3902</v>
      </c>
      <c r="T126" s="165"/>
      <c r="U126" s="165"/>
      <c r="V126" s="165"/>
      <c r="W126" s="165"/>
      <c r="X126" s="165" t="s">
        <v>2428</v>
      </c>
      <c r="Y126">
        <v>2</v>
      </c>
      <c r="Z126" s="165" t="s">
        <v>3903</v>
      </c>
      <c r="AA126" s="165" t="s">
        <v>3811</v>
      </c>
      <c r="AB126" s="165" t="s">
        <v>3810</v>
      </c>
      <c r="AC126" s="165" t="s">
        <v>3809</v>
      </c>
      <c r="AD126" s="165" t="s">
        <v>4186</v>
      </c>
      <c r="AE126">
        <v>3</v>
      </c>
      <c r="AF126" s="165" t="s">
        <v>4187</v>
      </c>
      <c r="AG126">
        <v>388</v>
      </c>
      <c r="AH126">
        <v>418</v>
      </c>
      <c r="AI126">
        <v>41.8</v>
      </c>
      <c r="AJ126">
        <v>44.8</v>
      </c>
      <c r="AK126" s="165" t="s">
        <v>4188</v>
      </c>
      <c r="AL126">
        <v>39</v>
      </c>
      <c r="AM126">
        <v>44</v>
      </c>
      <c r="AN126">
        <v>4</v>
      </c>
      <c r="AO126">
        <v>4</v>
      </c>
      <c r="AP126">
        <v>16</v>
      </c>
      <c r="AQ126" s="165" t="s">
        <v>3815</v>
      </c>
      <c r="AR126" t="s">
        <v>3974</v>
      </c>
      <c r="AS126" s="165" t="s">
        <v>30</v>
      </c>
      <c r="AT126" t="s">
        <v>5291</v>
      </c>
      <c r="AU126" t="s">
        <v>5291</v>
      </c>
    </row>
    <row r="127" spans="1:47" hidden="1" x14ac:dyDescent="0.25">
      <c r="A127" s="165" t="s">
        <v>927</v>
      </c>
      <c r="B127" s="165" t="s">
        <v>4195</v>
      </c>
      <c r="C127" s="165" t="s">
        <v>23</v>
      </c>
      <c r="D127" s="165" t="s">
        <v>928</v>
      </c>
      <c r="E127" s="165" t="s">
        <v>3929</v>
      </c>
      <c r="F127" s="165" t="s">
        <v>15</v>
      </c>
      <c r="G127" s="165" t="s">
        <v>8</v>
      </c>
      <c r="H127" s="165" t="s">
        <v>241</v>
      </c>
      <c r="I127" s="165" t="s">
        <v>3864</v>
      </c>
      <c r="J127" s="165" t="s">
        <v>3901</v>
      </c>
      <c r="K127" s="165"/>
      <c r="L127" s="165"/>
      <c r="M127" s="165"/>
      <c r="N127" s="165"/>
      <c r="O127" s="165"/>
      <c r="P127" s="165"/>
      <c r="Q127" s="165"/>
      <c r="R127" s="165"/>
      <c r="S127" s="165" t="s">
        <v>3902</v>
      </c>
      <c r="T127" s="165"/>
      <c r="U127" s="165"/>
      <c r="V127" s="165"/>
      <c r="W127" s="165"/>
      <c r="X127" s="165" t="s">
        <v>2428</v>
      </c>
      <c r="Y127">
        <v>2</v>
      </c>
      <c r="Z127" s="165" t="s">
        <v>3903</v>
      </c>
      <c r="AA127" s="165" t="s">
        <v>3811</v>
      </c>
      <c r="AB127" s="165" t="s">
        <v>3810</v>
      </c>
      <c r="AC127" s="165" t="s">
        <v>3809</v>
      </c>
      <c r="AD127" s="165" t="s">
        <v>4186</v>
      </c>
      <c r="AE127">
        <v>3</v>
      </c>
      <c r="AF127" s="165" t="s">
        <v>4187</v>
      </c>
      <c r="AG127">
        <v>388</v>
      </c>
      <c r="AH127">
        <v>418</v>
      </c>
      <c r="AI127">
        <v>41.8</v>
      </c>
      <c r="AJ127">
        <v>44.8</v>
      </c>
      <c r="AK127" s="165" t="s">
        <v>4188</v>
      </c>
      <c r="AL127">
        <v>39</v>
      </c>
      <c r="AM127">
        <v>44</v>
      </c>
      <c r="AN127">
        <v>4</v>
      </c>
      <c r="AO127">
        <v>4</v>
      </c>
      <c r="AP127">
        <v>16</v>
      </c>
      <c r="AQ127" s="165" t="s">
        <v>3815</v>
      </c>
      <c r="AR127" t="s">
        <v>4135</v>
      </c>
      <c r="AS127" s="165" t="s">
        <v>30</v>
      </c>
      <c r="AT127" t="s">
        <v>5291</v>
      </c>
      <c r="AU127" t="s">
        <v>5291</v>
      </c>
    </row>
    <row r="128" spans="1:47" hidden="1" x14ac:dyDescent="0.25">
      <c r="A128" s="165" t="s">
        <v>931</v>
      </c>
      <c r="B128" s="165" t="s">
        <v>3348</v>
      </c>
      <c r="C128" s="165" t="s">
        <v>23</v>
      </c>
      <c r="D128" s="165" t="s">
        <v>932</v>
      </c>
      <c r="E128" s="165" t="s">
        <v>3929</v>
      </c>
      <c r="F128" s="165" t="s">
        <v>15</v>
      </c>
      <c r="G128" s="165" t="s">
        <v>8</v>
      </c>
      <c r="H128" s="165" t="s">
        <v>241</v>
      </c>
      <c r="I128" s="165" t="s">
        <v>3864</v>
      </c>
      <c r="J128" s="165" t="s">
        <v>3901</v>
      </c>
      <c r="K128" s="165"/>
      <c r="L128" s="165"/>
      <c r="M128" s="165"/>
      <c r="N128" s="165"/>
      <c r="O128" s="165"/>
      <c r="P128" s="165"/>
      <c r="Q128" s="165"/>
      <c r="R128" s="165"/>
      <c r="S128" s="165" t="s">
        <v>3902</v>
      </c>
      <c r="T128" s="165"/>
      <c r="U128" s="165"/>
      <c r="V128" s="165"/>
      <c r="W128" s="165"/>
      <c r="X128" s="165" t="s">
        <v>2428</v>
      </c>
      <c r="Y128">
        <v>2</v>
      </c>
      <c r="Z128" s="165" t="s">
        <v>3903</v>
      </c>
      <c r="AA128" s="165" t="s">
        <v>3811</v>
      </c>
      <c r="AB128" s="165" t="s">
        <v>3810</v>
      </c>
      <c r="AC128" s="165" t="s">
        <v>3809</v>
      </c>
      <c r="AD128" s="165" t="s">
        <v>4186</v>
      </c>
      <c r="AE128">
        <v>3</v>
      </c>
      <c r="AF128" s="165" t="s">
        <v>4187</v>
      </c>
      <c r="AG128">
        <v>388</v>
      </c>
      <c r="AH128">
        <v>418</v>
      </c>
      <c r="AI128">
        <v>41.8</v>
      </c>
      <c r="AJ128">
        <v>44.8</v>
      </c>
      <c r="AK128" s="165" t="s">
        <v>4188</v>
      </c>
      <c r="AL128">
        <v>39</v>
      </c>
      <c r="AM128">
        <v>44</v>
      </c>
      <c r="AN128">
        <v>4</v>
      </c>
      <c r="AO128">
        <v>4</v>
      </c>
      <c r="AP128">
        <v>16</v>
      </c>
      <c r="AQ128" s="165" t="s">
        <v>3815</v>
      </c>
      <c r="AR128" t="s">
        <v>4125</v>
      </c>
      <c r="AS128" s="165" t="s">
        <v>30</v>
      </c>
      <c r="AT128" t="s">
        <v>5291</v>
      </c>
      <c r="AU128" t="s">
        <v>5291</v>
      </c>
    </row>
    <row r="129" spans="1:47" hidden="1" x14ac:dyDescent="0.25">
      <c r="A129" s="165" t="s">
        <v>965</v>
      </c>
      <c r="B129" s="165" t="s">
        <v>4196</v>
      </c>
      <c r="C129" s="165" t="s">
        <v>23</v>
      </c>
      <c r="D129" s="165" t="s">
        <v>966</v>
      </c>
      <c r="E129" s="165" t="s">
        <v>3934</v>
      </c>
      <c r="F129" s="165" t="s">
        <v>15</v>
      </c>
      <c r="G129" s="165" t="s">
        <v>8</v>
      </c>
      <c r="H129" s="165" t="s">
        <v>241</v>
      </c>
      <c r="I129" s="165" t="s">
        <v>3864</v>
      </c>
      <c r="J129" s="165" t="s">
        <v>3901</v>
      </c>
      <c r="K129" s="165"/>
      <c r="L129" s="165"/>
      <c r="M129" s="165"/>
      <c r="N129" s="165"/>
      <c r="O129" s="165"/>
      <c r="P129" s="165"/>
      <c r="Q129" s="165"/>
      <c r="R129" s="165"/>
      <c r="S129" s="165" t="s">
        <v>3902</v>
      </c>
      <c r="T129" s="165"/>
      <c r="U129" s="165"/>
      <c r="V129" s="165"/>
      <c r="W129" s="165"/>
      <c r="X129" s="165" t="s">
        <v>2428</v>
      </c>
      <c r="Y129">
        <v>2</v>
      </c>
      <c r="Z129" s="165" t="s">
        <v>3903</v>
      </c>
      <c r="AA129" s="165" t="s">
        <v>3811</v>
      </c>
      <c r="AB129" s="165" t="s">
        <v>3810</v>
      </c>
      <c r="AC129" s="165" t="s">
        <v>3809</v>
      </c>
      <c r="AD129" s="165" t="s">
        <v>4186</v>
      </c>
      <c r="AE129">
        <v>3</v>
      </c>
      <c r="AF129" s="165" t="s">
        <v>4187</v>
      </c>
      <c r="AG129">
        <v>388</v>
      </c>
      <c r="AH129">
        <v>418</v>
      </c>
      <c r="AI129">
        <v>41.8</v>
      </c>
      <c r="AJ129">
        <v>44.8</v>
      </c>
      <c r="AK129" s="165" t="s">
        <v>4188</v>
      </c>
      <c r="AL129">
        <v>39</v>
      </c>
      <c r="AM129">
        <v>44</v>
      </c>
      <c r="AN129">
        <v>4</v>
      </c>
      <c r="AO129">
        <v>4</v>
      </c>
      <c r="AP129">
        <v>16</v>
      </c>
      <c r="AQ129" s="165" t="s">
        <v>3815</v>
      </c>
      <c r="AR129" t="s">
        <v>3923</v>
      </c>
      <c r="AS129" s="165" t="s">
        <v>30</v>
      </c>
      <c r="AT129" t="s">
        <v>5291</v>
      </c>
      <c r="AU129" t="s">
        <v>5291</v>
      </c>
    </row>
    <row r="130" spans="1:47" hidden="1" x14ac:dyDescent="0.25">
      <c r="A130" s="165" t="s">
        <v>1027</v>
      </c>
      <c r="B130" s="165" t="s">
        <v>4197</v>
      </c>
      <c r="C130" s="165" t="s">
        <v>23</v>
      </c>
      <c r="D130" s="165" t="s">
        <v>1028</v>
      </c>
      <c r="E130" s="165" t="s">
        <v>3937</v>
      </c>
      <c r="F130" s="165" t="s">
        <v>15</v>
      </c>
      <c r="G130" s="165" t="s">
        <v>8</v>
      </c>
      <c r="H130" s="165" t="s">
        <v>241</v>
      </c>
      <c r="I130" s="165" t="s">
        <v>3864</v>
      </c>
      <c r="J130" s="165" t="s">
        <v>3901</v>
      </c>
      <c r="K130" s="165"/>
      <c r="L130" s="165"/>
      <c r="M130" s="165"/>
      <c r="N130" s="165"/>
      <c r="O130" s="165"/>
      <c r="P130" s="165"/>
      <c r="Q130" s="165"/>
      <c r="R130" s="165"/>
      <c r="S130" s="165" t="s">
        <v>3902</v>
      </c>
      <c r="T130" s="165"/>
      <c r="U130" s="165"/>
      <c r="V130" s="165"/>
      <c r="W130" s="165"/>
      <c r="X130" s="165" t="s">
        <v>2428</v>
      </c>
      <c r="Y130">
        <v>2</v>
      </c>
      <c r="Z130" s="165" t="s">
        <v>3903</v>
      </c>
      <c r="AA130" s="165" t="s">
        <v>3811</v>
      </c>
      <c r="AB130" s="165" t="s">
        <v>3810</v>
      </c>
      <c r="AC130" s="165" t="s">
        <v>3809</v>
      </c>
      <c r="AD130" s="165" t="s">
        <v>4186</v>
      </c>
      <c r="AE130">
        <v>3</v>
      </c>
      <c r="AF130" s="165" t="s">
        <v>4187</v>
      </c>
      <c r="AG130">
        <v>388</v>
      </c>
      <c r="AH130">
        <v>418</v>
      </c>
      <c r="AI130">
        <v>41.8</v>
      </c>
      <c r="AJ130">
        <v>44.8</v>
      </c>
      <c r="AK130" s="165" t="s">
        <v>4188</v>
      </c>
      <c r="AL130">
        <v>39</v>
      </c>
      <c r="AM130">
        <v>44</v>
      </c>
      <c r="AN130">
        <v>4</v>
      </c>
      <c r="AO130">
        <v>4</v>
      </c>
      <c r="AP130">
        <v>16</v>
      </c>
      <c r="AQ130" s="165" t="s">
        <v>3815</v>
      </c>
      <c r="AR130" t="s">
        <v>3944</v>
      </c>
      <c r="AS130" s="165" t="s">
        <v>30</v>
      </c>
      <c r="AT130" t="s">
        <v>5291</v>
      </c>
      <c r="AU130" t="s">
        <v>5291</v>
      </c>
    </row>
    <row r="131" spans="1:47" hidden="1" x14ac:dyDescent="0.25">
      <c r="A131" s="165" t="s">
        <v>1280</v>
      </c>
      <c r="B131" s="165" t="s">
        <v>3404</v>
      </c>
      <c r="C131" s="165" t="s">
        <v>23</v>
      </c>
      <c r="D131" s="165" t="s">
        <v>1281</v>
      </c>
      <c r="E131" s="165" t="s">
        <v>3948</v>
      </c>
      <c r="F131" s="165" t="s">
        <v>15</v>
      </c>
      <c r="G131" s="165" t="s">
        <v>8</v>
      </c>
      <c r="H131" s="165" t="s">
        <v>241</v>
      </c>
      <c r="I131" s="165" t="s">
        <v>3864</v>
      </c>
      <c r="J131" s="165" t="s">
        <v>3901</v>
      </c>
      <c r="K131" s="165"/>
      <c r="L131" s="165"/>
      <c r="M131" s="165"/>
      <c r="N131" s="165"/>
      <c r="O131" s="165"/>
      <c r="P131" s="165"/>
      <c r="Q131" s="165"/>
      <c r="R131" s="165"/>
      <c r="S131" s="165" t="s">
        <v>3902</v>
      </c>
      <c r="T131" s="165"/>
      <c r="U131" s="165"/>
      <c r="V131" s="165"/>
      <c r="W131" s="165"/>
      <c r="X131" s="165" t="s">
        <v>2428</v>
      </c>
      <c r="Y131">
        <v>2</v>
      </c>
      <c r="Z131" s="165" t="s">
        <v>3903</v>
      </c>
      <c r="AA131" s="165" t="s">
        <v>3811</v>
      </c>
      <c r="AB131" s="165" t="s">
        <v>3810</v>
      </c>
      <c r="AC131" s="165" t="s">
        <v>3809</v>
      </c>
      <c r="AD131" s="165" t="s">
        <v>4186</v>
      </c>
      <c r="AE131">
        <v>3</v>
      </c>
      <c r="AF131" s="165" t="s">
        <v>4187</v>
      </c>
      <c r="AG131">
        <v>388</v>
      </c>
      <c r="AH131">
        <v>418</v>
      </c>
      <c r="AI131">
        <v>41.8</v>
      </c>
      <c r="AJ131">
        <v>44.8</v>
      </c>
      <c r="AK131" s="165" t="s">
        <v>4188</v>
      </c>
      <c r="AL131">
        <v>39</v>
      </c>
      <c r="AM131">
        <v>44</v>
      </c>
      <c r="AN131">
        <v>4</v>
      </c>
      <c r="AO131">
        <v>4</v>
      </c>
      <c r="AP131">
        <v>16</v>
      </c>
      <c r="AQ131" s="165" t="s">
        <v>3815</v>
      </c>
      <c r="AR131" t="s">
        <v>3932</v>
      </c>
      <c r="AS131" s="165" t="s">
        <v>30</v>
      </c>
      <c r="AT131" t="s">
        <v>5291</v>
      </c>
      <c r="AU131" t="s">
        <v>5291</v>
      </c>
    </row>
    <row r="132" spans="1:47" hidden="1" x14ac:dyDescent="0.25">
      <c r="A132" s="165" t="s">
        <v>1290</v>
      </c>
      <c r="B132" s="165" t="s">
        <v>3298</v>
      </c>
      <c r="C132" s="165" t="s">
        <v>23</v>
      </c>
      <c r="D132" s="165" t="s">
        <v>1291</v>
      </c>
      <c r="E132" s="165" t="s">
        <v>3950</v>
      </c>
      <c r="F132" s="165" t="s">
        <v>181</v>
      </c>
      <c r="G132" s="165" t="s">
        <v>8</v>
      </c>
      <c r="H132" s="165" t="s">
        <v>241</v>
      </c>
      <c r="I132" s="165" t="s">
        <v>3864</v>
      </c>
      <c r="J132" s="165" t="s">
        <v>3901</v>
      </c>
      <c r="K132" s="165"/>
      <c r="L132" s="165"/>
      <c r="M132" s="165"/>
      <c r="N132" s="165"/>
      <c r="O132" s="165"/>
      <c r="P132" s="165"/>
      <c r="Q132" s="165"/>
      <c r="R132" s="165"/>
      <c r="S132" s="165" t="s">
        <v>3902</v>
      </c>
      <c r="T132" s="165"/>
      <c r="U132" s="165"/>
      <c r="V132" s="165"/>
      <c r="W132" s="165"/>
      <c r="X132" s="165" t="s">
        <v>2428</v>
      </c>
      <c r="Y132">
        <v>2</v>
      </c>
      <c r="Z132" s="165" t="s">
        <v>3903</v>
      </c>
      <c r="AA132" s="165" t="s">
        <v>3811</v>
      </c>
      <c r="AB132" s="165" t="s">
        <v>3810</v>
      </c>
      <c r="AC132" s="165" t="s">
        <v>3809</v>
      </c>
      <c r="AD132" s="165" t="s">
        <v>4186</v>
      </c>
      <c r="AE132">
        <v>3</v>
      </c>
      <c r="AF132" s="165" t="s">
        <v>4187</v>
      </c>
      <c r="AG132">
        <v>388</v>
      </c>
      <c r="AH132">
        <v>418</v>
      </c>
      <c r="AI132">
        <v>41.8</v>
      </c>
      <c r="AJ132">
        <v>44.8</v>
      </c>
      <c r="AK132" s="165" t="s">
        <v>4188</v>
      </c>
      <c r="AL132">
        <v>39</v>
      </c>
      <c r="AM132">
        <v>44</v>
      </c>
      <c r="AN132">
        <v>4</v>
      </c>
      <c r="AO132">
        <v>4</v>
      </c>
      <c r="AP132">
        <v>16</v>
      </c>
      <c r="AQ132" s="165" t="s">
        <v>3815</v>
      </c>
      <c r="AR132" t="s">
        <v>3830</v>
      </c>
      <c r="AS132" s="165" t="s">
        <v>30</v>
      </c>
      <c r="AT132" t="s">
        <v>5291</v>
      </c>
      <c r="AU132" t="s">
        <v>5291</v>
      </c>
    </row>
    <row r="133" spans="1:47" hidden="1" x14ac:dyDescent="0.25">
      <c r="A133" s="165" t="s">
        <v>4198</v>
      </c>
      <c r="B133" s="165" t="s">
        <v>88</v>
      </c>
      <c r="C133" s="165" t="s">
        <v>23</v>
      </c>
      <c r="D133" s="165" t="s">
        <v>4199</v>
      </c>
      <c r="E133" s="165" t="s">
        <v>4200</v>
      </c>
      <c r="F133" s="165" t="s">
        <v>181</v>
      </c>
      <c r="G133" s="165" t="s">
        <v>3878</v>
      </c>
      <c r="H133" s="165" t="s">
        <v>176</v>
      </c>
      <c r="I133" s="165" t="s">
        <v>2428</v>
      </c>
      <c r="J133" s="165" t="s">
        <v>4201</v>
      </c>
      <c r="K133" s="165"/>
      <c r="L133" s="165"/>
      <c r="M133" s="165"/>
      <c r="N133" s="165"/>
      <c r="O133" s="165"/>
      <c r="P133" s="165"/>
      <c r="Q133" s="165"/>
      <c r="R133" s="165" t="s">
        <v>3842</v>
      </c>
      <c r="S133" s="165"/>
      <c r="T133" s="165"/>
      <c r="U133" s="165" t="s">
        <v>3807</v>
      </c>
      <c r="V133" s="165"/>
      <c r="W133" s="165"/>
      <c r="X133" s="165"/>
      <c r="Y133">
        <v>2</v>
      </c>
      <c r="Z133" s="165" t="s">
        <v>3843</v>
      </c>
      <c r="AA133" s="165" t="s">
        <v>3811</v>
      </c>
      <c r="AB133" s="165" t="s">
        <v>3810</v>
      </c>
      <c r="AC133" s="165" t="s">
        <v>3809</v>
      </c>
      <c r="AD133" s="165" t="s">
        <v>4186</v>
      </c>
      <c r="AE133">
        <v>3</v>
      </c>
      <c r="AF133" s="165" t="s">
        <v>4187</v>
      </c>
      <c r="AG133">
        <v>388</v>
      </c>
      <c r="AH133">
        <v>418</v>
      </c>
      <c r="AI133">
        <v>41.8</v>
      </c>
      <c r="AJ133">
        <v>44.8</v>
      </c>
      <c r="AK133" s="165" t="s">
        <v>4188</v>
      </c>
      <c r="AL133">
        <v>39</v>
      </c>
      <c r="AM133">
        <v>44</v>
      </c>
      <c r="AN133">
        <v>4</v>
      </c>
      <c r="AO133">
        <v>4</v>
      </c>
      <c r="AP133">
        <v>16</v>
      </c>
      <c r="AQ133" s="165" t="s">
        <v>3978</v>
      </c>
      <c r="AR133" t="s">
        <v>4202</v>
      </c>
      <c r="AS133" s="165" t="s">
        <v>30</v>
      </c>
      <c r="AT133" t="s">
        <v>5291</v>
      </c>
      <c r="AU133" t="s">
        <v>5291</v>
      </c>
    </row>
    <row r="134" spans="1:47" hidden="1" x14ac:dyDescent="0.25">
      <c r="A134" s="165" t="s">
        <v>4203</v>
      </c>
      <c r="B134" s="165" t="s">
        <v>88</v>
      </c>
      <c r="C134" s="165" t="s">
        <v>23</v>
      </c>
      <c r="D134" s="165" t="s">
        <v>4204</v>
      </c>
      <c r="E134" s="165" t="s">
        <v>3914</v>
      </c>
      <c r="F134" s="165" t="s">
        <v>3935</v>
      </c>
      <c r="G134" s="165" t="s">
        <v>3878</v>
      </c>
      <c r="H134" s="165" t="s">
        <v>176</v>
      </c>
      <c r="I134" s="165" t="s">
        <v>2428</v>
      </c>
      <c r="J134" s="165" t="s">
        <v>4201</v>
      </c>
      <c r="K134" s="165"/>
      <c r="L134" s="165"/>
      <c r="M134" s="165"/>
      <c r="N134" s="165"/>
      <c r="O134" s="165"/>
      <c r="P134" s="165"/>
      <c r="Q134" s="165"/>
      <c r="R134" s="165" t="s">
        <v>3842</v>
      </c>
      <c r="S134" s="165"/>
      <c r="T134" s="165"/>
      <c r="U134" s="165" t="s">
        <v>3807</v>
      </c>
      <c r="V134" s="165"/>
      <c r="W134" s="165"/>
      <c r="X134" s="165"/>
      <c r="Y134">
        <v>2</v>
      </c>
      <c r="Z134" s="165" t="s">
        <v>3843</v>
      </c>
      <c r="AA134" s="165" t="s">
        <v>3811</v>
      </c>
      <c r="AB134" s="165" t="s">
        <v>3810</v>
      </c>
      <c r="AC134" s="165" t="s">
        <v>3809</v>
      </c>
      <c r="AD134" s="165" t="s">
        <v>4186</v>
      </c>
      <c r="AE134">
        <v>3</v>
      </c>
      <c r="AF134" s="165" t="s">
        <v>4187</v>
      </c>
      <c r="AG134">
        <v>388</v>
      </c>
      <c r="AH134">
        <v>418</v>
      </c>
      <c r="AI134">
        <v>41.8</v>
      </c>
      <c r="AJ134">
        <v>44.8</v>
      </c>
      <c r="AK134" s="165" t="s">
        <v>4188</v>
      </c>
      <c r="AL134">
        <v>39</v>
      </c>
      <c r="AM134">
        <v>44</v>
      </c>
      <c r="AN134">
        <v>4</v>
      </c>
      <c r="AO134">
        <v>4</v>
      </c>
      <c r="AP134">
        <v>16</v>
      </c>
      <c r="AQ134" s="165" t="s">
        <v>3815</v>
      </c>
      <c r="AR134" t="s">
        <v>4205</v>
      </c>
      <c r="AS134" s="165" t="s">
        <v>30</v>
      </c>
      <c r="AT134" t="s">
        <v>5291</v>
      </c>
      <c r="AU134" t="s">
        <v>5291</v>
      </c>
    </row>
    <row r="135" spans="1:47" hidden="1" x14ac:dyDescent="0.25">
      <c r="A135" s="165" t="s">
        <v>4206</v>
      </c>
      <c r="B135" s="165" t="s">
        <v>88</v>
      </c>
      <c r="C135" s="165" t="s">
        <v>23</v>
      </c>
      <c r="D135" s="165" t="s">
        <v>4207</v>
      </c>
      <c r="E135" s="165" t="s">
        <v>4208</v>
      </c>
      <c r="F135" s="165" t="s">
        <v>181</v>
      </c>
      <c r="G135" s="165" t="s">
        <v>3878</v>
      </c>
      <c r="H135" s="165" t="s">
        <v>176</v>
      </c>
      <c r="I135" s="165" t="s">
        <v>2428</v>
      </c>
      <c r="J135" s="165" t="s">
        <v>4201</v>
      </c>
      <c r="K135" s="165"/>
      <c r="L135" s="165"/>
      <c r="M135" s="165"/>
      <c r="N135" s="165"/>
      <c r="O135" s="165"/>
      <c r="P135" s="165"/>
      <c r="Q135" s="165"/>
      <c r="R135" s="165" t="s">
        <v>3842</v>
      </c>
      <c r="S135" s="165"/>
      <c r="T135" s="165"/>
      <c r="U135" s="165" t="s">
        <v>3807</v>
      </c>
      <c r="V135" s="165"/>
      <c r="W135" s="165"/>
      <c r="X135" s="165"/>
      <c r="Y135">
        <v>2</v>
      </c>
      <c r="Z135" s="165" t="s">
        <v>3843</v>
      </c>
      <c r="AA135" s="165" t="s">
        <v>3811</v>
      </c>
      <c r="AB135" s="165" t="s">
        <v>3810</v>
      </c>
      <c r="AC135" s="165" t="s">
        <v>3809</v>
      </c>
      <c r="AD135" s="165" t="s">
        <v>4186</v>
      </c>
      <c r="AE135">
        <v>3</v>
      </c>
      <c r="AF135" s="165" t="s">
        <v>4187</v>
      </c>
      <c r="AG135">
        <v>388</v>
      </c>
      <c r="AH135">
        <v>418</v>
      </c>
      <c r="AI135">
        <v>41.8</v>
      </c>
      <c r="AJ135">
        <v>44.8</v>
      </c>
      <c r="AK135" s="165" t="s">
        <v>4188</v>
      </c>
      <c r="AL135">
        <v>39</v>
      </c>
      <c r="AM135">
        <v>44</v>
      </c>
      <c r="AN135">
        <v>4</v>
      </c>
      <c r="AO135">
        <v>4</v>
      </c>
      <c r="AP135">
        <v>16</v>
      </c>
      <c r="AQ135" s="165" t="s">
        <v>3978</v>
      </c>
      <c r="AR135" t="s">
        <v>4202</v>
      </c>
      <c r="AS135" s="165" t="s">
        <v>30</v>
      </c>
      <c r="AT135" t="s">
        <v>5291</v>
      </c>
      <c r="AU135" t="s">
        <v>5291</v>
      </c>
    </row>
    <row r="136" spans="1:47" hidden="1" x14ac:dyDescent="0.25">
      <c r="A136" s="165" t="s">
        <v>1238</v>
      </c>
      <c r="B136" s="165" t="s">
        <v>4209</v>
      </c>
      <c r="C136" s="165" t="s">
        <v>23</v>
      </c>
      <c r="D136" s="165" t="s">
        <v>1239</v>
      </c>
      <c r="E136" s="165" t="s">
        <v>4210</v>
      </c>
      <c r="F136" s="165" t="s">
        <v>3850</v>
      </c>
      <c r="G136" s="165" t="s">
        <v>8</v>
      </c>
      <c r="H136" s="165" t="s">
        <v>241</v>
      </c>
      <c r="I136" s="165" t="s">
        <v>3819</v>
      </c>
      <c r="J136" s="165" t="s">
        <v>4211</v>
      </c>
      <c r="K136" s="165"/>
      <c r="L136" s="165"/>
      <c r="M136" s="165"/>
      <c r="N136" s="165"/>
      <c r="O136" s="165"/>
      <c r="P136" s="165"/>
      <c r="Q136" s="165"/>
      <c r="R136" s="165"/>
      <c r="S136" s="165" t="s">
        <v>3902</v>
      </c>
      <c r="T136" s="165"/>
      <c r="U136" s="165"/>
      <c r="V136" s="165"/>
      <c r="W136" s="165"/>
      <c r="X136" s="165" t="s">
        <v>2428</v>
      </c>
      <c r="Y136">
        <v>2</v>
      </c>
      <c r="Z136" s="165" t="s">
        <v>3903</v>
      </c>
      <c r="AA136" s="165" t="s">
        <v>3811</v>
      </c>
      <c r="AB136" s="165" t="s">
        <v>3810</v>
      </c>
      <c r="AC136" s="165" t="s">
        <v>3809</v>
      </c>
      <c r="AD136" s="165" t="s">
        <v>4212</v>
      </c>
      <c r="AE136">
        <v>36</v>
      </c>
      <c r="AF136" s="165" t="s">
        <v>4213</v>
      </c>
      <c r="AG136">
        <v>393</v>
      </c>
      <c r="AH136">
        <v>278</v>
      </c>
      <c r="AI136">
        <v>42.3</v>
      </c>
      <c r="AJ136">
        <v>30.8</v>
      </c>
      <c r="AK136" s="165" t="s">
        <v>4214</v>
      </c>
      <c r="AN136">
        <v>2</v>
      </c>
      <c r="AO136">
        <v>4</v>
      </c>
      <c r="AP136">
        <v>8</v>
      </c>
      <c r="AQ136" s="165" t="s">
        <v>3815</v>
      </c>
      <c r="AR136" t="s">
        <v>3966</v>
      </c>
      <c r="AS136" s="165" t="s">
        <v>30</v>
      </c>
      <c r="AT136" t="s">
        <v>5291</v>
      </c>
      <c r="AU136" t="s">
        <v>5291</v>
      </c>
    </row>
    <row r="137" spans="1:47" hidden="1" x14ac:dyDescent="0.25">
      <c r="A137" s="165" t="s">
        <v>776</v>
      </c>
      <c r="B137" s="165" t="s">
        <v>4215</v>
      </c>
      <c r="C137" s="165" t="s">
        <v>23</v>
      </c>
      <c r="D137" s="165" t="s">
        <v>777</v>
      </c>
      <c r="E137" s="165" t="s">
        <v>4216</v>
      </c>
      <c r="F137" s="165" t="s">
        <v>11</v>
      </c>
      <c r="G137" s="165" t="s">
        <v>8</v>
      </c>
      <c r="H137" s="165" t="s">
        <v>241</v>
      </c>
      <c r="I137" s="165" t="s">
        <v>3803</v>
      </c>
      <c r="J137" s="165" t="s">
        <v>4011</v>
      </c>
      <c r="K137" s="165"/>
      <c r="L137" s="165"/>
      <c r="M137" s="165"/>
      <c r="N137" s="165"/>
      <c r="O137" s="165"/>
      <c r="P137" s="165"/>
      <c r="Q137" s="165"/>
      <c r="R137" s="165"/>
      <c r="S137" s="165" t="s">
        <v>3902</v>
      </c>
      <c r="T137" s="165"/>
      <c r="U137" s="165"/>
      <c r="V137" s="165"/>
      <c r="W137" s="165"/>
      <c r="X137" s="165" t="s">
        <v>2428</v>
      </c>
      <c r="Y137">
        <v>2</v>
      </c>
      <c r="Z137" s="165" t="s">
        <v>3903</v>
      </c>
      <c r="AA137" s="165" t="s">
        <v>3811</v>
      </c>
      <c r="AB137" s="165" t="s">
        <v>3810</v>
      </c>
      <c r="AC137" s="165" t="s">
        <v>3809</v>
      </c>
      <c r="AD137" s="165" t="s">
        <v>4217</v>
      </c>
      <c r="AE137">
        <v>47</v>
      </c>
      <c r="AF137" s="165" t="s">
        <v>4218</v>
      </c>
      <c r="AG137">
        <v>395</v>
      </c>
      <c r="AH137">
        <v>324</v>
      </c>
      <c r="AI137">
        <v>42.5</v>
      </c>
      <c r="AJ137">
        <v>35.4</v>
      </c>
      <c r="AK137" s="165" t="s">
        <v>4219</v>
      </c>
      <c r="AN137">
        <v>2</v>
      </c>
      <c r="AO137">
        <v>4</v>
      </c>
      <c r="AP137">
        <v>8</v>
      </c>
      <c r="AQ137" s="165" t="s">
        <v>3815</v>
      </c>
      <c r="AR137">
        <v>2023</v>
      </c>
      <c r="AS137" s="165" t="s">
        <v>30</v>
      </c>
      <c r="AT137" t="s">
        <v>5291</v>
      </c>
      <c r="AU137" t="s">
        <v>5291</v>
      </c>
    </row>
    <row r="138" spans="1:47" hidden="1" x14ac:dyDescent="0.25">
      <c r="A138" s="165" t="s">
        <v>835</v>
      </c>
      <c r="B138" s="165" t="s">
        <v>3312</v>
      </c>
      <c r="C138" s="165" t="s">
        <v>23</v>
      </c>
      <c r="D138" s="165" t="s">
        <v>836</v>
      </c>
      <c r="E138" s="165" t="s">
        <v>4220</v>
      </c>
      <c r="F138" s="165" t="s">
        <v>11</v>
      </c>
      <c r="G138" s="165" t="s">
        <v>8</v>
      </c>
      <c r="H138" s="165" t="s">
        <v>241</v>
      </c>
      <c r="I138" s="165" t="s">
        <v>3803</v>
      </c>
      <c r="J138" s="165" t="s">
        <v>4011</v>
      </c>
      <c r="K138" s="165"/>
      <c r="L138" s="165"/>
      <c r="M138" s="165"/>
      <c r="N138" s="165"/>
      <c r="O138" s="165"/>
      <c r="P138" s="165"/>
      <c r="Q138" s="165"/>
      <c r="R138" s="165"/>
      <c r="S138" s="165" t="s">
        <v>3902</v>
      </c>
      <c r="T138" s="165"/>
      <c r="U138" s="165"/>
      <c r="V138" s="165"/>
      <c r="W138" s="165"/>
      <c r="X138" s="165" t="s">
        <v>2428</v>
      </c>
      <c r="Y138">
        <v>2</v>
      </c>
      <c r="Z138" s="165" t="s">
        <v>3903</v>
      </c>
      <c r="AA138" s="165" t="s">
        <v>3811</v>
      </c>
      <c r="AB138" s="165" t="s">
        <v>3810</v>
      </c>
      <c r="AC138" s="165" t="s">
        <v>3809</v>
      </c>
      <c r="AD138" s="165" t="s">
        <v>4217</v>
      </c>
      <c r="AE138">
        <v>47</v>
      </c>
      <c r="AF138" s="165" t="s">
        <v>4218</v>
      </c>
      <c r="AG138">
        <v>395</v>
      </c>
      <c r="AH138">
        <v>324</v>
      </c>
      <c r="AI138">
        <v>42.5</v>
      </c>
      <c r="AJ138">
        <v>35.4</v>
      </c>
      <c r="AK138" s="165" t="s">
        <v>4219</v>
      </c>
      <c r="AN138">
        <v>2</v>
      </c>
      <c r="AO138">
        <v>4</v>
      </c>
      <c r="AP138">
        <v>8</v>
      </c>
      <c r="AQ138" s="165" t="s">
        <v>3815</v>
      </c>
      <c r="AR138" t="s">
        <v>3830</v>
      </c>
      <c r="AS138" s="165" t="s">
        <v>30</v>
      </c>
      <c r="AT138" t="s">
        <v>5291</v>
      </c>
      <c r="AU138" t="s">
        <v>5291</v>
      </c>
    </row>
    <row r="139" spans="1:47" hidden="1" x14ac:dyDescent="0.25">
      <c r="A139" s="165" t="s">
        <v>1228</v>
      </c>
      <c r="B139" s="165" t="s">
        <v>3394</v>
      </c>
      <c r="C139" s="165" t="s">
        <v>23</v>
      </c>
      <c r="D139" s="165" t="s">
        <v>1229</v>
      </c>
      <c r="E139" s="165" t="s">
        <v>4163</v>
      </c>
      <c r="F139" s="165" t="s">
        <v>15</v>
      </c>
      <c r="G139" s="165" t="s">
        <v>8</v>
      </c>
      <c r="H139" s="165" t="s">
        <v>241</v>
      </c>
      <c r="I139" s="165" t="s">
        <v>3864</v>
      </c>
      <c r="J139" s="165" t="s">
        <v>3901</v>
      </c>
      <c r="K139" s="165"/>
      <c r="L139" s="165"/>
      <c r="M139" s="165"/>
      <c r="N139" s="165"/>
      <c r="O139" s="165"/>
      <c r="P139" s="165"/>
      <c r="Q139" s="165"/>
      <c r="R139" s="165"/>
      <c r="S139" s="165" t="s">
        <v>3902</v>
      </c>
      <c r="T139" s="165"/>
      <c r="U139" s="165"/>
      <c r="V139" s="165"/>
      <c r="W139" s="165"/>
      <c r="X139" s="165" t="s">
        <v>2428</v>
      </c>
      <c r="Y139">
        <v>2</v>
      </c>
      <c r="Z139" s="165" t="s">
        <v>3903</v>
      </c>
      <c r="AA139" s="165" t="s">
        <v>3811</v>
      </c>
      <c r="AB139" s="165" t="s">
        <v>3810</v>
      </c>
      <c r="AC139" s="165" t="s">
        <v>3809</v>
      </c>
      <c r="AD139" s="165" t="s">
        <v>4221</v>
      </c>
      <c r="AE139">
        <v>122</v>
      </c>
      <c r="AF139" s="165" t="s">
        <v>4222</v>
      </c>
      <c r="AG139">
        <v>39</v>
      </c>
      <c r="AH139">
        <v>376</v>
      </c>
      <c r="AI139">
        <v>42</v>
      </c>
      <c r="AJ139">
        <v>40.6</v>
      </c>
      <c r="AK139" s="165" t="s">
        <v>4223</v>
      </c>
      <c r="AN139">
        <v>4</v>
      </c>
      <c r="AO139">
        <v>4</v>
      </c>
      <c r="AP139">
        <v>16</v>
      </c>
      <c r="AQ139" s="165" t="s">
        <v>3815</v>
      </c>
      <c r="AR139" t="s">
        <v>3909</v>
      </c>
      <c r="AS139" s="165" t="s">
        <v>30</v>
      </c>
      <c r="AT139" t="s">
        <v>5291</v>
      </c>
      <c r="AU139" t="s">
        <v>5291</v>
      </c>
    </row>
    <row r="140" spans="1:47" hidden="1" x14ac:dyDescent="0.25">
      <c r="A140" s="165" t="s">
        <v>1294</v>
      </c>
      <c r="B140" s="165" t="s">
        <v>3370</v>
      </c>
      <c r="C140" s="165" t="s">
        <v>23</v>
      </c>
      <c r="D140" s="165" t="s">
        <v>1295</v>
      </c>
      <c r="E140" s="165" t="s">
        <v>4224</v>
      </c>
      <c r="F140" s="165" t="s">
        <v>4137</v>
      </c>
      <c r="G140" s="165" t="s">
        <v>8</v>
      </c>
      <c r="H140" s="165" t="s">
        <v>241</v>
      </c>
      <c r="I140" s="165" t="s">
        <v>3902</v>
      </c>
      <c r="J140" s="165" t="s">
        <v>4225</v>
      </c>
      <c r="K140" s="165"/>
      <c r="L140" s="165"/>
      <c r="M140" s="165"/>
      <c r="N140" s="165"/>
      <c r="O140" s="165"/>
      <c r="P140" s="165"/>
      <c r="Q140" s="165"/>
      <c r="R140" s="165"/>
      <c r="S140" s="165" t="s">
        <v>3902</v>
      </c>
      <c r="T140" s="165"/>
      <c r="U140" s="165"/>
      <c r="V140" s="165"/>
      <c r="W140" s="165"/>
      <c r="X140" s="165" t="s">
        <v>2428</v>
      </c>
      <c r="Y140">
        <v>2</v>
      </c>
      <c r="Z140" s="165" t="s">
        <v>3903</v>
      </c>
      <c r="AA140" s="165" t="s">
        <v>3811</v>
      </c>
      <c r="AB140" s="165" t="s">
        <v>3810</v>
      </c>
      <c r="AC140" s="165" t="s">
        <v>3809</v>
      </c>
      <c r="AD140" s="165" t="s">
        <v>4226</v>
      </c>
      <c r="AE140">
        <v>43</v>
      </c>
      <c r="AF140" s="165" t="s">
        <v>4227</v>
      </c>
      <c r="AG140">
        <v>402</v>
      </c>
      <c r="AH140">
        <v>244</v>
      </c>
      <c r="AI140">
        <v>43.2</v>
      </c>
      <c r="AJ140">
        <v>27.4</v>
      </c>
      <c r="AK140" s="165" t="s">
        <v>4228</v>
      </c>
      <c r="AN140">
        <v>1</v>
      </c>
      <c r="AO140">
        <v>6</v>
      </c>
      <c r="AP140">
        <v>6</v>
      </c>
      <c r="AQ140" s="165" t="s">
        <v>3815</v>
      </c>
      <c r="AR140" t="s">
        <v>4009</v>
      </c>
      <c r="AS140" s="165" t="s">
        <v>30</v>
      </c>
      <c r="AT140" t="s">
        <v>5291</v>
      </c>
      <c r="AU140" t="s">
        <v>5291</v>
      </c>
    </row>
    <row r="141" spans="1:47" hidden="1" x14ac:dyDescent="0.25">
      <c r="A141" s="165" t="s">
        <v>739</v>
      </c>
      <c r="B141" s="165" t="s">
        <v>3310</v>
      </c>
      <c r="C141" s="165" t="s">
        <v>23</v>
      </c>
      <c r="D141" s="165" t="s">
        <v>740</v>
      </c>
      <c r="E141" s="165" t="s">
        <v>4229</v>
      </c>
      <c r="F141" s="165" t="s">
        <v>11</v>
      </c>
      <c r="G141" s="165" t="s">
        <v>8</v>
      </c>
      <c r="H141" s="165" t="s">
        <v>241</v>
      </c>
      <c r="I141" s="165" t="s">
        <v>3803</v>
      </c>
      <c r="J141" s="165" t="s">
        <v>4011</v>
      </c>
      <c r="K141" s="165"/>
      <c r="L141" s="165"/>
      <c r="M141" s="165"/>
      <c r="N141" s="165"/>
      <c r="O141" s="165"/>
      <c r="P141" s="165"/>
      <c r="Q141" s="165"/>
      <c r="R141" s="165"/>
      <c r="S141" s="165" t="s">
        <v>3902</v>
      </c>
      <c r="T141" s="165"/>
      <c r="U141" s="165"/>
      <c r="V141" s="165"/>
      <c r="W141" s="165"/>
      <c r="X141" s="165" t="s">
        <v>2428</v>
      </c>
      <c r="Y141">
        <v>2</v>
      </c>
      <c r="Z141" s="165" t="s">
        <v>3903</v>
      </c>
      <c r="AA141" s="165" t="s">
        <v>3811</v>
      </c>
      <c r="AB141" s="165" t="s">
        <v>3810</v>
      </c>
      <c r="AC141" s="165" t="s">
        <v>3809</v>
      </c>
      <c r="AD141" s="165" t="s">
        <v>4230</v>
      </c>
      <c r="AE141">
        <v>97</v>
      </c>
      <c r="AF141" s="165" t="s">
        <v>4231</v>
      </c>
      <c r="AG141">
        <v>539</v>
      </c>
      <c r="AH141">
        <v>358</v>
      </c>
      <c r="AI141">
        <v>56.9</v>
      </c>
      <c r="AJ141">
        <v>38.799999999999997</v>
      </c>
      <c r="AK141" s="165" t="s">
        <v>4232</v>
      </c>
      <c r="AN141">
        <v>8</v>
      </c>
      <c r="AO141">
        <v>4</v>
      </c>
      <c r="AP141">
        <v>32</v>
      </c>
      <c r="AQ141" s="165" t="s">
        <v>3815</v>
      </c>
      <c r="AR141" t="s">
        <v>3870</v>
      </c>
      <c r="AS141" s="165" t="s">
        <v>30</v>
      </c>
      <c r="AT141" t="s">
        <v>5291</v>
      </c>
      <c r="AU141" t="s">
        <v>5291</v>
      </c>
    </row>
    <row r="142" spans="1:47" hidden="1" x14ac:dyDescent="0.25">
      <c r="A142" s="165" t="s">
        <v>907</v>
      </c>
      <c r="B142" s="165" t="s">
        <v>4233</v>
      </c>
      <c r="C142" s="165" t="s">
        <v>23</v>
      </c>
      <c r="D142" s="165" t="s">
        <v>908</v>
      </c>
      <c r="E142" s="165" t="s">
        <v>3957</v>
      </c>
      <c r="F142" s="165" t="s">
        <v>4234</v>
      </c>
      <c r="G142" s="165" t="s">
        <v>8</v>
      </c>
      <c r="H142" s="165" t="s">
        <v>251</v>
      </c>
      <c r="I142" s="165" t="s">
        <v>3864</v>
      </c>
      <c r="J142" s="165" t="s">
        <v>4235</v>
      </c>
      <c r="K142" s="165" t="s">
        <v>3819</v>
      </c>
      <c r="L142" s="165" t="s">
        <v>3820</v>
      </c>
      <c r="M142" s="165" t="s">
        <v>3803</v>
      </c>
      <c r="N142" s="165" t="s">
        <v>3805</v>
      </c>
      <c r="O142" s="165"/>
      <c r="P142" s="165"/>
      <c r="Q142" s="165"/>
      <c r="R142" s="165"/>
      <c r="S142" s="165"/>
      <c r="T142" s="165"/>
      <c r="U142" s="165" t="s">
        <v>3807</v>
      </c>
      <c r="V142" s="165" t="s">
        <v>3821</v>
      </c>
      <c r="W142" s="165" t="s">
        <v>3822</v>
      </c>
      <c r="X142" s="165"/>
      <c r="Y142">
        <v>7</v>
      </c>
      <c r="Z142" s="165" t="s">
        <v>3823</v>
      </c>
      <c r="AA142" s="165" t="s">
        <v>3809</v>
      </c>
      <c r="AB142" s="165" t="s">
        <v>3810</v>
      </c>
      <c r="AC142" s="165" t="s">
        <v>3811</v>
      </c>
      <c r="AD142" s="165" t="s">
        <v>4236</v>
      </c>
      <c r="AE142">
        <v>62</v>
      </c>
      <c r="AF142" s="165" t="s">
        <v>4237</v>
      </c>
      <c r="AG142">
        <v>407</v>
      </c>
      <c r="AH142">
        <v>328</v>
      </c>
      <c r="AI142">
        <v>43.7</v>
      </c>
      <c r="AJ142">
        <v>35.799999999999997</v>
      </c>
      <c r="AK142" s="165" t="s">
        <v>4238</v>
      </c>
      <c r="AN142">
        <v>4</v>
      </c>
      <c r="AO142">
        <v>4</v>
      </c>
      <c r="AP142">
        <v>16</v>
      </c>
      <c r="AQ142" s="165" t="s">
        <v>3815</v>
      </c>
      <c r="AR142" t="s">
        <v>4239</v>
      </c>
      <c r="AS142" s="165" t="s">
        <v>174</v>
      </c>
      <c r="AT142" t="s">
        <v>5291</v>
      </c>
      <c r="AU142" t="s">
        <v>5291</v>
      </c>
    </row>
    <row r="143" spans="1:47" hidden="1" x14ac:dyDescent="0.25">
      <c r="A143" s="165" t="s">
        <v>4240</v>
      </c>
      <c r="B143" s="165" t="s">
        <v>88</v>
      </c>
      <c r="C143" s="165" t="s">
        <v>23</v>
      </c>
      <c r="D143" s="165" t="s">
        <v>4241</v>
      </c>
      <c r="E143" s="165" t="s">
        <v>3985</v>
      </c>
      <c r="F143" s="165" t="s">
        <v>181</v>
      </c>
      <c r="G143" s="165" t="s">
        <v>3878</v>
      </c>
      <c r="H143" s="165" t="s">
        <v>269</v>
      </c>
      <c r="I143" s="165" t="s">
        <v>2428</v>
      </c>
      <c r="J143" s="165" t="s">
        <v>3887</v>
      </c>
      <c r="K143" s="165" t="s">
        <v>3819</v>
      </c>
      <c r="L143" s="165" t="s">
        <v>3820</v>
      </c>
      <c r="M143" s="165" t="s">
        <v>3803</v>
      </c>
      <c r="N143" s="165" t="s">
        <v>3805</v>
      </c>
      <c r="O143" s="165"/>
      <c r="P143" s="165"/>
      <c r="Q143" s="165" t="s">
        <v>3888</v>
      </c>
      <c r="R143" s="165"/>
      <c r="S143" s="165"/>
      <c r="T143" s="165"/>
      <c r="U143" s="165" t="s">
        <v>3807</v>
      </c>
      <c r="V143" s="165"/>
      <c r="W143" s="165"/>
      <c r="X143" s="165"/>
      <c r="Y143">
        <v>6</v>
      </c>
      <c r="Z143" s="165" t="s">
        <v>3889</v>
      </c>
      <c r="AA143" s="165" t="s">
        <v>3809</v>
      </c>
      <c r="AB143" s="165" t="s">
        <v>3811</v>
      </c>
      <c r="AC143" s="165" t="s">
        <v>3810</v>
      </c>
      <c r="AD143" s="165" t="s">
        <v>3890</v>
      </c>
      <c r="AE143">
        <v>77</v>
      </c>
      <c r="AF143" s="165" t="s">
        <v>4242</v>
      </c>
      <c r="AG143">
        <v>408</v>
      </c>
      <c r="AH143">
        <v>223</v>
      </c>
      <c r="AI143">
        <v>43.8</v>
      </c>
      <c r="AJ143">
        <v>25.3</v>
      </c>
      <c r="AK143" s="165" t="s">
        <v>4243</v>
      </c>
      <c r="AN143">
        <v>2</v>
      </c>
      <c r="AO143">
        <v>6</v>
      </c>
      <c r="AP143">
        <v>12</v>
      </c>
      <c r="AQ143" s="165" t="s">
        <v>3815</v>
      </c>
      <c r="AR143" t="s">
        <v>4244</v>
      </c>
      <c r="AS143" s="165" t="s">
        <v>3786</v>
      </c>
      <c r="AT143" t="s">
        <v>5291</v>
      </c>
      <c r="AU143" t="s">
        <v>5291</v>
      </c>
    </row>
    <row r="144" spans="1:47" hidden="1" x14ac:dyDescent="0.25">
      <c r="A144" s="165" t="s">
        <v>1470</v>
      </c>
      <c r="B144" s="165" t="s">
        <v>3293</v>
      </c>
      <c r="C144" s="165" t="s">
        <v>23</v>
      </c>
      <c r="D144" s="165" t="s">
        <v>1471</v>
      </c>
      <c r="E144" s="165" t="s">
        <v>4245</v>
      </c>
      <c r="F144" s="165" t="s">
        <v>4137</v>
      </c>
      <c r="G144" s="165" t="s">
        <v>8</v>
      </c>
      <c r="H144" s="165" t="s">
        <v>241</v>
      </c>
      <c r="I144" s="165" t="s">
        <v>3902</v>
      </c>
      <c r="J144" s="165" t="s">
        <v>4225</v>
      </c>
      <c r="K144" s="165"/>
      <c r="L144" s="165"/>
      <c r="M144" s="165"/>
      <c r="N144" s="165"/>
      <c r="O144" s="165"/>
      <c r="P144" s="165"/>
      <c r="Q144" s="165"/>
      <c r="R144" s="165"/>
      <c r="S144" s="165" t="s">
        <v>3902</v>
      </c>
      <c r="T144" s="165"/>
      <c r="U144" s="165"/>
      <c r="V144" s="165"/>
      <c r="W144" s="165"/>
      <c r="X144" s="165" t="s">
        <v>2428</v>
      </c>
      <c r="Y144">
        <v>2</v>
      </c>
      <c r="Z144" s="165" t="s">
        <v>3903</v>
      </c>
      <c r="AA144" s="165" t="s">
        <v>3811</v>
      </c>
      <c r="AB144" s="165" t="s">
        <v>3810</v>
      </c>
      <c r="AC144" s="165" t="s">
        <v>3809</v>
      </c>
      <c r="AD144" s="165" t="s">
        <v>4246</v>
      </c>
      <c r="AE144">
        <v>19</v>
      </c>
      <c r="AF144" s="165" t="s">
        <v>4247</v>
      </c>
      <c r="AG144">
        <v>40</v>
      </c>
      <c r="AH144">
        <v>282</v>
      </c>
      <c r="AI144">
        <v>43</v>
      </c>
      <c r="AJ144">
        <v>31.2</v>
      </c>
      <c r="AK144" s="165" t="s">
        <v>4248</v>
      </c>
      <c r="AN144">
        <v>6</v>
      </c>
      <c r="AO144">
        <v>4</v>
      </c>
      <c r="AP144">
        <v>24</v>
      </c>
      <c r="AQ144" s="165" t="s">
        <v>3815</v>
      </c>
      <c r="AR144" t="s">
        <v>3830</v>
      </c>
      <c r="AS144" s="165" t="s">
        <v>30</v>
      </c>
      <c r="AT144" t="s">
        <v>5291</v>
      </c>
      <c r="AU144" t="s">
        <v>5291</v>
      </c>
    </row>
    <row r="145" spans="1:47" hidden="1" x14ac:dyDescent="0.25">
      <c r="A145" s="165" t="s">
        <v>823</v>
      </c>
      <c r="B145" s="165" t="s">
        <v>4249</v>
      </c>
      <c r="C145" s="165" t="s">
        <v>23</v>
      </c>
      <c r="D145" s="165" t="s">
        <v>824</v>
      </c>
      <c r="E145" s="165" t="s">
        <v>4250</v>
      </c>
      <c r="F145" s="165" t="s">
        <v>3840</v>
      </c>
      <c r="G145" s="165" t="s">
        <v>8</v>
      </c>
      <c r="H145" s="165" t="s">
        <v>241</v>
      </c>
      <c r="I145" s="165" t="s">
        <v>3805</v>
      </c>
      <c r="J145" s="165" t="s">
        <v>4251</v>
      </c>
      <c r="K145" s="165"/>
      <c r="L145" s="165"/>
      <c r="M145" s="165"/>
      <c r="N145" s="165"/>
      <c r="O145" s="165"/>
      <c r="P145" s="165"/>
      <c r="Q145" s="165"/>
      <c r="R145" s="165"/>
      <c r="S145" s="165" t="s">
        <v>3902</v>
      </c>
      <c r="T145" s="165"/>
      <c r="U145" s="165"/>
      <c r="V145" s="165"/>
      <c r="W145" s="165"/>
      <c r="X145" s="165" t="s">
        <v>2428</v>
      </c>
      <c r="Y145">
        <v>2</v>
      </c>
      <c r="Z145" s="165" t="s">
        <v>3903</v>
      </c>
      <c r="AA145" s="165" t="s">
        <v>3811</v>
      </c>
      <c r="AB145" s="165" t="s">
        <v>3810</v>
      </c>
      <c r="AC145" s="165" t="s">
        <v>3809</v>
      </c>
      <c r="AD145" s="165" t="s">
        <v>4252</v>
      </c>
      <c r="AE145">
        <v>6</v>
      </c>
      <c r="AF145" s="165" t="s">
        <v>4253</v>
      </c>
      <c r="AG145">
        <v>40</v>
      </c>
      <c r="AH145">
        <v>29</v>
      </c>
      <c r="AI145">
        <v>43</v>
      </c>
      <c r="AJ145">
        <v>32</v>
      </c>
      <c r="AK145" s="165" t="s">
        <v>4254</v>
      </c>
      <c r="AL145">
        <v>41</v>
      </c>
      <c r="AM145">
        <v>36</v>
      </c>
      <c r="AN145">
        <v>4</v>
      </c>
      <c r="AO145">
        <v>4</v>
      </c>
      <c r="AP145">
        <v>16</v>
      </c>
      <c r="AQ145" s="165" t="s">
        <v>3815</v>
      </c>
      <c r="AR145" t="s">
        <v>3830</v>
      </c>
      <c r="AS145" s="165" t="s">
        <v>30</v>
      </c>
      <c r="AT145" t="s">
        <v>5291</v>
      </c>
      <c r="AU145" t="s">
        <v>5291</v>
      </c>
    </row>
    <row r="146" spans="1:47" hidden="1" x14ac:dyDescent="0.25">
      <c r="A146" s="165" t="s">
        <v>909</v>
      </c>
      <c r="B146" s="165" t="s">
        <v>4255</v>
      </c>
      <c r="C146" s="165" t="s">
        <v>23</v>
      </c>
      <c r="D146" s="165" t="s">
        <v>910</v>
      </c>
      <c r="E146" s="165" t="s">
        <v>3957</v>
      </c>
      <c r="F146" s="165" t="s">
        <v>3840</v>
      </c>
      <c r="G146" s="165" t="s">
        <v>8</v>
      </c>
      <c r="H146" s="165" t="s">
        <v>241</v>
      </c>
      <c r="I146" s="165" t="s">
        <v>3805</v>
      </c>
      <c r="J146" s="165" t="s">
        <v>4251</v>
      </c>
      <c r="K146" s="165"/>
      <c r="L146" s="165"/>
      <c r="M146" s="165"/>
      <c r="N146" s="165"/>
      <c r="O146" s="165"/>
      <c r="P146" s="165"/>
      <c r="Q146" s="165"/>
      <c r="R146" s="165"/>
      <c r="S146" s="165" t="s">
        <v>3902</v>
      </c>
      <c r="T146" s="165"/>
      <c r="U146" s="165"/>
      <c r="V146" s="165"/>
      <c r="W146" s="165"/>
      <c r="X146" s="165" t="s">
        <v>2428</v>
      </c>
      <c r="Y146">
        <v>2</v>
      </c>
      <c r="Z146" s="165" t="s">
        <v>3903</v>
      </c>
      <c r="AA146" s="165" t="s">
        <v>3811</v>
      </c>
      <c r="AB146" s="165" t="s">
        <v>3810</v>
      </c>
      <c r="AC146" s="165" t="s">
        <v>3809</v>
      </c>
      <c r="AD146" s="165" t="s">
        <v>4252</v>
      </c>
      <c r="AE146">
        <v>6</v>
      </c>
      <c r="AF146" s="165" t="s">
        <v>4253</v>
      </c>
      <c r="AG146">
        <v>40</v>
      </c>
      <c r="AH146">
        <v>29</v>
      </c>
      <c r="AI146">
        <v>43</v>
      </c>
      <c r="AJ146">
        <v>32</v>
      </c>
      <c r="AK146" s="165" t="s">
        <v>4254</v>
      </c>
      <c r="AL146">
        <v>41</v>
      </c>
      <c r="AM146">
        <v>36</v>
      </c>
      <c r="AN146">
        <v>4</v>
      </c>
      <c r="AO146">
        <v>4</v>
      </c>
      <c r="AP146">
        <v>16</v>
      </c>
      <c r="AQ146" s="165" t="s">
        <v>3815</v>
      </c>
      <c r="AR146" t="s">
        <v>3930</v>
      </c>
      <c r="AS146" s="165" t="s">
        <v>30</v>
      </c>
      <c r="AT146" t="s">
        <v>5291</v>
      </c>
      <c r="AU146" t="s">
        <v>5291</v>
      </c>
    </row>
    <row r="147" spans="1:47" hidden="1" x14ac:dyDescent="0.25">
      <c r="A147" s="165" t="s">
        <v>953</v>
      </c>
      <c r="B147" s="165" t="s">
        <v>4256</v>
      </c>
      <c r="C147" s="165" t="s">
        <v>23</v>
      </c>
      <c r="D147" s="165" t="s">
        <v>954</v>
      </c>
      <c r="E147" s="165" t="s">
        <v>4131</v>
      </c>
      <c r="F147" s="165" t="s">
        <v>2229</v>
      </c>
      <c r="G147" s="165" t="s">
        <v>8</v>
      </c>
      <c r="H147" s="165" t="s">
        <v>241</v>
      </c>
      <c r="I147" s="165" t="s">
        <v>3805</v>
      </c>
      <c r="J147" s="165" t="s">
        <v>4251</v>
      </c>
      <c r="K147" s="165"/>
      <c r="L147" s="165"/>
      <c r="M147" s="165"/>
      <c r="N147" s="165"/>
      <c r="O147" s="165"/>
      <c r="P147" s="165"/>
      <c r="Q147" s="165"/>
      <c r="R147" s="165"/>
      <c r="S147" s="165" t="s">
        <v>3902</v>
      </c>
      <c r="T147" s="165"/>
      <c r="U147" s="165"/>
      <c r="V147" s="165"/>
      <c r="W147" s="165"/>
      <c r="X147" s="165" t="s">
        <v>2428</v>
      </c>
      <c r="Y147">
        <v>2</v>
      </c>
      <c r="Z147" s="165" t="s">
        <v>3903</v>
      </c>
      <c r="AA147" s="165" t="s">
        <v>3811</v>
      </c>
      <c r="AB147" s="165" t="s">
        <v>3810</v>
      </c>
      <c r="AC147" s="165" t="s">
        <v>3809</v>
      </c>
      <c r="AD147" s="165" t="s">
        <v>4252</v>
      </c>
      <c r="AE147">
        <v>6</v>
      </c>
      <c r="AF147" s="165" t="s">
        <v>4253</v>
      </c>
      <c r="AG147">
        <v>40</v>
      </c>
      <c r="AH147">
        <v>29</v>
      </c>
      <c r="AI147">
        <v>43</v>
      </c>
      <c r="AJ147">
        <v>32</v>
      </c>
      <c r="AK147" s="165" t="s">
        <v>4254</v>
      </c>
      <c r="AL147">
        <v>41</v>
      </c>
      <c r="AM147">
        <v>36</v>
      </c>
      <c r="AN147">
        <v>4</v>
      </c>
      <c r="AO147">
        <v>4</v>
      </c>
      <c r="AP147">
        <v>16</v>
      </c>
      <c r="AQ147" s="165" t="s">
        <v>3815</v>
      </c>
      <c r="AR147" t="s">
        <v>3932</v>
      </c>
      <c r="AS147" s="165" t="s">
        <v>30</v>
      </c>
      <c r="AT147" t="s">
        <v>5291</v>
      </c>
      <c r="AU147" t="s">
        <v>5291</v>
      </c>
    </row>
    <row r="148" spans="1:47" hidden="1" x14ac:dyDescent="0.25">
      <c r="A148" s="165" t="s">
        <v>1124</v>
      </c>
      <c r="B148" s="165" t="s">
        <v>3413</v>
      </c>
      <c r="C148" s="165" t="s">
        <v>23</v>
      </c>
      <c r="D148" s="165" t="s">
        <v>1125</v>
      </c>
      <c r="E148" s="165" t="s">
        <v>4257</v>
      </c>
      <c r="F148" s="165" t="s">
        <v>3840</v>
      </c>
      <c r="G148" s="165" t="s">
        <v>8</v>
      </c>
      <c r="H148" s="165" t="s">
        <v>241</v>
      </c>
      <c r="I148" s="165" t="s">
        <v>3805</v>
      </c>
      <c r="J148" s="165" t="s">
        <v>4251</v>
      </c>
      <c r="K148" s="165"/>
      <c r="L148" s="165"/>
      <c r="M148" s="165"/>
      <c r="N148" s="165"/>
      <c r="O148" s="165"/>
      <c r="P148" s="165"/>
      <c r="Q148" s="165"/>
      <c r="R148" s="165"/>
      <c r="S148" s="165" t="s">
        <v>3902</v>
      </c>
      <c r="T148" s="165"/>
      <c r="U148" s="165"/>
      <c r="V148" s="165"/>
      <c r="W148" s="165"/>
      <c r="X148" s="165" t="s">
        <v>2428</v>
      </c>
      <c r="Y148">
        <v>2</v>
      </c>
      <c r="Z148" s="165" t="s">
        <v>3903</v>
      </c>
      <c r="AA148" s="165" t="s">
        <v>3811</v>
      </c>
      <c r="AB148" s="165" t="s">
        <v>3810</v>
      </c>
      <c r="AC148" s="165" t="s">
        <v>3809</v>
      </c>
      <c r="AD148" s="165" t="s">
        <v>4252</v>
      </c>
      <c r="AE148">
        <v>6</v>
      </c>
      <c r="AF148" s="165" t="s">
        <v>4253</v>
      </c>
      <c r="AG148">
        <v>40</v>
      </c>
      <c r="AH148">
        <v>29</v>
      </c>
      <c r="AI148">
        <v>43</v>
      </c>
      <c r="AJ148">
        <v>32</v>
      </c>
      <c r="AK148" s="165" t="s">
        <v>4254</v>
      </c>
      <c r="AL148">
        <v>41</v>
      </c>
      <c r="AM148">
        <v>36</v>
      </c>
      <c r="AN148">
        <v>4</v>
      </c>
      <c r="AO148">
        <v>4</v>
      </c>
      <c r="AP148">
        <v>16</v>
      </c>
      <c r="AQ148" s="165" t="s">
        <v>3815</v>
      </c>
      <c r="AR148" t="s">
        <v>3909</v>
      </c>
      <c r="AS148" s="165" t="s">
        <v>30</v>
      </c>
      <c r="AT148" t="s">
        <v>5291</v>
      </c>
      <c r="AU148" t="s">
        <v>5291</v>
      </c>
    </row>
    <row r="149" spans="1:47" hidden="1" x14ac:dyDescent="0.25">
      <c r="A149" s="165" t="s">
        <v>1182</v>
      </c>
      <c r="B149" s="165" t="s">
        <v>3407</v>
      </c>
      <c r="C149" s="165" t="s">
        <v>23</v>
      </c>
      <c r="D149" s="165" t="s">
        <v>1183</v>
      </c>
      <c r="E149" s="165" t="s">
        <v>4258</v>
      </c>
      <c r="F149" s="165" t="s">
        <v>3840</v>
      </c>
      <c r="G149" s="165" t="s">
        <v>8</v>
      </c>
      <c r="H149" s="165" t="s">
        <v>241</v>
      </c>
      <c r="I149" s="165" t="s">
        <v>3805</v>
      </c>
      <c r="J149" s="165" t="s">
        <v>4251</v>
      </c>
      <c r="K149" s="165"/>
      <c r="L149" s="165"/>
      <c r="M149" s="165"/>
      <c r="N149" s="165"/>
      <c r="O149" s="165"/>
      <c r="P149" s="165"/>
      <c r="Q149" s="165"/>
      <c r="R149" s="165"/>
      <c r="S149" s="165" t="s">
        <v>3902</v>
      </c>
      <c r="T149" s="165"/>
      <c r="U149" s="165"/>
      <c r="V149" s="165"/>
      <c r="W149" s="165"/>
      <c r="X149" s="165" t="s">
        <v>2428</v>
      </c>
      <c r="Y149">
        <v>2</v>
      </c>
      <c r="Z149" s="165" t="s">
        <v>3903</v>
      </c>
      <c r="AA149" s="165" t="s">
        <v>3811</v>
      </c>
      <c r="AB149" s="165" t="s">
        <v>3810</v>
      </c>
      <c r="AC149" s="165" t="s">
        <v>3809</v>
      </c>
      <c r="AD149" s="165" t="s">
        <v>4252</v>
      </c>
      <c r="AE149">
        <v>6</v>
      </c>
      <c r="AF149" s="165" t="s">
        <v>4253</v>
      </c>
      <c r="AG149">
        <v>40</v>
      </c>
      <c r="AH149">
        <v>29</v>
      </c>
      <c r="AI149">
        <v>43</v>
      </c>
      <c r="AJ149">
        <v>32</v>
      </c>
      <c r="AK149" s="165" t="s">
        <v>4254</v>
      </c>
      <c r="AL149">
        <v>41</v>
      </c>
      <c r="AM149">
        <v>36</v>
      </c>
      <c r="AN149">
        <v>4</v>
      </c>
      <c r="AO149">
        <v>4</v>
      </c>
      <c r="AP149">
        <v>16</v>
      </c>
      <c r="AQ149" s="165" t="s">
        <v>3815</v>
      </c>
      <c r="AR149" t="s">
        <v>3884</v>
      </c>
      <c r="AS149" s="165" t="s">
        <v>30</v>
      </c>
      <c r="AT149" t="s">
        <v>5291</v>
      </c>
      <c r="AU149" t="s">
        <v>5291</v>
      </c>
    </row>
    <row r="150" spans="1:47" hidden="1" x14ac:dyDescent="0.25">
      <c r="A150" s="165" t="s">
        <v>1216</v>
      </c>
      <c r="B150" s="165" t="s">
        <v>4259</v>
      </c>
      <c r="C150" s="165" t="s">
        <v>23</v>
      </c>
      <c r="D150" s="165" t="s">
        <v>1217</v>
      </c>
      <c r="E150" s="165" t="s">
        <v>4260</v>
      </c>
      <c r="F150" s="165" t="s">
        <v>2229</v>
      </c>
      <c r="G150" s="165" t="s">
        <v>8</v>
      </c>
      <c r="H150" s="165" t="s">
        <v>241</v>
      </c>
      <c r="I150" s="165" t="s">
        <v>3805</v>
      </c>
      <c r="J150" s="165" t="s">
        <v>4251</v>
      </c>
      <c r="K150" s="165"/>
      <c r="L150" s="165"/>
      <c r="M150" s="165"/>
      <c r="N150" s="165"/>
      <c r="O150" s="165"/>
      <c r="P150" s="165"/>
      <c r="Q150" s="165"/>
      <c r="R150" s="165"/>
      <c r="S150" s="165" t="s">
        <v>3902</v>
      </c>
      <c r="T150" s="165"/>
      <c r="U150" s="165"/>
      <c r="V150" s="165"/>
      <c r="W150" s="165"/>
      <c r="X150" s="165" t="s">
        <v>2428</v>
      </c>
      <c r="Y150">
        <v>2</v>
      </c>
      <c r="Z150" s="165" t="s">
        <v>3903</v>
      </c>
      <c r="AA150" s="165" t="s">
        <v>3811</v>
      </c>
      <c r="AB150" s="165" t="s">
        <v>3810</v>
      </c>
      <c r="AC150" s="165" t="s">
        <v>3809</v>
      </c>
      <c r="AD150" s="165" t="s">
        <v>4252</v>
      </c>
      <c r="AE150">
        <v>6</v>
      </c>
      <c r="AF150" s="165" t="s">
        <v>4253</v>
      </c>
      <c r="AG150">
        <v>40</v>
      </c>
      <c r="AH150">
        <v>29</v>
      </c>
      <c r="AI150">
        <v>43</v>
      </c>
      <c r="AJ150">
        <v>32</v>
      </c>
      <c r="AK150" s="165" t="s">
        <v>4254</v>
      </c>
      <c r="AL150">
        <v>41</v>
      </c>
      <c r="AM150">
        <v>36</v>
      </c>
      <c r="AN150">
        <v>4</v>
      </c>
      <c r="AO150">
        <v>4</v>
      </c>
      <c r="AP150">
        <v>16</v>
      </c>
      <c r="AQ150" s="165" t="s">
        <v>3815</v>
      </c>
      <c r="AR150" t="s">
        <v>3998</v>
      </c>
      <c r="AS150" s="165" t="s">
        <v>30</v>
      </c>
      <c r="AT150" t="s">
        <v>5291</v>
      </c>
      <c r="AU150" t="s">
        <v>5291</v>
      </c>
    </row>
    <row r="151" spans="1:47" hidden="1" x14ac:dyDescent="0.25">
      <c r="A151" s="165" t="s">
        <v>1276</v>
      </c>
      <c r="B151" s="165" t="s">
        <v>3428</v>
      </c>
      <c r="C151" s="165" t="s">
        <v>23</v>
      </c>
      <c r="D151" s="165" t="s">
        <v>1277</v>
      </c>
      <c r="E151" s="165" t="s">
        <v>3948</v>
      </c>
      <c r="F151" s="165" t="s">
        <v>3840</v>
      </c>
      <c r="G151" s="165" t="s">
        <v>8</v>
      </c>
      <c r="H151" s="165" t="s">
        <v>241</v>
      </c>
      <c r="I151" s="165" t="s">
        <v>3805</v>
      </c>
      <c r="J151" s="165" t="s">
        <v>4251</v>
      </c>
      <c r="K151" s="165"/>
      <c r="L151" s="165"/>
      <c r="M151" s="165"/>
      <c r="N151" s="165"/>
      <c r="O151" s="165"/>
      <c r="P151" s="165"/>
      <c r="Q151" s="165"/>
      <c r="R151" s="165"/>
      <c r="S151" s="165" t="s">
        <v>3902</v>
      </c>
      <c r="T151" s="165"/>
      <c r="U151" s="165"/>
      <c r="V151" s="165"/>
      <c r="W151" s="165"/>
      <c r="X151" s="165" t="s">
        <v>2428</v>
      </c>
      <c r="Y151">
        <v>2</v>
      </c>
      <c r="Z151" s="165" t="s">
        <v>3903</v>
      </c>
      <c r="AA151" s="165" t="s">
        <v>3811</v>
      </c>
      <c r="AB151" s="165" t="s">
        <v>3810</v>
      </c>
      <c r="AC151" s="165" t="s">
        <v>3809</v>
      </c>
      <c r="AD151" s="165" t="s">
        <v>4252</v>
      </c>
      <c r="AE151">
        <v>6</v>
      </c>
      <c r="AF151" s="165" t="s">
        <v>4253</v>
      </c>
      <c r="AG151">
        <v>40</v>
      </c>
      <c r="AH151">
        <v>29</v>
      </c>
      <c r="AI151">
        <v>43</v>
      </c>
      <c r="AJ151">
        <v>32</v>
      </c>
      <c r="AK151" s="165" t="s">
        <v>4254</v>
      </c>
      <c r="AL151">
        <v>41</v>
      </c>
      <c r="AM151">
        <v>36</v>
      </c>
      <c r="AN151">
        <v>4</v>
      </c>
      <c r="AO151">
        <v>4</v>
      </c>
      <c r="AP151">
        <v>16</v>
      </c>
      <c r="AQ151" s="165" t="s">
        <v>3815</v>
      </c>
      <c r="AR151" t="s">
        <v>3930</v>
      </c>
      <c r="AS151" s="165" t="s">
        <v>30</v>
      </c>
      <c r="AT151" t="s">
        <v>5291</v>
      </c>
      <c r="AU151" t="s">
        <v>5291</v>
      </c>
    </row>
    <row r="152" spans="1:47" hidden="1" x14ac:dyDescent="0.25">
      <c r="A152" s="165" t="s">
        <v>901</v>
      </c>
      <c r="B152" s="165" t="s">
        <v>4261</v>
      </c>
      <c r="C152" s="165" t="s">
        <v>23</v>
      </c>
      <c r="D152" s="165" t="s">
        <v>902</v>
      </c>
      <c r="E152" s="165" t="s">
        <v>3957</v>
      </c>
      <c r="F152" s="165" t="s">
        <v>106</v>
      </c>
      <c r="G152" s="165" t="s">
        <v>3878</v>
      </c>
      <c r="H152" s="165" t="s">
        <v>251</v>
      </c>
      <c r="I152" s="165" t="s">
        <v>3822</v>
      </c>
      <c r="J152" s="165" t="s">
        <v>4262</v>
      </c>
      <c r="K152" s="165"/>
      <c r="L152" s="165"/>
      <c r="M152" s="165"/>
      <c r="N152" s="165" t="s">
        <v>3805</v>
      </c>
      <c r="O152" s="165"/>
      <c r="P152" s="165"/>
      <c r="Q152" s="165"/>
      <c r="R152" s="165"/>
      <c r="S152" s="165"/>
      <c r="T152" s="165"/>
      <c r="U152" s="165" t="s">
        <v>3807</v>
      </c>
      <c r="V152" s="165" t="s">
        <v>3821</v>
      </c>
      <c r="W152" s="165" t="s">
        <v>3822</v>
      </c>
      <c r="X152" s="165"/>
      <c r="Y152">
        <v>4</v>
      </c>
      <c r="Z152" s="165" t="s">
        <v>4071</v>
      </c>
      <c r="AA152" s="165" t="s">
        <v>3809</v>
      </c>
      <c r="AB152" s="165" t="s">
        <v>3810</v>
      </c>
      <c r="AC152" s="165" t="s">
        <v>3811</v>
      </c>
      <c r="AD152" s="165" t="s">
        <v>4252</v>
      </c>
      <c r="AE152">
        <v>6</v>
      </c>
      <c r="AF152" s="165" t="s">
        <v>4253</v>
      </c>
      <c r="AG152">
        <v>40</v>
      </c>
      <c r="AH152">
        <v>29</v>
      </c>
      <c r="AI152">
        <v>43</v>
      </c>
      <c r="AJ152">
        <v>32</v>
      </c>
      <c r="AK152" s="165" t="s">
        <v>4254</v>
      </c>
      <c r="AL152">
        <v>41</v>
      </c>
      <c r="AM152">
        <v>36</v>
      </c>
      <c r="AN152">
        <v>4</v>
      </c>
      <c r="AO152">
        <v>4</v>
      </c>
      <c r="AP152">
        <v>16</v>
      </c>
      <c r="AQ152" s="165" t="s">
        <v>3815</v>
      </c>
      <c r="AR152" t="s">
        <v>3830</v>
      </c>
      <c r="AS152" s="165" t="s">
        <v>174</v>
      </c>
      <c r="AT152" t="s">
        <v>5291</v>
      </c>
      <c r="AU152" t="s">
        <v>5291</v>
      </c>
    </row>
    <row r="153" spans="1:47" hidden="1" x14ac:dyDescent="0.25">
      <c r="A153" s="165" t="s">
        <v>1751</v>
      </c>
      <c r="B153" s="165" t="s">
        <v>3381</v>
      </c>
      <c r="C153" s="165" t="s">
        <v>23</v>
      </c>
      <c r="D153" s="165" t="s">
        <v>1752</v>
      </c>
      <c r="E153" s="165" t="s">
        <v>3817</v>
      </c>
      <c r="F153" s="165" t="s">
        <v>106</v>
      </c>
      <c r="G153" s="165" t="s">
        <v>3878</v>
      </c>
      <c r="H153" s="165" t="s">
        <v>251</v>
      </c>
      <c r="I153" s="165" t="s">
        <v>3822</v>
      </c>
      <c r="J153" s="165" t="s">
        <v>4262</v>
      </c>
      <c r="K153" s="165" t="s">
        <v>3819</v>
      </c>
      <c r="L153" s="165" t="s">
        <v>3820</v>
      </c>
      <c r="M153" s="165" t="s">
        <v>3803</v>
      </c>
      <c r="N153" s="165" t="s">
        <v>3805</v>
      </c>
      <c r="O153" s="165"/>
      <c r="P153" s="165"/>
      <c r="Q153" s="165"/>
      <c r="R153" s="165"/>
      <c r="S153" s="165"/>
      <c r="T153" s="165"/>
      <c r="U153" s="165" t="s">
        <v>3807</v>
      </c>
      <c r="V153" s="165" t="s">
        <v>3821</v>
      </c>
      <c r="W153" s="165" t="s">
        <v>3822</v>
      </c>
      <c r="X153" s="165"/>
      <c r="Y153">
        <v>7</v>
      </c>
      <c r="Z153" s="165" t="s">
        <v>3823</v>
      </c>
      <c r="AA153" s="165" t="s">
        <v>3809</v>
      </c>
      <c r="AB153" s="165" t="s">
        <v>3810</v>
      </c>
      <c r="AC153" s="165" t="s">
        <v>3811</v>
      </c>
      <c r="AD153" s="165" t="s">
        <v>4252</v>
      </c>
      <c r="AE153">
        <v>6</v>
      </c>
      <c r="AF153" s="165" t="s">
        <v>4253</v>
      </c>
      <c r="AG153">
        <v>40</v>
      </c>
      <c r="AH153">
        <v>29</v>
      </c>
      <c r="AI153">
        <v>43</v>
      </c>
      <c r="AJ153">
        <v>32</v>
      </c>
      <c r="AK153" s="165" t="s">
        <v>4254</v>
      </c>
      <c r="AL153">
        <v>41</v>
      </c>
      <c r="AM153">
        <v>36</v>
      </c>
      <c r="AN153">
        <v>4</v>
      </c>
      <c r="AO153">
        <v>4</v>
      </c>
      <c r="AP153">
        <v>16</v>
      </c>
      <c r="AQ153" s="165" t="s">
        <v>3815</v>
      </c>
      <c r="AR153" t="s">
        <v>4263</v>
      </c>
      <c r="AS153" s="165" t="s">
        <v>174</v>
      </c>
      <c r="AT153" t="s">
        <v>5291</v>
      </c>
      <c r="AU153" t="s">
        <v>5291</v>
      </c>
    </row>
    <row r="154" spans="1:47" hidden="1" x14ac:dyDescent="0.25">
      <c r="A154" s="165" t="s">
        <v>1178</v>
      </c>
      <c r="B154" s="165" t="s">
        <v>5564</v>
      </c>
      <c r="C154" s="165" t="s">
        <v>23</v>
      </c>
      <c r="D154" s="165" t="s">
        <v>1179</v>
      </c>
      <c r="E154" s="165" t="s">
        <v>4073</v>
      </c>
      <c r="F154" s="165" t="s">
        <v>106</v>
      </c>
      <c r="G154" s="165" t="s">
        <v>3878</v>
      </c>
      <c r="H154" s="165" t="s">
        <v>251</v>
      </c>
      <c r="I154" s="165" t="s">
        <v>3822</v>
      </c>
      <c r="J154" s="165" t="s">
        <v>4262</v>
      </c>
      <c r="K154" s="165"/>
      <c r="L154" s="165"/>
      <c r="M154" s="165"/>
      <c r="N154" s="165" t="s">
        <v>3805</v>
      </c>
      <c r="O154" s="165"/>
      <c r="P154" s="165"/>
      <c r="Q154" s="165"/>
      <c r="R154" s="165"/>
      <c r="S154" s="165"/>
      <c r="T154" s="165"/>
      <c r="U154" s="165" t="s">
        <v>3807</v>
      </c>
      <c r="V154" s="165" t="s">
        <v>3821</v>
      </c>
      <c r="W154" s="165" t="s">
        <v>3822</v>
      </c>
      <c r="X154" s="165"/>
      <c r="Y154">
        <v>4</v>
      </c>
      <c r="Z154" s="165" t="s">
        <v>4071</v>
      </c>
      <c r="AA154" s="165" t="s">
        <v>3809</v>
      </c>
      <c r="AB154" s="165" t="s">
        <v>3810</v>
      </c>
      <c r="AC154" s="165" t="s">
        <v>3811</v>
      </c>
      <c r="AD154" s="165" t="s">
        <v>4252</v>
      </c>
      <c r="AE154">
        <v>6</v>
      </c>
      <c r="AF154" s="165" t="s">
        <v>4253</v>
      </c>
      <c r="AG154">
        <v>40</v>
      </c>
      <c r="AH154">
        <v>29</v>
      </c>
      <c r="AI154">
        <v>43</v>
      </c>
      <c r="AJ154">
        <v>32</v>
      </c>
      <c r="AK154" s="165" t="s">
        <v>4254</v>
      </c>
      <c r="AL154">
        <v>41</v>
      </c>
      <c r="AM154">
        <v>36</v>
      </c>
      <c r="AN154">
        <v>4</v>
      </c>
      <c r="AO154">
        <v>4</v>
      </c>
      <c r="AP154">
        <v>16</v>
      </c>
      <c r="AQ154" s="165" t="s">
        <v>3815</v>
      </c>
      <c r="AR154" t="s">
        <v>3830</v>
      </c>
      <c r="AS154" s="165" t="s">
        <v>174</v>
      </c>
      <c r="AT154" t="s">
        <v>5291</v>
      </c>
      <c r="AU154" t="s">
        <v>5291</v>
      </c>
    </row>
    <row r="155" spans="1:47" hidden="1" x14ac:dyDescent="0.25">
      <c r="A155" s="165" t="s">
        <v>2803</v>
      </c>
      <c r="B155" s="165" t="s">
        <v>3346</v>
      </c>
      <c r="C155" s="165" t="s">
        <v>23</v>
      </c>
      <c r="D155" s="165" t="s">
        <v>2804</v>
      </c>
      <c r="E155" s="165" t="s">
        <v>4075</v>
      </c>
      <c r="F155" s="165" t="s">
        <v>106</v>
      </c>
      <c r="G155" s="165" t="s">
        <v>3878</v>
      </c>
      <c r="H155" s="165" t="s">
        <v>251</v>
      </c>
      <c r="I155" s="165" t="s">
        <v>3822</v>
      </c>
      <c r="J155" s="165" t="s">
        <v>4262</v>
      </c>
      <c r="K155" s="165"/>
      <c r="L155" s="165"/>
      <c r="M155" s="165"/>
      <c r="N155" s="165" t="s">
        <v>3805</v>
      </c>
      <c r="O155" s="165"/>
      <c r="P155" s="165"/>
      <c r="Q155" s="165"/>
      <c r="R155" s="165"/>
      <c r="S155" s="165"/>
      <c r="T155" s="165"/>
      <c r="U155" s="165" t="s">
        <v>3807</v>
      </c>
      <c r="V155" s="165" t="s">
        <v>3821</v>
      </c>
      <c r="W155" s="165" t="s">
        <v>3822</v>
      </c>
      <c r="X155" s="165"/>
      <c r="Y155">
        <v>4</v>
      </c>
      <c r="Z155" s="165" t="s">
        <v>4071</v>
      </c>
      <c r="AA155" s="165" t="s">
        <v>3809</v>
      </c>
      <c r="AB155" s="165" t="s">
        <v>3810</v>
      </c>
      <c r="AC155" s="165" t="s">
        <v>3811</v>
      </c>
      <c r="AD155" s="165" t="s">
        <v>4252</v>
      </c>
      <c r="AE155">
        <v>6</v>
      </c>
      <c r="AF155" s="165" t="s">
        <v>4253</v>
      </c>
      <c r="AG155">
        <v>40</v>
      </c>
      <c r="AH155">
        <v>29</v>
      </c>
      <c r="AI155">
        <v>43</v>
      </c>
      <c r="AJ155">
        <v>32</v>
      </c>
      <c r="AK155" s="165" t="s">
        <v>4254</v>
      </c>
      <c r="AL155">
        <v>41</v>
      </c>
      <c r="AM155">
        <v>36</v>
      </c>
      <c r="AN155">
        <v>4</v>
      </c>
      <c r="AO155">
        <v>4</v>
      </c>
      <c r="AP155">
        <v>16</v>
      </c>
      <c r="AQ155" s="165" t="s">
        <v>3815</v>
      </c>
      <c r="AR155" t="s">
        <v>3830</v>
      </c>
      <c r="AS155" s="165" t="s">
        <v>174</v>
      </c>
      <c r="AT155" t="s">
        <v>5291</v>
      </c>
      <c r="AU155" t="s">
        <v>5291</v>
      </c>
    </row>
    <row r="156" spans="1:47" hidden="1" x14ac:dyDescent="0.25">
      <c r="A156" s="165" t="s">
        <v>1302</v>
      </c>
      <c r="B156" s="165" t="s">
        <v>3433</v>
      </c>
      <c r="C156" s="165" t="s">
        <v>23</v>
      </c>
      <c r="D156" s="165" t="s">
        <v>1303</v>
      </c>
      <c r="E156" s="165" t="s">
        <v>2104</v>
      </c>
      <c r="F156" s="165" t="s">
        <v>106</v>
      </c>
      <c r="G156" s="165" t="s">
        <v>8</v>
      </c>
      <c r="H156" s="165" t="s">
        <v>251</v>
      </c>
      <c r="I156" s="165" t="s">
        <v>3805</v>
      </c>
      <c r="J156" s="165" t="s">
        <v>3818</v>
      </c>
      <c r="K156" s="165"/>
      <c r="L156" s="165"/>
      <c r="M156" s="165"/>
      <c r="N156" s="165" t="s">
        <v>3805</v>
      </c>
      <c r="O156" s="165"/>
      <c r="P156" s="165"/>
      <c r="Q156" s="165"/>
      <c r="R156" s="165"/>
      <c r="S156" s="165"/>
      <c r="T156" s="165"/>
      <c r="U156" s="165" t="s">
        <v>3807</v>
      </c>
      <c r="V156" s="165" t="s">
        <v>3821</v>
      </c>
      <c r="W156" s="165" t="s">
        <v>3822</v>
      </c>
      <c r="X156" s="165"/>
      <c r="Y156">
        <v>4</v>
      </c>
      <c r="Z156" s="165" t="s">
        <v>4071</v>
      </c>
      <c r="AA156" s="165" t="s">
        <v>3809</v>
      </c>
      <c r="AB156" s="165" t="s">
        <v>3810</v>
      </c>
      <c r="AC156" s="165" t="s">
        <v>3811</v>
      </c>
      <c r="AD156" s="165" t="s">
        <v>4252</v>
      </c>
      <c r="AE156">
        <v>6</v>
      </c>
      <c r="AF156" s="165" t="s">
        <v>4253</v>
      </c>
      <c r="AG156">
        <v>40</v>
      </c>
      <c r="AH156">
        <v>29</v>
      </c>
      <c r="AI156">
        <v>43</v>
      </c>
      <c r="AJ156">
        <v>32</v>
      </c>
      <c r="AK156" s="165" t="s">
        <v>4254</v>
      </c>
      <c r="AL156">
        <v>41</v>
      </c>
      <c r="AM156">
        <v>36</v>
      </c>
      <c r="AN156">
        <v>4</v>
      </c>
      <c r="AO156">
        <v>4</v>
      </c>
      <c r="AP156">
        <v>16</v>
      </c>
      <c r="AQ156" s="165" t="s">
        <v>3815</v>
      </c>
      <c r="AR156" t="s">
        <v>3932</v>
      </c>
      <c r="AS156" s="165" t="s">
        <v>174</v>
      </c>
      <c r="AT156" t="s">
        <v>5291</v>
      </c>
      <c r="AU156" t="s">
        <v>5291</v>
      </c>
    </row>
    <row r="157" spans="1:47" hidden="1" x14ac:dyDescent="0.25">
      <c r="A157" s="165" t="s">
        <v>1775</v>
      </c>
      <c r="B157" s="165" t="s">
        <v>3380</v>
      </c>
      <c r="C157" s="165" t="s">
        <v>23</v>
      </c>
      <c r="D157" s="165" t="s">
        <v>1776</v>
      </c>
      <c r="E157" s="165" t="s">
        <v>4264</v>
      </c>
      <c r="F157" s="165" t="s">
        <v>3840</v>
      </c>
      <c r="G157" s="165" t="s">
        <v>8</v>
      </c>
      <c r="H157" s="165" t="s">
        <v>263</v>
      </c>
      <c r="I157" s="165" t="s">
        <v>3805</v>
      </c>
      <c r="J157" s="165" t="s">
        <v>4265</v>
      </c>
      <c r="K157" s="165"/>
      <c r="L157" s="165"/>
      <c r="M157" s="165"/>
      <c r="N157" s="165" t="s">
        <v>3805</v>
      </c>
      <c r="O157" s="165"/>
      <c r="P157" s="165"/>
      <c r="Q157" s="165"/>
      <c r="R157" s="165"/>
      <c r="S157" s="165"/>
      <c r="T157" s="165" t="s">
        <v>3806</v>
      </c>
      <c r="U157" s="165" t="s">
        <v>3807</v>
      </c>
      <c r="V157" s="165"/>
      <c r="W157" s="165"/>
      <c r="X157" s="165"/>
      <c r="Y157">
        <v>3</v>
      </c>
      <c r="Z157" s="165" t="s">
        <v>3808</v>
      </c>
      <c r="AA157" s="165" t="s">
        <v>3809</v>
      </c>
      <c r="AB157" s="165" t="s">
        <v>3810</v>
      </c>
      <c r="AC157" s="165" t="s">
        <v>3811</v>
      </c>
      <c r="AD157" s="165" t="s">
        <v>4252</v>
      </c>
      <c r="AE157">
        <v>6</v>
      </c>
      <c r="AF157" s="165" t="s">
        <v>4253</v>
      </c>
      <c r="AG157">
        <v>40</v>
      </c>
      <c r="AH157">
        <v>29</v>
      </c>
      <c r="AI157">
        <v>43</v>
      </c>
      <c r="AJ157">
        <v>32</v>
      </c>
      <c r="AK157" s="165" t="s">
        <v>4254</v>
      </c>
      <c r="AL157">
        <v>41</v>
      </c>
      <c r="AM157">
        <v>36</v>
      </c>
      <c r="AN157">
        <v>4</v>
      </c>
      <c r="AO157">
        <v>4</v>
      </c>
      <c r="AP157">
        <v>16</v>
      </c>
      <c r="AQ157" s="165" t="s">
        <v>3815</v>
      </c>
      <c r="AR157" t="s">
        <v>3870</v>
      </c>
      <c r="AS157" s="165" t="s">
        <v>174</v>
      </c>
      <c r="AT157" t="s">
        <v>5291</v>
      </c>
      <c r="AU157" t="s">
        <v>5291</v>
      </c>
    </row>
    <row r="158" spans="1:47" hidden="1" x14ac:dyDescent="0.25">
      <c r="A158" s="165" t="s">
        <v>899</v>
      </c>
      <c r="B158" s="165" t="s">
        <v>4266</v>
      </c>
      <c r="C158" s="165" t="s">
        <v>23</v>
      </c>
      <c r="D158" s="165" t="s">
        <v>4267</v>
      </c>
      <c r="E158" s="165" t="s">
        <v>3957</v>
      </c>
      <c r="F158" s="165" t="s">
        <v>3840</v>
      </c>
      <c r="G158" s="165" t="s">
        <v>8</v>
      </c>
      <c r="H158" s="165" t="s">
        <v>263</v>
      </c>
      <c r="I158" s="165" t="s">
        <v>3805</v>
      </c>
      <c r="J158" s="165" t="s">
        <v>4265</v>
      </c>
      <c r="K158" s="165"/>
      <c r="L158" s="165"/>
      <c r="M158" s="165"/>
      <c r="N158" s="165" t="s">
        <v>3805</v>
      </c>
      <c r="O158" s="165"/>
      <c r="P158" s="165"/>
      <c r="Q158" s="165"/>
      <c r="R158" s="165"/>
      <c r="S158" s="165"/>
      <c r="T158" s="165" t="s">
        <v>3806</v>
      </c>
      <c r="U158" s="165" t="s">
        <v>3807</v>
      </c>
      <c r="V158" s="165"/>
      <c r="W158" s="165"/>
      <c r="X158" s="165"/>
      <c r="Y158">
        <v>3</v>
      </c>
      <c r="Z158" s="165" t="s">
        <v>3808</v>
      </c>
      <c r="AA158" s="165" t="s">
        <v>3809</v>
      </c>
      <c r="AB158" s="165" t="s">
        <v>3810</v>
      </c>
      <c r="AC158" s="165" t="s">
        <v>3811</v>
      </c>
      <c r="AD158" s="165" t="s">
        <v>4252</v>
      </c>
      <c r="AE158">
        <v>6</v>
      </c>
      <c r="AF158" s="165" t="s">
        <v>4253</v>
      </c>
      <c r="AG158">
        <v>40</v>
      </c>
      <c r="AH158">
        <v>29</v>
      </c>
      <c r="AI158">
        <v>43</v>
      </c>
      <c r="AJ158">
        <v>32</v>
      </c>
      <c r="AK158" s="165" t="s">
        <v>4254</v>
      </c>
      <c r="AL158">
        <v>41</v>
      </c>
      <c r="AM158">
        <v>36</v>
      </c>
      <c r="AN158">
        <v>4</v>
      </c>
      <c r="AO158">
        <v>4</v>
      </c>
      <c r="AP158">
        <v>16</v>
      </c>
      <c r="AQ158" s="165" t="s">
        <v>3815</v>
      </c>
      <c r="AR158" t="s">
        <v>4268</v>
      </c>
      <c r="AS158" s="165" t="s">
        <v>174</v>
      </c>
      <c r="AT158" t="s">
        <v>5291</v>
      </c>
      <c r="AU158" t="s">
        <v>5291</v>
      </c>
    </row>
    <row r="159" spans="1:47" hidden="1" x14ac:dyDescent="0.25">
      <c r="A159" s="165" t="s">
        <v>1073</v>
      </c>
      <c r="B159" s="165" t="s">
        <v>4269</v>
      </c>
      <c r="C159" s="165" t="s">
        <v>23</v>
      </c>
      <c r="D159" s="165" t="s">
        <v>1074</v>
      </c>
      <c r="E159" s="165" t="s">
        <v>4270</v>
      </c>
      <c r="F159" s="165" t="s">
        <v>2229</v>
      </c>
      <c r="G159" s="165" t="s">
        <v>8</v>
      </c>
      <c r="H159" s="165" t="s">
        <v>263</v>
      </c>
      <c r="I159" s="165" t="s">
        <v>3805</v>
      </c>
      <c r="J159" s="165" t="s">
        <v>4265</v>
      </c>
      <c r="K159" s="165"/>
      <c r="L159" s="165"/>
      <c r="M159" s="165"/>
      <c r="N159" s="165" t="s">
        <v>3805</v>
      </c>
      <c r="O159" s="165"/>
      <c r="P159" s="165"/>
      <c r="Q159" s="165"/>
      <c r="R159" s="165"/>
      <c r="S159" s="165"/>
      <c r="T159" s="165" t="s">
        <v>3806</v>
      </c>
      <c r="U159" s="165" t="s">
        <v>3807</v>
      </c>
      <c r="V159" s="165"/>
      <c r="W159" s="165"/>
      <c r="X159" s="165"/>
      <c r="Y159">
        <v>3</v>
      </c>
      <c r="Z159" s="165" t="s">
        <v>3808</v>
      </c>
      <c r="AA159" s="165" t="s">
        <v>3809</v>
      </c>
      <c r="AB159" s="165" t="s">
        <v>3810</v>
      </c>
      <c r="AC159" s="165" t="s">
        <v>3811</v>
      </c>
      <c r="AD159" s="165" t="s">
        <v>4252</v>
      </c>
      <c r="AE159">
        <v>6</v>
      </c>
      <c r="AF159" s="165" t="s">
        <v>4253</v>
      </c>
      <c r="AG159">
        <v>40</v>
      </c>
      <c r="AH159">
        <v>29</v>
      </c>
      <c r="AI159">
        <v>43</v>
      </c>
      <c r="AJ159">
        <v>32</v>
      </c>
      <c r="AK159" s="165" t="s">
        <v>4254</v>
      </c>
      <c r="AL159">
        <v>41</v>
      </c>
      <c r="AM159">
        <v>36</v>
      </c>
      <c r="AN159">
        <v>4</v>
      </c>
      <c r="AO159">
        <v>4</v>
      </c>
      <c r="AP159">
        <v>16</v>
      </c>
      <c r="AQ159" s="165" t="s">
        <v>3815</v>
      </c>
      <c r="AR159" t="s">
        <v>3998</v>
      </c>
      <c r="AS159" s="165" t="s">
        <v>174</v>
      </c>
      <c r="AT159" t="s">
        <v>5291</v>
      </c>
      <c r="AU159" t="s">
        <v>5291</v>
      </c>
    </row>
    <row r="160" spans="1:47" hidden="1" x14ac:dyDescent="0.25">
      <c r="A160" s="165" t="s">
        <v>1138</v>
      </c>
      <c r="B160" s="165" t="s">
        <v>4271</v>
      </c>
      <c r="C160" s="165" t="s">
        <v>23</v>
      </c>
      <c r="D160" s="165" t="s">
        <v>1139</v>
      </c>
      <c r="E160" s="165" t="s">
        <v>4126</v>
      </c>
      <c r="F160" s="165" t="s">
        <v>3840</v>
      </c>
      <c r="G160" s="165" t="s">
        <v>8</v>
      </c>
      <c r="H160" s="165" t="s">
        <v>263</v>
      </c>
      <c r="I160" s="165" t="s">
        <v>3805</v>
      </c>
      <c r="J160" s="165" t="s">
        <v>4265</v>
      </c>
      <c r="K160" s="165"/>
      <c r="L160" s="165"/>
      <c r="M160" s="165"/>
      <c r="N160" s="165" t="s">
        <v>3805</v>
      </c>
      <c r="O160" s="165"/>
      <c r="P160" s="165"/>
      <c r="Q160" s="165"/>
      <c r="R160" s="165"/>
      <c r="S160" s="165"/>
      <c r="T160" s="165" t="s">
        <v>3806</v>
      </c>
      <c r="U160" s="165" t="s">
        <v>3807</v>
      </c>
      <c r="V160" s="165"/>
      <c r="W160" s="165"/>
      <c r="X160" s="165"/>
      <c r="Y160">
        <v>3</v>
      </c>
      <c r="Z160" s="165" t="s">
        <v>3808</v>
      </c>
      <c r="AA160" s="165" t="s">
        <v>3809</v>
      </c>
      <c r="AB160" s="165" t="s">
        <v>3810</v>
      </c>
      <c r="AC160" s="165" t="s">
        <v>3811</v>
      </c>
      <c r="AD160" s="165" t="s">
        <v>4252</v>
      </c>
      <c r="AE160">
        <v>6</v>
      </c>
      <c r="AF160" s="165" t="s">
        <v>4253</v>
      </c>
      <c r="AG160">
        <v>40</v>
      </c>
      <c r="AH160">
        <v>29</v>
      </c>
      <c r="AI160">
        <v>43</v>
      </c>
      <c r="AJ160">
        <v>32</v>
      </c>
      <c r="AK160" s="165" t="s">
        <v>4254</v>
      </c>
      <c r="AL160">
        <v>41</v>
      </c>
      <c r="AM160">
        <v>36</v>
      </c>
      <c r="AN160">
        <v>4</v>
      </c>
      <c r="AO160">
        <v>4</v>
      </c>
      <c r="AP160">
        <v>16</v>
      </c>
      <c r="AQ160" s="165" t="s">
        <v>3815</v>
      </c>
      <c r="AR160" t="s">
        <v>3909</v>
      </c>
      <c r="AS160" s="165" t="s">
        <v>174</v>
      </c>
      <c r="AT160" t="s">
        <v>5291</v>
      </c>
      <c r="AU160" t="s">
        <v>5291</v>
      </c>
    </row>
    <row r="161" spans="1:47" hidden="1" x14ac:dyDescent="0.25">
      <c r="A161" s="165" t="s">
        <v>1071</v>
      </c>
      <c r="B161" s="165" t="s">
        <v>4272</v>
      </c>
      <c r="C161" s="165" t="s">
        <v>23</v>
      </c>
      <c r="D161" s="165" t="s">
        <v>1072</v>
      </c>
      <c r="E161" s="165" t="s">
        <v>4270</v>
      </c>
      <c r="F161" s="165" t="s">
        <v>2229</v>
      </c>
      <c r="G161" s="165" t="s">
        <v>3878</v>
      </c>
      <c r="H161" s="165" t="s">
        <v>263</v>
      </c>
      <c r="I161" s="165" t="s">
        <v>3822</v>
      </c>
      <c r="J161" s="165" t="s">
        <v>4273</v>
      </c>
      <c r="K161" s="165"/>
      <c r="L161" s="165"/>
      <c r="M161" s="165"/>
      <c r="N161" s="165" t="s">
        <v>3805</v>
      </c>
      <c r="O161" s="165"/>
      <c r="P161" s="165"/>
      <c r="Q161" s="165"/>
      <c r="R161" s="165"/>
      <c r="S161" s="165"/>
      <c r="T161" s="165" t="s">
        <v>3806</v>
      </c>
      <c r="U161" s="165" t="s">
        <v>3807</v>
      </c>
      <c r="V161" s="165"/>
      <c r="W161" s="165"/>
      <c r="X161" s="165"/>
      <c r="Y161">
        <v>3</v>
      </c>
      <c r="Z161" s="165" t="s">
        <v>3808</v>
      </c>
      <c r="AA161" s="165" t="s">
        <v>3809</v>
      </c>
      <c r="AB161" s="165" t="s">
        <v>3810</v>
      </c>
      <c r="AC161" s="165" t="s">
        <v>3811</v>
      </c>
      <c r="AD161" s="165" t="s">
        <v>4252</v>
      </c>
      <c r="AE161">
        <v>6</v>
      </c>
      <c r="AF161" s="165" t="s">
        <v>4253</v>
      </c>
      <c r="AG161">
        <v>40</v>
      </c>
      <c r="AH161">
        <v>29</v>
      </c>
      <c r="AI161">
        <v>43</v>
      </c>
      <c r="AJ161">
        <v>32</v>
      </c>
      <c r="AK161" s="165" t="s">
        <v>4254</v>
      </c>
      <c r="AL161">
        <v>41</v>
      </c>
      <c r="AM161">
        <v>36</v>
      </c>
      <c r="AN161">
        <v>4</v>
      </c>
      <c r="AO161">
        <v>4</v>
      </c>
      <c r="AP161">
        <v>16</v>
      </c>
      <c r="AQ161" s="165" t="s">
        <v>3815</v>
      </c>
      <c r="AR161" t="s">
        <v>3884</v>
      </c>
      <c r="AS161" s="165" t="s">
        <v>174</v>
      </c>
      <c r="AT161" t="s">
        <v>5291</v>
      </c>
      <c r="AU161" t="s">
        <v>5291</v>
      </c>
    </row>
    <row r="162" spans="1:47" hidden="1" x14ac:dyDescent="0.25">
      <c r="A162" s="165" t="s">
        <v>4274</v>
      </c>
      <c r="B162" s="165" t="s">
        <v>4275</v>
      </c>
      <c r="C162" s="165" t="s">
        <v>23</v>
      </c>
      <c r="D162" s="165" t="s">
        <v>4276</v>
      </c>
      <c r="E162" s="165" t="s">
        <v>4277</v>
      </c>
      <c r="F162" s="165" t="s">
        <v>3840</v>
      </c>
      <c r="G162" s="165" t="s">
        <v>8</v>
      </c>
      <c r="H162" s="165" t="s">
        <v>263</v>
      </c>
      <c r="I162" s="165" t="s">
        <v>3805</v>
      </c>
      <c r="J162" s="165" t="s">
        <v>4265</v>
      </c>
      <c r="K162" s="165"/>
      <c r="L162" s="165"/>
      <c r="M162" s="165"/>
      <c r="N162" s="165" t="s">
        <v>3805</v>
      </c>
      <c r="O162" s="165"/>
      <c r="P162" s="165"/>
      <c r="Q162" s="165"/>
      <c r="R162" s="165"/>
      <c r="S162" s="165"/>
      <c r="T162" s="165" t="s">
        <v>3806</v>
      </c>
      <c r="U162" s="165" t="s">
        <v>3807</v>
      </c>
      <c r="V162" s="165"/>
      <c r="W162" s="165"/>
      <c r="X162" s="165"/>
      <c r="Y162">
        <v>3</v>
      </c>
      <c r="Z162" s="165" t="s">
        <v>3808</v>
      </c>
      <c r="AA162" s="165" t="s">
        <v>3809</v>
      </c>
      <c r="AB162" s="165" t="s">
        <v>3810</v>
      </c>
      <c r="AC162" s="165" t="s">
        <v>3811</v>
      </c>
      <c r="AD162" s="165" t="s">
        <v>4252</v>
      </c>
      <c r="AE162">
        <v>6</v>
      </c>
      <c r="AF162" s="165" t="s">
        <v>4253</v>
      </c>
      <c r="AG162">
        <v>40</v>
      </c>
      <c r="AH162">
        <v>29</v>
      </c>
      <c r="AI162">
        <v>43</v>
      </c>
      <c r="AJ162">
        <v>32</v>
      </c>
      <c r="AK162" s="165" t="s">
        <v>4254</v>
      </c>
      <c r="AL162">
        <v>41</v>
      </c>
      <c r="AM162">
        <v>36</v>
      </c>
      <c r="AN162">
        <v>4</v>
      </c>
      <c r="AO162">
        <v>4</v>
      </c>
      <c r="AP162">
        <v>16</v>
      </c>
      <c r="AQ162" s="165" t="s">
        <v>3815</v>
      </c>
      <c r="AR162" t="s">
        <v>4278</v>
      </c>
      <c r="AS162" s="165" t="s">
        <v>174</v>
      </c>
      <c r="AT162" t="s">
        <v>5291</v>
      </c>
      <c r="AU162" t="s">
        <v>5291</v>
      </c>
    </row>
    <row r="163" spans="1:47" hidden="1" x14ac:dyDescent="0.25">
      <c r="A163" s="165" t="s">
        <v>1367</v>
      </c>
      <c r="B163" s="165" t="s">
        <v>4279</v>
      </c>
      <c r="C163" s="165" t="s">
        <v>23</v>
      </c>
      <c r="D163" s="165" t="s">
        <v>1368</v>
      </c>
      <c r="E163" s="165" t="s">
        <v>3960</v>
      </c>
      <c r="F163" s="165" t="s">
        <v>3840</v>
      </c>
      <c r="G163" s="165" t="s">
        <v>8</v>
      </c>
      <c r="H163" s="165" t="s">
        <v>263</v>
      </c>
      <c r="I163" s="165" t="s">
        <v>3805</v>
      </c>
      <c r="J163" s="165" t="s">
        <v>4265</v>
      </c>
      <c r="K163" s="165"/>
      <c r="L163" s="165"/>
      <c r="M163" s="165"/>
      <c r="N163" s="165" t="s">
        <v>3805</v>
      </c>
      <c r="O163" s="165"/>
      <c r="P163" s="165"/>
      <c r="Q163" s="165"/>
      <c r="R163" s="165"/>
      <c r="S163" s="165"/>
      <c r="T163" s="165" t="s">
        <v>3806</v>
      </c>
      <c r="U163" s="165" t="s">
        <v>3807</v>
      </c>
      <c r="V163" s="165"/>
      <c r="W163" s="165"/>
      <c r="X163" s="165"/>
      <c r="Y163">
        <v>3</v>
      </c>
      <c r="Z163" s="165" t="s">
        <v>3808</v>
      </c>
      <c r="AA163" s="165" t="s">
        <v>3809</v>
      </c>
      <c r="AB163" s="165" t="s">
        <v>3810</v>
      </c>
      <c r="AC163" s="165" t="s">
        <v>3811</v>
      </c>
      <c r="AD163" s="165" t="s">
        <v>4252</v>
      </c>
      <c r="AE163">
        <v>6</v>
      </c>
      <c r="AF163" s="165" t="s">
        <v>4253</v>
      </c>
      <c r="AG163">
        <v>40</v>
      </c>
      <c r="AH163">
        <v>29</v>
      </c>
      <c r="AI163">
        <v>43</v>
      </c>
      <c r="AJ163">
        <v>32</v>
      </c>
      <c r="AK163" s="165" t="s">
        <v>4254</v>
      </c>
      <c r="AL163">
        <v>41</v>
      </c>
      <c r="AM163">
        <v>36</v>
      </c>
      <c r="AN163">
        <v>4</v>
      </c>
      <c r="AO163">
        <v>4</v>
      </c>
      <c r="AP163">
        <v>16</v>
      </c>
      <c r="AQ163" s="165" t="s">
        <v>3815</v>
      </c>
      <c r="AR163" t="s">
        <v>3974</v>
      </c>
      <c r="AS163" s="165" t="s">
        <v>174</v>
      </c>
      <c r="AT163" t="s">
        <v>5291</v>
      </c>
      <c r="AU163" t="s">
        <v>5291</v>
      </c>
    </row>
    <row r="164" spans="1:47" hidden="1" x14ac:dyDescent="0.25">
      <c r="A164" s="165" t="s">
        <v>1701</v>
      </c>
      <c r="B164" s="165" t="s">
        <v>88</v>
      </c>
      <c r="C164" s="165" t="s">
        <v>23</v>
      </c>
      <c r="D164" s="165" t="s">
        <v>1702</v>
      </c>
      <c r="E164" s="165" t="s">
        <v>4280</v>
      </c>
      <c r="F164" s="165" t="s">
        <v>11</v>
      </c>
      <c r="G164" s="165" t="s">
        <v>8</v>
      </c>
      <c r="H164" s="165" t="s">
        <v>241</v>
      </c>
      <c r="I164" s="165" t="s">
        <v>3803</v>
      </c>
      <c r="J164" s="165" t="s">
        <v>4011</v>
      </c>
      <c r="K164" s="165"/>
      <c r="L164" s="165"/>
      <c r="M164" s="165"/>
      <c r="N164" s="165"/>
      <c r="O164" s="165"/>
      <c r="P164" s="165"/>
      <c r="Q164" s="165"/>
      <c r="R164" s="165"/>
      <c r="S164" s="165" t="s">
        <v>3902</v>
      </c>
      <c r="T164" s="165"/>
      <c r="U164" s="165"/>
      <c r="V164" s="165"/>
      <c r="W164" s="165"/>
      <c r="X164" s="165" t="s">
        <v>2428</v>
      </c>
      <c r="Y164">
        <v>2</v>
      </c>
      <c r="Z164" s="165" t="s">
        <v>3903</v>
      </c>
      <c r="AA164" s="165" t="s">
        <v>3811</v>
      </c>
      <c r="AB164" s="165" t="s">
        <v>3810</v>
      </c>
      <c r="AC164" s="165" t="s">
        <v>3809</v>
      </c>
      <c r="AD164" s="165" t="s">
        <v>3812</v>
      </c>
      <c r="AE164">
        <v>26</v>
      </c>
      <c r="AF164" s="165" t="s">
        <v>4281</v>
      </c>
      <c r="AG164">
        <v>411</v>
      </c>
      <c r="AH164">
        <v>427</v>
      </c>
      <c r="AI164">
        <v>44.1</v>
      </c>
      <c r="AJ164">
        <v>45.7</v>
      </c>
      <c r="AK164" s="165" t="s">
        <v>4282</v>
      </c>
      <c r="AN164">
        <v>1</v>
      </c>
      <c r="AO164">
        <v>2</v>
      </c>
      <c r="AP164">
        <v>2</v>
      </c>
      <c r="AQ164" s="165" t="s">
        <v>3815</v>
      </c>
      <c r="AR164" t="s">
        <v>3816</v>
      </c>
      <c r="AS164" s="165" t="s">
        <v>30</v>
      </c>
      <c r="AT164" t="s">
        <v>5291</v>
      </c>
      <c r="AU164" t="s">
        <v>5291</v>
      </c>
    </row>
    <row r="165" spans="1:47" hidden="1" x14ac:dyDescent="0.25">
      <c r="A165" s="165" t="s">
        <v>4283</v>
      </c>
      <c r="B165" s="165" t="s">
        <v>88</v>
      </c>
      <c r="C165" s="165" t="s">
        <v>23</v>
      </c>
      <c r="D165" s="165" t="s">
        <v>4284</v>
      </c>
      <c r="E165" s="165" t="s">
        <v>4285</v>
      </c>
      <c r="F165" s="165" t="s">
        <v>11</v>
      </c>
      <c r="G165" s="165" t="s">
        <v>8</v>
      </c>
      <c r="H165" s="165" t="s">
        <v>241</v>
      </c>
      <c r="I165" s="165" t="s">
        <v>3803</v>
      </c>
      <c r="J165" s="165" t="s">
        <v>4011</v>
      </c>
      <c r="K165" s="165"/>
      <c r="L165" s="165"/>
      <c r="M165" s="165"/>
      <c r="N165" s="165"/>
      <c r="O165" s="165"/>
      <c r="P165" s="165"/>
      <c r="Q165" s="165"/>
      <c r="R165" s="165"/>
      <c r="S165" s="165" t="s">
        <v>3902</v>
      </c>
      <c r="T165" s="165"/>
      <c r="U165" s="165"/>
      <c r="V165" s="165"/>
      <c r="W165" s="165"/>
      <c r="X165" s="165" t="s">
        <v>2428</v>
      </c>
      <c r="Y165">
        <v>2</v>
      </c>
      <c r="Z165" s="165" t="s">
        <v>3903</v>
      </c>
      <c r="AA165" s="165" t="s">
        <v>3811</v>
      </c>
      <c r="AB165" s="165" t="s">
        <v>3810</v>
      </c>
      <c r="AC165" s="165" t="s">
        <v>3809</v>
      </c>
      <c r="AD165" s="165" t="s">
        <v>3812</v>
      </c>
      <c r="AE165">
        <v>26</v>
      </c>
      <c r="AF165" s="165" t="s">
        <v>4281</v>
      </c>
      <c r="AG165">
        <v>411</v>
      </c>
      <c r="AH165">
        <v>427</v>
      </c>
      <c r="AI165">
        <v>44.1</v>
      </c>
      <c r="AJ165">
        <v>45.7</v>
      </c>
      <c r="AK165" s="165" t="s">
        <v>4282</v>
      </c>
      <c r="AN165">
        <v>1</v>
      </c>
      <c r="AO165">
        <v>2</v>
      </c>
      <c r="AP165">
        <v>2</v>
      </c>
      <c r="AQ165" s="165" t="s">
        <v>3815</v>
      </c>
      <c r="AR165" t="s">
        <v>4146</v>
      </c>
      <c r="AS165" s="165" t="s">
        <v>30</v>
      </c>
      <c r="AT165" t="s">
        <v>5291</v>
      </c>
      <c r="AU165" t="s">
        <v>5291</v>
      </c>
    </row>
    <row r="166" spans="1:47" hidden="1" x14ac:dyDescent="0.25">
      <c r="A166" s="165" t="s">
        <v>805</v>
      </c>
      <c r="B166" s="165" t="s">
        <v>88</v>
      </c>
      <c r="C166" s="165" t="s">
        <v>23</v>
      </c>
      <c r="D166" s="165" t="s">
        <v>806</v>
      </c>
      <c r="E166" s="165" t="s">
        <v>4066</v>
      </c>
      <c r="F166" s="165" t="s">
        <v>12</v>
      </c>
      <c r="G166" s="165" t="s">
        <v>8</v>
      </c>
      <c r="H166" s="165" t="s">
        <v>241</v>
      </c>
      <c r="I166" s="165" t="s">
        <v>3803</v>
      </c>
      <c r="J166" s="165" t="s">
        <v>4011</v>
      </c>
      <c r="K166" s="165"/>
      <c r="L166" s="165"/>
      <c r="M166" s="165"/>
      <c r="N166" s="165"/>
      <c r="O166" s="165"/>
      <c r="P166" s="165"/>
      <c r="Q166" s="165"/>
      <c r="R166" s="165"/>
      <c r="S166" s="165" t="s">
        <v>3902</v>
      </c>
      <c r="T166" s="165"/>
      <c r="U166" s="165"/>
      <c r="V166" s="165"/>
      <c r="W166" s="165"/>
      <c r="X166" s="165" t="s">
        <v>2428</v>
      </c>
      <c r="Y166">
        <v>2</v>
      </c>
      <c r="Z166" s="165" t="s">
        <v>3903</v>
      </c>
      <c r="AA166" s="165" t="s">
        <v>3811</v>
      </c>
      <c r="AB166" s="165" t="s">
        <v>3810</v>
      </c>
      <c r="AC166" s="165" t="s">
        <v>3809</v>
      </c>
      <c r="AD166" s="165" t="s">
        <v>3812</v>
      </c>
      <c r="AE166">
        <v>26</v>
      </c>
      <c r="AF166" s="165" t="s">
        <v>4281</v>
      </c>
      <c r="AG166">
        <v>411</v>
      </c>
      <c r="AH166">
        <v>427</v>
      </c>
      <c r="AI166">
        <v>44.1</v>
      </c>
      <c r="AJ166">
        <v>45.7</v>
      </c>
      <c r="AK166" s="165" t="s">
        <v>4282</v>
      </c>
      <c r="AN166">
        <v>1</v>
      </c>
      <c r="AO166">
        <v>2</v>
      </c>
      <c r="AP166">
        <v>2</v>
      </c>
      <c r="AQ166" s="165" t="s">
        <v>3815</v>
      </c>
      <c r="AR166" t="s">
        <v>3966</v>
      </c>
      <c r="AS166" s="165" t="s">
        <v>30</v>
      </c>
      <c r="AT166" t="s">
        <v>5291</v>
      </c>
      <c r="AU166" t="s">
        <v>5291</v>
      </c>
    </row>
    <row r="167" spans="1:47" hidden="1" x14ac:dyDescent="0.25">
      <c r="A167" s="165" t="s">
        <v>935</v>
      </c>
      <c r="B167" s="165" t="s">
        <v>4286</v>
      </c>
      <c r="C167" s="165" t="s">
        <v>23</v>
      </c>
      <c r="D167" s="165" t="s">
        <v>936</v>
      </c>
      <c r="E167" s="165" t="s">
        <v>3929</v>
      </c>
      <c r="F167" s="165" t="s">
        <v>11</v>
      </c>
      <c r="G167" s="165" t="s">
        <v>8</v>
      </c>
      <c r="H167" s="165" t="s">
        <v>241</v>
      </c>
      <c r="I167" s="165" t="s">
        <v>3803</v>
      </c>
      <c r="J167" s="165" t="s">
        <v>4011</v>
      </c>
      <c r="K167" s="165"/>
      <c r="L167" s="165"/>
      <c r="M167" s="165"/>
      <c r="N167" s="165"/>
      <c r="O167" s="165"/>
      <c r="P167" s="165"/>
      <c r="Q167" s="165"/>
      <c r="R167" s="165"/>
      <c r="S167" s="165" t="s">
        <v>3902</v>
      </c>
      <c r="T167" s="165"/>
      <c r="U167" s="165"/>
      <c r="V167" s="165"/>
      <c r="W167" s="165"/>
      <c r="X167" s="165" t="s">
        <v>2428</v>
      </c>
      <c r="Y167">
        <v>2</v>
      </c>
      <c r="Z167" s="165" t="s">
        <v>3903</v>
      </c>
      <c r="AA167" s="165" t="s">
        <v>3811</v>
      </c>
      <c r="AB167" s="165" t="s">
        <v>3810</v>
      </c>
      <c r="AC167" s="165" t="s">
        <v>3809</v>
      </c>
      <c r="AD167" s="165" t="s">
        <v>3812</v>
      </c>
      <c r="AE167">
        <v>26</v>
      </c>
      <c r="AF167" s="165" t="s">
        <v>4281</v>
      </c>
      <c r="AG167">
        <v>411</v>
      </c>
      <c r="AH167">
        <v>427</v>
      </c>
      <c r="AI167">
        <v>44.1</v>
      </c>
      <c r="AJ167">
        <v>45.7</v>
      </c>
      <c r="AK167" s="165" t="s">
        <v>4282</v>
      </c>
      <c r="AN167">
        <v>1</v>
      </c>
      <c r="AO167">
        <v>2</v>
      </c>
      <c r="AP167">
        <v>2</v>
      </c>
      <c r="AQ167" s="165" t="s">
        <v>3815</v>
      </c>
      <c r="AR167" t="s">
        <v>4125</v>
      </c>
      <c r="AS167" s="165" t="s">
        <v>30</v>
      </c>
      <c r="AT167" t="s">
        <v>5291</v>
      </c>
      <c r="AU167" t="s">
        <v>5291</v>
      </c>
    </row>
    <row r="168" spans="1:47" hidden="1" x14ac:dyDescent="0.25">
      <c r="A168" s="165" t="s">
        <v>939</v>
      </c>
      <c r="B168" s="165" t="s">
        <v>4287</v>
      </c>
      <c r="C168" s="165" t="s">
        <v>23</v>
      </c>
      <c r="D168" s="165" t="s">
        <v>940</v>
      </c>
      <c r="E168" s="165" t="s">
        <v>3929</v>
      </c>
      <c r="F168" s="165" t="s">
        <v>11</v>
      </c>
      <c r="G168" s="165" t="s">
        <v>8</v>
      </c>
      <c r="H168" s="165" t="s">
        <v>241</v>
      </c>
      <c r="I168" s="165" t="s">
        <v>3803</v>
      </c>
      <c r="J168" s="165" t="s">
        <v>4011</v>
      </c>
      <c r="K168" s="165"/>
      <c r="L168" s="165"/>
      <c r="M168" s="165"/>
      <c r="N168" s="165"/>
      <c r="O168" s="165"/>
      <c r="P168" s="165"/>
      <c r="Q168" s="165"/>
      <c r="R168" s="165"/>
      <c r="S168" s="165" t="s">
        <v>3902</v>
      </c>
      <c r="T168" s="165"/>
      <c r="U168" s="165"/>
      <c r="V168" s="165"/>
      <c r="W168" s="165"/>
      <c r="X168" s="165" t="s">
        <v>2428</v>
      </c>
      <c r="Y168">
        <v>2</v>
      </c>
      <c r="Z168" s="165" t="s">
        <v>3903</v>
      </c>
      <c r="AA168" s="165" t="s">
        <v>3811</v>
      </c>
      <c r="AB168" s="165" t="s">
        <v>3810</v>
      </c>
      <c r="AC168" s="165" t="s">
        <v>3809</v>
      </c>
      <c r="AD168" s="165" t="s">
        <v>3812</v>
      </c>
      <c r="AE168">
        <v>26</v>
      </c>
      <c r="AF168" s="165" t="s">
        <v>4281</v>
      </c>
      <c r="AG168">
        <v>411</v>
      </c>
      <c r="AH168">
        <v>427</v>
      </c>
      <c r="AI168">
        <v>44.1</v>
      </c>
      <c r="AJ168">
        <v>45.7</v>
      </c>
      <c r="AK168" s="165" t="s">
        <v>4282</v>
      </c>
      <c r="AN168">
        <v>1</v>
      </c>
      <c r="AO168">
        <v>2</v>
      </c>
      <c r="AP168">
        <v>2</v>
      </c>
      <c r="AQ168" s="165" t="s">
        <v>3815</v>
      </c>
      <c r="AR168" t="s">
        <v>4178</v>
      </c>
      <c r="AS168" s="165" t="s">
        <v>30</v>
      </c>
      <c r="AT168" t="s">
        <v>5291</v>
      </c>
      <c r="AU168" t="s">
        <v>5291</v>
      </c>
    </row>
    <row r="169" spans="1:47" hidden="1" x14ac:dyDescent="0.25">
      <c r="A169" s="165" t="s">
        <v>4288</v>
      </c>
      <c r="B169" s="165" t="s">
        <v>88</v>
      </c>
      <c r="C169" s="165" t="s">
        <v>23</v>
      </c>
      <c r="D169" s="165" t="s">
        <v>4289</v>
      </c>
      <c r="E169" s="165" t="s">
        <v>4105</v>
      </c>
      <c r="F169" s="165" t="s">
        <v>2183</v>
      </c>
      <c r="G169" s="165" t="s">
        <v>8</v>
      </c>
      <c r="H169" s="165" t="s">
        <v>241</v>
      </c>
      <c r="I169" s="165" t="s">
        <v>3820</v>
      </c>
      <c r="J169" s="165" t="s">
        <v>4106</v>
      </c>
      <c r="K169" s="165"/>
      <c r="L169" s="165"/>
      <c r="M169" s="165"/>
      <c r="N169" s="165"/>
      <c r="O169" s="165"/>
      <c r="P169" s="165"/>
      <c r="Q169" s="165"/>
      <c r="R169" s="165"/>
      <c r="S169" s="165" t="s">
        <v>3902</v>
      </c>
      <c r="T169" s="165"/>
      <c r="U169" s="165"/>
      <c r="V169" s="165"/>
      <c r="W169" s="165"/>
      <c r="X169" s="165" t="s">
        <v>2428</v>
      </c>
      <c r="Y169">
        <v>2</v>
      </c>
      <c r="Z169" s="165" t="s">
        <v>3903</v>
      </c>
      <c r="AA169" s="165" t="s">
        <v>3811</v>
      </c>
      <c r="AB169" s="165" t="s">
        <v>3810</v>
      </c>
      <c r="AC169" s="165" t="s">
        <v>3809</v>
      </c>
      <c r="AD169" s="165" t="s">
        <v>3812</v>
      </c>
      <c r="AE169">
        <v>26</v>
      </c>
      <c r="AF169" s="165" t="s">
        <v>4281</v>
      </c>
      <c r="AG169">
        <v>411</v>
      </c>
      <c r="AH169">
        <v>427</v>
      </c>
      <c r="AI169">
        <v>44.1</v>
      </c>
      <c r="AJ169">
        <v>45.7</v>
      </c>
      <c r="AK169" s="165" t="s">
        <v>4282</v>
      </c>
      <c r="AN169">
        <v>1</v>
      </c>
      <c r="AO169">
        <v>2</v>
      </c>
      <c r="AP169">
        <v>2</v>
      </c>
      <c r="AQ169" s="165" t="s">
        <v>3815</v>
      </c>
      <c r="AR169" t="s">
        <v>4290</v>
      </c>
      <c r="AS169" s="165" t="s">
        <v>30</v>
      </c>
      <c r="AT169" t="s">
        <v>5291</v>
      </c>
      <c r="AU169" t="s">
        <v>5291</v>
      </c>
    </row>
    <row r="170" spans="1:47" hidden="1" x14ac:dyDescent="0.25">
      <c r="A170" s="165" t="s">
        <v>1102</v>
      </c>
      <c r="B170" s="165" t="s">
        <v>4291</v>
      </c>
      <c r="C170" s="165" t="s">
        <v>23</v>
      </c>
      <c r="D170" s="165" t="s">
        <v>1103</v>
      </c>
      <c r="E170" s="165" t="s">
        <v>4292</v>
      </c>
      <c r="F170" s="165" t="s">
        <v>11</v>
      </c>
      <c r="G170" s="165" t="s">
        <v>8</v>
      </c>
      <c r="H170" s="165" t="s">
        <v>241</v>
      </c>
      <c r="I170" s="165" t="s">
        <v>3803</v>
      </c>
      <c r="J170" s="165" t="s">
        <v>4011</v>
      </c>
      <c r="K170" s="165"/>
      <c r="L170" s="165"/>
      <c r="M170" s="165"/>
      <c r="N170" s="165"/>
      <c r="O170" s="165"/>
      <c r="P170" s="165"/>
      <c r="Q170" s="165"/>
      <c r="R170" s="165"/>
      <c r="S170" s="165" t="s">
        <v>3902</v>
      </c>
      <c r="T170" s="165"/>
      <c r="U170" s="165"/>
      <c r="V170" s="165"/>
      <c r="W170" s="165"/>
      <c r="X170" s="165" t="s">
        <v>2428</v>
      </c>
      <c r="Y170">
        <v>2</v>
      </c>
      <c r="Z170" s="165" t="s">
        <v>3903</v>
      </c>
      <c r="AA170" s="165" t="s">
        <v>3811</v>
      </c>
      <c r="AB170" s="165" t="s">
        <v>3810</v>
      </c>
      <c r="AC170" s="165" t="s">
        <v>3809</v>
      </c>
      <c r="AD170" s="165" t="s">
        <v>3812</v>
      </c>
      <c r="AE170">
        <v>26</v>
      </c>
      <c r="AF170" s="165" t="s">
        <v>4293</v>
      </c>
      <c r="AG170">
        <v>411</v>
      </c>
      <c r="AH170">
        <v>422</v>
      </c>
      <c r="AI170">
        <v>44.1</v>
      </c>
      <c r="AJ170">
        <v>45.2</v>
      </c>
      <c r="AK170" s="165" t="s">
        <v>4294</v>
      </c>
      <c r="AN170">
        <v>1</v>
      </c>
      <c r="AO170">
        <v>2</v>
      </c>
      <c r="AP170">
        <v>2</v>
      </c>
      <c r="AQ170" s="165" t="s">
        <v>3815</v>
      </c>
      <c r="AR170" t="s">
        <v>3932</v>
      </c>
      <c r="AS170" s="165" t="s">
        <v>30</v>
      </c>
      <c r="AT170" t="s">
        <v>5291</v>
      </c>
      <c r="AU170" t="s">
        <v>5291</v>
      </c>
    </row>
    <row r="171" spans="1:47" hidden="1" x14ac:dyDescent="0.25">
      <c r="A171" s="165" t="s">
        <v>1114</v>
      </c>
      <c r="B171" s="165" t="s">
        <v>88</v>
      </c>
      <c r="C171" s="165" t="s">
        <v>23</v>
      </c>
      <c r="D171" s="165" t="s">
        <v>1115</v>
      </c>
      <c r="E171" s="165" t="s">
        <v>4295</v>
      </c>
      <c r="F171" s="165" t="s">
        <v>11</v>
      </c>
      <c r="G171" s="165" t="s">
        <v>8</v>
      </c>
      <c r="H171" s="165" t="s">
        <v>241</v>
      </c>
      <c r="I171" s="165" t="s">
        <v>3803</v>
      </c>
      <c r="J171" s="165" t="s">
        <v>4011</v>
      </c>
      <c r="K171" s="165"/>
      <c r="L171" s="165"/>
      <c r="M171" s="165"/>
      <c r="N171" s="165"/>
      <c r="O171" s="165"/>
      <c r="P171" s="165"/>
      <c r="Q171" s="165"/>
      <c r="R171" s="165"/>
      <c r="S171" s="165" t="s">
        <v>3902</v>
      </c>
      <c r="T171" s="165"/>
      <c r="U171" s="165"/>
      <c r="V171" s="165"/>
      <c r="W171" s="165"/>
      <c r="X171" s="165" t="s">
        <v>2428</v>
      </c>
      <c r="Y171">
        <v>2</v>
      </c>
      <c r="Z171" s="165" t="s">
        <v>3903</v>
      </c>
      <c r="AA171" s="165" t="s">
        <v>3811</v>
      </c>
      <c r="AB171" s="165" t="s">
        <v>3810</v>
      </c>
      <c r="AC171" s="165" t="s">
        <v>3809</v>
      </c>
      <c r="AD171" s="165" t="s">
        <v>3812</v>
      </c>
      <c r="AE171">
        <v>26</v>
      </c>
      <c r="AF171" s="165" t="s">
        <v>4281</v>
      </c>
      <c r="AG171">
        <v>411</v>
      </c>
      <c r="AH171">
        <v>427</v>
      </c>
      <c r="AI171">
        <v>44.1</v>
      </c>
      <c r="AJ171">
        <v>45.7</v>
      </c>
      <c r="AK171" s="165" t="s">
        <v>4282</v>
      </c>
      <c r="AN171">
        <v>1</v>
      </c>
      <c r="AO171">
        <v>2</v>
      </c>
      <c r="AP171">
        <v>2</v>
      </c>
      <c r="AQ171" s="165" t="s">
        <v>3815</v>
      </c>
      <c r="AR171" t="s">
        <v>3932</v>
      </c>
      <c r="AS171" s="165" t="s">
        <v>30</v>
      </c>
      <c r="AT171" t="s">
        <v>5291</v>
      </c>
      <c r="AU171" t="s">
        <v>5291</v>
      </c>
    </row>
    <row r="172" spans="1:47" hidden="1" x14ac:dyDescent="0.25">
      <c r="A172" s="165" t="s">
        <v>1763</v>
      </c>
      <c r="B172" s="165" t="s">
        <v>4296</v>
      </c>
      <c r="C172" s="165" t="s">
        <v>23</v>
      </c>
      <c r="D172" s="165" t="s">
        <v>1764</v>
      </c>
      <c r="E172" s="165" t="s">
        <v>3938</v>
      </c>
      <c r="F172" s="165" t="s">
        <v>11</v>
      </c>
      <c r="G172" s="165" t="s">
        <v>8</v>
      </c>
      <c r="H172" s="165" t="s">
        <v>241</v>
      </c>
      <c r="I172" s="165" t="s">
        <v>3803</v>
      </c>
      <c r="J172" s="165" t="s">
        <v>4011</v>
      </c>
      <c r="K172" s="165"/>
      <c r="L172" s="165"/>
      <c r="M172" s="165"/>
      <c r="N172" s="165"/>
      <c r="O172" s="165"/>
      <c r="P172" s="165"/>
      <c r="Q172" s="165"/>
      <c r="R172" s="165"/>
      <c r="S172" s="165" t="s">
        <v>3902</v>
      </c>
      <c r="T172" s="165"/>
      <c r="U172" s="165"/>
      <c r="V172" s="165"/>
      <c r="W172" s="165"/>
      <c r="X172" s="165" t="s">
        <v>2428</v>
      </c>
      <c r="Y172">
        <v>2</v>
      </c>
      <c r="Z172" s="165" t="s">
        <v>3903</v>
      </c>
      <c r="AA172" s="165" t="s">
        <v>3811</v>
      </c>
      <c r="AB172" s="165" t="s">
        <v>3810</v>
      </c>
      <c r="AC172" s="165" t="s">
        <v>3809</v>
      </c>
      <c r="AD172" s="165" t="s">
        <v>3812</v>
      </c>
      <c r="AE172">
        <v>26</v>
      </c>
      <c r="AF172" s="165" t="s">
        <v>4293</v>
      </c>
      <c r="AG172">
        <v>411</v>
      </c>
      <c r="AH172">
        <v>422</v>
      </c>
      <c r="AI172">
        <v>44.1</v>
      </c>
      <c r="AJ172">
        <v>45.2</v>
      </c>
      <c r="AK172" s="165" t="s">
        <v>4294</v>
      </c>
      <c r="AN172">
        <v>1</v>
      </c>
      <c r="AO172">
        <v>2</v>
      </c>
      <c r="AP172">
        <v>2</v>
      </c>
      <c r="AQ172" s="165" t="s">
        <v>3815</v>
      </c>
      <c r="AR172" t="s">
        <v>3860</v>
      </c>
      <c r="AS172" s="165" t="s">
        <v>30</v>
      </c>
      <c r="AT172" t="s">
        <v>5291</v>
      </c>
      <c r="AU172" t="s">
        <v>5291</v>
      </c>
    </row>
    <row r="173" spans="1:47" hidden="1" x14ac:dyDescent="0.25">
      <c r="A173" s="165" t="s">
        <v>1636</v>
      </c>
      <c r="B173" s="165" t="s">
        <v>88</v>
      </c>
      <c r="C173" s="165" t="s">
        <v>23</v>
      </c>
      <c r="D173" s="165" t="s">
        <v>1637</v>
      </c>
      <c r="E173" s="165" t="s">
        <v>4297</v>
      </c>
      <c r="F173" s="165" t="s">
        <v>12</v>
      </c>
      <c r="G173" s="165" t="s">
        <v>8</v>
      </c>
      <c r="H173" s="165" t="s">
        <v>241</v>
      </c>
      <c r="I173" s="165" t="s">
        <v>3803</v>
      </c>
      <c r="J173" s="165" t="s">
        <v>4011</v>
      </c>
      <c r="K173" s="165"/>
      <c r="L173" s="165"/>
      <c r="M173" s="165"/>
      <c r="N173" s="165"/>
      <c r="O173" s="165"/>
      <c r="P173" s="165"/>
      <c r="Q173" s="165"/>
      <c r="R173" s="165"/>
      <c r="S173" s="165" t="s">
        <v>3902</v>
      </c>
      <c r="T173" s="165"/>
      <c r="U173" s="165"/>
      <c r="V173" s="165"/>
      <c r="W173" s="165"/>
      <c r="X173" s="165" t="s">
        <v>2428</v>
      </c>
      <c r="Y173">
        <v>2</v>
      </c>
      <c r="Z173" s="165" t="s">
        <v>3903</v>
      </c>
      <c r="AA173" s="165" t="s">
        <v>3811</v>
      </c>
      <c r="AB173" s="165" t="s">
        <v>3810</v>
      </c>
      <c r="AC173" s="165" t="s">
        <v>3809</v>
      </c>
      <c r="AD173" s="165" t="s">
        <v>3812</v>
      </c>
      <c r="AE173">
        <v>26</v>
      </c>
      <c r="AF173" s="165" t="s">
        <v>4281</v>
      </c>
      <c r="AG173">
        <v>411</v>
      </c>
      <c r="AH173">
        <v>427</v>
      </c>
      <c r="AI173">
        <v>44.1</v>
      </c>
      <c r="AJ173">
        <v>45.7</v>
      </c>
      <c r="AK173" s="165" t="s">
        <v>4282</v>
      </c>
      <c r="AN173">
        <v>1</v>
      </c>
      <c r="AO173">
        <v>2</v>
      </c>
      <c r="AP173">
        <v>2</v>
      </c>
      <c r="AQ173" s="165" t="s">
        <v>3815</v>
      </c>
      <c r="AR173" t="s">
        <v>4298</v>
      </c>
      <c r="AS173" s="165" t="s">
        <v>30</v>
      </c>
      <c r="AT173" t="s">
        <v>5291</v>
      </c>
      <c r="AU173" t="s">
        <v>5291</v>
      </c>
    </row>
    <row r="174" spans="1:47" hidden="1" x14ac:dyDescent="0.25">
      <c r="A174" s="165" t="s">
        <v>4299</v>
      </c>
      <c r="B174" s="165" t="s">
        <v>88</v>
      </c>
      <c r="C174" s="165" t="s">
        <v>23</v>
      </c>
      <c r="D174" s="165" t="s">
        <v>4300</v>
      </c>
      <c r="E174" s="165" t="s">
        <v>3943</v>
      </c>
      <c r="F174" s="165" t="s">
        <v>4234</v>
      </c>
      <c r="G174" s="165" t="s">
        <v>8</v>
      </c>
      <c r="H174" s="165" t="s">
        <v>241</v>
      </c>
      <c r="I174" s="165" t="s">
        <v>3864</v>
      </c>
      <c r="J174" s="165" t="s">
        <v>3901</v>
      </c>
      <c r="K174" s="165"/>
      <c r="L174" s="165"/>
      <c r="M174" s="165"/>
      <c r="N174" s="165"/>
      <c r="O174" s="165"/>
      <c r="P174" s="165"/>
      <c r="Q174" s="165"/>
      <c r="R174" s="165"/>
      <c r="S174" s="165" t="s">
        <v>3902</v>
      </c>
      <c r="T174" s="165"/>
      <c r="U174" s="165"/>
      <c r="V174" s="165"/>
      <c r="W174" s="165"/>
      <c r="X174" s="165" t="s">
        <v>2428</v>
      </c>
      <c r="Y174">
        <v>2</v>
      </c>
      <c r="Z174" s="165" t="s">
        <v>3903</v>
      </c>
      <c r="AA174" s="165" t="s">
        <v>3811</v>
      </c>
      <c r="AB174" s="165" t="s">
        <v>3810</v>
      </c>
      <c r="AC174" s="165" t="s">
        <v>3809</v>
      </c>
      <c r="AD174" s="165" t="s">
        <v>3812</v>
      </c>
      <c r="AE174">
        <v>26</v>
      </c>
      <c r="AF174" s="165" t="s">
        <v>4281</v>
      </c>
      <c r="AG174">
        <v>411</v>
      </c>
      <c r="AH174">
        <v>427</v>
      </c>
      <c r="AI174">
        <v>44.1</v>
      </c>
      <c r="AJ174">
        <v>45.7</v>
      </c>
      <c r="AK174" s="165" t="s">
        <v>4282</v>
      </c>
      <c r="AN174">
        <v>1</v>
      </c>
      <c r="AO174">
        <v>2</v>
      </c>
      <c r="AP174">
        <v>2</v>
      </c>
      <c r="AQ174" s="165" t="s">
        <v>3815</v>
      </c>
      <c r="AR174" t="s">
        <v>3816</v>
      </c>
      <c r="AS174" s="165" t="s">
        <v>30</v>
      </c>
      <c r="AT174" t="s">
        <v>5291</v>
      </c>
      <c r="AU174" t="s">
        <v>5291</v>
      </c>
    </row>
    <row r="175" spans="1:47" hidden="1" x14ac:dyDescent="0.25">
      <c r="A175" s="165" t="s">
        <v>1262</v>
      </c>
      <c r="B175" s="165" t="s">
        <v>88</v>
      </c>
      <c r="C175" s="165" t="s">
        <v>23</v>
      </c>
      <c r="D175" s="165" t="s">
        <v>1263</v>
      </c>
      <c r="E175" s="165" t="s">
        <v>3943</v>
      </c>
      <c r="F175" s="165" t="s">
        <v>11</v>
      </c>
      <c r="G175" s="165" t="s">
        <v>8</v>
      </c>
      <c r="H175" s="165" t="s">
        <v>241</v>
      </c>
      <c r="I175" s="165" t="s">
        <v>3803</v>
      </c>
      <c r="J175" s="165" t="s">
        <v>4011</v>
      </c>
      <c r="K175" s="165"/>
      <c r="L175" s="165"/>
      <c r="M175" s="165"/>
      <c r="N175" s="165"/>
      <c r="O175" s="165"/>
      <c r="P175" s="165"/>
      <c r="Q175" s="165"/>
      <c r="R175" s="165"/>
      <c r="S175" s="165" t="s">
        <v>3902</v>
      </c>
      <c r="T175" s="165"/>
      <c r="U175" s="165"/>
      <c r="V175" s="165"/>
      <c r="W175" s="165"/>
      <c r="X175" s="165" t="s">
        <v>2428</v>
      </c>
      <c r="Y175">
        <v>2</v>
      </c>
      <c r="Z175" s="165" t="s">
        <v>3903</v>
      </c>
      <c r="AA175" s="165" t="s">
        <v>3811</v>
      </c>
      <c r="AB175" s="165" t="s">
        <v>3810</v>
      </c>
      <c r="AC175" s="165" t="s">
        <v>3809</v>
      </c>
      <c r="AD175" s="165" t="s">
        <v>3812</v>
      </c>
      <c r="AE175">
        <v>26</v>
      </c>
      <c r="AF175" s="165" t="s">
        <v>4281</v>
      </c>
      <c r="AG175">
        <v>411</v>
      </c>
      <c r="AH175">
        <v>427</v>
      </c>
      <c r="AI175">
        <v>44.1</v>
      </c>
      <c r="AJ175">
        <v>45.7</v>
      </c>
      <c r="AK175" s="165" t="s">
        <v>4282</v>
      </c>
      <c r="AN175">
        <v>1</v>
      </c>
      <c r="AO175">
        <v>2</v>
      </c>
      <c r="AP175">
        <v>2</v>
      </c>
      <c r="AQ175" s="165" t="s">
        <v>3815</v>
      </c>
      <c r="AR175" t="s">
        <v>3816</v>
      </c>
      <c r="AS175" s="165" t="s">
        <v>30</v>
      </c>
      <c r="AT175" t="s">
        <v>5291</v>
      </c>
      <c r="AU175" t="s">
        <v>5291</v>
      </c>
    </row>
    <row r="176" spans="1:47" hidden="1" x14ac:dyDescent="0.25">
      <c r="A176" s="165" t="s">
        <v>1807</v>
      </c>
      <c r="B176" s="165" t="s">
        <v>3444</v>
      </c>
      <c r="C176" s="165" t="s">
        <v>23</v>
      </c>
      <c r="D176" s="165" t="s">
        <v>1808</v>
      </c>
      <c r="E176" s="165" t="s">
        <v>3950</v>
      </c>
      <c r="F176" s="165" t="s">
        <v>11</v>
      </c>
      <c r="G176" s="165" t="s">
        <v>8</v>
      </c>
      <c r="H176" s="165" t="s">
        <v>241</v>
      </c>
      <c r="I176" s="165" t="s">
        <v>3803</v>
      </c>
      <c r="J176" s="165" t="s">
        <v>4011</v>
      </c>
      <c r="K176" s="165"/>
      <c r="L176" s="165"/>
      <c r="M176" s="165"/>
      <c r="N176" s="165"/>
      <c r="O176" s="165"/>
      <c r="P176" s="165"/>
      <c r="Q176" s="165"/>
      <c r="R176" s="165"/>
      <c r="S176" s="165" t="s">
        <v>3902</v>
      </c>
      <c r="T176" s="165"/>
      <c r="U176" s="165"/>
      <c r="V176" s="165"/>
      <c r="W176" s="165"/>
      <c r="X176" s="165" t="s">
        <v>2428</v>
      </c>
      <c r="Y176">
        <v>2</v>
      </c>
      <c r="Z176" s="165" t="s">
        <v>3903</v>
      </c>
      <c r="AA176" s="165" t="s">
        <v>3811</v>
      </c>
      <c r="AB176" s="165" t="s">
        <v>3810</v>
      </c>
      <c r="AC176" s="165" t="s">
        <v>3809</v>
      </c>
      <c r="AD176" s="165" t="s">
        <v>3812</v>
      </c>
      <c r="AE176">
        <v>26</v>
      </c>
      <c r="AF176" s="165" t="s">
        <v>4281</v>
      </c>
      <c r="AG176">
        <v>411</v>
      </c>
      <c r="AH176">
        <v>427</v>
      </c>
      <c r="AI176">
        <v>44.1</v>
      </c>
      <c r="AJ176">
        <v>45.7</v>
      </c>
      <c r="AK176" s="165" t="s">
        <v>4282</v>
      </c>
      <c r="AN176">
        <v>1</v>
      </c>
      <c r="AO176">
        <v>2</v>
      </c>
      <c r="AP176">
        <v>2</v>
      </c>
      <c r="AQ176" s="165" t="s">
        <v>3815</v>
      </c>
      <c r="AR176" t="s">
        <v>4111</v>
      </c>
      <c r="AS176" s="165" t="s">
        <v>30</v>
      </c>
      <c r="AT176" t="s">
        <v>5291</v>
      </c>
      <c r="AU176" t="s">
        <v>5291</v>
      </c>
    </row>
    <row r="177" spans="1:47" hidden="1" x14ac:dyDescent="0.25">
      <c r="A177" s="165" t="s">
        <v>1292</v>
      </c>
      <c r="B177" s="165" t="s">
        <v>4301</v>
      </c>
      <c r="C177" s="165" t="s">
        <v>23</v>
      </c>
      <c r="D177" s="165" t="s">
        <v>1293</v>
      </c>
      <c r="E177" s="165" t="s">
        <v>3950</v>
      </c>
      <c r="F177" s="165" t="s">
        <v>11</v>
      </c>
      <c r="G177" s="165" t="s">
        <v>8</v>
      </c>
      <c r="H177" s="165" t="s">
        <v>241</v>
      </c>
      <c r="I177" s="165" t="s">
        <v>3803</v>
      </c>
      <c r="J177" s="165" t="s">
        <v>4011</v>
      </c>
      <c r="K177" s="165"/>
      <c r="L177" s="165"/>
      <c r="M177" s="165"/>
      <c r="N177" s="165"/>
      <c r="O177" s="165"/>
      <c r="P177" s="165"/>
      <c r="Q177" s="165"/>
      <c r="R177" s="165"/>
      <c r="S177" s="165" t="s">
        <v>3902</v>
      </c>
      <c r="T177" s="165"/>
      <c r="U177" s="165"/>
      <c r="V177" s="165"/>
      <c r="W177" s="165"/>
      <c r="X177" s="165" t="s">
        <v>2428</v>
      </c>
      <c r="Y177">
        <v>2</v>
      </c>
      <c r="Z177" s="165" t="s">
        <v>3903</v>
      </c>
      <c r="AA177" s="165" t="s">
        <v>3811</v>
      </c>
      <c r="AB177" s="165" t="s">
        <v>3810</v>
      </c>
      <c r="AC177" s="165" t="s">
        <v>3809</v>
      </c>
      <c r="AD177" s="165" t="s">
        <v>3812</v>
      </c>
      <c r="AE177">
        <v>26</v>
      </c>
      <c r="AF177" s="165" t="s">
        <v>4281</v>
      </c>
      <c r="AG177">
        <v>411</v>
      </c>
      <c r="AH177">
        <v>427</v>
      </c>
      <c r="AI177">
        <v>44.1</v>
      </c>
      <c r="AJ177">
        <v>45.7</v>
      </c>
      <c r="AK177" s="165" t="s">
        <v>4282</v>
      </c>
      <c r="AN177">
        <v>1</v>
      </c>
      <c r="AO177">
        <v>2</v>
      </c>
      <c r="AP177">
        <v>2</v>
      </c>
      <c r="AQ177" s="165" t="s">
        <v>3815</v>
      </c>
      <c r="AR177" t="s">
        <v>3956</v>
      </c>
      <c r="AS177" s="165" t="s">
        <v>30</v>
      </c>
      <c r="AT177" t="s">
        <v>5291</v>
      </c>
      <c r="AU177" t="s">
        <v>5291</v>
      </c>
    </row>
    <row r="178" spans="1:47" hidden="1" x14ac:dyDescent="0.25">
      <c r="A178" s="165" t="s">
        <v>1614</v>
      </c>
      <c r="B178" s="165" t="s">
        <v>3328</v>
      </c>
      <c r="C178" s="165" t="s">
        <v>23</v>
      </c>
      <c r="D178" s="165" t="s">
        <v>1615</v>
      </c>
      <c r="E178" s="165" t="s">
        <v>4019</v>
      </c>
      <c r="F178" s="165" t="s">
        <v>9</v>
      </c>
      <c r="G178" s="165" t="s">
        <v>8</v>
      </c>
      <c r="H178" s="165" t="s">
        <v>3466</v>
      </c>
      <c r="I178" s="165" t="s">
        <v>3820</v>
      </c>
      <c r="J178" s="165" t="s">
        <v>4302</v>
      </c>
      <c r="K178" s="165" t="s">
        <v>3819</v>
      </c>
      <c r="L178" s="165" t="s">
        <v>3820</v>
      </c>
      <c r="M178" s="165" t="s">
        <v>3803</v>
      </c>
      <c r="N178" s="165" t="s">
        <v>3805</v>
      </c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>
        <v>4</v>
      </c>
      <c r="Z178" s="165" t="s">
        <v>3873</v>
      </c>
      <c r="AA178" s="165" t="s">
        <v>3809</v>
      </c>
      <c r="AB178" s="165" t="s">
        <v>3811</v>
      </c>
      <c r="AC178" s="165" t="s">
        <v>3810</v>
      </c>
      <c r="AD178" s="165" t="s">
        <v>4020</v>
      </c>
      <c r="AE178">
        <v>53</v>
      </c>
      <c r="AF178" s="165" t="s">
        <v>4303</v>
      </c>
      <c r="AG178">
        <v>416</v>
      </c>
      <c r="AH178">
        <v>29</v>
      </c>
      <c r="AI178">
        <v>44.6</v>
      </c>
      <c r="AJ178">
        <v>32</v>
      </c>
      <c r="AK178" s="165" t="s">
        <v>4304</v>
      </c>
      <c r="AN178">
        <v>6</v>
      </c>
      <c r="AO178">
        <v>4</v>
      </c>
      <c r="AP178">
        <v>24</v>
      </c>
      <c r="AQ178" s="165" t="s">
        <v>3815</v>
      </c>
      <c r="AR178" t="s">
        <v>3944</v>
      </c>
      <c r="AS178" s="165" t="s">
        <v>3786</v>
      </c>
      <c r="AT178" t="s">
        <v>5291</v>
      </c>
      <c r="AU178" t="s">
        <v>5291</v>
      </c>
    </row>
    <row r="179" spans="1:47" hidden="1" x14ac:dyDescent="0.25">
      <c r="A179" s="165" t="s">
        <v>1053</v>
      </c>
      <c r="B179" s="165" t="s">
        <v>4305</v>
      </c>
      <c r="C179" s="165" t="s">
        <v>23</v>
      </c>
      <c r="D179" s="165" t="s">
        <v>1054</v>
      </c>
      <c r="E179" s="165" t="s">
        <v>4306</v>
      </c>
      <c r="F179" s="165" t="s">
        <v>9</v>
      </c>
      <c r="G179" s="165" t="s">
        <v>8</v>
      </c>
      <c r="H179" s="165" t="s">
        <v>263</v>
      </c>
      <c r="I179" s="165" t="s">
        <v>3820</v>
      </c>
      <c r="J179" s="165" t="s">
        <v>4082</v>
      </c>
      <c r="K179" s="165"/>
      <c r="L179" s="165"/>
      <c r="M179" s="165"/>
      <c r="N179" s="165" t="s">
        <v>3805</v>
      </c>
      <c r="O179" s="165"/>
      <c r="P179" s="165"/>
      <c r="Q179" s="165"/>
      <c r="R179" s="165"/>
      <c r="S179" s="165"/>
      <c r="T179" s="165" t="s">
        <v>3806</v>
      </c>
      <c r="U179" s="165" t="s">
        <v>3807</v>
      </c>
      <c r="V179" s="165"/>
      <c r="W179" s="165"/>
      <c r="X179" s="165"/>
      <c r="Y179">
        <v>3</v>
      </c>
      <c r="Z179" s="165" t="s">
        <v>3808</v>
      </c>
      <c r="AA179" s="165" t="s">
        <v>3809</v>
      </c>
      <c r="AB179" s="165" t="s">
        <v>3810</v>
      </c>
      <c r="AC179" s="165" t="s">
        <v>3811</v>
      </c>
      <c r="AD179" s="165" t="s">
        <v>4020</v>
      </c>
      <c r="AE179">
        <v>53</v>
      </c>
      <c r="AF179" s="165" t="s">
        <v>4307</v>
      </c>
      <c r="AG179">
        <v>485</v>
      </c>
      <c r="AH179">
        <v>185</v>
      </c>
      <c r="AI179">
        <v>51.5</v>
      </c>
      <c r="AJ179">
        <v>21.5</v>
      </c>
      <c r="AK179" s="165" t="s">
        <v>4308</v>
      </c>
      <c r="AN179">
        <v>3</v>
      </c>
      <c r="AO179">
        <v>6</v>
      </c>
      <c r="AP179">
        <v>18</v>
      </c>
      <c r="AQ179" s="165" t="s">
        <v>3815</v>
      </c>
      <c r="AR179" t="s">
        <v>3870</v>
      </c>
      <c r="AS179" s="165" t="s">
        <v>174</v>
      </c>
      <c r="AT179" t="s">
        <v>5291</v>
      </c>
      <c r="AU179" t="s">
        <v>5291</v>
      </c>
    </row>
    <row r="180" spans="1:47" hidden="1" x14ac:dyDescent="0.25">
      <c r="A180" s="165" t="s">
        <v>1632</v>
      </c>
      <c r="B180" s="165" t="s">
        <v>4309</v>
      </c>
      <c r="C180" s="165" t="s">
        <v>23</v>
      </c>
      <c r="D180" s="165" t="s">
        <v>1633</v>
      </c>
      <c r="E180" s="165" t="s">
        <v>3993</v>
      </c>
      <c r="F180" s="165" t="s">
        <v>9</v>
      </c>
      <c r="G180" s="165" t="s">
        <v>8</v>
      </c>
      <c r="H180" s="165" t="s">
        <v>263</v>
      </c>
      <c r="I180" s="165" t="s">
        <v>3820</v>
      </c>
      <c r="J180" s="165" t="s">
        <v>4082</v>
      </c>
      <c r="K180" s="165"/>
      <c r="L180" s="165"/>
      <c r="M180" s="165"/>
      <c r="N180" s="165" t="s">
        <v>3805</v>
      </c>
      <c r="O180" s="165"/>
      <c r="P180" s="165"/>
      <c r="Q180" s="165"/>
      <c r="R180" s="165"/>
      <c r="S180" s="165"/>
      <c r="T180" s="165" t="s">
        <v>3806</v>
      </c>
      <c r="U180" s="165" t="s">
        <v>3807</v>
      </c>
      <c r="V180" s="165"/>
      <c r="W180" s="165"/>
      <c r="X180" s="165"/>
      <c r="Y180">
        <v>3</v>
      </c>
      <c r="Z180" s="165" t="s">
        <v>3808</v>
      </c>
      <c r="AA180" s="165" t="s">
        <v>3809</v>
      </c>
      <c r="AB180" s="165" t="s">
        <v>3810</v>
      </c>
      <c r="AC180" s="165" t="s">
        <v>3811</v>
      </c>
      <c r="AD180" s="165" t="s">
        <v>4310</v>
      </c>
      <c r="AE180">
        <v>121</v>
      </c>
      <c r="AF180" s="165" t="s">
        <v>4303</v>
      </c>
      <c r="AG180">
        <v>416</v>
      </c>
      <c r="AH180">
        <v>29</v>
      </c>
      <c r="AI180">
        <v>44.6</v>
      </c>
      <c r="AJ180">
        <v>32</v>
      </c>
      <c r="AK180" s="165" t="s">
        <v>4304</v>
      </c>
      <c r="AN180">
        <v>6</v>
      </c>
      <c r="AO180">
        <v>4</v>
      </c>
      <c r="AP180">
        <v>24</v>
      </c>
      <c r="AQ180" s="165" t="s">
        <v>3815</v>
      </c>
      <c r="AR180" t="s">
        <v>4092</v>
      </c>
      <c r="AS180" s="165" t="s">
        <v>174</v>
      </c>
      <c r="AT180" t="s">
        <v>5291</v>
      </c>
      <c r="AU180" t="s">
        <v>5291</v>
      </c>
    </row>
    <row r="181" spans="1:47" hidden="1" x14ac:dyDescent="0.25">
      <c r="A181" s="165" t="s">
        <v>4311</v>
      </c>
      <c r="B181" s="165" t="s">
        <v>4312</v>
      </c>
      <c r="C181" s="165" t="s">
        <v>23</v>
      </c>
      <c r="D181" s="165" t="s">
        <v>4313</v>
      </c>
      <c r="E181" s="165" t="s">
        <v>4306</v>
      </c>
      <c r="F181" s="165" t="s">
        <v>9</v>
      </c>
      <c r="G181" s="165" t="s">
        <v>8</v>
      </c>
      <c r="H181" s="165" t="s">
        <v>2206</v>
      </c>
      <c r="I181" s="165" t="s">
        <v>3820</v>
      </c>
      <c r="J181" s="165" t="s">
        <v>3863</v>
      </c>
      <c r="K181" s="165"/>
      <c r="L181" s="165"/>
      <c r="M181" s="165"/>
      <c r="N181" s="165" t="s">
        <v>3805</v>
      </c>
      <c r="O181" s="165" t="s">
        <v>3864</v>
      </c>
      <c r="P181" s="165" t="s">
        <v>3865</v>
      </c>
      <c r="Q181" s="165"/>
      <c r="R181" s="165"/>
      <c r="S181" s="165"/>
      <c r="T181" s="165"/>
      <c r="U181" s="165" t="s">
        <v>3807</v>
      </c>
      <c r="V181" s="165"/>
      <c r="W181" s="165"/>
      <c r="X181" s="165"/>
      <c r="Y181">
        <v>4</v>
      </c>
      <c r="Z181" s="165" t="s">
        <v>3866</v>
      </c>
      <c r="AA181" s="165" t="s">
        <v>3809</v>
      </c>
      <c r="AB181" s="165" t="s">
        <v>3810</v>
      </c>
      <c r="AC181" s="165" t="s">
        <v>3811</v>
      </c>
      <c r="AD181" s="165" t="s">
        <v>4020</v>
      </c>
      <c r="AE181">
        <v>53</v>
      </c>
      <c r="AF181" s="165" t="s">
        <v>4303</v>
      </c>
      <c r="AG181">
        <v>416</v>
      </c>
      <c r="AH181">
        <v>29</v>
      </c>
      <c r="AI181">
        <v>44.6</v>
      </c>
      <c r="AJ181">
        <v>32</v>
      </c>
      <c r="AK181" s="165" t="s">
        <v>4304</v>
      </c>
      <c r="AN181">
        <v>6</v>
      </c>
      <c r="AO181">
        <v>4</v>
      </c>
      <c r="AP181">
        <v>24</v>
      </c>
      <c r="AQ181" s="165" t="s">
        <v>3815</v>
      </c>
      <c r="AR181" t="s">
        <v>3966</v>
      </c>
      <c r="AS181" s="165" t="s">
        <v>174</v>
      </c>
      <c r="AT181" t="s">
        <v>5291</v>
      </c>
      <c r="AU181" t="s">
        <v>5291</v>
      </c>
    </row>
    <row r="182" spans="1:47" hidden="1" x14ac:dyDescent="0.25">
      <c r="A182" s="165" t="s">
        <v>1055</v>
      </c>
      <c r="B182" s="165" t="s">
        <v>88</v>
      </c>
      <c r="C182" s="165" t="s">
        <v>23</v>
      </c>
      <c r="D182" s="165" t="s">
        <v>1056</v>
      </c>
      <c r="E182" s="165" t="s">
        <v>4306</v>
      </c>
      <c r="F182" s="165" t="s">
        <v>9</v>
      </c>
      <c r="G182" s="165" t="s">
        <v>3878</v>
      </c>
      <c r="H182" s="165" t="s">
        <v>2206</v>
      </c>
      <c r="I182" s="165" t="s">
        <v>3807</v>
      </c>
      <c r="J182" s="165" t="s">
        <v>4314</v>
      </c>
      <c r="K182" s="165"/>
      <c r="L182" s="165"/>
      <c r="M182" s="165"/>
      <c r="N182" s="165" t="s">
        <v>3805</v>
      </c>
      <c r="O182" s="165" t="s">
        <v>3864</v>
      </c>
      <c r="P182" s="165" t="s">
        <v>3865</v>
      </c>
      <c r="Q182" s="165"/>
      <c r="R182" s="165"/>
      <c r="S182" s="165"/>
      <c r="T182" s="165"/>
      <c r="U182" s="165" t="s">
        <v>3807</v>
      </c>
      <c r="V182" s="165"/>
      <c r="W182" s="165"/>
      <c r="X182" s="165"/>
      <c r="Y182">
        <v>4</v>
      </c>
      <c r="Z182" s="165" t="s">
        <v>3866</v>
      </c>
      <c r="AA182" s="165" t="s">
        <v>3809</v>
      </c>
      <c r="AB182" s="165" t="s">
        <v>3810</v>
      </c>
      <c r="AC182" s="165" t="s">
        <v>3811</v>
      </c>
      <c r="AD182" s="165" t="s">
        <v>4020</v>
      </c>
      <c r="AE182">
        <v>53</v>
      </c>
      <c r="AF182" s="165" t="s">
        <v>4303</v>
      </c>
      <c r="AG182">
        <v>416</v>
      </c>
      <c r="AH182">
        <v>29</v>
      </c>
      <c r="AI182">
        <v>44.6</v>
      </c>
      <c r="AJ182">
        <v>32</v>
      </c>
      <c r="AK182" s="165" t="s">
        <v>4304</v>
      </c>
      <c r="AN182">
        <v>6</v>
      </c>
      <c r="AO182">
        <v>4</v>
      </c>
      <c r="AP182">
        <v>24</v>
      </c>
      <c r="AQ182" s="165" t="s">
        <v>3815</v>
      </c>
      <c r="AR182" t="s">
        <v>4315</v>
      </c>
      <c r="AS182" s="165" t="s">
        <v>174</v>
      </c>
      <c r="AT182" t="s">
        <v>5291</v>
      </c>
      <c r="AU182" t="s">
        <v>5291</v>
      </c>
    </row>
    <row r="183" spans="1:47" hidden="1" x14ac:dyDescent="0.25">
      <c r="A183" s="165" t="s">
        <v>786</v>
      </c>
      <c r="B183" s="165" t="s">
        <v>3432</v>
      </c>
      <c r="C183" s="165" t="s">
        <v>23</v>
      </c>
      <c r="D183" s="165" t="s">
        <v>787</v>
      </c>
      <c r="E183" s="165" t="s">
        <v>3914</v>
      </c>
      <c r="F183" s="165" t="s">
        <v>3935</v>
      </c>
      <c r="G183" s="165" t="s">
        <v>8</v>
      </c>
      <c r="H183" s="165" t="s">
        <v>176</v>
      </c>
      <c r="I183" s="165" t="s">
        <v>3864</v>
      </c>
      <c r="J183" s="165" t="s">
        <v>3970</v>
      </c>
      <c r="K183" s="165"/>
      <c r="L183" s="165"/>
      <c r="M183" s="165"/>
      <c r="N183" s="165"/>
      <c r="O183" s="165"/>
      <c r="P183" s="165"/>
      <c r="Q183" s="165"/>
      <c r="R183" s="165" t="s">
        <v>3842</v>
      </c>
      <c r="S183" s="165"/>
      <c r="T183" s="165"/>
      <c r="U183" s="165" t="s">
        <v>3807</v>
      </c>
      <c r="V183" s="165"/>
      <c r="W183" s="165"/>
      <c r="X183" s="165"/>
      <c r="Y183">
        <v>2</v>
      </c>
      <c r="Z183" s="165" t="s">
        <v>3843</v>
      </c>
      <c r="AA183" s="165" t="s">
        <v>3811</v>
      </c>
      <c r="AB183" s="165" t="s">
        <v>3810</v>
      </c>
      <c r="AC183" s="165" t="s">
        <v>3809</v>
      </c>
      <c r="AD183" s="165" t="s">
        <v>4316</v>
      </c>
      <c r="AE183">
        <v>84</v>
      </c>
      <c r="AF183" s="165" t="s">
        <v>4317</v>
      </c>
      <c r="AG183">
        <v>435</v>
      </c>
      <c r="AH183">
        <v>242</v>
      </c>
      <c r="AI183">
        <v>46.5</v>
      </c>
      <c r="AJ183">
        <v>27.2</v>
      </c>
      <c r="AK183" s="165" t="s">
        <v>4318</v>
      </c>
      <c r="AN183">
        <v>2</v>
      </c>
      <c r="AO183">
        <v>6</v>
      </c>
      <c r="AP183">
        <v>12</v>
      </c>
      <c r="AQ183" s="165" t="s">
        <v>3815</v>
      </c>
      <c r="AR183" t="s">
        <v>3974</v>
      </c>
      <c r="AS183" s="165" t="s">
        <v>30</v>
      </c>
      <c r="AT183" t="s">
        <v>5291</v>
      </c>
      <c r="AU183" t="s">
        <v>5291</v>
      </c>
    </row>
    <row r="184" spans="1:47" hidden="1" x14ac:dyDescent="0.25">
      <c r="A184" s="165" t="s">
        <v>788</v>
      </c>
      <c r="B184" s="165" t="s">
        <v>4319</v>
      </c>
      <c r="C184" s="165" t="s">
        <v>23</v>
      </c>
      <c r="D184" s="165" t="s">
        <v>789</v>
      </c>
      <c r="E184" s="165" t="s">
        <v>3914</v>
      </c>
      <c r="F184" s="165" t="s">
        <v>3935</v>
      </c>
      <c r="G184" s="165" t="s">
        <v>8</v>
      </c>
      <c r="H184" s="165" t="s">
        <v>176</v>
      </c>
      <c r="I184" s="165" t="s">
        <v>3864</v>
      </c>
      <c r="J184" s="165" t="s">
        <v>3970</v>
      </c>
      <c r="K184" s="165"/>
      <c r="L184" s="165"/>
      <c r="M184" s="165"/>
      <c r="N184" s="165"/>
      <c r="O184" s="165"/>
      <c r="P184" s="165"/>
      <c r="Q184" s="165"/>
      <c r="R184" s="165" t="s">
        <v>3842</v>
      </c>
      <c r="S184" s="165"/>
      <c r="T184" s="165"/>
      <c r="U184" s="165" t="s">
        <v>3807</v>
      </c>
      <c r="V184" s="165"/>
      <c r="W184" s="165"/>
      <c r="X184" s="165"/>
      <c r="Y184">
        <v>2</v>
      </c>
      <c r="Z184" s="165" t="s">
        <v>3843</v>
      </c>
      <c r="AA184" s="165" t="s">
        <v>3811</v>
      </c>
      <c r="AB184" s="165" t="s">
        <v>3810</v>
      </c>
      <c r="AC184" s="165" t="s">
        <v>3809</v>
      </c>
      <c r="AD184" s="165" t="s">
        <v>4316</v>
      </c>
      <c r="AE184">
        <v>84</v>
      </c>
      <c r="AF184" s="165" t="s">
        <v>4317</v>
      </c>
      <c r="AG184">
        <v>435</v>
      </c>
      <c r="AH184">
        <v>242</v>
      </c>
      <c r="AI184">
        <v>46.5</v>
      </c>
      <c r="AJ184">
        <v>27.2</v>
      </c>
      <c r="AK184" s="165" t="s">
        <v>4318</v>
      </c>
      <c r="AN184">
        <v>2</v>
      </c>
      <c r="AO184">
        <v>6</v>
      </c>
      <c r="AP184">
        <v>12</v>
      </c>
      <c r="AQ184" s="165" t="s">
        <v>3815</v>
      </c>
      <c r="AR184" t="s">
        <v>3974</v>
      </c>
      <c r="AS184" s="165" t="s">
        <v>30</v>
      </c>
      <c r="AT184" t="s">
        <v>5291</v>
      </c>
      <c r="AU184" t="s">
        <v>5291</v>
      </c>
    </row>
    <row r="185" spans="1:47" hidden="1" x14ac:dyDescent="0.25">
      <c r="A185" s="165" t="s">
        <v>761</v>
      </c>
      <c r="B185" s="165" t="s">
        <v>4320</v>
      </c>
      <c r="C185" s="165" t="s">
        <v>23</v>
      </c>
      <c r="D185" s="165" t="s">
        <v>762</v>
      </c>
      <c r="E185" s="165" t="s">
        <v>4285</v>
      </c>
      <c r="F185" s="165" t="s">
        <v>11</v>
      </c>
      <c r="G185" s="165" t="s">
        <v>8</v>
      </c>
      <c r="H185" s="165" t="s">
        <v>241</v>
      </c>
      <c r="I185" s="165" t="s">
        <v>3803</v>
      </c>
      <c r="J185" s="165" t="s">
        <v>4011</v>
      </c>
      <c r="K185" s="165"/>
      <c r="L185" s="165"/>
      <c r="M185" s="165"/>
      <c r="N185" s="165"/>
      <c r="O185" s="165"/>
      <c r="P185" s="165"/>
      <c r="Q185" s="165"/>
      <c r="R185" s="165"/>
      <c r="S185" s="165" t="s">
        <v>3902</v>
      </c>
      <c r="T185" s="165"/>
      <c r="U185" s="165"/>
      <c r="V185" s="165"/>
      <c r="W185" s="165"/>
      <c r="X185" s="165" t="s">
        <v>2428</v>
      </c>
      <c r="Y185">
        <v>2</v>
      </c>
      <c r="Z185" s="165" t="s">
        <v>3903</v>
      </c>
      <c r="AA185" s="165" t="s">
        <v>3811</v>
      </c>
      <c r="AB185" s="165" t="s">
        <v>3810</v>
      </c>
      <c r="AC185" s="165" t="s">
        <v>3809</v>
      </c>
      <c r="AD185" s="165" t="s">
        <v>4230</v>
      </c>
      <c r="AE185">
        <v>97</v>
      </c>
      <c r="AF185" s="165" t="s">
        <v>4231</v>
      </c>
      <c r="AG185">
        <v>539</v>
      </c>
      <c r="AH185">
        <v>358</v>
      </c>
      <c r="AI185">
        <v>56.9</v>
      </c>
      <c r="AJ185">
        <v>38.799999999999997</v>
      </c>
      <c r="AK185" s="165" t="s">
        <v>4232</v>
      </c>
      <c r="AN185">
        <v>8</v>
      </c>
      <c r="AO185">
        <v>4</v>
      </c>
      <c r="AP185">
        <v>32</v>
      </c>
      <c r="AQ185" s="165" t="s">
        <v>3815</v>
      </c>
      <c r="AR185" t="s">
        <v>3870</v>
      </c>
      <c r="AS185" s="165" t="s">
        <v>30</v>
      </c>
      <c r="AT185" t="s">
        <v>5291</v>
      </c>
      <c r="AU185" t="s">
        <v>5291</v>
      </c>
    </row>
    <row r="186" spans="1:47" hidden="1" x14ac:dyDescent="0.25">
      <c r="A186" s="165" t="s">
        <v>4321</v>
      </c>
      <c r="B186" s="165" t="s">
        <v>88</v>
      </c>
      <c r="C186" s="165" t="s">
        <v>23</v>
      </c>
      <c r="D186" s="165" t="s">
        <v>4322</v>
      </c>
      <c r="E186" s="165" t="s">
        <v>4280</v>
      </c>
      <c r="F186" s="165" t="s">
        <v>11</v>
      </c>
      <c r="G186" s="165" t="s">
        <v>8</v>
      </c>
      <c r="H186" s="165" t="s">
        <v>241</v>
      </c>
      <c r="I186" s="165" t="s">
        <v>3803</v>
      </c>
      <c r="J186" s="165" t="s">
        <v>4011</v>
      </c>
      <c r="K186" s="165"/>
      <c r="L186" s="165"/>
      <c r="M186" s="165"/>
      <c r="N186" s="165"/>
      <c r="O186" s="165"/>
      <c r="P186" s="165"/>
      <c r="Q186" s="165"/>
      <c r="R186" s="165"/>
      <c r="S186" s="165" t="s">
        <v>3902</v>
      </c>
      <c r="T186" s="165"/>
      <c r="U186" s="165"/>
      <c r="V186" s="165"/>
      <c r="W186" s="165"/>
      <c r="X186" s="165" t="s">
        <v>2428</v>
      </c>
      <c r="Y186">
        <v>2</v>
      </c>
      <c r="Z186" s="165" t="s">
        <v>3903</v>
      </c>
      <c r="AA186" s="165" t="s">
        <v>3811</v>
      </c>
      <c r="AB186" s="165" t="s">
        <v>3810</v>
      </c>
      <c r="AC186" s="165" t="s">
        <v>3809</v>
      </c>
      <c r="AD186" s="165" t="s">
        <v>4230</v>
      </c>
      <c r="AE186">
        <v>97</v>
      </c>
      <c r="AF186" s="165" t="s">
        <v>4323</v>
      </c>
      <c r="AG186">
        <v>527</v>
      </c>
      <c r="AH186">
        <v>358</v>
      </c>
      <c r="AI186">
        <v>55.7</v>
      </c>
      <c r="AJ186">
        <v>38.799999999999997</v>
      </c>
      <c r="AK186" s="165" t="s">
        <v>4324</v>
      </c>
      <c r="AN186">
        <v>8</v>
      </c>
      <c r="AO186">
        <v>4</v>
      </c>
      <c r="AP186">
        <v>32</v>
      </c>
      <c r="AQ186" s="165" t="s">
        <v>3978</v>
      </c>
      <c r="AR186" t="s">
        <v>4325</v>
      </c>
      <c r="AS186" s="165" t="s">
        <v>30</v>
      </c>
      <c r="AT186" t="s">
        <v>5291</v>
      </c>
      <c r="AU186" t="s">
        <v>5291</v>
      </c>
    </row>
    <row r="187" spans="1:47" hidden="1" x14ac:dyDescent="0.25">
      <c r="A187" s="165" t="s">
        <v>1816</v>
      </c>
      <c r="B187" s="165" t="s">
        <v>4326</v>
      </c>
      <c r="C187" s="165" t="s">
        <v>23</v>
      </c>
      <c r="D187" s="165" t="s">
        <v>1817</v>
      </c>
      <c r="E187" s="165" t="s">
        <v>4327</v>
      </c>
      <c r="F187" s="165" t="s">
        <v>11</v>
      </c>
      <c r="G187" s="165" t="s">
        <v>8</v>
      </c>
      <c r="H187" s="165" t="s">
        <v>241</v>
      </c>
      <c r="I187" s="165" t="s">
        <v>3803</v>
      </c>
      <c r="J187" s="165" t="s">
        <v>4011</v>
      </c>
      <c r="K187" s="165"/>
      <c r="L187" s="165"/>
      <c r="M187" s="165"/>
      <c r="N187" s="165"/>
      <c r="O187" s="165"/>
      <c r="P187" s="165"/>
      <c r="Q187" s="165"/>
      <c r="R187" s="165"/>
      <c r="S187" s="165" t="s">
        <v>3902</v>
      </c>
      <c r="T187" s="165"/>
      <c r="U187" s="165"/>
      <c r="V187" s="165"/>
      <c r="W187" s="165"/>
      <c r="X187" s="165" t="s">
        <v>2428</v>
      </c>
      <c r="Y187">
        <v>2</v>
      </c>
      <c r="Z187" s="165" t="s">
        <v>3903</v>
      </c>
      <c r="AA187" s="165" t="s">
        <v>3811</v>
      </c>
      <c r="AB187" s="165" t="s">
        <v>3810</v>
      </c>
      <c r="AC187" s="165" t="s">
        <v>3809</v>
      </c>
      <c r="AD187" s="165" t="s">
        <v>4230</v>
      </c>
      <c r="AE187">
        <v>97</v>
      </c>
      <c r="AF187" s="165" t="s">
        <v>4231</v>
      </c>
      <c r="AG187">
        <v>539</v>
      </c>
      <c r="AH187">
        <v>358</v>
      </c>
      <c r="AI187">
        <v>56.9</v>
      </c>
      <c r="AJ187">
        <v>38.799999999999997</v>
      </c>
      <c r="AK187" s="165" t="s">
        <v>4232</v>
      </c>
      <c r="AN187">
        <v>8</v>
      </c>
      <c r="AO187">
        <v>4</v>
      </c>
      <c r="AP187">
        <v>32</v>
      </c>
      <c r="AQ187" s="165" t="s">
        <v>3815</v>
      </c>
      <c r="AR187" t="s">
        <v>3998</v>
      </c>
      <c r="AS187" s="165" t="s">
        <v>30</v>
      </c>
      <c r="AT187" t="s">
        <v>5291</v>
      </c>
      <c r="AU187" t="s">
        <v>5291</v>
      </c>
    </row>
    <row r="188" spans="1:47" hidden="1" x14ac:dyDescent="0.25">
      <c r="A188" s="165" t="s">
        <v>1192</v>
      </c>
      <c r="B188" s="165" t="s">
        <v>3423</v>
      </c>
      <c r="C188" s="165" t="s">
        <v>23</v>
      </c>
      <c r="D188" s="165" t="s">
        <v>1193</v>
      </c>
      <c r="E188" s="165" t="s">
        <v>4328</v>
      </c>
      <c r="F188" s="165" t="s">
        <v>3850</v>
      </c>
      <c r="G188" s="165" t="s">
        <v>8</v>
      </c>
      <c r="H188" s="165" t="s">
        <v>241</v>
      </c>
      <c r="I188" s="165" t="s">
        <v>3819</v>
      </c>
      <c r="J188" s="165" t="s">
        <v>4211</v>
      </c>
      <c r="K188" s="165"/>
      <c r="L188" s="165"/>
      <c r="M188" s="165"/>
      <c r="N188" s="165"/>
      <c r="O188" s="165"/>
      <c r="P188" s="165"/>
      <c r="Q188" s="165"/>
      <c r="R188" s="165"/>
      <c r="S188" s="165" t="s">
        <v>3902</v>
      </c>
      <c r="T188" s="165"/>
      <c r="U188" s="165"/>
      <c r="V188" s="165"/>
      <c r="W188" s="165"/>
      <c r="X188" s="165" t="s">
        <v>2428</v>
      </c>
      <c r="Y188">
        <v>2</v>
      </c>
      <c r="Z188" s="165" t="s">
        <v>3903</v>
      </c>
      <c r="AA188" s="165" t="s">
        <v>3811</v>
      </c>
      <c r="AB188" s="165" t="s">
        <v>3810</v>
      </c>
      <c r="AC188" s="165" t="s">
        <v>3809</v>
      </c>
      <c r="AD188" s="165" t="s">
        <v>4230</v>
      </c>
      <c r="AE188">
        <v>97</v>
      </c>
      <c r="AF188" s="165" t="s">
        <v>4231</v>
      </c>
      <c r="AG188">
        <v>539</v>
      </c>
      <c r="AH188">
        <v>358</v>
      </c>
      <c r="AI188">
        <v>56.9</v>
      </c>
      <c r="AJ188">
        <v>38.799999999999997</v>
      </c>
      <c r="AK188" s="165" t="s">
        <v>4232</v>
      </c>
      <c r="AN188">
        <v>8</v>
      </c>
      <c r="AO188">
        <v>4</v>
      </c>
      <c r="AP188">
        <v>32</v>
      </c>
      <c r="AQ188" s="165" t="s">
        <v>3815</v>
      </c>
      <c r="AR188" t="s">
        <v>3830</v>
      </c>
      <c r="AS188" s="165" t="s">
        <v>30</v>
      </c>
      <c r="AT188" t="s">
        <v>5291</v>
      </c>
      <c r="AU188" t="s">
        <v>5291</v>
      </c>
    </row>
    <row r="189" spans="1:47" hidden="1" x14ac:dyDescent="0.25">
      <c r="A189" s="165" t="s">
        <v>1194</v>
      </c>
      <c r="B189" s="165" t="s">
        <v>4329</v>
      </c>
      <c r="C189" s="165" t="s">
        <v>23</v>
      </c>
      <c r="D189" s="165" t="s">
        <v>1195</v>
      </c>
      <c r="E189" s="165" t="s">
        <v>4328</v>
      </c>
      <c r="F189" s="165" t="s">
        <v>3850</v>
      </c>
      <c r="G189" s="165" t="s">
        <v>8</v>
      </c>
      <c r="H189" s="165" t="s">
        <v>241</v>
      </c>
      <c r="I189" s="165" t="s">
        <v>3819</v>
      </c>
      <c r="J189" s="165" t="s">
        <v>4211</v>
      </c>
      <c r="K189" s="165"/>
      <c r="L189" s="165"/>
      <c r="M189" s="165"/>
      <c r="N189" s="165"/>
      <c r="O189" s="165"/>
      <c r="P189" s="165"/>
      <c r="Q189" s="165"/>
      <c r="R189" s="165"/>
      <c r="S189" s="165" t="s">
        <v>3902</v>
      </c>
      <c r="T189" s="165"/>
      <c r="U189" s="165"/>
      <c r="V189" s="165"/>
      <c r="W189" s="165"/>
      <c r="X189" s="165" t="s">
        <v>2428</v>
      </c>
      <c r="Y189">
        <v>2</v>
      </c>
      <c r="Z189" s="165" t="s">
        <v>3903</v>
      </c>
      <c r="AA189" s="165" t="s">
        <v>3811</v>
      </c>
      <c r="AB189" s="165" t="s">
        <v>3810</v>
      </c>
      <c r="AC189" s="165" t="s">
        <v>3809</v>
      </c>
      <c r="AD189" s="165" t="s">
        <v>4230</v>
      </c>
      <c r="AE189">
        <v>97</v>
      </c>
      <c r="AF189" s="165" t="s">
        <v>4231</v>
      </c>
      <c r="AG189">
        <v>539</v>
      </c>
      <c r="AH189">
        <v>358</v>
      </c>
      <c r="AI189">
        <v>56.9</v>
      </c>
      <c r="AJ189">
        <v>38.799999999999997</v>
      </c>
      <c r="AK189" s="165" t="s">
        <v>4232</v>
      </c>
      <c r="AN189">
        <v>8</v>
      </c>
      <c r="AO189">
        <v>4</v>
      </c>
      <c r="AP189">
        <v>32</v>
      </c>
      <c r="AQ189" s="165" t="s">
        <v>3815</v>
      </c>
      <c r="AR189" t="s">
        <v>4111</v>
      </c>
      <c r="AS189" s="165" t="s">
        <v>30</v>
      </c>
      <c r="AT189" t="s">
        <v>5291</v>
      </c>
      <c r="AU189" t="s">
        <v>5291</v>
      </c>
    </row>
    <row r="190" spans="1:47" hidden="1" x14ac:dyDescent="0.25">
      <c r="A190" s="165" t="s">
        <v>1300</v>
      </c>
      <c r="B190" s="165" t="s">
        <v>3313</v>
      </c>
      <c r="C190" s="165" t="s">
        <v>23</v>
      </c>
      <c r="D190" s="165" t="s">
        <v>1301</v>
      </c>
      <c r="E190" s="165" t="s">
        <v>4330</v>
      </c>
      <c r="F190" s="165" t="s">
        <v>11</v>
      </c>
      <c r="G190" s="165" t="s">
        <v>8</v>
      </c>
      <c r="H190" s="165" t="s">
        <v>241</v>
      </c>
      <c r="I190" s="165" t="s">
        <v>3803</v>
      </c>
      <c r="J190" s="165" t="s">
        <v>4011</v>
      </c>
      <c r="K190" s="165"/>
      <c r="L190" s="165"/>
      <c r="M190" s="165"/>
      <c r="N190" s="165"/>
      <c r="O190" s="165"/>
      <c r="P190" s="165"/>
      <c r="Q190" s="165"/>
      <c r="R190" s="165"/>
      <c r="S190" s="165" t="s">
        <v>3902</v>
      </c>
      <c r="T190" s="165"/>
      <c r="U190" s="165"/>
      <c r="V190" s="165"/>
      <c r="W190" s="165"/>
      <c r="X190" s="165" t="s">
        <v>2428</v>
      </c>
      <c r="Y190">
        <v>2</v>
      </c>
      <c r="Z190" s="165" t="s">
        <v>3903</v>
      </c>
      <c r="AA190" s="165" t="s">
        <v>3811</v>
      </c>
      <c r="AB190" s="165" t="s">
        <v>3810</v>
      </c>
      <c r="AC190" s="165" t="s">
        <v>3809</v>
      </c>
      <c r="AD190" s="165" t="s">
        <v>4230</v>
      </c>
      <c r="AE190">
        <v>97</v>
      </c>
      <c r="AF190" s="165" t="s">
        <v>4231</v>
      </c>
      <c r="AG190">
        <v>539</v>
      </c>
      <c r="AH190">
        <v>358</v>
      </c>
      <c r="AI190">
        <v>56.9</v>
      </c>
      <c r="AJ190">
        <v>38.799999999999997</v>
      </c>
      <c r="AK190" s="165" t="s">
        <v>4232</v>
      </c>
      <c r="AN190">
        <v>8</v>
      </c>
      <c r="AO190">
        <v>4</v>
      </c>
      <c r="AP190">
        <v>32</v>
      </c>
      <c r="AQ190" s="165" t="s">
        <v>3815</v>
      </c>
      <c r="AR190" t="s">
        <v>3956</v>
      </c>
      <c r="AS190" s="165" t="s">
        <v>30</v>
      </c>
      <c r="AT190" t="s">
        <v>5291</v>
      </c>
      <c r="AU190" t="s">
        <v>5291</v>
      </c>
    </row>
    <row r="191" spans="1:47" hidden="1" x14ac:dyDescent="0.25">
      <c r="A191" s="165" t="s">
        <v>747</v>
      </c>
      <c r="B191" s="165" t="s">
        <v>3324</v>
      </c>
      <c r="C191" s="165" t="s">
        <v>23</v>
      </c>
      <c r="D191" s="165" t="s">
        <v>748</v>
      </c>
      <c r="E191" s="165" t="s">
        <v>4331</v>
      </c>
      <c r="F191" s="165" t="s">
        <v>2183</v>
      </c>
      <c r="G191" s="165" t="s">
        <v>8</v>
      </c>
      <c r="H191" s="165" t="s">
        <v>251</v>
      </c>
      <c r="I191" s="165" t="s">
        <v>3820</v>
      </c>
      <c r="J191" s="165" t="s">
        <v>4110</v>
      </c>
      <c r="K191" s="165"/>
      <c r="L191" s="165"/>
      <c r="M191" s="165"/>
      <c r="N191" s="165" t="s">
        <v>3805</v>
      </c>
      <c r="O191" s="165"/>
      <c r="P191" s="165"/>
      <c r="Q191" s="165"/>
      <c r="R191" s="165"/>
      <c r="S191" s="165"/>
      <c r="T191" s="165"/>
      <c r="U191" s="165" t="s">
        <v>3807</v>
      </c>
      <c r="V191" s="165" t="s">
        <v>3821</v>
      </c>
      <c r="W191" s="165" t="s">
        <v>3822</v>
      </c>
      <c r="X191" s="165"/>
      <c r="Y191">
        <v>4</v>
      </c>
      <c r="Z191" s="165" t="s">
        <v>4071</v>
      </c>
      <c r="AA191" s="165" t="s">
        <v>3809</v>
      </c>
      <c r="AB191" s="165" t="s">
        <v>3810</v>
      </c>
      <c r="AC191" s="165" t="s">
        <v>3811</v>
      </c>
      <c r="AD191" s="165" t="s">
        <v>4230</v>
      </c>
      <c r="AE191">
        <v>97</v>
      </c>
      <c r="AF191" s="165" t="s">
        <v>4332</v>
      </c>
      <c r="AG191">
        <v>41</v>
      </c>
      <c r="AH191">
        <v>18</v>
      </c>
      <c r="AI191">
        <v>44</v>
      </c>
      <c r="AJ191">
        <v>21</v>
      </c>
      <c r="AK191" s="165" t="s">
        <v>4333</v>
      </c>
      <c r="AN191">
        <v>3</v>
      </c>
      <c r="AO191">
        <v>8</v>
      </c>
      <c r="AP191">
        <v>24</v>
      </c>
      <c r="AQ191" s="165" t="s">
        <v>3815</v>
      </c>
      <c r="AR191" t="s">
        <v>3909</v>
      </c>
      <c r="AS191" s="165" t="s">
        <v>174</v>
      </c>
      <c r="AT191" t="s">
        <v>5291</v>
      </c>
      <c r="AU191" t="s">
        <v>5291</v>
      </c>
    </row>
    <row r="192" spans="1:47" hidden="1" x14ac:dyDescent="0.25">
      <c r="A192" s="165" t="s">
        <v>845</v>
      </c>
      <c r="B192" s="165" t="s">
        <v>4334</v>
      </c>
      <c r="C192" s="165" t="s">
        <v>23</v>
      </c>
      <c r="D192" s="165" t="s">
        <v>846</v>
      </c>
      <c r="E192" s="165" t="s">
        <v>4335</v>
      </c>
      <c r="F192" s="165" t="s">
        <v>2183</v>
      </c>
      <c r="G192" s="165" t="s">
        <v>8</v>
      </c>
      <c r="H192" s="165" t="s">
        <v>263</v>
      </c>
      <c r="I192" s="165" t="s">
        <v>3820</v>
      </c>
      <c r="J192" s="165" t="s">
        <v>4082</v>
      </c>
      <c r="K192" s="165"/>
      <c r="L192" s="165"/>
      <c r="M192" s="165"/>
      <c r="N192" s="165" t="s">
        <v>3805</v>
      </c>
      <c r="O192" s="165"/>
      <c r="P192" s="165"/>
      <c r="Q192" s="165"/>
      <c r="R192" s="165"/>
      <c r="S192" s="165"/>
      <c r="T192" s="165" t="s">
        <v>3806</v>
      </c>
      <c r="U192" s="165" t="s">
        <v>3807</v>
      </c>
      <c r="V192" s="165"/>
      <c r="W192" s="165"/>
      <c r="X192" s="165"/>
      <c r="Y192">
        <v>3</v>
      </c>
      <c r="Z192" s="165" t="s">
        <v>3808</v>
      </c>
      <c r="AA192" s="165" t="s">
        <v>3809</v>
      </c>
      <c r="AB192" s="165" t="s">
        <v>3810</v>
      </c>
      <c r="AC192" s="165" t="s">
        <v>3811</v>
      </c>
      <c r="AD192" s="165" t="s">
        <v>4230</v>
      </c>
      <c r="AE192">
        <v>97</v>
      </c>
      <c r="AF192" s="165" t="s">
        <v>4332</v>
      </c>
      <c r="AG192">
        <v>41</v>
      </c>
      <c r="AH192">
        <v>18</v>
      </c>
      <c r="AI192">
        <v>44</v>
      </c>
      <c r="AJ192">
        <v>21</v>
      </c>
      <c r="AK192" s="165" t="s">
        <v>4333</v>
      </c>
      <c r="AN192">
        <v>3</v>
      </c>
      <c r="AO192">
        <v>6</v>
      </c>
      <c r="AP192">
        <v>18</v>
      </c>
      <c r="AQ192" s="165" t="s">
        <v>3815</v>
      </c>
      <c r="AR192" t="s">
        <v>3860</v>
      </c>
      <c r="AS192" s="165" t="s">
        <v>174</v>
      </c>
      <c r="AT192" t="s">
        <v>5291</v>
      </c>
      <c r="AU192" t="s">
        <v>5291</v>
      </c>
    </row>
    <row r="193" spans="1:47" x14ac:dyDescent="0.25">
      <c r="A193" s="165" t="s">
        <v>867</v>
      </c>
      <c r="B193" s="165" t="s">
        <v>4336</v>
      </c>
      <c r="C193" s="165" t="s">
        <v>23</v>
      </c>
      <c r="D193" s="165" t="s">
        <v>868</v>
      </c>
      <c r="E193" s="165" t="s">
        <v>4337</v>
      </c>
      <c r="F193" s="165" t="s">
        <v>11</v>
      </c>
      <c r="G193" s="165" t="s">
        <v>8</v>
      </c>
      <c r="H193" s="165" t="s">
        <v>263</v>
      </c>
      <c r="I193" s="165" t="s">
        <v>3803</v>
      </c>
      <c r="J193" s="165" t="s">
        <v>3804</v>
      </c>
      <c r="K193" s="165"/>
      <c r="L193" s="165"/>
      <c r="M193" s="165"/>
      <c r="N193" s="165" t="s">
        <v>3805</v>
      </c>
      <c r="O193" s="165"/>
      <c r="P193" s="165"/>
      <c r="Q193" s="165"/>
      <c r="R193" s="165"/>
      <c r="S193" s="165"/>
      <c r="T193" s="165" t="s">
        <v>3806</v>
      </c>
      <c r="U193" s="165" t="s">
        <v>3807</v>
      </c>
      <c r="V193" s="165"/>
      <c r="W193" s="165"/>
      <c r="X193" s="165"/>
      <c r="Y193">
        <v>3</v>
      </c>
      <c r="Z193" s="165" t="s">
        <v>3808</v>
      </c>
      <c r="AA193" s="165" t="s">
        <v>3809</v>
      </c>
      <c r="AB193" s="165" t="s">
        <v>3810</v>
      </c>
      <c r="AC193" s="165" t="s">
        <v>3811</v>
      </c>
      <c r="AD193" s="165" t="s">
        <v>4230</v>
      </c>
      <c r="AE193">
        <v>97</v>
      </c>
      <c r="AF193" s="165" t="s">
        <v>4332</v>
      </c>
      <c r="AG193">
        <v>41</v>
      </c>
      <c r="AH193">
        <v>18</v>
      </c>
      <c r="AI193">
        <v>44</v>
      </c>
      <c r="AJ193">
        <v>21</v>
      </c>
      <c r="AK193" s="165" t="s">
        <v>4333</v>
      </c>
      <c r="AN193">
        <v>3</v>
      </c>
      <c r="AO193">
        <v>8</v>
      </c>
      <c r="AP193">
        <v>24</v>
      </c>
      <c r="AQ193" s="165" t="s">
        <v>3815</v>
      </c>
      <c r="AR193" t="s">
        <v>4178</v>
      </c>
      <c r="AS193" s="165" t="s">
        <v>174</v>
      </c>
      <c r="AT193" t="s">
        <v>5291</v>
      </c>
      <c r="AU193" t="s">
        <v>5291</v>
      </c>
    </row>
    <row r="194" spans="1:47" hidden="1" x14ac:dyDescent="0.25">
      <c r="A194" s="165" t="s">
        <v>3307</v>
      </c>
      <c r="B194" s="165" t="s">
        <v>3306</v>
      </c>
      <c r="C194" s="165" t="s">
        <v>23</v>
      </c>
      <c r="D194" s="165" t="s">
        <v>4338</v>
      </c>
      <c r="E194" s="165" t="s">
        <v>4121</v>
      </c>
      <c r="F194" s="165" t="s">
        <v>11</v>
      </c>
      <c r="G194" s="165" t="s">
        <v>8</v>
      </c>
      <c r="H194" s="165" t="s">
        <v>263</v>
      </c>
      <c r="I194" s="165" t="s">
        <v>3803</v>
      </c>
      <c r="J194" s="165" t="s">
        <v>3804</v>
      </c>
      <c r="K194" s="165"/>
      <c r="L194" s="165"/>
      <c r="M194" s="165"/>
      <c r="N194" s="165" t="s">
        <v>3805</v>
      </c>
      <c r="O194" s="165"/>
      <c r="P194" s="165"/>
      <c r="Q194" s="165"/>
      <c r="R194" s="165"/>
      <c r="S194" s="165"/>
      <c r="T194" s="165" t="s">
        <v>3806</v>
      </c>
      <c r="U194" s="165" t="s">
        <v>3807</v>
      </c>
      <c r="V194" s="165"/>
      <c r="W194" s="165"/>
      <c r="X194" s="165"/>
      <c r="Y194">
        <v>3</v>
      </c>
      <c r="Z194" s="165" t="s">
        <v>3808</v>
      </c>
      <c r="AA194" s="165" t="s">
        <v>3809</v>
      </c>
      <c r="AB194" s="165" t="s">
        <v>3810</v>
      </c>
      <c r="AC194" s="165" t="s">
        <v>3811</v>
      </c>
      <c r="AD194" s="165" t="s">
        <v>4230</v>
      </c>
      <c r="AE194">
        <v>97</v>
      </c>
      <c r="AF194" s="165" t="s">
        <v>4332</v>
      </c>
      <c r="AG194">
        <v>41</v>
      </c>
      <c r="AH194">
        <v>18</v>
      </c>
      <c r="AI194">
        <v>44</v>
      </c>
      <c r="AJ194">
        <v>21</v>
      </c>
      <c r="AK194" s="165" t="s">
        <v>4333</v>
      </c>
      <c r="AN194">
        <v>3</v>
      </c>
      <c r="AO194">
        <v>8</v>
      </c>
      <c r="AP194">
        <v>24</v>
      </c>
      <c r="AQ194" s="165" t="s">
        <v>3815</v>
      </c>
      <c r="AR194" t="s">
        <v>3830</v>
      </c>
      <c r="AS194" s="165" t="s">
        <v>174</v>
      </c>
      <c r="AT194" t="s">
        <v>5291</v>
      </c>
      <c r="AU194" t="s">
        <v>5291</v>
      </c>
    </row>
    <row r="195" spans="1:47" hidden="1" x14ac:dyDescent="0.25">
      <c r="A195" s="165" t="s">
        <v>883</v>
      </c>
      <c r="B195" s="165" t="s">
        <v>4339</v>
      </c>
      <c r="C195" s="165" t="s">
        <v>23</v>
      </c>
      <c r="D195" s="165" t="s">
        <v>884</v>
      </c>
      <c r="E195" s="165" t="s">
        <v>4340</v>
      </c>
      <c r="F195" s="165" t="s">
        <v>11</v>
      </c>
      <c r="G195" s="165" t="s">
        <v>8</v>
      </c>
      <c r="H195" s="165" t="s">
        <v>263</v>
      </c>
      <c r="I195" s="165" t="s">
        <v>3803</v>
      </c>
      <c r="J195" s="165" t="s">
        <v>3804</v>
      </c>
      <c r="K195" s="165"/>
      <c r="L195" s="165"/>
      <c r="M195" s="165"/>
      <c r="N195" s="165" t="s">
        <v>3805</v>
      </c>
      <c r="O195" s="165"/>
      <c r="P195" s="165"/>
      <c r="Q195" s="165"/>
      <c r="R195" s="165"/>
      <c r="S195" s="165"/>
      <c r="T195" s="165" t="s">
        <v>3806</v>
      </c>
      <c r="U195" s="165" t="s">
        <v>3807</v>
      </c>
      <c r="V195" s="165"/>
      <c r="W195" s="165"/>
      <c r="X195" s="165"/>
      <c r="Y195">
        <v>3</v>
      </c>
      <c r="Z195" s="165" t="s">
        <v>3808</v>
      </c>
      <c r="AA195" s="165" t="s">
        <v>3809</v>
      </c>
      <c r="AB195" s="165" t="s">
        <v>3810</v>
      </c>
      <c r="AC195" s="165" t="s">
        <v>3811</v>
      </c>
      <c r="AD195" s="165" t="s">
        <v>4230</v>
      </c>
      <c r="AE195">
        <v>97</v>
      </c>
      <c r="AF195" s="165" t="s">
        <v>4332</v>
      </c>
      <c r="AG195">
        <v>41</v>
      </c>
      <c r="AH195">
        <v>18</v>
      </c>
      <c r="AI195">
        <v>44</v>
      </c>
      <c r="AJ195">
        <v>21</v>
      </c>
      <c r="AK195" s="165" t="s">
        <v>4333</v>
      </c>
      <c r="AN195">
        <v>3</v>
      </c>
      <c r="AO195">
        <v>6</v>
      </c>
      <c r="AP195">
        <v>18</v>
      </c>
      <c r="AQ195" s="165" t="s">
        <v>3815</v>
      </c>
      <c r="AR195" t="s">
        <v>3870</v>
      </c>
      <c r="AS195" s="165" t="s">
        <v>174</v>
      </c>
      <c r="AT195" t="s">
        <v>5291</v>
      </c>
      <c r="AU195" t="s">
        <v>5291</v>
      </c>
    </row>
    <row r="196" spans="1:47" hidden="1" x14ac:dyDescent="0.25">
      <c r="A196" s="165" t="s">
        <v>973</v>
      </c>
      <c r="B196" s="165" t="s">
        <v>4341</v>
      </c>
      <c r="C196" s="165" t="s">
        <v>23</v>
      </c>
      <c r="D196" s="165" t="s">
        <v>974</v>
      </c>
      <c r="E196" s="165" t="s">
        <v>3987</v>
      </c>
      <c r="F196" s="165" t="s">
        <v>11</v>
      </c>
      <c r="G196" s="165" t="s">
        <v>8</v>
      </c>
      <c r="H196" s="165" t="s">
        <v>263</v>
      </c>
      <c r="I196" s="165" t="s">
        <v>3803</v>
      </c>
      <c r="J196" s="165" t="s">
        <v>3804</v>
      </c>
      <c r="K196" s="165"/>
      <c r="L196" s="165"/>
      <c r="M196" s="165"/>
      <c r="N196" s="165" t="s">
        <v>3805</v>
      </c>
      <c r="O196" s="165"/>
      <c r="P196" s="165"/>
      <c r="Q196" s="165"/>
      <c r="R196" s="165"/>
      <c r="S196" s="165"/>
      <c r="T196" s="165" t="s">
        <v>3806</v>
      </c>
      <c r="U196" s="165" t="s">
        <v>3807</v>
      </c>
      <c r="V196" s="165"/>
      <c r="W196" s="165"/>
      <c r="X196" s="165"/>
      <c r="Y196">
        <v>3</v>
      </c>
      <c r="Z196" s="165" t="s">
        <v>3808</v>
      </c>
      <c r="AA196" s="165" t="s">
        <v>3809</v>
      </c>
      <c r="AB196" s="165" t="s">
        <v>3810</v>
      </c>
      <c r="AC196" s="165" t="s">
        <v>3811</v>
      </c>
      <c r="AD196" s="165" t="s">
        <v>4230</v>
      </c>
      <c r="AE196">
        <v>97</v>
      </c>
      <c r="AF196" s="165" t="s">
        <v>4332</v>
      </c>
      <c r="AG196">
        <v>41</v>
      </c>
      <c r="AH196">
        <v>18</v>
      </c>
      <c r="AI196">
        <v>44</v>
      </c>
      <c r="AJ196">
        <v>21</v>
      </c>
      <c r="AK196" s="165" t="s">
        <v>4333</v>
      </c>
      <c r="AN196">
        <v>3</v>
      </c>
      <c r="AO196">
        <v>6</v>
      </c>
      <c r="AP196">
        <v>18</v>
      </c>
      <c r="AQ196" s="165" t="s">
        <v>3815</v>
      </c>
      <c r="AR196" t="s">
        <v>4165</v>
      </c>
      <c r="AS196" s="165" t="s">
        <v>174</v>
      </c>
      <c r="AT196" t="s">
        <v>5291</v>
      </c>
      <c r="AU196" t="s">
        <v>5291</v>
      </c>
    </row>
    <row r="197" spans="1:47" hidden="1" x14ac:dyDescent="0.25">
      <c r="A197" s="165" t="s">
        <v>4342</v>
      </c>
      <c r="B197" s="165" t="s">
        <v>4343</v>
      </c>
      <c r="C197" s="165" t="s">
        <v>23</v>
      </c>
      <c r="D197" s="165" t="s">
        <v>4344</v>
      </c>
      <c r="E197" s="165" t="s">
        <v>4032</v>
      </c>
      <c r="F197" s="165" t="s">
        <v>3850</v>
      </c>
      <c r="G197" s="165" t="s">
        <v>8</v>
      </c>
      <c r="H197" s="165" t="s">
        <v>263</v>
      </c>
      <c r="I197" s="165" t="s">
        <v>3819</v>
      </c>
      <c r="J197" s="165" t="s">
        <v>3851</v>
      </c>
      <c r="K197" s="165"/>
      <c r="L197" s="165"/>
      <c r="M197" s="165"/>
      <c r="N197" s="165" t="s">
        <v>3805</v>
      </c>
      <c r="O197" s="165"/>
      <c r="P197" s="165"/>
      <c r="Q197" s="165"/>
      <c r="R197" s="165"/>
      <c r="S197" s="165"/>
      <c r="T197" s="165" t="s">
        <v>3806</v>
      </c>
      <c r="U197" s="165" t="s">
        <v>3807</v>
      </c>
      <c r="V197" s="165"/>
      <c r="W197" s="165"/>
      <c r="X197" s="165"/>
      <c r="Y197">
        <v>3</v>
      </c>
      <c r="Z197" s="165" t="s">
        <v>3808</v>
      </c>
      <c r="AA197" s="165" t="s">
        <v>3809</v>
      </c>
      <c r="AB197" s="165" t="s">
        <v>3810</v>
      </c>
      <c r="AC197" s="165" t="s">
        <v>3811</v>
      </c>
      <c r="AD197" s="165" t="s">
        <v>4230</v>
      </c>
      <c r="AE197">
        <v>97</v>
      </c>
      <c r="AF197" s="165" t="s">
        <v>4332</v>
      </c>
      <c r="AG197">
        <v>41</v>
      </c>
      <c r="AH197">
        <v>18</v>
      </c>
      <c r="AI197">
        <v>44</v>
      </c>
      <c r="AJ197">
        <v>21</v>
      </c>
      <c r="AK197" s="165" t="s">
        <v>4333</v>
      </c>
      <c r="AN197">
        <v>3</v>
      </c>
      <c r="AO197">
        <v>6</v>
      </c>
      <c r="AP197">
        <v>18</v>
      </c>
      <c r="AQ197" s="165" t="s">
        <v>3815</v>
      </c>
      <c r="AR197" t="s">
        <v>3966</v>
      </c>
      <c r="AS197" s="165" t="s">
        <v>174</v>
      </c>
      <c r="AT197" t="s">
        <v>5291</v>
      </c>
      <c r="AU197" t="s">
        <v>5291</v>
      </c>
    </row>
    <row r="198" spans="1:47" hidden="1" x14ac:dyDescent="0.25">
      <c r="A198" s="165" t="s">
        <v>997</v>
      </c>
      <c r="B198" s="165" t="s">
        <v>4345</v>
      </c>
      <c r="C198" s="165" t="s">
        <v>23</v>
      </c>
      <c r="D198" s="165" t="s">
        <v>998</v>
      </c>
      <c r="E198" s="165" t="s">
        <v>3992</v>
      </c>
      <c r="F198" s="165" t="s">
        <v>11</v>
      </c>
      <c r="G198" s="165" t="s">
        <v>8</v>
      </c>
      <c r="H198" s="165" t="s">
        <v>263</v>
      </c>
      <c r="I198" s="165" t="s">
        <v>3803</v>
      </c>
      <c r="J198" s="165" t="s">
        <v>3804</v>
      </c>
      <c r="K198" s="165"/>
      <c r="L198" s="165"/>
      <c r="M198" s="165"/>
      <c r="N198" s="165" t="s">
        <v>3805</v>
      </c>
      <c r="O198" s="165"/>
      <c r="P198" s="165"/>
      <c r="Q198" s="165"/>
      <c r="R198" s="165"/>
      <c r="S198" s="165"/>
      <c r="T198" s="165" t="s">
        <v>3806</v>
      </c>
      <c r="U198" s="165" t="s">
        <v>3807</v>
      </c>
      <c r="V198" s="165"/>
      <c r="W198" s="165"/>
      <c r="X198" s="165"/>
      <c r="Y198">
        <v>3</v>
      </c>
      <c r="Z198" s="165" t="s">
        <v>3808</v>
      </c>
      <c r="AA198" s="165" t="s">
        <v>3809</v>
      </c>
      <c r="AB198" s="165" t="s">
        <v>3810</v>
      </c>
      <c r="AC198" s="165" t="s">
        <v>3811</v>
      </c>
      <c r="AD198" s="165" t="s">
        <v>4230</v>
      </c>
      <c r="AE198">
        <v>97</v>
      </c>
      <c r="AF198" s="165" t="s">
        <v>4332</v>
      </c>
      <c r="AG198">
        <v>41</v>
      </c>
      <c r="AH198">
        <v>18</v>
      </c>
      <c r="AI198">
        <v>44</v>
      </c>
      <c r="AJ198">
        <v>21</v>
      </c>
      <c r="AK198" s="165" t="s">
        <v>4333</v>
      </c>
      <c r="AN198">
        <v>3</v>
      </c>
      <c r="AO198">
        <v>6</v>
      </c>
      <c r="AP198">
        <v>18</v>
      </c>
      <c r="AQ198" s="165" t="s">
        <v>3815</v>
      </c>
      <c r="AR198" t="s">
        <v>3971</v>
      </c>
      <c r="AS198" s="165" t="s">
        <v>174</v>
      </c>
      <c r="AT198" t="s">
        <v>5291</v>
      </c>
      <c r="AU198" t="s">
        <v>5291</v>
      </c>
    </row>
    <row r="199" spans="1:47" hidden="1" x14ac:dyDescent="0.25">
      <c r="A199" s="165" t="s">
        <v>1284</v>
      </c>
      <c r="B199" s="165" t="s">
        <v>3341</v>
      </c>
      <c r="C199" s="165" t="s">
        <v>23</v>
      </c>
      <c r="D199" s="165" t="s">
        <v>1285</v>
      </c>
      <c r="E199" s="165" t="s">
        <v>3627</v>
      </c>
      <c r="F199" s="165" t="s">
        <v>9</v>
      </c>
      <c r="G199" s="165" t="s">
        <v>8</v>
      </c>
      <c r="H199" s="165" t="s">
        <v>2305</v>
      </c>
      <c r="I199" s="165" t="s">
        <v>3820</v>
      </c>
      <c r="J199" s="165" t="s">
        <v>3872</v>
      </c>
      <c r="K199" s="165" t="s">
        <v>3819</v>
      </c>
      <c r="L199" s="165" t="s">
        <v>3820</v>
      </c>
      <c r="M199" s="165" t="s">
        <v>3803</v>
      </c>
      <c r="N199" s="165" t="s">
        <v>3805</v>
      </c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>
        <v>4</v>
      </c>
      <c r="Z199" s="165" t="s">
        <v>3873</v>
      </c>
      <c r="AA199" s="165" t="s">
        <v>3809</v>
      </c>
      <c r="AB199" s="165" t="s">
        <v>3811</v>
      </c>
      <c r="AC199" s="165" t="s">
        <v>3810</v>
      </c>
      <c r="AD199" s="165" t="s">
        <v>4346</v>
      </c>
      <c r="AE199">
        <v>98</v>
      </c>
      <c r="AF199" s="165" t="s">
        <v>4347</v>
      </c>
      <c r="AG199">
        <v>41</v>
      </c>
      <c r="AH199">
        <v>233</v>
      </c>
      <c r="AI199">
        <v>44</v>
      </c>
      <c r="AJ199">
        <v>26.3</v>
      </c>
      <c r="AK199" s="165" t="s">
        <v>4348</v>
      </c>
      <c r="AN199">
        <v>2</v>
      </c>
      <c r="AO199">
        <v>6</v>
      </c>
      <c r="AP199">
        <v>12</v>
      </c>
      <c r="AQ199" s="165" t="s">
        <v>3815</v>
      </c>
      <c r="AR199" t="s">
        <v>3909</v>
      </c>
      <c r="AS199" s="165" t="s">
        <v>3786</v>
      </c>
      <c r="AT199" t="s">
        <v>5291</v>
      </c>
      <c r="AU199" t="s">
        <v>5291</v>
      </c>
    </row>
    <row r="200" spans="1:47" hidden="1" x14ac:dyDescent="0.25">
      <c r="A200" s="165" t="s">
        <v>1835</v>
      </c>
      <c r="B200" s="165" t="s">
        <v>4349</v>
      </c>
      <c r="C200" s="165" t="s">
        <v>23</v>
      </c>
      <c r="D200" s="165" t="s">
        <v>1836</v>
      </c>
      <c r="E200" s="165" t="s">
        <v>4350</v>
      </c>
      <c r="F200" s="165" t="s">
        <v>9</v>
      </c>
      <c r="G200" s="165" t="s">
        <v>8</v>
      </c>
      <c r="H200" s="165" t="s">
        <v>2305</v>
      </c>
      <c r="I200" s="165" t="s">
        <v>3820</v>
      </c>
      <c r="J200" s="165" t="s">
        <v>3872</v>
      </c>
      <c r="K200" s="165" t="s">
        <v>3819</v>
      </c>
      <c r="L200" s="165" t="s">
        <v>3820</v>
      </c>
      <c r="M200" s="165" t="s">
        <v>3803</v>
      </c>
      <c r="N200" s="165" t="s">
        <v>3805</v>
      </c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>
        <v>4</v>
      </c>
      <c r="Z200" s="165" t="s">
        <v>3873</v>
      </c>
      <c r="AA200" s="165" t="s">
        <v>3809</v>
      </c>
      <c r="AB200" s="165" t="s">
        <v>3811</v>
      </c>
      <c r="AC200" s="165" t="s">
        <v>3810</v>
      </c>
      <c r="AD200" s="165" t="s">
        <v>4351</v>
      </c>
      <c r="AE200">
        <v>107</v>
      </c>
      <c r="AF200" s="165" t="s">
        <v>4352</v>
      </c>
      <c r="AG200">
        <v>41</v>
      </c>
      <c r="AH200">
        <v>259</v>
      </c>
      <c r="AI200">
        <v>44</v>
      </c>
      <c r="AJ200">
        <v>28.9</v>
      </c>
      <c r="AK200" s="165" t="s">
        <v>4353</v>
      </c>
      <c r="AN200">
        <v>2</v>
      </c>
      <c r="AO200">
        <v>4</v>
      </c>
      <c r="AP200">
        <v>8</v>
      </c>
      <c r="AQ200" s="165" t="s">
        <v>3815</v>
      </c>
      <c r="AR200" t="s">
        <v>4045</v>
      </c>
      <c r="AS200" s="165" t="s">
        <v>3786</v>
      </c>
      <c r="AT200" t="s">
        <v>5291</v>
      </c>
      <c r="AU200" t="s">
        <v>5291</v>
      </c>
    </row>
    <row r="201" spans="1:47" hidden="1" x14ac:dyDescent="0.25">
      <c r="A201" s="165" t="s">
        <v>1639</v>
      </c>
      <c r="B201" s="165" t="s">
        <v>4354</v>
      </c>
      <c r="C201" s="165" t="s">
        <v>23</v>
      </c>
      <c r="D201" s="165" t="s">
        <v>1640</v>
      </c>
      <c r="E201" s="165" t="s">
        <v>3871</v>
      </c>
      <c r="F201" s="165" t="s">
        <v>9</v>
      </c>
      <c r="G201" s="165" t="s">
        <v>8</v>
      </c>
      <c r="H201" s="165" t="s">
        <v>2305</v>
      </c>
      <c r="I201" s="165" t="s">
        <v>3820</v>
      </c>
      <c r="J201" s="165" t="s">
        <v>3872</v>
      </c>
      <c r="K201" s="165" t="s">
        <v>3819</v>
      </c>
      <c r="L201" s="165" t="s">
        <v>3820</v>
      </c>
      <c r="M201" s="165" t="s">
        <v>3803</v>
      </c>
      <c r="N201" s="165" t="s">
        <v>3805</v>
      </c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>
        <v>4</v>
      </c>
      <c r="Z201" s="165" t="s">
        <v>3873</v>
      </c>
      <c r="AA201" s="165" t="s">
        <v>3809</v>
      </c>
      <c r="AB201" s="165" t="s">
        <v>3811</v>
      </c>
      <c r="AC201" s="165" t="s">
        <v>3810</v>
      </c>
      <c r="AD201" s="165" t="s">
        <v>4351</v>
      </c>
      <c r="AE201">
        <v>107</v>
      </c>
      <c r="AF201" s="165" t="s">
        <v>4352</v>
      </c>
      <c r="AG201">
        <v>41</v>
      </c>
      <c r="AH201">
        <v>259</v>
      </c>
      <c r="AI201">
        <v>44</v>
      </c>
      <c r="AJ201">
        <v>28.9</v>
      </c>
      <c r="AK201" s="165" t="s">
        <v>4353</v>
      </c>
      <c r="AN201">
        <v>2</v>
      </c>
      <c r="AO201">
        <v>6</v>
      </c>
      <c r="AP201">
        <v>12</v>
      </c>
      <c r="AQ201" s="165" t="s">
        <v>3815</v>
      </c>
      <c r="AR201" t="s">
        <v>3909</v>
      </c>
      <c r="AS201" s="165" t="s">
        <v>3786</v>
      </c>
      <c r="AT201" t="s">
        <v>5291</v>
      </c>
      <c r="AU201" t="s">
        <v>5291</v>
      </c>
    </row>
    <row r="202" spans="1:47" hidden="1" x14ac:dyDescent="0.25">
      <c r="A202" s="165" t="s">
        <v>1043</v>
      </c>
      <c r="B202" s="165" t="s">
        <v>3331</v>
      </c>
      <c r="C202" s="165" t="s">
        <v>23</v>
      </c>
      <c r="D202" s="165" t="s">
        <v>1044</v>
      </c>
      <c r="E202" s="165" t="s">
        <v>4355</v>
      </c>
      <c r="F202" s="165" t="s">
        <v>9</v>
      </c>
      <c r="G202" s="165" t="s">
        <v>8</v>
      </c>
      <c r="H202" s="165" t="s">
        <v>2206</v>
      </c>
      <c r="I202" s="165" t="s">
        <v>3820</v>
      </c>
      <c r="J202" s="165" t="s">
        <v>3863</v>
      </c>
      <c r="K202" s="165" t="s">
        <v>3819</v>
      </c>
      <c r="L202" s="165" t="s">
        <v>3820</v>
      </c>
      <c r="M202" s="165" t="s">
        <v>3803</v>
      </c>
      <c r="N202" s="165" t="s">
        <v>3805</v>
      </c>
      <c r="O202" s="165" t="s">
        <v>3864</v>
      </c>
      <c r="P202" s="165" t="s">
        <v>3865</v>
      </c>
      <c r="Q202" s="165"/>
      <c r="R202" s="165"/>
      <c r="S202" s="165"/>
      <c r="T202" s="165"/>
      <c r="U202" s="165" t="s">
        <v>3807</v>
      </c>
      <c r="V202" s="165"/>
      <c r="W202" s="165"/>
      <c r="X202" s="165"/>
      <c r="Y202">
        <v>7</v>
      </c>
      <c r="Z202" s="165" t="s">
        <v>4356</v>
      </c>
      <c r="AA202" s="165" t="s">
        <v>3809</v>
      </c>
      <c r="AB202" s="165" t="s">
        <v>3810</v>
      </c>
      <c r="AC202" s="165" t="s">
        <v>3811</v>
      </c>
      <c r="AD202" s="165" t="s">
        <v>4351</v>
      </c>
      <c r="AE202">
        <v>107</v>
      </c>
      <c r="AF202" s="165" t="s">
        <v>4352</v>
      </c>
      <c r="AG202">
        <v>41</v>
      </c>
      <c r="AH202">
        <v>259</v>
      </c>
      <c r="AI202">
        <v>44</v>
      </c>
      <c r="AJ202">
        <v>28.9</v>
      </c>
      <c r="AK202" s="165" t="s">
        <v>4353</v>
      </c>
      <c r="AN202">
        <v>2</v>
      </c>
      <c r="AO202">
        <v>4</v>
      </c>
      <c r="AP202">
        <v>8</v>
      </c>
      <c r="AQ202" s="165" t="s">
        <v>3815</v>
      </c>
      <c r="AR202" t="s">
        <v>4007</v>
      </c>
      <c r="AS202" s="165" t="s">
        <v>174</v>
      </c>
      <c r="AT202" t="s">
        <v>5291</v>
      </c>
      <c r="AU202" t="s">
        <v>5291</v>
      </c>
    </row>
    <row r="203" spans="1:47" hidden="1" x14ac:dyDescent="0.25">
      <c r="A203" s="165" t="s">
        <v>1375</v>
      </c>
      <c r="B203" s="165" t="s">
        <v>4357</v>
      </c>
      <c r="C203" s="165" t="s">
        <v>23</v>
      </c>
      <c r="D203" s="165" t="s">
        <v>4358</v>
      </c>
      <c r="E203" s="165" t="s">
        <v>4359</v>
      </c>
      <c r="F203" s="165" t="s">
        <v>4234</v>
      </c>
      <c r="G203" s="165" t="s">
        <v>3878</v>
      </c>
      <c r="H203" s="165" t="s">
        <v>251</v>
      </c>
      <c r="I203" s="165" t="s">
        <v>2428</v>
      </c>
      <c r="J203" s="165" t="s">
        <v>4360</v>
      </c>
      <c r="K203" s="165" t="s">
        <v>3819</v>
      </c>
      <c r="L203" s="165" t="s">
        <v>3820</v>
      </c>
      <c r="M203" s="165" t="s">
        <v>3803</v>
      </c>
      <c r="N203" s="165" t="s">
        <v>3805</v>
      </c>
      <c r="O203" s="165"/>
      <c r="P203" s="165"/>
      <c r="Q203" s="165"/>
      <c r="R203" s="165"/>
      <c r="S203" s="165"/>
      <c r="T203" s="165"/>
      <c r="U203" s="165" t="s">
        <v>3807</v>
      </c>
      <c r="V203" s="165" t="s">
        <v>3821</v>
      </c>
      <c r="W203" s="165" t="s">
        <v>3822</v>
      </c>
      <c r="X203" s="165"/>
      <c r="Y203">
        <v>7</v>
      </c>
      <c r="Z203" s="165" t="s">
        <v>3823</v>
      </c>
      <c r="AA203" s="165" t="s">
        <v>3809</v>
      </c>
      <c r="AB203" s="165" t="s">
        <v>3810</v>
      </c>
      <c r="AC203" s="165" t="s">
        <v>3811</v>
      </c>
      <c r="AD203" s="165" t="s">
        <v>4361</v>
      </c>
      <c r="AE203">
        <v>116</v>
      </c>
      <c r="AF203" s="165" t="s">
        <v>4362</v>
      </c>
      <c r="AG203">
        <v>495</v>
      </c>
      <c r="AH203">
        <v>19</v>
      </c>
      <c r="AI203">
        <v>54.5</v>
      </c>
      <c r="AJ203">
        <v>24</v>
      </c>
      <c r="AK203" s="165" t="s">
        <v>4363</v>
      </c>
      <c r="AN203">
        <v>3</v>
      </c>
      <c r="AP203">
        <v>0</v>
      </c>
      <c r="AQ203" s="165" t="s">
        <v>3815</v>
      </c>
      <c r="AR203" t="s">
        <v>4364</v>
      </c>
      <c r="AS203" s="165" t="s">
        <v>174</v>
      </c>
      <c r="AT203" t="s">
        <v>5291</v>
      </c>
      <c r="AU203" t="s">
        <v>5291</v>
      </c>
    </row>
    <row r="204" spans="1:47" hidden="1" x14ac:dyDescent="0.25">
      <c r="A204" s="165" t="s">
        <v>1393</v>
      </c>
      <c r="B204" s="165" t="s">
        <v>4365</v>
      </c>
      <c r="C204" s="165" t="s">
        <v>23</v>
      </c>
      <c r="D204" s="165" t="s">
        <v>2006</v>
      </c>
      <c r="E204" s="165" t="s">
        <v>3817</v>
      </c>
      <c r="F204" s="165" t="s">
        <v>4234</v>
      </c>
      <c r="G204" s="165" t="s">
        <v>3878</v>
      </c>
      <c r="H204" s="165" t="s">
        <v>251</v>
      </c>
      <c r="I204" s="165" t="s">
        <v>2428</v>
      </c>
      <c r="J204" s="165" t="s">
        <v>4360</v>
      </c>
      <c r="K204" s="165" t="s">
        <v>3819</v>
      </c>
      <c r="L204" s="165" t="s">
        <v>3820</v>
      </c>
      <c r="M204" s="165" t="s">
        <v>3803</v>
      </c>
      <c r="N204" s="165" t="s">
        <v>3805</v>
      </c>
      <c r="O204" s="165"/>
      <c r="P204" s="165"/>
      <c r="Q204" s="165"/>
      <c r="R204" s="165"/>
      <c r="S204" s="165"/>
      <c r="T204" s="165"/>
      <c r="U204" s="165" t="s">
        <v>3807</v>
      </c>
      <c r="V204" s="165" t="s">
        <v>3821</v>
      </c>
      <c r="W204" s="165" t="s">
        <v>3822</v>
      </c>
      <c r="X204" s="165"/>
      <c r="Y204">
        <v>7</v>
      </c>
      <c r="Z204" s="165" t="s">
        <v>3823</v>
      </c>
      <c r="AA204" s="165" t="s">
        <v>3809</v>
      </c>
      <c r="AB204" s="165" t="s">
        <v>3810</v>
      </c>
      <c r="AC204" s="165" t="s">
        <v>3811</v>
      </c>
      <c r="AD204" s="165" t="s">
        <v>4361</v>
      </c>
      <c r="AE204">
        <v>116</v>
      </c>
      <c r="AF204" s="165" t="s">
        <v>4362</v>
      </c>
      <c r="AG204">
        <v>495</v>
      </c>
      <c r="AH204">
        <v>19</v>
      </c>
      <c r="AI204">
        <v>54.5</v>
      </c>
      <c r="AJ204">
        <v>24</v>
      </c>
      <c r="AK204" s="165" t="s">
        <v>4363</v>
      </c>
      <c r="AN204">
        <v>3</v>
      </c>
      <c r="AP204">
        <v>0</v>
      </c>
      <c r="AQ204" s="165" t="s">
        <v>3815</v>
      </c>
      <c r="AR204" t="s">
        <v>4364</v>
      </c>
      <c r="AS204" s="165" t="s">
        <v>174</v>
      </c>
      <c r="AT204" t="s">
        <v>5291</v>
      </c>
      <c r="AU204" t="s">
        <v>5291</v>
      </c>
    </row>
    <row r="205" spans="1:47" hidden="1" x14ac:dyDescent="0.25">
      <c r="A205" s="165" t="s">
        <v>1410</v>
      </c>
      <c r="B205" s="165" t="s">
        <v>4366</v>
      </c>
      <c r="C205" s="165" t="s">
        <v>2471</v>
      </c>
      <c r="D205" s="165" t="s">
        <v>1411</v>
      </c>
      <c r="E205" s="165" t="s">
        <v>3977</v>
      </c>
      <c r="F205" s="165" t="s">
        <v>4234</v>
      </c>
      <c r="G205" s="165" t="s">
        <v>3878</v>
      </c>
      <c r="H205" s="165" t="s">
        <v>251</v>
      </c>
      <c r="I205" s="165" t="s">
        <v>2428</v>
      </c>
      <c r="J205" s="165" t="s">
        <v>4360</v>
      </c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 t="s">
        <v>3807</v>
      </c>
      <c r="V205" s="165" t="s">
        <v>3821</v>
      </c>
      <c r="W205" s="165" t="s">
        <v>3822</v>
      </c>
      <c r="X205" s="165"/>
      <c r="Y205">
        <v>3</v>
      </c>
      <c r="Z205" s="165" t="s">
        <v>4367</v>
      </c>
      <c r="AA205" s="165" t="s">
        <v>3809</v>
      </c>
      <c r="AB205" s="165" t="s">
        <v>3810</v>
      </c>
      <c r="AC205" s="165" t="s">
        <v>3811</v>
      </c>
      <c r="AD205" s="165" t="s">
        <v>4368</v>
      </c>
      <c r="AE205">
        <v>64</v>
      </c>
      <c r="AF205" s="165" t="s">
        <v>4369</v>
      </c>
      <c r="AG205">
        <v>41</v>
      </c>
      <c r="AH205">
        <v>279</v>
      </c>
      <c r="AI205">
        <v>44</v>
      </c>
      <c r="AJ205">
        <v>30.9</v>
      </c>
      <c r="AK205" s="165" t="s">
        <v>4370</v>
      </c>
      <c r="AN205">
        <v>4</v>
      </c>
      <c r="AO205">
        <v>4</v>
      </c>
      <c r="AP205">
        <v>16</v>
      </c>
      <c r="AQ205" s="165" t="s">
        <v>3815</v>
      </c>
      <c r="AR205" t="s">
        <v>3830</v>
      </c>
      <c r="AS205" s="165" t="s">
        <v>174</v>
      </c>
      <c r="AT205" t="s">
        <v>5291</v>
      </c>
      <c r="AU205" t="s">
        <v>3809</v>
      </c>
    </row>
    <row r="206" spans="1:47" hidden="1" x14ac:dyDescent="0.25">
      <c r="A206" s="165" t="s">
        <v>755</v>
      </c>
      <c r="B206" s="165" t="s">
        <v>3452</v>
      </c>
      <c r="C206" s="165" t="s">
        <v>23</v>
      </c>
      <c r="D206" s="165" t="s">
        <v>756</v>
      </c>
      <c r="E206" s="165" t="s">
        <v>4280</v>
      </c>
      <c r="F206" s="165" t="s">
        <v>11</v>
      </c>
      <c r="G206" s="165" t="s">
        <v>8</v>
      </c>
      <c r="H206" s="165" t="s">
        <v>241</v>
      </c>
      <c r="I206" s="165" t="s">
        <v>3803</v>
      </c>
      <c r="J206" s="165" t="s">
        <v>4011</v>
      </c>
      <c r="K206" s="165"/>
      <c r="L206" s="165"/>
      <c r="M206" s="165"/>
      <c r="N206" s="165"/>
      <c r="O206" s="165"/>
      <c r="P206" s="165"/>
      <c r="Q206" s="165"/>
      <c r="R206" s="165"/>
      <c r="S206" s="165" t="s">
        <v>3902</v>
      </c>
      <c r="T206" s="165"/>
      <c r="U206" s="165"/>
      <c r="V206" s="165"/>
      <c r="W206" s="165"/>
      <c r="X206" s="165" t="s">
        <v>2428</v>
      </c>
      <c r="Y206">
        <v>2</v>
      </c>
      <c r="Z206" s="165" t="s">
        <v>3903</v>
      </c>
      <c r="AA206" s="165" t="s">
        <v>3811</v>
      </c>
      <c r="AB206" s="165" t="s">
        <v>3810</v>
      </c>
      <c r="AC206" s="165" t="s">
        <v>3809</v>
      </c>
      <c r="AD206" s="165" t="s">
        <v>2312</v>
      </c>
      <c r="AE206">
        <v>24</v>
      </c>
      <c r="AF206" s="165" t="s">
        <v>4371</v>
      </c>
      <c r="AG206">
        <v>426</v>
      </c>
      <c r="AH206">
        <v>303</v>
      </c>
      <c r="AI206">
        <v>45.6</v>
      </c>
      <c r="AJ206">
        <v>33.299999999999997</v>
      </c>
      <c r="AK206" s="165" t="s">
        <v>4372</v>
      </c>
      <c r="AN206">
        <v>6</v>
      </c>
      <c r="AO206">
        <v>4</v>
      </c>
      <c r="AP206">
        <v>24</v>
      </c>
      <c r="AQ206" s="165" t="s">
        <v>3815</v>
      </c>
      <c r="AR206" t="s">
        <v>3932</v>
      </c>
      <c r="AS206" s="165" t="s">
        <v>30</v>
      </c>
      <c r="AT206" t="s">
        <v>5291</v>
      </c>
      <c r="AU206" t="s">
        <v>5291</v>
      </c>
    </row>
    <row r="207" spans="1:47" hidden="1" x14ac:dyDescent="0.25">
      <c r="A207" s="165" t="s">
        <v>3344</v>
      </c>
      <c r="B207" s="165" t="s">
        <v>3343</v>
      </c>
      <c r="C207" s="165" t="s">
        <v>23</v>
      </c>
      <c r="D207" s="165" t="s">
        <v>4373</v>
      </c>
      <c r="E207" s="165" t="s">
        <v>3950</v>
      </c>
      <c r="F207" s="165" t="s">
        <v>13</v>
      </c>
      <c r="G207" s="165" t="s">
        <v>8</v>
      </c>
      <c r="H207" s="165" t="s">
        <v>241</v>
      </c>
      <c r="I207" s="165" t="s">
        <v>3864</v>
      </c>
      <c r="J207" s="165" t="s">
        <v>3901</v>
      </c>
      <c r="K207" s="165"/>
      <c r="L207" s="165"/>
      <c r="M207" s="165"/>
      <c r="N207" s="165"/>
      <c r="O207" s="165"/>
      <c r="P207" s="165"/>
      <c r="Q207" s="165"/>
      <c r="R207" s="165"/>
      <c r="S207" s="165" t="s">
        <v>3902</v>
      </c>
      <c r="T207" s="165"/>
      <c r="U207" s="165"/>
      <c r="V207" s="165"/>
      <c r="W207" s="165"/>
      <c r="X207" s="165" t="s">
        <v>2428</v>
      </c>
      <c r="Y207">
        <v>2</v>
      </c>
      <c r="Z207" s="165" t="s">
        <v>3903</v>
      </c>
      <c r="AA207" s="165" t="s">
        <v>3811</v>
      </c>
      <c r="AB207" s="165" t="s">
        <v>3810</v>
      </c>
      <c r="AC207" s="165" t="s">
        <v>3809</v>
      </c>
      <c r="AD207" s="165" t="s">
        <v>2312</v>
      </c>
      <c r="AE207">
        <v>24</v>
      </c>
      <c r="AF207" s="165" t="s">
        <v>4371</v>
      </c>
      <c r="AG207">
        <v>426</v>
      </c>
      <c r="AH207">
        <v>303</v>
      </c>
      <c r="AI207">
        <v>45.6</v>
      </c>
      <c r="AJ207">
        <v>33.299999999999997</v>
      </c>
      <c r="AK207" s="165" t="s">
        <v>4372</v>
      </c>
      <c r="AN207">
        <v>6</v>
      </c>
      <c r="AO207">
        <v>4</v>
      </c>
      <c r="AP207">
        <v>24</v>
      </c>
      <c r="AQ207" s="165" t="s">
        <v>3815</v>
      </c>
      <c r="AR207" t="s">
        <v>3830</v>
      </c>
      <c r="AS207" s="165" t="s">
        <v>30</v>
      </c>
      <c r="AT207" t="s">
        <v>5291</v>
      </c>
      <c r="AU207" t="s">
        <v>5291</v>
      </c>
    </row>
    <row r="208" spans="1:47" x14ac:dyDescent="0.25">
      <c r="A208" s="165" t="s">
        <v>2797</v>
      </c>
      <c r="B208" s="165" t="s">
        <v>3430</v>
      </c>
      <c r="C208" s="165" t="s">
        <v>23</v>
      </c>
      <c r="D208" s="165" t="s">
        <v>2798</v>
      </c>
      <c r="E208" s="165" t="s">
        <v>4337</v>
      </c>
      <c r="F208" s="165" t="s">
        <v>15</v>
      </c>
      <c r="G208" s="165" t="s">
        <v>3878</v>
      </c>
      <c r="H208" s="165" t="s">
        <v>269</v>
      </c>
      <c r="I208" s="165" t="s">
        <v>2428</v>
      </c>
      <c r="J208" s="165" t="s">
        <v>3887</v>
      </c>
      <c r="K208" s="165" t="s">
        <v>3819</v>
      </c>
      <c r="L208" s="165" t="s">
        <v>3820</v>
      </c>
      <c r="M208" s="165" t="s">
        <v>3803</v>
      </c>
      <c r="N208" s="165" t="s">
        <v>3805</v>
      </c>
      <c r="O208" s="165"/>
      <c r="P208" s="165"/>
      <c r="Q208" s="165" t="s">
        <v>3888</v>
      </c>
      <c r="R208" s="165"/>
      <c r="S208" s="165"/>
      <c r="T208" s="165"/>
      <c r="U208" s="165" t="s">
        <v>3807</v>
      </c>
      <c r="V208" s="165"/>
      <c r="W208" s="165"/>
      <c r="X208" s="165"/>
      <c r="Y208">
        <v>6</v>
      </c>
      <c r="Z208" s="165" t="s">
        <v>3889</v>
      </c>
      <c r="AA208" s="165" t="s">
        <v>3809</v>
      </c>
      <c r="AB208" s="165" t="s">
        <v>3811</v>
      </c>
      <c r="AC208" s="165" t="s">
        <v>3810</v>
      </c>
      <c r="AD208" s="165" t="s">
        <v>4374</v>
      </c>
      <c r="AE208">
        <v>87</v>
      </c>
      <c r="AF208" s="165" t="s">
        <v>4375</v>
      </c>
      <c r="AG208">
        <v>493</v>
      </c>
      <c r="AH208">
        <v>243</v>
      </c>
      <c r="AI208">
        <v>52.3</v>
      </c>
      <c r="AJ208">
        <v>27.3</v>
      </c>
      <c r="AK208" s="165" t="s">
        <v>4376</v>
      </c>
      <c r="AN208">
        <v>4</v>
      </c>
      <c r="AO208">
        <v>6</v>
      </c>
      <c r="AP208">
        <v>24</v>
      </c>
      <c r="AQ208" s="165" t="s">
        <v>3815</v>
      </c>
      <c r="AR208" t="s">
        <v>4377</v>
      </c>
      <c r="AS208" s="165" t="s">
        <v>3786</v>
      </c>
      <c r="AT208" t="s">
        <v>5291</v>
      </c>
      <c r="AU208" t="s">
        <v>5291</v>
      </c>
    </row>
    <row r="209" spans="1:47" hidden="1" x14ac:dyDescent="0.25">
      <c r="A209" s="165" t="s">
        <v>983</v>
      </c>
      <c r="B209" s="165" t="s">
        <v>4378</v>
      </c>
      <c r="C209" s="165" t="s">
        <v>23</v>
      </c>
      <c r="D209" s="165" t="s">
        <v>984</v>
      </c>
      <c r="E209" s="165" t="s">
        <v>3991</v>
      </c>
      <c r="F209" s="165" t="s">
        <v>13</v>
      </c>
      <c r="G209" s="165" t="s">
        <v>8</v>
      </c>
      <c r="H209" s="165" t="s">
        <v>269</v>
      </c>
      <c r="I209" s="165" t="s">
        <v>3864</v>
      </c>
      <c r="J209" s="165" t="s">
        <v>3894</v>
      </c>
      <c r="K209" s="165" t="s">
        <v>3819</v>
      </c>
      <c r="L209" s="165" t="s">
        <v>3820</v>
      </c>
      <c r="M209" s="165" t="s">
        <v>3803</v>
      </c>
      <c r="N209" s="165" t="s">
        <v>3805</v>
      </c>
      <c r="O209" s="165"/>
      <c r="P209" s="165"/>
      <c r="Q209" s="165" t="s">
        <v>3888</v>
      </c>
      <c r="R209" s="165"/>
      <c r="S209" s="165"/>
      <c r="T209" s="165"/>
      <c r="U209" s="165" t="s">
        <v>3807</v>
      </c>
      <c r="V209" s="165"/>
      <c r="W209" s="165"/>
      <c r="X209" s="165"/>
      <c r="Y209">
        <v>6</v>
      </c>
      <c r="Z209" s="165" t="s">
        <v>3889</v>
      </c>
      <c r="AA209" s="165" t="s">
        <v>3809</v>
      </c>
      <c r="AB209" s="165" t="s">
        <v>3811</v>
      </c>
      <c r="AC209" s="165" t="s">
        <v>3810</v>
      </c>
      <c r="AD209" s="165" t="s">
        <v>2312</v>
      </c>
      <c r="AE209">
        <v>24</v>
      </c>
      <c r="AF209" s="165" t="s">
        <v>4371</v>
      </c>
      <c r="AG209">
        <v>426</v>
      </c>
      <c r="AH209">
        <v>303</v>
      </c>
      <c r="AI209">
        <v>45.6</v>
      </c>
      <c r="AJ209">
        <v>33.299999999999997</v>
      </c>
      <c r="AK209" s="165" t="s">
        <v>4372</v>
      </c>
      <c r="AN209">
        <v>6</v>
      </c>
      <c r="AO209">
        <v>4</v>
      </c>
      <c r="AP209">
        <v>24</v>
      </c>
      <c r="AQ209" s="165" t="s">
        <v>3815</v>
      </c>
      <c r="AR209" t="s">
        <v>3932</v>
      </c>
      <c r="AS209" s="165" t="s">
        <v>3786</v>
      </c>
      <c r="AT209" t="s">
        <v>5291</v>
      </c>
      <c r="AU209" t="s">
        <v>5291</v>
      </c>
    </row>
    <row r="210" spans="1:47" hidden="1" x14ac:dyDescent="0.25">
      <c r="A210" s="165" t="s">
        <v>1749</v>
      </c>
      <c r="B210" s="165" t="s">
        <v>4379</v>
      </c>
      <c r="C210" s="165" t="s">
        <v>23</v>
      </c>
      <c r="D210" s="165" t="s">
        <v>1750</v>
      </c>
      <c r="E210" s="165" t="s">
        <v>4380</v>
      </c>
      <c r="F210" s="165" t="s">
        <v>13</v>
      </c>
      <c r="G210" s="165" t="s">
        <v>3878</v>
      </c>
      <c r="H210" s="165" t="s">
        <v>269</v>
      </c>
      <c r="I210" s="165" t="s">
        <v>2428</v>
      </c>
      <c r="J210" s="165" t="s">
        <v>3887</v>
      </c>
      <c r="K210" s="165" t="s">
        <v>3819</v>
      </c>
      <c r="L210" s="165" t="s">
        <v>3820</v>
      </c>
      <c r="M210" s="165" t="s">
        <v>3803</v>
      </c>
      <c r="N210" s="165" t="s">
        <v>3805</v>
      </c>
      <c r="O210" s="165"/>
      <c r="P210" s="165"/>
      <c r="Q210" s="165" t="s">
        <v>3888</v>
      </c>
      <c r="R210" s="165"/>
      <c r="S210" s="165"/>
      <c r="T210" s="165"/>
      <c r="U210" s="165" t="s">
        <v>3807</v>
      </c>
      <c r="V210" s="165"/>
      <c r="W210" s="165"/>
      <c r="X210" s="165"/>
      <c r="Y210">
        <v>6</v>
      </c>
      <c r="Z210" s="165" t="s">
        <v>3889</v>
      </c>
      <c r="AA210" s="165" t="s">
        <v>3809</v>
      </c>
      <c r="AB210" s="165" t="s">
        <v>3811</v>
      </c>
      <c r="AC210" s="165" t="s">
        <v>3810</v>
      </c>
      <c r="AD210" s="165" t="s">
        <v>2312</v>
      </c>
      <c r="AE210">
        <v>24</v>
      </c>
      <c r="AF210" s="165" t="s">
        <v>4371</v>
      </c>
      <c r="AG210">
        <v>426</v>
      </c>
      <c r="AH210">
        <v>303</v>
      </c>
      <c r="AI210">
        <v>45.6</v>
      </c>
      <c r="AJ210">
        <v>33.299999999999997</v>
      </c>
      <c r="AK210" s="165" t="s">
        <v>4372</v>
      </c>
      <c r="AN210">
        <v>6</v>
      </c>
      <c r="AO210">
        <v>4</v>
      </c>
      <c r="AP210">
        <v>24</v>
      </c>
      <c r="AQ210" s="165" t="s">
        <v>3815</v>
      </c>
      <c r="AR210" t="s">
        <v>3932</v>
      </c>
      <c r="AS210" s="165" t="s">
        <v>3786</v>
      </c>
      <c r="AT210" t="s">
        <v>5291</v>
      </c>
      <c r="AU210" t="s">
        <v>5291</v>
      </c>
    </row>
    <row r="211" spans="1:47" x14ac:dyDescent="0.25">
      <c r="A211" s="165" t="s">
        <v>865</v>
      </c>
      <c r="B211" s="165" t="s">
        <v>4381</v>
      </c>
      <c r="C211" s="165" t="s">
        <v>23</v>
      </c>
      <c r="D211" s="165" t="s">
        <v>866</v>
      </c>
      <c r="E211" s="165" t="s">
        <v>4337</v>
      </c>
      <c r="F211" s="165" t="s">
        <v>15</v>
      </c>
      <c r="G211" s="165" t="s">
        <v>3878</v>
      </c>
      <c r="H211" s="165" t="s">
        <v>269</v>
      </c>
      <c r="I211" s="165" t="s">
        <v>2428</v>
      </c>
      <c r="J211" s="165" t="s">
        <v>3887</v>
      </c>
      <c r="K211" s="165" t="s">
        <v>3819</v>
      </c>
      <c r="L211" s="165" t="s">
        <v>3820</v>
      </c>
      <c r="M211" s="165" t="s">
        <v>3803</v>
      </c>
      <c r="N211" s="165" t="s">
        <v>3805</v>
      </c>
      <c r="O211" s="165"/>
      <c r="P211" s="165"/>
      <c r="Q211" s="165" t="s">
        <v>3888</v>
      </c>
      <c r="R211" s="165"/>
      <c r="S211" s="165"/>
      <c r="T211" s="165"/>
      <c r="U211" s="165" t="s">
        <v>3807</v>
      </c>
      <c r="V211" s="165"/>
      <c r="W211" s="165"/>
      <c r="X211" s="165"/>
      <c r="Y211">
        <v>6</v>
      </c>
      <c r="Z211" s="165" t="s">
        <v>3889</v>
      </c>
      <c r="AA211" s="165" t="s">
        <v>3809</v>
      </c>
      <c r="AB211" s="165" t="s">
        <v>3811</v>
      </c>
      <c r="AC211" s="165" t="s">
        <v>3810</v>
      </c>
      <c r="AD211" s="165" t="s">
        <v>2312</v>
      </c>
      <c r="AE211">
        <v>24</v>
      </c>
      <c r="AF211" s="165" t="s">
        <v>4371</v>
      </c>
      <c r="AG211">
        <v>426</v>
      </c>
      <c r="AH211">
        <v>303</v>
      </c>
      <c r="AI211">
        <v>45.6</v>
      </c>
      <c r="AJ211">
        <v>33.299999999999997</v>
      </c>
      <c r="AK211" s="165" t="s">
        <v>4372</v>
      </c>
      <c r="AN211">
        <v>6</v>
      </c>
      <c r="AO211">
        <v>4</v>
      </c>
      <c r="AP211">
        <v>24</v>
      </c>
      <c r="AQ211" s="165" t="s">
        <v>3815</v>
      </c>
      <c r="AR211" t="s">
        <v>3971</v>
      </c>
      <c r="AS211" s="165" t="s">
        <v>3786</v>
      </c>
      <c r="AT211" t="s">
        <v>5291</v>
      </c>
      <c r="AU211" t="s">
        <v>5291</v>
      </c>
    </row>
    <row r="212" spans="1:47" hidden="1" x14ac:dyDescent="0.25">
      <c r="A212" s="165" t="s">
        <v>985</v>
      </c>
      <c r="B212" s="165" t="s">
        <v>4382</v>
      </c>
      <c r="C212" s="165" t="s">
        <v>23</v>
      </c>
      <c r="D212" s="165" t="s">
        <v>986</v>
      </c>
      <c r="E212" s="165" t="s">
        <v>3991</v>
      </c>
      <c r="F212" s="165" t="s">
        <v>13</v>
      </c>
      <c r="G212" s="165" t="s">
        <v>3878</v>
      </c>
      <c r="H212" s="165" t="s">
        <v>269</v>
      </c>
      <c r="I212" s="165" t="s">
        <v>2428</v>
      </c>
      <c r="J212" s="165" t="s">
        <v>3887</v>
      </c>
      <c r="K212" s="165" t="s">
        <v>3819</v>
      </c>
      <c r="L212" s="165" t="s">
        <v>3820</v>
      </c>
      <c r="M212" s="165" t="s">
        <v>3803</v>
      </c>
      <c r="N212" s="165" t="s">
        <v>3805</v>
      </c>
      <c r="O212" s="165"/>
      <c r="P212" s="165"/>
      <c r="Q212" s="165" t="s">
        <v>3888</v>
      </c>
      <c r="R212" s="165"/>
      <c r="S212" s="165"/>
      <c r="T212" s="165"/>
      <c r="U212" s="165" t="s">
        <v>3807</v>
      </c>
      <c r="V212" s="165"/>
      <c r="W212" s="165"/>
      <c r="X212" s="165"/>
      <c r="Y212">
        <v>6</v>
      </c>
      <c r="Z212" s="165" t="s">
        <v>3889</v>
      </c>
      <c r="AA212" s="165" t="s">
        <v>3809</v>
      </c>
      <c r="AB212" s="165" t="s">
        <v>3811</v>
      </c>
      <c r="AC212" s="165" t="s">
        <v>3810</v>
      </c>
      <c r="AD212" s="165" t="s">
        <v>2312</v>
      </c>
      <c r="AE212">
        <v>24</v>
      </c>
      <c r="AF212" s="165" t="s">
        <v>4371</v>
      </c>
      <c r="AG212">
        <v>426</v>
      </c>
      <c r="AH212">
        <v>303</v>
      </c>
      <c r="AI212">
        <v>45.6</v>
      </c>
      <c r="AJ212">
        <v>33.299999999999997</v>
      </c>
      <c r="AK212" s="165" t="s">
        <v>4372</v>
      </c>
      <c r="AN212">
        <v>6</v>
      </c>
      <c r="AO212">
        <v>4</v>
      </c>
      <c r="AP212">
        <v>24</v>
      </c>
      <c r="AQ212" s="165" t="s">
        <v>3815</v>
      </c>
      <c r="AR212" t="s">
        <v>3909</v>
      </c>
      <c r="AS212" s="165" t="s">
        <v>3786</v>
      </c>
      <c r="AT212" t="s">
        <v>5291</v>
      </c>
      <c r="AU212" t="s">
        <v>5291</v>
      </c>
    </row>
    <row r="213" spans="1:47" hidden="1" x14ac:dyDescent="0.25">
      <c r="A213" s="165" t="s">
        <v>1715</v>
      </c>
      <c r="B213" s="165" t="s">
        <v>4383</v>
      </c>
      <c r="C213" s="165" t="s">
        <v>23</v>
      </c>
      <c r="D213" s="165" t="s">
        <v>4384</v>
      </c>
      <c r="E213" s="165" t="s">
        <v>4270</v>
      </c>
      <c r="F213" s="165" t="s">
        <v>13</v>
      </c>
      <c r="G213" s="165" t="s">
        <v>3878</v>
      </c>
      <c r="H213" s="165" t="s">
        <v>269</v>
      </c>
      <c r="I213" s="165" t="s">
        <v>2428</v>
      </c>
      <c r="J213" s="165" t="s">
        <v>3887</v>
      </c>
      <c r="K213" s="165" t="s">
        <v>3819</v>
      </c>
      <c r="L213" s="165" t="s">
        <v>3820</v>
      </c>
      <c r="M213" s="165" t="s">
        <v>3803</v>
      </c>
      <c r="N213" s="165" t="s">
        <v>3805</v>
      </c>
      <c r="O213" s="165"/>
      <c r="P213" s="165"/>
      <c r="Q213" s="165" t="s">
        <v>3888</v>
      </c>
      <c r="R213" s="165"/>
      <c r="S213" s="165"/>
      <c r="T213" s="165"/>
      <c r="U213" s="165" t="s">
        <v>3807</v>
      </c>
      <c r="V213" s="165"/>
      <c r="W213" s="165"/>
      <c r="X213" s="165"/>
      <c r="Y213">
        <v>6</v>
      </c>
      <c r="Z213" s="165" t="s">
        <v>3889</v>
      </c>
      <c r="AA213" s="165" t="s">
        <v>3809</v>
      </c>
      <c r="AB213" s="165" t="s">
        <v>3811</v>
      </c>
      <c r="AC213" s="165" t="s">
        <v>3810</v>
      </c>
      <c r="AD213" s="165" t="s">
        <v>2312</v>
      </c>
      <c r="AE213">
        <v>24</v>
      </c>
      <c r="AF213" s="165" t="s">
        <v>4371</v>
      </c>
      <c r="AG213">
        <v>426</v>
      </c>
      <c r="AH213">
        <v>303</v>
      </c>
      <c r="AI213">
        <v>45.6</v>
      </c>
      <c r="AJ213">
        <v>33.299999999999997</v>
      </c>
      <c r="AK213" s="165" t="s">
        <v>4372</v>
      </c>
      <c r="AN213">
        <v>6</v>
      </c>
      <c r="AO213">
        <v>4</v>
      </c>
      <c r="AP213">
        <v>24</v>
      </c>
      <c r="AQ213" s="165" t="s">
        <v>3815</v>
      </c>
      <c r="AR213" t="s">
        <v>4239</v>
      </c>
      <c r="AS213" s="165" t="s">
        <v>3786</v>
      </c>
      <c r="AT213" t="s">
        <v>5291</v>
      </c>
      <c r="AU213" t="s">
        <v>5291</v>
      </c>
    </row>
    <row r="214" spans="1:47" hidden="1" x14ac:dyDescent="0.25">
      <c r="A214" s="165" t="s">
        <v>1334</v>
      </c>
      <c r="B214" s="165" t="s">
        <v>3382</v>
      </c>
      <c r="C214" s="165" t="s">
        <v>23</v>
      </c>
      <c r="D214" s="165" t="s">
        <v>1335</v>
      </c>
      <c r="E214" s="165" t="s">
        <v>4385</v>
      </c>
      <c r="F214" s="165" t="s">
        <v>13</v>
      </c>
      <c r="G214" s="165" t="s">
        <v>3878</v>
      </c>
      <c r="H214" s="165" t="s">
        <v>269</v>
      </c>
      <c r="I214" s="165" t="s">
        <v>2428</v>
      </c>
      <c r="J214" s="165" t="s">
        <v>3887</v>
      </c>
      <c r="K214" s="165" t="s">
        <v>3819</v>
      </c>
      <c r="L214" s="165" t="s">
        <v>3820</v>
      </c>
      <c r="M214" s="165" t="s">
        <v>3803</v>
      </c>
      <c r="N214" s="165" t="s">
        <v>3805</v>
      </c>
      <c r="O214" s="165"/>
      <c r="P214" s="165"/>
      <c r="Q214" s="165" t="s">
        <v>3888</v>
      </c>
      <c r="R214" s="165"/>
      <c r="S214" s="165"/>
      <c r="T214" s="165"/>
      <c r="U214" s="165" t="s">
        <v>3807</v>
      </c>
      <c r="V214" s="165"/>
      <c r="W214" s="165"/>
      <c r="X214" s="165"/>
      <c r="Y214">
        <v>6</v>
      </c>
      <c r="Z214" s="165" t="s">
        <v>3889</v>
      </c>
      <c r="AA214" s="165" t="s">
        <v>3809</v>
      </c>
      <c r="AB214" s="165" t="s">
        <v>3811</v>
      </c>
      <c r="AC214" s="165" t="s">
        <v>3810</v>
      </c>
      <c r="AD214" s="165" t="s">
        <v>2312</v>
      </c>
      <c r="AE214">
        <v>24</v>
      </c>
      <c r="AF214" s="165" t="s">
        <v>4371</v>
      </c>
      <c r="AG214">
        <v>426</v>
      </c>
      <c r="AH214">
        <v>303</v>
      </c>
      <c r="AI214">
        <v>45.6</v>
      </c>
      <c r="AJ214">
        <v>33.299999999999997</v>
      </c>
      <c r="AK214" s="165" t="s">
        <v>4372</v>
      </c>
      <c r="AN214">
        <v>6</v>
      </c>
      <c r="AO214">
        <v>4</v>
      </c>
      <c r="AP214">
        <v>24</v>
      </c>
      <c r="AQ214" s="165" t="s">
        <v>3815</v>
      </c>
      <c r="AR214" t="s">
        <v>3932</v>
      </c>
      <c r="AS214" s="165" t="s">
        <v>3786</v>
      </c>
      <c r="AT214" t="s">
        <v>5291</v>
      </c>
      <c r="AU214" t="s">
        <v>5291</v>
      </c>
    </row>
    <row r="215" spans="1:47" hidden="1" x14ac:dyDescent="0.25">
      <c r="A215" s="165" t="s">
        <v>1204</v>
      </c>
      <c r="B215" s="165" t="s">
        <v>3375</v>
      </c>
      <c r="C215" s="165" t="s">
        <v>23</v>
      </c>
      <c r="D215" s="165" t="s">
        <v>1205</v>
      </c>
      <c r="E215" s="165" t="s">
        <v>4386</v>
      </c>
      <c r="F215" s="165" t="s">
        <v>13</v>
      </c>
      <c r="G215" s="165" t="s">
        <v>8</v>
      </c>
      <c r="H215" s="165" t="s">
        <v>176</v>
      </c>
      <c r="I215" s="165" t="s">
        <v>3864</v>
      </c>
      <c r="J215" s="165" t="s">
        <v>3970</v>
      </c>
      <c r="K215" s="165"/>
      <c r="L215" s="165"/>
      <c r="M215" s="165"/>
      <c r="N215" s="165"/>
      <c r="O215" s="165"/>
      <c r="P215" s="165"/>
      <c r="Q215" s="165"/>
      <c r="R215" s="165" t="s">
        <v>3842</v>
      </c>
      <c r="S215" s="165"/>
      <c r="T215" s="165"/>
      <c r="U215" s="165" t="s">
        <v>3807</v>
      </c>
      <c r="V215" s="165"/>
      <c r="W215" s="165"/>
      <c r="X215" s="165"/>
      <c r="Y215">
        <v>2</v>
      </c>
      <c r="Z215" s="165" t="s">
        <v>3843</v>
      </c>
      <c r="AA215" s="165" t="s">
        <v>3811</v>
      </c>
      <c r="AB215" s="165" t="s">
        <v>3810</v>
      </c>
      <c r="AC215" s="165" t="s">
        <v>3809</v>
      </c>
      <c r="AD215" s="165" t="s">
        <v>2312</v>
      </c>
      <c r="AE215">
        <v>24</v>
      </c>
      <c r="AF215" s="165" t="s">
        <v>4371</v>
      </c>
      <c r="AG215">
        <v>426</v>
      </c>
      <c r="AH215">
        <v>303</v>
      </c>
      <c r="AI215">
        <v>45.6</v>
      </c>
      <c r="AJ215">
        <v>33.299999999999997</v>
      </c>
      <c r="AK215" s="165" t="s">
        <v>4372</v>
      </c>
      <c r="AN215">
        <v>6</v>
      </c>
      <c r="AO215">
        <v>4</v>
      </c>
      <c r="AP215">
        <v>24</v>
      </c>
      <c r="AQ215" s="165" t="s">
        <v>3815</v>
      </c>
      <c r="AR215" t="s">
        <v>3830</v>
      </c>
      <c r="AS215" s="165" t="s">
        <v>30</v>
      </c>
      <c r="AT215" t="s">
        <v>5291</v>
      </c>
      <c r="AU215" t="s">
        <v>5291</v>
      </c>
    </row>
    <row r="216" spans="1:47" hidden="1" x14ac:dyDescent="0.25">
      <c r="A216" s="165" t="s">
        <v>4387</v>
      </c>
      <c r="B216" s="165" t="s">
        <v>4388</v>
      </c>
      <c r="C216" s="165" t="s">
        <v>23</v>
      </c>
      <c r="D216" s="165" t="s">
        <v>4389</v>
      </c>
      <c r="E216" s="165" t="s">
        <v>4390</v>
      </c>
      <c r="F216" s="165" t="s">
        <v>3850</v>
      </c>
      <c r="G216" s="165" t="s">
        <v>8</v>
      </c>
      <c r="H216" s="165" t="s">
        <v>241</v>
      </c>
      <c r="I216" s="165" t="s">
        <v>3819</v>
      </c>
      <c r="J216" s="165" t="s">
        <v>4211</v>
      </c>
      <c r="K216" s="165"/>
      <c r="L216" s="165"/>
      <c r="M216" s="165"/>
      <c r="N216" s="165"/>
      <c r="O216" s="165"/>
      <c r="P216" s="165"/>
      <c r="Q216" s="165"/>
      <c r="R216" s="165"/>
      <c r="S216" s="165" t="s">
        <v>3902</v>
      </c>
      <c r="T216" s="165"/>
      <c r="U216" s="165"/>
      <c r="V216" s="165"/>
      <c r="W216" s="165"/>
      <c r="X216" s="165" t="s">
        <v>2428</v>
      </c>
      <c r="Y216">
        <v>2</v>
      </c>
      <c r="Z216" s="165" t="s">
        <v>3903</v>
      </c>
      <c r="AA216" s="165" t="s">
        <v>3811</v>
      </c>
      <c r="AB216" s="165" t="s">
        <v>3810</v>
      </c>
      <c r="AC216" s="165" t="s">
        <v>3809</v>
      </c>
      <c r="AD216" s="165" t="s">
        <v>4391</v>
      </c>
      <c r="AE216">
        <v>20</v>
      </c>
      <c r="AF216" s="165" t="s">
        <v>4392</v>
      </c>
      <c r="AG216">
        <v>426</v>
      </c>
      <c r="AH216">
        <v>316</v>
      </c>
      <c r="AI216">
        <v>45.6</v>
      </c>
      <c r="AJ216">
        <v>34.6</v>
      </c>
      <c r="AK216" s="165" t="s">
        <v>4393</v>
      </c>
      <c r="AN216">
        <v>2</v>
      </c>
      <c r="AO216">
        <v>5</v>
      </c>
      <c r="AP216">
        <v>10</v>
      </c>
      <c r="AQ216" s="165" t="s">
        <v>3815</v>
      </c>
      <c r="AR216" t="s">
        <v>3870</v>
      </c>
      <c r="AS216" s="165" t="s">
        <v>30</v>
      </c>
      <c r="AT216" t="s">
        <v>5291</v>
      </c>
      <c r="AU216" t="s">
        <v>5291</v>
      </c>
    </row>
    <row r="217" spans="1:47" hidden="1" x14ac:dyDescent="0.25">
      <c r="A217" s="165" t="s">
        <v>4394</v>
      </c>
      <c r="B217" s="165" t="s">
        <v>88</v>
      </c>
      <c r="C217" s="165" t="s">
        <v>23</v>
      </c>
      <c r="D217" s="165" t="s">
        <v>4395</v>
      </c>
      <c r="E217" s="165" t="s">
        <v>4396</v>
      </c>
      <c r="F217" s="165" t="s">
        <v>3850</v>
      </c>
      <c r="G217" s="165" t="s">
        <v>8</v>
      </c>
      <c r="H217" s="165" t="s">
        <v>241</v>
      </c>
      <c r="I217" s="165" t="s">
        <v>3819</v>
      </c>
      <c r="J217" s="165" t="s">
        <v>4211</v>
      </c>
      <c r="K217" s="165"/>
      <c r="L217" s="165"/>
      <c r="M217" s="165"/>
      <c r="N217" s="165"/>
      <c r="O217" s="165"/>
      <c r="P217" s="165"/>
      <c r="Q217" s="165"/>
      <c r="R217" s="165"/>
      <c r="S217" s="165" t="s">
        <v>3902</v>
      </c>
      <c r="T217" s="165"/>
      <c r="U217" s="165"/>
      <c r="V217" s="165"/>
      <c r="W217" s="165"/>
      <c r="X217" s="165" t="s">
        <v>2428</v>
      </c>
      <c r="Y217">
        <v>2</v>
      </c>
      <c r="Z217" s="165" t="s">
        <v>3903</v>
      </c>
      <c r="AA217" s="165" t="s">
        <v>3811</v>
      </c>
      <c r="AB217" s="165" t="s">
        <v>3810</v>
      </c>
      <c r="AC217" s="165" t="s">
        <v>3809</v>
      </c>
      <c r="AD217" s="165" t="s">
        <v>4391</v>
      </c>
      <c r="AE217">
        <v>20</v>
      </c>
      <c r="AF217" s="165" t="s">
        <v>4392</v>
      </c>
      <c r="AG217">
        <v>426</v>
      </c>
      <c r="AH217">
        <v>316</v>
      </c>
      <c r="AI217">
        <v>45.6</v>
      </c>
      <c r="AJ217">
        <v>34.6</v>
      </c>
      <c r="AK217" s="165" t="s">
        <v>4393</v>
      </c>
      <c r="AN217">
        <v>2</v>
      </c>
      <c r="AO217">
        <v>5</v>
      </c>
      <c r="AP217">
        <v>10</v>
      </c>
      <c r="AQ217" s="165" t="s">
        <v>3978</v>
      </c>
      <c r="AR217" t="s">
        <v>4397</v>
      </c>
      <c r="AS217" s="165" t="s">
        <v>30</v>
      </c>
      <c r="AT217" t="s">
        <v>5291</v>
      </c>
      <c r="AU217" t="s">
        <v>5291</v>
      </c>
    </row>
    <row r="218" spans="1:47" hidden="1" x14ac:dyDescent="0.25">
      <c r="A218" s="165" t="s">
        <v>1196</v>
      </c>
      <c r="B218" s="165" t="s">
        <v>4398</v>
      </c>
      <c r="C218" s="165" t="s">
        <v>23</v>
      </c>
      <c r="D218" s="165" t="s">
        <v>1197</v>
      </c>
      <c r="E218" s="165" t="s">
        <v>4061</v>
      </c>
      <c r="F218" s="165" t="s">
        <v>2183</v>
      </c>
      <c r="G218" s="165" t="s">
        <v>8</v>
      </c>
      <c r="H218" s="165" t="s">
        <v>241</v>
      </c>
      <c r="I218" s="165" t="s">
        <v>3820</v>
      </c>
      <c r="J218" s="165" t="s">
        <v>4106</v>
      </c>
      <c r="K218" s="165"/>
      <c r="L218" s="165"/>
      <c r="M218" s="165"/>
      <c r="N218" s="165"/>
      <c r="O218" s="165"/>
      <c r="P218" s="165"/>
      <c r="Q218" s="165"/>
      <c r="R218" s="165"/>
      <c r="S218" s="165" t="s">
        <v>3902</v>
      </c>
      <c r="T218" s="165"/>
      <c r="U218" s="165"/>
      <c r="V218" s="165"/>
      <c r="W218" s="165"/>
      <c r="X218" s="165" t="s">
        <v>2428</v>
      </c>
      <c r="Y218">
        <v>2</v>
      </c>
      <c r="Z218" s="165" t="s">
        <v>3903</v>
      </c>
      <c r="AA218" s="165" t="s">
        <v>3811</v>
      </c>
      <c r="AB218" s="165" t="s">
        <v>3810</v>
      </c>
      <c r="AC218" s="165" t="s">
        <v>3809</v>
      </c>
      <c r="AD218" s="165" t="s">
        <v>4399</v>
      </c>
      <c r="AE218">
        <v>91</v>
      </c>
      <c r="AF218" s="165" t="s">
        <v>4400</v>
      </c>
      <c r="AG218">
        <v>42</v>
      </c>
      <c r="AH218">
        <v>33</v>
      </c>
      <c r="AI218">
        <v>45</v>
      </c>
      <c r="AJ218">
        <v>36</v>
      </c>
      <c r="AK218" s="165" t="s">
        <v>4401</v>
      </c>
      <c r="AN218">
        <v>2</v>
      </c>
      <c r="AO218">
        <v>4</v>
      </c>
      <c r="AP218">
        <v>8</v>
      </c>
      <c r="AQ218" s="165" t="s">
        <v>3815</v>
      </c>
      <c r="AR218" t="s">
        <v>3956</v>
      </c>
      <c r="AS218" s="165" t="s">
        <v>30</v>
      </c>
      <c r="AT218" t="s">
        <v>5291</v>
      </c>
      <c r="AU218" t="s">
        <v>5291</v>
      </c>
    </row>
    <row r="219" spans="1:47" hidden="1" x14ac:dyDescent="0.25">
      <c r="A219" s="165" t="s">
        <v>1337</v>
      </c>
      <c r="B219" s="165" t="s">
        <v>3399</v>
      </c>
      <c r="C219" s="165" t="s">
        <v>23</v>
      </c>
      <c r="D219" s="165" t="s">
        <v>1338</v>
      </c>
      <c r="E219" s="165" t="s">
        <v>4402</v>
      </c>
      <c r="F219" s="165" t="s">
        <v>2183</v>
      </c>
      <c r="G219" s="165" t="s">
        <v>8</v>
      </c>
      <c r="H219" s="165" t="s">
        <v>263</v>
      </c>
      <c r="I219" s="165" t="s">
        <v>3820</v>
      </c>
      <c r="J219" s="165" t="s">
        <v>4082</v>
      </c>
      <c r="K219" s="165"/>
      <c r="L219" s="165"/>
      <c r="M219" s="165"/>
      <c r="N219" s="165" t="s">
        <v>3805</v>
      </c>
      <c r="O219" s="165"/>
      <c r="P219" s="165"/>
      <c r="Q219" s="165"/>
      <c r="R219" s="165"/>
      <c r="S219" s="165"/>
      <c r="T219" s="165" t="s">
        <v>3806</v>
      </c>
      <c r="U219" s="165" t="s">
        <v>3807</v>
      </c>
      <c r="V219" s="165"/>
      <c r="W219" s="165"/>
      <c r="X219" s="165"/>
      <c r="Y219">
        <v>3</v>
      </c>
      <c r="Z219" s="165" t="s">
        <v>3808</v>
      </c>
      <c r="AA219" s="165" t="s">
        <v>3809</v>
      </c>
      <c r="AB219" s="165" t="s">
        <v>3810</v>
      </c>
      <c r="AC219" s="165" t="s">
        <v>3811</v>
      </c>
      <c r="AD219" s="165" t="s">
        <v>4399</v>
      </c>
      <c r="AE219">
        <v>91</v>
      </c>
      <c r="AF219" s="165" t="s">
        <v>4400</v>
      </c>
      <c r="AG219">
        <v>42</v>
      </c>
      <c r="AH219">
        <v>33</v>
      </c>
      <c r="AI219">
        <v>45</v>
      </c>
      <c r="AJ219">
        <v>36</v>
      </c>
      <c r="AK219" s="165" t="s">
        <v>4401</v>
      </c>
      <c r="AN219">
        <v>2</v>
      </c>
      <c r="AO219">
        <v>4</v>
      </c>
      <c r="AP219">
        <v>8</v>
      </c>
      <c r="AQ219" s="165" t="s">
        <v>3815</v>
      </c>
      <c r="AR219" t="s">
        <v>3827</v>
      </c>
      <c r="AS219" s="165" t="s">
        <v>174</v>
      </c>
      <c r="AT219" t="s">
        <v>5291</v>
      </c>
      <c r="AU219" t="s">
        <v>5291</v>
      </c>
    </row>
    <row r="220" spans="1:47" hidden="1" x14ac:dyDescent="0.25">
      <c r="A220" s="165" t="s">
        <v>1339</v>
      </c>
      <c r="B220" s="165" t="s">
        <v>4403</v>
      </c>
      <c r="C220" s="165" t="s">
        <v>23</v>
      </c>
      <c r="D220" s="165" t="s">
        <v>1340</v>
      </c>
      <c r="E220" s="165" t="s">
        <v>4402</v>
      </c>
      <c r="F220" s="165" t="s">
        <v>2183</v>
      </c>
      <c r="G220" s="165" t="s">
        <v>8</v>
      </c>
      <c r="H220" s="165" t="s">
        <v>263</v>
      </c>
      <c r="I220" s="165" t="s">
        <v>3820</v>
      </c>
      <c r="J220" s="165" t="s">
        <v>4082</v>
      </c>
      <c r="K220" s="165"/>
      <c r="L220" s="165"/>
      <c r="M220" s="165"/>
      <c r="N220" s="165" t="s">
        <v>3805</v>
      </c>
      <c r="O220" s="165"/>
      <c r="P220" s="165"/>
      <c r="Q220" s="165"/>
      <c r="R220" s="165"/>
      <c r="S220" s="165"/>
      <c r="T220" s="165" t="s">
        <v>3806</v>
      </c>
      <c r="U220" s="165" t="s">
        <v>3807</v>
      </c>
      <c r="V220" s="165"/>
      <c r="W220" s="165"/>
      <c r="X220" s="165"/>
      <c r="Y220">
        <v>3</v>
      </c>
      <c r="Z220" s="165" t="s">
        <v>3808</v>
      </c>
      <c r="AA220" s="165" t="s">
        <v>3809</v>
      </c>
      <c r="AB220" s="165" t="s">
        <v>3810</v>
      </c>
      <c r="AC220" s="165" t="s">
        <v>3811</v>
      </c>
      <c r="AD220" s="165" t="s">
        <v>4399</v>
      </c>
      <c r="AE220">
        <v>91</v>
      </c>
      <c r="AF220" s="165" t="s">
        <v>4400</v>
      </c>
      <c r="AG220">
        <v>42</v>
      </c>
      <c r="AH220">
        <v>33</v>
      </c>
      <c r="AI220">
        <v>45</v>
      </c>
      <c r="AJ220">
        <v>36</v>
      </c>
      <c r="AK220" s="165" t="s">
        <v>4401</v>
      </c>
      <c r="AN220">
        <v>2</v>
      </c>
      <c r="AO220">
        <v>4</v>
      </c>
      <c r="AP220">
        <v>8</v>
      </c>
      <c r="AQ220" s="165" t="s">
        <v>3815</v>
      </c>
      <c r="AR220" t="s">
        <v>3998</v>
      </c>
      <c r="AS220" s="165" t="s">
        <v>174</v>
      </c>
      <c r="AT220" t="s">
        <v>5291</v>
      </c>
      <c r="AU220" t="s">
        <v>5291</v>
      </c>
    </row>
    <row r="221" spans="1:47" hidden="1" x14ac:dyDescent="0.25">
      <c r="A221" s="165" t="s">
        <v>1731</v>
      </c>
      <c r="B221" s="165" t="s">
        <v>4404</v>
      </c>
      <c r="C221" s="165" t="s">
        <v>23</v>
      </c>
      <c r="D221" s="165" t="s">
        <v>1732</v>
      </c>
      <c r="E221" s="165" t="s">
        <v>4405</v>
      </c>
      <c r="F221" s="165" t="s">
        <v>2183</v>
      </c>
      <c r="G221" s="165" t="s">
        <v>8</v>
      </c>
      <c r="H221" s="165" t="s">
        <v>263</v>
      </c>
      <c r="I221" s="165" t="s">
        <v>3820</v>
      </c>
      <c r="J221" s="165" t="s">
        <v>4082</v>
      </c>
      <c r="K221" s="165"/>
      <c r="L221" s="165"/>
      <c r="M221" s="165"/>
      <c r="N221" s="165" t="s">
        <v>3805</v>
      </c>
      <c r="O221" s="165"/>
      <c r="P221" s="165"/>
      <c r="Q221" s="165"/>
      <c r="R221" s="165"/>
      <c r="S221" s="165"/>
      <c r="T221" s="165" t="s">
        <v>3806</v>
      </c>
      <c r="U221" s="165" t="s">
        <v>3807</v>
      </c>
      <c r="V221" s="165"/>
      <c r="W221" s="165"/>
      <c r="X221" s="165"/>
      <c r="Y221">
        <v>3</v>
      </c>
      <c r="Z221" s="165" t="s">
        <v>3808</v>
      </c>
      <c r="AA221" s="165" t="s">
        <v>3809</v>
      </c>
      <c r="AB221" s="165" t="s">
        <v>3810</v>
      </c>
      <c r="AC221" s="165" t="s">
        <v>3811</v>
      </c>
      <c r="AD221" s="165" t="s">
        <v>4399</v>
      </c>
      <c r="AE221">
        <v>91</v>
      </c>
      <c r="AF221" s="165" t="s">
        <v>4400</v>
      </c>
      <c r="AG221">
        <v>42</v>
      </c>
      <c r="AH221">
        <v>33</v>
      </c>
      <c r="AI221">
        <v>45</v>
      </c>
      <c r="AJ221">
        <v>36</v>
      </c>
      <c r="AK221" s="165" t="s">
        <v>4401</v>
      </c>
      <c r="AN221">
        <v>2</v>
      </c>
      <c r="AO221">
        <v>4</v>
      </c>
      <c r="AP221">
        <v>8</v>
      </c>
      <c r="AQ221" s="165" t="s">
        <v>3815</v>
      </c>
      <c r="AR221" t="s">
        <v>4009</v>
      </c>
      <c r="AS221" s="165" t="s">
        <v>174</v>
      </c>
      <c r="AT221" t="s">
        <v>5291</v>
      </c>
      <c r="AU221" t="s">
        <v>5291</v>
      </c>
    </row>
    <row r="222" spans="1:47" hidden="1" x14ac:dyDescent="0.25">
      <c r="A222" s="165" t="s">
        <v>1757</v>
      </c>
      <c r="B222" s="165" t="s">
        <v>4406</v>
      </c>
      <c r="C222" s="165" t="s">
        <v>23</v>
      </c>
      <c r="D222" s="165" t="s">
        <v>1758</v>
      </c>
      <c r="E222" s="165" t="s">
        <v>4407</v>
      </c>
      <c r="F222" s="165" t="s">
        <v>9</v>
      </c>
      <c r="G222" s="165" t="s">
        <v>8</v>
      </c>
      <c r="H222" s="165" t="s">
        <v>2030</v>
      </c>
      <c r="I222" s="165" t="s">
        <v>3820</v>
      </c>
      <c r="J222" s="165" t="s">
        <v>4302</v>
      </c>
      <c r="K222" s="165"/>
      <c r="L222" s="165" t="s">
        <v>3820</v>
      </c>
      <c r="M222" s="165" t="s">
        <v>3803</v>
      </c>
      <c r="N222" s="165" t="s">
        <v>3805</v>
      </c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>
        <v>3</v>
      </c>
      <c r="Z222" s="165" t="s">
        <v>4408</v>
      </c>
      <c r="AA222" s="165" t="s">
        <v>3809</v>
      </c>
      <c r="AB222" s="165" t="s">
        <v>3811</v>
      </c>
      <c r="AC222" s="165" t="s">
        <v>3810</v>
      </c>
      <c r="AD222" s="165" t="s">
        <v>4409</v>
      </c>
      <c r="AE222">
        <v>69</v>
      </c>
      <c r="AF222" s="165" t="s">
        <v>4410</v>
      </c>
      <c r="AG222">
        <v>432</v>
      </c>
      <c r="AH222">
        <v>19</v>
      </c>
      <c r="AI222">
        <v>48.2</v>
      </c>
      <c r="AJ222">
        <v>24</v>
      </c>
      <c r="AK222" s="165" t="s">
        <v>4411</v>
      </c>
      <c r="AN222">
        <v>3</v>
      </c>
      <c r="AO222">
        <v>8</v>
      </c>
      <c r="AP222">
        <v>24</v>
      </c>
      <c r="AQ222" s="165" t="s">
        <v>3815</v>
      </c>
      <c r="AR222" t="s">
        <v>3830</v>
      </c>
      <c r="AS222" s="165" t="s">
        <v>3786</v>
      </c>
      <c r="AT222" t="s">
        <v>5291</v>
      </c>
      <c r="AU222" t="s">
        <v>5291</v>
      </c>
    </row>
    <row r="223" spans="1:47" hidden="1" x14ac:dyDescent="0.25">
      <c r="A223" s="165" t="s">
        <v>1059</v>
      </c>
      <c r="B223" s="165" t="s">
        <v>3338</v>
      </c>
      <c r="C223" s="165" t="s">
        <v>23</v>
      </c>
      <c r="D223" s="165" t="s">
        <v>1060</v>
      </c>
      <c r="E223" s="165" t="s">
        <v>4270</v>
      </c>
      <c r="F223" s="165" t="s">
        <v>9</v>
      </c>
      <c r="G223" s="165" t="s">
        <v>8</v>
      </c>
      <c r="H223" s="165" t="s">
        <v>2206</v>
      </c>
      <c r="I223" s="165" t="s">
        <v>3820</v>
      </c>
      <c r="J223" s="165" t="s">
        <v>3863</v>
      </c>
      <c r="K223" s="165"/>
      <c r="L223" s="165"/>
      <c r="M223" s="165"/>
      <c r="N223" s="165" t="s">
        <v>3805</v>
      </c>
      <c r="O223" s="165" t="s">
        <v>3864</v>
      </c>
      <c r="P223" s="165" t="s">
        <v>3865</v>
      </c>
      <c r="Q223" s="165"/>
      <c r="R223" s="165"/>
      <c r="S223" s="165"/>
      <c r="T223" s="165"/>
      <c r="U223" s="165" t="s">
        <v>3807</v>
      </c>
      <c r="V223" s="165"/>
      <c r="W223" s="165"/>
      <c r="X223" s="165"/>
      <c r="Y223">
        <v>4</v>
      </c>
      <c r="Z223" s="165" t="s">
        <v>3866</v>
      </c>
      <c r="AA223" s="165" t="s">
        <v>3809</v>
      </c>
      <c r="AB223" s="165" t="s">
        <v>3810</v>
      </c>
      <c r="AC223" s="165" t="s">
        <v>3811</v>
      </c>
      <c r="AD223" s="165" t="s">
        <v>4409</v>
      </c>
      <c r="AE223">
        <v>69</v>
      </c>
      <c r="AF223" s="165" t="s">
        <v>4410</v>
      </c>
      <c r="AG223">
        <v>432</v>
      </c>
      <c r="AH223">
        <v>19</v>
      </c>
      <c r="AI223">
        <v>48.2</v>
      </c>
      <c r="AJ223">
        <v>24</v>
      </c>
      <c r="AK223" s="165" t="s">
        <v>4411</v>
      </c>
      <c r="AN223">
        <v>3</v>
      </c>
      <c r="AO223">
        <v>8</v>
      </c>
      <c r="AP223">
        <v>24</v>
      </c>
      <c r="AQ223" s="165" t="s">
        <v>3815</v>
      </c>
      <c r="AR223" t="s">
        <v>3830</v>
      </c>
      <c r="AS223" s="165" t="s">
        <v>174</v>
      </c>
      <c r="AT223" t="s">
        <v>5291</v>
      </c>
      <c r="AU223" t="s">
        <v>5291</v>
      </c>
    </row>
    <row r="224" spans="1:47" hidden="1" x14ac:dyDescent="0.25">
      <c r="A224" s="165" t="s">
        <v>1707</v>
      </c>
      <c r="B224" s="165" t="s">
        <v>4412</v>
      </c>
      <c r="C224" s="165" t="s">
        <v>23</v>
      </c>
      <c r="D224" s="165" t="s">
        <v>1708</v>
      </c>
      <c r="E224" s="165" t="s">
        <v>4413</v>
      </c>
      <c r="F224" s="165" t="s">
        <v>4137</v>
      </c>
      <c r="G224" s="165" t="s">
        <v>8</v>
      </c>
      <c r="H224" s="165" t="s">
        <v>241</v>
      </c>
      <c r="I224" s="165" t="s">
        <v>3902</v>
      </c>
      <c r="J224" s="165" t="s">
        <v>4225</v>
      </c>
      <c r="K224" s="165"/>
      <c r="L224" s="165"/>
      <c r="M224" s="165"/>
      <c r="N224" s="165"/>
      <c r="O224" s="165"/>
      <c r="P224" s="165"/>
      <c r="Q224" s="165"/>
      <c r="R224" s="165"/>
      <c r="S224" s="165" t="s">
        <v>3902</v>
      </c>
      <c r="T224" s="165"/>
      <c r="U224" s="165"/>
      <c r="V224" s="165"/>
      <c r="W224" s="165"/>
      <c r="X224" s="165" t="s">
        <v>2428</v>
      </c>
      <c r="Y224">
        <v>2</v>
      </c>
      <c r="Z224" s="165" t="s">
        <v>3903</v>
      </c>
      <c r="AA224" s="165" t="s">
        <v>3811</v>
      </c>
      <c r="AB224" s="165" t="s">
        <v>3810</v>
      </c>
      <c r="AC224" s="165" t="s">
        <v>3809</v>
      </c>
      <c r="AD224" s="165" t="s">
        <v>4414</v>
      </c>
      <c r="AE224">
        <v>9</v>
      </c>
      <c r="AF224" s="165" t="s">
        <v>4415</v>
      </c>
      <c r="AG224">
        <v>433</v>
      </c>
      <c r="AH224">
        <v>234</v>
      </c>
      <c r="AI224">
        <v>46.3</v>
      </c>
      <c r="AJ224">
        <v>26.4</v>
      </c>
      <c r="AK224" s="165" t="s">
        <v>4416</v>
      </c>
      <c r="AN224">
        <v>1</v>
      </c>
      <c r="AO224">
        <v>6</v>
      </c>
      <c r="AP224">
        <v>6</v>
      </c>
      <c r="AQ224" s="165" t="s">
        <v>3815</v>
      </c>
      <c r="AR224" t="s">
        <v>3816</v>
      </c>
      <c r="AS224" s="165" t="s">
        <v>30</v>
      </c>
      <c r="AT224" t="s">
        <v>5291</v>
      </c>
      <c r="AU224" t="s">
        <v>5291</v>
      </c>
    </row>
    <row r="225" spans="1:47" hidden="1" x14ac:dyDescent="0.25">
      <c r="A225" s="165" t="s">
        <v>855</v>
      </c>
      <c r="B225" s="165" t="s">
        <v>3454</v>
      </c>
      <c r="C225" s="165" t="s">
        <v>23</v>
      </c>
      <c r="D225" s="165" t="s">
        <v>856</v>
      </c>
      <c r="E225" s="165" t="s">
        <v>4417</v>
      </c>
      <c r="F225" s="165" t="s">
        <v>4137</v>
      </c>
      <c r="G225" s="165" t="s">
        <v>8</v>
      </c>
      <c r="H225" s="165" t="s">
        <v>241</v>
      </c>
      <c r="I225" s="165" t="s">
        <v>3902</v>
      </c>
      <c r="J225" s="165" t="s">
        <v>4225</v>
      </c>
      <c r="K225" s="165"/>
      <c r="L225" s="165"/>
      <c r="M225" s="165"/>
      <c r="N225" s="165"/>
      <c r="O225" s="165"/>
      <c r="P225" s="165"/>
      <c r="Q225" s="165"/>
      <c r="R225" s="165"/>
      <c r="S225" s="165" t="s">
        <v>3902</v>
      </c>
      <c r="T225" s="165"/>
      <c r="U225" s="165"/>
      <c r="V225" s="165"/>
      <c r="W225" s="165"/>
      <c r="X225" s="165" t="s">
        <v>2428</v>
      </c>
      <c r="Y225">
        <v>2</v>
      </c>
      <c r="Z225" s="165" t="s">
        <v>3903</v>
      </c>
      <c r="AA225" s="165" t="s">
        <v>3811</v>
      </c>
      <c r="AB225" s="165" t="s">
        <v>3810</v>
      </c>
      <c r="AC225" s="165" t="s">
        <v>3809</v>
      </c>
      <c r="AD225" s="165" t="s">
        <v>4414</v>
      </c>
      <c r="AE225">
        <v>9</v>
      </c>
      <c r="AF225" s="165" t="s">
        <v>4418</v>
      </c>
      <c r="AG225">
        <v>433</v>
      </c>
      <c r="AH225">
        <v>235</v>
      </c>
      <c r="AI225">
        <v>46.3</v>
      </c>
      <c r="AJ225">
        <v>26.5</v>
      </c>
      <c r="AK225" s="165" t="s">
        <v>4419</v>
      </c>
      <c r="AN225">
        <v>1</v>
      </c>
      <c r="AO225">
        <v>6</v>
      </c>
      <c r="AP225">
        <v>6</v>
      </c>
      <c r="AQ225" s="165" t="s">
        <v>3815</v>
      </c>
      <c r="AR225" t="s">
        <v>4009</v>
      </c>
      <c r="AS225" s="165" t="s">
        <v>30</v>
      </c>
      <c r="AT225" t="s">
        <v>5291</v>
      </c>
      <c r="AU225" t="s">
        <v>5291</v>
      </c>
    </row>
    <row r="226" spans="1:47" hidden="1" x14ac:dyDescent="0.25">
      <c r="A226" s="165" t="s">
        <v>863</v>
      </c>
      <c r="B226" s="165" t="s">
        <v>3453</v>
      </c>
      <c r="C226" s="165" t="s">
        <v>23</v>
      </c>
      <c r="D226" s="165" t="s">
        <v>864</v>
      </c>
      <c r="E226" s="165" t="s">
        <v>4420</v>
      </c>
      <c r="F226" s="165" t="s">
        <v>4137</v>
      </c>
      <c r="G226" s="165" t="s">
        <v>8</v>
      </c>
      <c r="H226" s="165" t="s">
        <v>241</v>
      </c>
      <c r="I226" s="165" t="s">
        <v>3902</v>
      </c>
      <c r="J226" s="165" t="s">
        <v>4225</v>
      </c>
      <c r="K226" s="165"/>
      <c r="L226" s="165"/>
      <c r="M226" s="165"/>
      <c r="N226" s="165"/>
      <c r="O226" s="165"/>
      <c r="P226" s="165"/>
      <c r="Q226" s="165"/>
      <c r="R226" s="165"/>
      <c r="S226" s="165" t="s">
        <v>3902</v>
      </c>
      <c r="T226" s="165"/>
      <c r="U226" s="165"/>
      <c r="V226" s="165"/>
      <c r="W226" s="165"/>
      <c r="X226" s="165" t="s">
        <v>2428</v>
      </c>
      <c r="Y226">
        <v>2</v>
      </c>
      <c r="Z226" s="165" t="s">
        <v>3903</v>
      </c>
      <c r="AA226" s="165" t="s">
        <v>3811</v>
      </c>
      <c r="AB226" s="165" t="s">
        <v>3810</v>
      </c>
      <c r="AC226" s="165" t="s">
        <v>3809</v>
      </c>
      <c r="AD226" s="165" t="s">
        <v>4414</v>
      </c>
      <c r="AE226">
        <v>9</v>
      </c>
      <c r="AF226" s="165" t="s">
        <v>4421</v>
      </c>
      <c r="AG226">
        <v>433</v>
      </c>
      <c r="AH226">
        <v>231</v>
      </c>
      <c r="AI226">
        <v>46.3</v>
      </c>
      <c r="AJ226">
        <v>26.1</v>
      </c>
      <c r="AK226" s="165" t="s">
        <v>4422</v>
      </c>
      <c r="AN226">
        <v>1</v>
      </c>
      <c r="AO226">
        <v>6</v>
      </c>
      <c r="AP226">
        <v>6</v>
      </c>
      <c r="AQ226" s="165" t="s">
        <v>3815</v>
      </c>
      <c r="AR226" t="s">
        <v>3930</v>
      </c>
      <c r="AS226" s="165" t="s">
        <v>30</v>
      </c>
      <c r="AT226" t="s">
        <v>5291</v>
      </c>
      <c r="AU226" t="s">
        <v>5291</v>
      </c>
    </row>
    <row r="227" spans="1:47" hidden="1" x14ac:dyDescent="0.25">
      <c r="A227" s="165" t="s">
        <v>1324</v>
      </c>
      <c r="B227" s="165" t="s">
        <v>5699</v>
      </c>
      <c r="C227" s="165" t="s">
        <v>23</v>
      </c>
      <c r="D227" s="165" t="s">
        <v>1325</v>
      </c>
      <c r="E227" s="165" t="s">
        <v>4423</v>
      </c>
      <c r="F227" s="165" t="s">
        <v>4137</v>
      </c>
      <c r="G227" s="165" t="s">
        <v>8</v>
      </c>
      <c r="H227" s="165" t="s">
        <v>241</v>
      </c>
      <c r="I227" s="165" t="s">
        <v>3902</v>
      </c>
      <c r="J227" s="165" t="s">
        <v>4225</v>
      </c>
      <c r="K227" s="165"/>
      <c r="L227" s="165"/>
      <c r="M227" s="165"/>
      <c r="N227" s="165"/>
      <c r="O227" s="165"/>
      <c r="P227" s="165"/>
      <c r="Q227" s="165"/>
      <c r="R227" s="165"/>
      <c r="S227" s="165" t="s">
        <v>3902</v>
      </c>
      <c r="T227" s="165"/>
      <c r="U227" s="165"/>
      <c r="V227" s="165"/>
      <c r="W227" s="165"/>
      <c r="X227" s="165" t="s">
        <v>2428</v>
      </c>
      <c r="Y227">
        <v>2</v>
      </c>
      <c r="Z227" s="165" t="s">
        <v>3903</v>
      </c>
      <c r="AA227" s="165" t="s">
        <v>3811</v>
      </c>
      <c r="AB227" s="165" t="s">
        <v>3810</v>
      </c>
      <c r="AC227" s="165" t="s">
        <v>3809</v>
      </c>
      <c r="AD227" s="165" t="s">
        <v>4414</v>
      </c>
      <c r="AE227">
        <v>9</v>
      </c>
      <c r="AF227" s="165" t="s">
        <v>4418</v>
      </c>
      <c r="AG227">
        <v>433</v>
      </c>
      <c r="AH227">
        <v>235</v>
      </c>
      <c r="AI227">
        <v>46.3</v>
      </c>
      <c r="AJ227">
        <v>26.5</v>
      </c>
      <c r="AK227" s="165" t="s">
        <v>4419</v>
      </c>
      <c r="AN227">
        <v>1</v>
      </c>
      <c r="AO227">
        <v>6</v>
      </c>
      <c r="AP227">
        <v>6</v>
      </c>
      <c r="AQ227" s="165" t="s">
        <v>3815</v>
      </c>
      <c r="AR227" t="s">
        <v>4173</v>
      </c>
      <c r="AS227" s="165" t="s">
        <v>30</v>
      </c>
      <c r="AT227" t="s">
        <v>5291</v>
      </c>
      <c r="AU227" t="s">
        <v>5291</v>
      </c>
    </row>
    <row r="228" spans="1:47" hidden="1" x14ac:dyDescent="0.25">
      <c r="A228" s="165" t="s">
        <v>1326</v>
      </c>
      <c r="B228" s="165" t="s">
        <v>5690</v>
      </c>
      <c r="C228" s="165" t="s">
        <v>23</v>
      </c>
      <c r="D228" s="165" t="s">
        <v>1327</v>
      </c>
      <c r="E228" s="165" t="s">
        <v>4423</v>
      </c>
      <c r="F228" s="165" t="s">
        <v>4137</v>
      </c>
      <c r="G228" s="165" t="s">
        <v>8</v>
      </c>
      <c r="H228" s="165" t="s">
        <v>241</v>
      </c>
      <c r="I228" s="165" t="s">
        <v>3902</v>
      </c>
      <c r="J228" s="165" t="s">
        <v>4225</v>
      </c>
      <c r="K228" s="165"/>
      <c r="L228" s="165"/>
      <c r="M228" s="165"/>
      <c r="N228" s="165"/>
      <c r="O228" s="165"/>
      <c r="P228" s="165"/>
      <c r="Q228" s="165"/>
      <c r="R228" s="165"/>
      <c r="S228" s="165" t="s">
        <v>3902</v>
      </c>
      <c r="T228" s="165"/>
      <c r="U228" s="165"/>
      <c r="V228" s="165"/>
      <c r="W228" s="165"/>
      <c r="X228" s="165" t="s">
        <v>2428</v>
      </c>
      <c r="Y228">
        <v>2</v>
      </c>
      <c r="Z228" s="165" t="s">
        <v>3903</v>
      </c>
      <c r="AA228" s="165" t="s">
        <v>3811</v>
      </c>
      <c r="AB228" s="165" t="s">
        <v>3810</v>
      </c>
      <c r="AC228" s="165" t="s">
        <v>3809</v>
      </c>
      <c r="AD228" s="165" t="s">
        <v>4414</v>
      </c>
      <c r="AE228">
        <v>9</v>
      </c>
      <c r="AF228" s="165" t="s">
        <v>4418</v>
      </c>
      <c r="AG228">
        <v>433</v>
      </c>
      <c r="AH228">
        <v>235</v>
      </c>
      <c r="AI228">
        <v>46.3</v>
      </c>
      <c r="AJ228">
        <v>26.5</v>
      </c>
      <c r="AK228" s="165" t="s">
        <v>4419</v>
      </c>
      <c r="AN228">
        <v>1</v>
      </c>
      <c r="AO228">
        <v>6</v>
      </c>
      <c r="AP228">
        <v>6</v>
      </c>
      <c r="AQ228" s="165" t="s">
        <v>3815</v>
      </c>
      <c r="AR228" t="s">
        <v>3816</v>
      </c>
      <c r="AS228" s="165" t="s">
        <v>30</v>
      </c>
      <c r="AT228" t="s">
        <v>5291</v>
      </c>
      <c r="AU228" t="s">
        <v>5291</v>
      </c>
    </row>
    <row r="229" spans="1:47" hidden="1" x14ac:dyDescent="0.25">
      <c r="A229" s="165" t="s">
        <v>859</v>
      </c>
      <c r="B229" s="165" t="s">
        <v>4424</v>
      </c>
      <c r="C229" s="165" t="s">
        <v>23</v>
      </c>
      <c r="D229" s="165" t="s">
        <v>860</v>
      </c>
      <c r="E229" s="165" t="s">
        <v>4425</v>
      </c>
      <c r="F229" s="165" t="s">
        <v>4137</v>
      </c>
      <c r="G229" s="165" t="s">
        <v>8</v>
      </c>
      <c r="H229" s="165" t="s">
        <v>263</v>
      </c>
      <c r="I229" s="165" t="s">
        <v>3902</v>
      </c>
      <c r="J229" s="165" t="s">
        <v>4138</v>
      </c>
      <c r="K229" s="165"/>
      <c r="L229" s="165"/>
      <c r="M229" s="165"/>
      <c r="N229" s="165" t="s">
        <v>3805</v>
      </c>
      <c r="O229" s="165"/>
      <c r="P229" s="165"/>
      <c r="Q229" s="165"/>
      <c r="R229" s="165"/>
      <c r="S229" s="165"/>
      <c r="T229" s="165" t="s">
        <v>3806</v>
      </c>
      <c r="U229" s="165" t="s">
        <v>3807</v>
      </c>
      <c r="V229" s="165"/>
      <c r="W229" s="165"/>
      <c r="X229" s="165"/>
      <c r="Y229">
        <v>3</v>
      </c>
      <c r="Z229" s="165" t="s">
        <v>3808</v>
      </c>
      <c r="AA229" s="165" t="s">
        <v>3810</v>
      </c>
      <c r="AB229" s="165" t="s">
        <v>3810</v>
      </c>
      <c r="AC229" s="165" t="s">
        <v>3811</v>
      </c>
      <c r="AD229" s="165" t="s">
        <v>4414</v>
      </c>
      <c r="AE229">
        <v>9</v>
      </c>
      <c r="AF229" s="165" t="s">
        <v>4418</v>
      </c>
      <c r="AG229">
        <v>433</v>
      </c>
      <c r="AH229">
        <v>235</v>
      </c>
      <c r="AI229">
        <v>46.3</v>
      </c>
      <c r="AJ229">
        <v>26.5</v>
      </c>
      <c r="AK229" s="165" t="s">
        <v>4419</v>
      </c>
      <c r="AN229">
        <v>1</v>
      </c>
      <c r="AO229">
        <v>6</v>
      </c>
      <c r="AP229">
        <v>6</v>
      </c>
      <c r="AQ229" s="165" t="s">
        <v>3815</v>
      </c>
      <c r="AR229" t="s">
        <v>4009</v>
      </c>
      <c r="AS229" s="165" t="s">
        <v>174</v>
      </c>
      <c r="AT229" t="s">
        <v>5291</v>
      </c>
      <c r="AU229" t="s">
        <v>5291</v>
      </c>
    </row>
    <row r="230" spans="1:47" hidden="1" x14ac:dyDescent="0.25">
      <c r="A230" s="165" t="s">
        <v>913</v>
      </c>
      <c r="B230" s="165" t="s">
        <v>4426</v>
      </c>
      <c r="C230" s="165" t="s">
        <v>23</v>
      </c>
      <c r="D230" s="165" t="s">
        <v>914</v>
      </c>
      <c r="E230" s="165" t="s">
        <v>4427</v>
      </c>
      <c r="F230" s="165" t="s">
        <v>4137</v>
      </c>
      <c r="G230" s="165" t="s">
        <v>8</v>
      </c>
      <c r="H230" s="165" t="s">
        <v>263</v>
      </c>
      <c r="I230" s="165" t="s">
        <v>3902</v>
      </c>
      <c r="J230" s="165" t="s">
        <v>4138</v>
      </c>
      <c r="K230" s="165"/>
      <c r="L230" s="165"/>
      <c r="M230" s="165"/>
      <c r="N230" s="165" t="s">
        <v>3805</v>
      </c>
      <c r="O230" s="165"/>
      <c r="P230" s="165"/>
      <c r="Q230" s="165"/>
      <c r="R230" s="165"/>
      <c r="S230" s="165"/>
      <c r="T230" s="165" t="s">
        <v>3806</v>
      </c>
      <c r="U230" s="165" t="s">
        <v>3807</v>
      </c>
      <c r="V230" s="165"/>
      <c r="W230" s="165"/>
      <c r="X230" s="165"/>
      <c r="Y230">
        <v>3</v>
      </c>
      <c r="Z230" s="165" t="s">
        <v>3808</v>
      </c>
      <c r="AA230" s="165" t="s">
        <v>3809</v>
      </c>
      <c r="AB230" s="165" t="s">
        <v>3810</v>
      </c>
      <c r="AC230" s="165" t="s">
        <v>3811</v>
      </c>
      <c r="AD230" s="165" t="s">
        <v>4414</v>
      </c>
      <c r="AE230">
        <v>9</v>
      </c>
      <c r="AF230" s="165" t="s">
        <v>4418</v>
      </c>
      <c r="AG230">
        <v>433</v>
      </c>
      <c r="AH230">
        <v>235</v>
      </c>
      <c r="AI230">
        <v>46.3</v>
      </c>
      <c r="AJ230">
        <v>26.5</v>
      </c>
      <c r="AK230" s="165" t="s">
        <v>4419</v>
      </c>
      <c r="AN230">
        <v>1</v>
      </c>
      <c r="AO230">
        <v>6</v>
      </c>
      <c r="AP230">
        <v>6</v>
      </c>
      <c r="AQ230" s="165" t="s">
        <v>3815</v>
      </c>
      <c r="AR230" t="s">
        <v>4173</v>
      </c>
      <c r="AS230" s="165" t="s">
        <v>174</v>
      </c>
      <c r="AT230" t="s">
        <v>5291</v>
      </c>
      <c r="AU230" t="s">
        <v>5291</v>
      </c>
    </row>
    <row r="231" spans="1:47" hidden="1" x14ac:dyDescent="0.25">
      <c r="A231" s="165" t="s">
        <v>915</v>
      </c>
      <c r="B231" s="165" t="s">
        <v>4428</v>
      </c>
      <c r="C231" s="165" t="s">
        <v>23</v>
      </c>
      <c r="D231" s="165" t="s">
        <v>916</v>
      </c>
      <c r="E231" s="165" t="s">
        <v>4427</v>
      </c>
      <c r="F231" s="165" t="s">
        <v>4137</v>
      </c>
      <c r="G231" s="165" t="s">
        <v>8</v>
      </c>
      <c r="H231" s="165" t="s">
        <v>263</v>
      </c>
      <c r="I231" s="165" t="s">
        <v>3902</v>
      </c>
      <c r="J231" s="165" t="s">
        <v>4138</v>
      </c>
      <c r="K231" s="165"/>
      <c r="L231" s="165"/>
      <c r="M231" s="165"/>
      <c r="N231" s="165" t="s">
        <v>3805</v>
      </c>
      <c r="O231" s="165"/>
      <c r="P231" s="165"/>
      <c r="Q231" s="165"/>
      <c r="R231" s="165"/>
      <c r="S231" s="165"/>
      <c r="T231" s="165" t="s">
        <v>3806</v>
      </c>
      <c r="U231" s="165" t="s">
        <v>3807</v>
      </c>
      <c r="V231" s="165"/>
      <c r="W231" s="165"/>
      <c r="X231" s="165"/>
      <c r="Y231">
        <v>3</v>
      </c>
      <c r="Z231" s="165" t="s">
        <v>3808</v>
      </c>
      <c r="AA231" s="165" t="s">
        <v>3809</v>
      </c>
      <c r="AB231" s="165" t="s">
        <v>3810</v>
      </c>
      <c r="AC231" s="165" t="s">
        <v>3811</v>
      </c>
      <c r="AD231" s="165" t="s">
        <v>4414</v>
      </c>
      <c r="AE231">
        <v>9</v>
      </c>
      <c r="AF231" s="165" t="s">
        <v>4421</v>
      </c>
      <c r="AG231">
        <v>433</v>
      </c>
      <c r="AH231">
        <v>231</v>
      </c>
      <c r="AI231">
        <v>46.3</v>
      </c>
      <c r="AJ231">
        <v>26.1</v>
      </c>
      <c r="AK231" s="165" t="s">
        <v>4422</v>
      </c>
      <c r="AN231">
        <v>1</v>
      </c>
      <c r="AO231">
        <v>6</v>
      </c>
      <c r="AP231">
        <v>6</v>
      </c>
      <c r="AQ231" s="165" t="s">
        <v>3815</v>
      </c>
      <c r="AR231" t="s">
        <v>4173</v>
      </c>
      <c r="AS231" s="165" t="s">
        <v>174</v>
      </c>
      <c r="AT231" t="s">
        <v>5291</v>
      </c>
      <c r="AU231" t="s">
        <v>5291</v>
      </c>
    </row>
    <row r="232" spans="1:47" hidden="1" x14ac:dyDescent="0.25">
      <c r="A232" s="165" t="s">
        <v>1164</v>
      </c>
      <c r="B232" s="165" t="s">
        <v>4429</v>
      </c>
      <c r="C232" s="165" t="s">
        <v>23</v>
      </c>
      <c r="D232" s="165" t="s">
        <v>1165</v>
      </c>
      <c r="E232" s="165" t="s">
        <v>4430</v>
      </c>
      <c r="F232" s="165" t="s">
        <v>4137</v>
      </c>
      <c r="G232" s="165" t="s">
        <v>8</v>
      </c>
      <c r="H232" s="165" t="s">
        <v>263</v>
      </c>
      <c r="I232" s="165" t="s">
        <v>3902</v>
      </c>
      <c r="J232" s="165" t="s">
        <v>4138</v>
      </c>
      <c r="K232" s="165"/>
      <c r="L232" s="165"/>
      <c r="M232" s="165"/>
      <c r="N232" s="165" t="s">
        <v>3805</v>
      </c>
      <c r="O232" s="165"/>
      <c r="P232" s="165"/>
      <c r="Q232" s="165"/>
      <c r="R232" s="165"/>
      <c r="S232" s="165"/>
      <c r="T232" s="165" t="s">
        <v>3806</v>
      </c>
      <c r="U232" s="165" t="s">
        <v>3807</v>
      </c>
      <c r="V232" s="165"/>
      <c r="W232" s="165"/>
      <c r="X232" s="165"/>
      <c r="Y232">
        <v>3</v>
      </c>
      <c r="Z232" s="165" t="s">
        <v>3808</v>
      </c>
      <c r="AA232" s="165" t="s">
        <v>3809</v>
      </c>
      <c r="AB232" s="165" t="s">
        <v>3810</v>
      </c>
      <c r="AC232" s="165" t="s">
        <v>3811</v>
      </c>
      <c r="AD232" s="165" t="s">
        <v>4414</v>
      </c>
      <c r="AE232">
        <v>9</v>
      </c>
      <c r="AF232" s="165" t="s">
        <v>4418</v>
      </c>
      <c r="AG232">
        <v>433</v>
      </c>
      <c r="AH232">
        <v>235</v>
      </c>
      <c r="AI232">
        <v>46.3</v>
      </c>
      <c r="AJ232">
        <v>26.5</v>
      </c>
      <c r="AK232" s="165" t="s">
        <v>4419</v>
      </c>
      <c r="AN232">
        <v>1</v>
      </c>
      <c r="AO232">
        <v>6</v>
      </c>
      <c r="AP232">
        <v>6</v>
      </c>
      <c r="AQ232" s="165" t="s">
        <v>3815</v>
      </c>
      <c r="AR232" t="s">
        <v>4009</v>
      </c>
      <c r="AS232" s="165" t="s">
        <v>174</v>
      </c>
      <c r="AT232" t="s">
        <v>5291</v>
      </c>
      <c r="AU232" t="s">
        <v>5291</v>
      </c>
    </row>
    <row r="233" spans="1:47" hidden="1" x14ac:dyDescent="0.25">
      <c r="A233" s="165" t="s">
        <v>961</v>
      </c>
      <c r="B233" s="165" t="s">
        <v>3288</v>
      </c>
      <c r="C233" s="165" t="s">
        <v>23</v>
      </c>
      <c r="D233" s="165" t="s">
        <v>962</v>
      </c>
      <c r="E233" s="165" t="s">
        <v>4131</v>
      </c>
      <c r="F233" s="165" t="s">
        <v>3850</v>
      </c>
      <c r="G233" s="165" t="s">
        <v>8</v>
      </c>
      <c r="H233" s="165" t="s">
        <v>241</v>
      </c>
      <c r="I233" s="165" t="s">
        <v>3819</v>
      </c>
      <c r="J233" s="165" t="s">
        <v>4211</v>
      </c>
      <c r="K233" s="165"/>
      <c r="L233" s="165"/>
      <c r="M233" s="165"/>
      <c r="N233" s="165"/>
      <c r="O233" s="165"/>
      <c r="P233" s="165"/>
      <c r="Q233" s="165"/>
      <c r="R233" s="165"/>
      <c r="S233" s="165" t="s">
        <v>3902</v>
      </c>
      <c r="T233" s="165"/>
      <c r="U233" s="165"/>
      <c r="V233" s="165"/>
      <c r="W233" s="165"/>
      <c r="X233" s="165" t="s">
        <v>2428</v>
      </c>
      <c r="Y233">
        <v>2</v>
      </c>
      <c r="Z233" s="165" t="s">
        <v>3903</v>
      </c>
      <c r="AA233" s="165" t="s">
        <v>3811</v>
      </c>
      <c r="AB233" s="165" t="s">
        <v>3810</v>
      </c>
      <c r="AC233" s="165" t="s">
        <v>3809</v>
      </c>
      <c r="AD233" s="165" t="s">
        <v>4431</v>
      </c>
      <c r="AE233">
        <v>18</v>
      </c>
      <c r="AF233" s="165" t="s">
        <v>4432</v>
      </c>
      <c r="AG233">
        <v>433</v>
      </c>
      <c r="AH233">
        <v>347</v>
      </c>
      <c r="AI233">
        <v>46.3</v>
      </c>
      <c r="AJ233">
        <v>37.700000000000003</v>
      </c>
      <c r="AK233" s="165" t="s">
        <v>4433</v>
      </c>
      <c r="AN233">
        <v>1</v>
      </c>
      <c r="AO233">
        <v>4</v>
      </c>
      <c r="AP233">
        <v>4</v>
      </c>
      <c r="AQ233" s="165" t="s">
        <v>3815</v>
      </c>
      <c r="AR233" t="s">
        <v>3930</v>
      </c>
      <c r="AS233" s="165" t="s">
        <v>30</v>
      </c>
      <c r="AT233" t="s">
        <v>5291</v>
      </c>
      <c r="AU233" t="s">
        <v>5291</v>
      </c>
    </row>
    <row r="234" spans="1:47" hidden="1" x14ac:dyDescent="0.25">
      <c r="A234" s="165" t="s">
        <v>4434</v>
      </c>
      <c r="B234" s="165" t="s">
        <v>88</v>
      </c>
      <c r="C234" s="165" t="s">
        <v>23</v>
      </c>
      <c r="D234" s="165" t="s">
        <v>4435</v>
      </c>
      <c r="E234" s="165" t="s">
        <v>4390</v>
      </c>
      <c r="F234" s="165" t="s">
        <v>3850</v>
      </c>
      <c r="G234" s="165" t="s">
        <v>8</v>
      </c>
      <c r="H234" s="165" t="s">
        <v>241</v>
      </c>
      <c r="I234" s="165" t="s">
        <v>3819</v>
      </c>
      <c r="J234" s="165" t="s">
        <v>4211</v>
      </c>
      <c r="K234" s="165"/>
      <c r="L234" s="165"/>
      <c r="M234" s="165"/>
      <c r="N234" s="165"/>
      <c r="O234" s="165"/>
      <c r="P234" s="165"/>
      <c r="Q234" s="165"/>
      <c r="R234" s="165"/>
      <c r="S234" s="165" t="s">
        <v>3902</v>
      </c>
      <c r="T234" s="165"/>
      <c r="U234" s="165"/>
      <c r="V234" s="165"/>
      <c r="W234" s="165"/>
      <c r="X234" s="165" t="s">
        <v>2428</v>
      </c>
      <c r="Y234">
        <v>2</v>
      </c>
      <c r="Z234" s="165" t="s">
        <v>3903</v>
      </c>
      <c r="AA234" s="165" t="s">
        <v>3811</v>
      </c>
      <c r="AB234" s="165" t="s">
        <v>3810</v>
      </c>
      <c r="AC234" s="165" t="s">
        <v>3809</v>
      </c>
      <c r="AD234" s="165" t="s">
        <v>4431</v>
      </c>
      <c r="AE234">
        <v>18</v>
      </c>
      <c r="AF234" s="165" t="s">
        <v>4432</v>
      </c>
      <c r="AG234">
        <v>433</v>
      </c>
      <c r="AH234">
        <v>347</v>
      </c>
      <c r="AI234">
        <v>46.3</v>
      </c>
      <c r="AJ234">
        <v>37.700000000000003</v>
      </c>
      <c r="AK234" s="165" t="s">
        <v>4433</v>
      </c>
      <c r="AN234">
        <v>1</v>
      </c>
      <c r="AO234">
        <v>4</v>
      </c>
      <c r="AP234">
        <v>4</v>
      </c>
      <c r="AQ234" s="165" t="s">
        <v>3815</v>
      </c>
      <c r="AR234" t="s">
        <v>4092</v>
      </c>
      <c r="AS234" s="165" t="s">
        <v>30</v>
      </c>
      <c r="AT234" t="s">
        <v>5291</v>
      </c>
      <c r="AU234" t="s">
        <v>5291</v>
      </c>
    </row>
    <row r="235" spans="1:47" hidden="1" x14ac:dyDescent="0.25">
      <c r="A235" s="165" t="s">
        <v>749</v>
      </c>
      <c r="B235" s="165" t="s">
        <v>4436</v>
      </c>
      <c r="C235" s="165" t="s">
        <v>23</v>
      </c>
      <c r="D235" s="165" t="s">
        <v>750</v>
      </c>
      <c r="E235" s="165" t="s">
        <v>4437</v>
      </c>
      <c r="F235" s="165" t="s">
        <v>3850</v>
      </c>
      <c r="G235" s="165" t="s">
        <v>8</v>
      </c>
      <c r="H235" s="165" t="s">
        <v>263</v>
      </c>
      <c r="I235" s="165" t="s">
        <v>3819</v>
      </c>
      <c r="J235" s="165" t="s">
        <v>3851</v>
      </c>
      <c r="K235" s="165"/>
      <c r="L235" s="165"/>
      <c r="M235" s="165"/>
      <c r="N235" s="165" t="s">
        <v>3805</v>
      </c>
      <c r="O235" s="165"/>
      <c r="P235" s="165"/>
      <c r="Q235" s="165"/>
      <c r="R235" s="165"/>
      <c r="S235" s="165"/>
      <c r="T235" s="165" t="s">
        <v>3806</v>
      </c>
      <c r="U235" s="165" t="s">
        <v>3807</v>
      </c>
      <c r="V235" s="165"/>
      <c r="W235" s="165"/>
      <c r="X235" s="165"/>
      <c r="Y235">
        <v>3</v>
      </c>
      <c r="Z235" s="165" t="s">
        <v>3808</v>
      </c>
      <c r="AA235" s="165" t="s">
        <v>3809</v>
      </c>
      <c r="AB235" s="165" t="s">
        <v>3810</v>
      </c>
      <c r="AC235" s="165" t="s">
        <v>3811</v>
      </c>
      <c r="AD235" s="165" t="s">
        <v>4431</v>
      </c>
      <c r="AE235">
        <v>18</v>
      </c>
      <c r="AF235" s="165" t="s">
        <v>4432</v>
      </c>
      <c r="AG235">
        <v>433</v>
      </c>
      <c r="AH235">
        <v>347</v>
      </c>
      <c r="AI235">
        <v>46.3</v>
      </c>
      <c r="AJ235">
        <v>37.700000000000003</v>
      </c>
      <c r="AK235" s="165" t="s">
        <v>4433</v>
      </c>
      <c r="AN235">
        <v>1</v>
      </c>
      <c r="AO235">
        <v>4</v>
      </c>
      <c r="AP235">
        <v>4</v>
      </c>
      <c r="AQ235" s="165" t="s">
        <v>3815</v>
      </c>
      <c r="AS235" s="165" t="s">
        <v>174</v>
      </c>
      <c r="AT235" t="s">
        <v>5291</v>
      </c>
      <c r="AU235" t="s">
        <v>5291</v>
      </c>
    </row>
    <row r="236" spans="1:47" hidden="1" x14ac:dyDescent="0.25">
      <c r="A236" s="165" t="s">
        <v>751</v>
      </c>
      <c r="B236" s="165" t="s">
        <v>4438</v>
      </c>
      <c r="C236" s="165" t="s">
        <v>23</v>
      </c>
      <c r="D236" s="165" t="s">
        <v>752</v>
      </c>
      <c r="E236" s="165" t="s">
        <v>3849</v>
      </c>
      <c r="F236" s="165" t="s">
        <v>3850</v>
      </c>
      <c r="G236" s="165" t="s">
        <v>8</v>
      </c>
      <c r="H236" s="165" t="s">
        <v>263</v>
      </c>
      <c r="I236" s="165" t="s">
        <v>3819</v>
      </c>
      <c r="J236" s="165" t="s">
        <v>3851</v>
      </c>
      <c r="K236" s="165"/>
      <c r="L236" s="165"/>
      <c r="M236" s="165"/>
      <c r="N236" s="165" t="s">
        <v>3805</v>
      </c>
      <c r="O236" s="165"/>
      <c r="P236" s="165"/>
      <c r="Q236" s="165"/>
      <c r="R236" s="165"/>
      <c r="S236" s="165"/>
      <c r="T236" s="165" t="s">
        <v>3806</v>
      </c>
      <c r="U236" s="165" t="s">
        <v>3807</v>
      </c>
      <c r="V236" s="165"/>
      <c r="W236" s="165"/>
      <c r="X236" s="165"/>
      <c r="Y236">
        <v>3</v>
      </c>
      <c r="Z236" s="165" t="s">
        <v>3808</v>
      </c>
      <c r="AA236" s="165" t="s">
        <v>3809</v>
      </c>
      <c r="AB236" s="165" t="s">
        <v>3810</v>
      </c>
      <c r="AC236" s="165" t="s">
        <v>3811</v>
      </c>
      <c r="AD236" s="165" t="s">
        <v>4439</v>
      </c>
      <c r="AE236">
        <v>99</v>
      </c>
      <c r="AF236" s="165" t="s">
        <v>3853</v>
      </c>
      <c r="AG236">
        <v>518</v>
      </c>
      <c r="AH236">
        <v>39</v>
      </c>
      <c r="AI236">
        <v>54.8</v>
      </c>
      <c r="AJ236">
        <v>42</v>
      </c>
      <c r="AK236" s="165" t="s">
        <v>3854</v>
      </c>
      <c r="AN236">
        <v>1</v>
      </c>
      <c r="AO236">
        <v>2</v>
      </c>
      <c r="AP236">
        <v>2</v>
      </c>
      <c r="AQ236" s="165" t="s">
        <v>3815</v>
      </c>
      <c r="AR236" t="s">
        <v>3855</v>
      </c>
      <c r="AS236" s="165" t="s">
        <v>174</v>
      </c>
      <c r="AT236" t="s">
        <v>5291</v>
      </c>
      <c r="AU236" t="s">
        <v>5291</v>
      </c>
    </row>
    <row r="237" spans="1:47" hidden="1" x14ac:dyDescent="0.25">
      <c r="A237" s="165" t="s">
        <v>827</v>
      </c>
      <c r="B237" s="165" t="s">
        <v>3383</v>
      </c>
      <c r="C237" s="165" t="s">
        <v>23</v>
      </c>
      <c r="D237" s="165" t="s">
        <v>828</v>
      </c>
      <c r="E237" s="165" t="s">
        <v>3981</v>
      </c>
      <c r="F237" s="165" t="s">
        <v>181</v>
      </c>
      <c r="G237" s="165" t="s">
        <v>3878</v>
      </c>
      <c r="H237" s="165" t="s">
        <v>269</v>
      </c>
      <c r="I237" s="165" t="s">
        <v>2428</v>
      </c>
      <c r="J237" s="165" t="s">
        <v>3887</v>
      </c>
      <c r="K237" s="165" t="s">
        <v>3819</v>
      </c>
      <c r="L237" s="165" t="s">
        <v>3820</v>
      </c>
      <c r="M237" s="165" t="s">
        <v>3803</v>
      </c>
      <c r="N237" s="165" t="s">
        <v>3805</v>
      </c>
      <c r="O237" s="165"/>
      <c r="P237" s="165"/>
      <c r="Q237" s="165" t="s">
        <v>3888</v>
      </c>
      <c r="R237" s="165"/>
      <c r="S237" s="165"/>
      <c r="T237" s="165"/>
      <c r="U237" s="165" t="s">
        <v>3807</v>
      </c>
      <c r="V237" s="165"/>
      <c r="W237" s="165"/>
      <c r="X237" s="165"/>
      <c r="Y237">
        <v>6</v>
      </c>
      <c r="Z237" s="165" t="s">
        <v>3889</v>
      </c>
      <c r="AA237" s="165" t="s">
        <v>3809</v>
      </c>
      <c r="AB237" s="165" t="s">
        <v>3811</v>
      </c>
      <c r="AC237" s="165" t="s">
        <v>3810</v>
      </c>
      <c r="AD237" s="165" t="s">
        <v>3890</v>
      </c>
      <c r="AE237">
        <v>77</v>
      </c>
      <c r="AF237" s="165" t="s">
        <v>3891</v>
      </c>
      <c r="AG237">
        <v>435</v>
      </c>
      <c r="AH237">
        <v>222</v>
      </c>
      <c r="AI237">
        <v>46.5</v>
      </c>
      <c r="AJ237">
        <v>25.2</v>
      </c>
      <c r="AK237" s="165" t="s">
        <v>3892</v>
      </c>
      <c r="AL237">
        <v>50</v>
      </c>
      <c r="AM237">
        <v>26</v>
      </c>
      <c r="AN237">
        <v>2</v>
      </c>
      <c r="AO237">
        <v>6</v>
      </c>
      <c r="AP237">
        <v>12</v>
      </c>
      <c r="AQ237" s="165" t="s">
        <v>3815</v>
      </c>
      <c r="AR237" t="s">
        <v>3932</v>
      </c>
      <c r="AS237" s="165" t="s">
        <v>3786</v>
      </c>
      <c r="AT237" t="s">
        <v>5291</v>
      </c>
      <c r="AU237" t="s">
        <v>5291</v>
      </c>
    </row>
    <row r="238" spans="1:47" hidden="1" x14ac:dyDescent="0.25">
      <c r="A238" s="165" t="s">
        <v>975</v>
      </c>
      <c r="B238" s="165" t="s">
        <v>4440</v>
      </c>
      <c r="C238" s="165" t="s">
        <v>23</v>
      </c>
      <c r="D238" s="165" t="s">
        <v>976</v>
      </c>
      <c r="E238" s="165" t="s">
        <v>3987</v>
      </c>
      <c r="F238" s="165" t="s">
        <v>181</v>
      </c>
      <c r="G238" s="165" t="s">
        <v>3878</v>
      </c>
      <c r="H238" s="165" t="s">
        <v>269</v>
      </c>
      <c r="I238" s="165" t="s">
        <v>2428</v>
      </c>
      <c r="J238" s="165" t="s">
        <v>3887</v>
      </c>
      <c r="K238" s="165" t="s">
        <v>3819</v>
      </c>
      <c r="L238" s="165" t="s">
        <v>3820</v>
      </c>
      <c r="M238" s="165" t="s">
        <v>3803</v>
      </c>
      <c r="N238" s="165" t="s">
        <v>3805</v>
      </c>
      <c r="O238" s="165"/>
      <c r="P238" s="165"/>
      <c r="Q238" s="165" t="s">
        <v>3888</v>
      </c>
      <c r="R238" s="165"/>
      <c r="S238" s="165"/>
      <c r="T238" s="165"/>
      <c r="U238" s="165" t="s">
        <v>3807</v>
      </c>
      <c r="V238" s="165"/>
      <c r="W238" s="165"/>
      <c r="X238" s="165"/>
      <c r="Y238">
        <v>6</v>
      </c>
      <c r="Z238" s="165" t="s">
        <v>3889</v>
      </c>
      <c r="AA238" s="165" t="s">
        <v>3809</v>
      </c>
      <c r="AB238" s="165" t="s">
        <v>3811</v>
      </c>
      <c r="AC238" s="165" t="s">
        <v>3810</v>
      </c>
      <c r="AD238" s="165" t="s">
        <v>3890</v>
      </c>
      <c r="AE238">
        <v>77</v>
      </c>
      <c r="AF238" s="165" t="s">
        <v>3891</v>
      </c>
      <c r="AG238">
        <v>435</v>
      </c>
      <c r="AH238">
        <v>222</v>
      </c>
      <c r="AI238">
        <v>46.5</v>
      </c>
      <c r="AJ238">
        <v>25.2</v>
      </c>
      <c r="AK238" s="165" t="s">
        <v>3892</v>
      </c>
      <c r="AL238">
        <v>50</v>
      </c>
      <c r="AM238">
        <v>26</v>
      </c>
      <c r="AN238">
        <v>2</v>
      </c>
      <c r="AO238">
        <v>6</v>
      </c>
      <c r="AP238">
        <v>12</v>
      </c>
      <c r="AQ238" s="165" t="s">
        <v>3815</v>
      </c>
      <c r="AR238" t="s">
        <v>4009</v>
      </c>
      <c r="AS238" s="165" t="s">
        <v>3786</v>
      </c>
      <c r="AT238" t="s">
        <v>5291</v>
      </c>
      <c r="AU238" t="s">
        <v>5291</v>
      </c>
    </row>
    <row r="239" spans="1:47" hidden="1" x14ac:dyDescent="0.25">
      <c r="A239" s="165" t="s">
        <v>977</v>
      </c>
      <c r="B239" s="165" t="s">
        <v>4441</v>
      </c>
      <c r="C239" s="165" t="s">
        <v>23</v>
      </c>
      <c r="D239" s="165" t="s">
        <v>978</v>
      </c>
      <c r="E239" s="165" t="s">
        <v>3989</v>
      </c>
      <c r="F239" s="165" t="s">
        <v>181</v>
      </c>
      <c r="G239" s="165" t="s">
        <v>3878</v>
      </c>
      <c r="H239" s="165" t="s">
        <v>269</v>
      </c>
      <c r="I239" s="165" t="s">
        <v>2428</v>
      </c>
      <c r="J239" s="165" t="s">
        <v>3887</v>
      </c>
      <c r="K239" s="165" t="s">
        <v>3819</v>
      </c>
      <c r="L239" s="165" t="s">
        <v>3820</v>
      </c>
      <c r="M239" s="165" t="s">
        <v>3803</v>
      </c>
      <c r="N239" s="165" t="s">
        <v>3805</v>
      </c>
      <c r="O239" s="165"/>
      <c r="P239" s="165"/>
      <c r="Q239" s="165" t="s">
        <v>3888</v>
      </c>
      <c r="R239" s="165"/>
      <c r="S239" s="165"/>
      <c r="T239" s="165"/>
      <c r="U239" s="165" t="s">
        <v>3807</v>
      </c>
      <c r="V239" s="165"/>
      <c r="W239" s="165"/>
      <c r="X239" s="165"/>
      <c r="Y239">
        <v>6</v>
      </c>
      <c r="Z239" s="165" t="s">
        <v>3889</v>
      </c>
      <c r="AA239" s="165" t="s">
        <v>3809</v>
      </c>
      <c r="AB239" s="165" t="s">
        <v>3811</v>
      </c>
      <c r="AC239" s="165" t="s">
        <v>3810</v>
      </c>
      <c r="AD239" s="165" t="s">
        <v>3890</v>
      </c>
      <c r="AE239">
        <v>77</v>
      </c>
      <c r="AF239" s="165" t="s">
        <v>3891</v>
      </c>
      <c r="AG239">
        <v>435</v>
      </c>
      <c r="AH239">
        <v>222</v>
      </c>
      <c r="AI239">
        <v>46.5</v>
      </c>
      <c r="AJ239">
        <v>25.2</v>
      </c>
      <c r="AK239" s="165" t="s">
        <v>3892</v>
      </c>
      <c r="AL239">
        <v>50</v>
      </c>
      <c r="AM239">
        <v>26</v>
      </c>
      <c r="AN239">
        <v>2</v>
      </c>
      <c r="AO239">
        <v>6</v>
      </c>
      <c r="AP239">
        <v>12</v>
      </c>
      <c r="AQ239" s="165" t="s">
        <v>3815</v>
      </c>
      <c r="AR239" t="s">
        <v>3909</v>
      </c>
      <c r="AS239" s="165" t="s">
        <v>3786</v>
      </c>
      <c r="AT239" t="s">
        <v>5291</v>
      </c>
      <c r="AU239" t="s">
        <v>5291</v>
      </c>
    </row>
    <row r="240" spans="1:47" hidden="1" x14ac:dyDescent="0.25">
      <c r="A240" s="165" t="s">
        <v>987</v>
      </c>
      <c r="B240" s="165" t="s">
        <v>3339</v>
      </c>
      <c r="C240" s="165" t="s">
        <v>23</v>
      </c>
      <c r="D240" s="165" t="s">
        <v>988</v>
      </c>
      <c r="E240" s="165" t="s">
        <v>3991</v>
      </c>
      <c r="F240" s="165" t="s">
        <v>181</v>
      </c>
      <c r="G240" s="165" t="s">
        <v>3878</v>
      </c>
      <c r="H240" s="165" t="s">
        <v>269</v>
      </c>
      <c r="I240" s="165" t="s">
        <v>2428</v>
      </c>
      <c r="J240" s="165" t="s">
        <v>3887</v>
      </c>
      <c r="K240" s="165" t="s">
        <v>3819</v>
      </c>
      <c r="L240" s="165" t="s">
        <v>3820</v>
      </c>
      <c r="M240" s="165" t="s">
        <v>3803</v>
      </c>
      <c r="N240" s="165" t="s">
        <v>3805</v>
      </c>
      <c r="O240" s="165"/>
      <c r="P240" s="165"/>
      <c r="Q240" s="165" t="s">
        <v>3888</v>
      </c>
      <c r="R240" s="165"/>
      <c r="S240" s="165"/>
      <c r="T240" s="165"/>
      <c r="U240" s="165" t="s">
        <v>3807</v>
      </c>
      <c r="V240" s="165"/>
      <c r="W240" s="165"/>
      <c r="X240" s="165"/>
      <c r="Y240">
        <v>6</v>
      </c>
      <c r="Z240" s="165" t="s">
        <v>3889</v>
      </c>
      <c r="AA240" s="165" t="s">
        <v>3809</v>
      </c>
      <c r="AB240" s="165" t="s">
        <v>3811</v>
      </c>
      <c r="AC240" s="165" t="s">
        <v>3810</v>
      </c>
      <c r="AD240" s="165" t="s">
        <v>3890</v>
      </c>
      <c r="AE240">
        <v>77</v>
      </c>
      <c r="AF240" s="165" t="s">
        <v>3891</v>
      </c>
      <c r="AG240">
        <v>435</v>
      </c>
      <c r="AH240">
        <v>222</v>
      </c>
      <c r="AI240">
        <v>46.5</v>
      </c>
      <c r="AJ240">
        <v>25.2</v>
      </c>
      <c r="AK240" s="165" t="s">
        <v>3892</v>
      </c>
      <c r="AL240">
        <v>50</v>
      </c>
      <c r="AM240">
        <v>26</v>
      </c>
      <c r="AN240">
        <v>2</v>
      </c>
      <c r="AO240">
        <v>6</v>
      </c>
      <c r="AP240">
        <v>12</v>
      </c>
      <c r="AQ240" s="165" t="s">
        <v>3815</v>
      </c>
      <c r="AR240" t="s">
        <v>3932</v>
      </c>
      <c r="AS240" s="165" t="s">
        <v>3786</v>
      </c>
      <c r="AT240" t="s">
        <v>5291</v>
      </c>
      <c r="AU240" t="s">
        <v>5291</v>
      </c>
    </row>
    <row r="241" spans="1:47" hidden="1" x14ac:dyDescent="0.25">
      <c r="A241" s="165" t="s">
        <v>999</v>
      </c>
      <c r="B241" s="165" t="s">
        <v>4442</v>
      </c>
      <c r="C241" s="165" t="s">
        <v>23</v>
      </c>
      <c r="D241" s="165" t="s">
        <v>1000</v>
      </c>
      <c r="E241" s="165" t="s">
        <v>3992</v>
      </c>
      <c r="F241" s="165" t="s">
        <v>181</v>
      </c>
      <c r="G241" s="165" t="s">
        <v>3878</v>
      </c>
      <c r="H241" s="165" t="s">
        <v>269</v>
      </c>
      <c r="I241" s="165" t="s">
        <v>2428</v>
      </c>
      <c r="J241" s="165" t="s">
        <v>3887</v>
      </c>
      <c r="K241" s="165" t="s">
        <v>3819</v>
      </c>
      <c r="L241" s="165" t="s">
        <v>3820</v>
      </c>
      <c r="M241" s="165" t="s">
        <v>3803</v>
      </c>
      <c r="N241" s="165" t="s">
        <v>3805</v>
      </c>
      <c r="O241" s="165"/>
      <c r="P241" s="165"/>
      <c r="Q241" s="165" t="s">
        <v>3888</v>
      </c>
      <c r="R241" s="165"/>
      <c r="S241" s="165"/>
      <c r="T241" s="165"/>
      <c r="U241" s="165" t="s">
        <v>3807</v>
      </c>
      <c r="V241" s="165"/>
      <c r="W241" s="165"/>
      <c r="X241" s="165"/>
      <c r="Y241">
        <v>6</v>
      </c>
      <c r="Z241" s="165" t="s">
        <v>3889</v>
      </c>
      <c r="AA241" s="165" t="s">
        <v>3809</v>
      </c>
      <c r="AB241" s="165" t="s">
        <v>3811</v>
      </c>
      <c r="AC241" s="165" t="s">
        <v>3810</v>
      </c>
      <c r="AD241" s="165" t="s">
        <v>3890</v>
      </c>
      <c r="AE241">
        <v>77</v>
      </c>
      <c r="AF241" s="165" t="s">
        <v>3891</v>
      </c>
      <c r="AG241">
        <v>435</v>
      </c>
      <c r="AH241">
        <v>222</v>
      </c>
      <c r="AI241">
        <v>46.5</v>
      </c>
      <c r="AJ241">
        <v>25.2</v>
      </c>
      <c r="AK241" s="165" t="s">
        <v>3892</v>
      </c>
      <c r="AL241">
        <v>50</v>
      </c>
      <c r="AM241">
        <v>26</v>
      </c>
      <c r="AN241">
        <v>2</v>
      </c>
      <c r="AO241">
        <v>6</v>
      </c>
      <c r="AP241">
        <v>12</v>
      </c>
      <c r="AQ241" s="165" t="s">
        <v>3815</v>
      </c>
      <c r="AR241" t="s">
        <v>3870</v>
      </c>
      <c r="AS241" s="165" t="s">
        <v>3786</v>
      </c>
      <c r="AT241" t="s">
        <v>5291</v>
      </c>
      <c r="AU241" t="s">
        <v>5291</v>
      </c>
    </row>
    <row r="242" spans="1:47" hidden="1" x14ac:dyDescent="0.25">
      <c r="A242" s="165" t="s">
        <v>1668</v>
      </c>
      <c r="B242" s="165" t="s">
        <v>4443</v>
      </c>
      <c r="C242" s="165" t="s">
        <v>23</v>
      </c>
      <c r="D242" s="165" t="s">
        <v>1669</v>
      </c>
      <c r="E242" s="165" t="s">
        <v>4270</v>
      </c>
      <c r="F242" s="165" t="s">
        <v>15</v>
      </c>
      <c r="G242" s="165" t="s">
        <v>3878</v>
      </c>
      <c r="H242" s="165" t="s">
        <v>269</v>
      </c>
      <c r="I242" s="165" t="s">
        <v>2428</v>
      </c>
      <c r="J242" s="165" t="s">
        <v>3887</v>
      </c>
      <c r="K242" s="165" t="s">
        <v>3819</v>
      </c>
      <c r="L242" s="165" t="s">
        <v>3820</v>
      </c>
      <c r="M242" s="165" t="s">
        <v>3803</v>
      </c>
      <c r="N242" s="165" t="s">
        <v>3805</v>
      </c>
      <c r="O242" s="165"/>
      <c r="P242" s="165"/>
      <c r="Q242" s="165" t="s">
        <v>3888</v>
      </c>
      <c r="R242" s="165"/>
      <c r="S242" s="165"/>
      <c r="T242" s="165"/>
      <c r="U242" s="165" t="s">
        <v>3807</v>
      </c>
      <c r="V242" s="165"/>
      <c r="W242" s="165"/>
      <c r="X242" s="165"/>
      <c r="Y242">
        <v>6</v>
      </c>
      <c r="Z242" s="165" t="s">
        <v>3889</v>
      </c>
      <c r="AA242" s="165" t="s">
        <v>3809</v>
      </c>
      <c r="AB242" s="165" t="s">
        <v>3811</v>
      </c>
      <c r="AC242" s="165" t="s">
        <v>3810</v>
      </c>
      <c r="AD242" s="165" t="s">
        <v>3890</v>
      </c>
      <c r="AE242">
        <v>77</v>
      </c>
      <c r="AF242" s="165" t="s">
        <v>3891</v>
      </c>
      <c r="AG242">
        <v>435</v>
      </c>
      <c r="AH242">
        <v>222</v>
      </c>
      <c r="AI242">
        <v>46.5</v>
      </c>
      <c r="AJ242">
        <v>25.2</v>
      </c>
      <c r="AK242" s="165" t="s">
        <v>3892</v>
      </c>
      <c r="AL242">
        <v>50</v>
      </c>
      <c r="AM242">
        <v>26</v>
      </c>
      <c r="AN242">
        <v>2</v>
      </c>
      <c r="AO242">
        <v>6</v>
      </c>
      <c r="AP242">
        <v>12</v>
      </c>
      <c r="AQ242" s="165" t="s">
        <v>3815</v>
      </c>
      <c r="AR242" t="s">
        <v>3884</v>
      </c>
      <c r="AS242" s="165" t="s">
        <v>3786</v>
      </c>
      <c r="AT242" t="s">
        <v>5291</v>
      </c>
      <c r="AU242" t="s">
        <v>5291</v>
      </c>
    </row>
    <row r="243" spans="1:47" hidden="1" x14ac:dyDescent="0.25">
      <c r="A243" s="165" t="s">
        <v>1670</v>
      </c>
      <c r="B243" s="165" t="s">
        <v>4444</v>
      </c>
      <c r="C243" s="165" t="s">
        <v>23</v>
      </c>
      <c r="D243" s="165" t="s">
        <v>1671</v>
      </c>
      <c r="E243" s="165" t="s">
        <v>3993</v>
      </c>
      <c r="F243" s="165" t="s">
        <v>181</v>
      </c>
      <c r="G243" s="165" t="s">
        <v>3878</v>
      </c>
      <c r="H243" s="165" t="s">
        <v>269</v>
      </c>
      <c r="I243" s="165" t="s">
        <v>2428</v>
      </c>
      <c r="J243" s="165" t="s">
        <v>3887</v>
      </c>
      <c r="K243" s="165" t="s">
        <v>3819</v>
      </c>
      <c r="L243" s="165" t="s">
        <v>3820</v>
      </c>
      <c r="M243" s="165" t="s">
        <v>3803</v>
      </c>
      <c r="N243" s="165" t="s">
        <v>3805</v>
      </c>
      <c r="O243" s="165"/>
      <c r="P243" s="165"/>
      <c r="Q243" s="165" t="s">
        <v>3888</v>
      </c>
      <c r="R243" s="165"/>
      <c r="S243" s="165"/>
      <c r="T243" s="165"/>
      <c r="U243" s="165" t="s">
        <v>3807</v>
      </c>
      <c r="V243" s="165"/>
      <c r="W243" s="165"/>
      <c r="X243" s="165"/>
      <c r="Y243">
        <v>6</v>
      </c>
      <c r="Z243" s="165" t="s">
        <v>3889</v>
      </c>
      <c r="AA243" s="165" t="s">
        <v>3809</v>
      </c>
      <c r="AB243" s="165" t="s">
        <v>3811</v>
      </c>
      <c r="AC243" s="165" t="s">
        <v>3810</v>
      </c>
      <c r="AD243" s="165" t="s">
        <v>3890</v>
      </c>
      <c r="AE243">
        <v>77</v>
      </c>
      <c r="AF243" s="165" t="s">
        <v>3891</v>
      </c>
      <c r="AG243">
        <v>435</v>
      </c>
      <c r="AH243">
        <v>222</v>
      </c>
      <c r="AI243">
        <v>46.5</v>
      </c>
      <c r="AJ243">
        <v>25.2</v>
      </c>
      <c r="AK243" s="165" t="s">
        <v>3892</v>
      </c>
      <c r="AL243">
        <v>50</v>
      </c>
      <c r="AM243">
        <v>26</v>
      </c>
      <c r="AN243">
        <v>2</v>
      </c>
      <c r="AO243">
        <v>6</v>
      </c>
      <c r="AP243">
        <v>12</v>
      </c>
      <c r="AQ243" s="165" t="s">
        <v>3815</v>
      </c>
      <c r="AR243" t="s">
        <v>3870</v>
      </c>
      <c r="AS243" s="165" t="s">
        <v>3786</v>
      </c>
      <c r="AT243" t="s">
        <v>5291</v>
      </c>
      <c r="AU243" t="s">
        <v>5291</v>
      </c>
    </row>
    <row r="244" spans="1:47" hidden="1" x14ac:dyDescent="0.25">
      <c r="A244" s="165" t="s">
        <v>1142</v>
      </c>
      <c r="B244" s="165" t="s">
        <v>4445</v>
      </c>
      <c r="C244" s="165" t="s">
        <v>23</v>
      </c>
      <c r="D244" s="165" t="s">
        <v>1143</v>
      </c>
      <c r="E244" s="165" t="s">
        <v>3977</v>
      </c>
      <c r="F244" s="165" t="s">
        <v>181</v>
      </c>
      <c r="G244" s="165" t="s">
        <v>3878</v>
      </c>
      <c r="H244" s="165" t="s">
        <v>269</v>
      </c>
      <c r="I244" s="165" t="s">
        <v>2428</v>
      </c>
      <c r="J244" s="165" t="s">
        <v>3887</v>
      </c>
      <c r="K244" s="165" t="s">
        <v>3819</v>
      </c>
      <c r="L244" s="165" t="s">
        <v>3820</v>
      </c>
      <c r="M244" s="165" t="s">
        <v>3803</v>
      </c>
      <c r="N244" s="165" t="s">
        <v>3805</v>
      </c>
      <c r="O244" s="165"/>
      <c r="P244" s="165"/>
      <c r="Q244" s="165" t="s">
        <v>3888</v>
      </c>
      <c r="R244" s="165"/>
      <c r="S244" s="165"/>
      <c r="T244" s="165"/>
      <c r="U244" s="165" t="s">
        <v>3807</v>
      </c>
      <c r="V244" s="165"/>
      <c r="W244" s="165"/>
      <c r="X244" s="165"/>
      <c r="Y244">
        <v>6</v>
      </c>
      <c r="Z244" s="165" t="s">
        <v>3889</v>
      </c>
      <c r="AA244" s="165" t="s">
        <v>3809</v>
      </c>
      <c r="AB244" s="165" t="s">
        <v>3811</v>
      </c>
      <c r="AC244" s="165" t="s">
        <v>3810</v>
      </c>
      <c r="AD244" s="165" t="s">
        <v>3890</v>
      </c>
      <c r="AE244">
        <v>77</v>
      </c>
      <c r="AF244" s="165" t="s">
        <v>3891</v>
      </c>
      <c r="AG244">
        <v>435</v>
      </c>
      <c r="AH244">
        <v>222</v>
      </c>
      <c r="AI244">
        <v>46.5</v>
      </c>
      <c r="AJ244">
        <v>25.2</v>
      </c>
      <c r="AK244" s="165" t="s">
        <v>3892</v>
      </c>
      <c r="AL244">
        <v>50</v>
      </c>
      <c r="AM244">
        <v>26</v>
      </c>
      <c r="AN244">
        <v>2</v>
      </c>
      <c r="AO244">
        <v>6</v>
      </c>
      <c r="AP244">
        <v>12</v>
      </c>
      <c r="AQ244" s="165" t="s">
        <v>3815</v>
      </c>
      <c r="AR244" t="s">
        <v>3870</v>
      </c>
      <c r="AS244" s="165" t="s">
        <v>3786</v>
      </c>
      <c r="AT244" t="s">
        <v>5291</v>
      </c>
      <c r="AU244" t="s">
        <v>5291</v>
      </c>
    </row>
    <row r="245" spans="1:47" hidden="1" x14ac:dyDescent="0.25">
      <c r="A245" s="165" t="s">
        <v>1266</v>
      </c>
      <c r="B245" s="165" t="s">
        <v>3314</v>
      </c>
      <c r="C245" s="165" t="s">
        <v>23</v>
      </c>
      <c r="D245" s="165" t="s">
        <v>1267</v>
      </c>
      <c r="E245" s="165" t="s">
        <v>3968</v>
      </c>
      <c r="F245" s="165" t="s">
        <v>181</v>
      </c>
      <c r="G245" s="165" t="s">
        <v>3878</v>
      </c>
      <c r="H245" s="165" t="s">
        <v>269</v>
      </c>
      <c r="I245" s="165" t="s">
        <v>2428</v>
      </c>
      <c r="J245" s="165" t="s">
        <v>3887</v>
      </c>
      <c r="K245" s="165" t="s">
        <v>3819</v>
      </c>
      <c r="L245" s="165" t="s">
        <v>3820</v>
      </c>
      <c r="M245" s="165" t="s">
        <v>3803</v>
      </c>
      <c r="N245" s="165" t="s">
        <v>3805</v>
      </c>
      <c r="O245" s="165"/>
      <c r="P245" s="165"/>
      <c r="Q245" s="165" t="s">
        <v>3888</v>
      </c>
      <c r="R245" s="165"/>
      <c r="S245" s="165"/>
      <c r="T245" s="165"/>
      <c r="U245" s="165" t="s">
        <v>3807</v>
      </c>
      <c r="V245" s="165"/>
      <c r="W245" s="165"/>
      <c r="X245" s="165"/>
      <c r="Y245">
        <v>6</v>
      </c>
      <c r="Z245" s="165" t="s">
        <v>3889</v>
      </c>
      <c r="AA245" s="165" t="s">
        <v>3809</v>
      </c>
      <c r="AB245" s="165" t="s">
        <v>3811</v>
      </c>
      <c r="AC245" s="165" t="s">
        <v>3810</v>
      </c>
      <c r="AD245" s="165" t="s">
        <v>3890</v>
      </c>
      <c r="AE245">
        <v>77</v>
      </c>
      <c r="AF245" s="165" t="s">
        <v>3891</v>
      </c>
      <c r="AG245">
        <v>435</v>
      </c>
      <c r="AH245">
        <v>222</v>
      </c>
      <c r="AI245">
        <v>46.5</v>
      </c>
      <c r="AJ245">
        <v>25.2</v>
      </c>
      <c r="AK245" s="165" t="s">
        <v>3892</v>
      </c>
      <c r="AL245">
        <v>50</v>
      </c>
      <c r="AM245">
        <v>26</v>
      </c>
      <c r="AN245">
        <v>2</v>
      </c>
      <c r="AO245">
        <v>6</v>
      </c>
      <c r="AP245">
        <v>12</v>
      </c>
      <c r="AQ245" s="165" t="s">
        <v>3815</v>
      </c>
      <c r="AR245" t="s">
        <v>3930</v>
      </c>
      <c r="AS245" s="165" t="s">
        <v>3786</v>
      </c>
      <c r="AT245" t="s">
        <v>5291</v>
      </c>
      <c r="AU245" t="s">
        <v>5291</v>
      </c>
    </row>
    <row r="246" spans="1:47" hidden="1" x14ac:dyDescent="0.25">
      <c r="A246" s="165" t="s">
        <v>1455</v>
      </c>
      <c r="B246" s="165" t="s">
        <v>4446</v>
      </c>
      <c r="C246" s="165" t="s">
        <v>23</v>
      </c>
      <c r="D246" s="165" t="s">
        <v>1456</v>
      </c>
      <c r="E246" s="165" t="s">
        <v>3997</v>
      </c>
      <c r="F246" s="165" t="s">
        <v>181</v>
      </c>
      <c r="G246" s="165" t="s">
        <v>3878</v>
      </c>
      <c r="H246" s="165" t="s">
        <v>269</v>
      </c>
      <c r="I246" s="165" t="s">
        <v>2428</v>
      </c>
      <c r="J246" s="165" t="s">
        <v>3887</v>
      </c>
      <c r="K246" s="165" t="s">
        <v>3819</v>
      </c>
      <c r="L246" s="165" t="s">
        <v>3820</v>
      </c>
      <c r="M246" s="165" t="s">
        <v>3803</v>
      </c>
      <c r="N246" s="165" t="s">
        <v>3805</v>
      </c>
      <c r="O246" s="165"/>
      <c r="P246" s="165"/>
      <c r="Q246" s="165" t="s">
        <v>3888</v>
      </c>
      <c r="R246" s="165"/>
      <c r="S246" s="165"/>
      <c r="T246" s="165"/>
      <c r="U246" s="165" t="s">
        <v>3807</v>
      </c>
      <c r="V246" s="165"/>
      <c r="W246" s="165"/>
      <c r="X246" s="165"/>
      <c r="Y246">
        <v>6</v>
      </c>
      <c r="Z246" s="165" t="s">
        <v>3889</v>
      </c>
      <c r="AA246" s="165" t="s">
        <v>3809</v>
      </c>
      <c r="AB246" s="165" t="s">
        <v>3811</v>
      </c>
      <c r="AC246" s="165" t="s">
        <v>3810</v>
      </c>
      <c r="AD246" s="165" t="s">
        <v>3890</v>
      </c>
      <c r="AE246">
        <v>77</v>
      </c>
      <c r="AF246" s="165" t="s">
        <v>3891</v>
      </c>
      <c r="AG246">
        <v>435</v>
      </c>
      <c r="AH246">
        <v>222</v>
      </c>
      <c r="AI246">
        <v>46.5</v>
      </c>
      <c r="AJ246">
        <v>25.2</v>
      </c>
      <c r="AK246" s="165" t="s">
        <v>3892</v>
      </c>
      <c r="AL246">
        <v>50</v>
      </c>
      <c r="AM246">
        <v>26</v>
      </c>
      <c r="AN246">
        <v>2</v>
      </c>
      <c r="AO246">
        <v>6</v>
      </c>
      <c r="AP246">
        <v>12</v>
      </c>
      <c r="AQ246" s="165" t="s">
        <v>3815</v>
      </c>
      <c r="AR246" t="s">
        <v>3830</v>
      </c>
      <c r="AS246" s="165" t="s">
        <v>3786</v>
      </c>
      <c r="AT246" t="s">
        <v>5291</v>
      </c>
      <c r="AU246" t="s">
        <v>5291</v>
      </c>
    </row>
    <row r="247" spans="1:47" hidden="1" x14ac:dyDescent="0.25">
      <c r="A247" s="165" t="s">
        <v>1440</v>
      </c>
      <c r="B247" s="165" t="s">
        <v>4447</v>
      </c>
      <c r="C247" s="165" t="s">
        <v>23</v>
      </c>
      <c r="D247" s="165" t="s">
        <v>1441</v>
      </c>
      <c r="E247" s="165" t="s">
        <v>4448</v>
      </c>
      <c r="F247" s="165" t="s">
        <v>11</v>
      </c>
      <c r="G247" s="165" t="s">
        <v>8</v>
      </c>
      <c r="H247" s="165" t="s">
        <v>241</v>
      </c>
      <c r="I247" s="165" t="s">
        <v>3803</v>
      </c>
      <c r="J247" s="165" t="s">
        <v>4011</v>
      </c>
      <c r="K247" s="165"/>
      <c r="L247" s="165"/>
      <c r="M247" s="165"/>
      <c r="N247" s="165"/>
      <c r="O247" s="165"/>
      <c r="P247" s="165"/>
      <c r="Q247" s="165"/>
      <c r="R247" s="165"/>
      <c r="S247" s="165" t="s">
        <v>3902</v>
      </c>
      <c r="T247" s="165"/>
      <c r="U247" s="165"/>
      <c r="V247" s="165"/>
      <c r="W247" s="165"/>
      <c r="X247" s="165" t="s">
        <v>2428</v>
      </c>
      <c r="Y247">
        <v>2</v>
      </c>
      <c r="Z247" s="165" t="s">
        <v>3903</v>
      </c>
      <c r="AA247" s="165" t="s">
        <v>3811</v>
      </c>
      <c r="AB247" s="165" t="s">
        <v>3810</v>
      </c>
      <c r="AC247" s="165" t="s">
        <v>3809</v>
      </c>
      <c r="AD247" s="165" t="s">
        <v>4449</v>
      </c>
      <c r="AE247">
        <v>102</v>
      </c>
      <c r="AF247" s="165" t="s">
        <v>4450</v>
      </c>
      <c r="AG247">
        <v>43</v>
      </c>
      <c r="AH247">
        <v>234</v>
      </c>
      <c r="AI247">
        <v>46</v>
      </c>
      <c r="AJ247">
        <v>26.4</v>
      </c>
      <c r="AK247" s="165" t="s">
        <v>4451</v>
      </c>
      <c r="AN247">
        <v>2</v>
      </c>
      <c r="AO247">
        <v>6</v>
      </c>
      <c r="AP247">
        <v>12</v>
      </c>
      <c r="AQ247" s="165" t="s">
        <v>3815</v>
      </c>
      <c r="AR247" t="s">
        <v>3994</v>
      </c>
      <c r="AS247" s="165" t="s">
        <v>30</v>
      </c>
      <c r="AT247" t="s">
        <v>5291</v>
      </c>
      <c r="AU247" t="s">
        <v>5291</v>
      </c>
    </row>
    <row r="248" spans="1:47" hidden="1" x14ac:dyDescent="0.25">
      <c r="A248" s="165" t="s">
        <v>1371</v>
      </c>
      <c r="B248" s="165" t="s">
        <v>4452</v>
      </c>
      <c r="C248" s="165" t="s">
        <v>2471</v>
      </c>
      <c r="D248" s="165" t="s">
        <v>1372</v>
      </c>
      <c r="E248" s="165" t="s">
        <v>4075</v>
      </c>
      <c r="F248" s="165" t="s">
        <v>4234</v>
      </c>
      <c r="G248" s="165" t="s">
        <v>3878</v>
      </c>
      <c r="H248" s="165" t="s">
        <v>251</v>
      </c>
      <c r="I248" s="165" t="s">
        <v>2428</v>
      </c>
      <c r="J248" s="165" t="s">
        <v>4360</v>
      </c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 t="s">
        <v>3807</v>
      </c>
      <c r="V248" s="165" t="s">
        <v>3821</v>
      </c>
      <c r="W248" s="165" t="s">
        <v>3822</v>
      </c>
      <c r="X248" s="165"/>
      <c r="Y248">
        <v>3</v>
      </c>
      <c r="Z248" s="165" t="s">
        <v>4367</v>
      </c>
      <c r="AA248" s="165" t="s">
        <v>3809</v>
      </c>
      <c r="AB248" s="165" t="s">
        <v>3810</v>
      </c>
      <c r="AC248" s="165" t="s">
        <v>3811</v>
      </c>
      <c r="AD248" s="165" t="s">
        <v>4453</v>
      </c>
      <c r="AE248">
        <v>64</v>
      </c>
      <c r="AF248" s="165" t="s">
        <v>4454</v>
      </c>
      <c r="AG248">
        <v>443</v>
      </c>
      <c r="AH248">
        <v>24</v>
      </c>
      <c r="AI248">
        <v>47.3</v>
      </c>
      <c r="AJ248">
        <v>27</v>
      </c>
      <c r="AK248" s="165" t="s">
        <v>4455</v>
      </c>
      <c r="AN248">
        <v>4</v>
      </c>
      <c r="AO248">
        <v>6</v>
      </c>
      <c r="AP248">
        <v>24</v>
      </c>
      <c r="AQ248" s="165" t="s">
        <v>3815</v>
      </c>
      <c r="AR248" t="s">
        <v>3930</v>
      </c>
      <c r="AS248" s="165" t="s">
        <v>174</v>
      </c>
      <c r="AT248" t="s">
        <v>5291</v>
      </c>
      <c r="AU248" t="s">
        <v>3809</v>
      </c>
    </row>
    <row r="249" spans="1:47" hidden="1" x14ac:dyDescent="0.25">
      <c r="A249" s="165" t="s">
        <v>1418</v>
      </c>
      <c r="B249" s="165" t="s">
        <v>3296</v>
      </c>
      <c r="C249" s="165" t="s">
        <v>2471</v>
      </c>
      <c r="D249" s="165" t="s">
        <v>1419</v>
      </c>
      <c r="E249" s="165" t="s">
        <v>4073</v>
      </c>
      <c r="F249" s="165" t="s">
        <v>4234</v>
      </c>
      <c r="G249" s="165" t="s">
        <v>3878</v>
      </c>
      <c r="H249" s="165" t="s">
        <v>251</v>
      </c>
      <c r="I249" s="165" t="s">
        <v>2428</v>
      </c>
      <c r="J249" s="165" t="s">
        <v>4360</v>
      </c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 t="s">
        <v>3807</v>
      </c>
      <c r="V249" s="165" t="s">
        <v>3821</v>
      </c>
      <c r="W249" s="165" t="s">
        <v>3822</v>
      </c>
      <c r="X249" s="165"/>
      <c r="Y249">
        <v>3</v>
      </c>
      <c r="Z249" s="165" t="s">
        <v>4367</v>
      </c>
      <c r="AA249" s="165" t="s">
        <v>3809</v>
      </c>
      <c r="AB249" s="165" t="s">
        <v>3810</v>
      </c>
      <c r="AC249" s="165" t="s">
        <v>3811</v>
      </c>
      <c r="AD249" s="165" t="s">
        <v>4453</v>
      </c>
      <c r="AE249">
        <v>64</v>
      </c>
      <c r="AF249" s="165" t="s">
        <v>4454</v>
      </c>
      <c r="AG249">
        <v>443</v>
      </c>
      <c r="AH249">
        <v>24</v>
      </c>
      <c r="AI249">
        <v>47.3</v>
      </c>
      <c r="AJ249">
        <v>27</v>
      </c>
      <c r="AK249" s="165" t="s">
        <v>4455</v>
      </c>
      <c r="AN249">
        <v>4</v>
      </c>
      <c r="AO249">
        <v>6</v>
      </c>
      <c r="AP249">
        <v>24</v>
      </c>
      <c r="AQ249" s="165" t="s">
        <v>3815</v>
      </c>
      <c r="AR249" t="s">
        <v>3930</v>
      </c>
      <c r="AS249" s="165" t="s">
        <v>174</v>
      </c>
      <c r="AT249" t="s">
        <v>5291</v>
      </c>
      <c r="AU249" t="s">
        <v>3809</v>
      </c>
    </row>
    <row r="250" spans="1:47" hidden="1" x14ac:dyDescent="0.25">
      <c r="A250" s="165" t="s">
        <v>1422</v>
      </c>
      <c r="B250" s="165" t="s">
        <v>4456</v>
      </c>
      <c r="C250" s="165" t="s">
        <v>2471</v>
      </c>
      <c r="D250" s="165" t="s">
        <v>1423</v>
      </c>
      <c r="E250" s="165" t="s">
        <v>2104</v>
      </c>
      <c r="F250" s="165" t="s">
        <v>4234</v>
      </c>
      <c r="G250" s="165" t="s">
        <v>3878</v>
      </c>
      <c r="H250" s="165" t="s">
        <v>251</v>
      </c>
      <c r="I250" s="165" t="s">
        <v>2428</v>
      </c>
      <c r="J250" s="165" t="s">
        <v>4360</v>
      </c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 t="s">
        <v>3807</v>
      </c>
      <c r="V250" s="165" t="s">
        <v>3821</v>
      </c>
      <c r="W250" s="165" t="s">
        <v>3822</v>
      </c>
      <c r="X250" s="165"/>
      <c r="Y250">
        <v>3</v>
      </c>
      <c r="Z250" s="165" t="s">
        <v>4367</v>
      </c>
      <c r="AA250" s="165" t="s">
        <v>3809</v>
      </c>
      <c r="AB250" s="165" t="s">
        <v>3810</v>
      </c>
      <c r="AC250" s="165" t="s">
        <v>3811</v>
      </c>
      <c r="AD250" s="165" t="s">
        <v>4453</v>
      </c>
      <c r="AE250">
        <v>66</v>
      </c>
      <c r="AF250" s="165" t="s">
        <v>4454</v>
      </c>
      <c r="AG250">
        <v>443</v>
      </c>
      <c r="AH250">
        <v>24</v>
      </c>
      <c r="AI250">
        <v>47.3</v>
      </c>
      <c r="AJ250">
        <v>27</v>
      </c>
      <c r="AK250" s="165" t="s">
        <v>4455</v>
      </c>
      <c r="AN250">
        <v>4</v>
      </c>
      <c r="AO250">
        <v>6</v>
      </c>
      <c r="AP250">
        <v>24</v>
      </c>
      <c r="AQ250" s="165" t="s">
        <v>3815</v>
      </c>
      <c r="AR250" t="s">
        <v>3860</v>
      </c>
      <c r="AS250" s="165" t="s">
        <v>174</v>
      </c>
      <c r="AT250" t="s">
        <v>5291</v>
      </c>
      <c r="AU250" t="s">
        <v>3809</v>
      </c>
    </row>
    <row r="251" spans="1:47" hidden="1" x14ac:dyDescent="0.25">
      <c r="A251" s="165" t="s">
        <v>1724</v>
      </c>
      <c r="B251" s="165" t="s">
        <v>4457</v>
      </c>
      <c r="C251" s="165" t="s">
        <v>2471</v>
      </c>
      <c r="D251" s="165" t="s">
        <v>1725</v>
      </c>
      <c r="E251" s="165" t="s">
        <v>3957</v>
      </c>
      <c r="F251" s="165" t="s">
        <v>4234</v>
      </c>
      <c r="G251" s="165" t="s">
        <v>3878</v>
      </c>
      <c r="H251" s="165" t="s">
        <v>251</v>
      </c>
      <c r="I251" s="165" t="s">
        <v>2428</v>
      </c>
      <c r="J251" s="165" t="s">
        <v>4360</v>
      </c>
      <c r="K251" s="165" t="s">
        <v>3819</v>
      </c>
      <c r="L251" s="165" t="s">
        <v>3820</v>
      </c>
      <c r="M251" s="165" t="s">
        <v>3803</v>
      </c>
      <c r="N251" s="165" t="s">
        <v>3805</v>
      </c>
      <c r="O251" s="165"/>
      <c r="P251" s="165"/>
      <c r="Q251" s="165"/>
      <c r="R251" s="165"/>
      <c r="S251" s="165"/>
      <c r="T251" s="165"/>
      <c r="U251" s="165" t="s">
        <v>3807</v>
      </c>
      <c r="V251" s="165" t="s">
        <v>3821</v>
      </c>
      <c r="W251" s="165" t="s">
        <v>3822</v>
      </c>
      <c r="X251" s="165"/>
      <c r="Y251">
        <v>7</v>
      </c>
      <c r="Z251" s="165" t="s">
        <v>3823</v>
      </c>
      <c r="AA251" s="165" t="s">
        <v>3809</v>
      </c>
      <c r="AB251" s="165" t="s">
        <v>3810</v>
      </c>
      <c r="AC251" s="165" t="s">
        <v>3811</v>
      </c>
      <c r="AD251" s="165" t="s">
        <v>4458</v>
      </c>
      <c r="AE251">
        <v>110</v>
      </c>
      <c r="AF251" s="165" t="s">
        <v>4454</v>
      </c>
      <c r="AG251">
        <v>443</v>
      </c>
      <c r="AH251">
        <v>24</v>
      </c>
      <c r="AI251">
        <v>47.3</v>
      </c>
      <c r="AJ251">
        <v>27</v>
      </c>
      <c r="AK251" s="165" t="s">
        <v>4455</v>
      </c>
      <c r="AN251">
        <v>4</v>
      </c>
      <c r="AO251">
        <v>6</v>
      </c>
      <c r="AP251">
        <v>24</v>
      </c>
      <c r="AQ251" s="165" t="s">
        <v>3815</v>
      </c>
      <c r="AR251" t="s">
        <v>3830</v>
      </c>
      <c r="AS251" s="165" t="s">
        <v>174</v>
      </c>
      <c r="AT251" t="s">
        <v>5291</v>
      </c>
      <c r="AU251" t="s">
        <v>3809</v>
      </c>
    </row>
    <row r="252" spans="1:47" hidden="1" x14ac:dyDescent="0.25">
      <c r="A252" s="165" t="s">
        <v>741</v>
      </c>
      <c r="B252" s="165" t="s">
        <v>3342</v>
      </c>
      <c r="C252" s="165" t="s">
        <v>23</v>
      </c>
      <c r="D252" s="165" t="s">
        <v>742</v>
      </c>
      <c r="E252" s="165" t="s">
        <v>4229</v>
      </c>
      <c r="F252" s="165" t="s">
        <v>3840</v>
      </c>
      <c r="G252" s="165" t="s">
        <v>8</v>
      </c>
      <c r="H252" s="165" t="s">
        <v>241</v>
      </c>
      <c r="I252" s="165" t="s">
        <v>3805</v>
      </c>
      <c r="J252" s="165" t="s">
        <v>4251</v>
      </c>
      <c r="K252" s="165"/>
      <c r="L252" s="165"/>
      <c r="M252" s="165"/>
      <c r="N252" s="165"/>
      <c r="O252" s="165"/>
      <c r="P252" s="165"/>
      <c r="Q252" s="165"/>
      <c r="R252" s="165"/>
      <c r="S252" s="165" t="s">
        <v>3902</v>
      </c>
      <c r="T252" s="165"/>
      <c r="U252" s="165"/>
      <c r="V252" s="165"/>
      <c r="W252" s="165"/>
      <c r="X252" s="165" t="s">
        <v>2428</v>
      </c>
      <c r="Y252">
        <v>2</v>
      </c>
      <c r="Z252" s="165" t="s">
        <v>3903</v>
      </c>
      <c r="AA252" s="165" t="s">
        <v>3811</v>
      </c>
      <c r="AB252" s="165" t="s">
        <v>3810</v>
      </c>
      <c r="AC252" s="165" t="s">
        <v>3809</v>
      </c>
      <c r="AD252" s="165" t="s">
        <v>4459</v>
      </c>
      <c r="AE252">
        <v>12</v>
      </c>
      <c r="AF252" s="165" t="s">
        <v>4460</v>
      </c>
      <c r="AG252">
        <v>445</v>
      </c>
      <c r="AH252">
        <v>23</v>
      </c>
      <c r="AI252">
        <v>49.5</v>
      </c>
      <c r="AJ252">
        <v>28</v>
      </c>
      <c r="AK252" s="165" t="s">
        <v>4461</v>
      </c>
      <c r="AN252">
        <v>6</v>
      </c>
      <c r="AO252">
        <v>6</v>
      </c>
      <c r="AP252">
        <v>36</v>
      </c>
      <c r="AQ252" s="165" t="s">
        <v>3815</v>
      </c>
      <c r="AR252" t="s">
        <v>3870</v>
      </c>
      <c r="AS252" s="165" t="s">
        <v>30</v>
      </c>
      <c r="AT252" t="s">
        <v>5291</v>
      </c>
      <c r="AU252" t="s">
        <v>5291</v>
      </c>
    </row>
    <row r="253" spans="1:47" hidden="1" x14ac:dyDescent="0.25">
      <c r="A253" s="165" t="s">
        <v>819</v>
      </c>
      <c r="B253" s="165" t="s">
        <v>4462</v>
      </c>
      <c r="C253" s="165" t="s">
        <v>23</v>
      </c>
      <c r="D253" s="165" t="s">
        <v>820</v>
      </c>
      <c r="E253" s="165" t="s">
        <v>4463</v>
      </c>
      <c r="F253" s="165" t="s">
        <v>186</v>
      </c>
      <c r="G253" s="165" t="s">
        <v>8</v>
      </c>
      <c r="H253" s="165" t="s">
        <v>241</v>
      </c>
      <c r="I253" s="165" t="s">
        <v>3805</v>
      </c>
      <c r="J253" s="165" t="s">
        <v>4251</v>
      </c>
      <c r="K253" s="165"/>
      <c r="L253" s="165"/>
      <c r="M253" s="165"/>
      <c r="N253" s="165"/>
      <c r="O253" s="165"/>
      <c r="P253" s="165"/>
      <c r="Q253" s="165"/>
      <c r="R253" s="165"/>
      <c r="S253" s="165" t="s">
        <v>3902</v>
      </c>
      <c r="T253" s="165"/>
      <c r="U253" s="165"/>
      <c r="V253" s="165"/>
      <c r="W253" s="165"/>
      <c r="X253" s="165" t="s">
        <v>2428</v>
      </c>
      <c r="Y253">
        <v>2</v>
      </c>
      <c r="Z253" s="165" t="s">
        <v>3903</v>
      </c>
      <c r="AA253" s="165" t="s">
        <v>3811</v>
      </c>
      <c r="AB253" s="165" t="s">
        <v>3810</v>
      </c>
      <c r="AC253" s="165" t="s">
        <v>3809</v>
      </c>
      <c r="AD253" s="165" t="s">
        <v>4459</v>
      </c>
      <c r="AE253">
        <v>12</v>
      </c>
      <c r="AF253" s="165" t="s">
        <v>4460</v>
      </c>
      <c r="AG253">
        <v>445</v>
      </c>
      <c r="AH253">
        <v>23</v>
      </c>
      <c r="AI253">
        <v>49.5</v>
      </c>
      <c r="AJ253">
        <v>28</v>
      </c>
      <c r="AK253" s="165" t="s">
        <v>4461</v>
      </c>
      <c r="AN253">
        <v>6</v>
      </c>
      <c r="AO253">
        <v>6</v>
      </c>
      <c r="AP253">
        <v>36</v>
      </c>
      <c r="AQ253" s="165" t="s">
        <v>3815</v>
      </c>
      <c r="AR253" t="s">
        <v>4464</v>
      </c>
      <c r="AS253" s="165" t="s">
        <v>30</v>
      </c>
      <c r="AT253" t="s">
        <v>5291</v>
      </c>
      <c r="AU253" t="s">
        <v>5291</v>
      </c>
    </row>
    <row r="254" spans="1:47" hidden="1" x14ac:dyDescent="0.25">
      <c r="A254" s="165" t="s">
        <v>1608</v>
      </c>
      <c r="B254" s="165" t="s">
        <v>4465</v>
      </c>
      <c r="C254" s="165" t="s">
        <v>23</v>
      </c>
      <c r="D254" s="165" t="s">
        <v>1609</v>
      </c>
      <c r="E254" s="165" t="s">
        <v>4466</v>
      </c>
      <c r="F254" s="165" t="s">
        <v>186</v>
      </c>
      <c r="G254" s="165" t="s">
        <v>3878</v>
      </c>
      <c r="H254" s="165" t="s">
        <v>2030</v>
      </c>
      <c r="I254" s="165" t="s">
        <v>3822</v>
      </c>
      <c r="J254" s="165" t="s">
        <v>4467</v>
      </c>
      <c r="K254" s="165" t="s">
        <v>3819</v>
      </c>
      <c r="L254" s="165" t="s">
        <v>3820</v>
      </c>
      <c r="M254" s="165" t="s">
        <v>3803</v>
      </c>
      <c r="N254" s="165" t="s">
        <v>3805</v>
      </c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>
        <v>4</v>
      </c>
      <c r="Z254" s="165" t="s">
        <v>3873</v>
      </c>
      <c r="AA254" s="165" t="s">
        <v>3809</v>
      </c>
      <c r="AB254" s="165" t="s">
        <v>3810</v>
      </c>
      <c r="AC254" s="165" t="s">
        <v>3811</v>
      </c>
      <c r="AD254" s="165" t="s">
        <v>4459</v>
      </c>
      <c r="AE254">
        <v>12</v>
      </c>
      <c r="AF254" s="165" t="s">
        <v>4460</v>
      </c>
      <c r="AG254">
        <v>445</v>
      </c>
      <c r="AH254">
        <v>23</v>
      </c>
      <c r="AI254">
        <v>49.5</v>
      </c>
      <c r="AJ254">
        <v>28</v>
      </c>
      <c r="AK254" s="165" t="s">
        <v>4461</v>
      </c>
      <c r="AN254">
        <v>6</v>
      </c>
      <c r="AO254">
        <v>6</v>
      </c>
      <c r="AP254">
        <v>36</v>
      </c>
      <c r="AQ254" s="165" t="s">
        <v>3815</v>
      </c>
      <c r="AR254" t="s">
        <v>4263</v>
      </c>
      <c r="AS254" s="165" t="s">
        <v>174</v>
      </c>
      <c r="AT254" t="s">
        <v>5291</v>
      </c>
      <c r="AU254" t="s">
        <v>5291</v>
      </c>
    </row>
    <row r="255" spans="1:47" hidden="1" x14ac:dyDescent="0.25">
      <c r="A255" s="165" t="s">
        <v>1065</v>
      </c>
      <c r="B255" s="165" t="s">
        <v>4468</v>
      </c>
      <c r="C255" s="165" t="s">
        <v>23</v>
      </c>
      <c r="D255" s="165" t="s">
        <v>1066</v>
      </c>
      <c r="E255" s="165" t="s">
        <v>4469</v>
      </c>
      <c r="F255" s="165" t="s">
        <v>3850</v>
      </c>
      <c r="G255" s="165" t="s">
        <v>8</v>
      </c>
      <c r="H255" s="165" t="s">
        <v>263</v>
      </c>
      <c r="I255" s="165" t="s">
        <v>3819</v>
      </c>
      <c r="J255" s="165" t="s">
        <v>3851</v>
      </c>
      <c r="K255" s="165"/>
      <c r="L255" s="165"/>
      <c r="M255" s="165"/>
      <c r="N255" s="165" t="s">
        <v>3805</v>
      </c>
      <c r="O255" s="165" t="s">
        <v>3864</v>
      </c>
      <c r="P255" s="165"/>
      <c r="Q255" s="165"/>
      <c r="R255" s="165"/>
      <c r="S255" s="165"/>
      <c r="T255" s="165"/>
      <c r="U255" s="165" t="s">
        <v>3807</v>
      </c>
      <c r="V255" s="165"/>
      <c r="W255" s="165"/>
      <c r="X255" s="165"/>
      <c r="Y255">
        <v>3</v>
      </c>
      <c r="Z255" s="165" t="s">
        <v>4470</v>
      </c>
      <c r="AA255" s="165" t="s">
        <v>3809</v>
      </c>
      <c r="AB255" s="165" t="s">
        <v>3810</v>
      </c>
      <c r="AC255" s="165" t="s">
        <v>3811</v>
      </c>
      <c r="AD255" s="165" t="s">
        <v>4459</v>
      </c>
      <c r="AE255">
        <v>12</v>
      </c>
      <c r="AF255" s="165" t="s">
        <v>4460</v>
      </c>
      <c r="AG255">
        <v>445</v>
      </c>
      <c r="AH255">
        <v>23</v>
      </c>
      <c r="AI255">
        <v>49.5</v>
      </c>
      <c r="AJ255">
        <v>28</v>
      </c>
      <c r="AK255" s="165" t="s">
        <v>4461</v>
      </c>
      <c r="AN255">
        <v>6</v>
      </c>
      <c r="AO255">
        <v>6</v>
      </c>
      <c r="AP255">
        <v>36</v>
      </c>
      <c r="AQ255" s="165" t="s">
        <v>3815</v>
      </c>
      <c r="AR255" t="s">
        <v>3830</v>
      </c>
      <c r="AS255" s="165" t="s">
        <v>174</v>
      </c>
      <c r="AT255" t="s">
        <v>5291</v>
      </c>
      <c r="AU255" t="s">
        <v>5291</v>
      </c>
    </row>
    <row r="256" spans="1:47" hidden="1" x14ac:dyDescent="0.25">
      <c r="A256" s="165" t="s">
        <v>897</v>
      </c>
      <c r="B256" s="165" t="s">
        <v>4471</v>
      </c>
      <c r="C256" s="165" t="s">
        <v>23</v>
      </c>
      <c r="D256" s="165" t="s">
        <v>898</v>
      </c>
      <c r="E256" s="165" t="s">
        <v>4264</v>
      </c>
      <c r="F256" s="165" t="s">
        <v>3840</v>
      </c>
      <c r="G256" s="165" t="s">
        <v>3878</v>
      </c>
      <c r="H256" s="165" t="s">
        <v>263</v>
      </c>
      <c r="I256" s="165" t="s">
        <v>3822</v>
      </c>
      <c r="J256" s="165" t="s">
        <v>4273</v>
      </c>
      <c r="K256" s="165"/>
      <c r="L256" s="165"/>
      <c r="M256" s="165"/>
      <c r="N256" s="165" t="s">
        <v>3805</v>
      </c>
      <c r="O256" s="165"/>
      <c r="P256" s="165"/>
      <c r="Q256" s="165"/>
      <c r="R256" s="165"/>
      <c r="S256" s="165"/>
      <c r="T256" s="165" t="s">
        <v>3806</v>
      </c>
      <c r="U256" s="165" t="s">
        <v>3807</v>
      </c>
      <c r="V256" s="165"/>
      <c r="W256" s="165"/>
      <c r="X256" s="165"/>
      <c r="Y256">
        <v>3</v>
      </c>
      <c r="Z256" s="165" t="s">
        <v>3808</v>
      </c>
      <c r="AA256" s="165" t="s">
        <v>3809</v>
      </c>
      <c r="AB256" s="165" t="s">
        <v>3810</v>
      </c>
      <c r="AC256" s="165" t="s">
        <v>3811</v>
      </c>
      <c r="AD256" s="165" t="s">
        <v>4459</v>
      </c>
      <c r="AE256">
        <v>12</v>
      </c>
      <c r="AF256" s="165" t="s">
        <v>4460</v>
      </c>
      <c r="AG256">
        <v>445</v>
      </c>
      <c r="AH256">
        <v>23</v>
      </c>
      <c r="AI256">
        <v>49.5</v>
      </c>
      <c r="AJ256">
        <v>28</v>
      </c>
      <c r="AK256" s="165" t="s">
        <v>4461</v>
      </c>
      <c r="AN256">
        <v>6</v>
      </c>
      <c r="AO256">
        <v>6</v>
      </c>
      <c r="AP256">
        <v>36</v>
      </c>
      <c r="AQ256" s="165" t="s">
        <v>3815</v>
      </c>
      <c r="AR256" t="s">
        <v>3860</v>
      </c>
      <c r="AS256" s="165" t="s">
        <v>174</v>
      </c>
      <c r="AT256" t="s">
        <v>5291</v>
      </c>
      <c r="AU256" t="s">
        <v>5291</v>
      </c>
    </row>
    <row r="257" spans="1:47" hidden="1" x14ac:dyDescent="0.25">
      <c r="A257" s="165" t="s">
        <v>905</v>
      </c>
      <c r="B257" s="165" t="s">
        <v>4472</v>
      </c>
      <c r="C257" s="165" t="s">
        <v>23</v>
      </c>
      <c r="D257" s="165" t="s">
        <v>906</v>
      </c>
      <c r="E257" s="165" t="s">
        <v>3957</v>
      </c>
      <c r="F257" s="165" t="s">
        <v>3840</v>
      </c>
      <c r="G257" s="165" t="s">
        <v>3878</v>
      </c>
      <c r="H257" s="165" t="s">
        <v>263</v>
      </c>
      <c r="I257" s="165" t="s">
        <v>3822</v>
      </c>
      <c r="J257" s="165" t="s">
        <v>4273</v>
      </c>
      <c r="K257" s="165"/>
      <c r="L257" s="165"/>
      <c r="M257" s="165"/>
      <c r="N257" s="165"/>
      <c r="O257" s="165"/>
      <c r="P257" s="165"/>
      <c r="Q257" s="165"/>
      <c r="R257" s="165"/>
      <c r="S257" s="165"/>
      <c r="T257" s="165" t="s">
        <v>3806</v>
      </c>
      <c r="U257" s="165" t="s">
        <v>3807</v>
      </c>
      <c r="V257" s="165"/>
      <c r="W257" s="165"/>
      <c r="X257" s="165"/>
      <c r="Y257">
        <v>2</v>
      </c>
      <c r="Z257" s="165" t="s">
        <v>3880</v>
      </c>
      <c r="AA257" s="165" t="s">
        <v>3809</v>
      </c>
      <c r="AB257" s="165" t="s">
        <v>3810</v>
      </c>
      <c r="AC257" s="165" t="s">
        <v>3811</v>
      </c>
      <c r="AD257" s="165" t="s">
        <v>4459</v>
      </c>
      <c r="AE257">
        <v>12</v>
      </c>
      <c r="AF257" s="165" t="s">
        <v>4460</v>
      </c>
      <c r="AG257">
        <v>445</v>
      </c>
      <c r="AH257">
        <v>23</v>
      </c>
      <c r="AI257">
        <v>49.5</v>
      </c>
      <c r="AJ257">
        <v>28</v>
      </c>
      <c r="AK257" s="165" t="s">
        <v>4461</v>
      </c>
      <c r="AN257">
        <v>6</v>
      </c>
      <c r="AO257">
        <v>6</v>
      </c>
      <c r="AP257">
        <v>36</v>
      </c>
      <c r="AQ257" s="165" t="s">
        <v>3815</v>
      </c>
      <c r="AR257" t="s">
        <v>4268</v>
      </c>
      <c r="AS257" s="165" t="s">
        <v>174</v>
      </c>
      <c r="AT257" t="s">
        <v>5291</v>
      </c>
      <c r="AU257" t="s">
        <v>5291</v>
      </c>
    </row>
    <row r="258" spans="1:47" hidden="1" x14ac:dyDescent="0.25">
      <c r="A258" s="165" t="s">
        <v>4473</v>
      </c>
      <c r="B258" s="165" t="s">
        <v>4474</v>
      </c>
      <c r="C258" s="165" t="s">
        <v>23</v>
      </c>
      <c r="D258" s="165" t="s">
        <v>4475</v>
      </c>
      <c r="E258" s="165" t="s">
        <v>4476</v>
      </c>
      <c r="F258" s="165" t="s">
        <v>3850</v>
      </c>
      <c r="G258" s="165" t="s">
        <v>3878</v>
      </c>
      <c r="H258" s="165" t="s">
        <v>263</v>
      </c>
      <c r="I258" s="165" t="s">
        <v>3806</v>
      </c>
      <c r="J258" s="165" t="s">
        <v>4033</v>
      </c>
      <c r="K258" s="165"/>
      <c r="L258" s="165"/>
      <c r="M258" s="165"/>
      <c r="N258" s="165" t="s">
        <v>3805</v>
      </c>
      <c r="O258" s="165"/>
      <c r="P258" s="165"/>
      <c r="Q258" s="165"/>
      <c r="R258" s="165"/>
      <c r="S258" s="165"/>
      <c r="T258" s="165" t="s">
        <v>3806</v>
      </c>
      <c r="U258" s="165" t="s">
        <v>3807</v>
      </c>
      <c r="V258" s="165"/>
      <c r="W258" s="165"/>
      <c r="X258" s="165"/>
      <c r="Y258">
        <v>3</v>
      </c>
      <c r="Z258" s="165" t="s">
        <v>3808</v>
      </c>
      <c r="AA258" s="165" t="s">
        <v>3809</v>
      </c>
      <c r="AB258" s="165" t="s">
        <v>3810</v>
      </c>
      <c r="AC258" s="165" t="s">
        <v>3811</v>
      </c>
      <c r="AD258" s="165" t="s">
        <v>4459</v>
      </c>
      <c r="AE258">
        <v>12</v>
      </c>
      <c r="AF258" s="165" t="s">
        <v>4460</v>
      </c>
      <c r="AG258">
        <v>445</v>
      </c>
      <c r="AH258">
        <v>23</v>
      </c>
      <c r="AI258">
        <v>49.5</v>
      </c>
      <c r="AJ258">
        <v>28</v>
      </c>
      <c r="AK258" s="165" t="s">
        <v>4461</v>
      </c>
      <c r="AN258">
        <v>6</v>
      </c>
      <c r="AO258">
        <v>6</v>
      </c>
      <c r="AP258">
        <v>36</v>
      </c>
      <c r="AQ258" s="165" t="s">
        <v>3815</v>
      </c>
      <c r="AR258" t="s">
        <v>4165</v>
      </c>
      <c r="AS258" s="165" t="s">
        <v>174</v>
      </c>
      <c r="AT258" t="s">
        <v>5291</v>
      </c>
      <c r="AU258" t="s">
        <v>5291</v>
      </c>
    </row>
    <row r="259" spans="1:47" hidden="1" x14ac:dyDescent="0.25">
      <c r="A259" s="165" t="s">
        <v>1037</v>
      </c>
      <c r="B259" s="165" t="s">
        <v>4477</v>
      </c>
      <c r="C259" s="165" t="s">
        <v>23</v>
      </c>
      <c r="D259" s="165" t="s">
        <v>1038</v>
      </c>
      <c r="E259" s="165" t="s">
        <v>4070</v>
      </c>
      <c r="F259" s="165" t="s">
        <v>3840</v>
      </c>
      <c r="G259" s="165" t="s">
        <v>3878</v>
      </c>
      <c r="H259" s="165" t="s">
        <v>263</v>
      </c>
      <c r="I259" s="165" t="s">
        <v>3822</v>
      </c>
      <c r="J259" s="165" t="s">
        <v>4273</v>
      </c>
      <c r="K259" s="165"/>
      <c r="L259" s="165"/>
      <c r="M259" s="165"/>
      <c r="N259" s="165" t="s">
        <v>3805</v>
      </c>
      <c r="O259" s="165"/>
      <c r="P259" s="165"/>
      <c r="Q259" s="165"/>
      <c r="R259" s="165"/>
      <c r="S259" s="165"/>
      <c r="T259" s="165" t="s">
        <v>3806</v>
      </c>
      <c r="U259" s="165" t="s">
        <v>3807</v>
      </c>
      <c r="V259" s="165"/>
      <c r="W259" s="165"/>
      <c r="X259" s="165"/>
      <c r="Y259">
        <v>3</v>
      </c>
      <c r="Z259" s="165" t="s">
        <v>3808</v>
      </c>
      <c r="AA259" s="165" t="s">
        <v>3809</v>
      </c>
      <c r="AB259" s="165" t="s">
        <v>3810</v>
      </c>
      <c r="AC259" s="165" t="s">
        <v>3811</v>
      </c>
      <c r="AD259" s="165" t="s">
        <v>4459</v>
      </c>
      <c r="AE259">
        <v>12</v>
      </c>
      <c r="AF259" s="165" t="s">
        <v>4460</v>
      </c>
      <c r="AG259">
        <v>445</v>
      </c>
      <c r="AH259">
        <v>23</v>
      </c>
      <c r="AI259">
        <v>49.5</v>
      </c>
      <c r="AJ259">
        <v>28</v>
      </c>
      <c r="AK259" s="165" t="s">
        <v>4461</v>
      </c>
      <c r="AN259">
        <v>6</v>
      </c>
      <c r="AO259">
        <v>6</v>
      </c>
      <c r="AP259">
        <v>36</v>
      </c>
      <c r="AQ259" s="165" t="s">
        <v>3815</v>
      </c>
      <c r="AR259" t="s">
        <v>3930</v>
      </c>
      <c r="AS259" s="165" t="s">
        <v>174</v>
      </c>
      <c r="AT259" t="s">
        <v>5291</v>
      </c>
      <c r="AU259" t="s">
        <v>5291</v>
      </c>
    </row>
    <row r="260" spans="1:47" hidden="1" x14ac:dyDescent="0.25">
      <c r="A260" s="165" t="s">
        <v>1063</v>
      </c>
      <c r="B260" s="165" t="s">
        <v>4478</v>
      </c>
      <c r="C260" s="165" t="s">
        <v>23</v>
      </c>
      <c r="D260" s="165" t="s">
        <v>1064</v>
      </c>
      <c r="E260" s="165" t="s">
        <v>4469</v>
      </c>
      <c r="F260" s="165" t="s">
        <v>3850</v>
      </c>
      <c r="G260" s="165" t="s">
        <v>3878</v>
      </c>
      <c r="H260" s="165" t="s">
        <v>263</v>
      </c>
      <c r="I260" s="165" t="s">
        <v>3806</v>
      </c>
      <c r="J260" s="165" t="s">
        <v>4033</v>
      </c>
      <c r="K260" s="165"/>
      <c r="L260" s="165"/>
      <c r="M260" s="165"/>
      <c r="N260" s="165" t="s">
        <v>3805</v>
      </c>
      <c r="O260" s="165" t="s">
        <v>3864</v>
      </c>
      <c r="P260" s="165"/>
      <c r="Q260" s="165"/>
      <c r="R260" s="165"/>
      <c r="S260" s="165"/>
      <c r="T260" s="165"/>
      <c r="U260" s="165" t="s">
        <v>3807</v>
      </c>
      <c r="V260" s="165"/>
      <c r="W260" s="165"/>
      <c r="X260" s="165"/>
      <c r="Y260">
        <v>3</v>
      </c>
      <c r="Z260" s="165" t="s">
        <v>4470</v>
      </c>
      <c r="AA260" s="165" t="s">
        <v>3809</v>
      </c>
      <c r="AB260" s="165" t="s">
        <v>3810</v>
      </c>
      <c r="AC260" s="165" t="s">
        <v>3811</v>
      </c>
      <c r="AD260" s="165" t="s">
        <v>4459</v>
      </c>
      <c r="AE260">
        <v>12</v>
      </c>
      <c r="AF260" s="165" t="s">
        <v>4460</v>
      </c>
      <c r="AG260">
        <v>445</v>
      </c>
      <c r="AH260">
        <v>23</v>
      </c>
      <c r="AI260">
        <v>49.5</v>
      </c>
      <c r="AJ260">
        <v>28</v>
      </c>
      <c r="AK260" s="165" t="s">
        <v>4461</v>
      </c>
      <c r="AN260">
        <v>6</v>
      </c>
      <c r="AO260">
        <v>6</v>
      </c>
      <c r="AP260">
        <v>36</v>
      </c>
      <c r="AQ260" s="165" t="s">
        <v>3815</v>
      </c>
      <c r="AR260" t="s">
        <v>3830</v>
      </c>
      <c r="AS260" s="165" t="s">
        <v>174</v>
      </c>
      <c r="AT260" t="s">
        <v>5291</v>
      </c>
      <c r="AU260" t="s">
        <v>5291</v>
      </c>
    </row>
    <row r="261" spans="1:47" hidden="1" x14ac:dyDescent="0.25">
      <c r="A261" s="165" t="s">
        <v>1067</v>
      </c>
      <c r="B261" s="165" t="s">
        <v>4479</v>
      </c>
      <c r="C261" s="165" t="s">
        <v>23</v>
      </c>
      <c r="D261" s="165" t="s">
        <v>1068</v>
      </c>
      <c r="E261" s="165" t="s">
        <v>4469</v>
      </c>
      <c r="F261" s="165" t="s">
        <v>3850</v>
      </c>
      <c r="G261" s="165" t="s">
        <v>3878</v>
      </c>
      <c r="H261" s="165" t="s">
        <v>263</v>
      </c>
      <c r="I261" s="165" t="s">
        <v>3806</v>
      </c>
      <c r="J261" s="165" t="s">
        <v>4033</v>
      </c>
      <c r="K261" s="165"/>
      <c r="L261" s="165"/>
      <c r="M261" s="165"/>
      <c r="N261" s="165" t="s">
        <v>3805</v>
      </c>
      <c r="O261" s="165"/>
      <c r="P261" s="165"/>
      <c r="Q261" s="165"/>
      <c r="R261" s="165"/>
      <c r="S261" s="165"/>
      <c r="T261" s="165" t="s">
        <v>3806</v>
      </c>
      <c r="U261" s="165" t="s">
        <v>3807</v>
      </c>
      <c r="V261" s="165"/>
      <c r="W261" s="165"/>
      <c r="X261" s="165"/>
      <c r="Y261">
        <v>3</v>
      </c>
      <c r="Z261" s="165" t="s">
        <v>3808</v>
      </c>
      <c r="AA261" s="165" t="s">
        <v>3809</v>
      </c>
      <c r="AB261" s="165" t="s">
        <v>3810</v>
      </c>
      <c r="AC261" s="165" t="s">
        <v>3811</v>
      </c>
      <c r="AD261" s="165" t="s">
        <v>4459</v>
      </c>
      <c r="AE261">
        <v>12</v>
      </c>
      <c r="AF261" s="165" t="s">
        <v>4460</v>
      </c>
      <c r="AG261">
        <v>445</v>
      </c>
      <c r="AH261">
        <v>23</v>
      </c>
      <c r="AI261">
        <v>49.5</v>
      </c>
      <c r="AJ261">
        <v>28</v>
      </c>
      <c r="AK261" s="165" t="s">
        <v>4461</v>
      </c>
      <c r="AN261">
        <v>6</v>
      </c>
      <c r="AO261">
        <v>6</v>
      </c>
      <c r="AP261">
        <v>36</v>
      </c>
      <c r="AQ261" s="165" t="s">
        <v>3815</v>
      </c>
      <c r="AR261" t="s">
        <v>3884</v>
      </c>
      <c r="AS261" s="165" t="s">
        <v>174</v>
      </c>
      <c r="AT261" t="s">
        <v>5291</v>
      </c>
      <c r="AU261" t="s">
        <v>5291</v>
      </c>
    </row>
    <row r="262" spans="1:47" hidden="1" x14ac:dyDescent="0.25">
      <c r="A262" s="165" t="s">
        <v>4480</v>
      </c>
      <c r="B262" s="165" t="s">
        <v>4481</v>
      </c>
      <c r="C262" s="165" t="s">
        <v>23</v>
      </c>
      <c r="D262" s="165" t="s">
        <v>4482</v>
      </c>
      <c r="E262" s="165" t="s">
        <v>4277</v>
      </c>
      <c r="F262" s="165" t="s">
        <v>3840</v>
      </c>
      <c r="G262" s="165" t="s">
        <v>3878</v>
      </c>
      <c r="H262" s="165" t="s">
        <v>263</v>
      </c>
      <c r="I262" s="165" t="s">
        <v>3822</v>
      </c>
      <c r="J262" s="165" t="s">
        <v>4273</v>
      </c>
      <c r="K262" s="165"/>
      <c r="L262" s="165"/>
      <c r="M262" s="165"/>
      <c r="N262" s="165" t="s">
        <v>3805</v>
      </c>
      <c r="O262" s="165"/>
      <c r="P262" s="165"/>
      <c r="Q262" s="165"/>
      <c r="R262" s="165"/>
      <c r="S262" s="165"/>
      <c r="T262" s="165" t="s">
        <v>3806</v>
      </c>
      <c r="U262" s="165" t="s">
        <v>3807</v>
      </c>
      <c r="V262" s="165"/>
      <c r="W262" s="165"/>
      <c r="X262" s="165"/>
      <c r="Y262">
        <v>3</v>
      </c>
      <c r="Z262" s="165" t="s">
        <v>3808</v>
      </c>
      <c r="AA262" s="165" t="s">
        <v>3809</v>
      </c>
      <c r="AB262" s="165" t="s">
        <v>3810</v>
      </c>
      <c r="AC262" s="165" t="s">
        <v>3811</v>
      </c>
      <c r="AD262" s="165" t="s">
        <v>4459</v>
      </c>
      <c r="AE262">
        <v>12</v>
      </c>
      <c r="AF262" s="165" t="s">
        <v>4460</v>
      </c>
      <c r="AG262">
        <v>445</v>
      </c>
      <c r="AH262">
        <v>23</v>
      </c>
      <c r="AI262">
        <v>49.5</v>
      </c>
      <c r="AJ262">
        <v>28</v>
      </c>
      <c r="AK262" s="165" t="s">
        <v>4461</v>
      </c>
      <c r="AN262">
        <v>6</v>
      </c>
      <c r="AO262">
        <v>6</v>
      </c>
      <c r="AP262">
        <v>36</v>
      </c>
      <c r="AQ262" s="165" t="s">
        <v>3815</v>
      </c>
      <c r="AR262" t="s">
        <v>4030</v>
      </c>
      <c r="AS262" s="165" t="s">
        <v>174</v>
      </c>
      <c r="AT262" t="s">
        <v>5291</v>
      </c>
      <c r="AU262" t="s">
        <v>5291</v>
      </c>
    </row>
    <row r="263" spans="1:47" hidden="1" x14ac:dyDescent="0.25">
      <c r="A263" s="165" t="s">
        <v>4483</v>
      </c>
      <c r="B263" s="165" t="s">
        <v>4484</v>
      </c>
      <c r="C263" s="165" t="s">
        <v>23</v>
      </c>
      <c r="D263" s="165" t="s">
        <v>4485</v>
      </c>
      <c r="E263" s="165" t="s">
        <v>3914</v>
      </c>
      <c r="F263" s="165" t="s">
        <v>4137</v>
      </c>
      <c r="G263" s="165" t="s">
        <v>8</v>
      </c>
      <c r="H263" s="165" t="s">
        <v>241</v>
      </c>
      <c r="I263" s="165" t="s">
        <v>3902</v>
      </c>
      <c r="J263" s="165" t="s">
        <v>4225</v>
      </c>
      <c r="K263" s="165"/>
      <c r="L263" s="165"/>
      <c r="M263" s="165"/>
      <c r="N263" s="165"/>
      <c r="O263" s="165"/>
      <c r="P263" s="165"/>
      <c r="Q263" s="165"/>
      <c r="R263" s="165"/>
      <c r="S263" s="165" t="s">
        <v>3902</v>
      </c>
      <c r="T263" s="165"/>
      <c r="U263" s="165"/>
      <c r="V263" s="165"/>
      <c r="W263" s="165"/>
      <c r="X263" s="165" t="s">
        <v>2428</v>
      </c>
      <c r="Y263">
        <v>2</v>
      </c>
      <c r="Z263" s="165" t="s">
        <v>3903</v>
      </c>
      <c r="AA263" s="165" t="s">
        <v>3811</v>
      </c>
      <c r="AB263" s="165" t="s">
        <v>3810</v>
      </c>
      <c r="AC263" s="165" t="s">
        <v>3809</v>
      </c>
      <c r="AD263" s="165" t="s">
        <v>4486</v>
      </c>
      <c r="AE263">
        <v>13</v>
      </c>
      <c r="AF263" s="165" t="s">
        <v>4487</v>
      </c>
      <c r="AG263">
        <v>445</v>
      </c>
      <c r="AH263">
        <v>325</v>
      </c>
      <c r="AI263">
        <v>47.5</v>
      </c>
      <c r="AJ263">
        <v>35.5</v>
      </c>
      <c r="AK263" s="165" t="s">
        <v>4488</v>
      </c>
      <c r="AN263">
        <v>1</v>
      </c>
      <c r="AO263">
        <v>4</v>
      </c>
      <c r="AP263">
        <v>4</v>
      </c>
      <c r="AQ263" s="165" t="s">
        <v>3978</v>
      </c>
      <c r="AR263" t="s">
        <v>4489</v>
      </c>
      <c r="AS263" s="165" t="s">
        <v>30</v>
      </c>
      <c r="AT263" t="s">
        <v>5291</v>
      </c>
      <c r="AU263" t="s">
        <v>5291</v>
      </c>
    </row>
    <row r="264" spans="1:47" hidden="1" x14ac:dyDescent="0.25">
      <c r="A264" s="165" t="s">
        <v>800</v>
      </c>
      <c r="B264" s="165" t="s">
        <v>4490</v>
      </c>
      <c r="C264" s="165" t="s">
        <v>23</v>
      </c>
      <c r="D264" s="165" t="s">
        <v>4491</v>
      </c>
      <c r="E264" s="165" t="s">
        <v>4492</v>
      </c>
      <c r="F264" s="165" t="s">
        <v>4137</v>
      </c>
      <c r="G264" s="165" t="s">
        <v>8</v>
      </c>
      <c r="H264" s="165" t="s">
        <v>241</v>
      </c>
      <c r="I264" s="165" t="s">
        <v>3902</v>
      </c>
      <c r="J264" s="165" t="s">
        <v>4225</v>
      </c>
      <c r="K264" s="165"/>
      <c r="L264" s="165"/>
      <c r="M264" s="165"/>
      <c r="N264" s="165"/>
      <c r="O264" s="165"/>
      <c r="P264" s="165"/>
      <c r="Q264" s="165"/>
      <c r="R264" s="165"/>
      <c r="S264" s="165" t="s">
        <v>3902</v>
      </c>
      <c r="T264" s="165"/>
      <c r="U264" s="165"/>
      <c r="V264" s="165"/>
      <c r="W264" s="165"/>
      <c r="X264" s="165" t="s">
        <v>2428</v>
      </c>
      <c r="Y264">
        <v>2</v>
      </c>
      <c r="Z264" s="165" t="s">
        <v>3903</v>
      </c>
      <c r="AA264" s="165" t="s">
        <v>3811</v>
      </c>
      <c r="AB264" s="165" t="s">
        <v>3810</v>
      </c>
      <c r="AC264" s="165" t="s">
        <v>3809</v>
      </c>
      <c r="AD264" s="165" t="s">
        <v>4486</v>
      </c>
      <c r="AE264">
        <v>13</v>
      </c>
      <c r="AF264" s="165" t="s">
        <v>4487</v>
      </c>
      <c r="AG264">
        <v>445</v>
      </c>
      <c r="AH264">
        <v>325</v>
      </c>
      <c r="AI264">
        <v>47.5</v>
      </c>
      <c r="AJ264">
        <v>35.5</v>
      </c>
      <c r="AK264" s="165" t="s">
        <v>4488</v>
      </c>
      <c r="AN264">
        <v>1</v>
      </c>
      <c r="AO264">
        <v>4</v>
      </c>
      <c r="AP264">
        <v>4</v>
      </c>
      <c r="AQ264" s="165" t="s">
        <v>3815</v>
      </c>
      <c r="AR264" t="s">
        <v>3966</v>
      </c>
      <c r="AS264" s="165" t="s">
        <v>30</v>
      </c>
      <c r="AT264" t="s">
        <v>5291</v>
      </c>
      <c r="AU264" t="s">
        <v>5291</v>
      </c>
    </row>
    <row r="265" spans="1:47" hidden="1" x14ac:dyDescent="0.25">
      <c r="A265" s="165" t="s">
        <v>1789</v>
      </c>
      <c r="B265" s="165" t="s">
        <v>4493</v>
      </c>
      <c r="C265" s="165" t="s">
        <v>23</v>
      </c>
      <c r="D265" s="165" t="s">
        <v>1790</v>
      </c>
      <c r="E265" s="165" t="s">
        <v>4224</v>
      </c>
      <c r="F265" s="165" t="s">
        <v>4137</v>
      </c>
      <c r="G265" s="165" t="s">
        <v>8</v>
      </c>
      <c r="H265" s="165" t="s">
        <v>241</v>
      </c>
      <c r="I265" s="165" t="s">
        <v>3902</v>
      </c>
      <c r="J265" s="165" t="s">
        <v>4225</v>
      </c>
      <c r="K265" s="165"/>
      <c r="L265" s="165"/>
      <c r="M265" s="165"/>
      <c r="N265" s="165"/>
      <c r="O265" s="165"/>
      <c r="P265" s="165"/>
      <c r="Q265" s="165"/>
      <c r="R265" s="165"/>
      <c r="S265" s="165" t="s">
        <v>3902</v>
      </c>
      <c r="T265" s="165"/>
      <c r="U265" s="165"/>
      <c r="V265" s="165"/>
      <c r="W265" s="165"/>
      <c r="X265" s="165" t="s">
        <v>2428</v>
      </c>
      <c r="Y265">
        <v>2</v>
      </c>
      <c r="Z265" s="165" t="s">
        <v>3903</v>
      </c>
      <c r="AA265" s="165" t="s">
        <v>3811</v>
      </c>
      <c r="AB265" s="165" t="s">
        <v>3810</v>
      </c>
      <c r="AC265" s="165" t="s">
        <v>3809</v>
      </c>
      <c r="AD265" s="165" t="s">
        <v>4486</v>
      </c>
      <c r="AE265">
        <v>13</v>
      </c>
      <c r="AF265" s="165" t="s">
        <v>4487</v>
      </c>
      <c r="AG265">
        <v>445</v>
      </c>
      <c r="AH265">
        <v>325</v>
      </c>
      <c r="AI265">
        <v>47.5</v>
      </c>
      <c r="AJ265">
        <v>35.5</v>
      </c>
      <c r="AK265" s="165" t="s">
        <v>4488</v>
      </c>
      <c r="AN265">
        <v>1</v>
      </c>
      <c r="AO265">
        <v>4</v>
      </c>
      <c r="AP265">
        <v>4</v>
      </c>
      <c r="AQ265" s="165" t="s">
        <v>3815</v>
      </c>
      <c r="AR265" t="s">
        <v>3870</v>
      </c>
      <c r="AS265" s="165" t="s">
        <v>30</v>
      </c>
      <c r="AT265" t="s">
        <v>5291</v>
      </c>
      <c r="AU265" t="s">
        <v>5291</v>
      </c>
    </row>
    <row r="266" spans="1:47" hidden="1" x14ac:dyDescent="0.25">
      <c r="A266" s="165" t="s">
        <v>4494</v>
      </c>
      <c r="B266" s="165" t="s">
        <v>88</v>
      </c>
      <c r="C266" s="165" t="s">
        <v>23</v>
      </c>
      <c r="D266" s="165" t="s">
        <v>4495</v>
      </c>
      <c r="E266" s="165" t="s">
        <v>4496</v>
      </c>
      <c r="F266" s="165" t="s">
        <v>4137</v>
      </c>
      <c r="G266" s="165" t="s">
        <v>8</v>
      </c>
      <c r="H266" s="165" t="s">
        <v>263</v>
      </c>
      <c r="I266" s="165" t="s">
        <v>3902</v>
      </c>
      <c r="J266" s="165" t="s">
        <v>4138</v>
      </c>
      <c r="K266" s="165"/>
      <c r="L266" s="165"/>
      <c r="M266" s="165"/>
      <c r="N266" s="165" t="s">
        <v>3805</v>
      </c>
      <c r="O266" s="165"/>
      <c r="P266" s="165"/>
      <c r="Q266" s="165"/>
      <c r="R266" s="165"/>
      <c r="S266" s="165"/>
      <c r="T266" s="165" t="s">
        <v>3806</v>
      </c>
      <c r="U266" s="165" t="s">
        <v>3807</v>
      </c>
      <c r="V266" s="165"/>
      <c r="W266" s="165"/>
      <c r="X266" s="165"/>
      <c r="Y266">
        <v>3</v>
      </c>
      <c r="Z266" s="165" t="s">
        <v>3808</v>
      </c>
      <c r="AA266" s="165" t="s">
        <v>3809</v>
      </c>
      <c r="AB266" s="165" t="s">
        <v>3810</v>
      </c>
      <c r="AC266" s="165" t="s">
        <v>3811</v>
      </c>
      <c r="AD266" s="165" t="s">
        <v>4486</v>
      </c>
      <c r="AE266">
        <v>13</v>
      </c>
      <c r="AF266" s="165" t="s">
        <v>4487</v>
      </c>
      <c r="AG266">
        <v>445</v>
      </c>
      <c r="AH266">
        <v>325</v>
      </c>
      <c r="AI266">
        <v>47.5</v>
      </c>
      <c r="AJ266">
        <v>35.5</v>
      </c>
      <c r="AK266" s="165" t="s">
        <v>4488</v>
      </c>
      <c r="AN266">
        <v>1</v>
      </c>
      <c r="AO266">
        <v>4</v>
      </c>
      <c r="AP266">
        <v>4</v>
      </c>
      <c r="AQ266" s="165" t="s">
        <v>3815</v>
      </c>
      <c r="AR266" t="s">
        <v>4497</v>
      </c>
      <c r="AS266" s="165" t="s">
        <v>174</v>
      </c>
      <c r="AT266" t="s">
        <v>5291</v>
      </c>
      <c r="AU266" t="s">
        <v>5291</v>
      </c>
    </row>
    <row r="267" spans="1:47" hidden="1" x14ac:dyDescent="0.25">
      <c r="A267" s="165" t="s">
        <v>4498</v>
      </c>
      <c r="B267" s="165" t="s">
        <v>88</v>
      </c>
      <c r="C267" s="165" t="s">
        <v>23</v>
      </c>
      <c r="D267" s="165" t="s">
        <v>4499</v>
      </c>
      <c r="E267" s="165" t="s">
        <v>4407</v>
      </c>
      <c r="F267" s="165" t="s">
        <v>181</v>
      </c>
      <c r="G267" s="165" t="s">
        <v>3878</v>
      </c>
      <c r="H267" s="165" t="s">
        <v>269</v>
      </c>
      <c r="I267" s="165" t="s">
        <v>2428</v>
      </c>
      <c r="J267" s="165" t="s">
        <v>3887</v>
      </c>
      <c r="K267" s="165" t="s">
        <v>3819</v>
      </c>
      <c r="L267" s="165" t="s">
        <v>3820</v>
      </c>
      <c r="M267" s="165" t="s">
        <v>3803</v>
      </c>
      <c r="N267" s="165" t="s">
        <v>3805</v>
      </c>
      <c r="O267" s="165"/>
      <c r="P267" s="165"/>
      <c r="Q267" s="165" t="s">
        <v>3888</v>
      </c>
      <c r="R267" s="165"/>
      <c r="S267" s="165"/>
      <c r="T267" s="165"/>
      <c r="U267" s="165" t="s">
        <v>3807</v>
      </c>
      <c r="V267" s="165"/>
      <c r="W267" s="165"/>
      <c r="X267" s="165"/>
      <c r="Y267">
        <v>6</v>
      </c>
      <c r="Z267" s="165" t="s">
        <v>3889</v>
      </c>
      <c r="AA267" s="165" t="s">
        <v>3809</v>
      </c>
      <c r="AB267" s="165" t="s">
        <v>3811</v>
      </c>
      <c r="AC267" s="165" t="s">
        <v>3810</v>
      </c>
      <c r="AD267" s="165" t="s">
        <v>4500</v>
      </c>
      <c r="AE267">
        <v>78</v>
      </c>
      <c r="AF267" s="165" t="s">
        <v>4501</v>
      </c>
      <c r="AG267">
        <v>447</v>
      </c>
      <c r="AH267">
        <v>234</v>
      </c>
      <c r="AI267">
        <v>47.7</v>
      </c>
      <c r="AJ267">
        <v>26.4</v>
      </c>
      <c r="AK267" s="165" t="s">
        <v>4502</v>
      </c>
      <c r="AN267">
        <v>2</v>
      </c>
      <c r="AO267">
        <v>6</v>
      </c>
      <c r="AP267">
        <v>12</v>
      </c>
      <c r="AQ267" s="165" t="s">
        <v>3978</v>
      </c>
      <c r="AR267" t="s">
        <v>4503</v>
      </c>
      <c r="AS267" s="165" t="s">
        <v>3786</v>
      </c>
      <c r="AT267" t="s">
        <v>5291</v>
      </c>
      <c r="AU267" t="s">
        <v>5291</v>
      </c>
    </row>
    <row r="268" spans="1:47" hidden="1" x14ac:dyDescent="0.25">
      <c r="A268" s="165" t="s">
        <v>4504</v>
      </c>
      <c r="B268" s="165" t="s">
        <v>88</v>
      </c>
      <c r="C268" s="165" t="s">
        <v>23</v>
      </c>
      <c r="D268" s="165" t="s">
        <v>4505</v>
      </c>
      <c r="E268" s="165" t="s">
        <v>4000</v>
      </c>
      <c r="F268" s="165" t="s">
        <v>181</v>
      </c>
      <c r="G268" s="165" t="s">
        <v>3878</v>
      </c>
      <c r="H268" s="165" t="s">
        <v>269</v>
      </c>
      <c r="I268" s="165" t="s">
        <v>2428</v>
      </c>
      <c r="J268" s="165" t="s">
        <v>3887</v>
      </c>
      <c r="K268" s="165" t="s">
        <v>3819</v>
      </c>
      <c r="L268" s="165" t="s">
        <v>3820</v>
      </c>
      <c r="M268" s="165" t="s">
        <v>3803</v>
      </c>
      <c r="N268" s="165" t="s">
        <v>3805</v>
      </c>
      <c r="O268" s="165"/>
      <c r="P268" s="165"/>
      <c r="Q268" s="165" t="s">
        <v>3888</v>
      </c>
      <c r="R268" s="165"/>
      <c r="S268" s="165"/>
      <c r="T268" s="165"/>
      <c r="U268" s="165" t="s">
        <v>3807</v>
      </c>
      <c r="V268" s="165"/>
      <c r="W268" s="165"/>
      <c r="X268" s="165"/>
      <c r="Y268">
        <v>6</v>
      </c>
      <c r="Z268" s="165" t="s">
        <v>3889</v>
      </c>
      <c r="AA268" s="165" t="s">
        <v>3809</v>
      </c>
      <c r="AB268" s="165" t="s">
        <v>3811</v>
      </c>
      <c r="AC268" s="165" t="s">
        <v>3810</v>
      </c>
      <c r="AD268" s="165" t="s">
        <v>3890</v>
      </c>
      <c r="AE268">
        <v>77</v>
      </c>
      <c r="AF268" s="165" t="s">
        <v>3891</v>
      </c>
      <c r="AG268">
        <v>435</v>
      </c>
      <c r="AH268">
        <v>222</v>
      </c>
      <c r="AI268">
        <v>46.5</v>
      </c>
      <c r="AJ268">
        <v>25.2</v>
      </c>
      <c r="AK268" s="165" t="s">
        <v>3892</v>
      </c>
      <c r="AL268">
        <v>50</v>
      </c>
      <c r="AM268">
        <v>26</v>
      </c>
      <c r="AN268">
        <v>2</v>
      </c>
      <c r="AO268">
        <v>6</v>
      </c>
      <c r="AP268">
        <v>12</v>
      </c>
      <c r="AQ268" s="165" t="s">
        <v>3815</v>
      </c>
      <c r="AR268" t="s">
        <v>3971</v>
      </c>
      <c r="AS268" s="165" t="s">
        <v>3786</v>
      </c>
      <c r="AT268" t="s">
        <v>5291</v>
      </c>
      <c r="AU268" t="s">
        <v>5291</v>
      </c>
    </row>
    <row r="269" spans="1:47" hidden="1" x14ac:dyDescent="0.25">
      <c r="A269" s="165" t="s">
        <v>813</v>
      </c>
      <c r="B269" s="165" t="s">
        <v>88</v>
      </c>
      <c r="C269" s="165" t="s">
        <v>23</v>
      </c>
      <c r="D269" s="165" t="s">
        <v>814</v>
      </c>
      <c r="E269" s="165" t="s">
        <v>4039</v>
      </c>
      <c r="F269" s="165" t="s">
        <v>11</v>
      </c>
      <c r="G269" s="165" t="s">
        <v>8</v>
      </c>
      <c r="H269" s="165" t="s">
        <v>241</v>
      </c>
      <c r="I269" s="165" t="s">
        <v>3803</v>
      </c>
      <c r="J269" s="165" t="s">
        <v>4011</v>
      </c>
      <c r="K269" s="165"/>
      <c r="L269" s="165"/>
      <c r="M269" s="165"/>
      <c r="N269" s="165"/>
      <c r="O269" s="165"/>
      <c r="P269" s="165"/>
      <c r="Q269" s="165"/>
      <c r="R269" s="165"/>
      <c r="S269" s="165" t="s">
        <v>3902</v>
      </c>
      <c r="T269" s="165"/>
      <c r="U269" s="165"/>
      <c r="V269" s="165"/>
      <c r="W269" s="165"/>
      <c r="X269" s="165" t="s">
        <v>2428</v>
      </c>
      <c r="Y269">
        <v>2</v>
      </c>
      <c r="Z269" s="165" t="s">
        <v>3903</v>
      </c>
      <c r="AA269" s="165" t="s">
        <v>3811</v>
      </c>
      <c r="AB269" s="165" t="s">
        <v>3810</v>
      </c>
      <c r="AC269" s="165" t="s">
        <v>3809</v>
      </c>
      <c r="AD269" s="165" t="s">
        <v>4506</v>
      </c>
      <c r="AE269">
        <v>17</v>
      </c>
      <c r="AF269" s="165" t="s">
        <v>4507</v>
      </c>
      <c r="AG269">
        <v>449</v>
      </c>
      <c r="AH269">
        <v>401</v>
      </c>
      <c r="AI269">
        <v>47.9</v>
      </c>
      <c r="AJ269">
        <v>43.1</v>
      </c>
      <c r="AK269" s="165" t="s">
        <v>4508</v>
      </c>
      <c r="AN269">
        <v>2</v>
      </c>
      <c r="AO269">
        <v>2</v>
      </c>
      <c r="AP269">
        <v>4</v>
      </c>
      <c r="AQ269" s="165" t="s">
        <v>3815</v>
      </c>
      <c r="AR269" t="s">
        <v>3974</v>
      </c>
      <c r="AS269" s="165" t="s">
        <v>30</v>
      </c>
      <c r="AT269" t="s">
        <v>5291</v>
      </c>
      <c r="AU269" t="s">
        <v>5291</v>
      </c>
    </row>
    <row r="270" spans="1:47" hidden="1" x14ac:dyDescent="0.25">
      <c r="A270" s="165" t="s">
        <v>1488</v>
      </c>
      <c r="B270" s="165" t="s">
        <v>88</v>
      </c>
      <c r="C270" s="165" t="s">
        <v>23</v>
      </c>
      <c r="D270" s="165" t="s">
        <v>1489</v>
      </c>
      <c r="E270" s="165" t="s">
        <v>3951</v>
      </c>
      <c r="F270" s="165" t="s">
        <v>11</v>
      </c>
      <c r="G270" s="165" t="s">
        <v>8</v>
      </c>
      <c r="H270" s="165" t="s">
        <v>241</v>
      </c>
      <c r="I270" s="165" t="s">
        <v>3803</v>
      </c>
      <c r="J270" s="165" t="s">
        <v>4011</v>
      </c>
      <c r="K270" s="165"/>
      <c r="L270" s="165"/>
      <c r="M270" s="165"/>
      <c r="N270" s="165"/>
      <c r="O270" s="165"/>
      <c r="P270" s="165"/>
      <c r="Q270" s="165"/>
      <c r="R270" s="165"/>
      <c r="S270" s="165" t="s">
        <v>3902</v>
      </c>
      <c r="T270" s="165"/>
      <c r="U270" s="165"/>
      <c r="V270" s="165"/>
      <c r="W270" s="165"/>
      <c r="X270" s="165" t="s">
        <v>2428</v>
      </c>
      <c r="Y270">
        <v>2</v>
      </c>
      <c r="Z270" s="165" t="s">
        <v>3903</v>
      </c>
      <c r="AA270" s="165" t="s">
        <v>3811</v>
      </c>
      <c r="AB270" s="165" t="s">
        <v>3810</v>
      </c>
      <c r="AC270" s="165" t="s">
        <v>3809</v>
      </c>
      <c r="AD270" s="165" t="s">
        <v>4506</v>
      </c>
      <c r="AE270">
        <v>17</v>
      </c>
      <c r="AF270" s="165" t="s">
        <v>4509</v>
      </c>
      <c r="AG270">
        <v>447</v>
      </c>
      <c r="AH270">
        <v>404</v>
      </c>
      <c r="AI270">
        <v>47.7</v>
      </c>
      <c r="AJ270">
        <v>43.4</v>
      </c>
      <c r="AK270" s="165" t="s">
        <v>4510</v>
      </c>
      <c r="AN270">
        <v>2</v>
      </c>
      <c r="AO270">
        <v>2</v>
      </c>
      <c r="AP270">
        <v>4</v>
      </c>
      <c r="AQ270" s="165" t="s">
        <v>3815</v>
      </c>
      <c r="AR270" t="s">
        <v>4511</v>
      </c>
      <c r="AS270" s="165" t="s">
        <v>30</v>
      </c>
      <c r="AT270" t="s">
        <v>5291</v>
      </c>
      <c r="AU270" t="s">
        <v>5291</v>
      </c>
    </row>
    <row r="271" spans="1:47" hidden="1" x14ac:dyDescent="0.25">
      <c r="A271" s="165" t="s">
        <v>1645</v>
      </c>
      <c r="B271" s="165" t="s">
        <v>88</v>
      </c>
      <c r="C271" s="165" t="s">
        <v>23</v>
      </c>
      <c r="D271" s="165" t="s">
        <v>1646</v>
      </c>
      <c r="E271" s="165" t="s">
        <v>4512</v>
      </c>
      <c r="F271" s="165" t="s">
        <v>11</v>
      </c>
      <c r="G271" s="165" t="s">
        <v>8</v>
      </c>
      <c r="H271" s="165" t="s">
        <v>241</v>
      </c>
      <c r="I271" s="165" t="s">
        <v>3803</v>
      </c>
      <c r="J271" s="165" t="s">
        <v>4011</v>
      </c>
      <c r="K271" s="165"/>
      <c r="L271" s="165"/>
      <c r="M271" s="165"/>
      <c r="N271" s="165"/>
      <c r="O271" s="165"/>
      <c r="P271" s="165"/>
      <c r="Q271" s="165"/>
      <c r="R271" s="165"/>
      <c r="S271" s="165" t="s">
        <v>3902</v>
      </c>
      <c r="T271" s="165"/>
      <c r="U271" s="165"/>
      <c r="V271" s="165"/>
      <c r="W271" s="165"/>
      <c r="X271" s="165" t="s">
        <v>2428</v>
      </c>
      <c r="Y271">
        <v>2</v>
      </c>
      <c r="Z271" s="165" t="s">
        <v>3903</v>
      </c>
      <c r="AA271" s="165" t="s">
        <v>3811</v>
      </c>
      <c r="AB271" s="165" t="s">
        <v>3810</v>
      </c>
      <c r="AC271" s="165" t="s">
        <v>3809</v>
      </c>
      <c r="AD271" s="165" t="s">
        <v>4506</v>
      </c>
      <c r="AE271">
        <v>17</v>
      </c>
      <c r="AF271" s="165" t="s">
        <v>4507</v>
      </c>
      <c r="AG271">
        <v>449</v>
      </c>
      <c r="AH271">
        <v>401</v>
      </c>
      <c r="AI271">
        <v>47.9</v>
      </c>
      <c r="AJ271">
        <v>43.1</v>
      </c>
      <c r="AK271" s="165" t="s">
        <v>4508</v>
      </c>
      <c r="AN271">
        <v>2</v>
      </c>
      <c r="AO271">
        <v>2</v>
      </c>
      <c r="AP271">
        <v>4</v>
      </c>
      <c r="AQ271" s="165" t="s">
        <v>3815</v>
      </c>
      <c r="AR271" t="s">
        <v>4290</v>
      </c>
      <c r="AS271" s="165" t="s">
        <v>30</v>
      </c>
      <c r="AT271" t="s">
        <v>5291</v>
      </c>
      <c r="AU271" t="s">
        <v>5291</v>
      </c>
    </row>
    <row r="272" spans="1:47" hidden="1" x14ac:dyDescent="0.25">
      <c r="A272" s="165" t="s">
        <v>765</v>
      </c>
      <c r="B272" s="165" t="s">
        <v>88</v>
      </c>
      <c r="C272" s="165" t="s">
        <v>23</v>
      </c>
      <c r="D272" s="165" t="s">
        <v>766</v>
      </c>
      <c r="E272" s="165" t="s">
        <v>4513</v>
      </c>
      <c r="F272" s="165" t="s">
        <v>11</v>
      </c>
      <c r="G272" s="165" t="s">
        <v>8</v>
      </c>
      <c r="H272" s="165" t="s">
        <v>241</v>
      </c>
      <c r="I272" s="165" t="s">
        <v>3803</v>
      </c>
      <c r="J272" s="165" t="s">
        <v>4011</v>
      </c>
      <c r="K272" s="165"/>
      <c r="L272" s="165"/>
      <c r="M272" s="165"/>
      <c r="N272" s="165"/>
      <c r="O272" s="165"/>
      <c r="P272" s="165"/>
      <c r="Q272" s="165"/>
      <c r="R272" s="165"/>
      <c r="S272" s="165" t="s">
        <v>3902</v>
      </c>
      <c r="T272" s="165"/>
      <c r="U272" s="165"/>
      <c r="V272" s="165"/>
      <c r="W272" s="165"/>
      <c r="X272" s="165" t="s">
        <v>2428</v>
      </c>
      <c r="Y272">
        <v>2</v>
      </c>
      <c r="Z272" s="165" t="s">
        <v>3903</v>
      </c>
      <c r="AA272" s="165" t="s">
        <v>3811</v>
      </c>
      <c r="AB272" s="165" t="s">
        <v>3810</v>
      </c>
      <c r="AC272" s="165" t="s">
        <v>3809</v>
      </c>
      <c r="AD272" s="165" t="s">
        <v>4506</v>
      </c>
      <c r="AE272">
        <v>17</v>
      </c>
      <c r="AF272" s="165" t="s">
        <v>4507</v>
      </c>
      <c r="AG272">
        <v>449</v>
      </c>
      <c r="AH272">
        <v>401</v>
      </c>
      <c r="AI272">
        <v>47.9</v>
      </c>
      <c r="AJ272">
        <v>43.1</v>
      </c>
      <c r="AK272" s="165" t="s">
        <v>4508</v>
      </c>
      <c r="AN272">
        <v>2</v>
      </c>
      <c r="AO272">
        <v>2</v>
      </c>
      <c r="AP272">
        <v>4</v>
      </c>
      <c r="AQ272" s="165" t="s">
        <v>3815</v>
      </c>
      <c r="AS272" s="165" t="s">
        <v>30</v>
      </c>
      <c r="AT272" t="s">
        <v>5291</v>
      </c>
      <c r="AU272" t="s">
        <v>5291</v>
      </c>
    </row>
    <row r="273" spans="1:47" hidden="1" x14ac:dyDescent="0.25">
      <c r="A273" s="165" t="s">
        <v>4514</v>
      </c>
      <c r="B273" s="165" t="s">
        <v>88</v>
      </c>
      <c r="C273" s="165" t="s">
        <v>23</v>
      </c>
      <c r="D273" s="165" t="s">
        <v>4515</v>
      </c>
      <c r="E273" s="165" t="s">
        <v>4037</v>
      </c>
      <c r="F273" s="165" t="s">
        <v>11</v>
      </c>
      <c r="G273" s="165" t="s">
        <v>8</v>
      </c>
      <c r="H273" s="165" t="s">
        <v>241</v>
      </c>
      <c r="I273" s="165" t="s">
        <v>3803</v>
      </c>
      <c r="J273" s="165" t="s">
        <v>4011</v>
      </c>
      <c r="K273" s="165"/>
      <c r="L273" s="165"/>
      <c r="M273" s="165"/>
      <c r="N273" s="165"/>
      <c r="O273" s="165"/>
      <c r="P273" s="165"/>
      <c r="Q273" s="165"/>
      <c r="R273" s="165"/>
      <c r="S273" s="165" t="s">
        <v>3902</v>
      </c>
      <c r="T273" s="165"/>
      <c r="U273" s="165"/>
      <c r="V273" s="165"/>
      <c r="W273" s="165"/>
      <c r="X273" s="165" t="s">
        <v>2428</v>
      </c>
      <c r="Y273">
        <v>2</v>
      </c>
      <c r="Z273" s="165" t="s">
        <v>3903</v>
      </c>
      <c r="AA273" s="165" t="s">
        <v>3811</v>
      </c>
      <c r="AB273" s="165" t="s">
        <v>3810</v>
      </c>
      <c r="AC273" s="165" t="s">
        <v>3809</v>
      </c>
      <c r="AD273" s="165" t="s">
        <v>4506</v>
      </c>
      <c r="AE273">
        <v>17</v>
      </c>
      <c r="AF273" s="165" t="s">
        <v>4507</v>
      </c>
      <c r="AG273">
        <v>449</v>
      </c>
      <c r="AH273">
        <v>401</v>
      </c>
      <c r="AI273">
        <v>47.9</v>
      </c>
      <c r="AJ273">
        <v>43.1</v>
      </c>
      <c r="AK273" s="165" t="s">
        <v>4508</v>
      </c>
      <c r="AN273">
        <v>2</v>
      </c>
      <c r="AO273">
        <v>2</v>
      </c>
      <c r="AP273">
        <v>4</v>
      </c>
      <c r="AQ273" s="165" t="s">
        <v>3815</v>
      </c>
      <c r="AS273" s="165" t="s">
        <v>30</v>
      </c>
      <c r="AT273" t="s">
        <v>5291</v>
      </c>
      <c r="AU273" t="s">
        <v>5291</v>
      </c>
    </row>
    <row r="274" spans="1:47" hidden="1" x14ac:dyDescent="0.25">
      <c r="A274" s="165" t="s">
        <v>889</v>
      </c>
      <c r="B274" s="165" t="s">
        <v>88</v>
      </c>
      <c r="C274" s="165" t="s">
        <v>23</v>
      </c>
      <c r="D274" s="165" t="s">
        <v>890</v>
      </c>
      <c r="E274" s="165" t="s">
        <v>4142</v>
      </c>
      <c r="F274" s="165" t="s">
        <v>11</v>
      </c>
      <c r="G274" s="165" t="s">
        <v>8</v>
      </c>
      <c r="H274" s="165" t="s">
        <v>241</v>
      </c>
      <c r="I274" s="165" t="s">
        <v>3803</v>
      </c>
      <c r="J274" s="165" t="s">
        <v>4011</v>
      </c>
      <c r="K274" s="165"/>
      <c r="L274" s="165"/>
      <c r="M274" s="165"/>
      <c r="N274" s="165"/>
      <c r="O274" s="165"/>
      <c r="P274" s="165"/>
      <c r="Q274" s="165"/>
      <c r="R274" s="165"/>
      <c r="S274" s="165" t="s">
        <v>3902</v>
      </c>
      <c r="T274" s="165"/>
      <c r="U274" s="165"/>
      <c r="V274" s="165"/>
      <c r="W274" s="165"/>
      <c r="X274" s="165" t="s">
        <v>2428</v>
      </c>
      <c r="Y274">
        <v>2</v>
      </c>
      <c r="Z274" s="165" t="s">
        <v>3903</v>
      </c>
      <c r="AA274" s="165" t="s">
        <v>3811</v>
      </c>
      <c r="AB274" s="165" t="s">
        <v>3810</v>
      </c>
      <c r="AC274" s="165" t="s">
        <v>3809</v>
      </c>
      <c r="AD274" s="165" t="s">
        <v>4506</v>
      </c>
      <c r="AE274">
        <v>17</v>
      </c>
      <c r="AF274" s="165" t="s">
        <v>4507</v>
      </c>
      <c r="AG274">
        <v>449</v>
      </c>
      <c r="AH274">
        <v>401</v>
      </c>
      <c r="AI274">
        <v>47.9</v>
      </c>
      <c r="AJ274">
        <v>43.1</v>
      </c>
      <c r="AK274" s="165" t="s">
        <v>4508</v>
      </c>
      <c r="AN274">
        <v>2</v>
      </c>
      <c r="AO274">
        <v>2</v>
      </c>
      <c r="AP274">
        <v>4</v>
      </c>
      <c r="AQ274" s="165" t="s">
        <v>3815</v>
      </c>
      <c r="AS274" s="165" t="s">
        <v>30</v>
      </c>
      <c r="AT274" t="s">
        <v>5291</v>
      </c>
      <c r="AU274" t="s">
        <v>5291</v>
      </c>
    </row>
    <row r="275" spans="1:47" hidden="1" x14ac:dyDescent="0.25">
      <c r="A275" s="165" t="s">
        <v>925</v>
      </c>
      <c r="B275" s="165" t="s">
        <v>3352</v>
      </c>
      <c r="C275" s="165" t="s">
        <v>23</v>
      </c>
      <c r="D275" s="165" t="s">
        <v>926</v>
      </c>
      <c r="E275" s="165" t="s">
        <v>2352</v>
      </c>
      <c r="F275" s="165" t="s">
        <v>11</v>
      </c>
      <c r="G275" s="165" t="s">
        <v>8</v>
      </c>
      <c r="H275" s="165" t="s">
        <v>241</v>
      </c>
      <c r="I275" s="165" t="s">
        <v>3803</v>
      </c>
      <c r="J275" s="165" t="s">
        <v>4011</v>
      </c>
      <c r="K275" s="165"/>
      <c r="L275" s="165"/>
      <c r="M275" s="165"/>
      <c r="N275" s="165"/>
      <c r="O275" s="165"/>
      <c r="P275" s="165"/>
      <c r="Q275" s="165"/>
      <c r="R275" s="165"/>
      <c r="S275" s="165" t="s">
        <v>3902</v>
      </c>
      <c r="T275" s="165"/>
      <c r="U275" s="165"/>
      <c r="V275" s="165"/>
      <c r="W275" s="165"/>
      <c r="X275" s="165" t="s">
        <v>2428</v>
      </c>
      <c r="Y275">
        <v>2</v>
      </c>
      <c r="Z275" s="165" t="s">
        <v>3903</v>
      </c>
      <c r="AA275" s="165" t="s">
        <v>3811</v>
      </c>
      <c r="AB275" s="165" t="s">
        <v>3810</v>
      </c>
      <c r="AC275" s="165" t="s">
        <v>3809</v>
      </c>
      <c r="AD275" s="165" t="s">
        <v>4506</v>
      </c>
      <c r="AE275">
        <v>17</v>
      </c>
      <c r="AF275" s="165" t="s">
        <v>4507</v>
      </c>
      <c r="AG275">
        <v>449</v>
      </c>
      <c r="AH275">
        <v>401</v>
      </c>
      <c r="AI275">
        <v>47.9</v>
      </c>
      <c r="AJ275">
        <v>43.1</v>
      </c>
      <c r="AK275" s="165" t="s">
        <v>4508</v>
      </c>
      <c r="AN275">
        <v>2</v>
      </c>
      <c r="AO275">
        <v>2</v>
      </c>
      <c r="AP275">
        <v>4</v>
      </c>
      <c r="AQ275" s="165" t="s">
        <v>3815</v>
      </c>
      <c r="AR275" t="s">
        <v>3998</v>
      </c>
      <c r="AS275" s="165" t="s">
        <v>30</v>
      </c>
      <c r="AT275" t="s">
        <v>5291</v>
      </c>
      <c r="AU275" t="s">
        <v>5291</v>
      </c>
    </row>
    <row r="276" spans="1:47" hidden="1" x14ac:dyDescent="0.25">
      <c r="A276" s="165" t="s">
        <v>945</v>
      </c>
      <c r="B276" s="165" t="s">
        <v>88</v>
      </c>
      <c r="C276" s="165" t="s">
        <v>23</v>
      </c>
      <c r="D276" s="165" t="s">
        <v>946</v>
      </c>
      <c r="E276" s="165" t="s">
        <v>4148</v>
      </c>
      <c r="F276" s="165" t="s">
        <v>11</v>
      </c>
      <c r="G276" s="165" t="s">
        <v>8</v>
      </c>
      <c r="H276" s="165" t="s">
        <v>241</v>
      </c>
      <c r="I276" s="165" t="s">
        <v>3803</v>
      </c>
      <c r="J276" s="165" t="s">
        <v>4011</v>
      </c>
      <c r="K276" s="165"/>
      <c r="L276" s="165"/>
      <c r="M276" s="165"/>
      <c r="N276" s="165"/>
      <c r="O276" s="165"/>
      <c r="P276" s="165"/>
      <c r="Q276" s="165"/>
      <c r="R276" s="165"/>
      <c r="S276" s="165" t="s">
        <v>3902</v>
      </c>
      <c r="T276" s="165"/>
      <c r="U276" s="165"/>
      <c r="V276" s="165"/>
      <c r="W276" s="165"/>
      <c r="X276" s="165" t="s">
        <v>2428</v>
      </c>
      <c r="Y276">
        <v>2</v>
      </c>
      <c r="Z276" s="165" t="s">
        <v>3903</v>
      </c>
      <c r="AA276" s="165" t="s">
        <v>3811</v>
      </c>
      <c r="AB276" s="165" t="s">
        <v>3810</v>
      </c>
      <c r="AC276" s="165" t="s">
        <v>3809</v>
      </c>
      <c r="AD276" s="165" t="s">
        <v>4506</v>
      </c>
      <c r="AE276">
        <v>17</v>
      </c>
      <c r="AF276" s="165" t="s">
        <v>4507</v>
      </c>
      <c r="AG276">
        <v>449</v>
      </c>
      <c r="AH276">
        <v>401</v>
      </c>
      <c r="AI276">
        <v>47.9</v>
      </c>
      <c r="AJ276">
        <v>43.1</v>
      </c>
      <c r="AK276" s="165" t="s">
        <v>4508</v>
      </c>
      <c r="AN276">
        <v>2</v>
      </c>
      <c r="AO276">
        <v>2</v>
      </c>
      <c r="AP276">
        <v>4</v>
      </c>
      <c r="AQ276" s="165" t="s">
        <v>3815</v>
      </c>
      <c r="AR276" t="s">
        <v>3907</v>
      </c>
      <c r="AS276" s="165" t="s">
        <v>30</v>
      </c>
      <c r="AT276" t="s">
        <v>5291</v>
      </c>
      <c r="AU276" t="s">
        <v>5291</v>
      </c>
    </row>
    <row r="277" spans="1:47" hidden="1" x14ac:dyDescent="0.25">
      <c r="A277" s="165" t="s">
        <v>1023</v>
      </c>
      <c r="B277" s="165" t="s">
        <v>88</v>
      </c>
      <c r="C277" s="165" t="s">
        <v>23</v>
      </c>
      <c r="D277" s="165" t="s">
        <v>1024</v>
      </c>
      <c r="E277" s="165" t="s">
        <v>4153</v>
      </c>
      <c r="F277" s="165" t="s">
        <v>11</v>
      </c>
      <c r="G277" s="165" t="s">
        <v>8</v>
      </c>
      <c r="H277" s="165" t="s">
        <v>241</v>
      </c>
      <c r="I277" s="165" t="s">
        <v>3803</v>
      </c>
      <c r="J277" s="165" t="s">
        <v>4011</v>
      </c>
      <c r="K277" s="165"/>
      <c r="L277" s="165"/>
      <c r="M277" s="165"/>
      <c r="N277" s="165"/>
      <c r="O277" s="165"/>
      <c r="P277" s="165"/>
      <c r="Q277" s="165"/>
      <c r="R277" s="165"/>
      <c r="S277" s="165" t="s">
        <v>3902</v>
      </c>
      <c r="T277" s="165"/>
      <c r="U277" s="165"/>
      <c r="V277" s="165"/>
      <c r="W277" s="165"/>
      <c r="X277" s="165" t="s">
        <v>2428</v>
      </c>
      <c r="Y277">
        <v>2</v>
      </c>
      <c r="Z277" s="165" t="s">
        <v>3903</v>
      </c>
      <c r="AA277" s="165" t="s">
        <v>3811</v>
      </c>
      <c r="AB277" s="165" t="s">
        <v>3810</v>
      </c>
      <c r="AC277" s="165" t="s">
        <v>3809</v>
      </c>
      <c r="AD277" s="165" t="s">
        <v>4516</v>
      </c>
      <c r="AE277">
        <v>17</v>
      </c>
      <c r="AF277" s="165" t="s">
        <v>4507</v>
      </c>
      <c r="AG277">
        <v>449</v>
      </c>
      <c r="AH277">
        <v>401</v>
      </c>
      <c r="AI277">
        <v>47.9</v>
      </c>
      <c r="AJ277">
        <v>43.1</v>
      </c>
      <c r="AK277" s="165" t="s">
        <v>4508</v>
      </c>
      <c r="AN277">
        <v>2</v>
      </c>
      <c r="AO277">
        <v>2</v>
      </c>
      <c r="AP277">
        <v>4</v>
      </c>
      <c r="AQ277" s="165" t="s">
        <v>3815</v>
      </c>
      <c r="AR277" t="s">
        <v>3816</v>
      </c>
      <c r="AS277" s="165" t="s">
        <v>30</v>
      </c>
      <c r="AT277" t="s">
        <v>5291</v>
      </c>
      <c r="AU277" t="s">
        <v>5291</v>
      </c>
    </row>
    <row r="278" spans="1:47" hidden="1" x14ac:dyDescent="0.25">
      <c r="A278" s="165" t="s">
        <v>1684</v>
      </c>
      <c r="B278" s="165" t="s">
        <v>88</v>
      </c>
      <c r="C278" s="165" t="s">
        <v>23</v>
      </c>
      <c r="D278" s="165" t="s">
        <v>1685</v>
      </c>
      <c r="E278" s="165" t="s">
        <v>4157</v>
      </c>
      <c r="F278" s="165" t="s">
        <v>12</v>
      </c>
      <c r="G278" s="165" t="s">
        <v>8</v>
      </c>
      <c r="H278" s="165" t="s">
        <v>241</v>
      </c>
      <c r="I278" s="165" t="s">
        <v>3803</v>
      </c>
      <c r="J278" s="165" t="s">
        <v>4011</v>
      </c>
      <c r="K278" s="165"/>
      <c r="L278" s="165"/>
      <c r="M278" s="165"/>
      <c r="N278" s="165"/>
      <c r="O278" s="165"/>
      <c r="P278" s="165"/>
      <c r="Q278" s="165"/>
      <c r="R278" s="165"/>
      <c r="S278" s="165" t="s">
        <v>3902</v>
      </c>
      <c r="T278" s="165"/>
      <c r="U278" s="165"/>
      <c r="V278" s="165"/>
      <c r="W278" s="165"/>
      <c r="X278" s="165" t="s">
        <v>2428</v>
      </c>
      <c r="Y278">
        <v>2</v>
      </c>
      <c r="Z278" s="165" t="s">
        <v>3903</v>
      </c>
      <c r="AA278" s="165" t="s">
        <v>3811</v>
      </c>
      <c r="AB278" s="165" t="s">
        <v>3810</v>
      </c>
      <c r="AC278" s="165" t="s">
        <v>3809</v>
      </c>
      <c r="AD278" s="165" t="s">
        <v>4506</v>
      </c>
      <c r="AE278">
        <v>17</v>
      </c>
      <c r="AF278" s="165" t="s">
        <v>4507</v>
      </c>
      <c r="AG278">
        <v>449</v>
      </c>
      <c r="AH278">
        <v>401</v>
      </c>
      <c r="AI278">
        <v>47.9</v>
      </c>
      <c r="AJ278">
        <v>43.1</v>
      </c>
      <c r="AK278" s="165" t="s">
        <v>4508</v>
      </c>
      <c r="AN278">
        <v>2</v>
      </c>
      <c r="AO278">
        <v>2</v>
      </c>
      <c r="AP278">
        <v>4</v>
      </c>
      <c r="AQ278" s="165" t="s">
        <v>3815</v>
      </c>
      <c r="AR278" t="s">
        <v>3816</v>
      </c>
      <c r="AS278" s="165" t="s">
        <v>30</v>
      </c>
      <c r="AT278" t="s">
        <v>5291</v>
      </c>
      <c r="AU278" t="s">
        <v>5291</v>
      </c>
    </row>
    <row r="279" spans="1:47" hidden="1" x14ac:dyDescent="0.25">
      <c r="A279" s="165" t="s">
        <v>1809</v>
      </c>
      <c r="B279" s="165" t="s">
        <v>4517</v>
      </c>
      <c r="C279" s="165" t="s">
        <v>23</v>
      </c>
      <c r="D279" s="165" t="s">
        <v>1810</v>
      </c>
      <c r="E279" s="165" t="s">
        <v>4518</v>
      </c>
      <c r="F279" s="165" t="s">
        <v>11</v>
      </c>
      <c r="G279" s="165" t="s">
        <v>8</v>
      </c>
      <c r="H279" s="165" t="s">
        <v>241</v>
      </c>
      <c r="I279" s="165" t="s">
        <v>3803</v>
      </c>
      <c r="J279" s="165" t="s">
        <v>4011</v>
      </c>
      <c r="K279" s="165"/>
      <c r="L279" s="165"/>
      <c r="M279" s="165"/>
      <c r="N279" s="165"/>
      <c r="O279" s="165"/>
      <c r="P279" s="165"/>
      <c r="Q279" s="165"/>
      <c r="R279" s="165"/>
      <c r="S279" s="165" t="s">
        <v>3902</v>
      </c>
      <c r="T279" s="165"/>
      <c r="U279" s="165"/>
      <c r="V279" s="165"/>
      <c r="W279" s="165"/>
      <c r="X279" s="165" t="s">
        <v>2428</v>
      </c>
      <c r="Y279">
        <v>2</v>
      </c>
      <c r="Z279" s="165" t="s">
        <v>3903</v>
      </c>
      <c r="AA279" s="165" t="s">
        <v>3811</v>
      </c>
      <c r="AB279" s="165" t="s">
        <v>3810</v>
      </c>
      <c r="AC279" s="165" t="s">
        <v>3809</v>
      </c>
      <c r="AD279" s="165" t="s">
        <v>4506</v>
      </c>
      <c r="AE279">
        <v>17</v>
      </c>
      <c r="AF279" s="165" t="s">
        <v>4507</v>
      </c>
      <c r="AG279">
        <v>449</v>
      </c>
      <c r="AH279">
        <v>401</v>
      </c>
      <c r="AI279">
        <v>47.9</v>
      </c>
      <c r="AJ279">
        <v>43.1</v>
      </c>
      <c r="AK279" s="165" t="s">
        <v>4508</v>
      </c>
      <c r="AN279">
        <v>2</v>
      </c>
      <c r="AO279">
        <v>2</v>
      </c>
      <c r="AP279">
        <v>4</v>
      </c>
      <c r="AQ279" s="165" t="s">
        <v>3815</v>
      </c>
      <c r="AR279" t="s">
        <v>4111</v>
      </c>
      <c r="AS279" s="165" t="s">
        <v>30</v>
      </c>
      <c r="AT279" t="s">
        <v>5291</v>
      </c>
      <c r="AU279" t="s">
        <v>5291</v>
      </c>
    </row>
    <row r="280" spans="1:47" hidden="1" x14ac:dyDescent="0.25">
      <c r="A280" s="165" t="s">
        <v>1098</v>
      </c>
      <c r="B280" s="165" t="s">
        <v>88</v>
      </c>
      <c r="C280" s="165" t="s">
        <v>23</v>
      </c>
      <c r="D280" s="165" t="s">
        <v>1099</v>
      </c>
      <c r="E280" s="165" t="s">
        <v>4519</v>
      </c>
      <c r="F280" s="165" t="s">
        <v>11</v>
      </c>
      <c r="G280" s="165" t="s">
        <v>8</v>
      </c>
      <c r="H280" s="165" t="s">
        <v>241</v>
      </c>
      <c r="I280" s="165" t="s">
        <v>3803</v>
      </c>
      <c r="J280" s="165" t="s">
        <v>4011</v>
      </c>
      <c r="K280" s="165"/>
      <c r="L280" s="165"/>
      <c r="M280" s="165"/>
      <c r="N280" s="165"/>
      <c r="O280" s="165"/>
      <c r="P280" s="165"/>
      <c r="Q280" s="165"/>
      <c r="R280" s="165"/>
      <c r="S280" s="165" t="s">
        <v>3902</v>
      </c>
      <c r="T280" s="165"/>
      <c r="U280" s="165"/>
      <c r="V280" s="165"/>
      <c r="W280" s="165"/>
      <c r="X280" s="165" t="s">
        <v>2428</v>
      </c>
      <c r="Y280">
        <v>2</v>
      </c>
      <c r="Z280" s="165" t="s">
        <v>3903</v>
      </c>
      <c r="AA280" s="165" t="s">
        <v>3811</v>
      </c>
      <c r="AB280" s="165" t="s">
        <v>3810</v>
      </c>
      <c r="AC280" s="165" t="s">
        <v>3809</v>
      </c>
      <c r="AD280" s="165" t="s">
        <v>4506</v>
      </c>
      <c r="AE280">
        <v>17</v>
      </c>
      <c r="AF280" s="165" t="s">
        <v>4507</v>
      </c>
      <c r="AG280">
        <v>449</v>
      </c>
      <c r="AH280">
        <v>401</v>
      </c>
      <c r="AI280">
        <v>47.9</v>
      </c>
      <c r="AJ280">
        <v>43.1</v>
      </c>
      <c r="AK280" s="165" t="s">
        <v>4508</v>
      </c>
      <c r="AN280">
        <v>2</v>
      </c>
      <c r="AO280">
        <v>2</v>
      </c>
      <c r="AP280">
        <v>4</v>
      </c>
      <c r="AQ280" s="165" t="s">
        <v>3815</v>
      </c>
      <c r="AR280" t="s">
        <v>3816</v>
      </c>
      <c r="AS280" s="165" t="s">
        <v>30</v>
      </c>
      <c r="AT280" t="s">
        <v>5291</v>
      </c>
      <c r="AU280" t="s">
        <v>5291</v>
      </c>
    </row>
    <row r="281" spans="1:47" hidden="1" x14ac:dyDescent="0.25">
      <c r="A281" s="165" t="s">
        <v>1108</v>
      </c>
      <c r="B281" s="165" t="s">
        <v>88</v>
      </c>
      <c r="C281" s="165" t="s">
        <v>23</v>
      </c>
      <c r="D281" s="165" t="s">
        <v>1109</v>
      </c>
      <c r="E281" s="165" t="s">
        <v>4520</v>
      </c>
      <c r="F281" s="165" t="s">
        <v>11</v>
      </c>
      <c r="G281" s="165" t="s">
        <v>8</v>
      </c>
      <c r="H281" s="165" t="s">
        <v>241</v>
      </c>
      <c r="I281" s="165" t="s">
        <v>3803</v>
      </c>
      <c r="J281" s="165" t="s">
        <v>4011</v>
      </c>
      <c r="K281" s="165"/>
      <c r="L281" s="165"/>
      <c r="M281" s="165"/>
      <c r="N281" s="165"/>
      <c r="O281" s="165"/>
      <c r="P281" s="165"/>
      <c r="Q281" s="165"/>
      <c r="R281" s="165"/>
      <c r="S281" s="165" t="s">
        <v>3902</v>
      </c>
      <c r="T281" s="165"/>
      <c r="U281" s="165"/>
      <c r="V281" s="165"/>
      <c r="W281" s="165"/>
      <c r="X281" s="165" t="s">
        <v>2428</v>
      </c>
      <c r="Y281">
        <v>2</v>
      </c>
      <c r="Z281" s="165" t="s">
        <v>3903</v>
      </c>
      <c r="AA281" s="165" t="s">
        <v>3811</v>
      </c>
      <c r="AB281" s="165" t="s">
        <v>3810</v>
      </c>
      <c r="AC281" s="165" t="s">
        <v>3809</v>
      </c>
      <c r="AD281" s="165" t="s">
        <v>4506</v>
      </c>
      <c r="AE281">
        <v>17</v>
      </c>
      <c r="AF281" s="165" t="s">
        <v>4507</v>
      </c>
      <c r="AG281">
        <v>449</v>
      </c>
      <c r="AH281">
        <v>401</v>
      </c>
      <c r="AI281">
        <v>47.9</v>
      </c>
      <c r="AJ281">
        <v>43.1</v>
      </c>
      <c r="AK281" s="165" t="s">
        <v>4508</v>
      </c>
      <c r="AN281">
        <v>2</v>
      </c>
      <c r="AO281">
        <v>2</v>
      </c>
      <c r="AP281">
        <v>4</v>
      </c>
      <c r="AQ281" s="165" t="s">
        <v>3815</v>
      </c>
      <c r="AR281" t="s">
        <v>3816</v>
      </c>
      <c r="AS281" s="165" t="s">
        <v>30</v>
      </c>
      <c r="AT281" t="s">
        <v>5291</v>
      </c>
      <c r="AU281" t="s">
        <v>5291</v>
      </c>
    </row>
    <row r="282" spans="1:47" hidden="1" x14ac:dyDescent="0.25">
      <c r="A282" s="165" t="s">
        <v>1118</v>
      </c>
      <c r="B282" s="165" t="s">
        <v>88</v>
      </c>
      <c r="C282" s="165" t="s">
        <v>23</v>
      </c>
      <c r="D282" s="165" t="s">
        <v>1119</v>
      </c>
      <c r="E282" s="165" t="s">
        <v>4159</v>
      </c>
      <c r="F282" s="165" t="s">
        <v>11</v>
      </c>
      <c r="G282" s="165" t="s">
        <v>8</v>
      </c>
      <c r="H282" s="165" t="s">
        <v>241</v>
      </c>
      <c r="I282" s="165" t="s">
        <v>3803</v>
      </c>
      <c r="J282" s="165" t="s">
        <v>4011</v>
      </c>
      <c r="K282" s="165"/>
      <c r="L282" s="165"/>
      <c r="M282" s="165"/>
      <c r="N282" s="165"/>
      <c r="O282" s="165"/>
      <c r="P282" s="165"/>
      <c r="Q282" s="165"/>
      <c r="R282" s="165"/>
      <c r="S282" s="165" t="s">
        <v>3902</v>
      </c>
      <c r="T282" s="165"/>
      <c r="U282" s="165"/>
      <c r="V282" s="165"/>
      <c r="W282" s="165"/>
      <c r="X282" s="165" t="s">
        <v>2428</v>
      </c>
      <c r="Y282">
        <v>2</v>
      </c>
      <c r="Z282" s="165" t="s">
        <v>3903</v>
      </c>
      <c r="AA282" s="165" t="s">
        <v>3811</v>
      </c>
      <c r="AB282" s="165" t="s">
        <v>3810</v>
      </c>
      <c r="AC282" s="165" t="s">
        <v>3809</v>
      </c>
      <c r="AD282" s="165" t="s">
        <v>4506</v>
      </c>
      <c r="AE282">
        <v>17</v>
      </c>
      <c r="AF282" s="165" t="s">
        <v>4507</v>
      </c>
      <c r="AG282">
        <v>449</v>
      </c>
      <c r="AH282">
        <v>401</v>
      </c>
      <c r="AI282">
        <v>47.9</v>
      </c>
      <c r="AJ282">
        <v>43.1</v>
      </c>
      <c r="AK282" s="165" t="s">
        <v>4508</v>
      </c>
      <c r="AN282">
        <v>2</v>
      </c>
      <c r="AO282">
        <v>2</v>
      </c>
      <c r="AP282">
        <v>4</v>
      </c>
      <c r="AQ282" s="165" t="s">
        <v>3815</v>
      </c>
      <c r="AR282" t="s">
        <v>3816</v>
      </c>
      <c r="AS282" s="165" t="s">
        <v>30</v>
      </c>
      <c r="AT282" t="s">
        <v>5291</v>
      </c>
      <c r="AU282" t="s">
        <v>5291</v>
      </c>
    </row>
    <row r="283" spans="1:47" hidden="1" x14ac:dyDescent="0.25">
      <c r="A283" s="165" t="s">
        <v>1174</v>
      </c>
      <c r="B283" s="165" t="s">
        <v>88</v>
      </c>
      <c r="C283" s="165" t="s">
        <v>23</v>
      </c>
      <c r="D283" s="165" t="s">
        <v>1175</v>
      </c>
      <c r="E283" s="165" t="s">
        <v>4161</v>
      </c>
      <c r="F283" s="165" t="s">
        <v>11</v>
      </c>
      <c r="G283" s="165" t="s">
        <v>8</v>
      </c>
      <c r="H283" s="165" t="s">
        <v>241</v>
      </c>
      <c r="I283" s="165" t="s">
        <v>3803</v>
      </c>
      <c r="J283" s="165" t="s">
        <v>4011</v>
      </c>
      <c r="K283" s="165"/>
      <c r="L283" s="165"/>
      <c r="M283" s="165"/>
      <c r="N283" s="165"/>
      <c r="O283" s="165"/>
      <c r="P283" s="165"/>
      <c r="Q283" s="165"/>
      <c r="R283" s="165"/>
      <c r="S283" s="165" t="s">
        <v>3902</v>
      </c>
      <c r="T283" s="165"/>
      <c r="U283" s="165"/>
      <c r="V283" s="165"/>
      <c r="W283" s="165"/>
      <c r="X283" s="165" t="s">
        <v>2428</v>
      </c>
      <c r="Y283">
        <v>2</v>
      </c>
      <c r="Z283" s="165" t="s">
        <v>3903</v>
      </c>
      <c r="AA283" s="165" t="s">
        <v>3811</v>
      </c>
      <c r="AB283" s="165" t="s">
        <v>3810</v>
      </c>
      <c r="AC283" s="165" t="s">
        <v>3809</v>
      </c>
      <c r="AD283" s="165" t="s">
        <v>4506</v>
      </c>
      <c r="AE283">
        <v>17</v>
      </c>
      <c r="AF283" s="165" t="s">
        <v>4507</v>
      </c>
      <c r="AG283">
        <v>449</v>
      </c>
      <c r="AH283">
        <v>401</v>
      </c>
      <c r="AI283">
        <v>47.9</v>
      </c>
      <c r="AJ283">
        <v>43.1</v>
      </c>
      <c r="AK283" s="165" t="s">
        <v>4508</v>
      </c>
      <c r="AN283">
        <v>2</v>
      </c>
      <c r="AO283">
        <v>2</v>
      </c>
      <c r="AP283">
        <v>4</v>
      </c>
      <c r="AQ283" s="165" t="s">
        <v>3815</v>
      </c>
      <c r="AR283" t="s">
        <v>3816</v>
      </c>
      <c r="AS283" s="165" t="s">
        <v>30</v>
      </c>
      <c r="AT283" t="s">
        <v>5291</v>
      </c>
      <c r="AU283" t="s">
        <v>5291</v>
      </c>
    </row>
    <row r="284" spans="1:47" hidden="1" x14ac:dyDescent="0.25">
      <c r="A284" s="165" t="s">
        <v>1220</v>
      </c>
      <c r="B284" s="165" t="s">
        <v>88</v>
      </c>
      <c r="C284" s="165" t="s">
        <v>23</v>
      </c>
      <c r="D284" s="165" t="s">
        <v>1221</v>
      </c>
      <c r="E284" s="165" t="s">
        <v>4521</v>
      </c>
      <c r="F284" s="165" t="s">
        <v>11</v>
      </c>
      <c r="G284" s="165" t="s">
        <v>8</v>
      </c>
      <c r="H284" s="165" t="s">
        <v>241</v>
      </c>
      <c r="I284" s="165" t="s">
        <v>3803</v>
      </c>
      <c r="J284" s="165" t="s">
        <v>4011</v>
      </c>
      <c r="K284" s="165"/>
      <c r="L284" s="165"/>
      <c r="M284" s="165"/>
      <c r="N284" s="165"/>
      <c r="O284" s="165"/>
      <c r="P284" s="165"/>
      <c r="Q284" s="165"/>
      <c r="R284" s="165"/>
      <c r="S284" s="165" t="s">
        <v>3902</v>
      </c>
      <c r="T284" s="165"/>
      <c r="U284" s="165"/>
      <c r="V284" s="165"/>
      <c r="W284" s="165"/>
      <c r="X284" s="165" t="s">
        <v>2428</v>
      </c>
      <c r="Y284">
        <v>2</v>
      </c>
      <c r="Z284" s="165" t="s">
        <v>3903</v>
      </c>
      <c r="AA284" s="165" t="s">
        <v>3811</v>
      </c>
      <c r="AB284" s="165" t="s">
        <v>3810</v>
      </c>
      <c r="AC284" s="165" t="s">
        <v>3809</v>
      </c>
      <c r="AD284" s="165" t="s">
        <v>4506</v>
      </c>
      <c r="AE284">
        <v>17</v>
      </c>
      <c r="AF284" s="165" t="s">
        <v>4507</v>
      </c>
      <c r="AG284">
        <v>449</v>
      </c>
      <c r="AH284">
        <v>401</v>
      </c>
      <c r="AI284">
        <v>47.9</v>
      </c>
      <c r="AJ284">
        <v>43.1</v>
      </c>
      <c r="AK284" s="165" t="s">
        <v>4508</v>
      </c>
      <c r="AN284">
        <v>2</v>
      </c>
      <c r="AO284">
        <v>2</v>
      </c>
      <c r="AP284">
        <v>4</v>
      </c>
      <c r="AQ284" s="165" t="s">
        <v>3815</v>
      </c>
      <c r="AR284" t="s">
        <v>4009</v>
      </c>
      <c r="AS284" s="165" t="s">
        <v>30</v>
      </c>
      <c r="AT284" t="s">
        <v>5291</v>
      </c>
      <c r="AU284" t="s">
        <v>5291</v>
      </c>
    </row>
    <row r="285" spans="1:47" hidden="1" x14ac:dyDescent="0.25">
      <c r="A285" s="165" t="s">
        <v>1224</v>
      </c>
      <c r="B285" s="165" t="s">
        <v>3340</v>
      </c>
      <c r="C285" s="165" t="s">
        <v>23</v>
      </c>
      <c r="D285" s="165" t="s">
        <v>1225</v>
      </c>
      <c r="E285" s="165" t="s">
        <v>4041</v>
      </c>
      <c r="F285" s="165" t="s">
        <v>11</v>
      </c>
      <c r="G285" s="165" t="s">
        <v>8</v>
      </c>
      <c r="H285" s="165" t="s">
        <v>241</v>
      </c>
      <c r="I285" s="165" t="s">
        <v>3803</v>
      </c>
      <c r="J285" s="165" t="s">
        <v>4011</v>
      </c>
      <c r="K285" s="165"/>
      <c r="L285" s="165"/>
      <c r="M285" s="165"/>
      <c r="N285" s="165"/>
      <c r="O285" s="165"/>
      <c r="P285" s="165"/>
      <c r="Q285" s="165"/>
      <c r="R285" s="165"/>
      <c r="S285" s="165" t="s">
        <v>3902</v>
      </c>
      <c r="T285" s="165"/>
      <c r="U285" s="165"/>
      <c r="V285" s="165"/>
      <c r="W285" s="165"/>
      <c r="X285" s="165" t="s">
        <v>2428</v>
      </c>
      <c r="Y285">
        <v>2</v>
      </c>
      <c r="Z285" s="165" t="s">
        <v>3903</v>
      </c>
      <c r="AA285" s="165" t="s">
        <v>3811</v>
      </c>
      <c r="AB285" s="165" t="s">
        <v>3810</v>
      </c>
      <c r="AC285" s="165" t="s">
        <v>3809</v>
      </c>
      <c r="AD285" s="165" t="s">
        <v>4506</v>
      </c>
      <c r="AE285">
        <v>17</v>
      </c>
      <c r="AF285" s="165" t="s">
        <v>4507</v>
      </c>
      <c r="AG285">
        <v>449</v>
      </c>
      <c r="AH285">
        <v>401</v>
      </c>
      <c r="AI285">
        <v>47.9</v>
      </c>
      <c r="AJ285">
        <v>43.1</v>
      </c>
      <c r="AK285" s="165" t="s">
        <v>4508</v>
      </c>
      <c r="AN285">
        <v>2</v>
      </c>
      <c r="AO285">
        <v>2</v>
      </c>
      <c r="AP285">
        <v>4</v>
      </c>
      <c r="AQ285" s="165" t="s">
        <v>3815</v>
      </c>
      <c r="AR285" t="s">
        <v>3830</v>
      </c>
      <c r="AS285" s="165" t="s">
        <v>30</v>
      </c>
      <c r="AT285" t="s">
        <v>5291</v>
      </c>
      <c r="AU285" t="s">
        <v>5291</v>
      </c>
    </row>
    <row r="286" spans="1:47" hidden="1" x14ac:dyDescent="0.25">
      <c r="A286" s="165" t="s">
        <v>1234</v>
      </c>
      <c r="B286" s="165" t="s">
        <v>88</v>
      </c>
      <c r="C286" s="165" t="s">
        <v>23</v>
      </c>
      <c r="D286" s="165" t="s">
        <v>1235</v>
      </c>
      <c r="E286" s="165" t="s">
        <v>4164</v>
      </c>
      <c r="F286" s="165" t="s">
        <v>11</v>
      </c>
      <c r="G286" s="165" t="s">
        <v>8</v>
      </c>
      <c r="H286" s="165" t="s">
        <v>241</v>
      </c>
      <c r="I286" s="165" t="s">
        <v>3803</v>
      </c>
      <c r="J286" s="165" t="s">
        <v>4011</v>
      </c>
      <c r="K286" s="165"/>
      <c r="L286" s="165"/>
      <c r="M286" s="165"/>
      <c r="N286" s="165"/>
      <c r="O286" s="165"/>
      <c r="P286" s="165"/>
      <c r="Q286" s="165"/>
      <c r="R286" s="165"/>
      <c r="S286" s="165" t="s">
        <v>3902</v>
      </c>
      <c r="T286" s="165"/>
      <c r="U286" s="165"/>
      <c r="V286" s="165"/>
      <c r="W286" s="165"/>
      <c r="X286" s="165" t="s">
        <v>2428</v>
      </c>
      <c r="Y286">
        <v>2</v>
      </c>
      <c r="Z286" s="165" t="s">
        <v>3903</v>
      </c>
      <c r="AA286" s="165" t="s">
        <v>3811</v>
      </c>
      <c r="AB286" s="165" t="s">
        <v>3810</v>
      </c>
      <c r="AC286" s="165" t="s">
        <v>3809</v>
      </c>
      <c r="AD286" s="165" t="s">
        <v>4506</v>
      </c>
      <c r="AE286">
        <v>17</v>
      </c>
      <c r="AF286" s="165" t="s">
        <v>4507</v>
      </c>
      <c r="AG286">
        <v>449</v>
      </c>
      <c r="AH286">
        <v>401</v>
      </c>
      <c r="AI286">
        <v>47.9</v>
      </c>
      <c r="AJ286">
        <v>43.1</v>
      </c>
      <c r="AK286" s="165" t="s">
        <v>4508</v>
      </c>
      <c r="AN286">
        <v>2</v>
      </c>
      <c r="AO286">
        <v>2</v>
      </c>
      <c r="AP286">
        <v>4</v>
      </c>
      <c r="AQ286" s="165" t="s">
        <v>3815</v>
      </c>
      <c r="AR286" t="s">
        <v>3816</v>
      </c>
      <c r="AS286" s="165" t="s">
        <v>30</v>
      </c>
      <c r="AT286" t="s">
        <v>5291</v>
      </c>
      <c r="AU286" t="s">
        <v>5291</v>
      </c>
    </row>
    <row r="287" spans="1:47" hidden="1" x14ac:dyDescent="0.25">
      <c r="A287" s="165" t="s">
        <v>1244</v>
      </c>
      <c r="B287" s="165" t="s">
        <v>4522</v>
      </c>
      <c r="C287" s="165" t="s">
        <v>23</v>
      </c>
      <c r="D287" s="165" t="s">
        <v>1245</v>
      </c>
      <c r="E287" s="165" t="s">
        <v>4177</v>
      </c>
      <c r="F287" s="165" t="s">
        <v>11</v>
      </c>
      <c r="G287" s="165" t="s">
        <v>8</v>
      </c>
      <c r="H287" s="165" t="s">
        <v>241</v>
      </c>
      <c r="I287" s="165" t="s">
        <v>3803</v>
      </c>
      <c r="J287" s="165" t="s">
        <v>4011</v>
      </c>
      <c r="K287" s="165"/>
      <c r="L287" s="165"/>
      <c r="M287" s="165"/>
      <c r="N287" s="165"/>
      <c r="O287" s="165"/>
      <c r="P287" s="165"/>
      <c r="Q287" s="165"/>
      <c r="R287" s="165"/>
      <c r="S287" s="165" t="s">
        <v>3902</v>
      </c>
      <c r="T287" s="165"/>
      <c r="U287" s="165"/>
      <c r="V287" s="165"/>
      <c r="W287" s="165"/>
      <c r="X287" s="165" t="s">
        <v>2428</v>
      </c>
      <c r="Y287">
        <v>2</v>
      </c>
      <c r="Z287" s="165" t="s">
        <v>3903</v>
      </c>
      <c r="AA287" s="165" t="s">
        <v>3811</v>
      </c>
      <c r="AB287" s="165" t="s">
        <v>3810</v>
      </c>
      <c r="AC287" s="165" t="s">
        <v>3809</v>
      </c>
      <c r="AD287" s="165" t="s">
        <v>4506</v>
      </c>
      <c r="AE287">
        <v>17</v>
      </c>
      <c r="AF287" s="165" t="s">
        <v>4507</v>
      </c>
      <c r="AG287">
        <v>449</v>
      </c>
      <c r="AH287">
        <v>401</v>
      </c>
      <c r="AI287">
        <v>47.9</v>
      </c>
      <c r="AJ287">
        <v>43.1</v>
      </c>
      <c r="AK287" s="165" t="s">
        <v>4508</v>
      </c>
      <c r="AN287">
        <v>2</v>
      </c>
      <c r="AO287">
        <v>2</v>
      </c>
      <c r="AP287">
        <v>4</v>
      </c>
      <c r="AQ287" s="165" t="s">
        <v>3815</v>
      </c>
      <c r="AR287" t="s">
        <v>3816</v>
      </c>
      <c r="AS287" s="165" t="s">
        <v>30</v>
      </c>
      <c r="AT287" t="s">
        <v>5291</v>
      </c>
      <c r="AU287" t="s">
        <v>5291</v>
      </c>
    </row>
    <row r="288" spans="1:47" hidden="1" x14ac:dyDescent="0.25">
      <c r="A288" s="165" t="s">
        <v>1272</v>
      </c>
      <c r="B288" s="165" t="s">
        <v>3356</v>
      </c>
      <c r="C288" s="165" t="s">
        <v>23</v>
      </c>
      <c r="D288" s="165" t="s">
        <v>1273</v>
      </c>
      <c r="E288" s="165" t="s">
        <v>3492</v>
      </c>
      <c r="F288" s="165" t="s">
        <v>11</v>
      </c>
      <c r="G288" s="165" t="s">
        <v>8</v>
      </c>
      <c r="H288" s="165" t="s">
        <v>241</v>
      </c>
      <c r="I288" s="165" t="s">
        <v>3803</v>
      </c>
      <c r="J288" s="165" t="s">
        <v>4011</v>
      </c>
      <c r="K288" s="165"/>
      <c r="L288" s="165"/>
      <c r="M288" s="165"/>
      <c r="N288" s="165"/>
      <c r="O288" s="165"/>
      <c r="P288" s="165"/>
      <c r="Q288" s="165"/>
      <c r="R288" s="165"/>
      <c r="S288" s="165" t="s">
        <v>3902</v>
      </c>
      <c r="T288" s="165"/>
      <c r="U288" s="165"/>
      <c r="V288" s="165"/>
      <c r="W288" s="165"/>
      <c r="X288" s="165" t="s">
        <v>2428</v>
      </c>
      <c r="Y288">
        <v>2</v>
      </c>
      <c r="Z288" s="165" t="s">
        <v>3903</v>
      </c>
      <c r="AA288" s="165" t="s">
        <v>3811</v>
      </c>
      <c r="AB288" s="165" t="s">
        <v>3810</v>
      </c>
      <c r="AC288" s="165" t="s">
        <v>3809</v>
      </c>
      <c r="AD288" s="165" t="s">
        <v>4506</v>
      </c>
      <c r="AE288">
        <v>17</v>
      </c>
      <c r="AF288" s="165" t="s">
        <v>4507</v>
      </c>
      <c r="AG288">
        <v>449</v>
      </c>
      <c r="AH288">
        <v>401</v>
      </c>
      <c r="AI288">
        <v>47.9</v>
      </c>
      <c r="AJ288">
        <v>43.1</v>
      </c>
      <c r="AK288" s="165" t="s">
        <v>4508</v>
      </c>
      <c r="AN288">
        <v>2</v>
      </c>
      <c r="AO288">
        <v>2</v>
      </c>
      <c r="AP288">
        <v>4</v>
      </c>
      <c r="AQ288" s="165" t="s">
        <v>3815</v>
      </c>
      <c r="AR288" t="s">
        <v>3998</v>
      </c>
      <c r="AS288" s="165" t="s">
        <v>30</v>
      </c>
      <c r="AT288" t="s">
        <v>5291</v>
      </c>
      <c r="AU288" t="s">
        <v>5291</v>
      </c>
    </row>
    <row r="289" spans="1:47" hidden="1" x14ac:dyDescent="0.25">
      <c r="A289" s="165" t="s">
        <v>1274</v>
      </c>
      <c r="B289" s="165" t="s">
        <v>4523</v>
      </c>
      <c r="C289" s="165" t="s">
        <v>23</v>
      </c>
      <c r="D289" s="165" t="s">
        <v>1275</v>
      </c>
      <c r="E289" s="165" t="s">
        <v>4524</v>
      </c>
      <c r="F289" s="165" t="s">
        <v>11</v>
      </c>
      <c r="G289" s="165" t="s">
        <v>8</v>
      </c>
      <c r="H289" s="165" t="s">
        <v>241</v>
      </c>
      <c r="I289" s="165" t="s">
        <v>3803</v>
      </c>
      <c r="J289" s="165" t="s">
        <v>4011</v>
      </c>
      <c r="K289" s="165"/>
      <c r="L289" s="165"/>
      <c r="M289" s="165"/>
      <c r="N289" s="165"/>
      <c r="O289" s="165"/>
      <c r="P289" s="165"/>
      <c r="Q289" s="165"/>
      <c r="R289" s="165"/>
      <c r="S289" s="165" t="s">
        <v>3902</v>
      </c>
      <c r="T289" s="165"/>
      <c r="U289" s="165"/>
      <c r="V289" s="165"/>
      <c r="W289" s="165"/>
      <c r="X289" s="165" t="s">
        <v>2428</v>
      </c>
      <c r="Y289">
        <v>2</v>
      </c>
      <c r="Z289" s="165" t="s">
        <v>3903</v>
      </c>
      <c r="AA289" s="165" t="s">
        <v>3811</v>
      </c>
      <c r="AB289" s="165" t="s">
        <v>3810</v>
      </c>
      <c r="AC289" s="165" t="s">
        <v>3809</v>
      </c>
      <c r="AD289" s="165" t="s">
        <v>4506</v>
      </c>
      <c r="AE289">
        <v>17</v>
      </c>
      <c r="AF289" s="165" t="s">
        <v>4507</v>
      </c>
      <c r="AG289">
        <v>449</v>
      </c>
      <c r="AH289">
        <v>401</v>
      </c>
      <c r="AI289">
        <v>47.9</v>
      </c>
      <c r="AJ289">
        <v>43.1</v>
      </c>
      <c r="AK289" s="165" t="s">
        <v>4508</v>
      </c>
      <c r="AN289">
        <v>2</v>
      </c>
      <c r="AO289">
        <v>2</v>
      </c>
      <c r="AP289">
        <v>4</v>
      </c>
      <c r="AQ289" s="165" t="s">
        <v>3815</v>
      </c>
      <c r="AR289" t="s">
        <v>4076</v>
      </c>
      <c r="AS289" s="165" t="s">
        <v>30</v>
      </c>
      <c r="AT289" t="s">
        <v>5291</v>
      </c>
      <c r="AU289" t="s">
        <v>5291</v>
      </c>
    </row>
    <row r="290" spans="1:47" hidden="1" x14ac:dyDescent="0.25">
      <c r="A290" s="165" t="s">
        <v>1316</v>
      </c>
      <c r="B290" s="165" t="s">
        <v>88</v>
      </c>
      <c r="C290" s="165" t="s">
        <v>23</v>
      </c>
      <c r="D290" s="165" t="s">
        <v>1317</v>
      </c>
      <c r="E290" s="165" t="s">
        <v>4167</v>
      </c>
      <c r="F290" s="165" t="s">
        <v>11</v>
      </c>
      <c r="G290" s="165" t="s">
        <v>8</v>
      </c>
      <c r="H290" s="165" t="s">
        <v>241</v>
      </c>
      <c r="I290" s="165" t="s">
        <v>3803</v>
      </c>
      <c r="J290" s="165" t="s">
        <v>4011</v>
      </c>
      <c r="K290" s="165"/>
      <c r="L290" s="165"/>
      <c r="M290" s="165"/>
      <c r="N290" s="165"/>
      <c r="O290" s="165"/>
      <c r="P290" s="165"/>
      <c r="Q290" s="165"/>
      <c r="R290" s="165"/>
      <c r="S290" s="165" t="s">
        <v>3902</v>
      </c>
      <c r="T290" s="165"/>
      <c r="U290" s="165"/>
      <c r="V290" s="165"/>
      <c r="W290" s="165"/>
      <c r="X290" s="165" t="s">
        <v>2428</v>
      </c>
      <c r="Y290">
        <v>2</v>
      </c>
      <c r="Z290" s="165" t="s">
        <v>3903</v>
      </c>
      <c r="AA290" s="165" t="s">
        <v>3811</v>
      </c>
      <c r="AB290" s="165" t="s">
        <v>3810</v>
      </c>
      <c r="AC290" s="165" t="s">
        <v>3809</v>
      </c>
      <c r="AD290" s="165" t="s">
        <v>4506</v>
      </c>
      <c r="AE290">
        <v>17</v>
      </c>
      <c r="AF290" s="165" t="s">
        <v>4507</v>
      </c>
      <c r="AG290">
        <v>449</v>
      </c>
      <c r="AH290">
        <v>401</v>
      </c>
      <c r="AI290">
        <v>47.9</v>
      </c>
      <c r="AJ290">
        <v>43.1</v>
      </c>
      <c r="AK290" s="165" t="s">
        <v>4508</v>
      </c>
      <c r="AN290">
        <v>2</v>
      </c>
      <c r="AO290">
        <v>2</v>
      </c>
      <c r="AP290">
        <v>4</v>
      </c>
      <c r="AQ290" s="165" t="s">
        <v>3815</v>
      </c>
      <c r="AR290" t="s">
        <v>3928</v>
      </c>
      <c r="AS290" s="165" t="s">
        <v>30</v>
      </c>
      <c r="AT290" t="s">
        <v>5291</v>
      </c>
      <c r="AU290" t="s">
        <v>5291</v>
      </c>
    </row>
    <row r="291" spans="1:47" hidden="1" x14ac:dyDescent="0.25">
      <c r="A291" s="165" t="s">
        <v>1322</v>
      </c>
      <c r="B291" s="165" t="s">
        <v>88</v>
      </c>
      <c r="C291" s="165" t="s">
        <v>23</v>
      </c>
      <c r="D291" s="165" t="s">
        <v>1323</v>
      </c>
      <c r="E291" s="165" t="s">
        <v>4167</v>
      </c>
      <c r="F291" s="165" t="s">
        <v>11</v>
      </c>
      <c r="G291" s="165" t="s">
        <v>8</v>
      </c>
      <c r="H291" s="165" t="s">
        <v>241</v>
      </c>
      <c r="I291" s="165" t="s">
        <v>3803</v>
      </c>
      <c r="J291" s="165" t="s">
        <v>4011</v>
      </c>
      <c r="K291" s="165"/>
      <c r="L291" s="165"/>
      <c r="M291" s="165"/>
      <c r="N291" s="165"/>
      <c r="O291" s="165"/>
      <c r="P291" s="165"/>
      <c r="Q291" s="165"/>
      <c r="R291" s="165"/>
      <c r="S291" s="165" t="s">
        <v>3902</v>
      </c>
      <c r="T291" s="165"/>
      <c r="U291" s="165"/>
      <c r="V291" s="165"/>
      <c r="W291" s="165"/>
      <c r="X291" s="165" t="s">
        <v>2428</v>
      </c>
      <c r="Y291">
        <v>2</v>
      </c>
      <c r="Z291" s="165" t="s">
        <v>3903</v>
      </c>
      <c r="AA291" s="165" t="s">
        <v>3811</v>
      </c>
      <c r="AB291" s="165" t="s">
        <v>3810</v>
      </c>
      <c r="AC291" s="165" t="s">
        <v>3809</v>
      </c>
      <c r="AD291" s="165" t="s">
        <v>4506</v>
      </c>
      <c r="AE291">
        <v>17</v>
      </c>
      <c r="AF291" s="165" t="s">
        <v>4507</v>
      </c>
      <c r="AG291">
        <v>449</v>
      </c>
      <c r="AH291">
        <v>401</v>
      </c>
      <c r="AI291">
        <v>47.9</v>
      </c>
      <c r="AJ291">
        <v>43.1</v>
      </c>
      <c r="AK291" s="165" t="s">
        <v>4508</v>
      </c>
      <c r="AN291">
        <v>2</v>
      </c>
      <c r="AO291">
        <v>2</v>
      </c>
      <c r="AP291">
        <v>4</v>
      </c>
      <c r="AQ291" s="165" t="s">
        <v>3815</v>
      </c>
      <c r="AR291" t="s">
        <v>3816</v>
      </c>
      <c r="AS291" s="165" t="s">
        <v>30</v>
      </c>
      <c r="AT291" t="s">
        <v>5291</v>
      </c>
      <c r="AU291" t="s">
        <v>5291</v>
      </c>
    </row>
    <row r="292" spans="1:47" hidden="1" x14ac:dyDescent="0.25">
      <c r="A292" s="165" t="s">
        <v>1357</v>
      </c>
      <c r="B292" s="165" t="s">
        <v>88</v>
      </c>
      <c r="C292" s="165" t="s">
        <v>23</v>
      </c>
      <c r="D292" s="165" t="s">
        <v>1358</v>
      </c>
      <c r="E292" s="165" t="s">
        <v>4042</v>
      </c>
      <c r="F292" s="165" t="s">
        <v>12</v>
      </c>
      <c r="G292" s="165" t="s">
        <v>8</v>
      </c>
      <c r="H292" s="165" t="s">
        <v>241</v>
      </c>
      <c r="I292" s="165" t="s">
        <v>3803</v>
      </c>
      <c r="J292" s="165" t="s">
        <v>4011</v>
      </c>
      <c r="K292" s="165"/>
      <c r="L292" s="165"/>
      <c r="M292" s="165"/>
      <c r="N292" s="165"/>
      <c r="O292" s="165"/>
      <c r="P292" s="165"/>
      <c r="Q292" s="165"/>
      <c r="R292" s="165"/>
      <c r="S292" s="165" t="s">
        <v>3902</v>
      </c>
      <c r="T292" s="165"/>
      <c r="U292" s="165"/>
      <c r="V292" s="165"/>
      <c r="W292" s="165"/>
      <c r="X292" s="165" t="s">
        <v>2428</v>
      </c>
      <c r="Y292">
        <v>2</v>
      </c>
      <c r="Z292" s="165" t="s">
        <v>3903</v>
      </c>
      <c r="AA292" s="165" t="s">
        <v>3811</v>
      </c>
      <c r="AB292" s="165" t="s">
        <v>3810</v>
      </c>
      <c r="AC292" s="165" t="s">
        <v>3809</v>
      </c>
      <c r="AD292" s="165" t="s">
        <v>4506</v>
      </c>
      <c r="AE292">
        <v>17</v>
      </c>
      <c r="AF292" s="165" t="s">
        <v>4507</v>
      </c>
      <c r="AG292">
        <v>449</v>
      </c>
      <c r="AH292">
        <v>401</v>
      </c>
      <c r="AI292">
        <v>47.9</v>
      </c>
      <c r="AJ292">
        <v>43.1</v>
      </c>
      <c r="AK292" s="165" t="s">
        <v>4508</v>
      </c>
      <c r="AN292">
        <v>2</v>
      </c>
      <c r="AO292">
        <v>2</v>
      </c>
      <c r="AP292">
        <v>4</v>
      </c>
      <c r="AQ292" s="165" t="s">
        <v>3815</v>
      </c>
      <c r="AR292" t="s">
        <v>3966</v>
      </c>
      <c r="AS292" s="165" t="s">
        <v>30</v>
      </c>
      <c r="AT292" t="s">
        <v>5291</v>
      </c>
      <c r="AU292" t="s">
        <v>5291</v>
      </c>
    </row>
    <row r="293" spans="1:47" hidden="1" x14ac:dyDescent="0.25">
      <c r="A293" s="165" t="s">
        <v>4525</v>
      </c>
      <c r="B293" s="165" t="s">
        <v>88</v>
      </c>
      <c r="C293" s="165" t="s">
        <v>23</v>
      </c>
      <c r="D293" s="165" t="s">
        <v>4526</v>
      </c>
      <c r="E293" s="165" t="s">
        <v>4527</v>
      </c>
      <c r="F293" s="165" t="s">
        <v>11</v>
      </c>
      <c r="G293" s="165" t="s">
        <v>8</v>
      </c>
      <c r="H293" s="165" t="s">
        <v>241</v>
      </c>
      <c r="I293" s="165" t="s">
        <v>3803</v>
      </c>
      <c r="J293" s="165" t="s">
        <v>4011</v>
      </c>
      <c r="K293" s="165"/>
      <c r="L293" s="165"/>
      <c r="M293" s="165"/>
      <c r="N293" s="165"/>
      <c r="O293" s="165"/>
      <c r="P293" s="165"/>
      <c r="Q293" s="165"/>
      <c r="R293" s="165"/>
      <c r="S293" s="165" t="s">
        <v>3902</v>
      </c>
      <c r="T293" s="165"/>
      <c r="U293" s="165"/>
      <c r="V293" s="165"/>
      <c r="W293" s="165"/>
      <c r="X293" s="165" t="s">
        <v>2428</v>
      </c>
      <c r="Y293">
        <v>2</v>
      </c>
      <c r="Z293" s="165" t="s">
        <v>3903</v>
      </c>
      <c r="AA293" s="165" t="s">
        <v>3811</v>
      </c>
      <c r="AB293" s="165" t="s">
        <v>3810</v>
      </c>
      <c r="AC293" s="165" t="s">
        <v>3809</v>
      </c>
      <c r="AD293" s="165" t="s">
        <v>4506</v>
      </c>
      <c r="AE293">
        <v>17</v>
      </c>
      <c r="AF293" s="165" t="s">
        <v>4507</v>
      </c>
      <c r="AG293">
        <v>449</v>
      </c>
      <c r="AH293">
        <v>401</v>
      </c>
      <c r="AI293">
        <v>47.9</v>
      </c>
      <c r="AJ293">
        <v>43.1</v>
      </c>
      <c r="AK293" s="165" t="s">
        <v>4508</v>
      </c>
      <c r="AN293">
        <v>2</v>
      </c>
      <c r="AO293">
        <v>2</v>
      </c>
      <c r="AP293">
        <v>4</v>
      </c>
      <c r="AQ293" s="165" t="s">
        <v>3815</v>
      </c>
      <c r="AR293" t="s">
        <v>4528</v>
      </c>
      <c r="AS293" s="165" t="s">
        <v>30</v>
      </c>
      <c r="AT293" t="s">
        <v>5291</v>
      </c>
      <c r="AU293" t="s">
        <v>5291</v>
      </c>
    </row>
    <row r="294" spans="1:47" hidden="1" x14ac:dyDescent="0.25">
      <c r="A294" s="165" t="s">
        <v>1484</v>
      </c>
      <c r="B294" s="165" t="s">
        <v>88</v>
      </c>
      <c r="C294" s="165" t="s">
        <v>23</v>
      </c>
      <c r="D294" s="165" t="s">
        <v>1485</v>
      </c>
      <c r="E294" s="165" t="s">
        <v>3951</v>
      </c>
      <c r="F294" s="165" t="s">
        <v>11</v>
      </c>
      <c r="G294" s="165" t="s">
        <v>8</v>
      </c>
      <c r="H294" s="165" t="s">
        <v>241</v>
      </c>
      <c r="I294" s="165" t="s">
        <v>3803</v>
      </c>
      <c r="J294" s="165" t="s">
        <v>4011</v>
      </c>
      <c r="K294" s="165"/>
      <c r="L294" s="165"/>
      <c r="M294" s="165"/>
      <c r="N294" s="165"/>
      <c r="O294" s="165"/>
      <c r="P294" s="165"/>
      <c r="Q294" s="165"/>
      <c r="R294" s="165"/>
      <c r="S294" s="165" t="s">
        <v>3902</v>
      </c>
      <c r="T294" s="165"/>
      <c r="U294" s="165"/>
      <c r="V294" s="165"/>
      <c r="W294" s="165"/>
      <c r="X294" s="165" t="s">
        <v>2428</v>
      </c>
      <c r="Y294">
        <v>2</v>
      </c>
      <c r="Z294" s="165" t="s">
        <v>3903</v>
      </c>
      <c r="AA294" s="165" t="s">
        <v>3811</v>
      </c>
      <c r="AB294" s="165" t="s">
        <v>3810</v>
      </c>
      <c r="AC294" s="165" t="s">
        <v>3809</v>
      </c>
      <c r="AD294" s="165" t="s">
        <v>4506</v>
      </c>
      <c r="AE294">
        <v>17</v>
      </c>
      <c r="AF294" s="165" t="s">
        <v>4507</v>
      </c>
      <c r="AG294">
        <v>449</v>
      </c>
      <c r="AH294">
        <v>401</v>
      </c>
      <c r="AI294">
        <v>47.9</v>
      </c>
      <c r="AJ294">
        <v>43.1</v>
      </c>
      <c r="AK294" s="165" t="s">
        <v>4508</v>
      </c>
      <c r="AN294">
        <v>2</v>
      </c>
      <c r="AO294">
        <v>2</v>
      </c>
      <c r="AP294">
        <v>4</v>
      </c>
      <c r="AQ294" s="165" t="s">
        <v>3815</v>
      </c>
      <c r="AR294" t="s">
        <v>3816</v>
      </c>
      <c r="AS294" s="165" t="s">
        <v>30</v>
      </c>
      <c r="AT294" t="s">
        <v>5291</v>
      </c>
      <c r="AU294" t="s">
        <v>5291</v>
      </c>
    </row>
    <row r="295" spans="1:47" hidden="1" x14ac:dyDescent="0.25">
      <c r="A295" s="165" t="s">
        <v>737</v>
      </c>
      <c r="B295" s="165" t="s">
        <v>3308</v>
      </c>
      <c r="C295" s="165" t="s">
        <v>23</v>
      </c>
      <c r="D295" s="165" t="s">
        <v>738</v>
      </c>
      <c r="E295" s="165" t="s">
        <v>4229</v>
      </c>
      <c r="F295" s="165" t="s">
        <v>12</v>
      </c>
      <c r="G295" s="165" t="s">
        <v>8</v>
      </c>
      <c r="H295" s="165" t="s">
        <v>241</v>
      </c>
      <c r="I295" s="165" t="s">
        <v>3803</v>
      </c>
      <c r="J295" s="165" t="s">
        <v>4011</v>
      </c>
      <c r="K295" s="165"/>
      <c r="L295" s="165"/>
      <c r="M295" s="165"/>
      <c r="N295" s="165"/>
      <c r="O295" s="165"/>
      <c r="P295" s="165"/>
      <c r="Q295" s="165"/>
      <c r="R295" s="165"/>
      <c r="S295" s="165" t="s">
        <v>3902</v>
      </c>
      <c r="T295" s="165"/>
      <c r="U295" s="165"/>
      <c r="V295" s="165"/>
      <c r="W295" s="165"/>
      <c r="X295" s="165" t="s">
        <v>2428</v>
      </c>
      <c r="Y295">
        <v>2</v>
      </c>
      <c r="Z295" s="165" t="s">
        <v>3903</v>
      </c>
      <c r="AA295" s="165" t="s">
        <v>3811</v>
      </c>
      <c r="AB295" s="165" t="s">
        <v>3810</v>
      </c>
      <c r="AC295" s="165" t="s">
        <v>3809</v>
      </c>
      <c r="AD295" s="165" t="s">
        <v>4094</v>
      </c>
      <c r="AE295">
        <v>30</v>
      </c>
      <c r="AF295" s="165" t="s">
        <v>4095</v>
      </c>
      <c r="AG295">
        <v>44</v>
      </c>
      <c r="AH295">
        <v>345</v>
      </c>
      <c r="AI295">
        <v>47</v>
      </c>
      <c r="AJ295">
        <v>37.5</v>
      </c>
      <c r="AK295" s="165" t="s">
        <v>4096</v>
      </c>
      <c r="AN295">
        <v>2</v>
      </c>
      <c r="AO295">
        <v>4</v>
      </c>
      <c r="AP295">
        <v>8</v>
      </c>
      <c r="AQ295" s="165" t="s">
        <v>3815</v>
      </c>
      <c r="AR295" t="s">
        <v>3974</v>
      </c>
      <c r="AS295" s="165" t="s">
        <v>30</v>
      </c>
      <c r="AT295" t="s">
        <v>5291</v>
      </c>
      <c r="AU295" t="s">
        <v>5291</v>
      </c>
    </row>
    <row r="296" spans="1:47" hidden="1" x14ac:dyDescent="0.25">
      <c r="A296" s="165" t="s">
        <v>759</v>
      </c>
      <c r="B296" s="165" t="s">
        <v>4529</v>
      </c>
      <c r="C296" s="165" t="s">
        <v>23</v>
      </c>
      <c r="D296" s="165" t="s">
        <v>760</v>
      </c>
      <c r="E296" s="165" t="s">
        <v>4285</v>
      </c>
      <c r="F296" s="165" t="s">
        <v>12</v>
      </c>
      <c r="G296" s="165" t="s">
        <v>8</v>
      </c>
      <c r="H296" s="165" t="s">
        <v>241</v>
      </c>
      <c r="I296" s="165" t="s">
        <v>3803</v>
      </c>
      <c r="J296" s="165" t="s">
        <v>4011</v>
      </c>
      <c r="K296" s="165"/>
      <c r="L296" s="165"/>
      <c r="M296" s="165"/>
      <c r="N296" s="165"/>
      <c r="O296" s="165"/>
      <c r="P296" s="165"/>
      <c r="Q296" s="165"/>
      <c r="R296" s="165"/>
      <c r="S296" s="165" t="s">
        <v>3902</v>
      </c>
      <c r="T296" s="165"/>
      <c r="U296" s="165"/>
      <c r="V296" s="165"/>
      <c r="W296" s="165"/>
      <c r="X296" s="165" t="s">
        <v>2428</v>
      </c>
      <c r="Y296">
        <v>2</v>
      </c>
      <c r="Z296" s="165" t="s">
        <v>3903</v>
      </c>
      <c r="AA296" s="165" t="s">
        <v>3811</v>
      </c>
      <c r="AB296" s="165" t="s">
        <v>3810</v>
      </c>
      <c r="AC296" s="165" t="s">
        <v>3809</v>
      </c>
      <c r="AD296" s="165" t="s">
        <v>4094</v>
      </c>
      <c r="AE296">
        <v>30</v>
      </c>
      <c r="AF296" s="165" t="s">
        <v>4095</v>
      </c>
      <c r="AG296">
        <v>44</v>
      </c>
      <c r="AH296">
        <v>345</v>
      </c>
      <c r="AI296">
        <v>47</v>
      </c>
      <c r="AJ296">
        <v>37.5</v>
      </c>
      <c r="AK296" s="165" t="s">
        <v>4096</v>
      </c>
      <c r="AN296">
        <v>2</v>
      </c>
      <c r="AO296">
        <v>4</v>
      </c>
      <c r="AP296">
        <v>8</v>
      </c>
      <c r="AQ296" s="165" t="s">
        <v>3815</v>
      </c>
      <c r="AR296" t="s">
        <v>3884</v>
      </c>
      <c r="AS296" s="165" t="s">
        <v>30</v>
      </c>
      <c r="AT296" t="s">
        <v>5291</v>
      </c>
      <c r="AU296" t="s">
        <v>5291</v>
      </c>
    </row>
    <row r="297" spans="1:47" hidden="1" x14ac:dyDescent="0.25">
      <c r="A297" s="165" t="s">
        <v>1795</v>
      </c>
      <c r="B297" s="165" t="s">
        <v>3457</v>
      </c>
      <c r="C297" s="165" t="s">
        <v>23</v>
      </c>
      <c r="D297" s="165" t="s">
        <v>1796</v>
      </c>
      <c r="E297" s="165" t="s">
        <v>4066</v>
      </c>
      <c r="F297" s="165" t="s">
        <v>11</v>
      </c>
      <c r="G297" s="165" t="s">
        <v>8</v>
      </c>
      <c r="H297" s="165" t="s">
        <v>241</v>
      </c>
      <c r="I297" s="165" t="s">
        <v>3803</v>
      </c>
      <c r="J297" s="165" t="s">
        <v>4011</v>
      </c>
      <c r="K297" s="165"/>
      <c r="L297" s="165"/>
      <c r="M297" s="165"/>
      <c r="N297" s="165"/>
      <c r="O297" s="165"/>
      <c r="P297" s="165"/>
      <c r="Q297" s="165"/>
      <c r="R297" s="165"/>
      <c r="S297" s="165" t="s">
        <v>3902</v>
      </c>
      <c r="T297" s="165"/>
      <c r="U297" s="165"/>
      <c r="V297" s="165"/>
      <c r="W297" s="165"/>
      <c r="X297" s="165" t="s">
        <v>2428</v>
      </c>
      <c r="Y297">
        <v>2</v>
      </c>
      <c r="Z297" s="165" t="s">
        <v>3903</v>
      </c>
      <c r="AA297" s="165" t="s">
        <v>3811</v>
      </c>
      <c r="AB297" s="165" t="s">
        <v>3810</v>
      </c>
      <c r="AC297" s="165" t="s">
        <v>3809</v>
      </c>
      <c r="AD297" s="165" t="s">
        <v>4094</v>
      </c>
      <c r="AE297">
        <v>30</v>
      </c>
      <c r="AF297" s="165" t="s">
        <v>4095</v>
      </c>
      <c r="AG297">
        <v>44</v>
      </c>
      <c r="AH297">
        <v>345</v>
      </c>
      <c r="AI297">
        <v>47</v>
      </c>
      <c r="AJ297">
        <v>37.5</v>
      </c>
      <c r="AK297" s="165" t="s">
        <v>4096</v>
      </c>
      <c r="AN297">
        <v>2</v>
      </c>
      <c r="AO297">
        <v>4</v>
      </c>
      <c r="AP297">
        <v>8</v>
      </c>
      <c r="AQ297" s="165" t="s">
        <v>3815</v>
      </c>
      <c r="AR297" t="s">
        <v>4009</v>
      </c>
      <c r="AS297" s="165" t="s">
        <v>30</v>
      </c>
      <c r="AT297" t="s">
        <v>5291</v>
      </c>
      <c r="AU297" t="s">
        <v>5291</v>
      </c>
    </row>
    <row r="298" spans="1:47" hidden="1" x14ac:dyDescent="0.25">
      <c r="A298" s="165" t="s">
        <v>1705</v>
      </c>
      <c r="B298" s="165" t="s">
        <v>3350</v>
      </c>
      <c r="C298" s="165" t="s">
        <v>23</v>
      </c>
      <c r="D298" s="165" t="s">
        <v>1706</v>
      </c>
      <c r="E298" s="165" t="s">
        <v>4327</v>
      </c>
      <c r="F298" s="165" t="s">
        <v>12</v>
      </c>
      <c r="G298" s="165" t="s">
        <v>8</v>
      </c>
      <c r="H298" s="165" t="s">
        <v>241</v>
      </c>
      <c r="I298" s="165" t="s">
        <v>3803</v>
      </c>
      <c r="J298" s="165" t="s">
        <v>4011</v>
      </c>
      <c r="K298" s="165"/>
      <c r="L298" s="165"/>
      <c r="M298" s="165"/>
      <c r="N298" s="165"/>
      <c r="O298" s="165"/>
      <c r="P298" s="165"/>
      <c r="Q298" s="165"/>
      <c r="R298" s="165"/>
      <c r="S298" s="165" t="s">
        <v>3902</v>
      </c>
      <c r="T298" s="165"/>
      <c r="U298" s="165"/>
      <c r="V298" s="165"/>
      <c r="W298" s="165"/>
      <c r="X298" s="165" t="s">
        <v>2428</v>
      </c>
      <c r="Y298">
        <v>2</v>
      </c>
      <c r="Z298" s="165" t="s">
        <v>3903</v>
      </c>
      <c r="AA298" s="165" t="s">
        <v>3811</v>
      </c>
      <c r="AB298" s="165" t="s">
        <v>3810</v>
      </c>
      <c r="AC298" s="165" t="s">
        <v>3809</v>
      </c>
      <c r="AD298" s="165" t="s">
        <v>4094</v>
      </c>
      <c r="AE298">
        <v>30</v>
      </c>
      <c r="AF298" s="165" t="s">
        <v>4095</v>
      </c>
      <c r="AG298">
        <v>44</v>
      </c>
      <c r="AH298">
        <v>345</v>
      </c>
      <c r="AI298">
        <v>47</v>
      </c>
      <c r="AJ298">
        <v>37.5</v>
      </c>
      <c r="AK298" s="165" t="s">
        <v>4096</v>
      </c>
      <c r="AN298">
        <v>2</v>
      </c>
      <c r="AO298">
        <v>4</v>
      </c>
      <c r="AP298">
        <v>8</v>
      </c>
      <c r="AQ298" s="165" t="s">
        <v>3815</v>
      </c>
      <c r="AS298" s="165" t="s">
        <v>30</v>
      </c>
      <c r="AT298" t="s">
        <v>5291</v>
      </c>
      <c r="AU298" t="s">
        <v>5291</v>
      </c>
    </row>
    <row r="299" spans="1:47" hidden="1" x14ac:dyDescent="0.25">
      <c r="A299" s="165" t="s">
        <v>875</v>
      </c>
      <c r="B299" s="165" t="s">
        <v>3373</v>
      </c>
      <c r="C299" s="165" t="s">
        <v>23</v>
      </c>
      <c r="D299" s="165" t="s">
        <v>876</v>
      </c>
      <c r="E299" s="165" t="s">
        <v>4530</v>
      </c>
      <c r="F299" s="165" t="s">
        <v>11</v>
      </c>
      <c r="G299" s="165" t="s">
        <v>8</v>
      </c>
      <c r="H299" s="165" t="s">
        <v>241</v>
      </c>
      <c r="I299" s="165" t="s">
        <v>3803</v>
      </c>
      <c r="J299" s="165" t="s">
        <v>4011</v>
      </c>
      <c r="K299" s="165"/>
      <c r="L299" s="165"/>
      <c r="M299" s="165"/>
      <c r="N299" s="165"/>
      <c r="O299" s="165"/>
      <c r="P299" s="165"/>
      <c r="Q299" s="165"/>
      <c r="R299" s="165"/>
      <c r="S299" s="165" t="s">
        <v>3902</v>
      </c>
      <c r="T299" s="165"/>
      <c r="U299" s="165"/>
      <c r="V299" s="165"/>
      <c r="W299" s="165"/>
      <c r="X299" s="165" t="s">
        <v>2428</v>
      </c>
      <c r="Y299">
        <v>2</v>
      </c>
      <c r="Z299" s="165" t="s">
        <v>3903</v>
      </c>
      <c r="AA299" s="165" t="s">
        <v>3811</v>
      </c>
      <c r="AB299" s="165" t="s">
        <v>3810</v>
      </c>
      <c r="AC299" s="165" t="s">
        <v>3809</v>
      </c>
      <c r="AD299" s="165" t="s">
        <v>4094</v>
      </c>
      <c r="AE299">
        <v>30</v>
      </c>
      <c r="AF299" s="165" t="s">
        <v>4095</v>
      </c>
      <c r="AG299">
        <v>44</v>
      </c>
      <c r="AH299">
        <v>345</v>
      </c>
      <c r="AI299">
        <v>47</v>
      </c>
      <c r="AJ299">
        <v>37.5</v>
      </c>
      <c r="AK299" s="165" t="s">
        <v>4096</v>
      </c>
      <c r="AN299">
        <v>2</v>
      </c>
      <c r="AO299">
        <v>4</v>
      </c>
      <c r="AP299">
        <v>8</v>
      </c>
      <c r="AQ299" s="165" t="s">
        <v>3815</v>
      </c>
      <c r="AS299" s="165" t="s">
        <v>30</v>
      </c>
      <c r="AT299" t="s">
        <v>5291</v>
      </c>
      <c r="AU299" t="s">
        <v>5291</v>
      </c>
    </row>
    <row r="300" spans="1:47" hidden="1" x14ac:dyDescent="0.25">
      <c r="A300" s="165" t="s">
        <v>933</v>
      </c>
      <c r="B300" s="165" t="s">
        <v>4531</v>
      </c>
      <c r="C300" s="165" t="s">
        <v>23</v>
      </c>
      <c r="D300" s="165" t="s">
        <v>934</v>
      </c>
      <c r="E300" s="165" t="s">
        <v>3929</v>
      </c>
      <c r="F300" s="165" t="s">
        <v>11</v>
      </c>
      <c r="G300" s="165" t="s">
        <v>8</v>
      </c>
      <c r="H300" s="165" t="s">
        <v>241</v>
      </c>
      <c r="I300" s="165" t="s">
        <v>3803</v>
      </c>
      <c r="J300" s="165" t="s">
        <v>4011</v>
      </c>
      <c r="K300" s="165"/>
      <c r="L300" s="165"/>
      <c r="M300" s="165"/>
      <c r="N300" s="165"/>
      <c r="O300" s="165"/>
      <c r="P300" s="165"/>
      <c r="Q300" s="165"/>
      <c r="R300" s="165"/>
      <c r="S300" s="165" t="s">
        <v>3902</v>
      </c>
      <c r="T300" s="165"/>
      <c r="U300" s="165"/>
      <c r="V300" s="165"/>
      <c r="W300" s="165"/>
      <c r="X300" s="165" t="s">
        <v>2428</v>
      </c>
      <c r="Y300">
        <v>2</v>
      </c>
      <c r="Z300" s="165" t="s">
        <v>3903</v>
      </c>
      <c r="AA300" s="165" t="s">
        <v>3811</v>
      </c>
      <c r="AB300" s="165" t="s">
        <v>3810</v>
      </c>
      <c r="AC300" s="165" t="s">
        <v>3809</v>
      </c>
      <c r="AD300" s="165" t="s">
        <v>4094</v>
      </c>
      <c r="AE300">
        <v>30</v>
      </c>
      <c r="AF300" s="165" t="s">
        <v>4095</v>
      </c>
      <c r="AG300">
        <v>44</v>
      </c>
      <c r="AH300">
        <v>345</v>
      </c>
      <c r="AI300">
        <v>47</v>
      </c>
      <c r="AJ300">
        <v>37.5</v>
      </c>
      <c r="AK300" s="165" t="s">
        <v>4096</v>
      </c>
      <c r="AN300">
        <v>2</v>
      </c>
      <c r="AO300">
        <v>4</v>
      </c>
      <c r="AP300">
        <v>8</v>
      </c>
      <c r="AQ300" s="165" t="s">
        <v>3815</v>
      </c>
      <c r="AR300" t="s">
        <v>3923</v>
      </c>
      <c r="AS300" s="165" t="s">
        <v>30</v>
      </c>
      <c r="AT300" t="s">
        <v>5291</v>
      </c>
      <c r="AU300" t="s">
        <v>5291</v>
      </c>
    </row>
    <row r="301" spans="1:47" hidden="1" x14ac:dyDescent="0.25">
      <c r="A301" s="165" t="s">
        <v>937</v>
      </c>
      <c r="B301" s="165" t="s">
        <v>3458</v>
      </c>
      <c r="C301" s="165" t="s">
        <v>23</v>
      </c>
      <c r="D301" s="165" t="s">
        <v>938</v>
      </c>
      <c r="E301" s="165" t="s">
        <v>3929</v>
      </c>
      <c r="F301" s="165" t="s">
        <v>11</v>
      </c>
      <c r="G301" s="165" t="s">
        <v>8</v>
      </c>
      <c r="H301" s="165" t="s">
        <v>241</v>
      </c>
      <c r="I301" s="165" t="s">
        <v>3803</v>
      </c>
      <c r="J301" s="165" t="s">
        <v>4011</v>
      </c>
      <c r="K301" s="165"/>
      <c r="L301" s="165"/>
      <c r="M301" s="165"/>
      <c r="N301" s="165"/>
      <c r="O301" s="165"/>
      <c r="P301" s="165"/>
      <c r="Q301" s="165"/>
      <c r="R301" s="165"/>
      <c r="S301" s="165" t="s">
        <v>3902</v>
      </c>
      <c r="T301" s="165"/>
      <c r="U301" s="165"/>
      <c r="V301" s="165"/>
      <c r="W301" s="165"/>
      <c r="X301" s="165" t="s">
        <v>2428</v>
      </c>
      <c r="Y301">
        <v>2</v>
      </c>
      <c r="Z301" s="165" t="s">
        <v>3903</v>
      </c>
      <c r="AA301" s="165" t="s">
        <v>3811</v>
      </c>
      <c r="AB301" s="165" t="s">
        <v>3810</v>
      </c>
      <c r="AC301" s="165" t="s">
        <v>3809</v>
      </c>
      <c r="AD301" s="165" t="s">
        <v>4094</v>
      </c>
      <c r="AE301">
        <v>30</v>
      </c>
      <c r="AF301" s="165" t="s">
        <v>4095</v>
      </c>
      <c r="AG301">
        <v>44</v>
      </c>
      <c r="AH301">
        <v>345</v>
      </c>
      <c r="AI301">
        <v>47</v>
      </c>
      <c r="AJ301">
        <v>37.5</v>
      </c>
      <c r="AK301" s="165" t="s">
        <v>4096</v>
      </c>
      <c r="AN301">
        <v>2</v>
      </c>
      <c r="AO301">
        <v>4</v>
      </c>
      <c r="AP301">
        <v>8</v>
      </c>
      <c r="AQ301" s="165" t="s">
        <v>3815</v>
      </c>
      <c r="AR301" t="s">
        <v>3909</v>
      </c>
      <c r="AS301" s="165" t="s">
        <v>30</v>
      </c>
      <c r="AT301" t="s">
        <v>5291</v>
      </c>
      <c r="AU301" t="s">
        <v>5291</v>
      </c>
    </row>
    <row r="302" spans="1:47" hidden="1" x14ac:dyDescent="0.25">
      <c r="A302" s="165" t="s">
        <v>1110</v>
      </c>
      <c r="B302" s="165" t="s">
        <v>4532</v>
      </c>
      <c r="C302" s="165" t="s">
        <v>23</v>
      </c>
      <c r="D302" s="165" t="s">
        <v>1111</v>
      </c>
      <c r="E302" s="165" t="s">
        <v>4295</v>
      </c>
      <c r="F302" s="165" t="s">
        <v>11</v>
      </c>
      <c r="G302" s="165" t="s">
        <v>8</v>
      </c>
      <c r="H302" s="165" t="s">
        <v>241</v>
      </c>
      <c r="I302" s="165" t="s">
        <v>3803</v>
      </c>
      <c r="J302" s="165" t="s">
        <v>4011</v>
      </c>
      <c r="K302" s="165"/>
      <c r="L302" s="165"/>
      <c r="M302" s="165"/>
      <c r="N302" s="165"/>
      <c r="O302" s="165"/>
      <c r="P302" s="165"/>
      <c r="Q302" s="165"/>
      <c r="R302" s="165"/>
      <c r="S302" s="165" t="s">
        <v>3902</v>
      </c>
      <c r="T302" s="165"/>
      <c r="U302" s="165"/>
      <c r="V302" s="165"/>
      <c r="W302" s="165"/>
      <c r="X302" s="165" t="s">
        <v>2428</v>
      </c>
      <c r="Y302">
        <v>2</v>
      </c>
      <c r="Z302" s="165" t="s">
        <v>3903</v>
      </c>
      <c r="AA302" s="165" t="s">
        <v>3811</v>
      </c>
      <c r="AB302" s="165" t="s">
        <v>3810</v>
      </c>
      <c r="AC302" s="165" t="s">
        <v>3809</v>
      </c>
      <c r="AD302" s="165" t="s">
        <v>4094</v>
      </c>
      <c r="AE302">
        <v>30</v>
      </c>
      <c r="AF302" s="165" t="s">
        <v>4095</v>
      </c>
      <c r="AG302">
        <v>44</v>
      </c>
      <c r="AH302">
        <v>345</v>
      </c>
      <c r="AI302">
        <v>47</v>
      </c>
      <c r="AJ302">
        <v>37.5</v>
      </c>
      <c r="AK302" s="165" t="s">
        <v>4096</v>
      </c>
      <c r="AN302">
        <v>2</v>
      </c>
      <c r="AO302">
        <v>4</v>
      </c>
      <c r="AP302">
        <v>8</v>
      </c>
      <c r="AQ302" s="165" t="s">
        <v>3815</v>
      </c>
      <c r="AR302" t="s">
        <v>3836</v>
      </c>
      <c r="AS302" s="165" t="s">
        <v>30</v>
      </c>
      <c r="AT302" t="s">
        <v>5291</v>
      </c>
      <c r="AU302" t="s">
        <v>5291</v>
      </c>
    </row>
    <row r="303" spans="1:47" hidden="1" x14ac:dyDescent="0.25">
      <c r="A303" s="165" t="s">
        <v>1134</v>
      </c>
      <c r="B303" s="165" t="s">
        <v>4533</v>
      </c>
      <c r="C303" s="165" t="s">
        <v>23</v>
      </c>
      <c r="D303" s="165" t="s">
        <v>1135</v>
      </c>
      <c r="E303" s="165" t="s">
        <v>3938</v>
      </c>
      <c r="F303" s="165" t="s">
        <v>11</v>
      </c>
      <c r="G303" s="165" t="s">
        <v>8</v>
      </c>
      <c r="H303" s="165" t="s">
        <v>241</v>
      </c>
      <c r="I303" s="165" t="s">
        <v>3803</v>
      </c>
      <c r="J303" s="165" t="s">
        <v>4011</v>
      </c>
      <c r="K303" s="165"/>
      <c r="L303" s="165"/>
      <c r="M303" s="165"/>
      <c r="N303" s="165"/>
      <c r="O303" s="165"/>
      <c r="P303" s="165"/>
      <c r="Q303" s="165"/>
      <c r="R303" s="165"/>
      <c r="S303" s="165" t="s">
        <v>3902</v>
      </c>
      <c r="T303" s="165"/>
      <c r="U303" s="165"/>
      <c r="V303" s="165"/>
      <c r="W303" s="165"/>
      <c r="X303" s="165" t="s">
        <v>2428</v>
      </c>
      <c r="Y303">
        <v>2</v>
      </c>
      <c r="Z303" s="165" t="s">
        <v>3903</v>
      </c>
      <c r="AA303" s="165" t="s">
        <v>3811</v>
      </c>
      <c r="AB303" s="165" t="s">
        <v>3810</v>
      </c>
      <c r="AC303" s="165" t="s">
        <v>3809</v>
      </c>
      <c r="AD303" s="165" t="s">
        <v>4094</v>
      </c>
      <c r="AE303">
        <v>30</v>
      </c>
      <c r="AF303" s="165" t="s">
        <v>4095</v>
      </c>
      <c r="AG303">
        <v>44</v>
      </c>
      <c r="AH303">
        <v>345</v>
      </c>
      <c r="AI303">
        <v>47</v>
      </c>
      <c r="AJ303">
        <v>37.5</v>
      </c>
      <c r="AK303" s="165" t="s">
        <v>4096</v>
      </c>
      <c r="AN303">
        <v>2</v>
      </c>
      <c r="AO303">
        <v>4</v>
      </c>
      <c r="AP303">
        <v>8</v>
      </c>
      <c r="AQ303" s="165" t="s">
        <v>3815</v>
      </c>
      <c r="AR303" t="s">
        <v>3855</v>
      </c>
      <c r="AS303" s="165" t="s">
        <v>30</v>
      </c>
      <c r="AT303" t="s">
        <v>5291</v>
      </c>
      <c r="AU303" t="s">
        <v>5291</v>
      </c>
    </row>
    <row r="304" spans="1:47" hidden="1" x14ac:dyDescent="0.25">
      <c r="A304" s="165" t="s">
        <v>1136</v>
      </c>
      <c r="B304" s="165" t="s">
        <v>3311</v>
      </c>
      <c r="C304" s="165" t="s">
        <v>23</v>
      </c>
      <c r="D304" s="165" t="s">
        <v>1137</v>
      </c>
      <c r="E304" s="165" t="s">
        <v>3938</v>
      </c>
      <c r="F304" s="165" t="s">
        <v>11</v>
      </c>
      <c r="G304" s="165" t="s">
        <v>8</v>
      </c>
      <c r="H304" s="165" t="s">
        <v>241</v>
      </c>
      <c r="I304" s="165" t="s">
        <v>3803</v>
      </c>
      <c r="J304" s="165" t="s">
        <v>4011</v>
      </c>
      <c r="K304" s="165"/>
      <c r="L304" s="165"/>
      <c r="M304" s="165"/>
      <c r="N304" s="165"/>
      <c r="O304" s="165"/>
      <c r="P304" s="165"/>
      <c r="Q304" s="165"/>
      <c r="R304" s="165"/>
      <c r="S304" s="165" t="s">
        <v>3902</v>
      </c>
      <c r="T304" s="165"/>
      <c r="U304" s="165"/>
      <c r="V304" s="165"/>
      <c r="W304" s="165"/>
      <c r="X304" s="165" t="s">
        <v>2428</v>
      </c>
      <c r="Y304">
        <v>2</v>
      </c>
      <c r="Z304" s="165" t="s">
        <v>3903</v>
      </c>
      <c r="AA304" s="165" t="s">
        <v>3811</v>
      </c>
      <c r="AB304" s="165" t="s">
        <v>3810</v>
      </c>
      <c r="AC304" s="165" t="s">
        <v>3809</v>
      </c>
      <c r="AD304" s="165" t="s">
        <v>4094</v>
      </c>
      <c r="AE304">
        <v>30</v>
      </c>
      <c r="AF304" s="165" t="s">
        <v>4095</v>
      </c>
      <c r="AG304">
        <v>44</v>
      </c>
      <c r="AH304">
        <v>345</v>
      </c>
      <c r="AI304">
        <v>47</v>
      </c>
      <c r="AJ304">
        <v>37.5</v>
      </c>
      <c r="AK304" s="165" t="s">
        <v>4096</v>
      </c>
      <c r="AN304">
        <v>2</v>
      </c>
      <c r="AO304">
        <v>4</v>
      </c>
      <c r="AP304">
        <v>8</v>
      </c>
      <c r="AQ304" s="165" t="s">
        <v>3815</v>
      </c>
      <c r="AR304" t="s">
        <v>3923</v>
      </c>
      <c r="AS304" s="165" t="s">
        <v>30</v>
      </c>
      <c r="AT304" t="s">
        <v>5291</v>
      </c>
      <c r="AU304" t="s">
        <v>5291</v>
      </c>
    </row>
    <row r="305" spans="1:47" hidden="1" x14ac:dyDescent="0.25">
      <c r="A305" s="165" t="s">
        <v>1260</v>
      </c>
      <c r="B305" s="165" t="s">
        <v>3358</v>
      </c>
      <c r="C305" s="165" t="s">
        <v>23</v>
      </c>
      <c r="D305" s="165" t="s">
        <v>1261</v>
      </c>
      <c r="E305" s="165" t="s">
        <v>3943</v>
      </c>
      <c r="F305" s="165" t="s">
        <v>11</v>
      </c>
      <c r="G305" s="165" t="s">
        <v>8</v>
      </c>
      <c r="H305" s="165" t="s">
        <v>241</v>
      </c>
      <c r="I305" s="165" t="s">
        <v>3803</v>
      </c>
      <c r="J305" s="165" t="s">
        <v>4011</v>
      </c>
      <c r="K305" s="165"/>
      <c r="L305" s="165"/>
      <c r="M305" s="165"/>
      <c r="N305" s="165"/>
      <c r="O305" s="165"/>
      <c r="P305" s="165"/>
      <c r="Q305" s="165"/>
      <c r="R305" s="165"/>
      <c r="S305" s="165" t="s">
        <v>3902</v>
      </c>
      <c r="T305" s="165"/>
      <c r="U305" s="165"/>
      <c r="V305" s="165"/>
      <c r="W305" s="165"/>
      <c r="X305" s="165" t="s">
        <v>2428</v>
      </c>
      <c r="Y305">
        <v>2</v>
      </c>
      <c r="Z305" s="165" t="s">
        <v>3903</v>
      </c>
      <c r="AA305" s="165" t="s">
        <v>3811</v>
      </c>
      <c r="AB305" s="165" t="s">
        <v>3810</v>
      </c>
      <c r="AC305" s="165" t="s">
        <v>3809</v>
      </c>
      <c r="AD305" s="165" t="s">
        <v>4094</v>
      </c>
      <c r="AE305">
        <v>30</v>
      </c>
      <c r="AF305" s="165" t="s">
        <v>4095</v>
      </c>
      <c r="AG305">
        <v>44</v>
      </c>
      <c r="AH305">
        <v>345</v>
      </c>
      <c r="AI305">
        <v>47</v>
      </c>
      <c r="AJ305">
        <v>37.5</v>
      </c>
      <c r="AK305" s="165" t="s">
        <v>4096</v>
      </c>
      <c r="AN305">
        <v>2</v>
      </c>
      <c r="AO305">
        <v>4</v>
      </c>
      <c r="AP305">
        <v>8</v>
      </c>
      <c r="AQ305" s="165" t="s">
        <v>3815</v>
      </c>
      <c r="AR305" t="s">
        <v>4092</v>
      </c>
      <c r="AS305" s="165" t="s">
        <v>30</v>
      </c>
      <c r="AT305" t="s">
        <v>5291</v>
      </c>
      <c r="AU305" t="s">
        <v>5291</v>
      </c>
    </row>
    <row r="306" spans="1:47" hidden="1" x14ac:dyDescent="0.25">
      <c r="A306" s="165" t="s">
        <v>1208</v>
      </c>
      <c r="B306" s="165" t="s">
        <v>4534</v>
      </c>
      <c r="C306" s="165" t="s">
        <v>23</v>
      </c>
      <c r="D306" s="165" t="s">
        <v>1209</v>
      </c>
      <c r="E306" s="165" t="s">
        <v>4297</v>
      </c>
      <c r="F306" s="165" t="s">
        <v>11</v>
      </c>
      <c r="G306" s="165" t="s">
        <v>8</v>
      </c>
      <c r="H306" s="165" t="s">
        <v>241</v>
      </c>
      <c r="I306" s="165" t="s">
        <v>3803</v>
      </c>
      <c r="J306" s="165" t="s">
        <v>4011</v>
      </c>
      <c r="K306" s="165"/>
      <c r="L306" s="165"/>
      <c r="M306" s="165"/>
      <c r="N306" s="165"/>
      <c r="O306" s="165"/>
      <c r="P306" s="165"/>
      <c r="Q306" s="165"/>
      <c r="R306" s="165"/>
      <c r="S306" s="165" t="s">
        <v>3902</v>
      </c>
      <c r="T306" s="165"/>
      <c r="U306" s="165"/>
      <c r="V306" s="165"/>
      <c r="W306" s="165"/>
      <c r="X306" s="165" t="s">
        <v>2428</v>
      </c>
      <c r="Y306">
        <v>2</v>
      </c>
      <c r="Z306" s="165" t="s">
        <v>3903</v>
      </c>
      <c r="AA306" s="165" t="s">
        <v>3811</v>
      </c>
      <c r="AB306" s="165" t="s">
        <v>3810</v>
      </c>
      <c r="AC306" s="165" t="s">
        <v>3809</v>
      </c>
      <c r="AD306" s="165" t="s">
        <v>4094</v>
      </c>
      <c r="AE306">
        <v>30</v>
      </c>
      <c r="AF306" s="165" t="s">
        <v>4095</v>
      </c>
      <c r="AG306">
        <v>44</v>
      </c>
      <c r="AH306">
        <v>345</v>
      </c>
      <c r="AI306">
        <v>47</v>
      </c>
      <c r="AJ306">
        <v>37.5</v>
      </c>
      <c r="AK306" s="165" t="s">
        <v>4096</v>
      </c>
      <c r="AN306">
        <v>2</v>
      </c>
      <c r="AO306">
        <v>4</v>
      </c>
      <c r="AP306">
        <v>8</v>
      </c>
      <c r="AQ306" s="165" t="s">
        <v>3815</v>
      </c>
      <c r="AR306" t="s">
        <v>4045</v>
      </c>
      <c r="AS306" s="165" t="s">
        <v>30</v>
      </c>
      <c r="AT306" t="s">
        <v>5291</v>
      </c>
      <c r="AU306" t="s">
        <v>5291</v>
      </c>
    </row>
    <row r="307" spans="1:47" hidden="1" x14ac:dyDescent="0.25">
      <c r="A307" s="165" t="s">
        <v>1728</v>
      </c>
      <c r="B307" s="165" t="s">
        <v>4059</v>
      </c>
      <c r="C307" s="165" t="s">
        <v>23</v>
      </c>
      <c r="D307" s="165" t="s">
        <v>4535</v>
      </c>
      <c r="E307" s="165" t="s">
        <v>4536</v>
      </c>
      <c r="F307" s="165" t="s">
        <v>11</v>
      </c>
      <c r="G307" s="165" t="s">
        <v>8</v>
      </c>
      <c r="H307" s="165" t="s">
        <v>263</v>
      </c>
      <c r="I307" s="165" t="s">
        <v>3803</v>
      </c>
      <c r="J307" s="165" t="s">
        <v>3804</v>
      </c>
      <c r="K307" s="165"/>
      <c r="L307" s="165"/>
      <c r="M307" s="165"/>
      <c r="N307" s="165" t="s">
        <v>3805</v>
      </c>
      <c r="O307" s="165"/>
      <c r="P307" s="165"/>
      <c r="Q307" s="165"/>
      <c r="R307" s="165"/>
      <c r="S307" s="165"/>
      <c r="T307" s="165" t="s">
        <v>3806</v>
      </c>
      <c r="U307" s="165" t="s">
        <v>3807</v>
      </c>
      <c r="V307" s="165"/>
      <c r="W307" s="165"/>
      <c r="X307" s="165"/>
      <c r="Y307">
        <v>3</v>
      </c>
      <c r="Z307" s="165" t="s">
        <v>3808</v>
      </c>
      <c r="AA307" s="165" t="s">
        <v>3809</v>
      </c>
      <c r="AB307" s="165" t="s">
        <v>3810</v>
      </c>
      <c r="AC307" s="165" t="s">
        <v>3811</v>
      </c>
      <c r="AD307" s="165" t="s">
        <v>4537</v>
      </c>
      <c r="AE307">
        <v>48</v>
      </c>
      <c r="AF307" s="165" t="s">
        <v>4538</v>
      </c>
      <c r="AG307">
        <v>452</v>
      </c>
      <c r="AH307">
        <v>355</v>
      </c>
      <c r="AI307">
        <v>48.2</v>
      </c>
      <c r="AJ307">
        <v>38.5</v>
      </c>
      <c r="AK307" s="165" t="s">
        <v>4539</v>
      </c>
      <c r="AN307">
        <v>1</v>
      </c>
      <c r="AO307">
        <v>4</v>
      </c>
      <c r="AP307">
        <v>4</v>
      </c>
      <c r="AQ307" s="165" t="s">
        <v>3815</v>
      </c>
      <c r="AR307" t="s">
        <v>4111</v>
      </c>
      <c r="AS307" s="165" t="s">
        <v>174</v>
      </c>
      <c r="AT307" t="s">
        <v>5291</v>
      </c>
      <c r="AU307" t="s">
        <v>5291</v>
      </c>
    </row>
    <row r="308" spans="1:47" hidden="1" x14ac:dyDescent="0.25">
      <c r="A308" s="165" t="s">
        <v>4540</v>
      </c>
      <c r="B308" s="165" t="s">
        <v>88</v>
      </c>
      <c r="C308" s="165" t="s">
        <v>23</v>
      </c>
      <c r="D308" s="165" t="s">
        <v>4541</v>
      </c>
      <c r="E308" s="165" t="s">
        <v>4229</v>
      </c>
      <c r="F308" s="165" t="s">
        <v>11</v>
      </c>
      <c r="G308" s="165" t="s">
        <v>8</v>
      </c>
      <c r="H308" s="165" t="s">
        <v>241</v>
      </c>
      <c r="I308" s="165" t="s">
        <v>3803</v>
      </c>
      <c r="J308" s="165" t="s">
        <v>4011</v>
      </c>
      <c r="K308" s="165"/>
      <c r="L308" s="165"/>
      <c r="M308" s="165"/>
      <c r="N308" s="165"/>
      <c r="O308" s="165"/>
      <c r="P308" s="165"/>
      <c r="Q308" s="165"/>
      <c r="R308" s="165"/>
      <c r="S308" s="165" t="s">
        <v>3902</v>
      </c>
      <c r="T308" s="165"/>
      <c r="U308" s="165"/>
      <c r="V308" s="165"/>
      <c r="W308" s="165"/>
      <c r="X308" s="165" t="s">
        <v>2428</v>
      </c>
      <c r="Y308">
        <v>2</v>
      </c>
      <c r="Z308" s="165" t="s">
        <v>3903</v>
      </c>
      <c r="AA308" s="165" t="s">
        <v>3811</v>
      </c>
      <c r="AB308" s="165" t="s">
        <v>3810</v>
      </c>
      <c r="AC308" s="165" t="s">
        <v>3809</v>
      </c>
      <c r="AD308" s="165" t="s">
        <v>4542</v>
      </c>
      <c r="AE308">
        <v>27</v>
      </c>
      <c r="AF308" s="165" t="s">
        <v>4543</v>
      </c>
      <c r="AG308">
        <v>453</v>
      </c>
      <c r="AH308">
        <v>287</v>
      </c>
      <c r="AI308">
        <v>48.3</v>
      </c>
      <c r="AJ308">
        <v>31.7</v>
      </c>
      <c r="AK308" s="165" t="s">
        <v>4544</v>
      </c>
      <c r="AN308">
        <v>6</v>
      </c>
      <c r="AO308">
        <v>4</v>
      </c>
      <c r="AP308">
        <v>24</v>
      </c>
      <c r="AQ308" s="165" t="s">
        <v>3815</v>
      </c>
      <c r="AS308" s="165" t="s">
        <v>30</v>
      </c>
      <c r="AT308" t="s">
        <v>5291</v>
      </c>
      <c r="AU308" t="s">
        <v>5291</v>
      </c>
    </row>
    <row r="309" spans="1:47" hidden="1" x14ac:dyDescent="0.25">
      <c r="A309" s="165" t="s">
        <v>757</v>
      </c>
      <c r="B309" s="165" t="s">
        <v>3355</v>
      </c>
      <c r="C309" s="165" t="s">
        <v>23</v>
      </c>
      <c r="D309" s="165" t="s">
        <v>758</v>
      </c>
      <c r="E309" s="165" t="s">
        <v>4512</v>
      </c>
      <c r="F309" s="165" t="s">
        <v>11</v>
      </c>
      <c r="G309" s="165" t="s">
        <v>8</v>
      </c>
      <c r="H309" s="165" t="s">
        <v>241</v>
      </c>
      <c r="I309" s="165" t="s">
        <v>3803</v>
      </c>
      <c r="J309" s="165" t="s">
        <v>4011</v>
      </c>
      <c r="K309" s="165"/>
      <c r="L309" s="165"/>
      <c r="M309" s="165"/>
      <c r="N309" s="165"/>
      <c r="O309" s="165"/>
      <c r="P309" s="165"/>
      <c r="Q309" s="165"/>
      <c r="R309" s="165"/>
      <c r="S309" s="165" t="s">
        <v>3902</v>
      </c>
      <c r="T309" s="165"/>
      <c r="U309" s="165"/>
      <c r="V309" s="165"/>
      <c r="W309" s="165"/>
      <c r="X309" s="165" t="s">
        <v>2428</v>
      </c>
      <c r="Y309">
        <v>2</v>
      </c>
      <c r="Z309" s="165" t="s">
        <v>3903</v>
      </c>
      <c r="AA309" s="165" t="s">
        <v>3811</v>
      </c>
      <c r="AB309" s="165" t="s">
        <v>3810</v>
      </c>
      <c r="AC309" s="165" t="s">
        <v>3809</v>
      </c>
      <c r="AD309" s="165" t="s">
        <v>4542</v>
      </c>
      <c r="AE309">
        <v>27</v>
      </c>
      <c r="AF309" s="165" t="s">
        <v>4543</v>
      </c>
      <c r="AG309">
        <v>453</v>
      </c>
      <c r="AH309">
        <v>287</v>
      </c>
      <c r="AI309">
        <v>48.3</v>
      </c>
      <c r="AJ309">
        <v>31.7</v>
      </c>
      <c r="AK309" s="165" t="s">
        <v>4544</v>
      </c>
      <c r="AN309">
        <v>6</v>
      </c>
      <c r="AO309">
        <v>4</v>
      </c>
      <c r="AP309">
        <v>24</v>
      </c>
      <c r="AQ309" s="165" t="s">
        <v>3815</v>
      </c>
      <c r="AR309" t="s">
        <v>3998</v>
      </c>
      <c r="AS309" s="165" t="s">
        <v>30</v>
      </c>
      <c r="AT309" t="s">
        <v>5291</v>
      </c>
      <c r="AU309" t="s">
        <v>5291</v>
      </c>
    </row>
    <row r="310" spans="1:47" hidden="1" x14ac:dyDescent="0.25">
      <c r="A310" s="165" t="s">
        <v>1122</v>
      </c>
      <c r="B310" s="165" t="s">
        <v>3354</v>
      </c>
      <c r="C310" s="165" t="s">
        <v>23</v>
      </c>
      <c r="D310" s="165" t="s">
        <v>1123</v>
      </c>
      <c r="E310" s="165" t="s">
        <v>4545</v>
      </c>
      <c r="F310" s="165" t="s">
        <v>11</v>
      </c>
      <c r="G310" s="165" t="s">
        <v>8</v>
      </c>
      <c r="H310" s="165" t="s">
        <v>241</v>
      </c>
      <c r="I310" s="165" t="s">
        <v>3803</v>
      </c>
      <c r="J310" s="165" t="s">
        <v>4011</v>
      </c>
      <c r="K310" s="165"/>
      <c r="L310" s="165"/>
      <c r="M310" s="165"/>
      <c r="N310" s="165"/>
      <c r="O310" s="165"/>
      <c r="P310" s="165"/>
      <c r="Q310" s="165"/>
      <c r="R310" s="165"/>
      <c r="S310" s="165" t="s">
        <v>3902</v>
      </c>
      <c r="T310" s="165"/>
      <c r="U310" s="165"/>
      <c r="V310" s="165"/>
      <c r="W310" s="165"/>
      <c r="X310" s="165" t="s">
        <v>2428</v>
      </c>
      <c r="Y310">
        <v>2</v>
      </c>
      <c r="Z310" s="165" t="s">
        <v>3903</v>
      </c>
      <c r="AA310" s="165" t="s">
        <v>3811</v>
      </c>
      <c r="AB310" s="165" t="s">
        <v>3810</v>
      </c>
      <c r="AC310" s="165" t="s">
        <v>3809</v>
      </c>
      <c r="AD310" s="165" t="s">
        <v>4542</v>
      </c>
      <c r="AE310">
        <v>27</v>
      </c>
      <c r="AF310" s="165" t="s">
        <v>4543</v>
      </c>
      <c r="AG310">
        <v>453</v>
      </c>
      <c r="AH310">
        <v>287</v>
      </c>
      <c r="AI310">
        <v>48.3</v>
      </c>
      <c r="AJ310">
        <v>31.7</v>
      </c>
      <c r="AK310" s="165" t="s">
        <v>4544</v>
      </c>
      <c r="AN310">
        <v>6</v>
      </c>
      <c r="AO310">
        <v>4</v>
      </c>
      <c r="AP310">
        <v>24</v>
      </c>
      <c r="AQ310" s="165" t="s">
        <v>3815</v>
      </c>
      <c r="AR310" t="s">
        <v>3870</v>
      </c>
      <c r="AS310" s="165" t="s">
        <v>30</v>
      </c>
      <c r="AT310" t="s">
        <v>5291</v>
      </c>
      <c r="AU310" t="s">
        <v>5291</v>
      </c>
    </row>
    <row r="311" spans="1:47" hidden="1" x14ac:dyDescent="0.25">
      <c r="A311" s="165" t="s">
        <v>1206</v>
      </c>
      <c r="B311" s="165" t="s">
        <v>3422</v>
      </c>
      <c r="C311" s="165" t="s">
        <v>23</v>
      </c>
      <c r="D311" s="165" t="s">
        <v>1207</v>
      </c>
      <c r="E311" s="165" t="s">
        <v>4546</v>
      </c>
      <c r="F311" s="165" t="s">
        <v>11</v>
      </c>
      <c r="G311" s="165" t="s">
        <v>8</v>
      </c>
      <c r="H311" s="165" t="s">
        <v>241</v>
      </c>
      <c r="I311" s="165" t="s">
        <v>3803</v>
      </c>
      <c r="J311" s="165" t="s">
        <v>4011</v>
      </c>
      <c r="K311" s="165"/>
      <c r="L311" s="165"/>
      <c r="M311" s="165"/>
      <c r="N311" s="165"/>
      <c r="O311" s="165"/>
      <c r="P311" s="165"/>
      <c r="Q311" s="165"/>
      <c r="R311" s="165"/>
      <c r="S311" s="165" t="s">
        <v>3902</v>
      </c>
      <c r="T311" s="165"/>
      <c r="U311" s="165"/>
      <c r="V311" s="165"/>
      <c r="W311" s="165"/>
      <c r="X311" s="165" t="s">
        <v>2428</v>
      </c>
      <c r="Y311">
        <v>2</v>
      </c>
      <c r="Z311" s="165" t="s">
        <v>3903</v>
      </c>
      <c r="AA311" s="165" t="s">
        <v>3811</v>
      </c>
      <c r="AB311" s="165" t="s">
        <v>3810</v>
      </c>
      <c r="AC311" s="165" t="s">
        <v>3809</v>
      </c>
      <c r="AD311" s="165" t="s">
        <v>4542</v>
      </c>
      <c r="AE311">
        <v>27</v>
      </c>
      <c r="AF311" s="165" t="s">
        <v>4543</v>
      </c>
      <c r="AG311">
        <v>453</v>
      </c>
      <c r="AH311">
        <v>287</v>
      </c>
      <c r="AI311">
        <v>48.3</v>
      </c>
      <c r="AJ311">
        <v>31.7</v>
      </c>
      <c r="AK311" s="165" t="s">
        <v>4544</v>
      </c>
      <c r="AN311">
        <v>6</v>
      </c>
      <c r="AO311">
        <v>4</v>
      </c>
      <c r="AP311">
        <v>24</v>
      </c>
      <c r="AQ311" s="165" t="s">
        <v>3815</v>
      </c>
      <c r="AR311" t="s">
        <v>3830</v>
      </c>
      <c r="AS311" s="165" t="s">
        <v>30</v>
      </c>
      <c r="AT311" t="s">
        <v>5291</v>
      </c>
      <c r="AU311" t="s">
        <v>5291</v>
      </c>
    </row>
    <row r="312" spans="1:47" hidden="1" x14ac:dyDescent="0.25">
      <c r="A312" s="165" t="s">
        <v>801</v>
      </c>
      <c r="B312" s="165" t="s">
        <v>4547</v>
      </c>
      <c r="C312" s="165" t="s">
        <v>23</v>
      </c>
      <c r="D312" s="165" t="s">
        <v>802</v>
      </c>
      <c r="E312" s="165" t="s">
        <v>4548</v>
      </c>
      <c r="F312" s="165" t="s">
        <v>11</v>
      </c>
      <c r="G312" s="165" t="s">
        <v>8</v>
      </c>
      <c r="H312" s="165" t="s">
        <v>263</v>
      </c>
      <c r="I312" s="165" t="s">
        <v>3803</v>
      </c>
      <c r="J312" s="165" t="s">
        <v>3804</v>
      </c>
      <c r="K312" s="165"/>
      <c r="L312" s="165"/>
      <c r="M312" s="165"/>
      <c r="N312" s="165" t="s">
        <v>3805</v>
      </c>
      <c r="O312" s="165"/>
      <c r="P312" s="165"/>
      <c r="Q312" s="165"/>
      <c r="R312" s="165"/>
      <c r="S312" s="165"/>
      <c r="T312" s="165" t="s">
        <v>3806</v>
      </c>
      <c r="U312" s="165" t="s">
        <v>3807</v>
      </c>
      <c r="V312" s="165"/>
      <c r="W312" s="165"/>
      <c r="X312" s="165"/>
      <c r="Y312">
        <v>3</v>
      </c>
      <c r="Z312" s="165" t="s">
        <v>3808</v>
      </c>
      <c r="AA312" s="165" t="s">
        <v>3809</v>
      </c>
      <c r="AB312" s="165" t="s">
        <v>3810</v>
      </c>
      <c r="AC312" s="165" t="s">
        <v>3811</v>
      </c>
      <c r="AD312" s="165" t="s">
        <v>4542</v>
      </c>
      <c r="AE312">
        <v>27</v>
      </c>
      <c r="AF312" s="165" t="s">
        <v>4543</v>
      </c>
      <c r="AG312">
        <v>453</v>
      </c>
      <c r="AH312">
        <v>287</v>
      </c>
      <c r="AI312">
        <v>48.3</v>
      </c>
      <c r="AJ312">
        <v>31.7</v>
      </c>
      <c r="AK312" s="165" t="s">
        <v>4544</v>
      </c>
      <c r="AN312">
        <v>6</v>
      </c>
      <c r="AO312">
        <v>4</v>
      </c>
      <c r="AP312">
        <v>24</v>
      </c>
      <c r="AQ312" s="165" t="s">
        <v>3815</v>
      </c>
      <c r="AR312" t="s">
        <v>3998</v>
      </c>
      <c r="AS312" s="165" t="s">
        <v>174</v>
      </c>
      <c r="AT312" t="s">
        <v>5291</v>
      </c>
      <c r="AU312" t="s">
        <v>5291</v>
      </c>
    </row>
    <row r="313" spans="1:47" hidden="1" x14ac:dyDescent="0.25">
      <c r="A313" s="165" t="s">
        <v>4549</v>
      </c>
      <c r="B313" s="165" t="s">
        <v>4550</v>
      </c>
      <c r="C313" s="165" t="s">
        <v>23</v>
      </c>
      <c r="D313" s="165" t="s">
        <v>4551</v>
      </c>
      <c r="E313" s="165" t="s">
        <v>4552</v>
      </c>
      <c r="F313" s="165" t="s">
        <v>11</v>
      </c>
      <c r="G313" s="165" t="s">
        <v>8</v>
      </c>
      <c r="H313" s="165" t="s">
        <v>263</v>
      </c>
      <c r="I313" s="165" t="s">
        <v>3803</v>
      </c>
      <c r="J313" s="165" t="s">
        <v>3804</v>
      </c>
      <c r="K313" s="165"/>
      <c r="L313" s="165"/>
      <c r="M313" s="165"/>
      <c r="N313" s="165" t="s">
        <v>3805</v>
      </c>
      <c r="O313" s="165"/>
      <c r="P313" s="165"/>
      <c r="Q313" s="165"/>
      <c r="R313" s="165"/>
      <c r="S313" s="165"/>
      <c r="T313" s="165" t="s">
        <v>3806</v>
      </c>
      <c r="U313" s="165" t="s">
        <v>3807</v>
      </c>
      <c r="V313" s="165"/>
      <c r="W313" s="165"/>
      <c r="X313" s="165"/>
      <c r="Y313">
        <v>3</v>
      </c>
      <c r="Z313" s="165" t="s">
        <v>3808</v>
      </c>
      <c r="AA313" s="165" t="s">
        <v>3809</v>
      </c>
      <c r="AB313" s="165" t="s">
        <v>3810</v>
      </c>
      <c r="AC313" s="165" t="s">
        <v>3811</v>
      </c>
      <c r="AD313" s="165" t="s">
        <v>4542</v>
      </c>
      <c r="AE313">
        <v>27</v>
      </c>
      <c r="AF313" s="165" t="s">
        <v>4543</v>
      </c>
      <c r="AG313">
        <v>453</v>
      </c>
      <c r="AH313">
        <v>287</v>
      </c>
      <c r="AI313">
        <v>48.3</v>
      </c>
      <c r="AJ313">
        <v>31.7</v>
      </c>
      <c r="AK313" s="165" t="s">
        <v>4544</v>
      </c>
      <c r="AN313">
        <v>6</v>
      </c>
      <c r="AO313">
        <v>4</v>
      </c>
      <c r="AP313">
        <v>24</v>
      </c>
      <c r="AQ313" s="165" t="s">
        <v>3815</v>
      </c>
      <c r="AS313" s="165" t="s">
        <v>174</v>
      </c>
      <c r="AT313" t="s">
        <v>5291</v>
      </c>
      <c r="AU313" t="s">
        <v>5291</v>
      </c>
    </row>
    <row r="314" spans="1:47" hidden="1" x14ac:dyDescent="0.25">
      <c r="A314" s="165" t="s">
        <v>4553</v>
      </c>
      <c r="B314" s="165" t="s">
        <v>4554</v>
      </c>
      <c r="C314" s="165" t="s">
        <v>23</v>
      </c>
      <c r="D314" s="165" t="s">
        <v>4555</v>
      </c>
      <c r="E314" s="165" t="s">
        <v>4556</v>
      </c>
      <c r="F314" s="165" t="s">
        <v>11</v>
      </c>
      <c r="G314" s="165" t="s">
        <v>8</v>
      </c>
      <c r="H314" s="165" t="s">
        <v>263</v>
      </c>
      <c r="I314" s="165" t="s">
        <v>3803</v>
      </c>
      <c r="J314" s="165" t="s">
        <v>3804</v>
      </c>
      <c r="K314" s="165"/>
      <c r="L314" s="165"/>
      <c r="M314" s="165"/>
      <c r="N314" s="165" t="s">
        <v>3805</v>
      </c>
      <c r="O314" s="165"/>
      <c r="P314" s="165"/>
      <c r="Q314" s="165"/>
      <c r="R314" s="165"/>
      <c r="S314" s="165"/>
      <c r="T314" s="165" t="s">
        <v>3806</v>
      </c>
      <c r="U314" s="165" t="s">
        <v>3807</v>
      </c>
      <c r="V314" s="165"/>
      <c r="W314" s="165"/>
      <c r="X314" s="165"/>
      <c r="Y314">
        <v>3</v>
      </c>
      <c r="Z314" s="165" t="s">
        <v>3808</v>
      </c>
      <c r="AA314" s="165" t="s">
        <v>3809</v>
      </c>
      <c r="AB314" s="165" t="s">
        <v>3810</v>
      </c>
      <c r="AC314" s="165" t="s">
        <v>3811</v>
      </c>
      <c r="AD314" s="165" t="s">
        <v>4542</v>
      </c>
      <c r="AE314">
        <v>27</v>
      </c>
      <c r="AF314" s="165" t="s">
        <v>4543</v>
      </c>
      <c r="AG314">
        <v>453</v>
      </c>
      <c r="AH314">
        <v>287</v>
      </c>
      <c r="AI314">
        <v>48.3</v>
      </c>
      <c r="AJ314">
        <v>31.7</v>
      </c>
      <c r="AK314" s="165" t="s">
        <v>4544</v>
      </c>
      <c r="AN314">
        <v>6</v>
      </c>
      <c r="AO314">
        <v>4</v>
      </c>
      <c r="AP314">
        <v>24</v>
      </c>
      <c r="AQ314" s="165" t="s">
        <v>3815</v>
      </c>
      <c r="AS314" s="165" t="s">
        <v>174</v>
      </c>
      <c r="AT314" t="s">
        <v>5291</v>
      </c>
      <c r="AU314" t="s">
        <v>5291</v>
      </c>
    </row>
    <row r="315" spans="1:47" hidden="1" x14ac:dyDescent="0.25">
      <c r="A315" s="165" t="s">
        <v>2799</v>
      </c>
      <c r="B315" s="165" t="s">
        <v>4557</v>
      </c>
      <c r="C315" s="165" t="s">
        <v>23</v>
      </c>
      <c r="D315" s="165" t="s">
        <v>2800</v>
      </c>
      <c r="E315" s="165" t="s">
        <v>4558</v>
      </c>
      <c r="F315" s="165" t="s">
        <v>11</v>
      </c>
      <c r="G315" s="165" t="s">
        <v>8</v>
      </c>
      <c r="H315" s="165" t="s">
        <v>263</v>
      </c>
      <c r="I315" s="165" t="s">
        <v>3803</v>
      </c>
      <c r="J315" s="165" t="s">
        <v>3804</v>
      </c>
      <c r="K315" s="165"/>
      <c r="L315" s="165"/>
      <c r="M315" s="165"/>
      <c r="N315" s="165" t="s">
        <v>3805</v>
      </c>
      <c r="O315" s="165"/>
      <c r="P315" s="165"/>
      <c r="Q315" s="165"/>
      <c r="R315" s="165"/>
      <c r="S315" s="165"/>
      <c r="T315" s="165" t="s">
        <v>3806</v>
      </c>
      <c r="U315" s="165" t="s">
        <v>3807</v>
      </c>
      <c r="V315" s="165"/>
      <c r="W315" s="165"/>
      <c r="X315" s="165"/>
      <c r="Y315">
        <v>3</v>
      </c>
      <c r="Z315" s="165" t="s">
        <v>3808</v>
      </c>
      <c r="AA315" s="165" t="s">
        <v>3809</v>
      </c>
      <c r="AB315" s="165" t="s">
        <v>3810</v>
      </c>
      <c r="AC315" s="165" t="s">
        <v>3811</v>
      </c>
      <c r="AD315" s="165" t="s">
        <v>4542</v>
      </c>
      <c r="AE315">
        <v>27</v>
      </c>
      <c r="AF315" s="165" t="s">
        <v>4543</v>
      </c>
      <c r="AG315">
        <v>453</v>
      </c>
      <c r="AH315">
        <v>287</v>
      </c>
      <c r="AI315">
        <v>48.3</v>
      </c>
      <c r="AJ315">
        <v>31.7</v>
      </c>
      <c r="AK315" s="165" t="s">
        <v>4544</v>
      </c>
      <c r="AN315">
        <v>6</v>
      </c>
      <c r="AO315">
        <v>4</v>
      </c>
      <c r="AP315">
        <v>24</v>
      </c>
      <c r="AQ315" s="165" t="s">
        <v>3815</v>
      </c>
      <c r="AR315" t="s">
        <v>3909</v>
      </c>
      <c r="AS315" s="165" t="s">
        <v>174</v>
      </c>
      <c r="AT315" t="s">
        <v>5291</v>
      </c>
      <c r="AU315" t="s">
        <v>5291</v>
      </c>
    </row>
    <row r="316" spans="1:47" hidden="1" x14ac:dyDescent="0.25">
      <c r="A316" s="165" t="s">
        <v>1061</v>
      </c>
      <c r="B316" s="165" t="s">
        <v>3425</v>
      </c>
      <c r="C316" s="165" t="s">
        <v>23</v>
      </c>
      <c r="D316" s="165" t="s">
        <v>1062</v>
      </c>
      <c r="E316" s="165" t="s">
        <v>4270</v>
      </c>
      <c r="F316" s="165" t="s">
        <v>11</v>
      </c>
      <c r="G316" s="165" t="s">
        <v>8</v>
      </c>
      <c r="H316" s="165" t="s">
        <v>263</v>
      </c>
      <c r="I316" s="165" t="s">
        <v>3803</v>
      </c>
      <c r="J316" s="165" t="s">
        <v>3804</v>
      </c>
      <c r="K316" s="165"/>
      <c r="L316" s="165"/>
      <c r="M316" s="165"/>
      <c r="N316" s="165" t="s">
        <v>3805</v>
      </c>
      <c r="O316" s="165"/>
      <c r="P316" s="165"/>
      <c r="Q316" s="165"/>
      <c r="R316" s="165"/>
      <c r="S316" s="165"/>
      <c r="T316" s="165" t="s">
        <v>3806</v>
      </c>
      <c r="U316" s="165" t="s">
        <v>3807</v>
      </c>
      <c r="V316" s="165"/>
      <c r="W316" s="165"/>
      <c r="X316" s="165"/>
      <c r="Y316">
        <v>3</v>
      </c>
      <c r="Z316" s="165" t="s">
        <v>3808</v>
      </c>
      <c r="AA316" s="165" t="s">
        <v>3809</v>
      </c>
      <c r="AB316" s="165" t="s">
        <v>3810</v>
      </c>
      <c r="AC316" s="165" t="s">
        <v>3811</v>
      </c>
      <c r="AD316" s="165" t="s">
        <v>4559</v>
      </c>
      <c r="AE316">
        <v>27</v>
      </c>
      <c r="AF316" s="165" t="s">
        <v>4543</v>
      </c>
      <c r="AG316">
        <v>453</v>
      </c>
      <c r="AH316">
        <v>287</v>
      </c>
      <c r="AI316">
        <v>48.3</v>
      </c>
      <c r="AJ316">
        <v>31.7</v>
      </c>
      <c r="AK316" s="165" t="s">
        <v>4544</v>
      </c>
      <c r="AN316">
        <v>6</v>
      </c>
      <c r="AO316">
        <v>4</v>
      </c>
      <c r="AP316">
        <v>24</v>
      </c>
      <c r="AQ316" s="165" t="s">
        <v>3815</v>
      </c>
      <c r="AR316" t="s">
        <v>3923</v>
      </c>
      <c r="AS316" s="165" t="s">
        <v>174</v>
      </c>
      <c r="AT316" t="s">
        <v>5291</v>
      </c>
      <c r="AU316" t="s">
        <v>5291</v>
      </c>
    </row>
    <row r="317" spans="1:47" hidden="1" x14ac:dyDescent="0.25">
      <c r="A317" s="165" t="s">
        <v>4560</v>
      </c>
      <c r="B317" s="165" t="s">
        <v>88</v>
      </c>
      <c r="C317" s="165" t="s">
        <v>23</v>
      </c>
      <c r="D317" s="165" t="s">
        <v>4561</v>
      </c>
      <c r="E317" s="165" t="s">
        <v>4425</v>
      </c>
      <c r="F317" s="165" t="s">
        <v>4137</v>
      </c>
      <c r="G317" s="165" t="s">
        <v>3878</v>
      </c>
      <c r="H317" s="165" t="s">
        <v>263</v>
      </c>
      <c r="I317" s="165" t="s">
        <v>4562</v>
      </c>
      <c r="J317" s="165" t="s">
        <v>4563</v>
      </c>
      <c r="K317" s="165"/>
      <c r="L317" s="165"/>
      <c r="M317" s="165"/>
      <c r="N317" s="165" t="s">
        <v>3805</v>
      </c>
      <c r="O317" s="165"/>
      <c r="P317" s="165"/>
      <c r="Q317" s="165"/>
      <c r="R317" s="165"/>
      <c r="S317" s="165"/>
      <c r="T317" s="165" t="s">
        <v>3806</v>
      </c>
      <c r="U317" s="165" t="s">
        <v>3807</v>
      </c>
      <c r="V317" s="165"/>
      <c r="W317" s="165"/>
      <c r="X317" s="165"/>
      <c r="Y317">
        <v>3</v>
      </c>
      <c r="Z317" s="165" t="s">
        <v>3808</v>
      </c>
      <c r="AA317" s="165" t="s">
        <v>3809</v>
      </c>
      <c r="AB317" s="165" t="s">
        <v>3810</v>
      </c>
      <c r="AC317" s="165" t="s">
        <v>3811</v>
      </c>
      <c r="AD317" s="165" t="s">
        <v>4564</v>
      </c>
      <c r="AE317">
        <v>51</v>
      </c>
      <c r="AF317" s="165" t="s">
        <v>4565</v>
      </c>
      <c r="AG317">
        <v>45</v>
      </c>
      <c r="AH317">
        <v>215</v>
      </c>
      <c r="AI317">
        <v>48</v>
      </c>
      <c r="AJ317">
        <v>24.5</v>
      </c>
      <c r="AK317" s="165" t="s">
        <v>4566</v>
      </c>
      <c r="AN317">
        <v>3</v>
      </c>
      <c r="AO317">
        <v>6</v>
      </c>
      <c r="AP317">
        <v>18</v>
      </c>
      <c r="AQ317" s="165" t="s">
        <v>3978</v>
      </c>
      <c r="AR317" t="s">
        <v>4567</v>
      </c>
      <c r="AS317" s="165" t="s">
        <v>174</v>
      </c>
      <c r="AT317" t="s">
        <v>5291</v>
      </c>
      <c r="AU317" t="s">
        <v>5291</v>
      </c>
    </row>
    <row r="318" spans="1:47" hidden="1" x14ac:dyDescent="0.25">
      <c r="A318" s="165" t="s">
        <v>861</v>
      </c>
      <c r="B318" s="165" t="s">
        <v>4568</v>
      </c>
      <c r="C318" s="165" t="s">
        <v>23</v>
      </c>
      <c r="D318" s="165" t="s">
        <v>862</v>
      </c>
      <c r="E318" s="165" t="s">
        <v>4425</v>
      </c>
      <c r="F318" s="165" t="s">
        <v>4137</v>
      </c>
      <c r="G318" s="165" t="s">
        <v>3878</v>
      </c>
      <c r="H318" s="165" t="s">
        <v>263</v>
      </c>
      <c r="I318" s="165" t="s">
        <v>4562</v>
      </c>
      <c r="J318" s="165" t="s">
        <v>4563</v>
      </c>
      <c r="K318" s="165"/>
      <c r="L318" s="165"/>
      <c r="M318" s="165"/>
      <c r="N318" s="165" t="s">
        <v>3805</v>
      </c>
      <c r="O318" s="165"/>
      <c r="P318" s="165"/>
      <c r="Q318" s="165"/>
      <c r="R318" s="165"/>
      <c r="S318" s="165"/>
      <c r="T318" s="165" t="s">
        <v>3806</v>
      </c>
      <c r="U318" s="165" t="s">
        <v>3807</v>
      </c>
      <c r="V318" s="165"/>
      <c r="W318" s="165"/>
      <c r="X318" s="165"/>
      <c r="Y318">
        <v>3</v>
      </c>
      <c r="Z318" s="165" t="s">
        <v>3808</v>
      </c>
      <c r="AA318" s="165" t="s">
        <v>3809</v>
      </c>
      <c r="AB318" s="165" t="s">
        <v>3810</v>
      </c>
      <c r="AC318" s="165" t="s">
        <v>3811</v>
      </c>
      <c r="AD318" s="165" t="s">
        <v>4564</v>
      </c>
      <c r="AE318">
        <v>51</v>
      </c>
      <c r="AF318" s="165" t="s">
        <v>4565</v>
      </c>
      <c r="AG318">
        <v>45</v>
      </c>
      <c r="AH318">
        <v>215</v>
      </c>
      <c r="AI318">
        <v>48</v>
      </c>
      <c r="AJ318">
        <v>24.5</v>
      </c>
      <c r="AK318" s="165" t="s">
        <v>4566</v>
      </c>
      <c r="AN318">
        <v>3</v>
      </c>
      <c r="AO318">
        <v>6</v>
      </c>
      <c r="AP318">
        <v>18</v>
      </c>
      <c r="AQ318" s="165" t="s">
        <v>3815</v>
      </c>
      <c r="AR318" t="s">
        <v>3930</v>
      </c>
      <c r="AS318" s="165" t="s">
        <v>174</v>
      </c>
      <c r="AT318" t="s">
        <v>5291</v>
      </c>
      <c r="AU318" t="s">
        <v>5291</v>
      </c>
    </row>
    <row r="319" spans="1:47" hidden="1" x14ac:dyDescent="0.25">
      <c r="A319" s="165" t="s">
        <v>1162</v>
      </c>
      <c r="B319" s="165" t="s">
        <v>4569</v>
      </c>
      <c r="C319" s="165" t="s">
        <v>23</v>
      </c>
      <c r="D319" s="165" t="s">
        <v>1163</v>
      </c>
      <c r="E319" s="165" t="s">
        <v>4430</v>
      </c>
      <c r="F319" s="165" t="s">
        <v>4137</v>
      </c>
      <c r="G319" s="165" t="s">
        <v>3878</v>
      </c>
      <c r="H319" s="165" t="s">
        <v>263</v>
      </c>
      <c r="I319" s="165" t="s">
        <v>4562</v>
      </c>
      <c r="J319" s="165" t="s">
        <v>4563</v>
      </c>
      <c r="K319" s="165"/>
      <c r="L319" s="165"/>
      <c r="M319" s="165"/>
      <c r="N319" s="165" t="s">
        <v>3805</v>
      </c>
      <c r="O319" s="165"/>
      <c r="P319" s="165"/>
      <c r="Q319" s="165"/>
      <c r="R319" s="165"/>
      <c r="S319" s="165"/>
      <c r="T319" s="165" t="s">
        <v>3806</v>
      </c>
      <c r="U319" s="165" t="s">
        <v>3807</v>
      </c>
      <c r="V319" s="165"/>
      <c r="W319" s="165"/>
      <c r="X319" s="165"/>
      <c r="Y319">
        <v>3</v>
      </c>
      <c r="Z319" s="165" t="s">
        <v>3808</v>
      </c>
      <c r="AA319" s="165" t="s">
        <v>3809</v>
      </c>
      <c r="AB319" s="165" t="s">
        <v>3810</v>
      </c>
      <c r="AC319" s="165" t="s">
        <v>3811</v>
      </c>
      <c r="AD319" s="165" t="s">
        <v>4564</v>
      </c>
      <c r="AE319">
        <v>51</v>
      </c>
      <c r="AF319" s="165" t="s">
        <v>4565</v>
      </c>
      <c r="AG319">
        <v>45</v>
      </c>
      <c r="AH319">
        <v>215</v>
      </c>
      <c r="AI319">
        <v>48</v>
      </c>
      <c r="AJ319">
        <v>24.5</v>
      </c>
      <c r="AK319" s="165" t="s">
        <v>4566</v>
      </c>
      <c r="AN319">
        <v>3</v>
      </c>
      <c r="AO319">
        <v>6</v>
      </c>
      <c r="AP319">
        <v>18</v>
      </c>
      <c r="AQ319" s="165" t="s">
        <v>3815</v>
      </c>
      <c r="AR319" t="s">
        <v>3870</v>
      </c>
      <c r="AS319" s="165" t="s">
        <v>174</v>
      </c>
      <c r="AT319" t="s">
        <v>5291</v>
      </c>
      <c r="AU319" t="s">
        <v>5291</v>
      </c>
    </row>
    <row r="320" spans="1:47" hidden="1" x14ac:dyDescent="0.25">
      <c r="A320" s="165" t="s">
        <v>1674</v>
      </c>
      <c r="B320" s="165" t="s">
        <v>3303</v>
      </c>
      <c r="C320" s="165" t="s">
        <v>2471</v>
      </c>
      <c r="D320" s="165" t="s">
        <v>1675</v>
      </c>
      <c r="E320" s="165" t="s">
        <v>4121</v>
      </c>
      <c r="F320" s="165" t="s">
        <v>2183</v>
      </c>
      <c r="G320" s="165" t="s">
        <v>3878</v>
      </c>
      <c r="H320" s="165" t="s">
        <v>263</v>
      </c>
      <c r="I320" s="165" t="s">
        <v>3807</v>
      </c>
      <c r="J320" s="165" t="s">
        <v>4570</v>
      </c>
      <c r="K320" s="165"/>
      <c r="L320" s="165"/>
      <c r="M320" s="165"/>
      <c r="N320" s="165"/>
      <c r="O320" s="165"/>
      <c r="P320" s="165"/>
      <c r="Q320" s="165"/>
      <c r="R320" s="165"/>
      <c r="S320" s="165"/>
      <c r="T320" s="165" t="s">
        <v>3806</v>
      </c>
      <c r="U320" s="165" t="s">
        <v>3807</v>
      </c>
      <c r="V320" s="165"/>
      <c r="W320" s="165"/>
      <c r="X320" s="165"/>
      <c r="Y320">
        <v>2</v>
      </c>
      <c r="Z320" s="165" t="s">
        <v>3880</v>
      </c>
      <c r="AA320" s="165" t="s">
        <v>3810</v>
      </c>
      <c r="AB320" s="165" t="s">
        <v>3810</v>
      </c>
      <c r="AC320" s="165" t="s">
        <v>3811</v>
      </c>
      <c r="AD320" s="165" t="s">
        <v>4571</v>
      </c>
      <c r="AE320">
        <v>114</v>
      </c>
      <c r="AF320" s="165" t="s">
        <v>4565</v>
      </c>
      <c r="AG320">
        <v>45</v>
      </c>
      <c r="AH320">
        <v>215</v>
      </c>
      <c r="AI320">
        <v>48</v>
      </c>
      <c r="AJ320">
        <v>24.5</v>
      </c>
      <c r="AK320" s="165" t="s">
        <v>4566</v>
      </c>
      <c r="AN320">
        <v>4</v>
      </c>
      <c r="AO320">
        <v>6</v>
      </c>
      <c r="AP320">
        <v>24</v>
      </c>
      <c r="AQ320" s="165" t="s">
        <v>3815</v>
      </c>
      <c r="AR320" t="s">
        <v>3930</v>
      </c>
      <c r="AS320" s="165" t="s">
        <v>174</v>
      </c>
      <c r="AT320" t="s">
        <v>5291</v>
      </c>
      <c r="AU320" t="s">
        <v>3809</v>
      </c>
    </row>
    <row r="321" spans="1:47" hidden="1" x14ac:dyDescent="0.25">
      <c r="A321" s="165" t="s">
        <v>857</v>
      </c>
      <c r="B321" s="165" t="s">
        <v>3462</v>
      </c>
      <c r="C321" s="165" t="s">
        <v>23</v>
      </c>
      <c r="D321" s="165" t="s">
        <v>858</v>
      </c>
      <c r="E321" s="165" t="s">
        <v>4417</v>
      </c>
      <c r="F321" s="165" t="s">
        <v>4137</v>
      </c>
      <c r="G321" s="165" t="s">
        <v>8</v>
      </c>
      <c r="H321" s="165" t="s">
        <v>176</v>
      </c>
      <c r="I321" s="165" t="s">
        <v>3902</v>
      </c>
      <c r="J321" s="165" t="s">
        <v>4572</v>
      </c>
      <c r="K321" s="165"/>
      <c r="L321" s="165"/>
      <c r="M321" s="165"/>
      <c r="N321" s="165"/>
      <c r="O321" s="165"/>
      <c r="P321" s="165"/>
      <c r="Q321" s="165"/>
      <c r="R321" s="165" t="s">
        <v>3842</v>
      </c>
      <c r="S321" s="165"/>
      <c r="T321" s="165"/>
      <c r="U321" s="165" t="s">
        <v>3807</v>
      </c>
      <c r="V321" s="165"/>
      <c r="W321" s="165"/>
      <c r="X321" s="165"/>
      <c r="Y321">
        <v>2</v>
      </c>
      <c r="Z321" s="165" t="s">
        <v>3843</v>
      </c>
      <c r="AA321" s="165" t="s">
        <v>3811</v>
      </c>
      <c r="AB321" s="165" t="s">
        <v>3810</v>
      </c>
      <c r="AC321" s="165" t="s">
        <v>3809</v>
      </c>
      <c r="AD321" s="165" t="s">
        <v>4564</v>
      </c>
      <c r="AE321">
        <v>51</v>
      </c>
      <c r="AF321" s="165" t="s">
        <v>4565</v>
      </c>
      <c r="AG321">
        <v>45</v>
      </c>
      <c r="AH321">
        <v>215</v>
      </c>
      <c r="AI321">
        <v>48</v>
      </c>
      <c r="AJ321">
        <v>24.5</v>
      </c>
      <c r="AK321" s="165" t="s">
        <v>4566</v>
      </c>
      <c r="AN321">
        <v>3</v>
      </c>
      <c r="AO321">
        <v>6</v>
      </c>
      <c r="AP321">
        <v>18</v>
      </c>
      <c r="AQ321" s="165" t="s">
        <v>3815</v>
      </c>
      <c r="AR321" t="s">
        <v>3855</v>
      </c>
      <c r="AS321" s="165" t="s">
        <v>30</v>
      </c>
      <c r="AT321" t="s">
        <v>5291</v>
      </c>
      <c r="AU321" t="s">
        <v>5291</v>
      </c>
    </row>
    <row r="322" spans="1:47" hidden="1" x14ac:dyDescent="0.25">
      <c r="A322" s="165" t="s">
        <v>1610</v>
      </c>
      <c r="B322" s="165" t="s">
        <v>4573</v>
      </c>
      <c r="C322" s="165" t="s">
        <v>23</v>
      </c>
      <c r="D322" s="165" t="s">
        <v>1611</v>
      </c>
      <c r="E322" s="165" t="s">
        <v>4420</v>
      </c>
      <c r="F322" s="165" t="s">
        <v>4574</v>
      </c>
      <c r="G322" s="165" t="s">
        <v>8</v>
      </c>
      <c r="H322" s="165" t="s">
        <v>176</v>
      </c>
      <c r="I322" s="165" t="s">
        <v>3865</v>
      </c>
      <c r="J322" s="165" t="s">
        <v>4575</v>
      </c>
      <c r="K322" s="165"/>
      <c r="L322" s="165"/>
      <c r="M322" s="165"/>
      <c r="N322" s="165"/>
      <c r="O322" s="165"/>
      <c r="P322" s="165"/>
      <c r="Q322" s="165"/>
      <c r="R322" s="165" t="s">
        <v>3842</v>
      </c>
      <c r="S322" s="165"/>
      <c r="T322" s="165"/>
      <c r="U322" s="165" t="s">
        <v>3807</v>
      </c>
      <c r="V322" s="165"/>
      <c r="W322" s="165"/>
      <c r="X322" s="165"/>
      <c r="Y322">
        <v>2</v>
      </c>
      <c r="Z322" s="165" t="s">
        <v>3843</v>
      </c>
      <c r="AA322" s="165" t="s">
        <v>3811</v>
      </c>
      <c r="AB322" s="165" t="s">
        <v>3810</v>
      </c>
      <c r="AC322" s="165" t="s">
        <v>3809</v>
      </c>
      <c r="AD322" s="165" t="s">
        <v>4564</v>
      </c>
      <c r="AE322">
        <v>51</v>
      </c>
      <c r="AF322" s="165" t="s">
        <v>4565</v>
      </c>
      <c r="AG322">
        <v>45</v>
      </c>
      <c r="AH322">
        <v>215</v>
      </c>
      <c r="AI322">
        <v>48</v>
      </c>
      <c r="AJ322">
        <v>24.5</v>
      </c>
      <c r="AK322" s="165" t="s">
        <v>4566</v>
      </c>
      <c r="AN322">
        <v>3</v>
      </c>
      <c r="AO322">
        <v>6</v>
      </c>
      <c r="AP322">
        <v>18</v>
      </c>
      <c r="AQ322" s="165" t="s">
        <v>3815</v>
      </c>
      <c r="AR322" t="s">
        <v>3930</v>
      </c>
      <c r="AS322" s="165" t="s">
        <v>30</v>
      </c>
      <c r="AT322" t="s">
        <v>5291</v>
      </c>
      <c r="AU322" t="s">
        <v>5291</v>
      </c>
    </row>
    <row r="323" spans="1:47" hidden="1" x14ac:dyDescent="0.25">
      <c r="A323" s="165" t="s">
        <v>1230</v>
      </c>
      <c r="B323" s="165" t="s">
        <v>3395</v>
      </c>
      <c r="C323" s="165" t="s">
        <v>23</v>
      </c>
      <c r="D323" s="165" t="s">
        <v>1231</v>
      </c>
      <c r="E323" s="165" t="s">
        <v>4163</v>
      </c>
      <c r="F323" s="165" t="s">
        <v>11</v>
      </c>
      <c r="G323" s="165" t="s">
        <v>8</v>
      </c>
      <c r="H323" s="165" t="s">
        <v>241</v>
      </c>
      <c r="I323" s="165" t="s">
        <v>3803</v>
      </c>
      <c r="J323" s="165" t="s">
        <v>4011</v>
      </c>
      <c r="K323" s="165"/>
      <c r="L323" s="165"/>
      <c r="M323" s="165"/>
      <c r="N323" s="165"/>
      <c r="O323" s="165"/>
      <c r="P323" s="165"/>
      <c r="Q323" s="165"/>
      <c r="R323" s="165"/>
      <c r="S323" s="165" t="s">
        <v>3902</v>
      </c>
      <c r="T323" s="165"/>
      <c r="U323" s="165"/>
      <c r="V323" s="165"/>
      <c r="W323" s="165"/>
      <c r="X323" s="165" t="s">
        <v>2428</v>
      </c>
      <c r="Y323">
        <v>2</v>
      </c>
      <c r="Z323" s="165" t="s">
        <v>3903</v>
      </c>
      <c r="AA323" s="165" t="s">
        <v>3811</v>
      </c>
      <c r="AB323" s="165" t="s">
        <v>3810</v>
      </c>
      <c r="AC323" s="165" t="s">
        <v>3809</v>
      </c>
      <c r="AD323" s="165" t="s">
        <v>4576</v>
      </c>
      <c r="AE323">
        <v>33</v>
      </c>
      <c r="AF323" s="165" t="s">
        <v>4577</v>
      </c>
      <c r="AG323">
        <v>45</v>
      </c>
      <c r="AH323">
        <v>356</v>
      </c>
      <c r="AI323">
        <v>48</v>
      </c>
      <c r="AJ323">
        <v>38.6</v>
      </c>
      <c r="AK323" s="165" t="s">
        <v>4578</v>
      </c>
      <c r="AN323">
        <v>2</v>
      </c>
      <c r="AO323">
        <v>4</v>
      </c>
      <c r="AP323">
        <v>8</v>
      </c>
      <c r="AQ323" s="165" t="s">
        <v>3815</v>
      </c>
      <c r="AR323" t="s">
        <v>3998</v>
      </c>
      <c r="AS323" s="165" t="s">
        <v>30</v>
      </c>
      <c r="AT323" t="s">
        <v>5291</v>
      </c>
      <c r="AU323" t="s">
        <v>5291</v>
      </c>
    </row>
    <row r="324" spans="1:47" hidden="1" x14ac:dyDescent="0.25">
      <c r="A324" s="165" t="s">
        <v>849</v>
      </c>
      <c r="B324" s="165" t="s">
        <v>4579</v>
      </c>
      <c r="C324" s="165" t="s">
        <v>23</v>
      </c>
      <c r="D324" s="165" t="s">
        <v>850</v>
      </c>
      <c r="E324" s="165" t="s">
        <v>4192</v>
      </c>
      <c r="F324" s="165" t="s">
        <v>11</v>
      </c>
      <c r="G324" s="165" t="s">
        <v>8</v>
      </c>
      <c r="H324" s="165" t="s">
        <v>241</v>
      </c>
      <c r="I324" s="165" t="s">
        <v>3803</v>
      </c>
      <c r="J324" s="165" t="s">
        <v>4011</v>
      </c>
      <c r="K324" s="165"/>
      <c r="L324" s="165"/>
      <c r="M324" s="165"/>
      <c r="N324" s="165"/>
      <c r="O324" s="165"/>
      <c r="P324" s="165"/>
      <c r="Q324" s="165"/>
      <c r="R324" s="165"/>
      <c r="S324" s="165" t="s">
        <v>3902</v>
      </c>
      <c r="T324" s="165"/>
      <c r="U324" s="165"/>
      <c r="V324" s="165"/>
      <c r="W324" s="165"/>
      <c r="X324" s="165" t="s">
        <v>2428</v>
      </c>
      <c r="Y324">
        <v>2</v>
      </c>
      <c r="Z324" s="165" t="s">
        <v>3903</v>
      </c>
      <c r="AA324" s="165" t="s">
        <v>3811</v>
      </c>
      <c r="AB324" s="165" t="s">
        <v>3810</v>
      </c>
      <c r="AC324" s="165" t="s">
        <v>3809</v>
      </c>
      <c r="AD324" s="165" t="s">
        <v>4580</v>
      </c>
      <c r="AE324">
        <v>40</v>
      </c>
      <c r="AF324" s="165" t="s">
        <v>4581</v>
      </c>
      <c r="AG324">
        <v>45</v>
      </c>
      <c r="AH324">
        <v>373</v>
      </c>
      <c r="AI324">
        <v>48</v>
      </c>
      <c r="AJ324">
        <v>40.299999999999997</v>
      </c>
      <c r="AK324" s="165" t="s">
        <v>4582</v>
      </c>
      <c r="AN324">
        <v>2</v>
      </c>
      <c r="AO324">
        <v>4</v>
      </c>
      <c r="AP324">
        <v>8</v>
      </c>
      <c r="AQ324" s="165" t="s">
        <v>3815</v>
      </c>
      <c r="AS324" s="165" t="s">
        <v>30</v>
      </c>
      <c r="AT324" t="s">
        <v>5291</v>
      </c>
      <c r="AU324" t="s">
        <v>5291</v>
      </c>
    </row>
    <row r="325" spans="1:47" hidden="1" x14ac:dyDescent="0.25">
      <c r="A325" s="165" t="s">
        <v>851</v>
      </c>
      <c r="B325" s="165" t="s">
        <v>3304</v>
      </c>
      <c r="C325" s="165" t="s">
        <v>23</v>
      </c>
      <c r="D325" s="165" t="s">
        <v>852</v>
      </c>
      <c r="E325" s="165" t="s">
        <v>4583</v>
      </c>
      <c r="F325" s="165" t="s">
        <v>2183</v>
      </c>
      <c r="G325" s="165" t="s">
        <v>8</v>
      </c>
      <c r="H325" s="165" t="s">
        <v>241</v>
      </c>
      <c r="I325" s="165" t="s">
        <v>3820</v>
      </c>
      <c r="J325" s="165" t="s">
        <v>4106</v>
      </c>
      <c r="K325" s="165"/>
      <c r="L325" s="165"/>
      <c r="M325" s="165"/>
      <c r="N325" s="165"/>
      <c r="O325" s="165"/>
      <c r="P325" s="165"/>
      <c r="Q325" s="165"/>
      <c r="R325" s="165"/>
      <c r="S325" s="165" t="s">
        <v>3902</v>
      </c>
      <c r="T325" s="165"/>
      <c r="U325" s="165"/>
      <c r="V325" s="165"/>
      <c r="W325" s="165"/>
      <c r="X325" s="165" t="s">
        <v>2428</v>
      </c>
      <c r="Y325">
        <v>2</v>
      </c>
      <c r="Z325" s="165" t="s">
        <v>3903</v>
      </c>
      <c r="AA325" s="165" t="s">
        <v>3811</v>
      </c>
      <c r="AB325" s="165" t="s">
        <v>3810</v>
      </c>
      <c r="AC325" s="165" t="s">
        <v>3809</v>
      </c>
      <c r="AD325" s="165" t="s">
        <v>4584</v>
      </c>
      <c r="AE325">
        <v>40</v>
      </c>
      <c r="AF325" s="165" t="s">
        <v>4581</v>
      </c>
      <c r="AG325">
        <v>45</v>
      </c>
      <c r="AH325">
        <v>373</v>
      </c>
      <c r="AI325">
        <v>48</v>
      </c>
      <c r="AJ325">
        <v>40.299999999999997</v>
      </c>
      <c r="AK325" s="165" t="s">
        <v>4582</v>
      </c>
      <c r="AN325">
        <v>2</v>
      </c>
      <c r="AO325">
        <v>4</v>
      </c>
      <c r="AP325">
        <v>8</v>
      </c>
      <c r="AQ325" s="165" t="s">
        <v>3815</v>
      </c>
      <c r="AR325" t="s">
        <v>3884</v>
      </c>
      <c r="AS325" s="165" t="s">
        <v>30</v>
      </c>
      <c r="AT325" t="s">
        <v>5291</v>
      </c>
      <c r="AU325" t="s">
        <v>5291</v>
      </c>
    </row>
    <row r="326" spans="1:47" hidden="1" x14ac:dyDescent="0.25">
      <c r="A326" s="165" t="s">
        <v>784</v>
      </c>
      <c r="B326" s="165" t="s">
        <v>4585</v>
      </c>
      <c r="C326" s="165" t="s">
        <v>23</v>
      </c>
      <c r="D326" s="165" t="s">
        <v>785</v>
      </c>
      <c r="E326" s="165" t="s">
        <v>3914</v>
      </c>
      <c r="F326" s="165" t="s">
        <v>11</v>
      </c>
      <c r="G326" s="165" t="s">
        <v>8</v>
      </c>
      <c r="H326" s="165" t="s">
        <v>241</v>
      </c>
      <c r="I326" s="165" t="s">
        <v>3803</v>
      </c>
      <c r="J326" s="165" t="s">
        <v>4011</v>
      </c>
      <c r="K326" s="165"/>
      <c r="L326" s="165"/>
      <c r="M326" s="165"/>
      <c r="N326" s="165"/>
      <c r="O326" s="165"/>
      <c r="P326" s="165"/>
      <c r="Q326" s="165"/>
      <c r="R326" s="165"/>
      <c r="S326" s="165" t="s">
        <v>3902</v>
      </c>
      <c r="T326" s="165"/>
      <c r="U326" s="165"/>
      <c r="V326" s="165"/>
      <c r="W326" s="165"/>
      <c r="X326" s="165" t="s">
        <v>2428</v>
      </c>
      <c r="Y326">
        <v>2</v>
      </c>
      <c r="Z326" s="165" t="s">
        <v>3903</v>
      </c>
      <c r="AA326" s="165" t="s">
        <v>3811</v>
      </c>
      <c r="AB326" s="165" t="s">
        <v>3810</v>
      </c>
      <c r="AC326" s="165" t="s">
        <v>3809</v>
      </c>
      <c r="AD326" s="165" t="s">
        <v>4586</v>
      </c>
      <c r="AE326">
        <v>79</v>
      </c>
      <c r="AF326" s="165" t="s">
        <v>4587</v>
      </c>
      <c r="AG326">
        <v>45</v>
      </c>
      <c r="AH326">
        <v>45</v>
      </c>
      <c r="AI326">
        <v>48</v>
      </c>
      <c r="AJ326">
        <v>48</v>
      </c>
      <c r="AK326" s="165" t="s">
        <v>4588</v>
      </c>
      <c r="AN326">
        <v>1</v>
      </c>
      <c r="AO326">
        <v>2</v>
      </c>
      <c r="AP326">
        <v>2</v>
      </c>
      <c r="AQ326" s="165" t="s">
        <v>3815</v>
      </c>
      <c r="AR326" t="s">
        <v>3830</v>
      </c>
      <c r="AS326" s="165" t="s">
        <v>30</v>
      </c>
      <c r="AT326" t="s">
        <v>5291</v>
      </c>
      <c r="AU326" t="s">
        <v>5291</v>
      </c>
    </row>
    <row r="327" spans="1:47" hidden="1" x14ac:dyDescent="0.25">
      <c r="A327" s="165" t="s">
        <v>796</v>
      </c>
      <c r="B327" s="165" t="s">
        <v>3389</v>
      </c>
      <c r="C327" s="165" t="s">
        <v>23</v>
      </c>
      <c r="D327" s="165" t="s">
        <v>797</v>
      </c>
      <c r="E327" s="165" t="s">
        <v>3914</v>
      </c>
      <c r="F327" s="165" t="s">
        <v>2183</v>
      </c>
      <c r="G327" s="165" t="s">
        <v>8</v>
      </c>
      <c r="H327" s="165" t="s">
        <v>241</v>
      </c>
      <c r="I327" s="165" t="s">
        <v>3820</v>
      </c>
      <c r="J327" s="165" t="s">
        <v>4106</v>
      </c>
      <c r="K327" s="165"/>
      <c r="L327" s="165"/>
      <c r="M327" s="165"/>
      <c r="N327" s="165"/>
      <c r="O327" s="165"/>
      <c r="P327" s="165"/>
      <c r="Q327" s="165"/>
      <c r="R327" s="165"/>
      <c r="S327" s="165" t="s">
        <v>3902</v>
      </c>
      <c r="T327" s="165"/>
      <c r="U327" s="165"/>
      <c r="V327" s="165"/>
      <c r="W327" s="165"/>
      <c r="X327" s="165" t="s">
        <v>2428</v>
      </c>
      <c r="Y327">
        <v>2</v>
      </c>
      <c r="Z327" s="165" t="s">
        <v>3903</v>
      </c>
      <c r="AA327" s="165" t="s">
        <v>3811</v>
      </c>
      <c r="AB327" s="165" t="s">
        <v>3810</v>
      </c>
      <c r="AC327" s="165" t="s">
        <v>3809</v>
      </c>
      <c r="AD327" s="165" t="s">
        <v>4586</v>
      </c>
      <c r="AE327">
        <v>79</v>
      </c>
      <c r="AF327" s="165" t="s">
        <v>4587</v>
      </c>
      <c r="AG327">
        <v>45</v>
      </c>
      <c r="AH327">
        <v>45</v>
      </c>
      <c r="AI327">
        <v>48</v>
      </c>
      <c r="AJ327">
        <v>48</v>
      </c>
      <c r="AK327" s="165" t="s">
        <v>4588</v>
      </c>
      <c r="AN327">
        <v>1</v>
      </c>
      <c r="AO327">
        <v>2</v>
      </c>
      <c r="AP327">
        <v>2</v>
      </c>
      <c r="AQ327" s="165" t="s">
        <v>3815</v>
      </c>
      <c r="AS327" s="165" t="s">
        <v>30</v>
      </c>
      <c r="AT327" t="s">
        <v>5291</v>
      </c>
      <c r="AU327" t="s">
        <v>5291</v>
      </c>
    </row>
    <row r="328" spans="1:47" hidden="1" x14ac:dyDescent="0.25">
      <c r="A328" s="165" t="s">
        <v>4589</v>
      </c>
      <c r="B328" s="165" t="s">
        <v>88</v>
      </c>
      <c r="C328" s="165" t="s">
        <v>23</v>
      </c>
      <c r="D328" s="165" t="s">
        <v>4590</v>
      </c>
      <c r="E328" s="165" t="s">
        <v>4492</v>
      </c>
      <c r="F328" s="165" t="s">
        <v>11</v>
      </c>
      <c r="G328" s="165" t="s">
        <v>8</v>
      </c>
      <c r="H328" s="165" t="s">
        <v>241</v>
      </c>
      <c r="I328" s="165" t="s">
        <v>3803</v>
      </c>
      <c r="J328" s="165" t="s">
        <v>4011</v>
      </c>
      <c r="K328" s="165"/>
      <c r="L328" s="165"/>
      <c r="M328" s="165"/>
      <c r="N328" s="165"/>
      <c r="O328" s="165"/>
      <c r="P328" s="165"/>
      <c r="Q328" s="165"/>
      <c r="R328" s="165"/>
      <c r="S328" s="165" t="s">
        <v>3902</v>
      </c>
      <c r="T328" s="165"/>
      <c r="U328" s="165"/>
      <c r="V328" s="165"/>
      <c r="W328" s="165"/>
      <c r="X328" s="165" t="s">
        <v>2428</v>
      </c>
      <c r="Y328">
        <v>2</v>
      </c>
      <c r="Z328" s="165" t="s">
        <v>3903</v>
      </c>
      <c r="AA328" s="165" t="s">
        <v>3811</v>
      </c>
      <c r="AB328" s="165" t="s">
        <v>3810</v>
      </c>
      <c r="AC328" s="165" t="s">
        <v>3809</v>
      </c>
      <c r="AD328" s="165" t="s">
        <v>4586</v>
      </c>
      <c r="AE328">
        <v>79</v>
      </c>
      <c r="AF328" s="165" t="s">
        <v>4587</v>
      </c>
      <c r="AG328">
        <v>45</v>
      </c>
      <c r="AH328">
        <v>45</v>
      </c>
      <c r="AI328">
        <v>48</v>
      </c>
      <c r="AJ328">
        <v>48</v>
      </c>
      <c r="AK328" s="165" t="s">
        <v>4588</v>
      </c>
      <c r="AN328">
        <v>1</v>
      </c>
      <c r="AO328">
        <v>2</v>
      </c>
      <c r="AP328">
        <v>2</v>
      </c>
      <c r="AQ328" s="165" t="s">
        <v>3815</v>
      </c>
      <c r="AS328" s="165" t="s">
        <v>30</v>
      </c>
      <c r="AT328" t="s">
        <v>5291</v>
      </c>
      <c r="AU328" t="s">
        <v>5291</v>
      </c>
    </row>
    <row r="329" spans="1:47" hidden="1" x14ac:dyDescent="0.25">
      <c r="A329" s="165" t="s">
        <v>4591</v>
      </c>
      <c r="B329" s="165" t="s">
        <v>88</v>
      </c>
      <c r="C329" s="165" t="s">
        <v>23</v>
      </c>
      <c r="D329" s="165" t="s">
        <v>4592</v>
      </c>
      <c r="E329" s="165" t="s">
        <v>4492</v>
      </c>
      <c r="F329" s="165" t="s">
        <v>2183</v>
      </c>
      <c r="G329" s="165" t="s">
        <v>8</v>
      </c>
      <c r="H329" s="165" t="s">
        <v>241</v>
      </c>
      <c r="I329" s="165" t="s">
        <v>3820</v>
      </c>
      <c r="J329" s="165" t="s">
        <v>4106</v>
      </c>
      <c r="K329" s="165"/>
      <c r="L329" s="165"/>
      <c r="M329" s="165"/>
      <c r="N329" s="165"/>
      <c r="O329" s="165"/>
      <c r="P329" s="165"/>
      <c r="Q329" s="165"/>
      <c r="R329" s="165"/>
      <c r="S329" s="165" t="s">
        <v>3902</v>
      </c>
      <c r="T329" s="165"/>
      <c r="U329" s="165"/>
      <c r="V329" s="165"/>
      <c r="W329" s="165"/>
      <c r="X329" s="165" t="s">
        <v>2428</v>
      </c>
      <c r="Y329">
        <v>2</v>
      </c>
      <c r="Z329" s="165" t="s">
        <v>3903</v>
      </c>
      <c r="AA329" s="165" t="s">
        <v>3811</v>
      </c>
      <c r="AB329" s="165" t="s">
        <v>3810</v>
      </c>
      <c r="AC329" s="165" t="s">
        <v>3809</v>
      </c>
      <c r="AD329" s="165" t="s">
        <v>4586</v>
      </c>
      <c r="AE329">
        <v>79</v>
      </c>
      <c r="AF329" s="165" t="s">
        <v>4587</v>
      </c>
      <c r="AG329">
        <v>45</v>
      </c>
      <c r="AH329">
        <v>45</v>
      </c>
      <c r="AI329">
        <v>48</v>
      </c>
      <c r="AJ329">
        <v>48</v>
      </c>
      <c r="AK329" s="165" t="s">
        <v>4588</v>
      </c>
      <c r="AN329">
        <v>1</v>
      </c>
      <c r="AO329">
        <v>2</v>
      </c>
      <c r="AP329">
        <v>2</v>
      </c>
      <c r="AQ329" s="165" t="s">
        <v>3815</v>
      </c>
      <c r="AS329" s="165" t="s">
        <v>30</v>
      </c>
      <c r="AT329" t="s">
        <v>5291</v>
      </c>
      <c r="AU329" t="s">
        <v>5291</v>
      </c>
    </row>
    <row r="330" spans="1:47" hidden="1" x14ac:dyDescent="0.25">
      <c r="A330" s="165" t="s">
        <v>4593</v>
      </c>
      <c r="B330" s="165" t="s">
        <v>88</v>
      </c>
      <c r="C330" s="165" t="s">
        <v>23</v>
      </c>
      <c r="D330" s="165" t="s">
        <v>4594</v>
      </c>
      <c r="E330" s="165" t="s">
        <v>4327</v>
      </c>
      <c r="F330" s="165" t="s">
        <v>11</v>
      </c>
      <c r="G330" s="165" t="s">
        <v>8</v>
      </c>
      <c r="H330" s="165" t="s">
        <v>241</v>
      </c>
      <c r="I330" s="165" t="s">
        <v>3803</v>
      </c>
      <c r="J330" s="165" t="s">
        <v>4011</v>
      </c>
      <c r="K330" s="165"/>
      <c r="L330" s="165"/>
      <c r="M330" s="165"/>
      <c r="N330" s="165"/>
      <c r="O330" s="165"/>
      <c r="P330" s="165"/>
      <c r="Q330" s="165"/>
      <c r="R330" s="165"/>
      <c r="S330" s="165" t="s">
        <v>3902</v>
      </c>
      <c r="T330" s="165"/>
      <c r="U330" s="165"/>
      <c r="V330" s="165"/>
      <c r="W330" s="165"/>
      <c r="X330" s="165" t="s">
        <v>2428</v>
      </c>
      <c r="Y330">
        <v>2</v>
      </c>
      <c r="Z330" s="165" t="s">
        <v>3903</v>
      </c>
      <c r="AA330" s="165" t="s">
        <v>3811</v>
      </c>
      <c r="AB330" s="165" t="s">
        <v>3810</v>
      </c>
      <c r="AC330" s="165" t="s">
        <v>3809</v>
      </c>
      <c r="AD330" s="165" t="s">
        <v>4586</v>
      </c>
      <c r="AE330">
        <v>79</v>
      </c>
      <c r="AF330" s="165" t="s">
        <v>4587</v>
      </c>
      <c r="AG330">
        <v>45</v>
      </c>
      <c r="AH330">
        <v>45</v>
      </c>
      <c r="AI330">
        <v>48</v>
      </c>
      <c r="AJ330">
        <v>48</v>
      </c>
      <c r="AK330" s="165" t="s">
        <v>4588</v>
      </c>
      <c r="AN330">
        <v>1</v>
      </c>
      <c r="AO330">
        <v>2</v>
      </c>
      <c r="AP330">
        <v>2</v>
      </c>
      <c r="AQ330" s="165" t="s">
        <v>3815</v>
      </c>
      <c r="AS330" s="165" t="s">
        <v>30</v>
      </c>
      <c r="AT330" t="s">
        <v>5291</v>
      </c>
      <c r="AU330" t="s">
        <v>5291</v>
      </c>
    </row>
    <row r="331" spans="1:47" hidden="1" x14ac:dyDescent="0.25">
      <c r="A331" s="165" t="s">
        <v>4595</v>
      </c>
      <c r="B331" s="165" t="s">
        <v>88</v>
      </c>
      <c r="C331" s="165" t="s">
        <v>23</v>
      </c>
      <c r="D331" s="165" t="s">
        <v>4596</v>
      </c>
      <c r="E331" s="165" t="s">
        <v>4327</v>
      </c>
      <c r="F331" s="165" t="s">
        <v>12</v>
      </c>
      <c r="G331" s="165" t="s">
        <v>8</v>
      </c>
      <c r="H331" s="165" t="s">
        <v>241</v>
      </c>
      <c r="I331" s="165" t="s">
        <v>3803</v>
      </c>
      <c r="J331" s="165" t="s">
        <v>4011</v>
      </c>
      <c r="K331" s="165"/>
      <c r="L331" s="165"/>
      <c r="M331" s="165"/>
      <c r="N331" s="165"/>
      <c r="O331" s="165"/>
      <c r="P331" s="165"/>
      <c r="Q331" s="165"/>
      <c r="R331" s="165"/>
      <c r="S331" s="165" t="s">
        <v>3902</v>
      </c>
      <c r="T331" s="165"/>
      <c r="U331" s="165"/>
      <c r="V331" s="165"/>
      <c r="W331" s="165"/>
      <c r="X331" s="165" t="s">
        <v>2428</v>
      </c>
      <c r="Y331">
        <v>2</v>
      </c>
      <c r="Z331" s="165" t="s">
        <v>3903</v>
      </c>
      <c r="AA331" s="165" t="s">
        <v>3811</v>
      </c>
      <c r="AB331" s="165" t="s">
        <v>3810</v>
      </c>
      <c r="AC331" s="165" t="s">
        <v>3809</v>
      </c>
      <c r="AD331" s="165" t="s">
        <v>4586</v>
      </c>
      <c r="AE331">
        <v>79</v>
      </c>
      <c r="AF331" s="165" t="s">
        <v>4587</v>
      </c>
      <c r="AG331">
        <v>45</v>
      </c>
      <c r="AH331">
        <v>45</v>
      </c>
      <c r="AI331">
        <v>48</v>
      </c>
      <c r="AJ331">
        <v>48</v>
      </c>
      <c r="AK331" s="165" t="s">
        <v>4588</v>
      </c>
      <c r="AN331">
        <v>1</v>
      </c>
      <c r="AO331">
        <v>2</v>
      </c>
      <c r="AP331">
        <v>2</v>
      </c>
      <c r="AQ331" s="165" t="s">
        <v>3815</v>
      </c>
      <c r="AS331" s="165" t="s">
        <v>30</v>
      </c>
      <c r="AT331" t="s">
        <v>5291</v>
      </c>
      <c r="AU331" t="s">
        <v>5291</v>
      </c>
    </row>
    <row r="332" spans="1:47" hidden="1" x14ac:dyDescent="0.25">
      <c r="A332" s="165" t="s">
        <v>4597</v>
      </c>
      <c r="B332" s="165" t="s">
        <v>88</v>
      </c>
      <c r="C332" s="165" t="s">
        <v>23</v>
      </c>
      <c r="D332" s="165" t="s">
        <v>4598</v>
      </c>
      <c r="E332" s="165" t="s">
        <v>4220</v>
      </c>
      <c r="F332" s="165" t="s">
        <v>11</v>
      </c>
      <c r="G332" s="165" t="s">
        <v>8</v>
      </c>
      <c r="H332" s="165" t="s">
        <v>241</v>
      </c>
      <c r="I332" s="165" t="s">
        <v>3803</v>
      </c>
      <c r="J332" s="165" t="s">
        <v>4011</v>
      </c>
      <c r="K332" s="165"/>
      <c r="L332" s="165"/>
      <c r="M332" s="165"/>
      <c r="N332" s="165"/>
      <c r="O332" s="165"/>
      <c r="P332" s="165"/>
      <c r="Q332" s="165"/>
      <c r="R332" s="165"/>
      <c r="S332" s="165" t="s">
        <v>3902</v>
      </c>
      <c r="T332" s="165"/>
      <c r="U332" s="165"/>
      <c r="V332" s="165"/>
      <c r="W332" s="165"/>
      <c r="X332" s="165" t="s">
        <v>2428</v>
      </c>
      <c r="Y332">
        <v>2</v>
      </c>
      <c r="Z332" s="165" t="s">
        <v>3903</v>
      </c>
      <c r="AA332" s="165" t="s">
        <v>3811</v>
      </c>
      <c r="AB332" s="165" t="s">
        <v>3810</v>
      </c>
      <c r="AC332" s="165" t="s">
        <v>3809</v>
      </c>
      <c r="AD332" s="165" t="s">
        <v>4586</v>
      </c>
      <c r="AE332">
        <v>79</v>
      </c>
      <c r="AF332" s="165" t="s">
        <v>4587</v>
      </c>
      <c r="AG332">
        <v>45</v>
      </c>
      <c r="AH332">
        <v>45</v>
      </c>
      <c r="AI332">
        <v>48</v>
      </c>
      <c r="AJ332">
        <v>48</v>
      </c>
      <c r="AK332" s="165" t="s">
        <v>4588</v>
      </c>
      <c r="AN332">
        <v>1</v>
      </c>
      <c r="AO332">
        <v>2</v>
      </c>
      <c r="AP332">
        <v>2</v>
      </c>
      <c r="AQ332" s="165" t="s">
        <v>3815</v>
      </c>
      <c r="AR332" t="s">
        <v>4298</v>
      </c>
      <c r="AS332" s="165" t="s">
        <v>30</v>
      </c>
      <c r="AT332" t="s">
        <v>5291</v>
      </c>
      <c r="AU332" t="s">
        <v>5291</v>
      </c>
    </row>
    <row r="333" spans="1:47" hidden="1" x14ac:dyDescent="0.25">
      <c r="A333" s="165" t="s">
        <v>853</v>
      </c>
      <c r="B333" s="165" t="s">
        <v>88</v>
      </c>
      <c r="C333" s="165" t="s">
        <v>23</v>
      </c>
      <c r="D333" s="165" t="s">
        <v>854</v>
      </c>
      <c r="E333" s="165" t="s">
        <v>4583</v>
      </c>
      <c r="F333" s="165" t="s">
        <v>2183</v>
      </c>
      <c r="G333" s="165" t="s">
        <v>8</v>
      </c>
      <c r="H333" s="165" t="s">
        <v>241</v>
      </c>
      <c r="I333" s="165" t="s">
        <v>3820</v>
      </c>
      <c r="J333" s="165" t="s">
        <v>4106</v>
      </c>
      <c r="K333" s="165"/>
      <c r="L333" s="165"/>
      <c r="M333" s="165"/>
      <c r="N333" s="165"/>
      <c r="O333" s="165"/>
      <c r="P333" s="165"/>
      <c r="Q333" s="165"/>
      <c r="R333" s="165"/>
      <c r="S333" s="165" t="s">
        <v>3902</v>
      </c>
      <c r="T333" s="165"/>
      <c r="U333" s="165"/>
      <c r="V333" s="165"/>
      <c r="W333" s="165"/>
      <c r="X333" s="165" t="s">
        <v>2428</v>
      </c>
      <c r="Y333">
        <v>2</v>
      </c>
      <c r="Z333" s="165" t="s">
        <v>3903</v>
      </c>
      <c r="AA333" s="165" t="s">
        <v>3811</v>
      </c>
      <c r="AB333" s="165" t="s">
        <v>3810</v>
      </c>
      <c r="AC333" s="165" t="s">
        <v>3809</v>
      </c>
      <c r="AD333" s="165" t="s">
        <v>4586</v>
      </c>
      <c r="AE333">
        <v>79</v>
      </c>
      <c r="AF333" s="165" t="s">
        <v>4587</v>
      </c>
      <c r="AG333">
        <v>45</v>
      </c>
      <c r="AH333">
        <v>45</v>
      </c>
      <c r="AI333">
        <v>48</v>
      </c>
      <c r="AJ333">
        <v>48</v>
      </c>
      <c r="AK333" s="165" t="s">
        <v>4588</v>
      </c>
      <c r="AN333">
        <v>1</v>
      </c>
      <c r="AO333">
        <v>2</v>
      </c>
      <c r="AP333">
        <v>2</v>
      </c>
      <c r="AQ333" s="165" t="s">
        <v>3815</v>
      </c>
      <c r="AR333" t="s">
        <v>3816</v>
      </c>
      <c r="AS333" s="165" t="s">
        <v>30</v>
      </c>
      <c r="AT333" t="s">
        <v>5291</v>
      </c>
      <c r="AU333" t="s">
        <v>5291</v>
      </c>
    </row>
    <row r="334" spans="1:47" hidden="1" x14ac:dyDescent="0.25">
      <c r="A334" s="165" t="s">
        <v>877</v>
      </c>
      <c r="B334" s="165" t="s">
        <v>4599</v>
      </c>
      <c r="C334" s="165" t="s">
        <v>23</v>
      </c>
      <c r="D334" s="165" t="s">
        <v>878</v>
      </c>
      <c r="E334" s="165" t="s">
        <v>4530</v>
      </c>
      <c r="F334" s="165" t="s">
        <v>11</v>
      </c>
      <c r="G334" s="165" t="s">
        <v>8</v>
      </c>
      <c r="H334" s="165" t="s">
        <v>241</v>
      </c>
      <c r="I334" s="165" t="s">
        <v>3803</v>
      </c>
      <c r="J334" s="165" t="s">
        <v>4011</v>
      </c>
      <c r="K334" s="165"/>
      <c r="L334" s="165"/>
      <c r="M334" s="165"/>
      <c r="N334" s="165"/>
      <c r="O334" s="165"/>
      <c r="P334" s="165"/>
      <c r="Q334" s="165"/>
      <c r="R334" s="165"/>
      <c r="S334" s="165" t="s">
        <v>3902</v>
      </c>
      <c r="T334" s="165"/>
      <c r="U334" s="165"/>
      <c r="V334" s="165"/>
      <c r="W334" s="165"/>
      <c r="X334" s="165" t="s">
        <v>2428</v>
      </c>
      <c r="Y334">
        <v>2</v>
      </c>
      <c r="Z334" s="165" t="s">
        <v>3903</v>
      </c>
      <c r="AA334" s="165" t="s">
        <v>3811</v>
      </c>
      <c r="AB334" s="165" t="s">
        <v>3810</v>
      </c>
      <c r="AC334" s="165" t="s">
        <v>3809</v>
      </c>
      <c r="AD334" s="165" t="s">
        <v>4586</v>
      </c>
      <c r="AE334">
        <v>79</v>
      </c>
      <c r="AF334" s="165" t="s">
        <v>4587</v>
      </c>
      <c r="AG334">
        <v>45</v>
      </c>
      <c r="AH334">
        <v>45</v>
      </c>
      <c r="AI334">
        <v>48</v>
      </c>
      <c r="AJ334">
        <v>48</v>
      </c>
      <c r="AK334" s="165" t="s">
        <v>4588</v>
      </c>
      <c r="AN334">
        <v>1</v>
      </c>
      <c r="AO334">
        <v>2</v>
      </c>
      <c r="AP334">
        <v>2</v>
      </c>
      <c r="AQ334" s="165" t="s">
        <v>3815</v>
      </c>
      <c r="AS334" s="165" t="s">
        <v>30</v>
      </c>
      <c r="AT334" t="s">
        <v>5291</v>
      </c>
      <c r="AU334" t="s">
        <v>5291</v>
      </c>
    </row>
    <row r="335" spans="1:47" hidden="1" x14ac:dyDescent="0.25">
      <c r="A335" s="165" t="s">
        <v>4600</v>
      </c>
      <c r="B335" s="165" t="s">
        <v>88</v>
      </c>
      <c r="C335" s="165" t="s">
        <v>23</v>
      </c>
      <c r="D335" s="165" t="s">
        <v>4601</v>
      </c>
      <c r="E335" s="165" t="s">
        <v>4602</v>
      </c>
      <c r="F335" s="165" t="s">
        <v>2183</v>
      </c>
      <c r="G335" s="165" t="s">
        <v>8</v>
      </c>
      <c r="H335" s="165" t="s">
        <v>241</v>
      </c>
      <c r="I335" s="165" t="s">
        <v>3820</v>
      </c>
      <c r="J335" s="165" t="s">
        <v>4106</v>
      </c>
      <c r="K335" s="165"/>
      <c r="L335" s="165"/>
      <c r="M335" s="165"/>
      <c r="N335" s="165"/>
      <c r="O335" s="165"/>
      <c r="P335" s="165"/>
      <c r="Q335" s="165"/>
      <c r="R335" s="165"/>
      <c r="S335" s="165" t="s">
        <v>3902</v>
      </c>
      <c r="T335" s="165"/>
      <c r="U335" s="165"/>
      <c r="V335" s="165"/>
      <c r="W335" s="165"/>
      <c r="X335" s="165" t="s">
        <v>2428</v>
      </c>
      <c r="Y335">
        <v>2</v>
      </c>
      <c r="Z335" s="165" t="s">
        <v>3903</v>
      </c>
      <c r="AA335" s="165" t="s">
        <v>3811</v>
      </c>
      <c r="AB335" s="165" t="s">
        <v>3810</v>
      </c>
      <c r="AC335" s="165" t="s">
        <v>3809</v>
      </c>
      <c r="AD335" s="165" t="s">
        <v>4586</v>
      </c>
      <c r="AE335">
        <v>79</v>
      </c>
      <c r="AF335" s="165" t="s">
        <v>4587</v>
      </c>
      <c r="AG335">
        <v>45</v>
      </c>
      <c r="AH335">
        <v>45</v>
      </c>
      <c r="AI335">
        <v>48</v>
      </c>
      <c r="AJ335">
        <v>48</v>
      </c>
      <c r="AK335" s="165" t="s">
        <v>4588</v>
      </c>
      <c r="AN335">
        <v>1</v>
      </c>
      <c r="AO335">
        <v>2</v>
      </c>
      <c r="AP335">
        <v>2</v>
      </c>
      <c r="AQ335" s="165" t="s">
        <v>3815</v>
      </c>
      <c r="AS335" s="165" t="s">
        <v>30</v>
      </c>
      <c r="AT335" t="s">
        <v>5291</v>
      </c>
      <c r="AU335" t="s">
        <v>5291</v>
      </c>
    </row>
    <row r="336" spans="1:47" hidden="1" x14ac:dyDescent="0.25">
      <c r="A336" s="165" t="s">
        <v>1682</v>
      </c>
      <c r="B336" s="165" t="s">
        <v>88</v>
      </c>
      <c r="C336" s="165" t="s">
        <v>23</v>
      </c>
      <c r="D336" s="165" t="s">
        <v>1683</v>
      </c>
      <c r="E336" s="165" t="s">
        <v>3934</v>
      </c>
      <c r="F336" s="165" t="s">
        <v>2183</v>
      </c>
      <c r="G336" s="165" t="s">
        <v>8</v>
      </c>
      <c r="H336" s="165" t="s">
        <v>241</v>
      </c>
      <c r="I336" s="165" t="s">
        <v>3820</v>
      </c>
      <c r="J336" s="165" t="s">
        <v>4106</v>
      </c>
      <c r="K336" s="165"/>
      <c r="L336" s="165"/>
      <c r="M336" s="165"/>
      <c r="N336" s="165"/>
      <c r="O336" s="165"/>
      <c r="P336" s="165"/>
      <c r="Q336" s="165"/>
      <c r="R336" s="165"/>
      <c r="S336" s="165" t="s">
        <v>3902</v>
      </c>
      <c r="T336" s="165"/>
      <c r="U336" s="165"/>
      <c r="V336" s="165"/>
      <c r="W336" s="165"/>
      <c r="X336" s="165" t="s">
        <v>2428</v>
      </c>
      <c r="Y336">
        <v>2</v>
      </c>
      <c r="Z336" s="165" t="s">
        <v>3903</v>
      </c>
      <c r="AA336" s="165" t="s">
        <v>3811</v>
      </c>
      <c r="AB336" s="165" t="s">
        <v>3810</v>
      </c>
      <c r="AC336" s="165" t="s">
        <v>3809</v>
      </c>
      <c r="AD336" s="165" t="s">
        <v>4586</v>
      </c>
      <c r="AE336">
        <v>79</v>
      </c>
      <c r="AF336" s="165" t="s">
        <v>4587</v>
      </c>
      <c r="AG336">
        <v>45</v>
      </c>
      <c r="AH336">
        <v>45</v>
      </c>
      <c r="AI336">
        <v>48</v>
      </c>
      <c r="AJ336">
        <v>48</v>
      </c>
      <c r="AK336" s="165" t="s">
        <v>4588</v>
      </c>
      <c r="AN336">
        <v>1</v>
      </c>
      <c r="AO336">
        <v>2</v>
      </c>
      <c r="AP336">
        <v>2</v>
      </c>
      <c r="AQ336" s="165" t="s">
        <v>3815</v>
      </c>
      <c r="AR336" t="s">
        <v>3909</v>
      </c>
      <c r="AS336" s="165" t="s">
        <v>30</v>
      </c>
      <c r="AT336" t="s">
        <v>5291</v>
      </c>
      <c r="AU336" t="s">
        <v>5291</v>
      </c>
    </row>
    <row r="337" spans="1:47" hidden="1" x14ac:dyDescent="0.25">
      <c r="A337" s="165" t="s">
        <v>1031</v>
      </c>
      <c r="B337" s="165" t="s">
        <v>4603</v>
      </c>
      <c r="C337" s="165" t="s">
        <v>23</v>
      </c>
      <c r="D337" s="165" t="s">
        <v>1032</v>
      </c>
      <c r="E337" s="165" t="s">
        <v>3937</v>
      </c>
      <c r="F337" s="165" t="s">
        <v>11</v>
      </c>
      <c r="G337" s="165" t="s">
        <v>8</v>
      </c>
      <c r="H337" s="165" t="s">
        <v>241</v>
      </c>
      <c r="I337" s="165" t="s">
        <v>3803</v>
      </c>
      <c r="J337" s="165" t="s">
        <v>4011</v>
      </c>
      <c r="K337" s="165"/>
      <c r="L337" s="165"/>
      <c r="M337" s="165"/>
      <c r="N337" s="165"/>
      <c r="O337" s="165"/>
      <c r="P337" s="165"/>
      <c r="Q337" s="165"/>
      <c r="R337" s="165"/>
      <c r="S337" s="165" t="s">
        <v>3902</v>
      </c>
      <c r="T337" s="165"/>
      <c r="U337" s="165"/>
      <c r="V337" s="165"/>
      <c r="W337" s="165"/>
      <c r="X337" s="165" t="s">
        <v>2428</v>
      </c>
      <c r="Y337">
        <v>2</v>
      </c>
      <c r="Z337" s="165" t="s">
        <v>3903</v>
      </c>
      <c r="AA337" s="165" t="s">
        <v>3811</v>
      </c>
      <c r="AB337" s="165" t="s">
        <v>3810</v>
      </c>
      <c r="AC337" s="165" t="s">
        <v>3809</v>
      </c>
      <c r="AD337" s="165" t="s">
        <v>4604</v>
      </c>
      <c r="AE337">
        <v>79</v>
      </c>
      <c r="AF337" s="165" t="s">
        <v>4587</v>
      </c>
      <c r="AG337">
        <v>45</v>
      </c>
      <c r="AH337">
        <v>45</v>
      </c>
      <c r="AI337">
        <v>48</v>
      </c>
      <c r="AJ337">
        <v>48</v>
      </c>
      <c r="AK337" s="165" t="s">
        <v>4588</v>
      </c>
      <c r="AN337">
        <v>1</v>
      </c>
      <c r="AO337">
        <v>2</v>
      </c>
      <c r="AP337">
        <v>2</v>
      </c>
      <c r="AQ337" s="165" t="s">
        <v>3815</v>
      </c>
      <c r="AR337" t="s">
        <v>3944</v>
      </c>
      <c r="AS337" s="165" t="s">
        <v>30</v>
      </c>
      <c r="AT337" t="s">
        <v>5291</v>
      </c>
      <c r="AU337" t="s">
        <v>5291</v>
      </c>
    </row>
    <row r="338" spans="1:47" hidden="1" x14ac:dyDescent="0.25">
      <c r="A338" s="165" t="s">
        <v>1722</v>
      </c>
      <c r="B338" s="165" t="s">
        <v>3455</v>
      </c>
      <c r="C338" s="165" t="s">
        <v>23</v>
      </c>
      <c r="D338" s="165" t="s">
        <v>1723</v>
      </c>
      <c r="E338" s="165" t="s">
        <v>4605</v>
      </c>
      <c r="F338" s="165" t="s">
        <v>12</v>
      </c>
      <c r="G338" s="165" t="s">
        <v>8</v>
      </c>
      <c r="H338" s="165" t="s">
        <v>241</v>
      </c>
      <c r="I338" s="165" t="s">
        <v>3803</v>
      </c>
      <c r="J338" s="165" t="s">
        <v>4011</v>
      </c>
      <c r="K338" s="165"/>
      <c r="L338" s="165"/>
      <c r="M338" s="165"/>
      <c r="N338" s="165"/>
      <c r="O338" s="165"/>
      <c r="P338" s="165"/>
      <c r="Q338" s="165"/>
      <c r="R338" s="165"/>
      <c r="S338" s="165" t="s">
        <v>3902</v>
      </c>
      <c r="T338" s="165"/>
      <c r="U338" s="165"/>
      <c r="V338" s="165"/>
      <c r="W338" s="165"/>
      <c r="X338" s="165" t="s">
        <v>2428</v>
      </c>
      <c r="Y338">
        <v>2</v>
      </c>
      <c r="Z338" s="165" t="s">
        <v>3903</v>
      </c>
      <c r="AA338" s="165" t="s">
        <v>3811</v>
      </c>
      <c r="AB338" s="165" t="s">
        <v>3810</v>
      </c>
      <c r="AC338" s="165" t="s">
        <v>3809</v>
      </c>
      <c r="AD338" s="165" t="s">
        <v>4586</v>
      </c>
      <c r="AE338">
        <v>79</v>
      </c>
      <c r="AF338" s="165" t="s">
        <v>4587</v>
      </c>
      <c r="AG338">
        <v>45</v>
      </c>
      <c r="AH338">
        <v>45</v>
      </c>
      <c r="AI338">
        <v>48</v>
      </c>
      <c r="AJ338">
        <v>48</v>
      </c>
      <c r="AK338" s="165" t="s">
        <v>4588</v>
      </c>
      <c r="AN338">
        <v>1</v>
      </c>
      <c r="AO338">
        <v>2</v>
      </c>
      <c r="AP338">
        <v>2</v>
      </c>
      <c r="AQ338" s="165" t="s">
        <v>3815</v>
      </c>
      <c r="AR338" t="s">
        <v>3870</v>
      </c>
      <c r="AS338" s="165" t="s">
        <v>30</v>
      </c>
      <c r="AT338" t="s">
        <v>5291</v>
      </c>
      <c r="AU338" t="s">
        <v>5291</v>
      </c>
    </row>
    <row r="339" spans="1:47" hidden="1" x14ac:dyDescent="0.25">
      <c r="A339" s="165" t="s">
        <v>895</v>
      </c>
      <c r="B339" s="165" t="s">
        <v>4606</v>
      </c>
      <c r="C339" s="165" t="s">
        <v>23</v>
      </c>
      <c r="D339" s="165" t="s">
        <v>896</v>
      </c>
      <c r="E339" s="165" t="s">
        <v>3957</v>
      </c>
      <c r="F339" s="165" t="s">
        <v>4234</v>
      </c>
      <c r="G339" s="165" t="s">
        <v>8</v>
      </c>
      <c r="H339" s="165" t="s">
        <v>251</v>
      </c>
      <c r="I339" s="165" t="s">
        <v>3864</v>
      </c>
      <c r="J339" s="165" t="s">
        <v>4235</v>
      </c>
      <c r="K339" s="165" t="s">
        <v>3819</v>
      </c>
      <c r="L339" s="165" t="s">
        <v>3820</v>
      </c>
      <c r="M339" s="165" t="s">
        <v>3803</v>
      </c>
      <c r="N339" s="165" t="s">
        <v>3805</v>
      </c>
      <c r="O339" s="165"/>
      <c r="P339" s="165"/>
      <c r="Q339" s="165"/>
      <c r="R339" s="165"/>
      <c r="S339" s="165"/>
      <c r="T339" s="165"/>
      <c r="U339" s="165" t="s">
        <v>3807</v>
      </c>
      <c r="V339" s="165" t="s">
        <v>3821</v>
      </c>
      <c r="W339" s="165" t="s">
        <v>3822</v>
      </c>
      <c r="X339" s="165"/>
      <c r="Y339">
        <v>7</v>
      </c>
      <c r="Z339" s="165" t="s">
        <v>3823</v>
      </c>
      <c r="AA339" s="165" t="s">
        <v>3809</v>
      </c>
      <c r="AB339" s="165" t="s">
        <v>3810</v>
      </c>
      <c r="AC339" s="165" t="s">
        <v>3811</v>
      </c>
      <c r="AD339" s="165" t="s">
        <v>3874</v>
      </c>
      <c r="AE339">
        <v>63</v>
      </c>
      <c r="AF339" s="165" t="s">
        <v>3875</v>
      </c>
      <c r="AG339">
        <v>33</v>
      </c>
      <c r="AH339">
        <v>29</v>
      </c>
      <c r="AI339">
        <v>36</v>
      </c>
      <c r="AJ339">
        <v>32</v>
      </c>
      <c r="AK339" s="165" t="s">
        <v>3876</v>
      </c>
      <c r="AN339">
        <v>4</v>
      </c>
      <c r="AO339">
        <v>6</v>
      </c>
      <c r="AP339">
        <v>24</v>
      </c>
      <c r="AQ339" s="165" t="s">
        <v>3815</v>
      </c>
      <c r="AR339" t="s">
        <v>3830</v>
      </c>
      <c r="AS339" s="165" t="s">
        <v>174</v>
      </c>
      <c r="AT339" t="s">
        <v>5291</v>
      </c>
      <c r="AU339" t="s">
        <v>5291</v>
      </c>
    </row>
    <row r="340" spans="1:47" hidden="1" x14ac:dyDescent="0.25">
      <c r="A340" s="165" t="s">
        <v>4607</v>
      </c>
      <c r="B340" s="165" t="s">
        <v>88</v>
      </c>
      <c r="C340" s="165" t="s">
        <v>23</v>
      </c>
      <c r="D340" s="165" t="s">
        <v>4608</v>
      </c>
      <c r="E340" s="165" t="s">
        <v>4609</v>
      </c>
      <c r="F340" s="165" t="s">
        <v>11</v>
      </c>
      <c r="G340" s="165" t="s">
        <v>8</v>
      </c>
      <c r="H340" s="165" t="s">
        <v>241</v>
      </c>
      <c r="I340" s="165" t="s">
        <v>3803</v>
      </c>
      <c r="J340" s="165" t="s">
        <v>4011</v>
      </c>
      <c r="K340" s="165"/>
      <c r="L340" s="165"/>
      <c r="M340" s="165"/>
      <c r="N340" s="165"/>
      <c r="O340" s="165"/>
      <c r="P340" s="165"/>
      <c r="Q340" s="165"/>
      <c r="R340" s="165"/>
      <c r="S340" s="165" t="s">
        <v>3902</v>
      </c>
      <c r="T340" s="165"/>
      <c r="U340" s="165"/>
      <c r="V340" s="165"/>
      <c r="W340" s="165"/>
      <c r="X340" s="165" t="s">
        <v>2428</v>
      </c>
      <c r="Y340">
        <v>2</v>
      </c>
      <c r="Z340" s="165" t="s">
        <v>3903</v>
      </c>
      <c r="AA340" s="165" t="s">
        <v>3811</v>
      </c>
      <c r="AB340" s="165" t="s">
        <v>3810</v>
      </c>
      <c r="AC340" s="165" t="s">
        <v>3809</v>
      </c>
      <c r="AD340" s="165" t="s">
        <v>4610</v>
      </c>
      <c r="AE340">
        <v>7</v>
      </c>
      <c r="AF340" s="165" t="s">
        <v>4611</v>
      </c>
      <c r="AG340">
        <v>463</v>
      </c>
      <c r="AH340">
        <v>317</v>
      </c>
      <c r="AI340">
        <v>49.3</v>
      </c>
      <c r="AJ340">
        <v>34.700000000000003</v>
      </c>
      <c r="AK340" s="165" t="s">
        <v>4612</v>
      </c>
      <c r="AN340">
        <v>1</v>
      </c>
      <c r="AO340">
        <v>4</v>
      </c>
      <c r="AP340">
        <v>4</v>
      </c>
      <c r="AQ340" s="165" t="s">
        <v>3815</v>
      </c>
      <c r="AR340" t="s">
        <v>3816</v>
      </c>
      <c r="AS340" s="165" t="s">
        <v>30</v>
      </c>
      <c r="AT340" t="s">
        <v>5291</v>
      </c>
      <c r="AU340" t="s">
        <v>5291</v>
      </c>
    </row>
    <row r="341" spans="1:47" hidden="1" x14ac:dyDescent="0.25">
      <c r="A341" s="165" t="s">
        <v>1120</v>
      </c>
      <c r="B341" s="165" t="s">
        <v>88</v>
      </c>
      <c r="C341" s="165" t="s">
        <v>23</v>
      </c>
      <c r="D341" s="165" t="s">
        <v>1121</v>
      </c>
      <c r="E341" s="165" t="s">
        <v>4545</v>
      </c>
      <c r="F341" s="165" t="s">
        <v>11</v>
      </c>
      <c r="G341" s="165" t="s">
        <v>8</v>
      </c>
      <c r="H341" s="165" t="s">
        <v>241</v>
      </c>
      <c r="I341" s="165" t="s">
        <v>3803</v>
      </c>
      <c r="J341" s="165" t="s">
        <v>4011</v>
      </c>
      <c r="K341" s="165"/>
      <c r="L341" s="165"/>
      <c r="M341" s="165"/>
      <c r="N341" s="165"/>
      <c r="O341" s="165"/>
      <c r="P341" s="165"/>
      <c r="Q341" s="165"/>
      <c r="R341" s="165"/>
      <c r="S341" s="165" t="s">
        <v>3902</v>
      </c>
      <c r="T341" s="165"/>
      <c r="U341" s="165"/>
      <c r="V341" s="165"/>
      <c r="W341" s="165"/>
      <c r="X341" s="165" t="s">
        <v>2428</v>
      </c>
      <c r="Y341">
        <v>2</v>
      </c>
      <c r="Z341" s="165" t="s">
        <v>3903</v>
      </c>
      <c r="AA341" s="165" t="s">
        <v>3811</v>
      </c>
      <c r="AB341" s="165" t="s">
        <v>3810</v>
      </c>
      <c r="AC341" s="165" t="s">
        <v>3809</v>
      </c>
      <c r="AD341" s="165" t="s">
        <v>4610</v>
      </c>
      <c r="AE341">
        <v>7</v>
      </c>
      <c r="AF341" s="165" t="s">
        <v>4611</v>
      </c>
      <c r="AG341">
        <v>463</v>
      </c>
      <c r="AH341">
        <v>317</v>
      </c>
      <c r="AI341">
        <v>49.3</v>
      </c>
      <c r="AJ341">
        <v>34.700000000000003</v>
      </c>
      <c r="AK341" s="165" t="s">
        <v>4612</v>
      </c>
      <c r="AN341">
        <v>1</v>
      </c>
      <c r="AO341">
        <v>4</v>
      </c>
      <c r="AP341">
        <v>4</v>
      </c>
      <c r="AQ341" s="165" t="s">
        <v>3815</v>
      </c>
      <c r="AR341" t="s">
        <v>3816</v>
      </c>
      <c r="AS341" s="165" t="s">
        <v>30</v>
      </c>
      <c r="AT341" t="s">
        <v>5291</v>
      </c>
      <c r="AU341" t="s">
        <v>5291</v>
      </c>
    </row>
    <row r="342" spans="1:47" hidden="1" x14ac:dyDescent="0.25">
      <c r="A342" s="165" t="s">
        <v>1628</v>
      </c>
      <c r="B342" s="165" t="s">
        <v>88</v>
      </c>
      <c r="C342" s="165" t="s">
        <v>23</v>
      </c>
      <c r="D342" s="165" t="s">
        <v>1629</v>
      </c>
      <c r="E342" s="165" t="s">
        <v>4546</v>
      </c>
      <c r="F342" s="165" t="s">
        <v>11</v>
      </c>
      <c r="G342" s="165" t="s">
        <v>8</v>
      </c>
      <c r="H342" s="165" t="s">
        <v>241</v>
      </c>
      <c r="I342" s="165" t="s">
        <v>3803</v>
      </c>
      <c r="J342" s="165" t="s">
        <v>4011</v>
      </c>
      <c r="K342" s="165"/>
      <c r="L342" s="165"/>
      <c r="M342" s="165"/>
      <c r="N342" s="165"/>
      <c r="O342" s="165"/>
      <c r="P342" s="165"/>
      <c r="Q342" s="165"/>
      <c r="R342" s="165"/>
      <c r="S342" s="165" t="s">
        <v>3902</v>
      </c>
      <c r="T342" s="165"/>
      <c r="U342" s="165"/>
      <c r="V342" s="165"/>
      <c r="W342" s="165"/>
      <c r="X342" s="165" t="s">
        <v>2428</v>
      </c>
      <c r="Y342">
        <v>2</v>
      </c>
      <c r="Z342" s="165" t="s">
        <v>3903</v>
      </c>
      <c r="AA342" s="165" t="s">
        <v>3811</v>
      </c>
      <c r="AB342" s="165" t="s">
        <v>3810</v>
      </c>
      <c r="AC342" s="165" t="s">
        <v>3809</v>
      </c>
      <c r="AD342" s="165" t="s">
        <v>4610</v>
      </c>
      <c r="AE342">
        <v>7</v>
      </c>
      <c r="AF342" s="165" t="s">
        <v>4611</v>
      </c>
      <c r="AG342">
        <v>463</v>
      </c>
      <c r="AH342">
        <v>317</v>
      </c>
      <c r="AI342">
        <v>49.3</v>
      </c>
      <c r="AJ342">
        <v>34.700000000000003</v>
      </c>
      <c r="AK342" s="165" t="s">
        <v>4612</v>
      </c>
      <c r="AN342">
        <v>1</v>
      </c>
      <c r="AO342">
        <v>4</v>
      </c>
      <c r="AP342">
        <v>4</v>
      </c>
      <c r="AQ342" s="165" t="s">
        <v>3815</v>
      </c>
      <c r="AR342" t="s">
        <v>3816</v>
      </c>
      <c r="AS342" s="165" t="s">
        <v>30</v>
      </c>
      <c r="AT342" t="s">
        <v>5291</v>
      </c>
      <c r="AU342" t="s">
        <v>5291</v>
      </c>
    </row>
    <row r="343" spans="1:47" hidden="1" x14ac:dyDescent="0.25">
      <c r="A343" s="165" t="s">
        <v>1622</v>
      </c>
      <c r="B343" s="165" t="s">
        <v>88</v>
      </c>
      <c r="C343" s="165" t="s">
        <v>23</v>
      </c>
      <c r="D343" s="165" t="s">
        <v>1623</v>
      </c>
      <c r="E343" s="165" t="s">
        <v>4058</v>
      </c>
      <c r="F343" s="165" t="s">
        <v>11</v>
      </c>
      <c r="G343" s="165" t="s">
        <v>8</v>
      </c>
      <c r="H343" s="165" t="s">
        <v>241</v>
      </c>
      <c r="I343" s="165" t="s">
        <v>3803</v>
      </c>
      <c r="J343" s="165" t="s">
        <v>4011</v>
      </c>
      <c r="K343" s="165"/>
      <c r="L343" s="165"/>
      <c r="M343" s="165"/>
      <c r="N343" s="165"/>
      <c r="O343" s="165"/>
      <c r="P343" s="165"/>
      <c r="Q343" s="165"/>
      <c r="R343" s="165"/>
      <c r="S343" s="165" t="s">
        <v>3902</v>
      </c>
      <c r="T343" s="165"/>
      <c r="U343" s="165"/>
      <c r="V343" s="165"/>
      <c r="W343" s="165"/>
      <c r="X343" s="165" t="s">
        <v>2428</v>
      </c>
      <c r="Y343">
        <v>2</v>
      </c>
      <c r="Z343" s="165" t="s">
        <v>3903</v>
      </c>
      <c r="AA343" s="165" t="s">
        <v>3811</v>
      </c>
      <c r="AB343" s="165" t="s">
        <v>3810</v>
      </c>
      <c r="AC343" s="165" t="s">
        <v>3809</v>
      </c>
      <c r="AD343" s="165" t="s">
        <v>4610</v>
      </c>
      <c r="AE343">
        <v>7</v>
      </c>
      <c r="AF343" s="165" t="s">
        <v>4613</v>
      </c>
      <c r="AG343">
        <v>463</v>
      </c>
      <c r="AH343">
        <v>319</v>
      </c>
      <c r="AI343">
        <v>49.3</v>
      </c>
      <c r="AJ343">
        <v>34.9</v>
      </c>
      <c r="AK343" s="165" t="s">
        <v>4614</v>
      </c>
      <c r="AN343">
        <v>1</v>
      </c>
      <c r="AO343">
        <v>4</v>
      </c>
      <c r="AP343">
        <v>4</v>
      </c>
      <c r="AQ343" s="165" t="s">
        <v>3815</v>
      </c>
      <c r="AR343" t="s">
        <v>3932</v>
      </c>
      <c r="AS343" s="165" t="s">
        <v>30</v>
      </c>
      <c r="AT343" t="s">
        <v>5291</v>
      </c>
      <c r="AU343" t="s">
        <v>5291</v>
      </c>
    </row>
    <row r="344" spans="1:47" hidden="1" x14ac:dyDescent="0.25">
      <c r="A344" s="165" t="s">
        <v>1703</v>
      </c>
      <c r="B344" s="165" t="s">
        <v>88</v>
      </c>
      <c r="C344" s="165" t="s">
        <v>23</v>
      </c>
      <c r="D344" s="165" t="s">
        <v>1704</v>
      </c>
      <c r="E344" s="165" t="s">
        <v>4512</v>
      </c>
      <c r="F344" s="165" t="s">
        <v>11</v>
      </c>
      <c r="G344" s="165" t="s">
        <v>8</v>
      </c>
      <c r="H344" s="165" t="s">
        <v>241</v>
      </c>
      <c r="I344" s="165" t="s">
        <v>3803</v>
      </c>
      <c r="J344" s="165" t="s">
        <v>4011</v>
      </c>
      <c r="K344" s="165"/>
      <c r="L344" s="165"/>
      <c r="M344" s="165"/>
      <c r="N344" s="165"/>
      <c r="O344" s="165"/>
      <c r="P344" s="165"/>
      <c r="Q344" s="165"/>
      <c r="R344" s="165"/>
      <c r="S344" s="165" t="s">
        <v>3902</v>
      </c>
      <c r="T344" s="165"/>
      <c r="U344" s="165"/>
      <c r="V344" s="165"/>
      <c r="W344" s="165"/>
      <c r="X344" s="165" t="s">
        <v>2428</v>
      </c>
      <c r="Y344">
        <v>2</v>
      </c>
      <c r="Z344" s="165" t="s">
        <v>3903</v>
      </c>
      <c r="AA344" s="165" t="s">
        <v>3811</v>
      </c>
      <c r="AB344" s="165" t="s">
        <v>3810</v>
      </c>
      <c r="AC344" s="165" t="s">
        <v>3809</v>
      </c>
      <c r="AD344" s="165" t="s">
        <v>4610</v>
      </c>
      <c r="AE344">
        <v>7</v>
      </c>
      <c r="AF344" s="165" t="s">
        <v>4615</v>
      </c>
      <c r="AG344">
        <v>463</v>
      </c>
      <c r="AH344">
        <v>321</v>
      </c>
      <c r="AI344">
        <v>49.3</v>
      </c>
      <c r="AJ344">
        <v>35.1</v>
      </c>
      <c r="AK344" s="165" t="s">
        <v>4616</v>
      </c>
      <c r="AN344">
        <v>1</v>
      </c>
      <c r="AO344">
        <v>4</v>
      </c>
      <c r="AP344">
        <v>4</v>
      </c>
      <c r="AQ344" s="165" t="s">
        <v>3815</v>
      </c>
      <c r="AR344" t="s">
        <v>3816</v>
      </c>
      <c r="AS344" s="165" t="s">
        <v>30</v>
      </c>
      <c r="AT344" t="s">
        <v>5291</v>
      </c>
      <c r="AU344" t="s">
        <v>5291</v>
      </c>
    </row>
    <row r="345" spans="1:47" hidden="1" x14ac:dyDescent="0.25">
      <c r="A345" s="165" t="s">
        <v>1092</v>
      </c>
      <c r="B345" s="165" t="s">
        <v>4617</v>
      </c>
      <c r="C345" s="165" t="s">
        <v>23</v>
      </c>
      <c r="D345" s="165" t="s">
        <v>1093</v>
      </c>
      <c r="E345" s="165" t="s">
        <v>4466</v>
      </c>
      <c r="F345" s="165" t="s">
        <v>186</v>
      </c>
      <c r="G345" s="165" t="s">
        <v>8</v>
      </c>
      <c r="H345" s="165" t="s">
        <v>2030</v>
      </c>
      <c r="I345" s="165" t="s">
        <v>3805</v>
      </c>
      <c r="J345" s="165" t="s">
        <v>4618</v>
      </c>
      <c r="K345" s="165" t="s">
        <v>3819</v>
      </c>
      <c r="L345" s="165" t="s">
        <v>3820</v>
      </c>
      <c r="M345" s="165" t="s">
        <v>3803</v>
      </c>
      <c r="N345" s="165" t="s">
        <v>3805</v>
      </c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>
        <v>4</v>
      </c>
      <c r="Z345" s="165" t="s">
        <v>3873</v>
      </c>
      <c r="AA345" s="165" t="s">
        <v>3809</v>
      </c>
      <c r="AB345" s="165" t="s">
        <v>3810</v>
      </c>
      <c r="AC345" s="165" t="s">
        <v>3811</v>
      </c>
      <c r="AD345" s="165" t="s">
        <v>3844</v>
      </c>
      <c r="AE345">
        <v>5</v>
      </c>
      <c r="AF345" s="165" t="s">
        <v>3845</v>
      </c>
      <c r="AG345">
        <v>465</v>
      </c>
      <c r="AH345">
        <v>176</v>
      </c>
      <c r="AI345">
        <v>51.5</v>
      </c>
      <c r="AJ345">
        <v>19.600000000000001</v>
      </c>
      <c r="AK345" s="165" t="s">
        <v>3846</v>
      </c>
      <c r="AN345">
        <v>2</v>
      </c>
      <c r="AO345">
        <v>6</v>
      </c>
      <c r="AP345">
        <v>12</v>
      </c>
      <c r="AQ345" s="165" t="s">
        <v>3815</v>
      </c>
      <c r="AR345" t="s">
        <v>4298</v>
      </c>
      <c r="AS345" s="165" t="s">
        <v>174</v>
      </c>
      <c r="AT345" t="s">
        <v>5291</v>
      </c>
      <c r="AU345" t="s">
        <v>5291</v>
      </c>
    </row>
    <row r="346" spans="1:47" hidden="1" x14ac:dyDescent="0.25">
      <c r="A346" s="165" t="s">
        <v>1039</v>
      </c>
      <c r="B346" s="165" t="s">
        <v>4619</v>
      </c>
      <c r="C346" s="165" t="s">
        <v>23</v>
      </c>
      <c r="D346" s="165" t="s">
        <v>1040</v>
      </c>
      <c r="E346" s="165" t="s">
        <v>4070</v>
      </c>
      <c r="F346" s="165" t="s">
        <v>3840</v>
      </c>
      <c r="G346" s="165" t="s">
        <v>8</v>
      </c>
      <c r="H346" s="165" t="s">
        <v>263</v>
      </c>
      <c r="I346" s="165" t="s">
        <v>3805</v>
      </c>
      <c r="J346" s="165" t="s">
        <v>4265</v>
      </c>
      <c r="K346" s="165"/>
      <c r="L346" s="165"/>
      <c r="M346" s="165"/>
      <c r="N346" s="165" t="s">
        <v>3805</v>
      </c>
      <c r="O346" s="165"/>
      <c r="P346" s="165"/>
      <c r="Q346" s="165"/>
      <c r="R346" s="165"/>
      <c r="S346" s="165"/>
      <c r="T346" s="165" t="s">
        <v>3806</v>
      </c>
      <c r="U346" s="165" t="s">
        <v>3807</v>
      </c>
      <c r="V346" s="165"/>
      <c r="W346" s="165"/>
      <c r="X346" s="165"/>
      <c r="Y346">
        <v>3</v>
      </c>
      <c r="Z346" s="165" t="s">
        <v>3808</v>
      </c>
      <c r="AA346" s="165" t="s">
        <v>3809</v>
      </c>
      <c r="AB346" s="165" t="s">
        <v>3810</v>
      </c>
      <c r="AC346" s="165" t="s">
        <v>3811</v>
      </c>
      <c r="AD346" s="165" t="s">
        <v>3844</v>
      </c>
      <c r="AE346">
        <v>5</v>
      </c>
      <c r="AF346" s="165" t="s">
        <v>3845</v>
      </c>
      <c r="AG346">
        <v>465</v>
      </c>
      <c r="AH346">
        <v>176</v>
      </c>
      <c r="AI346">
        <v>51.5</v>
      </c>
      <c r="AJ346">
        <v>19.600000000000001</v>
      </c>
      <c r="AK346" s="165" t="s">
        <v>3846</v>
      </c>
      <c r="AN346">
        <v>2</v>
      </c>
      <c r="AO346">
        <v>4</v>
      </c>
      <c r="AP346">
        <v>8</v>
      </c>
      <c r="AQ346" s="165" t="s">
        <v>3815</v>
      </c>
      <c r="AR346" t="s">
        <v>3847</v>
      </c>
      <c r="AS346" s="165" t="s">
        <v>174</v>
      </c>
      <c r="AT346" t="s">
        <v>5291</v>
      </c>
      <c r="AU346" t="s">
        <v>5291</v>
      </c>
    </row>
    <row r="347" spans="1:47" hidden="1" x14ac:dyDescent="0.25">
      <c r="A347" s="165" t="s">
        <v>1718</v>
      </c>
      <c r="B347" s="165" t="s">
        <v>3367</v>
      </c>
      <c r="C347" s="165" t="s">
        <v>23</v>
      </c>
      <c r="D347" s="165" t="s">
        <v>1719</v>
      </c>
      <c r="E347" s="165" t="s">
        <v>4260</v>
      </c>
      <c r="F347" s="165" t="s">
        <v>4137</v>
      </c>
      <c r="G347" s="165" t="s">
        <v>8</v>
      </c>
      <c r="H347" s="165" t="s">
        <v>241</v>
      </c>
      <c r="I347" s="165" t="s">
        <v>3902</v>
      </c>
      <c r="J347" s="165" t="s">
        <v>4225</v>
      </c>
      <c r="K347" s="165"/>
      <c r="L347" s="165"/>
      <c r="M347" s="165"/>
      <c r="N347" s="165"/>
      <c r="O347" s="165"/>
      <c r="P347" s="165"/>
      <c r="Q347" s="165"/>
      <c r="R347" s="165"/>
      <c r="S347" s="165" t="s">
        <v>3902</v>
      </c>
      <c r="T347" s="165"/>
      <c r="U347" s="165"/>
      <c r="V347" s="165"/>
      <c r="W347" s="165"/>
      <c r="X347" s="165" t="s">
        <v>2428</v>
      </c>
      <c r="Y347">
        <v>2</v>
      </c>
      <c r="Z347" s="165" t="s">
        <v>3903</v>
      </c>
      <c r="AA347" s="165" t="s">
        <v>3811</v>
      </c>
      <c r="AB347" s="165" t="s">
        <v>3810</v>
      </c>
      <c r="AC347" s="165" t="s">
        <v>3809</v>
      </c>
      <c r="AD347" s="165" t="s">
        <v>4620</v>
      </c>
      <c r="AE347">
        <v>22</v>
      </c>
      <c r="AF347" s="165" t="s">
        <v>4621</v>
      </c>
      <c r="AG347">
        <v>46</v>
      </c>
      <c r="AH347">
        <v>318</v>
      </c>
      <c r="AI347">
        <v>49</v>
      </c>
      <c r="AJ347">
        <v>34.799999999999997</v>
      </c>
      <c r="AK347" s="165" t="s">
        <v>4622</v>
      </c>
      <c r="AN347">
        <v>6</v>
      </c>
      <c r="AO347">
        <v>4</v>
      </c>
      <c r="AP347">
        <v>24</v>
      </c>
      <c r="AQ347" s="165" t="s">
        <v>3815</v>
      </c>
      <c r="AR347" t="s">
        <v>3932</v>
      </c>
      <c r="AS347" s="165" t="s">
        <v>30</v>
      </c>
      <c r="AT347" t="s">
        <v>5291</v>
      </c>
      <c r="AU347" t="s">
        <v>5291</v>
      </c>
    </row>
    <row r="348" spans="1:47" hidden="1" x14ac:dyDescent="0.25">
      <c r="A348" s="165" t="s">
        <v>1641</v>
      </c>
      <c r="B348" s="165" t="s">
        <v>3392</v>
      </c>
      <c r="C348" s="165" t="s">
        <v>23</v>
      </c>
      <c r="D348" s="165" t="s">
        <v>1642</v>
      </c>
      <c r="E348" s="165" t="s">
        <v>4623</v>
      </c>
      <c r="F348" s="165" t="s">
        <v>4137</v>
      </c>
      <c r="G348" s="165" t="s">
        <v>8</v>
      </c>
      <c r="H348" s="165" t="s">
        <v>263</v>
      </c>
      <c r="I348" s="165" t="s">
        <v>3902</v>
      </c>
      <c r="J348" s="165" t="s">
        <v>4138</v>
      </c>
      <c r="K348" s="165"/>
      <c r="L348" s="165"/>
      <c r="M348" s="165"/>
      <c r="N348" s="165" t="s">
        <v>3805</v>
      </c>
      <c r="O348" s="165"/>
      <c r="P348" s="165"/>
      <c r="Q348" s="165"/>
      <c r="R348" s="165"/>
      <c r="S348" s="165"/>
      <c r="T348" s="165" t="s">
        <v>3806</v>
      </c>
      <c r="U348" s="165" t="s">
        <v>3807</v>
      </c>
      <c r="V348" s="165"/>
      <c r="W348" s="165"/>
      <c r="X348" s="165"/>
      <c r="Y348">
        <v>3</v>
      </c>
      <c r="Z348" s="165" t="s">
        <v>3808</v>
      </c>
      <c r="AA348" s="165" t="s">
        <v>3809</v>
      </c>
      <c r="AB348" s="165" t="s">
        <v>3810</v>
      </c>
      <c r="AC348" s="165" t="s">
        <v>3811</v>
      </c>
      <c r="AD348" s="165" t="s">
        <v>4620</v>
      </c>
      <c r="AE348">
        <v>22</v>
      </c>
      <c r="AF348" s="165" t="s">
        <v>4621</v>
      </c>
      <c r="AG348">
        <v>46</v>
      </c>
      <c r="AH348">
        <v>318</v>
      </c>
      <c r="AI348">
        <v>49</v>
      </c>
      <c r="AJ348">
        <v>34.799999999999997</v>
      </c>
      <c r="AK348" s="165" t="s">
        <v>4622</v>
      </c>
      <c r="AN348">
        <v>6</v>
      </c>
      <c r="AO348">
        <v>4</v>
      </c>
      <c r="AP348">
        <v>24</v>
      </c>
      <c r="AQ348" s="165" t="s">
        <v>3815</v>
      </c>
      <c r="AR348" t="s">
        <v>4165</v>
      </c>
      <c r="AS348" s="165" t="s">
        <v>174</v>
      </c>
      <c r="AT348" t="s">
        <v>5291</v>
      </c>
      <c r="AU348" t="s">
        <v>5291</v>
      </c>
    </row>
    <row r="349" spans="1:47" hidden="1" x14ac:dyDescent="0.25">
      <c r="A349" s="165" t="s">
        <v>2809</v>
      </c>
      <c r="B349" s="165" t="s">
        <v>3448</v>
      </c>
      <c r="C349" s="165" t="s">
        <v>23</v>
      </c>
      <c r="D349" s="165" t="s">
        <v>2810</v>
      </c>
      <c r="E349" s="165" t="s">
        <v>4624</v>
      </c>
      <c r="F349" s="165" t="s">
        <v>2148</v>
      </c>
      <c r="G349" s="165" t="s">
        <v>8</v>
      </c>
      <c r="H349" s="165" t="s">
        <v>2030</v>
      </c>
      <c r="I349" s="165" t="s">
        <v>3888</v>
      </c>
      <c r="J349" s="165" t="s">
        <v>4625</v>
      </c>
      <c r="K349" s="165" t="s">
        <v>3819</v>
      </c>
      <c r="L349" s="165" t="s">
        <v>3820</v>
      </c>
      <c r="M349" s="165" t="s">
        <v>3803</v>
      </c>
      <c r="N349" s="165" t="s">
        <v>3805</v>
      </c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>
        <v>4</v>
      </c>
      <c r="Z349" s="165" t="s">
        <v>3873</v>
      </c>
      <c r="AA349" s="165" t="s">
        <v>3809</v>
      </c>
      <c r="AB349" s="165" t="s">
        <v>3811</v>
      </c>
      <c r="AC349" s="165" t="s">
        <v>3810</v>
      </c>
      <c r="AD349" s="165" t="s">
        <v>4626</v>
      </c>
      <c r="AE349">
        <v>52</v>
      </c>
      <c r="AF349" s="165" t="s">
        <v>4627</v>
      </c>
      <c r="AG349">
        <v>46</v>
      </c>
      <c r="AH349">
        <v>326</v>
      </c>
      <c r="AI349">
        <v>51</v>
      </c>
      <c r="AJ349">
        <v>37.6</v>
      </c>
      <c r="AK349" s="165" t="s">
        <v>4628</v>
      </c>
      <c r="AN349">
        <v>1</v>
      </c>
      <c r="AO349">
        <v>4</v>
      </c>
      <c r="AP349">
        <v>4</v>
      </c>
      <c r="AQ349" s="165" t="s">
        <v>3815</v>
      </c>
      <c r="AR349" t="s">
        <v>4135</v>
      </c>
      <c r="AS349" s="165" t="s">
        <v>3786</v>
      </c>
      <c r="AT349" t="s">
        <v>5291</v>
      </c>
      <c r="AU349" t="s">
        <v>5291</v>
      </c>
    </row>
    <row r="350" spans="1:47" hidden="1" x14ac:dyDescent="0.25">
      <c r="A350" s="165" t="s">
        <v>1096</v>
      </c>
      <c r="B350" s="165" t="s">
        <v>3393</v>
      </c>
      <c r="C350" s="165" t="s">
        <v>23</v>
      </c>
      <c r="D350" s="165" t="s">
        <v>1097</v>
      </c>
      <c r="E350" s="165" t="s">
        <v>4519</v>
      </c>
      <c r="F350" s="165" t="s">
        <v>11</v>
      </c>
      <c r="G350" s="165" t="s">
        <v>8</v>
      </c>
      <c r="H350" s="165" t="s">
        <v>241</v>
      </c>
      <c r="I350" s="165" t="s">
        <v>3803</v>
      </c>
      <c r="J350" s="165" t="s">
        <v>4011</v>
      </c>
      <c r="K350" s="165"/>
      <c r="L350" s="165"/>
      <c r="M350" s="165"/>
      <c r="N350" s="165"/>
      <c r="O350" s="165"/>
      <c r="P350" s="165"/>
      <c r="Q350" s="165"/>
      <c r="R350" s="165"/>
      <c r="S350" s="165" t="s">
        <v>3902</v>
      </c>
      <c r="T350" s="165"/>
      <c r="U350" s="165"/>
      <c r="V350" s="165"/>
      <c r="W350" s="165"/>
      <c r="X350" s="165" t="s">
        <v>2428</v>
      </c>
      <c r="Y350">
        <v>2</v>
      </c>
      <c r="Z350" s="165" t="s">
        <v>3903</v>
      </c>
      <c r="AA350" s="165" t="s">
        <v>3811</v>
      </c>
      <c r="AB350" s="165" t="s">
        <v>3810</v>
      </c>
      <c r="AC350" s="165" t="s">
        <v>3809</v>
      </c>
      <c r="AD350" s="165" t="s">
        <v>4629</v>
      </c>
      <c r="AE350">
        <v>14</v>
      </c>
      <c r="AF350" s="165" t="s">
        <v>4630</v>
      </c>
      <c r="AG350">
        <v>478</v>
      </c>
      <c r="AH350">
        <v>33</v>
      </c>
      <c r="AI350">
        <v>50.8</v>
      </c>
      <c r="AJ350">
        <v>36</v>
      </c>
      <c r="AK350" s="165" t="s">
        <v>4631</v>
      </c>
      <c r="AN350">
        <v>4</v>
      </c>
      <c r="AO350">
        <v>4</v>
      </c>
      <c r="AP350">
        <v>16</v>
      </c>
      <c r="AQ350" s="165" t="s">
        <v>3815</v>
      </c>
      <c r="AR350" t="s">
        <v>3930</v>
      </c>
      <c r="AS350" s="165" t="s">
        <v>30</v>
      </c>
      <c r="AT350" t="s">
        <v>5291</v>
      </c>
      <c r="AU350" t="s">
        <v>5291</v>
      </c>
    </row>
    <row r="351" spans="1:47" hidden="1" x14ac:dyDescent="0.25">
      <c r="A351" s="165" t="s">
        <v>1106</v>
      </c>
      <c r="B351" s="165" t="s">
        <v>3330</v>
      </c>
      <c r="C351" s="165" t="s">
        <v>23</v>
      </c>
      <c r="D351" s="165" t="s">
        <v>1107</v>
      </c>
      <c r="E351" s="165" t="s">
        <v>4520</v>
      </c>
      <c r="F351" s="165" t="s">
        <v>11</v>
      </c>
      <c r="G351" s="165" t="s">
        <v>8</v>
      </c>
      <c r="H351" s="165" t="s">
        <v>241</v>
      </c>
      <c r="I351" s="165" t="s">
        <v>3803</v>
      </c>
      <c r="J351" s="165" t="s">
        <v>4011</v>
      </c>
      <c r="K351" s="165"/>
      <c r="L351" s="165"/>
      <c r="M351" s="165"/>
      <c r="N351" s="165"/>
      <c r="O351" s="165"/>
      <c r="P351" s="165"/>
      <c r="Q351" s="165"/>
      <c r="R351" s="165"/>
      <c r="S351" s="165" t="s">
        <v>3902</v>
      </c>
      <c r="T351" s="165"/>
      <c r="U351" s="165"/>
      <c r="V351" s="165"/>
      <c r="W351" s="165"/>
      <c r="X351" s="165" t="s">
        <v>2428</v>
      </c>
      <c r="Y351">
        <v>2</v>
      </c>
      <c r="Z351" s="165" t="s">
        <v>3903</v>
      </c>
      <c r="AA351" s="165" t="s">
        <v>3811</v>
      </c>
      <c r="AB351" s="165" t="s">
        <v>3810</v>
      </c>
      <c r="AC351" s="165" t="s">
        <v>3809</v>
      </c>
      <c r="AD351" s="165" t="s">
        <v>4629</v>
      </c>
      <c r="AE351">
        <v>14</v>
      </c>
      <c r="AF351" s="165" t="s">
        <v>4632</v>
      </c>
      <c r="AG351">
        <v>478</v>
      </c>
      <c r="AH351">
        <v>332</v>
      </c>
      <c r="AI351">
        <v>50.8</v>
      </c>
      <c r="AJ351">
        <v>36.200000000000003</v>
      </c>
      <c r="AK351" s="165" t="s">
        <v>4633</v>
      </c>
      <c r="AN351">
        <v>4</v>
      </c>
      <c r="AO351">
        <v>4</v>
      </c>
      <c r="AP351">
        <v>16</v>
      </c>
      <c r="AQ351" s="165" t="s">
        <v>3815</v>
      </c>
      <c r="AR351" t="s">
        <v>3909</v>
      </c>
      <c r="AS351" s="165" t="s">
        <v>30</v>
      </c>
      <c r="AT351" t="s">
        <v>5291</v>
      </c>
      <c r="AU351" t="s">
        <v>5291</v>
      </c>
    </row>
    <row r="352" spans="1:47" hidden="1" x14ac:dyDescent="0.25">
      <c r="A352" s="165" t="s">
        <v>4634</v>
      </c>
      <c r="B352" s="165" t="s">
        <v>4635</v>
      </c>
      <c r="C352" s="165" t="s">
        <v>23</v>
      </c>
      <c r="D352" s="165" t="s">
        <v>4636</v>
      </c>
      <c r="E352" s="165" t="s">
        <v>4476</v>
      </c>
      <c r="F352" s="165" t="s">
        <v>3850</v>
      </c>
      <c r="G352" s="165" t="s">
        <v>8</v>
      </c>
      <c r="H352" s="165" t="s">
        <v>263</v>
      </c>
      <c r="I352" s="165" t="s">
        <v>3819</v>
      </c>
      <c r="J352" s="165" t="s">
        <v>3851</v>
      </c>
      <c r="K352" s="165"/>
      <c r="L352" s="165"/>
      <c r="M352" s="165"/>
      <c r="N352" s="165" t="s">
        <v>3805</v>
      </c>
      <c r="O352" s="165"/>
      <c r="P352" s="165"/>
      <c r="Q352" s="165"/>
      <c r="R352" s="165"/>
      <c r="S352" s="165"/>
      <c r="T352" s="165" t="s">
        <v>3806</v>
      </c>
      <c r="U352" s="165" t="s">
        <v>3807</v>
      </c>
      <c r="V352" s="165"/>
      <c r="W352" s="165"/>
      <c r="X352" s="165"/>
      <c r="Y352">
        <v>3</v>
      </c>
      <c r="Z352" s="165" t="s">
        <v>3808</v>
      </c>
      <c r="AA352" s="165" t="s">
        <v>3809</v>
      </c>
      <c r="AB352" s="165" t="s">
        <v>3810</v>
      </c>
      <c r="AC352" s="165" t="s">
        <v>3811</v>
      </c>
      <c r="AD352" s="165" t="s">
        <v>4637</v>
      </c>
      <c r="AE352">
        <v>45</v>
      </c>
      <c r="AF352" s="165" t="s">
        <v>4638</v>
      </c>
      <c r="AG352">
        <v>47</v>
      </c>
      <c r="AH352">
        <v>188</v>
      </c>
      <c r="AI352">
        <v>50</v>
      </c>
      <c r="AJ352">
        <v>21.8</v>
      </c>
      <c r="AK352" s="165" t="s">
        <v>4639</v>
      </c>
      <c r="AN352">
        <v>3</v>
      </c>
      <c r="AO352">
        <v>6</v>
      </c>
      <c r="AP352">
        <v>18</v>
      </c>
      <c r="AQ352" s="165" t="s">
        <v>3815</v>
      </c>
      <c r="AR352" t="s">
        <v>4165</v>
      </c>
      <c r="AS352" s="165" t="s">
        <v>174</v>
      </c>
      <c r="AT352" t="s">
        <v>5291</v>
      </c>
      <c r="AU352" t="s">
        <v>5291</v>
      </c>
    </row>
    <row r="353" spans="1:47" hidden="1" x14ac:dyDescent="0.25">
      <c r="A353" s="165" t="s">
        <v>1069</v>
      </c>
      <c r="B353" s="165" t="s">
        <v>3297</v>
      </c>
      <c r="C353" s="165" t="s">
        <v>23</v>
      </c>
      <c r="D353" s="165" t="s">
        <v>1070</v>
      </c>
      <c r="E353" s="165" t="s">
        <v>4469</v>
      </c>
      <c r="F353" s="165" t="s">
        <v>3850</v>
      </c>
      <c r="G353" s="165" t="s">
        <v>8</v>
      </c>
      <c r="H353" s="165" t="s">
        <v>263</v>
      </c>
      <c r="I353" s="165" t="s">
        <v>3819</v>
      </c>
      <c r="J353" s="165" t="s">
        <v>3851</v>
      </c>
      <c r="K353" s="165"/>
      <c r="L353" s="165"/>
      <c r="M353" s="165"/>
      <c r="N353" s="165" t="s">
        <v>3805</v>
      </c>
      <c r="O353" s="165"/>
      <c r="P353" s="165"/>
      <c r="Q353" s="165"/>
      <c r="R353" s="165"/>
      <c r="S353" s="165"/>
      <c r="T353" s="165" t="s">
        <v>3806</v>
      </c>
      <c r="U353" s="165" t="s">
        <v>3807</v>
      </c>
      <c r="V353" s="165"/>
      <c r="W353" s="165"/>
      <c r="X353" s="165"/>
      <c r="Y353">
        <v>3</v>
      </c>
      <c r="Z353" s="165" t="s">
        <v>3808</v>
      </c>
      <c r="AA353" s="165" t="s">
        <v>3809</v>
      </c>
      <c r="AB353" s="165" t="s">
        <v>3810</v>
      </c>
      <c r="AC353" s="165" t="s">
        <v>3811</v>
      </c>
      <c r="AD353" s="165" t="s">
        <v>4637</v>
      </c>
      <c r="AE353">
        <v>45</v>
      </c>
      <c r="AF353" s="165" t="s">
        <v>4638</v>
      </c>
      <c r="AG353">
        <v>47</v>
      </c>
      <c r="AH353">
        <v>188</v>
      </c>
      <c r="AI353">
        <v>50</v>
      </c>
      <c r="AJ353">
        <v>21.8</v>
      </c>
      <c r="AK353" s="165" t="s">
        <v>4639</v>
      </c>
      <c r="AN353">
        <v>3</v>
      </c>
      <c r="AO353">
        <v>6</v>
      </c>
      <c r="AP353">
        <v>18</v>
      </c>
      <c r="AQ353" s="165" t="s">
        <v>3815</v>
      </c>
      <c r="AR353" t="s">
        <v>4135</v>
      </c>
      <c r="AS353" s="165" t="s">
        <v>174</v>
      </c>
      <c r="AT353" t="s">
        <v>5291</v>
      </c>
      <c r="AU353" t="s">
        <v>5291</v>
      </c>
    </row>
    <row r="354" spans="1:47" hidden="1" x14ac:dyDescent="0.25">
      <c r="A354" s="165" t="s">
        <v>753</v>
      </c>
      <c r="B354" s="165" t="s">
        <v>4640</v>
      </c>
      <c r="C354" s="165" t="s">
        <v>23</v>
      </c>
      <c r="D354" s="165" t="s">
        <v>754</v>
      </c>
      <c r="E354" s="165" t="s">
        <v>4280</v>
      </c>
      <c r="F354" s="165" t="s">
        <v>11</v>
      </c>
      <c r="G354" s="165" t="s">
        <v>8</v>
      </c>
      <c r="H354" s="165" t="s">
        <v>241</v>
      </c>
      <c r="I354" s="165" t="s">
        <v>3803</v>
      </c>
      <c r="J354" s="165" t="s">
        <v>4011</v>
      </c>
      <c r="K354" s="165"/>
      <c r="L354" s="165"/>
      <c r="M354" s="165"/>
      <c r="N354" s="165"/>
      <c r="O354" s="165"/>
      <c r="P354" s="165"/>
      <c r="Q354" s="165"/>
      <c r="R354" s="165"/>
      <c r="S354" s="165" t="s">
        <v>3902</v>
      </c>
      <c r="T354" s="165"/>
      <c r="U354" s="165"/>
      <c r="V354" s="165"/>
      <c r="W354" s="165"/>
      <c r="X354" s="165" t="s">
        <v>2428</v>
      </c>
      <c r="Y354">
        <v>2</v>
      </c>
      <c r="Z354" s="165" t="s">
        <v>3903</v>
      </c>
      <c r="AA354" s="165" t="s">
        <v>3811</v>
      </c>
      <c r="AB354" s="165" t="s">
        <v>3810</v>
      </c>
      <c r="AC354" s="165" t="s">
        <v>3809</v>
      </c>
      <c r="AD354" s="165" t="s">
        <v>4641</v>
      </c>
      <c r="AE354">
        <v>41</v>
      </c>
      <c r="AF354" s="165" t="s">
        <v>4642</v>
      </c>
      <c r="AG354">
        <v>47</v>
      </c>
      <c r="AH354">
        <v>193</v>
      </c>
      <c r="AI354">
        <v>50</v>
      </c>
      <c r="AJ354">
        <v>22.3</v>
      </c>
      <c r="AK354" s="165" t="s">
        <v>4643</v>
      </c>
      <c r="AN354">
        <v>3</v>
      </c>
      <c r="AO354">
        <v>6</v>
      </c>
      <c r="AP354">
        <v>18</v>
      </c>
      <c r="AQ354" s="165" t="s">
        <v>3815</v>
      </c>
      <c r="AR354" t="s">
        <v>3971</v>
      </c>
      <c r="AS354" s="165" t="s">
        <v>30</v>
      </c>
      <c r="AT354" t="s">
        <v>5291</v>
      </c>
      <c r="AU354" t="s">
        <v>5291</v>
      </c>
    </row>
    <row r="355" spans="1:47" hidden="1" x14ac:dyDescent="0.25">
      <c r="A355" s="165" t="s">
        <v>1100</v>
      </c>
      <c r="B355" s="165" t="s">
        <v>3325</v>
      </c>
      <c r="C355" s="165" t="s">
        <v>23</v>
      </c>
      <c r="D355" s="165" t="s">
        <v>1101</v>
      </c>
      <c r="E355" s="165" t="s">
        <v>4292</v>
      </c>
      <c r="F355" s="165" t="s">
        <v>11</v>
      </c>
      <c r="G355" s="165" t="s">
        <v>8</v>
      </c>
      <c r="H355" s="165" t="s">
        <v>241</v>
      </c>
      <c r="I355" s="165" t="s">
        <v>3803</v>
      </c>
      <c r="J355" s="165" t="s">
        <v>4011</v>
      </c>
      <c r="K355" s="165"/>
      <c r="L355" s="165"/>
      <c r="M355" s="165"/>
      <c r="N355" s="165"/>
      <c r="O355" s="165"/>
      <c r="P355" s="165"/>
      <c r="Q355" s="165"/>
      <c r="R355" s="165"/>
      <c r="S355" s="165" t="s">
        <v>3902</v>
      </c>
      <c r="T355" s="165"/>
      <c r="U355" s="165"/>
      <c r="V355" s="165"/>
      <c r="W355" s="165"/>
      <c r="X355" s="165" t="s">
        <v>2428</v>
      </c>
      <c r="Y355">
        <v>2</v>
      </c>
      <c r="Z355" s="165" t="s">
        <v>3903</v>
      </c>
      <c r="AA355" s="165" t="s">
        <v>3811</v>
      </c>
      <c r="AB355" s="165" t="s">
        <v>3810</v>
      </c>
      <c r="AC355" s="165" t="s">
        <v>3809</v>
      </c>
      <c r="AD355" s="165" t="s">
        <v>4641</v>
      </c>
      <c r="AE355">
        <v>41</v>
      </c>
      <c r="AF355" s="165" t="s">
        <v>4642</v>
      </c>
      <c r="AG355">
        <v>47</v>
      </c>
      <c r="AH355">
        <v>193</v>
      </c>
      <c r="AI355">
        <v>50</v>
      </c>
      <c r="AJ355">
        <v>22.3</v>
      </c>
      <c r="AK355" s="165" t="s">
        <v>4643</v>
      </c>
      <c r="AN355">
        <v>3</v>
      </c>
      <c r="AO355">
        <v>6</v>
      </c>
      <c r="AP355">
        <v>18</v>
      </c>
      <c r="AQ355" s="165" t="s">
        <v>3815</v>
      </c>
      <c r="AR355" t="s">
        <v>3909</v>
      </c>
      <c r="AS355" s="165" t="s">
        <v>30</v>
      </c>
      <c r="AT355" t="s">
        <v>5291</v>
      </c>
      <c r="AU355" t="s">
        <v>5291</v>
      </c>
    </row>
    <row r="356" spans="1:47" hidden="1" x14ac:dyDescent="0.25">
      <c r="A356" s="165" t="s">
        <v>1720</v>
      </c>
      <c r="B356" s="165" t="s">
        <v>4644</v>
      </c>
      <c r="C356" s="165" t="s">
        <v>23</v>
      </c>
      <c r="D356" s="165" t="s">
        <v>1721</v>
      </c>
      <c r="E356" s="165" t="s">
        <v>4605</v>
      </c>
      <c r="F356" s="165" t="s">
        <v>11</v>
      </c>
      <c r="G356" s="165" t="s">
        <v>8</v>
      </c>
      <c r="H356" s="165" t="s">
        <v>241</v>
      </c>
      <c r="I356" s="165" t="s">
        <v>3803</v>
      </c>
      <c r="J356" s="165" t="s">
        <v>4011</v>
      </c>
      <c r="K356" s="165"/>
      <c r="L356" s="165"/>
      <c r="M356" s="165"/>
      <c r="N356" s="165"/>
      <c r="O356" s="165"/>
      <c r="P356" s="165"/>
      <c r="Q356" s="165"/>
      <c r="R356" s="165"/>
      <c r="S356" s="165" t="s">
        <v>3902</v>
      </c>
      <c r="T356" s="165"/>
      <c r="U356" s="165"/>
      <c r="V356" s="165"/>
      <c r="W356" s="165"/>
      <c r="X356" s="165" t="s">
        <v>2428</v>
      </c>
      <c r="Y356">
        <v>2</v>
      </c>
      <c r="Z356" s="165" t="s">
        <v>3903</v>
      </c>
      <c r="AA356" s="165" t="s">
        <v>3811</v>
      </c>
      <c r="AB356" s="165" t="s">
        <v>3810</v>
      </c>
      <c r="AC356" s="165" t="s">
        <v>3809</v>
      </c>
      <c r="AD356" s="165" t="s">
        <v>4641</v>
      </c>
      <c r="AE356">
        <v>41</v>
      </c>
      <c r="AF356" s="165" t="s">
        <v>4642</v>
      </c>
      <c r="AG356">
        <v>47</v>
      </c>
      <c r="AH356">
        <v>193</v>
      </c>
      <c r="AI356">
        <v>50</v>
      </c>
      <c r="AJ356">
        <v>22.3</v>
      </c>
      <c r="AK356" s="165" t="s">
        <v>4643</v>
      </c>
      <c r="AN356">
        <v>3</v>
      </c>
      <c r="AO356">
        <v>6</v>
      </c>
      <c r="AP356">
        <v>18</v>
      </c>
      <c r="AQ356" s="165" t="s">
        <v>3815</v>
      </c>
      <c r="AR356" t="s">
        <v>3966</v>
      </c>
      <c r="AS356" s="165" t="s">
        <v>30</v>
      </c>
      <c r="AT356" t="s">
        <v>5291</v>
      </c>
      <c r="AU356" t="s">
        <v>5291</v>
      </c>
    </row>
    <row r="357" spans="1:47" hidden="1" x14ac:dyDescent="0.25">
      <c r="A357" s="165" t="s">
        <v>807</v>
      </c>
      <c r="B357" s="165" t="s">
        <v>4645</v>
      </c>
      <c r="C357" s="165" t="s">
        <v>23</v>
      </c>
      <c r="D357" s="165" t="s">
        <v>808</v>
      </c>
      <c r="E357" s="165" t="s">
        <v>3829</v>
      </c>
      <c r="F357" s="165" t="s">
        <v>11</v>
      </c>
      <c r="G357" s="165" t="s">
        <v>8</v>
      </c>
      <c r="H357" s="165" t="s">
        <v>263</v>
      </c>
      <c r="I357" s="165" t="s">
        <v>3803</v>
      </c>
      <c r="J357" s="165" t="s">
        <v>3804</v>
      </c>
      <c r="K357" s="165"/>
      <c r="L357" s="165"/>
      <c r="M357" s="165"/>
      <c r="N357" s="165" t="s">
        <v>3805</v>
      </c>
      <c r="O357" s="165"/>
      <c r="P357" s="165"/>
      <c r="Q357" s="165"/>
      <c r="R357" s="165"/>
      <c r="S357" s="165"/>
      <c r="T357" s="165" t="s">
        <v>3806</v>
      </c>
      <c r="U357" s="165" t="s">
        <v>3807</v>
      </c>
      <c r="V357" s="165"/>
      <c r="W357" s="165"/>
      <c r="X357" s="165"/>
      <c r="Y357">
        <v>3</v>
      </c>
      <c r="Z357" s="165" t="s">
        <v>3808</v>
      </c>
      <c r="AA357" s="165" t="s">
        <v>3809</v>
      </c>
      <c r="AB357" s="165" t="s">
        <v>3810</v>
      </c>
      <c r="AC357" s="165" t="s">
        <v>3811</v>
      </c>
      <c r="AD357" s="165" t="s">
        <v>4641</v>
      </c>
      <c r="AE357">
        <v>41</v>
      </c>
      <c r="AF357" s="165" t="s">
        <v>4642</v>
      </c>
      <c r="AG357">
        <v>47</v>
      </c>
      <c r="AH357">
        <v>193</v>
      </c>
      <c r="AI357">
        <v>50</v>
      </c>
      <c r="AJ357">
        <v>22.3</v>
      </c>
      <c r="AK357" s="165" t="s">
        <v>4643</v>
      </c>
      <c r="AN357">
        <v>3</v>
      </c>
      <c r="AO357">
        <v>6</v>
      </c>
      <c r="AP357">
        <v>18</v>
      </c>
      <c r="AQ357" s="165" t="s">
        <v>3815</v>
      </c>
      <c r="AR357" t="s">
        <v>3909</v>
      </c>
      <c r="AS357" s="165" t="s">
        <v>174</v>
      </c>
      <c r="AT357" t="s">
        <v>5291</v>
      </c>
      <c r="AU357" t="s">
        <v>5291</v>
      </c>
    </row>
    <row r="358" spans="1:47" hidden="1" x14ac:dyDescent="0.25">
      <c r="A358" s="165" t="s">
        <v>4646</v>
      </c>
      <c r="B358" s="165" t="s">
        <v>4647</v>
      </c>
      <c r="C358" s="165" t="s">
        <v>23</v>
      </c>
      <c r="D358" s="165" t="s">
        <v>4648</v>
      </c>
      <c r="E358" s="165" t="s">
        <v>4556</v>
      </c>
      <c r="F358" s="165" t="s">
        <v>11</v>
      </c>
      <c r="G358" s="165" t="s">
        <v>8</v>
      </c>
      <c r="H358" s="165" t="s">
        <v>263</v>
      </c>
      <c r="I358" s="165" t="s">
        <v>3803</v>
      </c>
      <c r="J358" s="165" t="s">
        <v>3804</v>
      </c>
      <c r="K358" s="165"/>
      <c r="L358" s="165"/>
      <c r="M358" s="165"/>
      <c r="N358" s="165" t="s">
        <v>3805</v>
      </c>
      <c r="O358" s="165"/>
      <c r="P358" s="165"/>
      <c r="Q358" s="165"/>
      <c r="R358" s="165"/>
      <c r="S358" s="165"/>
      <c r="T358" s="165" t="s">
        <v>3806</v>
      </c>
      <c r="U358" s="165" t="s">
        <v>3807</v>
      </c>
      <c r="V358" s="165"/>
      <c r="W358" s="165"/>
      <c r="X358" s="165"/>
      <c r="Y358">
        <v>3</v>
      </c>
      <c r="Z358" s="165" t="s">
        <v>3808</v>
      </c>
      <c r="AA358" s="165" t="s">
        <v>3809</v>
      </c>
      <c r="AB358" s="165" t="s">
        <v>3810</v>
      </c>
      <c r="AC358" s="165" t="s">
        <v>3811</v>
      </c>
      <c r="AD358" s="165" t="s">
        <v>4641</v>
      </c>
      <c r="AE358">
        <v>41</v>
      </c>
      <c r="AF358" s="165" t="s">
        <v>4642</v>
      </c>
      <c r="AG358">
        <v>47</v>
      </c>
      <c r="AH358">
        <v>193</v>
      </c>
      <c r="AI358">
        <v>50</v>
      </c>
      <c r="AJ358">
        <v>22.3</v>
      </c>
      <c r="AK358" s="165" t="s">
        <v>4643</v>
      </c>
      <c r="AN358">
        <v>3</v>
      </c>
      <c r="AO358">
        <v>6</v>
      </c>
      <c r="AP358">
        <v>18</v>
      </c>
      <c r="AQ358" s="165" t="s">
        <v>3815</v>
      </c>
      <c r="AS358" s="165" t="s">
        <v>174</v>
      </c>
      <c r="AT358" t="s">
        <v>5291</v>
      </c>
      <c r="AU358" t="s">
        <v>5291</v>
      </c>
    </row>
    <row r="359" spans="1:47" hidden="1" x14ac:dyDescent="0.25">
      <c r="A359" s="165" t="s">
        <v>1166</v>
      </c>
      <c r="B359" s="165" t="s">
        <v>4649</v>
      </c>
      <c r="C359" s="165" t="s">
        <v>23</v>
      </c>
      <c r="D359" s="165" t="s">
        <v>1167</v>
      </c>
      <c r="E359" s="165" t="s">
        <v>4650</v>
      </c>
      <c r="F359" s="165" t="s">
        <v>11</v>
      </c>
      <c r="G359" s="165" t="s">
        <v>8</v>
      </c>
      <c r="H359" s="165" t="s">
        <v>263</v>
      </c>
      <c r="I359" s="165" t="s">
        <v>3803</v>
      </c>
      <c r="J359" s="165" t="s">
        <v>3804</v>
      </c>
      <c r="K359" s="165"/>
      <c r="L359" s="165"/>
      <c r="M359" s="165"/>
      <c r="N359" s="165" t="s">
        <v>3805</v>
      </c>
      <c r="O359" s="165"/>
      <c r="P359" s="165"/>
      <c r="Q359" s="165"/>
      <c r="R359" s="165"/>
      <c r="S359" s="165"/>
      <c r="T359" s="165" t="s">
        <v>3806</v>
      </c>
      <c r="U359" s="165" t="s">
        <v>3807</v>
      </c>
      <c r="V359" s="165"/>
      <c r="W359" s="165"/>
      <c r="X359" s="165"/>
      <c r="Y359">
        <v>3</v>
      </c>
      <c r="Z359" s="165" t="s">
        <v>3808</v>
      </c>
      <c r="AA359" s="165" t="s">
        <v>3809</v>
      </c>
      <c r="AB359" s="165" t="s">
        <v>3810</v>
      </c>
      <c r="AC359" s="165" t="s">
        <v>3811</v>
      </c>
      <c r="AD359" s="165" t="s">
        <v>4641</v>
      </c>
      <c r="AE359">
        <v>41</v>
      </c>
      <c r="AF359" s="165" t="s">
        <v>4642</v>
      </c>
      <c r="AG359">
        <v>47</v>
      </c>
      <c r="AH359">
        <v>193</v>
      </c>
      <c r="AI359">
        <v>50</v>
      </c>
      <c r="AJ359">
        <v>22.3</v>
      </c>
      <c r="AK359" s="165" t="s">
        <v>4643</v>
      </c>
      <c r="AN359">
        <v>3</v>
      </c>
      <c r="AO359">
        <v>6</v>
      </c>
      <c r="AP359">
        <v>18</v>
      </c>
      <c r="AQ359" s="165" t="s">
        <v>3815</v>
      </c>
      <c r="AR359" t="s">
        <v>4007</v>
      </c>
      <c r="AS359" s="165" t="s">
        <v>174</v>
      </c>
      <c r="AT359" t="s">
        <v>5291</v>
      </c>
      <c r="AU359" t="s">
        <v>5291</v>
      </c>
    </row>
    <row r="360" spans="1:47" hidden="1" x14ac:dyDescent="0.25">
      <c r="A360" s="165" t="s">
        <v>1168</v>
      </c>
      <c r="B360" s="165" t="s">
        <v>3286</v>
      </c>
      <c r="C360" s="165" t="s">
        <v>23</v>
      </c>
      <c r="D360" s="165" t="s">
        <v>1169</v>
      </c>
      <c r="E360" s="165" t="s">
        <v>4650</v>
      </c>
      <c r="F360" s="165" t="s">
        <v>11</v>
      </c>
      <c r="G360" s="165" t="s">
        <v>8</v>
      </c>
      <c r="H360" s="165" t="s">
        <v>263</v>
      </c>
      <c r="I360" s="165" t="s">
        <v>3803</v>
      </c>
      <c r="J360" s="165" t="s">
        <v>3804</v>
      </c>
      <c r="K360" s="165"/>
      <c r="L360" s="165"/>
      <c r="M360" s="165"/>
      <c r="N360" s="165" t="s">
        <v>3805</v>
      </c>
      <c r="O360" s="165"/>
      <c r="P360" s="165"/>
      <c r="Q360" s="165"/>
      <c r="R360" s="165"/>
      <c r="S360" s="165"/>
      <c r="T360" s="165" t="s">
        <v>3806</v>
      </c>
      <c r="U360" s="165" t="s">
        <v>3807</v>
      </c>
      <c r="V360" s="165"/>
      <c r="W360" s="165"/>
      <c r="X360" s="165"/>
      <c r="Y360">
        <v>3</v>
      </c>
      <c r="Z360" s="165" t="s">
        <v>3808</v>
      </c>
      <c r="AA360" s="165" t="s">
        <v>3809</v>
      </c>
      <c r="AB360" s="165" t="s">
        <v>3810</v>
      </c>
      <c r="AC360" s="165" t="s">
        <v>3811</v>
      </c>
      <c r="AD360" s="165" t="s">
        <v>4641</v>
      </c>
      <c r="AE360">
        <v>41</v>
      </c>
      <c r="AF360" s="165" t="s">
        <v>4642</v>
      </c>
      <c r="AG360">
        <v>47</v>
      </c>
      <c r="AH360">
        <v>193</v>
      </c>
      <c r="AI360">
        <v>50</v>
      </c>
      <c r="AJ360">
        <v>22.3</v>
      </c>
      <c r="AK360" s="165" t="s">
        <v>4643</v>
      </c>
      <c r="AN360">
        <v>3</v>
      </c>
      <c r="AO360">
        <v>6</v>
      </c>
      <c r="AP360">
        <v>18</v>
      </c>
      <c r="AQ360" s="165" t="s">
        <v>3815</v>
      </c>
      <c r="AR360" t="s">
        <v>4651</v>
      </c>
      <c r="AS360" s="165" t="s">
        <v>174</v>
      </c>
      <c r="AT360" t="s">
        <v>5291</v>
      </c>
      <c r="AU360" t="s">
        <v>5291</v>
      </c>
    </row>
    <row r="361" spans="1:47" hidden="1" x14ac:dyDescent="0.25">
      <c r="A361" s="165" t="s">
        <v>1345</v>
      </c>
      <c r="B361" s="165" t="s">
        <v>4652</v>
      </c>
      <c r="C361" s="165" t="s">
        <v>23</v>
      </c>
      <c r="D361" s="165" t="s">
        <v>1346</v>
      </c>
      <c r="E361" s="165" t="s">
        <v>4653</v>
      </c>
      <c r="F361" s="165" t="s">
        <v>11</v>
      </c>
      <c r="G361" s="165" t="s">
        <v>8</v>
      </c>
      <c r="H361" s="165" t="s">
        <v>263</v>
      </c>
      <c r="I361" s="165" t="s">
        <v>3803</v>
      </c>
      <c r="J361" s="165" t="s">
        <v>3804</v>
      </c>
      <c r="K361" s="165"/>
      <c r="L361" s="165"/>
      <c r="M361" s="165"/>
      <c r="N361" s="165" t="s">
        <v>3805</v>
      </c>
      <c r="O361" s="165"/>
      <c r="P361" s="165"/>
      <c r="Q361" s="165"/>
      <c r="R361" s="165"/>
      <c r="S361" s="165"/>
      <c r="T361" s="165" t="s">
        <v>3806</v>
      </c>
      <c r="U361" s="165" t="s">
        <v>3807</v>
      </c>
      <c r="V361" s="165"/>
      <c r="W361" s="165"/>
      <c r="X361" s="165"/>
      <c r="Y361">
        <v>3</v>
      </c>
      <c r="Z361" s="165" t="s">
        <v>3808</v>
      </c>
      <c r="AA361" s="165" t="s">
        <v>3809</v>
      </c>
      <c r="AB361" s="165" t="s">
        <v>3810</v>
      </c>
      <c r="AC361" s="165" t="s">
        <v>3811</v>
      </c>
      <c r="AD361" s="165" t="s">
        <v>4641</v>
      </c>
      <c r="AE361">
        <v>41</v>
      </c>
      <c r="AF361" s="165" t="s">
        <v>4642</v>
      </c>
      <c r="AG361">
        <v>47</v>
      </c>
      <c r="AH361">
        <v>193</v>
      </c>
      <c r="AI361">
        <v>50</v>
      </c>
      <c r="AJ361">
        <v>22.3</v>
      </c>
      <c r="AK361" s="165" t="s">
        <v>4643</v>
      </c>
      <c r="AN361">
        <v>3</v>
      </c>
      <c r="AO361">
        <v>6</v>
      </c>
      <c r="AP361">
        <v>18</v>
      </c>
      <c r="AQ361" s="165" t="s">
        <v>3815</v>
      </c>
      <c r="AR361" t="s">
        <v>3836</v>
      </c>
      <c r="AS361" s="165" t="s">
        <v>174</v>
      </c>
      <c r="AT361" t="s">
        <v>5291</v>
      </c>
      <c r="AU361" t="s">
        <v>5291</v>
      </c>
    </row>
    <row r="362" spans="1:47" hidden="1" x14ac:dyDescent="0.25">
      <c r="A362" s="165" t="s">
        <v>1462</v>
      </c>
      <c r="B362" s="165" t="s">
        <v>4654</v>
      </c>
      <c r="C362" s="165" t="s">
        <v>23</v>
      </c>
      <c r="D362" s="165" t="s">
        <v>1463</v>
      </c>
      <c r="E362" s="165" t="s">
        <v>4655</v>
      </c>
      <c r="F362" s="165" t="s">
        <v>11</v>
      </c>
      <c r="G362" s="165" t="s">
        <v>8</v>
      </c>
      <c r="H362" s="165" t="s">
        <v>263</v>
      </c>
      <c r="I362" s="165" t="s">
        <v>3803</v>
      </c>
      <c r="J362" s="165" t="s">
        <v>3804</v>
      </c>
      <c r="K362" s="165"/>
      <c r="L362" s="165"/>
      <c r="M362" s="165"/>
      <c r="N362" s="165" t="s">
        <v>3805</v>
      </c>
      <c r="O362" s="165"/>
      <c r="P362" s="165"/>
      <c r="Q362" s="165"/>
      <c r="R362" s="165"/>
      <c r="S362" s="165"/>
      <c r="T362" s="165" t="s">
        <v>3806</v>
      </c>
      <c r="U362" s="165" t="s">
        <v>3807</v>
      </c>
      <c r="V362" s="165"/>
      <c r="W362" s="165"/>
      <c r="X362" s="165"/>
      <c r="Y362">
        <v>3</v>
      </c>
      <c r="Z362" s="165" t="s">
        <v>3808</v>
      </c>
      <c r="AA362" s="165" t="s">
        <v>3809</v>
      </c>
      <c r="AB362" s="165" t="s">
        <v>3810</v>
      </c>
      <c r="AC362" s="165" t="s">
        <v>3811</v>
      </c>
      <c r="AD362" s="165" t="s">
        <v>4641</v>
      </c>
      <c r="AE362">
        <v>41</v>
      </c>
      <c r="AF362" s="165" t="s">
        <v>4642</v>
      </c>
      <c r="AG362">
        <v>47</v>
      </c>
      <c r="AH362">
        <v>193</v>
      </c>
      <c r="AI362">
        <v>50</v>
      </c>
      <c r="AJ362">
        <v>22.3</v>
      </c>
      <c r="AK362" s="165" t="s">
        <v>4643</v>
      </c>
      <c r="AN362">
        <v>3</v>
      </c>
      <c r="AO362">
        <v>6</v>
      </c>
      <c r="AP362">
        <v>18</v>
      </c>
      <c r="AQ362" s="165" t="s">
        <v>3815</v>
      </c>
      <c r="AR362" t="s">
        <v>3994</v>
      </c>
      <c r="AS362" s="165" t="s">
        <v>174</v>
      </c>
      <c r="AT362" t="s">
        <v>5291</v>
      </c>
      <c r="AU362" t="s">
        <v>5291</v>
      </c>
    </row>
    <row r="363" spans="1:47" hidden="1" x14ac:dyDescent="0.25">
      <c r="A363" s="165" t="s">
        <v>1126</v>
      </c>
      <c r="B363" s="165" t="s">
        <v>4656</v>
      </c>
      <c r="C363" s="165" t="s">
        <v>23</v>
      </c>
      <c r="D363" s="165" t="s">
        <v>1127</v>
      </c>
      <c r="E363" s="165" t="s">
        <v>4657</v>
      </c>
      <c r="F363" s="165" t="s">
        <v>11</v>
      </c>
      <c r="G363" s="165" t="s">
        <v>8</v>
      </c>
      <c r="H363" s="165" t="s">
        <v>263</v>
      </c>
      <c r="I363" s="165" t="s">
        <v>3803</v>
      </c>
      <c r="J363" s="165" t="s">
        <v>3804</v>
      </c>
      <c r="K363" s="165"/>
      <c r="L363" s="165"/>
      <c r="M363" s="165"/>
      <c r="N363" s="165" t="s">
        <v>3805</v>
      </c>
      <c r="O363" s="165"/>
      <c r="P363" s="165"/>
      <c r="Q363" s="165"/>
      <c r="R363" s="165"/>
      <c r="S363" s="165"/>
      <c r="T363" s="165" t="s">
        <v>3806</v>
      </c>
      <c r="U363" s="165" t="s">
        <v>3807</v>
      </c>
      <c r="V363" s="165"/>
      <c r="W363" s="165"/>
      <c r="X363" s="165"/>
      <c r="Y363">
        <v>3</v>
      </c>
      <c r="Z363" s="165" t="s">
        <v>3808</v>
      </c>
      <c r="AA363" s="165" t="s">
        <v>3809</v>
      </c>
      <c r="AB363" s="165" t="s">
        <v>3810</v>
      </c>
      <c r="AC363" s="165" t="s">
        <v>3811</v>
      </c>
      <c r="AD363" s="165" t="s">
        <v>4658</v>
      </c>
      <c r="AE363">
        <v>44</v>
      </c>
      <c r="AF363" s="165" t="s">
        <v>4659</v>
      </c>
      <c r="AG363">
        <v>47</v>
      </c>
      <c r="AH363">
        <v>301</v>
      </c>
      <c r="AI363">
        <v>50</v>
      </c>
      <c r="AJ363">
        <v>33.1</v>
      </c>
      <c r="AK363" s="165" t="s">
        <v>4660</v>
      </c>
      <c r="AN363">
        <v>6</v>
      </c>
      <c r="AO363">
        <v>4</v>
      </c>
      <c r="AP363">
        <v>24</v>
      </c>
      <c r="AQ363" s="165" t="s">
        <v>3815</v>
      </c>
      <c r="AR363" t="s">
        <v>3930</v>
      </c>
      <c r="AS363" s="165" t="s">
        <v>174</v>
      </c>
      <c r="AT363" t="s">
        <v>5291</v>
      </c>
      <c r="AU363" t="s">
        <v>5291</v>
      </c>
    </row>
    <row r="364" spans="1:47" hidden="1" x14ac:dyDescent="0.25">
      <c r="A364" s="165" t="s">
        <v>1676</v>
      </c>
      <c r="B364" s="165" t="s">
        <v>4661</v>
      </c>
      <c r="C364" s="165" t="s">
        <v>23</v>
      </c>
      <c r="D364" s="165" t="s">
        <v>1677</v>
      </c>
      <c r="E364" s="165" t="s">
        <v>4657</v>
      </c>
      <c r="F364" s="165" t="s">
        <v>11</v>
      </c>
      <c r="G364" s="165" t="s">
        <v>3878</v>
      </c>
      <c r="H364" s="165" t="s">
        <v>263</v>
      </c>
      <c r="I364" s="165" t="s">
        <v>3821</v>
      </c>
      <c r="J364" s="165" t="s">
        <v>3879</v>
      </c>
      <c r="K364" s="165"/>
      <c r="L364" s="165"/>
      <c r="M364" s="165"/>
      <c r="N364" s="165"/>
      <c r="O364" s="165"/>
      <c r="P364" s="165"/>
      <c r="Q364" s="165"/>
      <c r="R364" s="165"/>
      <c r="S364" s="165"/>
      <c r="T364" s="165" t="s">
        <v>3806</v>
      </c>
      <c r="U364" s="165" t="s">
        <v>3807</v>
      </c>
      <c r="V364" s="165"/>
      <c r="W364" s="165"/>
      <c r="X364" s="165"/>
      <c r="Y364">
        <v>2</v>
      </c>
      <c r="Z364" s="165" t="s">
        <v>3880</v>
      </c>
      <c r="AA364" s="165" t="s">
        <v>3810</v>
      </c>
      <c r="AB364" s="165" t="s">
        <v>3810</v>
      </c>
      <c r="AC364" s="165" t="s">
        <v>3811</v>
      </c>
      <c r="AD364" s="165" t="s">
        <v>4662</v>
      </c>
      <c r="AE364">
        <v>118</v>
      </c>
      <c r="AF364" s="165" t="s">
        <v>4663</v>
      </c>
      <c r="AG364">
        <v>485</v>
      </c>
      <c r="AH364">
        <v>182</v>
      </c>
      <c r="AI364">
        <v>51.5</v>
      </c>
      <c r="AJ364">
        <v>21.2</v>
      </c>
      <c r="AK364" s="165" t="s">
        <v>4664</v>
      </c>
      <c r="AN364">
        <v>5</v>
      </c>
      <c r="AO364">
        <v>8</v>
      </c>
      <c r="AP364">
        <v>40</v>
      </c>
      <c r="AQ364" s="165" t="s">
        <v>3815</v>
      </c>
      <c r="AR364" t="s">
        <v>3884</v>
      </c>
      <c r="AS364" s="165" t="s">
        <v>174</v>
      </c>
      <c r="AT364" t="s">
        <v>5291</v>
      </c>
      <c r="AU364" t="s">
        <v>5291</v>
      </c>
    </row>
    <row r="365" spans="1:47" hidden="1" x14ac:dyDescent="0.25">
      <c r="A365" s="165" t="s">
        <v>1937</v>
      </c>
      <c r="B365" s="165" t="s">
        <v>4665</v>
      </c>
      <c r="C365" s="165" t="s">
        <v>23</v>
      </c>
      <c r="D365" s="165" t="s">
        <v>4666</v>
      </c>
      <c r="E365" s="165" t="s">
        <v>4667</v>
      </c>
      <c r="F365" s="165" t="s">
        <v>12</v>
      </c>
      <c r="G365" s="165" t="s">
        <v>3878</v>
      </c>
      <c r="H365" s="165" t="s">
        <v>251</v>
      </c>
      <c r="I365" s="165" t="s">
        <v>3821</v>
      </c>
      <c r="J365" s="165" t="s">
        <v>4668</v>
      </c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 t="s">
        <v>3807</v>
      </c>
      <c r="V365" s="165" t="s">
        <v>3821</v>
      </c>
      <c r="W365" s="165" t="s">
        <v>3822</v>
      </c>
      <c r="X365" s="165"/>
      <c r="Y365">
        <v>3</v>
      </c>
      <c r="Z365" s="165" t="s">
        <v>4367</v>
      </c>
      <c r="AA365" s="165" t="s">
        <v>3809</v>
      </c>
      <c r="AB365" s="165" t="s">
        <v>3810</v>
      </c>
      <c r="AC365" s="165" t="s">
        <v>3811</v>
      </c>
      <c r="AD365" s="165" t="s">
        <v>4038</v>
      </c>
      <c r="AE365">
        <v>31</v>
      </c>
      <c r="AF365" s="165" t="s">
        <v>4035</v>
      </c>
      <c r="AG365">
        <v>296</v>
      </c>
      <c r="AH365">
        <v>276</v>
      </c>
      <c r="AI365">
        <v>32.6</v>
      </c>
      <c r="AJ365">
        <v>30.6</v>
      </c>
      <c r="AK365" s="165" t="s">
        <v>4036</v>
      </c>
      <c r="AN365">
        <v>4</v>
      </c>
      <c r="AO365">
        <v>6</v>
      </c>
      <c r="AP365">
        <v>24</v>
      </c>
      <c r="AQ365" s="165" t="s">
        <v>3815</v>
      </c>
      <c r="AR365" t="s">
        <v>3830</v>
      </c>
      <c r="AS365" s="165" t="s">
        <v>174</v>
      </c>
      <c r="AT365" t="s">
        <v>5291</v>
      </c>
      <c r="AU365" t="s">
        <v>5291</v>
      </c>
    </row>
    <row r="366" spans="1:47" hidden="1" x14ac:dyDescent="0.25">
      <c r="A366" s="165" t="s">
        <v>1934</v>
      </c>
      <c r="B366" s="165" t="s">
        <v>3349</v>
      </c>
      <c r="C366" s="165" t="s">
        <v>23</v>
      </c>
      <c r="D366" s="165" t="s">
        <v>4669</v>
      </c>
      <c r="E366" s="165" t="s">
        <v>4667</v>
      </c>
      <c r="F366" s="165" t="s">
        <v>12</v>
      </c>
      <c r="G366" s="165" t="s">
        <v>8</v>
      </c>
      <c r="H366" s="165" t="s">
        <v>251</v>
      </c>
      <c r="I366" s="165" t="s">
        <v>3803</v>
      </c>
      <c r="J366" s="165" t="s">
        <v>4670</v>
      </c>
      <c r="K366" s="165"/>
      <c r="L366" s="165"/>
      <c r="M366" s="165"/>
      <c r="N366" s="165" t="s">
        <v>3805</v>
      </c>
      <c r="O366" s="165"/>
      <c r="P366" s="165"/>
      <c r="Q366" s="165"/>
      <c r="R366" s="165"/>
      <c r="S366" s="165"/>
      <c r="T366" s="165"/>
      <c r="U366" s="165" t="s">
        <v>3807</v>
      </c>
      <c r="V366" s="165" t="s">
        <v>3821</v>
      </c>
      <c r="W366" s="165" t="s">
        <v>3822</v>
      </c>
      <c r="X366" s="165"/>
      <c r="Y366">
        <v>4</v>
      </c>
      <c r="Z366" s="165" t="s">
        <v>4071</v>
      </c>
      <c r="AA366" s="165" t="s">
        <v>3809</v>
      </c>
      <c r="AB366" s="165" t="s">
        <v>3810</v>
      </c>
      <c r="AC366" s="165" t="s">
        <v>3811</v>
      </c>
      <c r="AD366" s="165" t="s">
        <v>4038</v>
      </c>
      <c r="AE366">
        <v>31</v>
      </c>
      <c r="AF366" s="165" t="s">
        <v>4035</v>
      </c>
      <c r="AG366">
        <v>296</v>
      </c>
      <c r="AH366">
        <v>276</v>
      </c>
      <c r="AI366">
        <v>32.6</v>
      </c>
      <c r="AJ366">
        <v>30.6</v>
      </c>
      <c r="AK366" s="165" t="s">
        <v>4036</v>
      </c>
      <c r="AN366">
        <v>4</v>
      </c>
      <c r="AO366">
        <v>6</v>
      </c>
      <c r="AP366">
        <v>24</v>
      </c>
      <c r="AQ366" s="165" t="s">
        <v>3815</v>
      </c>
      <c r="AR366" t="s">
        <v>3830</v>
      </c>
      <c r="AS366" s="165" t="s">
        <v>174</v>
      </c>
      <c r="AT366" t="s">
        <v>5291</v>
      </c>
      <c r="AU366" t="s">
        <v>5291</v>
      </c>
    </row>
    <row r="367" spans="1:47" hidden="1" x14ac:dyDescent="0.25">
      <c r="A367" s="165" t="s">
        <v>1373</v>
      </c>
      <c r="B367" s="165" t="s">
        <v>3334</v>
      </c>
      <c r="C367" s="165" t="s">
        <v>2471</v>
      </c>
      <c r="D367" s="165" t="s">
        <v>1374</v>
      </c>
      <c r="E367" s="165" t="s">
        <v>4331</v>
      </c>
      <c r="F367" s="165" t="s">
        <v>2183</v>
      </c>
      <c r="G367" s="165" t="s">
        <v>3878</v>
      </c>
      <c r="H367" s="165" t="s">
        <v>251</v>
      </c>
      <c r="I367" s="165" t="s">
        <v>3807</v>
      </c>
      <c r="J367" s="165" t="s">
        <v>4671</v>
      </c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 t="s">
        <v>3807</v>
      </c>
      <c r="V367" s="165" t="s">
        <v>3821</v>
      </c>
      <c r="W367" s="165" t="s">
        <v>3822</v>
      </c>
      <c r="X367" s="165"/>
      <c r="Y367">
        <v>3</v>
      </c>
      <c r="Z367" s="165" t="s">
        <v>4367</v>
      </c>
      <c r="AA367" s="165" t="s">
        <v>3809</v>
      </c>
      <c r="AB367" s="165" t="s">
        <v>3810</v>
      </c>
      <c r="AC367" s="165" t="s">
        <v>3811</v>
      </c>
      <c r="AD367" s="165" t="s">
        <v>4672</v>
      </c>
      <c r="AE367">
        <v>117</v>
      </c>
      <c r="AF367" s="165" t="s">
        <v>4673</v>
      </c>
      <c r="AG367">
        <v>485</v>
      </c>
      <c r="AH367">
        <v>184</v>
      </c>
      <c r="AI367">
        <v>51.5</v>
      </c>
      <c r="AJ367">
        <v>21.4</v>
      </c>
      <c r="AK367" s="165" t="s">
        <v>4674</v>
      </c>
      <c r="AN367">
        <v>5</v>
      </c>
      <c r="AO367">
        <v>8</v>
      </c>
      <c r="AP367">
        <v>40</v>
      </c>
      <c r="AQ367" s="165" t="s">
        <v>3815</v>
      </c>
      <c r="AR367" t="s">
        <v>3932</v>
      </c>
      <c r="AS367" s="165" t="s">
        <v>174</v>
      </c>
      <c r="AT367" t="s">
        <v>5291</v>
      </c>
      <c r="AU367" t="s">
        <v>3809</v>
      </c>
    </row>
    <row r="368" spans="1:47" hidden="1" x14ac:dyDescent="0.25">
      <c r="A368" s="165" t="s">
        <v>4675</v>
      </c>
      <c r="B368" s="165" t="s">
        <v>4676</v>
      </c>
      <c r="C368" s="165" t="s">
        <v>2471</v>
      </c>
      <c r="D368" s="165" t="s">
        <v>4677</v>
      </c>
      <c r="E368" s="165" t="s">
        <v>4025</v>
      </c>
      <c r="F368" s="165" t="s">
        <v>11</v>
      </c>
      <c r="G368" s="165" t="s">
        <v>3878</v>
      </c>
      <c r="H368" s="165" t="s">
        <v>263</v>
      </c>
      <c r="I368" s="165" t="s">
        <v>3821</v>
      </c>
      <c r="J368" s="165" t="s">
        <v>3879</v>
      </c>
      <c r="K368" s="165" t="s">
        <v>3819</v>
      </c>
      <c r="L368" s="165" t="s">
        <v>3820</v>
      </c>
      <c r="M368" s="165" t="s">
        <v>3803</v>
      </c>
      <c r="N368" s="165" t="s">
        <v>3805</v>
      </c>
      <c r="O368" s="165"/>
      <c r="P368" s="165"/>
      <c r="Q368" s="165"/>
      <c r="R368" s="165"/>
      <c r="S368" s="165"/>
      <c r="T368" s="165" t="s">
        <v>3806</v>
      </c>
      <c r="U368" s="165" t="s">
        <v>3807</v>
      </c>
      <c r="V368" s="165"/>
      <c r="W368" s="165"/>
      <c r="X368" s="165"/>
      <c r="Y368">
        <v>6</v>
      </c>
      <c r="Z368" s="165" t="s">
        <v>4026</v>
      </c>
      <c r="AA368" s="165" t="s">
        <v>3809</v>
      </c>
      <c r="AB368" s="165" t="s">
        <v>3810</v>
      </c>
      <c r="AC368" s="165" t="s">
        <v>3811</v>
      </c>
      <c r="AD368" s="165" t="s">
        <v>4672</v>
      </c>
      <c r="AE368">
        <v>117</v>
      </c>
      <c r="AF368" s="165" t="s">
        <v>4673</v>
      </c>
      <c r="AG368">
        <v>485</v>
      </c>
      <c r="AH368">
        <v>184</v>
      </c>
      <c r="AI368">
        <v>51.5</v>
      </c>
      <c r="AJ368">
        <v>21.4</v>
      </c>
      <c r="AK368" s="165" t="s">
        <v>4674</v>
      </c>
      <c r="AN368">
        <v>5</v>
      </c>
      <c r="AO368">
        <v>8</v>
      </c>
      <c r="AP368">
        <v>40</v>
      </c>
      <c r="AQ368" s="165" t="s">
        <v>3815</v>
      </c>
      <c r="AR368" t="s">
        <v>4009</v>
      </c>
      <c r="AS368" s="165" t="s">
        <v>174</v>
      </c>
      <c r="AT368" t="s">
        <v>5291</v>
      </c>
      <c r="AU368" t="s">
        <v>3809</v>
      </c>
    </row>
    <row r="369" spans="1:47" hidden="1" x14ac:dyDescent="0.25">
      <c r="A369" s="165" t="s">
        <v>1379</v>
      </c>
      <c r="B369" s="165" t="s">
        <v>3464</v>
      </c>
      <c r="C369" s="165" t="s">
        <v>2471</v>
      </c>
      <c r="D369" s="165" t="s">
        <v>4678</v>
      </c>
      <c r="E369" s="165" t="s">
        <v>4335</v>
      </c>
      <c r="F369" s="165" t="s">
        <v>2183</v>
      </c>
      <c r="G369" s="165" t="s">
        <v>3878</v>
      </c>
      <c r="H369" s="165" t="s">
        <v>263</v>
      </c>
      <c r="I369" s="165" t="s">
        <v>3807</v>
      </c>
      <c r="J369" s="165" t="s">
        <v>4570</v>
      </c>
      <c r="K369" s="165"/>
      <c r="L369" s="165"/>
      <c r="M369" s="165"/>
      <c r="N369" s="165"/>
      <c r="O369" s="165"/>
      <c r="P369" s="165"/>
      <c r="Q369" s="165"/>
      <c r="R369" s="165"/>
      <c r="S369" s="165"/>
      <c r="T369" s="165" t="s">
        <v>3806</v>
      </c>
      <c r="U369" s="165" t="s">
        <v>3807</v>
      </c>
      <c r="V369" s="165"/>
      <c r="W369" s="165"/>
      <c r="X369" s="165"/>
      <c r="Y369">
        <v>2</v>
      </c>
      <c r="Z369" s="165" t="s">
        <v>3880</v>
      </c>
      <c r="AA369" s="165" t="s">
        <v>3810</v>
      </c>
      <c r="AB369" s="165" t="s">
        <v>3810</v>
      </c>
      <c r="AC369" s="165" t="s">
        <v>3811</v>
      </c>
      <c r="AD369" s="165" t="s">
        <v>4672</v>
      </c>
      <c r="AE369">
        <v>117</v>
      </c>
      <c r="AF369" s="165" t="s">
        <v>4673</v>
      </c>
      <c r="AG369">
        <v>485</v>
      </c>
      <c r="AH369">
        <v>184</v>
      </c>
      <c r="AI369">
        <v>51.5</v>
      </c>
      <c r="AJ369">
        <v>21.4</v>
      </c>
      <c r="AK369" s="165" t="s">
        <v>4674</v>
      </c>
      <c r="AN369">
        <v>5</v>
      </c>
      <c r="AO369">
        <v>8</v>
      </c>
      <c r="AP369">
        <v>40</v>
      </c>
      <c r="AQ369" s="165" t="s">
        <v>3815</v>
      </c>
      <c r="AR369" t="s">
        <v>3830</v>
      </c>
      <c r="AS369" s="165" t="s">
        <v>174</v>
      </c>
      <c r="AT369" t="s">
        <v>5291</v>
      </c>
      <c r="AU369" t="s">
        <v>3809</v>
      </c>
    </row>
    <row r="370" spans="1:47" hidden="1" x14ac:dyDescent="0.25">
      <c r="A370" s="165" t="s">
        <v>1391</v>
      </c>
      <c r="B370" s="165" t="s">
        <v>4679</v>
      </c>
      <c r="C370" s="165" t="s">
        <v>2471</v>
      </c>
      <c r="D370" s="165" t="s">
        <v>4680</v>
      </c>
      <c r="E370" s="165" t="s">
        <v>263</v>
      </c>
      <c r="F370" s="165" t="s">
        <v>11</v>
      </c>
      <c r="G370" s="165" t="s">
        <v>3878</v>
      </c>
      <c r="H370" s="165" t="s">
        <v>263</v>
      </c>
      <c r="I370" s="165" t="s">
        <v>3821</v>
      </c>
      <c r="J370" s="165" t="s">
        <v>3879</v>
      </c>
      <c r="K370" s="165"/>
      <c r="L370" s="165"/>
      <c r="M370" s="165"/>
      <c r="N370" s="165"/>
      <c r="O370" s="165"/>
      <c r="P370" s="165"/>
      <c r="Q370" s="165"/>
      <c r="R370" s="165"/>
      <c r="S370" s="165"/>
      <c r="T370" s="165" t="s">
        <v>3806</v>
      </c>
      <c r="U370" s="165" t="s">
        <v>3807</v>
      </c>
      <c r="V370" s="165"/>
      <c r="W370" s="165"/>
      <c r="X370" s="165"/>
      <c r="Y370">
        <v>2</v>
      </c>
      <c r="Z370" s="165" t="s">
        <v>3880</v>
      </c>
      <c r="AA370" s="165" t="s">
        <v>3810</v>
      </c>
      <c r="AB370" s="165" t="s">
        <v>3811</v>
      </c>
      <c r="AC370" s="165" t="s">
        <v>3809</v>
      </c>
      <c r="AD370" s="165" t="s">
        <v>4672</v>
      </c>
      <c r="AE370">
        <v>117</v>
      </c>
      <c r="AF370" s="165" t="s">
        <v>4681</v>
      </c>
      <c r="AG370">
        <v>485</v>
      </c>
      <c r="AH370">
        <v>358</v>
      </c>
      <c r="AI370">
        <v>51.5</v>
      </c>
      <c r="AJ370">
        <v>38.799999999999997</v>
      </c>
      <c r="AK370" s="165" t="s">
        <v>4682</v>
      </c>
      <c r="AN370">
        <v>10</v>
      </c>
      <c r="AO370">
        <v>4</v>
      </c>
      <c r="AP370">
        <v>40</v>
      </c>
      <c r="AQ370" s="165" t="s">
        <v>3815</v>
      </c>
      <c r="AR370" t="s">
        <v>3998</v>
      </c>
      <c r="AS370" s="165" t="s">
        <v>3786</v>
      </c>
      <c r="AT370" t="s">
        <v>5291</v>
      </c>
      <c r="AU370" t="s">
        <v>3809</v>
      </c>
    </row>
    <row r="371" spans="1:47" hidden="1" x14ac:dyDescent="0.25">
      <c r="A371" s="165" t="s">
        <v>1391</v>
      </c>
      <c r="B371" s="165" t="s">
        <v>4679</v>
      </c>
      <c r="C371" s="165" t="s">
        <v>2471</v>
      </c>
      <c r="D371" s="165" t="s">
        <v>4683</v>
      </c>
      <c r="E371" s="165" t="s">
        <v>3992</v>
      </c>
      <c r="F371" s="165" t="s">
        <v>11</v>
      </c>
      <c r="G371" s="165" t="s">
        <v>3878</v>
      </c>
      <c r="H371" s="165" t="s">
        <v>263</v>
      </c>
      <c r="I371" s="165" t="s">
        <v>3821</v>
      </c>
      <c r="J371" s="165" t="s">
        <v>3879</v>
      </c>
      <c r="K371" s="165"/>
      <c r="L371" s="165"/>
      <c r="M371" s="165"/>
      <c r="N371" s="165"/>
      <c r="O371" s="165"/>
      <c r="P371" s="165"/>
      <c r="Q371" s="165"/>
      <c r="R371" s="165"/>
      <c r="S371" s="165"/>
      <c r="T371" s="165" t="s">
        <v>3806</v>
      </c>
      <c r="U371" s="165" t="s">
        <v>3807</v>
      </c>
      <c r="V371" s="165"/>
      <c r="W371" s="165"/>
      <c r="X371" s="165"/>
      <c r="Y371">
        <v>2</v>
      </c>
      <c r="Z371" s="165" t="s">
        <v>3880</v>
      </c>
      <c r="AA371" s="165" t="s">
        <v>3809</v>
      </c>
      <c r="AB371" s="165" t="s">
        <v>3810</v>
      </c>
      <c r="AC371" s="165" t="s">
        <v>3811</v>
      </c>
      <c r="AD371" s="165" t="s">
        <v>4672</v>
      </c>
      <c r="AE371">
        <v>117</v>
      </c>
      <c r="AF371" s="165" t="s">
        <v>4673</v>
      </c>
      <c r="AG371">
        <v>485</v>
      </c>
      <c r="AH371">
        <v>184</v>
      </c>
      <c r="AI371">
        <v>51.5</v>
      </c>
      <c r="AJ371">
        <v>21.4</v>
      </c>
      <c r="AK371" s="165" t="s">
        <v>4674</v>
      </c>
      <c r="AN371">
        <v>5</v>
      </c>
      <c r="AO371">
        <v>8</v>
      </c>
      <c r="AP371">
        <v>40</v>
      </c>
      <c r="AQ371" s="165" t="s">
        <v>3815</v>
      </c>
      <c r="AR371" t="s">
        <v>3971</v>
      </c>
      <c r="AS371" s="165" t="s">
        <v>174</v>
      </c>
      <c r="AT371" t="s">
        <v>5291</v>
      </c>
      <c r="AU371" t="s">
        <v>3809</v>
      </c>
    </row>
    <row r="372" spans="1:47" hidden="1" x14ac:dyDescent="0.25">
      <c r="A372" s="165" t="s">
        <v>1414</v>
      </c>
      <c r="B372" s="165" t="s">
        <v>4684</v>
      </c>
      <c r="C372" s="165" t="s">
        <v>2471</v>
      </c>
      <c r="D372" s="165" t="s">
        <v>1415</v>
      </c>
      <c r="E372" s="165" t="s">
        <v>4650</v>
      </c>
      <c r="F372" s="165" t="s">
        <v>11</v>
      </c>
      <c r="G372" s="165" t="s">
        <v>3878</v>
      </c>
      <c r="H372" s="165" t="s">
        <v>263</v>
      </c>
      <c r="I372" s="165" t="s">
        <v>3821</v>
      </c>
      <c r="J372" s="165" t="s">
        <v>3879</v>
      </c>
      <c r="K372" s="165"/>
      <c r="L372" s="165"/>
      <c r="M372" s="165"/>
      <c r="N372" s="165"/>
      <c r="O372" s="165"/>
      <c r="P372" s="165"/>
      <c r="Q372" s="165"/>
      <c r="R372" s="165"/>
      <c r="S372" s="165"/>
      <c r="T372" s="165" t="s">
        <v>3806</v>
      </c>
      <c r="U372" s="165" t="s">
        <v>3807</v>
      </c>
      <c r="V372" s="165"/>
      <c r="W372" s="165"/>
      <c r="X372" s="165"/>
      <c r="Y372">
        <v>2</v>
      </c>
      <c r="Z372" s="165" t="s">
        <v>3880</v>
      </c>
      <c r="AA372" s="165" t="s">
        <v>3810</v>
      </c>
      <c r="AB372" s="165" t="s">
        <v>3810</v>
      </c>
      <c r="AC372" s="165" t="s">
        <v>3811</v>
      </c>
      <c r="AD372" s="165" t="s">
        <v>4685</v>
      </c>
      <c r="AE372">
        <v>117</v>
      </c>
      <c r="AF372" s="165" t="s">
        <v>4673</v>
      </c>
      <c r="AG372">
        <v>485</v>
      </c>
      <c r="AH372">
        <v>184</v>
      </c>
      <c r="AI372">
        <v>51.5</v>
      </c>
      <c r="AJ372">
        <v>21.4</v>
      </c>
      <c r="AK372" s="165" t="s">
        <v>4674</v>
      </c>
      <c r="AN372">
        <v>5</v>
      </c>
      <c r="AO372">
        <v>8</v>
      </c>
      <c r="AP372">
        <v>40</v>
      </c>
      <c r="AQ372" s="165" t="s">
        <v>3815</v>
      </c>
      <c r="AR372" t="s">
        <v>3860</v>
      </c>
      <c r="AS372" s="165" t="s">
        <v>174</v>
      </c>
      <c r="AT372" t="s">
        <v>5291</v>
      </c>
      <c r="AU372" t="s">
        <v>3809</v>
      </c>
    </row>
    <row r="373" spans="1:47" hidden="1" x14ac:dyDescent="0.25">
      <c r="A373" s="165" t="s">
        <v>1416</v>
      </c>
      <c r="B373" s="165" t="s">
        <v>3301</v>
      </c>
      <c r="C373" s="165" t="s">
        <v>2471</v>
      </c>
      <c r="D373" s="165" t="s">
        <v>1417</v>
      </c>
      <c r="E373" s="165" t="s">
        <v>4686</v>
      </c>
      <c r="F373" s="165" t="s">
        <v>11</v>
      </c>
      <c r="G373" s="165" t="s">
        <v>3878</v>
      </c>
      <c r="H373" s="165" t="s">
        <v>263</v>
      </c>
      <c r="I373" s="165" t="s">
        <v>3821</v>
      </c>
      <c r="J373" s="165" t="s">
        <v>3879</v>
      </c>
      <c r="K373" s="165"/>
      <c r="L373" s="165"/>
      <c r="M373" s="165"/>
      <c r="N373" s="165"/>
      <c r="O373" s="165"/>
      <c r="P373" s="165"/>
      <c r="Q373" s="165"/>
      <c r="R373" s="165"/>
      <c r="S373" s="165"/>
      <c r="T373" s="165" t="s">
        <v>3806</v>
      </c>
      <c r="U373" s="165" t="s">
        <v>3807</v>
      </c>
      <c r="V373" s="165"/>
      <c r="W373" s="165"/>
      <c r="X373" s="165"/>
      <c r="Y373">
        <v>2</v>
      </c>
      <c r="Z373" s="165" t="s">
        <v>3880</v>
      </c>
      <c r="AA373" s="165" t="s">
        <v>3810</v>
      </c>
      <c r="AB373" s="165" t="s">
        <v>3810</v>
      </c>
      <c r="AC373" s="165" t="s">
        <v>3811</v>
      </c>
      <c r="AD373" s="165" t="s">
        <v>4685</v>
      </c>
      <c r="AE373">
        <v>117</v>
      </c>
      <c r="AF373" s="165" t="s">
        <v>4673</v>
      </c>
      <c r="AG373">
        <v>485</v>
      </c>
      <c r="AH373">
        <v>184</v>
      </c>
      <c r="AI373">
        <v>51.5</v>
      </c>
      <c r="AJ373">
        <v>21.4</v>
      </c>
      <c r="AK373" s="165" t="s">
        <v>4674</v>
      </c>
      <c r="AN373">
        <v>5</v>
      </c>
      <c r="AO373">
        <v>8</v>
      </c>
      <c r="AP373">
        <v>40</v>
      </c>
      <c r="AQ373" s="165" t="s">
        <v>3815</v>
      </c>
      <c r="AR373" t="s">
        <v>3860</v>
      </c>
      <c r="AS373" s="165" t="s">
        <v>174</v>
      </c>
      <c r="AT373" t="s">
        <v>5291</v>
      </c>
      <c r="AU373" t="s">
        <v>3809</v>
      </c>
    </row>
    <row r="374" spans="1:47" hidden="1" x14ac:dyDescent="0.25">
      <c r="A374" s="165" t="s">
        <v>1343</v>
      </c>
      <c r="B374" s="165" t="s">
        <v>88</v>
      </c>
      <c r="C374" s="165" t="s">
        <v>2471</v>
      </c>
      <c r="D374" s="165" t="s">
        <v>4687</v>
      </c>
      <c r="E374" s="165" t="s">
        <v>4653</v>
      </c>
      <c r="F374" s="165" t="s">
        <v>11</v>
      </c>
      <c r="G374" s="165" t="s">
        <v>3878</v>
      </c>
      <c r="H374" s="165" t="s">
        <v>263</v>
      </c>
      <c r="I374" s="165" t="s">
        <v>3821</v>
      </c>
      <c r="J374" s="165" t="s">
        <v>3879</v>
      </c>
      <c r="K374" s="165"/>
      <c r="L374" s="165"/>
      <c r="M374" s="165"/>
      <c r="N374" s="165"/>
      <c r="O374" s="165"/>
      <c r="P374" s="165"/>
      <c r="Q374" s="165"/>
      <c r="R374" s="165"/>
      <c r="S374" s="165"/>
      <c r="T374" s="165" t="s">
        <v>3806</v>
      </c>
      <c r="U374" s="165" t="s">
        <v>3807</v>
      </c>
      <c r="V374" s="165"/>
      <c r="W374" s="165"/>
      <c r="X374" s="165"/>
      <c r="Y374">
        <v>2</v>
      </c>
      <c r="Z374" s="165" t="s">
        <v>3880</v>
      </c>
      <c r="AA374" s="165" t="s">
        <v>3810</v>
      </c>
      <c r="AB374" s="165" t="s">
        <v>3810</v>
      </c>
      <c r="AC374" s="165" t="s">
        <v>3811</v>
      </c>
      <c r="AD374" s="165" t="s">
        <v>4688</v>
      </c>
      <c r="AE374">
        <v>28</v>
      </c>
      <c r="AF374" s="165" t="s">
        <v>4689</v>
      </c>
      <c r="AG374">
        <v>485</v>
      </c>
      <c r="AH374">
        <v>19</v>
      </c>
      <c r="AI374">
        <v>51.5</v>
      </c>
      <c r="AJ374">
        <v>22</v>
      </c>
      <c r="AK374" s="165" t="s">
        <v>4690</v>
      </c>
      <c r="AN374">
        <v>5</v>
      </c>
      <c r="AO374">
        <v>8</v>
      </c>
      <c r="AP374">
        <v>40</v>
      </c>
      <c r="AQ374" s="165" t="s">
        <v>3815</v>
      </c>
      <c r="AR374" t="s">
        <v>3830</v>
      </c>
      <c r="AS374" s="165" t="s">
        <v>174</v>
      </c>
      <c r="AT374" t="s">
        <v>5291</v>
      </c>
      <c r="AU374" t="s">
        <v>3809</v>
      </c>
    </row>
    <row r="375" spans="1:47" hidden="1" x14ac:dyDescent="0.25">
      <c r="A375" s="165" t="s">
        <v>1343</v>
      </c>
      <c r="B375" s="165" t="s">
        <v>88</v>
      </c>
      <c r="C375" s="165" t="s">
        <v>2471</v>
      </c>
      <c r="D375" s="165" t="s">
        <v>4691</v>
      </c>
      <c r="E375" s="165" t="s">
        <v>4653</v>
      </c>
      <c r="F375" s="165" t="s">
        <v>11</v>
      </c>
      <c r="G375" s="165" t="s">
        <v>3878</v>
      </c>
      <c r="H375" s="165" t="s">
        <v>263</v>
      </c>
      <c r="I375" s="165" t="s">
        <v>3821</v>
      </c>
      <c r="J375" s="165" t="s">
        <v>3879</v>
      </c>
      <c r="K375" s="165"/>
      <c r="L375" s="165"/>
      <c r="M375" s="165"/>
      <c r="N375" s="165"/>
      <c r="O375" s="165"/>
      <c r="P375" s="165"/>
      <c r="Q375" s="165"/>
      <c r="R375" s="165"/>
      <c r="S375" s="165"/>
      <c r="T375" s="165" t="s">
        <v>3806</v>
      </c>
      <c r="U375" s="165" t="s">
        <v>3807</v>
      </c>
      <c r="V375" s="165"/>
      <c r="W375" s="165"/>
      <c r="X375" s="165"/>
      <c r="Y375">
        <v>2</v>
      </c>
      <c r="Z375" s="165" t="s">
        <v>3880</v>
      </c>
      <c r="AA375" s="165" t="s">
        <v>3811</v>
      </c>
      <c r="AB375" s="165" t="s">
        <v>3810</v>
      </c>
      <c r="AC375" s="165" t="s">
        <v>3809</v>
      </c>
      <c r="AD375" s="165" t="s">
        <v>4688</v>
      </c>
      <c r="AE375">
        <v>28</v>
      </c>
      <c r="AF375" s="165" t="s">
        <v>4692</v>
      </c>
      <c r="AG375">
        <v>489</v>
      </c>
      <c r="AH375">
        <v>38</v>
      </c>
      <c r="AI375">
        <v>51.9</v>
      </c>
      <c r="AJ375">
        <v>41</v>
      </c>
      <c r="AK375" s="165" t="s">
        <v>4693</v>
      </c>
      <c r="AN375">
        <v>10</v>
      </c>
      <c r="AO375">
        <v>4</v>
      </c>
      <c r="AP375">
        <v>40</v>
      </c>
      <c r="AQ375" s="165" t="s">
        <v>3815</v>
      </c>
      <c r="AR375" t="s">
        <v>3994</v>
      </c>
      <c r="AS375" s="165" t="s">
        <v>30</v>
      </c>
      <c r="AT375" t="s">
        <v>5291</v>
      </c>
      <c r="AU375" t="s">
        <v>3809</v>
      </c>
    </row>
    <row r="376" spans="1:47" hidden="1" x14ac:dyDescent="0.25">
      <c r="A376" s="165" t="s">
        <v>1377</v>
      </c>
      <c r="B376" s="165" t="s">
        <v>4694</v>
      </c>
      <c r="C376" s="165" t="s">
        <v>23</v>
      </c>
      <c r="D376" s="165" t="s">
        <v>4695</v>
      </c>
      <c r="E376" s="165" t="s">
        <v>3829</v>
      </c>
      <c r="F376" s="165" t="s">
        <v>11</v>
      </c>
      <c r="G376" s="165" t="s">
        <v>3878</v>
      </c>
      <c r="H376" s="165" t="s">
        <v>263</v>
      </c>
      <c r="I376" s="165" t="s">
        <v>3821</v>
      </c>
      <c r="J376" s="165" t="s">
        <v>3879</v>
      </c>
      <c r="K376" s="165"/>
      <c r="L376" s="165"/>
      <c r="M376" s="165"/>
      <c r="N376" s="165"/>
      <c r="O376" s="165"/>
      <c r="P376" s="165"/>
      <c r="Q376" s="165"/>
      <c r="R376" s="165"/>
      <c r="S376" s="165"/>
      <c r="T376" s="165" t="s">
        <v>3806</v>
      </c>
      <c r="U376" s="165" t="s">
        <v>3807</v>
      </c>
      <c r="V376" s="165"/>
      <c r="W376" s="165"/>
      <c r="X376" s="165"/>
      <c r="Y376">
        <v>2</v>
      </c>
      <c r="Z376" s="165" t="s">
        <v>3880</v>
      </c>
      <c r="AA376" s="165" t="s">
        <v>3811</v>
      </c>
      <c r="AB376" s="165" t="s">
        <v>3810</v>
      </c>
      <c r="AC376" s="165" t="s">
        <v>3809</v>
      </c>
      <c r="AD376" s="165" t="s">
        <v>3881</v>
      </c>
      <c r="AE376">
        <v>1</v>
      </c>
      <c r="AF376" s="165" t="s">
        <v>3882</v>
      </c>
      <c r="AG376">
        <v>34</v>
      </c>
      <c r="AH376">
        <v>29</v>
      </c>
      <c r="AI376">
        <v>37</v>
      </c>
      <c r="AJ376">
        <v>32</v>
      </c>
      <c r="AK376" s="165" t="s">
        <v>3883</v>
      </c>
      <c r="AL376">
        <v>36</v>
      </c>
      <c r="AM376">
        <v>32</v>
      </c>
      <c r="AN376">
        <v>6</v>
      </c>
      <c r="AO376">
        <v>6</v>
      </c>
      <c r="AP376">
        <v>36</v>
      </c>
      <c r="AQ376" s="165" t="s">
        <v>3815</v>
      </c>
      <c r="AR376" t="s">
        <v>3830</v>
      </c>
      <c r="AS376" s="165" t="s">
        <v>30</v>
      </c>
      <c r="AT376" t="s">
        <v>5291</v>
      </c>
      <c r="AU376" t="s">
        <v>5291</v>
      </c>
    </row>
    <row r="377" spans="1:47" hidden="1" x14ac:dyDescent="0.25">
      <c r="A377" s="165" t="s">
        <v>1382</v>
      </c>
      <c r="B377" s="165" t="s">
        <v>4696</v>
      </c>
      <c r="C377" s="165" t="s">
        <v>23</v>
      </c>
      <c r="D377" s="165" t="s">
        <v>4697</v>
      </c>
      <c r="E377" s="165" t="s">
        <v>4121</v>
      </c>
      <c r="F377" s="165" t="s">
        <v>11</v>
      </c>
      <c r="G377" s="165" t="s">
        <v>3878</v>
      </c>
      <c r="H377" s="165" t="s">
        <v>263</v>
      </c>
      <c r="I377" s="165" t="s">
        <v>3821</v>
      </c>
      <c r="J377" s="165" t="s">
        <v>3879</v>
      </c>
      <c r="K377" s="165"/>
      <c r="L377" s="165"/>
      <c r="M377" s="165"/>
      <c r="N377" s="165"/>
      <c r="O377" s="165"/>
      <c r="P377" s="165"/>
      <c r="Q377" s="165"/>
      <c r="R377" s="165"/>
      <c r="S377" s="165"/>
      <c r="T377" s="165" t="s">
        <v>3806</v>
      </c>
      <c r="U377" s="165" t="s">
        <v>3807</v>
      </c>
      <c r="V377" s="165"/>
      <c r="W377" s="165"/>
      <c r="X377" s="165"/>
      <c r="Y377">
        <v>2</v>
      </c>
      <c r="Z377" s="165" t="s">
        <v>3880</v>
      </c>
      <c r="AA377" s="165" t="s">
        <v>3810</v>
      </c>
      <c r="AB377" s="165" t="s">
        <v>3811</v>
      </c>
      <c r="AC377" s="165" t="s">
        <v>3811</v>
      </c>
      <c r="AD377" s="165" t="s">
        <v>3881</v>
      </c>
      <c r="AE377">
        <v>1</v>
      </c>
      <c r="AF377" s="165" t="s">
        <v>3882</v>
      </c>
      <c r="AG377">
        <v>34</v>
      </c>
      <c r="AH377">
        <v>29</v>
      </c>
      <c r="AI377">
        <v>37</v>
      </c>
      <c r="AJ377">
        <v>32</v>
      </c>
      <c r="AK377" s="165" t="s">
        <v>3883</v>
      </c>
      <c r="AL377">
        <v>36</v>
      </c>
      <c r="AM377">
        <v>32</v>
      </c>
      <c r="AN377">
        <v>6</v>
      </c>
      <c r="AO377">
        <v>6</v>
      </c>
      <c r="AP377">
        <v>36</v>
      </c>
      <c r="AQ377" s="165" t="s">
        <v>3815</v>
      </c>
      <c r="AR377" t="s">
        <v>4698</v>
      </c>
      <c r="AS377" s="165" t="s">
        <v>3786</v>
      </c>
      <c r="AT377" t="s">
        <v>5291</v>
      </c>
      <c r="AU377" t="s">
        <v>5291</v>
      </c>
    </row>
    <row r="378" spans="1:47" hidden="1" x14ac:dyDescent="0.25">
      <c r="A378" s="165" t="s">
        <v>1384</v>
      </c>
      <c r="B378" s="165" t="s">
        <v>4699</v>
      </c>
      <c r="C378" s="165" t="s">
        <v>23</v>
      </c>
      <c r="D378" s="165" t="s">
        <v>4700</v>
      </c>
      <c r="E378" s="165" t="s">
        <v>4340</v>
      </c>
      <c r="F378" s="165" t="s">
        <v>11</v>
      </c>
      <c r="G378" s="165" t="s">
        <v>3878</v>
      </c>
      <c r="H378" s="165" t="s">
        <v>263</v>
      </c>
      <c r="I378" s="165" t="s">
        <v>3821</v>
      </c>
      <c r="J378" s="165" t="s">
        <v>3879</v>
      </c>
      <c r="K378" s="165"/>
      <c r="L378" s="165"/>
      <c r="M378" s="165"/>
      <c r="N378" s="165"/>
      <c r="O378" s="165"/>
      <c r="P378" s="165"/>
      <c r="Q378" s="165"/>
      <c r="R378" s="165"/>
      <c r="S378" s="165"/>
      <c r="T378" s="165" t="s">
        <v>3806</v>
      </c>
      <c r="U378" s="165" t="s">
        <v>3807</v>
      </c>
      <c r="V378" s="165"/>
      <c r="W378" s="165"/>
      <c r="X378" s="165"/>
      <c r="Y378">
        <v>2</v>
      </c>
      <c r="Z378" s="165" t="s">
        <v>3880</v>
      </c>
      <c r="AA378" s="165" t="s">
        <v>3810</v>
      </c>
      <c r="AB378" s="165" t="s">
        <v>3811</v>
      </c>
      <c r="AC378" s="165" t="s">
        <v>3811</v>
      </c>
      <c r="AD378" s="165" t="s">
        <v>3881</v>
      </c>
      <c r="AE378">
        <v>1</v>
      </c>
      <c r="AF378" s="165" t="s">
        <v>3882</v>
      </c>
      <c r="AG378">
        <v>34</v>
      </c>
      <c r="AH378">
        <v>29</v>
      </c>
      <c r="AI378">
        <v>37</v>
      </c>
      <c r="AJ378">
        <v>32</v>
      </c>
      <c r="AK378" s="165" t="s">
        <v>3883</v>
      </c>
      <c r="AL378">
        <v>36</v>
      </c>
      <c r="AM378">
        <v>32</v>
      </c>
      <c r="AN378">
        <v>6</v>
      </c>
      <c r="AO378">
        <v>6</v>
      </c>
      <c r="AP378">
        <v>36</v>
      </c>
      <c r="AQ378" s="165" t="s">
        <v>3815</v>
      </c>
      <c r="AR378" t="s">
        <v>4698</v>
      </c>
      <c r="AS378" s="165" t="s">
        <v>3786</v>
      </c>
      <c r="AT378" t="s">
        <v>5291</v>
      </c>
      <c r="AU378" t="s">
        <v>5291</v>
      </c>
    </row>
    <row r="379" spans="1:47" hidden="1" x14ac:dyDescent="0.25">
      <c r="A379" s="165" t="s">
        <v>1385</v>
      </c>
      <c r="B379" s="165" t="s">
        <v>3408</v>
      </c>
      <c r="C379" s="165" t="s">
        <v>2471</v>
      </c>
      <c r="D379" s="165" t="s">
        <v>4701</v>
      </c>
      <c r="E379" s="165" t="s">
        <v>3987</v>
      </c>
      <c r="F379" s="165" t="s">
        <v>12</v>
      </c>
      <c r="G379" s="165" t="s">
        <v>3878</v>
      </c>
      <c r="H379" s="165" t="s">
        <v>263</v>
      </c>
      <c r="I379" s="165" t="s">
        <v>3821</v>
      </c>
      <c r="J379" s="165" t="s">
        <v>3879</v>
      </c>
      <c r="K379" s="165"/>
      <c r="L379" s="165"/>
      <c r="M379" s="165"/>
      <c r="N379" s="165"/>
      <c r="O379" s="165"/>
      <c r="P379" s="165"/>
      <c r="Q379" s="165"/>
      <c r="R379" s="165"/>
      <c r="S379" s="165"/>
      <c r="T379" s="165" t="s">
        <v>3806</v>
      </c>
      <c r="U379" s="165" t="s">
        <v>3807</v>
      </c>
      <c r="V379" s="165"/>
      <c r="W379" s="165"/>
      <c r="X379" s="165"/>
      <c r="Y379">
        <v>2</v>
      </c>
      <c r="Z379" s="165" t="s">
        <v>3880</v>
      </c>
      <c r="AA379" s="165" t="s">
        <v>3809</v>
      </c>
      <c r="AB379" s="165" t="s">
        <v>3810</v>
      </c>
      <c r="AC379" s="165" t="s">
        <v>3811</v>
      </c>
      <c r="AD379" s="165" t="s">
        <v>4688</v>
      </c>
      <c r="AE379">
        <v>28</v>
      </c>
      <c r="AF379" s="165" t="s">
        <v>4689</v>
      </c>
      <c r="AG379">
        <v>485</v>
      </c>
      <c r="AH379">
        <v>19</v>
      </c>
      <c r="AI379">
        <v>51.5</v>
      </c>
      <c r="AJ379">
        <v>22</v>
      </c>
      <c r="AK379" s="165" t="s">
        <v>4690</v>
      </c>
      <c r="AN379">
        <v>5</v>
      </c>
      <c r="AO379">
        <v>8</v>
      </c>
      <c r="AP379">
        <v>40</v>
      </c>
      <c r="AQ379" s="165" t="s">
        <v>3815</v>
      </c>
      <c r="AR379" t="s">
        <v>3830</v>
      </c>
      <c r="AS379" s="165" t="s">
        <v>174</v>
      </c>
      <c r="AT379" t="s">
        <v>5291</v>
      </c>
      <c r="AU379" t="s">
        <v>3809</v>
      </c>
    </row>
    <row r="380" spans="1:47" hidden="1" x14ac:dyDescent="0.25">
      <c r="A380" s="165" t="s">
        <v>1385</v>
      </c>
      <c r="B380" s="165" t="s">
        <v>3408</v>
      </c>
      <c r="C380" s="165" t="s">
        <v>2471</v>
      </c>
      <c r="D380" s="165" t="s">
        <v>4702</v>
      </c>
      <c r="E380" s="165" t="s">
        <v>3987</v>
      </c>
      <c r="F380" s="165" t="s">
        <v>12</v>
      </c>
      <c r="G380" s="165" t="s">
        <v>3878</v>
      </c>
      <c r="H380" s="165" t="s">
        <v>263</v>
      </c>
      <c r="I380" s="165" t="s">
        <v>3821</v>
      </c>
      <c r="J380" s="165" t="s">
        <v>3879</v>
      </c>
      <c r="K380" s="165"/>
      <c r="L380" s="165"/>
      <c r="M380" s="165"/>
      <c r="N380" s="165"/>
      <c r="O380" s="165"/>
      <c r="P380" s="165"/>
      <c r="Q380" s="165"/>
      <c r="R380" s="165"/>
      <c r="S380" s="165"/>
      <c r="T380" s="165" t="s">
        <v>3806</v>
      </c>
      <c r="U380" s="165" t="s">
        <v>3807</v>
      </c>
      <c r="V380" s="165"/>
      <c r="W380" s="165"/>
      <c r="X380" s="165"/>
      <c r="Y380">
        <v>2</v>
      </c>
      <c r="Z380" s="165" t="s">
        <v>3880</v>
      </c>
      <c r="AA380" s="165" t="s">
        <v>3811</v>
      </c>
      <c r="AB380" s="165" t="s">
        <v>3810</v>
      </c>
      <c r="AC380" s="165" t="s">
        <v>3809</v>
      </c>
      <c r="AD380" s="165" t="s">
        <v>4688</v>
      </c>
      <c r="AE380">
        <v>28</v>
      </c>
      <c r="AF380" s="165" t="s">
        <v>4692</v>
      </c>
      <c r="AG380">
        <v>489</v>
      </c>
      <c r="AH380">
        <v>38</v>
      </c>
      <c r="AI380">
        <v>51.9</v>
      </c>
      <c r="AJ380">
        <v>41</v>
      </c>
      <c r="AK380" s="165" t="s">
        <v>4693</v>
      </c>
      <c r="AN380">
        <v>10</v>
      </c>
      <c r="AO380">
        <v>4</v>
      </c>
      <c r="AP380">
        <v>40</v>
      </c>
      <c r="AQ380" s="165" t="s">
        <v>3815</v>
      </c>
      <c r="AR380" t="s">
        <v>3994</v>
      </c>
      <c r="AS380" s="165" t="s">
        <v>30</v>
      </c>
      <c r="AT380" t="s">
        <v>5291</v>
      </c>
      <c r="AU380" t="s">
        <v>3809</v>
      </c>
    </row>
    <row r="381" spans="1:47" hidden="1" x14ac:dyDescent="0.25">
      <c r="A381" s="165" t="s">
        <v>1336</v>
      </c>
      <c r="B381" s="165" t="s">
        <v>4703</v>
      </c>
      <c r="C381" s="165" t="s">
        <v>23</v>
      </c>
      <c r="D381" s="165" t="s">
        <v>4704</v>
      </c>
      <c r="E381" s="165" t="s">
        <v>4402</v>
      </c>
      <c r="F381" s="165" t="s">
        <v>2183</v>
      </c>
      <c r="G381" s="165" t="s">
        <v>3878</v>
      </c>
      <c r="H381" s="165" t="s">
        <v>263</v>
      </c>
      <c r="I381" s="165" t="s">
        <v>3807</v>
      </c>
      <c r="J381" s="165" t="s">
        <v>4570</v>
      </c>
      <c r="K381" s="165"/>
      <c r="L381" s="165"/>
      <c r="M381" s="165"/>
      <c r="N381" s="165"/>
      <c r="O381" s="165"/>
      <c r="P381" s="165"/>
      <c r="Q381" s="165"/>
      <c r="R381" s="165"/>
      <c r="S381" s="165"/>
      <c r="T381" s="165" t="s">
        <v>3806</v>
      </c>
      <c r="U381" s="165" t="s">
        <v>3807</v>
      </c>
      <c r="V381" s="165"/>
      <c r="W381" s="165"/>
      <c r="X381" s="165"/>
      <c r="Y381">
        <v>2</v>
      </c>
      <c r="Z381" s="165" t="s">
        <v>3880</v>
      </c>
      <c r="AA381" s="165" t="s">
        <v>3810</v>
      </c>
      <c r="AB381" s="165" t="s">
        <v>3811</v>
      </c>
      <c r="AC381" s="165" t="s">
        <v>3811</v>
      </c>
      <c r="AD381" s="165" t="s">
        <v>3881</v>
      </c>
      <c r="AE381">
        <v>1</v>
      </c>
      <c r="AF381" s="165" t="s">
        <v>3882</v>
      </c>
      <c r="AG381">
        <v>34</v>
      </c>
      <c r="AH381">
        <v>29</v>
      </c>
      <c r="AI381">
        <v>37</v>
      </c>
      <c r="AJ381">
        <v>32</v>
      </c>
      <c r="AK381" s="165" t="s">
        <v>3883</v>
      </c>
      <c r="AL381">
        <v>36</v>
      </c>
      <c r="AM381">
        <v>32</v>
      </c>
      <c r="AN381">
        <v>6</v>
      </c>
      <c r="AO381">
        <v>6</v>
      </c>
      <c r="AP381">
        <v>36</v>
      </c>
      <c r="AQ381" s="165" t="s">
        <v>3815</v>
      </c>
      <c r="AR381" t="s">
        <v>4698</v>
      </c>
      <c r="AS381" s="165" t="s">
        <v>3786</v>
      </c>
      <c r="AT381" t="s">
        <v>5291</v>
      </c>
      <c r="AU381" t="s">
        <v>5291</v>
      </c>
    </row>
    <row r="382" spans="1:47" hidden="1" x14ac:dyDescent="0.25">
      <c r="A382" s="165" t="s">
        <v>1394</v>
      </c>
      <c r="B382" s="165" t="s">
        <v>4705</v>
      </c>
      <c r="C382" s="165" t="s">
        <v>2471</v>
      </c>
      <c r="D382" s="165" t="s">
        <v>4706</v>
      </c>
      <c r="E382" s="165" t="s">
        <v>4047</v>
      </c>
      <c r="F382" s="165" t="s">
        <v>2183</v>
      </c>
      <c r="G382" s="165" t="s">
        <v>3878</v>
      </c>
      <c r="H382" s="165" t="s">
        <v>263</v>
      </c>
      <c r="I382" s="165" t="s">
        <v>3807</v>
      </c>
      <c r="J382" s="165" t="s">
        <v>4570</v>
      </c>
      <c r="K382" s="165"/>
      <c r="L382" s="165"/>
      <c r="M382" s="165"/>
      <c r="N382" s="165"/>
      <c r="O382" s="165"/>
      <c r="P382" s="165"/>
      <c r="Q382" s="165"/>
      <c r="R382" s="165"/>
      <c r="S382" s="165"/>
      <c r="T382" s="165" t="s">
        <v>3806</v>
      </c>
      <c r="U382" s="165" t="s">
        <v>3807</v>
      </c>
      <c r="V382" s="165"/>
      <c r="W382" s="165"/>
      <c r="X382" s="165"/>
      <c r="Y382">
        <v>2</v>
      </c>
      <c r="Z382" s="165" t="s">
        <v>3880</v>
      </c>
      <c r="AA382" s="165" t="s">
        <v>3810</v>
      </c>
      <c r="AB382" s="165" t="s">
        <v>3810</v>
      </c>
      <c r="AC382" s="165" t="s">
        <v>3811</v>
      </c>
      <c r="AD382" s="165" t="s">
        <v>4707</v>
      </c>
      <c r="AE382">
        <v>83</v>
      </c>
      <c r="AF382" s="165" t="s">
        <v>4689</v>
      </c>
      <c r="AG382">
        <v>485</v>
      </c>
      <c r="AH382">
        <v>19</v>
      </c>
      <c r="AI382">
        <v>51.5</v>
      </c>
      <c r="AJ382">
        <v>22</v>
      </c>
      <c r="AK382" s="165" t="s">
        <v>4690</v>
      </c>
      <c r="AN382">
        <v>5</v>
      </c>
      <c r="AO382">
        <v>8</v>
      </c>
      <c r="AP382">
        <v>40</v>
      </c>
      <c r="AQ382" s="165" t="s">
        <v>3815</v>
      </c>
      <c r="AR382" t="s">
        <v>3816</v>
      </c>
      <c r="AS382" s="165" t="s">
        <v>174</v>
      </c>
      <c r="AT382" t="s">
        <v>5291</v>
      </c>
      <c r="AU382" t="s">
        <v>3809</v>
      </c>
    </row>
    <row r="383" spans="1:47" hidden="1" x14ac:dyDescent="0.25">
      <c r="A383" s="165" t="s">
        <v>1605</v>
      </c>
      <c r="B383" s="165" t="s">
        <v>4708</v>
      </c>
      <c r="C383" s="165" t="s">
        <v>23</v>
      </c>
      <c r="D383" s="165" t="s">
        <v>4709</v>
      </c>
      <c r="E383" s="165" t="s">
        <v>4405</v>
      </c>
      <c r="F383" s="165" t="s">
        <v>2183</v>
      </c>
      <c r="G383" s="165" t="s">
        <v>3878</v>
      </c>
      <c r="H383" s="165" t="s">
        <v>263</v>
      </c>
      <c r="I383" s="165" t="s">
        <v>3807</v>
      </c>
      <c r="J383" s="165" t="s">
        <v>4570</v>
      </c>
      <c r="K383" s="165"/>
      <c r="L383" s="165"/>
      <c r="M383" s="165"/>
      <c r="N383" s="165"/>
      <c r="O383" s="165"/>
      <c r="P383" s="165"/>
      <c r="Q383" s="165"/>
      <c r="R383" s="165"/>
      <c r="S383" s="165"/>
      <c r="T383" s="165" t="s">
        <v>3806</v>
      </c>
      <c r="U383" s="165" t="s">
        <v>3807</v>
      </c>
      <c r="V383" s="165"/>
      <c r="W383" s="165"/>
      <c r="X383" s="165"/>
      <c r="Y383">
        <v>2</v>
      </c>
      <c r="Z383" s="165" t="s">
        <v>3880</v>
      </c>
      <c r="AA383" s="165" t="s">
        <v>3810</v>
      </c>
      <c r="AB383" s="165" t="s">
        <v>3810</v>
      </c>
      <c r="AC383" s="165" t="s">
        <v>3811</v>
      </c>
      <c r="AD383" s="165" t="s">
        <v>3881</v>
      </c>
      <c r="AE383">
        <v>1</v>
      </c>
      <c r="AF383" s="165" t="s">
        <v>3882</v>
      </c>
      <c r="AG383">
        <v>34</v>
      </c>
      <c r="AH383">
        <v>29</v>
      </c>
      <c r="AI383">
        <v>37</v>
      </c>
      <c r="AJ383">
        <v>32</v>
      </c>
      <c r="AK383" s="165" t="s">
        <v>3883</v>
      </c>
      <c r="AL383">
        <v>36</v>
      </c>
      <c r="AM383">
        <v>32</v>
      </c>
      <c r="AN383">
        <v>6</v>
      </c>
      <c r="AO383">
        <v>6</v>
      </c>
      <c r="AP383">
        <v>36</v>
      </c>
      <c r="AQ383" s="165" t="s">
        <v>3815</v>
      </c>
      <c r="AR383" t="s">
        <v>3830</v>
      </c>
      <c r="AS383" s="165" t="s">
        <v>174</v>
      </c>
      <c r="AT383" t="s">
        <v>5291</v>
      </c>
      <c r="AU383" t="s">
        <v>5291</v>
      </c>
    </row>
    <row r="384" spans="1:47" hidden="1" x14ac:dyDescent="0.25">
      <c r="A384" s="165" t="s">
        <v>903</v>
      </c>
      <c r="B384" s="165" t="s">
        <v>3391</v>
      </c>
      <c r="C384" s="165" t="s">
        <v>23</v>
      </c>
      <c r="D384" s="165" t="s">
        <v>904</v>
      </c>
      <c r="E384" s="165" t="s">
        <v>3957</v>
      </c>
      <c r="F384" s="165" t="s">
        <v>106</v>
      </c>
      <c r="G384" s="165" t="s">
        <v>8</v>
      </c>
      <c r="H384" s="165" t="s">
        <v>251</v>
      </c>
      <c r="I384" s="165" t="s">
        <v>3805</v>
      </c>
      <c r="J384" s="165" t="s">
        <v>3818</v>
      </c>
      <c r="K384" s="165"/>
      <c r="L384" s="165"/>
      <c r="M384" s="165"/>
      <c r="N384" s="165" t="s">
        <v>3805</v>
      </c>
      <c r="O384" s="165"/>
      <c r="P384" s="165"/>
      <c r="Q384" s="165"/>
      <c r="R384" s="165"/>
      <c r="S384" s="165"/>
      <c r="T384" s="165"/>
      <c r="U384" s="165" t="s">
        <v>3807</v>
      </c>
      <c r="V384" s="165" t="s">
        <v>3821</v>
      </c>
      <c r="W384" s="165" t="s">
        <v>3822</v>
      </c>
      <c r="X384" s="165"/>
      <c r="Y384">
        <v>4</v>
      </c>
      <c r="Z384" s="165" t="s">
        <v>4071</v>
      </c>
      <c r="AA384" s="165" t="s">
        <v>3809</v>
      </c>
      <c r="AB384" s="165" t="s">
        <v>3810</v>
      </c>
      <c r="AC384" s="165" t="s">
        <v>3811</v>
      </c>
      <c r="AD384" s="165" t="s">
        <v>4710</v>
      </c>
      <c r="AE384">
        <v>70</v>
      </c>
      <c r="AF384" s="165" t="s">
        <v>4711</v>
      </c>
      <c r="AG384">
        <v>485</v>
      </c>
      <c r="AH384">
        <v>217</v>
      </c>
      <c r="AI384">
        <v>51.5</v>
      </c>
      <c r="AJ384">
        <v>24.7</v>
      </c>
      <c r="AK384" s="165" t="s">
        <v>4712</v>
      </c>
      <c r="AN384">
        <v>2</v>
      </c>
      <c r="AO384">
        <v>6</v>
      </c>
      <c r="AP384">
        <v>12</v>
      </c>
      <c r="AQ384" s="165" t="s">
        <v>3815</v>
      </c>
      <c r="AR384" t="s">
        <v>3830</v>
      </c>
      <c r="AS384" s="165" t="s">
        <v>174</v>
      </c>
      <c r="AT384" t="s">
        <v>5291</v>
      </c>
      <c r="AU384" t="s">
        <v>5291</v>
      </c>
    </row>
    <row r="385" spans="1:47" hidden="1" x14ac:dyDescent="0.25">
      <c r="A385" s="165" t="s">
        <v>1412</v>
      </c>
      <c r="B385" s="165" t="s">
        <v>3302</v>
      </c>
      <c r="C385" s="165" t="s">
        <v>2471</v>
      </c>
      <c r="D385" s="165" t="s">
        <v>4713</v>
      </c>
      <c r="E385" s="165" t="s">
        <v>4044</v>
      </c>
      <c r="F385" s="165" t="s">
        <v>11</v>
      </c>
      <c r="G385" s="165" t="s">
        <v>3878</v>
      </c>
      <c r="H385" s="165" t="s">
        <v>263</v>
      </c>
      <c r="I385" s="165" t="s">
        <v>3821</v>
      </c>
      <c r="J385" s="165" t="s">
        <v>3879</v>
      </c>
      <c r="K385" s="165"/>
      <c r="L385" s="165"/>
      <c r="M385" s="165"/>
      <c r="N385" s="165"/>
      <c r="O385" s="165"/>
      <c r="P385" s="165"/>
      <c r="Q385" s="165"/>
      <c r="R385" s="165"/>
      <c r="S385" s="165"/>
      <c r="T385" s="165" t="s">
        <v>3806</v>
      </c>
      <c r="U385" s="165" t="s">
        <v>3807</v>
      </c>
      <c r="V385" s="165"/>
      <c r="W385" s="165"/>
      <c r="X385" s="165"/>
      <c r="Y385">
        <v>2</v>
      </c>
      <c r="Z385" s="165" t="s">
        <v>3880</v>
      </c>
      <c r="AA385" s="165" t="s">
        <v>3810</v>
      </c>
      <c r="AB385" s="165" t="s">
        <v>3810</v>
      </c>
      <c r="AC385" s="165" t="s">
        <v>3811</v>
      </c>
      <c r="AD385" s="165" t="s">
        <v>4662</v>
      </c>
      <c r="AE385">
        <v>118</v>
      </c>
      <c r="AF385" s="165" t="s">
        <v>4663</v>
      </c>
      <c r="AG385">
        <v>485</v>
      </c>
      <c r="AH385">
        <v>182</v>
      </c>
      <c r="AI385">
        <v>51.5</v>
      </c>
      <c r="AJ385">
        <v>21.2</v>
      </c>
      <c r="AK385" s="165" t="s">
        <v>4664</v>
      </c>
      <c r="AN385">
        <v>5</v>
      </c>
      <c r="AO385">
        <v>8</v>
      </c>
      <c r="AP385">
        <v>40</v>
      </c>
      <c r="AQ385" s="165" t="s">
        <v>3815</v>
      </c>
      <c r="AR385" t="s">
        <v>3884</v>
      </c>
      <c r="AS385" s="165" t="s">
        <v>174</v>
      </c>
      <c r="AT385" t="s">
        <v>5291</v>
      </c>
      <c r="AU385" t="s">
        <v>3809</v>
      </c>
    </row>
    <row r="386" spans="1:47" hidden="1" x14ac:dyDescent="0.25">
      <c r="A386" s="165" t="s">
        <v>1412</v>
      </c>
      <c r="B386" s="165" t="s">
        <v>3302</v>
      </c>
      <c r="C386" s="165" t="s">
        <v>2471</v>
      </c>
      <c r="D386" s="165" t="s">
        <v>4714</v>
      </c>
      <c r="E386" s="165" t="s">
        <v>4044</v>
      </c>
      <c r="F386" s="165" t="s">
        <v>11</v>
      </c>
      <c r="G386" s="165" t="s">
        <v>3878</v>
      </c>
      <c r="H386" s="165" t="s">
        <v>263</v>
      </c>
      <c r="I386" s="165" t="s">
        <v>3821</v>
      </c>
      <c r="J386" s="165" t="s">
        <v>3879</v>
      </c>
      <c r="K386" s="165"/>
      <c r="L386" s="165"/>
      <c r="M386" s="165"/>
      <c r="N386" s="165"/>
      <c r="O386" s="165"/>
      <c r="P386" s="165"/>
      <c r="Q386" s="165"/>
      <c r="R386" s="165"/>
      <c r="S386" s="165"/>
      <c r="T386" s="165" t="s">
        <v>3806</v>
      </c>
      <c r="U386" s="165" t="s">
        <v>3807</v>
      </c>
      <c r="V386" s="165"/>
      <c r="W386" s="165"/>
      <c r="X386" s="165"/>
      <c r="Y386">
        <v>2</v>
      </c>
      <c r="Z386" s="165" t="s">
        <v>3880</v>
      </c>
      <c r="AA386" s="165" t="s">
        <v>3811</v>
      </c>
      <c r="AB386" s="165" t="s">
        <v>3810</v>
      </c>
      <c r="AC386" s="165" t="s">
        <v>3809</v>
      </c>
      <c r="AD386" s="165" t="s">
        <v>4662</v>
      </c>
      <c r="AE386">
        <v>118</v>
      </c>
      <c r="AF386" s="165" t="s">
        <v>4715</v>
      </c>
      <c r="AG386">
        <v>485</v>
      </c>
      <c r="AH386">
        <v>354</v>
      </c>
      <c r="AI386">
        <v>51.5</v>
      </c>
      <c r="AJ386">
        <v>38.4</v>
      </c>
      <c r="AK386" s="165" t="s">
        <v>4716</v>
      </c>
      <c r="AN386">
        <v>10</v>
      </c>
      <c r="AO386">
        <v>4</v>
      </c>
      <c r="AP386">
        <v>40</v>
      </c>
      <c r="AQ386" s="165" t="s">
        <v>3815</v>
      </c>
      <c r="AR386" t="s">
        <v>4045</v>
      </c>
      <c r="AS386" s="165" t="s">
        <v>30</v>
      </c>
      <c r="AT386" t="s">
        <v>5291</v>
      </c>
      <c r="AU386" t="s">
        <v>3809</v>
      </c>
    </row>
    <row r="387" spans="1:47" hidden="1" x14ac:dyDescent="0.25">
      <c r="A387" s="165" t="s">
        <v>1427</v>
      </c>
      <c r="B387" s="165" t="s">
        <v>4717</v>
      </c>
      <c r="C387" s="165" t="s">
        <v>2471</v>
      </c>
      <c r="D387" s="165" t="s">
        <v>1428</v>
      </c>
      <c r="E387" s="165" t="s">
        <v>4655</v>
      </c>
      <c r="F387" s="165" t="s">
        <v>11</v>
      </c>
      <c r="G387" s="165" t="s">
        <v>3878</v>
      </c>
      <c r="H387" s="165" t="s">
        <v>263</v>
      </c>
      <c r="I387" s="165" t="s">
        <v>3821</v>
      </c>
      <c r="J387" s="165" t="s">
        <v>3879</v>
      </c>
      <c r="K387" s="165"/>
      <c r="L387" s="165"/>
      <c r="M387" s="165"/>
      <c r="N387" s="165"/>
      <c r="O387" s="165"/>
      <c r="P387" s="165"/>
      <c r="Q387" s="165"/>
      <c r="R387" s="165"/>
      <c r="S387" s="165"/>
      <c r="T387" s="165" t="s">
        <v>3806</v>
      </c>
      <c r="U387" s="165" t="s">
        <v>3807</v>
      </c>
      <c r="V387" s="165"/>
      <c r="W387" s="165"/>
      <c r="X387" s="165"/>
      <c r="Y387">
        <v>2</v>
      </c>
      <c r="Z387" s="165" t="s">
        <v>3880</v>
      </c>
      <c r="AA387" s="165" t="s">
        <v>3811</v>
      </c>
      <c r="AB387" s="165" t="s">
        <v>3810</v>
      </c>
      <c r="AC387" s="165" t="s">
        <v>3809</v>
      </c>
      <c r="AD387" s="165" t="s">
        <v>4672</v>
      </c>
      <c r="AE387">
        <v>117</v>
      </c>
      <c r="AF387" s="165" t="s">
        <v>4673</v>
      </c>
      <c r="AG387">
        <v>485</v>
      </c>
      <c r="AH387">
        <v>184</v>
      </c>
      <c r="AI387">
        <v>51.5</v>
      </c>
      <c r="AJ387">
        <v>21.4</v>
      </c>
      <c r="AK387" s="165" t="s">
        <v>4674</v>
      </c>
      <c r="AN387">
        <v>5</v>
      </c>
      <c r="AO387">
        <v>4</v>
      </c>
      <c r="AP387">
        <v>20</v>
      </c>
      <c r="AQ387" s="165" t="s">
        <v>3815</v>
      </c>
      <c r="AR387" t="s">
        <v>3974</v>
      </c>
      <c r="AS387" s="165" t="s">
        <v>30</v>
      </c>
      <c r="AT387" t="s">
        <v>5291</v>
      </c>
      <c r="AU387" t="s">
        <v>3809</v>
      </c>
    </row>
    <row r="388" spans="1:47" hidden="1" x14ac:dyDescent="0.25">
      <c r="A388" s="165" t="s">
        <v>1210</v>
      </c>
      <c r="B388" s="165" t="s">
        <v>4718</v>
      </c>
      <c r="C388" s="165" t="s">
        <v>2471</v>
      </c>
      <c r="D388" s="165" t="s">
        <v>1211</v>
      </c>
      <c r="E388" s="165" t="s">
        <v>4719</v>
      </c>
      <c r="F388" s="165" t="s">
        <v>11</v>
      </c>
      <c r="G388" s="165" t="s">
        <v>3878</v>
      </c>
      <c r="H388" s="165" t="s">
        <v>263</v>
      </c>
      <c r="I388" s="165" t="s">
        <v>3821</v>
      </c>
      <c r="J388" s="165" t="s">
        <v>3879</v>
      </c>
      <c r="K388" s="165"/>
      <c r="L388" s="165"/>
      <c r="M388" s="165"/>
      <c r="N388" s="165"/>
      <c r="O388" s="165"/>
      <c r="P388" s="165"/>
      <c r="Q388" s="165"/>
      <c r="R388" s="165"/>
      <c r="S388" s="165"/>
      <c r="T388" s="165" t="s">
        <v>3806</v>
      </c>
      <c r="U388" s="165" t="s">
        <v>3807</v>
      </c>
      <c r="V388" s="165"/>
      <c r="W388" s="165"/>
      <c r="X388" s="165"/>
      <c r="Y388">
        <v>2</v>
      </c>
      <c r="Z388" s="165" t="s">
        <v>3880</v>
      </c>
      <c r="AA388" s="165" t="s">
        <v>3810</v>
      </c>
      <c r="AB388" s="165" t="s">
        <v>3811</v>
      </c>
      <c r="AC388" s="165" t="s">
        <v>3809</v>
      </c>
      <c r="AD388" s="165" t="s">
        <v>4720</v>
      </c>
      <c r="AE388">
        <v>54</v>
      </c>
      <c r="AF388" s="165" t="s">
        <v>4721</v>
      </c>
      <c r="AG388">
        <v>485</v>
      </c>
      <c r="AH388">
        <v>367</v>
      </c>
      <c r="AI388">
        <v>51.5</v>
      </c>
      <c r="AJ388">
        <v>39.700000000000003</v>
      </c>
      <c r="AK388" s="165" t="s">
        <v>4722</v>
      </c>
      <c r="AN388">
        <v>10</v>
      </c>
      <c r="AO388">
        <v>4</v>
      </c>
      <c r="AP388">
        <v>40</v>
      </c>
      <c r="AQ388" s="165" t="s">
        <v>3815</v>
      </c>
      <c r="AR388" t="s">
        <v>4007</v>
      </c>
      <c r="AS388" s="165" t="s">
        <v>3786</v>
      </c>
      <c r="AT388" t="s">
        <v>5291</v>
      </c>
      <c r="AU388" t="s">
        <v>3809</v>
      </c>
    </row>
    <row r="389" spans="1:47" hidden="1" x14ac:dyDescent="0.25">
      <c r="A389" s="165" t="s">
        <v>4723</v>
      </c>
      <c r="B389" s="165" t="s">
        <v>4724</v>
      </c>
      <c r="C389" s="165" t="s">
        <v>2471</v>
      </c>
      <c r="D389" s="165" t="s">
        <v>4725</v>
      </c>
      <c r="E389" s="165" t="s">
        <v>4552</v>
      </c>
      <c r="F389" s="165" t="s">
        <v>11</v>
      </c>
      <c r="G389" s="165" t="s">
        <v>3878</v>
      </c>
      <c r="H389" s="165" t="s">
        <v>263</v>
      </c>
      <c r="I389" s="165" t="s">
        <v>3821</v>
      </c>
      <c r="J389" s="165" t="s">
        <v>3879</v>
      </c>
      <c r="K389" s="165"/>
      <c r="L389" s="165"/>
      <c r="M389" s="165"/>
      <c r="N389" s="165"/>
      <c r="O389" s="165"/>
      <c r="P389" s="165"/>
      <c r="Q389" s="165"/>
      <c r="R389" s="165"/>
      <c r="S389" s="165"/>
      <c r="T389" s="165" t="s">
        <v>3806</v>
      </c>
      <c r="U389" s="165" t="s">
        <v>3807</v>
      </c>
      <c r="V389" s="165"/>
      <c r="W389" s="165"/>
      <c r="X389" s="165"/>
      <c r="Y389">
        <v>2</v>
      </c>
      <c r="Z389" s="165" t="s">
        <v>3880</v>
      </c>
      <c r="AA389" s="165" t="s">
        <v>3811</v>
      </c>
      <c r="AB389" s="165" t="s">
        <v>3810</v>
      </c>
      <c r="AC389" s="165" t="s">
        <v>3809</v>
      </c>
      <c r="AD389" s="165" t="s">
        <v>4726</v>
      </c>
      <c r="AE389">
        <v>54</v>
      </c>
      <c r="AF389" s="165" t="s">
        <v>4721</v>
      </c>
      <c r="AG389">
        <v>485</v>
      </c>
      <c r="AH389">
        <v>367</v>
      </c>
      <c r="AI389">
        <v>51.5</v>
      </c>
      <c r="AJ389">
        <v>39.700000000000003</v>
      </c>
      <c r="AK389" s="165" t="s">
        <v>4722</v>
      </c>
      <c r="AN389">
        <v>10</v>
      </c>
      <c r="AO389">
        <v>4</v>
      </c>
      <c r="AP389">
        <v>40</v>
      </c>
      <c r="AQ389" s="165" t="s">
        <v>3815</v>
      </c>
      <c r="AR389" t="s">
        <v>3994</v>
      </c>
      <c r="AS389" s="165" t="s">
        <v>30</v>
      </c>
      <c r="AT389" t="s">
        <v>5291</v>
      </c>
      <c r="AU389" t="s">
        <v>3809</v>
      </c>
    </row>
    <row r="390" spans="1:47" hidden="1" x14ac:dyDescent="0.25">
      <c r="A390" s="165" t="s">
        <v>2807</v>
      </c>
      <c r="B390" s="165" t="s">
        <v>4727</v>
      </c>
      <c r="C390" s="165" t="s">
        <v>23</v>
      </c>
      <c r="D390" s="165" t="s">
        <v>4728</v>
      </c>
      <c r="E390" s="165" t="s">
        <v>4270</v>
      </c>
      <c r="F390" s="165" t="s">
        <v>11</v>
      </c>
      <c r="G390" s="165" t="s">
        <v>3878</v>
      </c>
      <c r="H390" s="165" t="s">
        <v>263</v>
      </c>
      <c r="I390" s="165" t="s">
        <v>3821</v>
      </c>
      <c r="J390" s="165" t="s">
        <v>3879</v>
      </c>
      <c r="K390" s="165"/>
      <c r="L390" s="165"/>
      <c r="M390" s="165"/>
      <c r="N390" s="165"/>
      <c r="O390" s="165"/>
      <c r="P390" s="165"/>
      <c r="Q390" s="165"/>
      <c r="R390" s="165"/>
      <c r="S390" s="165"/>
      <c r="T390" s="165" t="s">
        <v>3806</v>
      </c>
      <c r="U390" s="165" t="s">
        <v>3807</v>
      </c>
      <c r="V390" s="165"/>
      <c r="W390" s="165"/>
      <c r="X390" s="165"/>
      <c r="Y390">
        <v>2</v>
      </c>
      <c r="Z390" s="165" t="s">
        <v>3880</v>
      </c>
      <c r="AA390" s="165" t="s">
        <v>3810</v>
      </c>
      <c r="AB390" s="165" t="s">
        <v>3811</v>
      </c>
      <c r="AC390" s="165" t="s">
        <v>3811</v>
      </c>
      <c r="AD390" s="165" t="s">
        <v>3881</v>
      </c>
      <c r="AE390">
        <v>1</v>
      </c>
      <c r="AF390" s="165" t="s">
        <v>3882</v>
      </c>
      <c r="AG390">
        <v>34</v>
      </c>
      <c r="AH390">
        <v>29</v>
      </c>
      <c r="AI390">
        <v>37</v>
      </c>
      <c r="AJ390">
        <v>32</v>
      </c>
      <c r="AK390" s="165" t="s">
        <v>3883</v>
      </c>
      <c r="AL390">
        <v>36</v>
      </c>
      <c r="AM390">
        <v>32</v>
      </c>
      <c r="AN390">
        <v>6</v>
      </c>
      <c r="AO390">
        <v>6</v>
      </c>
      <c r="AP390">
        <v>36</v>
      </c>
      <c r="AQ390" s="165" t="s">
        <v>3815</v>
      </c>
      <c r="AR390" t="s">
        <v>4698</v>
      </c>
      <c r="AS390" s="165" t="s">
        <v>3786</v>
      </c>
      <c r="AT390" t="s">
        <v>5291</v>
      </c>
      <c r="AU390" t="s">
        <v>5291</v>
      </c>
    </row>
    <row r="391" spans="1:47" hidden="1" x14ac:dyDescent="0.25">
      <c r="A391" s="165" t="s">
        <v>1451</v>
      </c>
      <c r="B391" s="165" t="s">
        <v>4729</v>
      </c>
      <c r="C391" s="165" t="s">
        <v>23</v>
      </c>
      <c r="D391" s="165" t="s">
        <v>4730</v>
      </c>
      <c r="E391" s="165" t="s">
        <v>4055</v>
      </c>
      <c r="F391" s="165" t="s">
        <v>11</v>
      </c>
      <c r="G391" s="165" t="s">
        <v>3878</v>
      </c>
      <c r="H391" s="165" t="s">
        <v>263</v>
      </c>
      <c r="I391" s="165" t="s">
        <v>3821</v>
      </c>
      <c r="J391" s="165" t="s">
        <v>3879</v>
      </c>
      <c r="K391" s="165"/>
      <c r="L391" s="165"/>
      <c r="M391" s="165"/>
      <c r="N391" s="165"/>
      <c r="O391" s="165"/>
      <c r="P391" s="165"/>
      <c r="Q391" s="165"/>
      <c r="R391" s="165"/>
      <c r="S391" s="165"/>
      <c r="T391" s="165" t="s">
        <v>3806</v>
      </c>
      <c r="U391" s="165" t="s">
        <v>3807</v>
      </c>
      <c r="V391" s="165"/>
      <c r="W391" s="165"/>
      <c r="X391" s="165"/>
      <c r="Y391">
        <v>2</v>
      </c>
      <c r="Z391" s="165" t="s">
        <v>3880</v>
      </c>
      <c r="AA391" s="165" t="s">
        <v>3810</v>
      </c>
      <c r="AB391" s="165" t="s">
        <v>3811</v>
      </c>
      <c r="AC391" s="165" t="s">
        <v>3811</v>
      </c>
      <c r="AD391" s="165" t="s">
        <v>3881</v>
      </c>
      <c r="AE391">
        <v>1</v>
      </c>
      <c r="AF391" s="165" t="s">
        <v>3882</v>
      </c>
      <c r="AG391">
        <v>34</v>
      </c>
      <c r="AH391">
        <v>29</v>
      </c>
      <c r="AI391">
        <v>37</v>
      </c>
      <c r="AJ391">
        <v>32</v>
      </c>
      <c r="AK391" s="165" t="s">
        <v>3883</v>
      </c>
      <c r="AL391">
        <v>36</v>
      </c>
      <c r="AM391">
        <v>32</v>
      </c>
      <c r="AN391">
        <v>6</v>
      </c>
      <c r="AO391">
        <v>6</v>
      </c>
      <c r="AP391">
        <v>36</v>
      </c>
      <c r="AQ391" s="165" t="s">
        <v>3815</v>
      </c>
      <c r="AR391" t="s">
        <v>3909</v>
      </c>
      <c r="AS391" s="165" t="s">
        <v>3786</v>
      </c>
      <c r="AT391" t="s">
        <v>5291</v>
      </c>
      <c r="AU391" t="s">
        <v>5291</v>
      </c>
    </row>
    <row r="392" spans="1:47" hidden="1" x14ac:dyDescent="0.25">
      <c r="A392" s="165" t="s">
        <v>1454</v>
      </c>
      <c r="B392" s="165" t="s">
        <v>4731</v>
      </c>
      <c r="C392" s="165" t="s">
        <v>23</v>
      </c>
      <c r="D392" s="165" t="s">
        <v>4730</v>
      </c>
      <c r="E392" s="165" t="s">
        <v>4055</v>
      </c>
      <c r="F392" s="165" t="s">
        <v>11</v>
      </c>
      <c r="G392" s="165" t="s">
        <v>3878</v>
      </c>
      <c r="H392" s="165" t="s">
        <v>263</v>
      </c>
      <c r="I392" s="165" t="s">
        <v>3821</v>
      </c>
      <c r="J392" s="165" t="s">
        <v>3879</v>
      </c>
      <c r="K392" s="165"/>
      <c r="L392" s="165"/>
      <c r="M392" s="165"/>
      <c r="N392" s="165"/>
      <c r="O392" s="165"/>
      <c r="P392" s="165"/>
      <c r="Q392" s="165"/>
      <c r="R392" s="165"/>
      <c r="S392" s="165"/>
      <c r="T392" s="165" t="s">
        <v>3806</v>
      </c>
      <c r="U392" s="165" t="s">
        <v>3807</v>
      </c>
      <c r="V392" s="165"/>
      <c r="W392" s="165"/>
      <c r="X392" s="165"/>
      <c r="Y392">
        <v>2</v>
      </c>
      <c r="Z392" s="165" t="s">
        <v>3880</v>
      </c>
      <c r="AA392" s="165" t="s">
        <v>3810</v>
      </c>
      <c r="AB392" s="165" t="s">
        <v>3811</v>
      </c>
      <c r="AC392" s="165" t="s">
        <v>3811</v>
      </c>
      <c r="AD392" s="165" t="s">
        <v>3881</v>
      </c>
      <c r="AE392">
        <v>1</v>
      </c>
      <c r="AF392" s="165" t="s">
        <v>3882</v>
      </c>
      <c r="AG392">
        <v>34</v>
      </c>
      <c r="AH392">
        <v>29</v>
      </c>
      <c r="AI392">
        <v>37</v>
      </c>
      <c r="AJ392">
        <v>32</v>
      </c>
      <c r="AK392" s="165" t="s">
        <v>3883</v>
      </c>
      <c r="AL392">
        <v>36</v>
      </c>
      <c r="AM392">
        <v>32</v>
      </c>
      <c r="AN392">
        <v>6</v>
      </c>
      <c r="AO392">
        <v>6</v>
      </c>
      <c r="AP392">
        <v>36</v>
      </c>
      <c r="AQ392" s="165" t="s">
        <v>3815</v>
      </c>
      <c r="AR392" t="s">
        <v>3855</v>
      </c>
      <c r="AS392" s="165" t="s">
        <v>3786</v>
      </c>
      <c r="AT392" t="s">
        <v>5291</v>
      </c>
      <c r="AU392" t="s">
        <v>5291</v>
      </c>
    </row>
    <row r="393" spans="1:47" hidden="1" x14ac:dyDescent="0.25">
      <c r="A393" s="165" t="s">
        <v>3385</v>
      </c>
      <c r="B393" s="165" t="s">
        <v>3384</v>
      </c>
      <c r="C393" s="165" t="s">
        <v>23</v>
      </c>
      <c r="D393" s="165" t="s">
        <v>4732</v>
      </c>
      <c r="E393" s="165" t="s">
        <v>4402</v>
      </c>
      <c r="F393" s="165" t="s">
        <v>2183</v>
      </c>
      <c r="G393" s="165" t="s">
        <v>3878</v>
      </c>
      <c r="H393" s="165" t="s">
        <v>263</v>
      </c>
      <c r="I393" s="165" t="s">
        <v>3807</v>
      </c>
      <c r="J393" s="165" t="s">
        <v>4570</v>
      </c>
      <c r="K393" s="165"/>
      <c r="L393" s="165"/>
      <c r="M393" s="165"/>
      <c r="N393" s="165"/>
      <c r="O393" s="165"/>
      <c r="P393" s="165"/>
      <c r="Q393" s="165"/>
      <c r="R393" s="165"/>
      <c r="S393" s="165"/>
      <c r="T393" s="165" t="s">
        <v>3806</v>
      </c>
      <c r="U393" s="165" t="s">
        <v>3807</v>
      </c>
      <c r="V393" s="165"/>
      <c r="W393" s="165"/>
      <c r="X393" s="165"/>
      <c r="Y393">
        <v>2</v>
      </c>
      <c r="Z393" s="165" t="s">
        <v>3880</v>
      </c>
      <c r="AA393" s="165" t="s">
        <v>3810</v>
      </c>
      <c r="AB393" s="165" t="s">
        <v>3811</v>
      </c>
      <c r="AC393" s="165" t="s">
        <v>3811</v>
      </c>
      <c r="AD393" s="165" t="s">
        <v>3881</v>
      </c>
      <c r="AE393">
        <v>1</v>
      </c>
      <c r="AF393" s="165" t="s">
        <v>3882</v>
      </c>
      <c r="AG393">
        <v>34</v>
      </c>
      <c r="AH393">
        <v>29</v>
      </c>
      <c r="AI393">
        <v>37</v>
      </c>
      <c r="AJ393">
        <v>32</v>
      </c>
      <c r="AK393" s="165" t="s">
        <v>3883</v>
      </c>
      <c r="AL393">
        <v>36</v>
      </c>
      <c r="AM393">
        <v>32</v>
      </c>
      <c r="AN393">
        <v>6</v>
      </c>
      <c r="AO393">
        <v>6</v>
      </c>
      <c r="AP393">
        <v>36</v>
      </c>
      <c r="AQ393" s="165" t="s">
        <v>3815</v>
      </c>
      <c r="AR393" t="s">
        <v>4698</v>
      </c>
      <c r="AS393" s="165" t="s">
        <v>3786</v>
      </c>
      <c r="AT393" t="s">
        <v>5291</v>
      </c>
      <c r="AU393" t="s">
        <v>5291</v>
      </c>
    </row>
    <row r="394" spans="1:47" hidden="1" x14ac:dyDescent="0.25">
      <c r="A394" s="165" t="s">
        <v>1403</v>
      </c>
      <c r="B394" s="165" t="s">
        <v>4733</v>
      </c>
      <c r="C394" s="165" t="s">
        <v>23</v>
      </c>
      <c r="D394" s="165" t="s">
        <v>4734</v>
      </c>
      <c r="E394" s="165" t="s">
        <v>4735</v>
      </c>
      <c r="F394" s="165" t="s">
        <v>2183</v>
      </c>
      <c r="G394" s="165" t="s">
        <v>3878</v>
      </c>
      <c r="H394" s="165" t="s">
        <v>263</v>
      </c>
      <c r="I394" s="165" t="s">
        <v>3807</v>
      </c>
      <c r="J394" s="165" t="s">
        <v>4570</v>
      </c>
      <c r="K394" s="165"/>
      <c r="L394" s="165"/>
      <c r="M394" s="165"/>
      <c r="N394" s="165"/>
      <c r="O394" s="165"/>
      <c r="P394" s="165"/>
      <c r="Q394" s="165"/>
      <c r="R394" s="165"/>
      <c r="S394" s="165"/>
      <c r="T394" s="165" t="s">
        <v>3806</v>
      </c>
      <c r="U394" s="165" t="s">
        <v>3807</v>
      </c>
      <c r="V394" s="165"/>
      <c r="W394" s="165"/>
      <c r="X394" s="165"/>
      <c r="Y394">
        <v>2</v>
      </c>
      <c r="Z394" s="165" t="s">
        <v>3880</v>
      </c>
      <c r="AA394" s="165" t="s">
        <v>3811</v>
      </c>
      <c r="AB394" s="165" t="s">
        <v>3810</v>
      </c>
      <c r="AC394" s="165" t="s">
        <v>3811</v>
      </c>
      <c r="AD394" s="165" t="s">
        <v>3881</v>
      </c>
      <c r="AE394">
        <v>1</v>
      </c>
      <c r="AF394" s="165" t="s">
        <v>3882</v>
      </c>
      <c r="AG394">
        <v>34</v>
      </c>
      <c r="AH394">
        <v>29</v>
      </c>
      <c r="AI394">
        <v>37</v>
      </c>
      <c r="AJ394">
        <v>32</v>
      </c>
      <c r="AK394" s="165" t="s">
        <v>3883</v>
      </c>
      <c r="AL394">
        <v>36</v>
      </c>
      <c r="AM394">
        <v>32</v>
      </c>
      <c r="AN394">
        <v>6</v>
      </c>
      <c r="AO394">
        <v>6</v>
      </c>
      <c r="AP394">
        <v>36</v>
      </c>
      <c r="AQ394" s="165" t="s">
        <v>3815</v>
      </c>
      <c r="AR394" t="s">
        <v>4009</v>
      </c>
      <c r="AS394" s="165" t="s">
        <v>30</v>
      </c>
      <c r="AT394" t="s">
        <v>5291</v>
      </c>
      <c r="AU394" t="s">
        <v>5291</v>
      </c>
    </row>
    <row r="395" spans="1:47" hidden="1" x14ac:dyDescent="0.25">
      <c r="A395" s="165" t="s">
        <v>1424</v>
      </c>
      <c r="B395" s="165" t="s">
        <v>4736</v>
      </c>
      <c r="C395" s="165" t="s">
        <v>23</v>
      </c>
      <c r="D395" s="165" t="s">
        <v>4737</v>
      </c>
      <c r="E395" s="165" t="s">
        <v>4738</v>
      </c>
      <c r="F395" s="165" t="s">
        <v>11</v>
      </c>
      <c r="G395" s="165" t="s">
        <v>3878</v>
      </c>
      <c r="H395" s="165" t="s">
        <v>263</v>
      </c>
      <c r="I395" s="165" t="s">
        <v>3821</v>
      </c>
      <c r="J395" s="165" t="s">
        <v>3879</v>
      </c>
      <c r="K395" s="165"/>
      <c r="L395" s="165"/>
      <c r="M395" s="165"/>
      <c r="N395" s="165"/>
      <c r="O395" s="165"/>
      <c r="P395" s="165"/>
      <c r="Q395" s="165"/>
      <c r="R395" s="165"/>
      <c r="S395" s="165"/>
      <c r="T395" s="165" t="s">
        <v>3806</v>
      </c>
      <c r="U395" s="165" t="s">
        <v>3807</v>
      </c>
      <c r="V395" s="165"/>
      <c r="W395" s="165"/>
      <c r="X395" s="165"/>
      <c r="Y395">
        <v>2</v>
      </c>
      <c r="Z395" s="165" t="s">
        <v>3880</v>
      </c>
      <c r="AA395" s="165" t="s">
        <v>3810</v>
      </c>
      <c r="AB395" s="165" t="s">
        <v>3811</v>
      </c>
      <c r="AC395" s="165" t="s">
        <v>3811</v>
      </c>
      <c r="AD395" s="165" t="s">
        <v>3881</v>
      </c>
      <c r="AE395">
        <v>1</v>
      </c>
      <c r="AF395" s="165" t="s">
        <v>3882</v>
      </c>
      <c r="AG395">
        <v>34</v>
      </c>
      <c r="AH395">
        <v>29</v>
      </c>
      <c r="AI395">
        <v>37</v>
      </c>
      <c r="AJ395">
        <v>32</v>
      </c>
      <c r="AK395" s="165" t="s">
        <v>3883</v>
      </c>
      <c r="AL395">
        <v>36</v>
      </c>
      <c r="AM395">
        <v>32</v>
      </c>
      <c r="AN395">
        <v>6</v>
      </c>
      <c r="AO395">
        <v>6</v>
      </c>
      <c r="AP395">
        <v>36</v>
      </c>
      <c r="AQ395" s="165" t="s">
        <v>3815</v>
      </c>
      <c r="AR395" t="s">
        <v>3870</v>
      </c>
      <c r="AS395" s="165" t="s">
        <v>3786</v>
      </c>
      <c r="AT395" t="s">
        <v>5291</v>
      </c>
      <c r="AU395" t="s">
        <v>5291</v>
      </c>
    </row>
    <row r="396" spans="1:47" hidden="1" x14ac:dyDescent="0.25">
      <c r="A396" s="165" t="s">
        <v>1214</v>
      </c>
      <c r="B396" s="165" t="s">
        <v>3415</v>
      </c>
      <c r="C396" s="165" t="s">
        <v>23</v>
      </c>
      <c r="D396" s="165" t="s">
        <v>1215</v>
      </c>
      <c r="E396" s="165" t="s">
        <v>4260</v>
      </c>
      <c r="F396" s="165" t="s">
        <v>4574</v>
      </c>
      <c r="G396" s="165" t="s">
        <v>8</v>
      </c>
      <c r="H396" s="165" t="s">
        <v>176</v>
      </c>
      <c r="I396" s="165" t="s">
        <v>3865</v>
      </c>
      <c r="J396" s="165" t="s">
        <v>4575</v>
      </c>
      <c r="K396" s="165"/>
      <c r="L396" s="165"/>
      <c r="M396" s="165"/>
      <c r="N396" s="165"/>
      <c r="O396" s="165"/>
      <c r="P396" s="165"/>
      <c r="Q396" s="165"/>
      <c r="R396" s="165" t="s">
        <v>3842</v>
      </c>
      <c r="S396" s="165"/>
      <c r="T396" s="165"/>
      <c r="U396" s="165" t="s">
        <v>3807</v>
      </c>
      <c r="V396" s="165"/>
      <c r="W396" s="165"/>
      <c r="X396" s="165"/>
      <c r="Y396">
        <v>2</v>
      </c>
      <c r="Z396" s="165" t="s">
        <v>3843</v>
      </c>
      <c r="AA396" s="165" t="s">
        <v>3811</v>
      </c>
      <c r="AB396" s="165" t="s">
        <v>3810</v>
      </c>
      <c r="AC396" s="165" t="s">
        <v>3809</v>
      </c>
      <c r="AD396" s="165" t="s">
        <v>4739</v>
      </c>
      <c r="AE396">
        <v>82</v>
      </c>
      <c r="AF396" s="165" t="s">
        <v>4740</v>
      </c>
      <c r="AG396">
        <v>485</v>
      </c>
      <c r="AH396">
        <v>382</v>
      </c>
      <c r="AI396">
        <v>51.5</v>
      </c>
      <c r="AJ396">
        <v>41.2</v>
      </c>
      <c r="AK396" s="165" t="s">
        <v>4741</v>
      </c>
      <c r="AN396">
        <v>6</v>
      </c>
      <c r="AO396">
        <v>2</v>
      </c>
      <c r="AP396">
        <v>12</v>
      </c>
      <c r="AQ396" s="165" t="s">
        <v>3815</v>
      </c>
      <c r="AR396" t="s">
        <v>3870</v>
      </c>
      <c r="AS396" s="165" t="s">
        <v>30</v>
      </c>
      <c r="AT396" t="s">
        <v>5291</v>
      </c>
      <c r="AU396" t="s">
        <v>5291</v>
      </c>
    </row>
    <row r="397" spans="1:47" hidden="1" x14ac:dyDescent="0.25">
      <c r="A397" s="165" t="s">
        <v>1332</v>
      </c>
      <c r="B397" s="165" t="s">
        <v>4742</v>
      </c>
      <c r="C397" s="165" t="s">
        <v>23</v>
      </c>
      <c r="D397" s="165" t="s">
        <v>1333</v>
      </c>
      <c r="E397" s="165" t="s">
        <v>4390</v>
      </c>
      <c r="F397" s="165" t="s">
        <v>4574</v>
      </c>
      <c r="G397" s="165" t="s">
        <v>8</v>
      </c>
      <c r="H397" s="165" t="s">
        <v>176</v>
      </c>
      <c r="I397" s="165" t="s">
        <v>3865</v>
      </c>
      <c r="J397" s="165" t="s">
        <v>4575</v>
      </c>
      <c r="K397" s="165"/>
      <c r="L397" s="165"/>
      <c r="M397" s="165"/>
      <c r="N397" s="165"/>
      <c r="O397" s="165"/>
      <c r="P397" s="165"/>
      <c r="Q397" s="165"/>
      <c r="R397" s="165" t="s">
        <v>3842</v>
      </c>
      <c r="S397" s="165"/>
      <c r="T397" s="165"/>
      <c r="U397" s="165" t="s">
        <v>3807</v>
      </c>
      <c r="V397" s="165"/>
      <c r="W397" s="165"/>
      <c r="X397" s="165"/>
      <c r="Y397">
        <v>2</v>
      </c>
      <c r="Z397" s="165" t="s">
        <v>3843</v>
      </c>
      <c r="AA397" s="165" t="s">
        <v>3811</v>
      </c>
      <c r="AB397" s="165" t="s">
        <v>3810</v>
      </c>
      <c r="AC397" s="165" t="s">
        <v>3809</v>
      </c>
      <c r="AD397" s="165" t="s">
        <v>4739</v>
      </c>
      <c r="AE397">
        <v>82</v>
      </c>
      <c r="AF397" s="165" t="s">
        <v>4743</v>
      </c>
      <c r="AG397">
        <v>485</v>
      </c>
      <c r="AH397">
        <v>379</v>
      </c>
      <c r="AI397">
        <v>51.5</v>
      </c>
      <c r="AJ397">
        <v>40.9</v>
      </c>
      <c r="AK397" s="165" t="s">
        <v>4744</v>
      </c>
      <c r="AN397">
        <v>6</v>
      </c>
      <c r="AO397">
        <v>2</v>
      </c>
      <c r="AP397">
        <v>12</v>
      </c>
      <c r="AQ397" s="165" t="s">
        <v>3815</v>
      </c>
      <c r="AR397" t="s">
        <v>4178</v>
      </c>
      <c r="AS397" s="165" t="s">
        <v>30</v>
      </c>
      <c r="AT397" t="s">
        <v>5291</v>
      </c>
      <c r="AU397" t="s">
        <v>5291</v>
      </c>
    </row>
    <row r="398" spans="1:47" hidden="1" x14ac:dyDescent="0.25">
      <c r="A398" s="165" t="s">
        <v>1148</v>
      </c>
      <c r="B398" s="165" t="s">
        <v>4745</v>
      </c>
      <c r="C398" s="165" t="s">
        <v>23</v>
      </c>
      <c r="D398" s="165" t="s">
        <v>4746</v>
      </c>
      <c r="E398" s="165" t="s">
        <v>3977</v>
      </c>
      <c r="F398" s="165" t="s">
        <v>181</v>
      </c>
      <c r="G398" s="165" t="s">
        <v>8</v>
      </c>
      <c r="H398" s="165" t="s">
        <v>176</v>
      </c>
      <c r="I398" s="165" t="s">
        <v>3864</v>
      </c>
      <c r="J398" s="165" t="s">
        <v>3970</v>
      </c>
      <c r="K398" s="165"/>
      <c r="L398" s="165"/>
      <c r="M398" s="165"/>
      <c r="N398" s="165"/>
      <c r="O398" s="165"/>
      <c r="P398" s="165"/>
      <c r="Q398" s="165"/>
      <c r="R398" s="165" t="s">
        <v>3842</v>
      </c>
      <c r="S398" s="165"/>
      <c r="T398" s="165"/>
      <c r="U398" s="165" t="s">
        <v>3807</v>
      </c>
      <c r="V398" s="165"/>
      <c r="W398" s="165"/>
      <c r="X398" s="165"/>
      <c r="Y398">
        <v>2</v>
      </c>
      <c r="Z398" s="165" t="s">
        <v>3843</v>
      </c>
      <c r="AA398" s="165" t="s">
        <v>3811</v>
      </c>
      <c r="AB398" s="165" t="s">
        <v>3810</v>
      </c>
      <c r="AC398" s="165" t="s">
        <v>3809</v>
      </c>
      <c r="AD398" s="165" t="s">
        <v>4739</v>
      </c>
      <c r="AE398">
        <v>82</v>
      </c>
      <c r="AF398" s="165" t="s">
        <v>4747</v>
      </c>
      <c r="AG398">
        <v>365</v>
      </c>
      <c r="AH398">
        <v>195</v>
      </c>
      <c r="AI398">
        <v>39.5</v>
      </c>
      <c r="AJ398">
        <v>22.5</v>
      </c>
      <c r="AK398" s="165" t="s">
        <v>4748</v>
      </c>
      <c r="AN398">
        <v>2</v>
      </c>
      <c r="AO398">
        <v>8</v>
      </c>
      <c r="AP398">
        <v>16</v>
      </c>
      <c r="AQ398" s="165" t="s">
        <v>3815</v>
      </c>
      <c r="AR398" t="s">
        <v>3930</v>
      </c>
      <c r="AS398" s="165" t="s">
        <v>30</v>
      </c>
      <c r="AT398" t="s">
        <v>5291</v>
      </c>
      <c r="AU398" t="s">
        <v>5291</v>
      </c>
    </row>
    <row r="399" spans="1:47" hidden="1" x14ac:dyDescent="0.25">
      <c r="A399" s="165" t="s">
        <v>1150</v>
      </c>
      <c r="B399" s="165" t="s">
        <v>4749</v>
      </c>
      <c r="C399" s="165" t="s">
        <v>23</v>
      </c>
      <c r="D399" s="165" t="s">
        <v>1151</v>
      </c>
      <c r="E399" s="165" t="s">
        <v>4750</v>
      </c>
      <c r="F399" s="165" t="s">
        <v>181</v>
      </c>
      <c r="G399" s="165" t="s">
        <v>8</v>
      </c>
      <c r="H399" s="165" t="s">
        <v>176</v>
      </c>
      <c r="I399" s="165" t="s">
        <v>3864</v>
      </c>
      <c r="J399" s="165" t="s">
        <v>3970</v>
      </c>
      <c r="K399" s="165"/>
      <c r="L399" s="165"/>
      <c r="M399" s="165"/>
      <c r="N399" s="165"/>
      <c r="O399" s="165"/>
      <c r="P399" s="165"/>
      <c r="Q399" s="165"/>
      <c r="R399" s="165" t="s">
        <v>3842</v>
      </c>
      <c r="S399" s="165"/>
      <c r="T399" s="165"/>
      <c r="U399" s="165" t="s">
        <v>3807</v>
      </c>
      <c r="V399" s="165"/>
      <c r="W399" s="165"/>
      <c r="X399" s="165"/>
      <c r="Y399">
        <v>2</v>
      </c>
      <c r="Z399" s="165" t="s">
        <v>3843</v>
      </c>
      <c r="AA399" s="165" t="s">
        <v>3811</v>
      </c>
      <c r="AB399" s="165" t="s">
        <v>3810</v>
      </c>
      <c r="AC399" s="165" t="s">
        <v>3809</v>
      </c>
      <c r="AD399" s="165" t="s">
        <v>4739</v>
      </c>
      <c r="AE399">
        <v>82</v>
      </c>
      <c r="AF399" s="165" t="s">
        <v>4740</v>
      </c>
      <c r="AG399">
        <v>485</v>
      </c>
      <c r="AH399">
        <v>382</v>
      </c>
      <c r="AI399">
        <v>51.5</v>
      </c>
      <c r="AJ399">
        <v>41.2</v>
      </c>
      <c r="AK399" s="165" t="s">
        <v>4741</v>
      </c>
      <c r="AN399">
        <v>6</v>
      </c>
      <c r="AO399">
        <v>2</v>
      </c>
      <c r="AP399">
        <v>12</v>
      </c>
      <c r="AQ399" s="165" t="s">
        <v>3815</v>
      </c>
      <c r="AR399" t="s">
        <v>3816</v>
      </c>
      <c r="AS399" s="165" t="s">
        <v>30</v>
      </c>
      <c r="AT399" t="s">
        <v>5291</v>
      </c>
      <c r="AU399" t="s">
        <v>5291</v>
      </c>
    </row>
    <row r="400" spans="1:47" hidden="1" x14ac:dyDescent="0.25">
      <c r="A400" s="165" t="s">
        <v>1248</v>
      </c>
      <c r="B400" s="165" t="s">
        <v>3322</v>
      </c>
      <c r="C400" s="165" t="s">
        <v>23</v>
      </c>
      <c r="D400" s="165" t="s">
        <v>1249</v>
      </c>
      <c r="E400" s="165" t="s">
        <v>4177</v>
      </c>
      <c r="F400" s="165" t="s">
        <v>4574</v>
      </c>
      <c r="G400" s="165" t="s">
        <v>8</v>
      </c>
      <c r="H400" s="165" t="s">
        <v>176</v>
      </c>
      <c r="I400" s="165" t="s">
        <v>3865</v>
      </c>
      <c r="J400" s="165" t="s">
        <v>4575</v>
      </c>
      <c r="K400" s="165"/>
      <c r="L400" s="165"/>
      <c r="M400" s="165"/>
      <c r="N400" s="165"/>
      <c r="O400" s="165"/>
      <c r="P400" s="165"/>
      <c r="Q400" s="165"/>
      <c r="R400" s="165" t="s">
        <v>3842</v>
      </c>
      <c r="S400" s="165"/>
      <c r="T400" s="165"/>
      <c r="U400" s="165" t="s">
        <v>3807</v>
      </c>
      <c r="V400" s="165"/>
      <c r="W400" s="165"/>
      <c r="X400" s="165"/>
      <c r="Y400">
        <v>2</v>
      </c>
      <c r="Z400" s="165" t="s">
        <v>3843</v>
      </c>
      <c r="AA400" s="165" t="s">
        <v>3811</v>
      </c>
      <c r="AB400" s="165" t="s">
        <v>3810</v>
      </c>
      <c r="AC400" s="165" t="s">
        <v>3809</v>
      </c>
      <c r="AD400" s="165" t="s">
        <v>4739</v>
      </c>
      <c r="AE400">
        <v>82</v>
      </c>
      <c r="AF400" s="165" t="s">
        <v>4740</v>
      </c>
      <c r="AG400">
        <v>485</v>
      </c>
      <c r="AH400">
        <v>382</v>
      </c>
      <c r="AI400">
        <v>51.5</v>
      </c>
      <c r="AJ400">
        <v>41.2</v>
      </c>
      <c r="AK400" s="165" t="s">
        <v>4741</v>
      </c>
      <c r="AN400">
        <v>6</v>
      </c>
      <c r="AO400">
        <v>2</v>
      </c>
      <c r="AP400">
        <v>12</v>
      </c>
      <c r="AQ400" s="165" t="s">
        <v>3815</v>
      </c>
      <c r="AR400" t="s">
        <v>3870</v>
      </c>
      <c r="AS400" s="165" t="s">
        <v>30</v>
      </c>
      <c r="AT400" t="s">
        <v>5291</v>
      </c>
      <c r="AU400" t="s">
        <v>5291</v>
      </c>
    </row>
    <row r="401" spans="1:47" hidden="1" x14ac:dyDescent="0.25">
      <c r="A401" s="165" t="s">
        <v>1210</v>
      </c>
      <c r="B401" s="165" t="s">
        <v>4718</v>
      </c>
      <c r="C401" s="165" t="s">
        <v>2471</v>
      </c>
      <c r="D401" s="165" t="s">
        <v>4751</v>
      </c>
      <c r="E401" s="165" t="s">
        <v>4719</v>
      </c>
      <c r="F401" s="165" t="s">
        <v>11</v>
      </c>
      <c r="G401" s="165" t="s">
        <v>3878</v>
      </c>
      <c r="H401" s="165" t="s">
        <v>263</v>
      </c>
      <c r="I401" s="165" t="s">
        <v>3821</v>
      </c>
      <c r="J401" s="165" t="s">
        <v>3879</v>
      </c>
      <c r="K401" s="165"/>
      <c r="L401" s="165"/>
      <c r="M401" s="165"/>
      <c r="N401" s="165"/>
      <c r="O401" s="165"/>
      <c r="P401" s="165"/>
      <c r="Q401" s="165"/>
      <c r="R401" s="165"/>
      <c r="S401" s="165"/>
      <c r="T401" s="165" t="s">
        <v>3806</v>
      </c>
      <c r="U401" s="165" t="s">
        <v>3807</v>
      </c>
      <c r="V401" s="165"/>
      <c r="W401" s="165"/>
      <c r="X401" s="165"/>
      <c r="Y401">
        <v>2</v>
      </c>
      <c r="Z401" s="165" t="s">
        <v>3880</v>
      </c>
      <c r="AA401" s="165" t="s">
        <v>3809</v>
      </c>
      <c r="AB401" s="165" t="s">
        <v>3809</v>
      </c>
      <c r="AC401" s="165" t="s">
        <v>3811</v>
      </c>
      <c r="AD401" s="165" t="s">
        <v>4726</v>
      </c>
      <c r="AE401">
        <v>54</v>
      </c>
      <c r="AF401" s="165" t="s">
        <v>4752</v>
      </c>
      <c r="AG401">
        <v>489</v>
      </c>
      <c r="AH401">
        <v>185</v>
      </c>
      <c r="AI401">
        <v>51.9</v>
      </c>
      <c r="AJ401">
        <v>21.5</v>
      </c>
      <c r="AK401" s="165" t="s">
        <v>4753</v>
      </c>
      <c r="AN401">
        <v>5</v>
      </c>
      <c r="AO401">
        <v>8</v>
      </c>
      <c r="AP401">
        <v>40</v>
      </c>
      <c r="AQ401" s="165" t="s">
        <v>3815</v>
      </c>
      <c r="AR401" t="s">
        <v>3830</v>
      </c>
      <c r="AS401" s="165" t="s">
        <v>174</v>
      </c>
      <c r="AT401" t="s">
        <v>5291</v>
      </c>
      <c r="AU401" t="s">
        <v>3809</v>
      </c>
    </row>
    <row r="402" spans="1:47" hidden="1" x14ac:dyDescent="0.25">
      <c r="A402" s="165" t="s">
        <v>1672</v>
      </c>
      <c r="B402" s="165" t="s">
        <v>3420</v>
      </c>
      <c r="C402" s="165" t="s">
        <v>23</v>
      </c>
      <c r="D402" s="165" t="s">
        <v>4754</v>
      </c>
      <c r="E402" s="165" t="s">
        <v>4049</v>
      </c>
      <c r="F402" s="165" t="s">
        <v>11</v>
      </c>
      <c r="G402" s="165" t="s">
        <v>3878</v>
      </c>
      <c r="H402" s="165" t="s">
        <v>263</v>
      </c>
      <c r="I402" s="165" t="s">
        <v>3821</v>
      </c>
      <c r="J402" s="165" t="s">
        <v>3879</v>
      </c>
      <c r="K402" s="165"/>
      <c r="L402" s="165"/>
      <c r="M402" s="165"/>
      <c r="N402" s="165"/>
      <c r="O402" s="165"/>
      <c r="P402" s="165"/>
      <c r="Q402" s="165"/>
      <c r="R402" s="165"/>
      <c r="S402" s="165"/>
      <c r="T402" s="165" t="s">
        <v>3806</v>
      </c>
      <c r="U402" s="165" t="s">
        <v>3807</v>
      </c>
      <c r="V402" s="165"/>
      <c r="W402" s="165"/>
      <c r="X402" s="165"/>
      <c r="Y402">
        <v>2</v>
      </c>
      <c r="Z402" s="165" t="s">
        <v>3880</v>
      </c>
      <c r="AA402" s="165" t="s">
        <v>3810</v>
      </c>
      <c r="AB402" s="165" t="s">
        <v>3810</v>
      </c>
      <c r="AC402" s="165" t="s">
        <v>3811</v>
      </c>
      <c r="AD402" s="165" t="s">
        <v>3881</v>
      </c>
      <c r="AE402">
        <v>1</v>
      </c>
      <c r="AF402" s="165" t="s">
        <v>3882</v>
      </c>
      <c r="AG402">
        <v>34</v>
      </c>
      <c r="AH402">
        <v>29</v>
      </c>
      <c r="AI402">
        <v>37</v>
      </c>
      <c r="AJ402">
        <v>32</v>
      </c>
      <c r="AK402" s="165" t="s">
        <v>3883</v>
      </c>
      <c r="AL402">
        <v>36</v>
      </c>
      <c r="AM402">
        <v>32</v>
      </c>
      <c r="AN402">
        <v>6</v>
      </c>
      <c r="AO402">
        <v>6</v>
      </c>
      <c r="AP402">
        <v>36</v>
      </c>
      <c r="AQ402" s="165" t="s">
        <v>3815</v>
      </c>
      <c r="AR402" t="s">
        <v>3830</v>
      </c>
      <c r="AS402" s="165" t="s">
        <v>174</v>
      </c>
      <c r="AT402" t="s">
        <v>5291</v>
      </c>
      <c r="AU402" t="s">
        <v>5291</v>
      </c>
    </row>
    <row r="403" spans="1:47" hidden="1" x14ac:dyDescent="0.25">
      <c r="A403" s="165" t="s">
        <v>1376</v>
      </c>
      <c r="B403" s="165" t="s">
        <v>4755</v>
      </c>
      <c r="C403" s="165" t="s">
        <v>23</v>
      </c>
      <c r="D403" s="165" t="s">
        <v>4756</v>
      </c>
      <c r="E403" s="165" t="s">
        <v>4548</v>
      </c>
      <c r="F403" s="165" t="s">
        <v>11</v>
      </c>
      <c r="G403" s="165" t="s">
        <v>3878</v>
      </c>
      <c r="H403" s="165" t="s">
        <v>263</v>
      </c>
      <c r="I403" s="165" t="s">
        <v>3821</v>
      </c>
      <c r="J403" s="165" t="s">
        <v>3879</v>
      </c>
      <c r="K403" s="165"/>
      <c r="L403" s="165"/>
      <c r="M403" s="165"/>
      <c r="N403" s="165"/>
      <c r="O403" s="165"/>
      <c r="P403" s="165"/>
      <c r="Q403" s="165"/>
      <c r="R403" s="165"/>
      <c r="S403" s="165"/>
      <c r="T403" s="165" t="s">
        <v>3806</v>
      </c>
      <c r="U403" s="165" t="s">
        <v>3807</v>
      </c>
      <c r="V403" s="165"/>
      <c r="W403" s="165"/>
      <c r="X403" s="165"/>
      <c r="Y403">
        <v>2</v>
      </c>
      <c r="Z403" s="165" t="s">
        <v>3880</v>
      </c>
      <c r="AA403" s="165" t="s">
        <v>3809</v>
      </c>
      <c r="AB403" s="165" t="s">
        <v>3810</v>
      </c>
      <c r="AC403" s="165" t="s">
        <v>3811</v>
      </c>
      <c r="AD403" s="165" t="s">
        <v>3881</v>
      </c>
      <c r="AE403">
        <v>1</v>
      </c>
      <c r="AF403" s="165" t="s">
        <v>3882</v>
      </c>
      <c r="AG403">
        <v>34</v>
      </c>
      <c r="AH403">
        <v>29</v>
      </c>
      <c r="AI403">
        <v>37</v>
      </c>
      <c r="AJ403">
        <v>32</v>
      </c>
      <c r="AK403" s="165" t="s">
        <v>3883</v>
      </c>
      <c r="AL403">
        <v>36</v>
      </c>
      <c r="AM403">
        <v>32</v>
      </c>
      <c r="AN403">
        <v>6</v>
      </c>
      <c r="AO403">
        <v>6</v>
      </c>
      <c r="AP403">
        <v>36</v>
      </c>
      <c r="AQ403" s="165" t="s">
        <v>3815</v>
      </c>
      <c r="AR403" t="s">
        <v>4009</v>
      </c>
      <c r="AS403" s="165" t="s">
        <v>174</v>
      </c>
      <c r="AT403" t="s">
        <v>5291</v>
      </c>
      <c r="AU403" t="s">
        <v>5291</v>
      </c>
    </row>
    <row r="404" spans="1:47" hidden="1" x14ac:dyDescent="0.25">
      <c r="A404" s="165" t="s">
        <v>4723</v>
      </c>
      <c r="B404" s="165" t="s">
        <v>4724</v>
      </c>
      <c r="C404" s="165" t="s">
        <v>2471</v>
      </c>
      <c r="D404" s="165" t="s">
        <v>4757</v>
      </c>
      <c r="E404" s="165" t="s">
        <v>4552</v>
      </c>
      <c r="F404" s="165" t="s">
        <v>11</v>
      </c>
      <c r="G404" s="165" t="s">
        <v>3878</v>
      </c>
      <c r="H404" s="165" t="s">
        <v>263</v>
      </c>
      <c r="I404" s="165" t="s">
        <v>3821</v>
      </c>
      <c r="J404" s="165" t="s">
        <v>3879</v>
      </c>
      <c r="K404" s="165"/>
      <c r="L404" s="165"/>
      <c r="M404" s="165"/>
      <c r="N404" s="165"/>
      <c r="O404" s="165"/>
      <c r="P404" s="165"/>
      <c r="Q404" s="165"/>
      <c r="R404" s="165"/>
      <c r="S404" s="165"/>
      <c r="T404" s="165" t="s">
        <v>3806</v>
      </c>
      <c r="U404" s="165" t="s">
        <v>3807</v>
      </c>
      <c r="V404" s="165"/>
      <c r="W404" s="165"/>
      <c r="X404" s="165"/>
      <c r="Y404">
        <v>2</v>
      </c>
      <c r="Z404" s="165" t="s">
        <v>3880</v>
      </c>
      <c r="AA404" s="165" t="s">
        <v>3809</v>
      </c>
      <c r="AB404" s="165" t="s">
        <v>3810</v>
      </c>
      <c r="AC404" s="165" t="s">
        <v>3811</v>
      </c>
      <c r="AD404" s="165" t="s">
        <v>4726</v>
      </c>
      <c r="AE404">
        <v>54</v>
      </c>
      <c r="AF404" s="165" t="s">
        <v>4752</v>
      </c>
      <c r="AG404">
        <v>489</v>
      </c>
      <c r="AH404">
        <v>185</v>
      </c>
      <c r="AI404">
        <v>51.9</v>
      </c>
      <c r="AJ404">
        <v>21.5</v>
      </c>
      <c r="AK404" s="165" t="s">
        <v>4753</v>
      </c>
      <c r="AN404">
        <v>5</v>
      </c>
      <c r="AO404">
        <v>8</v>
      </c>
      <c r="AP404">
        <v>40</v>
      </c>
      <c r="AQ404" s="165" t="s">
        <v>3815</v>
      </c>
      <c r="AR404" t="s">
        <v>4009</v>
      </c>
      <c r="AS404" s="165" t="s">
        <v>174</v>
      </c>
      <c r="AT404" t="s">
        <v>5291</v>
      </c>
      <c r="AU404" t="s">
        <v>3809</v>
      </c>
    </row>
    <row r="405" spans="1:47" hidden="1" x14ac:dyDescent="0.25">
      <c r="A405" s="165" t="s">
        <v>4758</v>
      </c>
      <c r="B405" s="165" t="s">
        <v>4759</v>
      </c>
      <c r="C405" s="165" t="s">
        <v>2471</v>
      </c>
      <c r="D405" s="165" t="s">
        <v>4760</v>
      </c>
      <c r="E405" s="165" t="s">
        <v>4761</v>
      </c>
      <c r="F405" s="165" t="s">
        <v>11</v>
      </c>
      <c r="G405" s="165" t="s">
        <v>3878</v>
      </c>
      <c r="H405" s="165" t="s">
        <v>263</v>
      </c>
      <c r="I405" s="165" t="s">
        <v>3821</v>
      </c>
      <c r="J405" s="165" t="s">
        <v>3879</v>
      </c>
      <c r="K405" s="165"/>
      <c r="L405" s="165"/>
      <c r="M405" s="165"/>
      <c r="N405" s="165"/>
      <c r="O405" s="165"/>
      <c r="P405" s="165"/>
      <c r="Q405" s="165"/>
      <c r="R405" s="165"/>
      <c r="S405" s="165"/>
      <c r="T405" s="165" t="s">
        <v>3806</v>
      </c>
      <c r="U405" s="165" t="s">
        <v>3807</v>
      </c>
      <c r="V405" s="165"/>
      <c r="W405" s="165"/>
      <c r="X405" s="165"/>
      <c r="Y405">
        <v>2</v>
      </c>
      <c r="Z405" s="165" t="s">
        <v>3880</v>
      </c>
      <c r="AA405" s="165" t="s">
        <v>3810</v>
      </c>
      <c r="AB405" s="165" t="s">
        <v>3810</v>
      </c>
      <c r="AC405" s="165" t="s">
        <v>3811</v>
      </c>
      <c r="AD405" s="165" t="s">
        <v>4720</v>
      </c>
      <c r="AE405">
        <v>54</v>
      </c>
      <c r="AF405" s="165" t="s">
        <v>4752</v>
      </c>
      <c r="AG405">
        <v>489</v>
      </c>
      <c r="AH405">
        <v>185</v>
      </c>
      <c r="AI405">
        <v>51.9</v>
      </c>
      <c r="AJ405">
        <v>21.5</v>
      </c>
      <c r="AK405" s="165" t="s">
        <v>4753</v>
      </c>
      <c r="AN405">
        <v>5</v>
      </c>
      <c r="AO405">
        <v>8</v>
      </c>
      <c r="AP405">
        <v>40</v>
      </c>
      <c r="AQ405" s="165" t="s">
        <v>3815</v>
      </c>
      <c r="AR405" t="s">
        <v>4497</v>
      </c>
      <c r="AS405" s="165" t="s">
        <v>174</v>
      </c>
      <c r="AT405" t="s">
        <v>5291</v>
      </c>
      <c r="AU405" t="s">
        <v>3809</v>
      </c>
    </row>
    <row r="406" spans="1:47" hidden="1" x14ac:dyDescent="0.25">
      <c r="A406" s="165" t="s">
        <v>4762</v>
      </c>
      <c r="B406" s="165" t="s">
        <v>4763</v>
      </c>
      <c r="C406" s="165" t="s">
        <v>2471</v>
      </c>
      <c r="D406" s="165" t="s">
        <v>4764</v>
      </c>
      <c r="E406" s="165" t="s">
        <v>3886</v>
      </c>
      <c r="F406" s="165" t="s">
        <v>11</v>
      </c>
      <c r="G406" s="165" t="s">
        <v>3878</v>
      </c>
      <c r="H406" s="165" t="s">
        <v>263</v>
      </c>
      <c r="I406" s="165" t="s">
        <v>3821</v>
      </c>
      <c r="J406" s="165" t="s">
        <v>3879</v>
      </c>
      <c r="K406" s="165"/>
      <c r="L406" s="165"/>
      <c r="M406" s="165"/>
      <c r="N406" s="165"/>
      <c r="O406" s="165"/>
      <c r="P406" s="165"/>
      <c r="Q406" s="165"/>
      <c r="R406" s="165"/>
      <c r="S406" s="165"/>
      <c r="T406" s="165" t="s">
        <v>3806</v>
      </c>
      <c r="U406" s="165" t="s">
        <v>3807</v>
      </c>
      <c r="V406" s="165"/>
      <c r="W406" s="165"/>
      <c r="X406" s="165"/>
      <c r="Y406">
        <v>2</v>
      </c>
      <c r="Z406" s="165" t="s">
        <v>3880</v>
      </c>
      <c r="AA406" s="165" t="s">
        <v>3810</v>
      </c>
      <c r="AB406" s="165" t="s">
        <v>3810</v>
      </c>
      <c r="AC406" s="165" t="s">
        <v>3811</v>
      </c>
      <c r="AD406" s="165" t="s">
        <v>4720</v>
      </c>
      <c r="AE406">
        <v>54</v>
      </c>
      <c r="AF406" s="165" t="s">
        <v>4752</v>
      </c>
      <c r="AG406">
        <v>489</v>
      </c>
      <c r="AH406">
        <v>185</v>
      </c>
      <c r="AI406">
        <v>51.9</v>
      </c>
      <c r="AJ406">
        <v>21.5</v>
      </c>
      <c r="AK406" s="165" t="s">
        <v>4753</v>
      </c>
      <c r="AN406">
        <v>5</v>
      </c>
      <c r="AO406">
        <v>8</v>
      </c>
      <c r="AP406">
        <v>40</v>
      </c>
      <c r="AQ406" s="165" t="s">
        <v>3815</v>
      </c>
      <c r="AR406" t="s">
        <v>3928</v>
      </c>
      <c r="AS406" s="165" t="s">
        <v>174</v>
      </c>
      <c r="AT406" t="s">
        <v>5291</v>
      </c>
      <c r="AU406" t="s">
        <v>3809</v>
      </c>
    </row>
    <row r="407" spans="1:47" hidden="1" x14ac:dyDescent="0.25">
      <c r="A407" s="165" t="s">
        <v>1438</v>
      </c>
      <c r="B407" s="165" t="s">
        <v>4765</v>
      </c>
      <c r="C407" s="165" t="s">
        <v>2471</v>
      </c>
      <c r="D407" s="165" t="s">
        <v>1439</v>
      </c>
      <c r="E407" s="165" t="s">
        <v>4558</v>
      </c>
      <c r="F407" s="165" t="s">
        <v>11</v>
      </c>
      <c r="G407" s="165" t="s">
        <v>3878</v>
      </c>
      <c r="H407" s="165" t="s">
        <v>263</v>
      </c>
      <c r="I407" s="165" t="s">
        <v>3821</v>
      </c>
      <c r="J407" s="165" t="s">
        <v>3879</v>
      </c>
      <c r="K407" s="165"/>
      <c r="L407" s="165"/>
      <c r="M407" s="165"/>
      <c r="N407" s="165"/>
      <c r="O407" s="165"/>
      <c r="P407" s="165"/>
      <c r="Q407" s="165"/>
      <c r="R407" s="165"/>
      <c r="S407" s="165"/>
      <c r="T407" s="165" t="s">
        <v>3806</v>
      </c>
      <c r="U407" s="165" t="s">
        <v>3807</v>
      </c>
      <c r="V407" s="165"/>
      <c r="W407" s="165"/>
      <c r="X407" s="165"/>
      <c r="Y407">
        <v>2</v>
      </c>
      <c r="Z407" s="165" t="s">
        <v>3880</v>
      </c>
      <c r="AA407" s="165" t="s">
        <v>3810</v>
      </c>
      <c r="AB407" s="165" t="s">
        <v>3810</v>
      </c>
      <c r="AC407" s="165" t="s">
        <v>3811</v>
      </c>
      <c r="AD407" s="165" t="s">
        <v>4720</v>
      </c>
      <c r="AE407">
        <v>54</v>
      </c>
      <c r="AF407" s="165" t="s">
        <v>4752</v>
      </c>
      <c r="AG407">
        <v>489</v>
      </c>
      <c r="AH407">
        <v>185</v>
      </c>
      <c r="AI407">
        <v>51.9</v>
      </c>
      <c r="AJ407">
        <v>21.5</v>
      </c>
      <c r="AK407" s="165" t="s">
        <v>4753</v>
      </c>
      <c r="AN407">
        <v>5</v>
      </c>
      <c r="AO407">
        <v>8</v>
      </c>
      <c r="AP407">
        <v>40</v>
      </c>
      <c r="AQ407" s="165" t="s">
        <v>3815</v>
      </c>
      <c r="AR407" t="s">
        <v>3870</v>
      </c>
      <c r="AS407" s="165" t="s">
        <v>174</v>
      </c>
      <c r="AT407" t="s">
        <v>5291</v>
      </c>
      <c r="AU407" t="s">
        <v>3809</v>
      </c>
    </row>
    <row r="408" spans="1:47" hidden="1" x14ac:dyDescent="0.25">
      <c r="A408" s="165" t="s">
        <v>1448</v>
      </c>
      <c r="B408" s="165" t="s">
        <v>4766</v>
      </c>
      <c r="C408" s="165" t="s">
        <v>23</v>
      </c>
      <c r="D408" s="165" t="s">
        <v>4730</v>
      </c>
      <c r="E408" s="165" t="s">
        <v>4055</v>
      </c>
      <c r="F408" s="165" t="s">
        <v>11</v>
      </c>
      <c r="G408" s="165" t="s">
        <v>3878</v>
      </c>
      <c r="H408" s="165" t="s">
        <v>263</v>
      </c>
      <c r="I408" s="165" t="s">
        <v>3821</v>
      </c>
      <c r="J408" s="165" t="s">
        <v>3879</v>
      </c>
      <c r="K408" s="165"/>
      <c r="L408" s="165"/>
      <c r="M408" s="165"/>
      <c r="N408" s="165"/>
      <c r="O408" s="165"/>
      <c r="P408" s="165"/>
      <c r="Q408" s="165"/>
      <c r="R408" s="165"/>
      <c r="S408" s="165"/>
      <c r="T408" s="165" t="s">
        <v>3806</v>
      </c>
      <c r="U408" s="165" t="s">
        <v>3807</v>
      </c>
      <c r="V408" s="165"/>
      <c r="W408" s="165"/>
      <c r="X408" s="165"/>
      <c r="Y408">
        <v>2</v>
      </c>
      <c r="Z408" s="165" t="s">
        <v>3880</v>
      </c>
      <c r="AA408" s="165" t="s">
        <v>3810</v>
      </c>
      <c r="AB408" s="165" t="s">
        <v>3811</v>
      </c>
      <c r="AC408" s="165" t="s">
        <v>3811</v>
      </c>
      <c r="AD408" s="165" t="s">
        <v>3881</v>
      </c>
      <c r="AE408">
        <v>1</v>
      </c>
      <c r="AF408" s="165" t="s">
        <v>3882</v>
      </c>
      <c r="AG408">
        <v>34</v>
      </c>
      <c r="AH408">
        <v>29</v>
      </c>
      <c r="AI408">
        <v>37</v>
      </c>
      <c r="AJ408">
        <v>32</v>
      </c>
      <c r="AK408" s="165" t="s">
        <v>3883</v>
      </c>
      <c r="AL408">
        <v>36</v>
      </c>
      <c r="AM408">
        <v>32</v>
      </c>
      <c r="AN408">
        <v>6</v>
      </c>
      <c r="AO408">
        <v>6</v>
      </c>
      <c r="AP408">
        <v>36</v>
      </c>
      <c r="AQ408" s="165" t="s">
        <v>3815</v>
      </c>
      <c r="AR408" t="s">
        <v>4767</v>
      </c>
      <c r="AS408" s="165" t="s">
        <v>3786</v>
      </c>
      <c r="AT408" t="s">
        <v>5291</v>
      </c>
      <c r="AU408" t="s">
        <v>5291</v>
      </c>
    </row>
    <row r="409" spans="1:47" hidden="1" x14ac:dyDescent="0.25">
      <c r="A409" s="165" t="s">
        <v>1612</v>
      </c>
      <c r="B409" s="165" t="s">
        <v>3329</v>
      </c>
      <c r="C409" s="165" t="s">
        <v>2471</v>
      </c>
      <c r="D409" s="165" t="s">
        <v>4768</v>
      </c>
      <c r="E409" s="165" t="s">
        <v>4019</v>
      </c>
      <c r="F409" s="165" t="s">
        <v>9</v>
      </c>
      <c r="G409" s="165" t="s">
        <v>3878</v>
      </c>
      <c r="H409" s="165" t="s">
        <v>3466</v>
      </c>
      <c r="I409" s="165" t="s">
        <v>3807</v>
      </c>
      <c r="J409" s="165" t="s">
        <v>4769</v>
      </c>
      <c r="K409" s="165" t="s">
        <v>3819</v>
      </c>
      <c r="L409" s="165" t="s">
        <v>3820</v>
      </c>
      <c r="M409" s="165" t="s">
        <v>3803</v>
      </c>
      <c r="N409" s="165" t="s">
        <v>3805</v>
      </c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>
        <v>4</v>
      </c>
      <c r="Z409" s="165" t="s">
        <v>3873</v>
      </c>
      <c r="AA409" s="165" t="s">
        <v>3809</v>
      </c>
      <c r="AB409" s="165" t="s">
        <v>3810</v>
      </c>
      <c r="AC409" s="165" t="s">
        <v>3811</v>
      </c>
      <c r="AD409" s="165" t="s">
        <v>4770</v>
      </c>
      <c r="AE409">
        <v>93</v>
      </c>
      <c r="AF409" s="165" t="s">
        <v>4771</v>
      </c>
      <c r="AG409">
        <v>489</v>
      </c>
      <c r="AH409">
        <v>19</v>
      </c>
      <c r="AI409">
        <v>51.9</v>
      </c>
      <c r="AJ409">
        <v>22</v>
      </c>
      <c r="AK409" s="165" t="s">
        <v>4772</v>
      </c>
      <c r="AN409">
        <v>5</v>
      </c>
      <c r="AO409">
        <v>8</v>
      </c>
      <c r="AP409">
        <v>40</v>
      </c>
      <c r="AQ409" s="165" t="s">
        <v>3815</v>
      </c>
      <c r="AR409" t="s">
        <v>3971</v>
      </c>
      <c r="AS409" s="165" t="s">
        <v>174</v>
      </c>
      <c r="AT409" t="s">
        <v>5291</v>
      </c>
      <c r="AU409" t="s">
        <v>3809</v>
      </c>
    </row>
    <row r="410" spans="1:47" hidden="1" x14ac:dyDescent="0.25">
      <c r="A410" s="165" t="s">
        <v>1420</v>
      </c>
      <c r="B410" s="165" t="s">
        <v>4773</v>
      </c>
      <c r="C410" s="165" t="s">
        <v>2471</v>
      </c>
      <c r="D410" s="165" t="s">
        <v>4774</v>
      </c>
      <c r="E410" s="165" t="s">
        <v>4019</v>
      </c>
      <c r="F410" s="165" t="s">
        <v>9</v>
      </c>
      <c r="G410" s="165" t="s">
        <v>3878</v>
      </c>
      <c r="H410" s="165" t="s">
        <v>2206</v>
      </c>
      <c r="I410" s="165" t="s">
        <v>3807</v>
      </c>
      <c r="J410" s="165" t="s">
        <v>4314</v>
      </c>
      <c r="K410" s="165"/>
      <c r="L410" s="165"/>
      <c r="M410" s="165"/>
      <c r="N410" s="165"/>
      <c r="O410" s="165" t="s">
        <v>3864</v>
      </c>
      <c r="P410" s="165" t="s">
        <v>3865</v>
      </c>
      <c r="Q410" s="165"/>
      <c r="R410" s="165"/>
      <c r="S410" s="165"/>
      <c r="T410" s="165"/>
      <c r="U410" s="165" t="s">
        <v>3807</v>
      </c>
      <c r="V410" s="165"/>
      <c r="W410" s="165"/>
      <c r="X410" s="165"/>
      <c r="Y410">
        <v>3</v>
      </c>
      <c r="Z410" s="165" t="s">
        <v>4775</v>
      </c>
      <c r="AA410" s="165" t="s">
        <v>3809</v>
      </c>
      <c r="AB410" s="165" t="s">
        <v>3810</v>
      </c>
      <c r="AC410" s="165" t="s">
        <v>3811</v>
      </c>
      <c r="AD410" s="165" t="s">
        <v>4770</v>
      </c>
      <c r="AE410">
        <v>93</v>
      </c>
      <c r="AF410" s="165" t="s">
        <v>4771</v>
      </c>
      <c r="AG410">
        <v>489</v>
      </c>
      <c r="AH410">
        <v>19</v>
      </c>
      <c r="AI410">
        <v>51.9</v>
      </c>
      <c r="AJ410">
        <v>22</v>
      </c>
      <c r="AK410" s="165" t="s">
        <v>4772</v>
      </c>
      <c r="AN410">
        <v>5</v>
      </c>
      <c r="AO410">
        <v>8</v>
      </c>
      <c r="AP410">
        <v>40</v>
      </c>
      <c r="AQ410" s="165" t="s">
        <v>3815</v>
      </c>
      <c r="AR410" t="s">
        <v>3855</v>
      </c>
      <c r="AS410" s="165" t="s">
        <v>174</v>
      </c>
      <c r="AT410" t="s">
        <v>5291</v>
      </c>
      <c r="AU410" t="s">
        <v>3809</v>
      </c>
    </row>
    <row r="411" spans="1:47" hidden="1" x14ac:dyDescent="0.25">
      <c r="A411" s="165" t="s">
        <v>4776</v>
      </c>
      <c r="B411" s="165" t="s">
        <v>4777</v>
      </c>
      <c r="C411" s="165" t="s">
        <v>2471</v>
      </c>
      <c r="D411" s="165" t="s">
        <v>4778</v>
      </c>
      <c r="E411" s="165" t="s">
        <v>4556</v>
      </c>
      <c r="F411" s="165" t="s">
        <v>11</v>
      </c>
      <c r="G411" s="165" t="s">
        <v>3878</v>
      </c>
      <c r="H411" s="165" t="s">
        <v>263</v>
      </c>
      <c r="I411" s="165" t="s">
        <v>3821</v>
      </c>
      <c r="J411" s="165" t="s">
        <v>3879</v>
      </c>
      <c r="K411" s="165"/>
      <c r="L411" s="165"/>
      <c r="M411" s="165"/>
      <c r="N411" s="165"/>
      <c r="O411" s="165"/>
      <c r="P411" s="165"/>
      <c r="Q411" s="165"/>
      <c r="R411" s="165"/>
      <c r="S411" s="165"/>
      <c r="T411" s="165" t="s">
        <v>3806</v>
      </c>
      <c r="U411" s="165" t="s">
        <v>3807</v>
      </c>
      <c r="V411" s="165"/>
      <c r="W411" s="165"/>
      <c r="X411" s="165"/>
      <c r="Y411">
        <v>2</v>
      </c>
      <c r="Z411" s="165" t="s">
        <v>3880</v>
      </c>
      <c r="AA411" s="165" t="s">
        <v>3811</v>
      </c>
      <c r="AB411" s="165" t="s">
        <v>3810</v>
      </c>
      <c r="AC411" s="165" t="s">
        <v>3809</v>
      </c>
      <c r="AD411" s="165" t="s">
        <v>4720</v>
      </c>
      <c r="AE411">
        <v>54</v>
      </c>
      <c r="AF411" s="165" t="s">
        <v>4779</v>
      </c>
      <c r="AG411">
        <v>489</v>
      </c>
      <c r="AH411">
        <v>37</v>
      </c>
      <c r="AI411">
        <v>51.9</v>
      </c>
      <c r="AJ411">
        <v>40</v>
      </c>
      <c r="AK411" s="165" t="s">
        <v>4780</v>
      </c>
      <c r="AN411">
        <v>10</v>
      </c>
      <c r="AO411">
        <v>4</v>
      </c>
      <c r="AP411">
        <v>40</v>
      </c>
      <c r="AQ411" s="165" t="s">
        <v>3978</v>
      </c>
      <c r="AR411" t="s">
        <v>4781</v>
      </c>
      <c r="AS411" s="165" t="s">
        <v>30</v>
      </c>
      <c r="AT411" t="s">
        <v>5291</v>
      </c>
      <c r="AU411" t="s">
        <v>3809</v>
      </c>
    </row>
    <row r="412" spans="1:47" hidden="1" x14ac:dyDescent="0.25">
      <c r="A412" s="165" t="s">
        <v>4782</v>
      </c>
      <c r="B412" s="165" t="s">
        <v>4783</v>
      </c>
      <c r="C412" s="165" t="s">
        <v>2471</v>
      </c>
      <c r="D412" s="165" t="s">
        <v>4784</v>
      </c>
      <c r="E412" s="165" t="s">
        <v>4657</v>
      </c>
      <c r="F412" s="165" t="s">
        <v>11</v>
      </c>
      <c r="G412" s="165" t="s">
        <v>3878</v>
      </c>
      <c r="H412" s="165" t="s">
        <v>263</v>
      </c>
      <c r="I412" s="165" t="s">
        <v>3821</v>
      </c>
      <c r="J412" s="165" t="s">
        <v>3879</v>
      </c>
      <c r="K412" s="165"/>
      <c r="L412" s="165"/>
      <c r="M412" s="165"/>
      <c r="N412" s="165"/>
      <c r="O412" s="165"/>
      <c r="P412" s="165"/>
      <c r="Q412" s="165"/>
      <c r="R412" s="165"/>
      <c r="S412" s="165"/>
      <c r="T412" s="165" t="s">
        <v>3806</v>
      </c>
      <c r="U412" s="165" t="s">
        <v>3807</v>
      </c>
      <c r="V412" s="165"/>
      <c r="W412" s="165"/>
      <c r="X412" s="165"/>
      <c r="Y412">
        <v>2</v>
      </c>
      <c r="Z412" s="165" t="s">
        <v>3880</v>
      </c>
      <c r="AA412" s="165" t="s">
        <v>3811</v>
      </c>
      <c r="AB412" s="165" t="s">
        <v>3810</v>
      </c>
      <c r="AC412" s="165" t="s">
        <v>3809</v>
      </c>
      <c r="AD412" s="165" t="s">
        <v>4720</v>
      </c>
      <c r="AE412">
        <v>54</v>
      </c>
      <c r="AF412" s="165" t="s">
        <v>4779</v>
      </c>
      <c r="AG412">
        <v>489</v>
      </c>
      <c r="AH412">
        <v>37</v>
      </c>
      <c r="AI412">
        <v>51.9</v>
      </c>
      <c r="AJ412">
        <v>40</v>
      </c>
      <c r="AK412" s="165" t="s">
        <v>4780</v>
      </c>
      <c r="AN412">
        <v>10</v>
      </c>
      <c r="AO412">
        <v>4</v>
      </c>
      <c r="AP412">
        <v>40</v>
      </c>
      <c r="AQ412" s="165" t="s">
        <v>3815</v>
      </c>
      <c r="AR412" t="s">
        <v>4045</v>
      </c>
      <c r="AS412" s="165" t="s">
        <v>30</v>
      </c>
      <c r="AT412" t="s">
        <v>5291</v>
      </c>
      <c r="AU412" t="s">
        <v>3809</v>
      </c>
    </row>
    <row r="413" spans="1:47" hidden="1" x14ac:dyDescent="0.25">
      <c r="A413" s="165" t="s">
        <v>1426</v>
      </c>
      <c r="B413" s="165" t="s">
        <v>4785</v>
      </c>
      <c r="C413" s="165" t="s">
        <v>23</v>
      </c>
      <c r="D413" s="165" t="s">
        <v>4786</v>
      </c>
      <c r="E413" s="165" t="s">
        <v>4049</v>
      </c>
      <c r="F413" s="165" t="s">
        <v>11</v>
      </c>
      <c r="G413" s="165" t="s">
        <v>3878</v>
      </c>
      <c r="H413" s="165" t="s">
        <v>263</v>
      </c>
      <c r="I413" s="165" t="s">
        <v>3821</v>
      </c>
      <c r="J413" s="165" t="s">
        <v>3879</v>
      </c>
      <c r="K413" s="165"/>
      <c r="L413" s="165"/>
      <c r="M413" s="165"/>
      <c r="N413" s="165"/>
      <c r="O413" s="165"/>
      <c r="P413" s="165"/>
      <c r="Q413" s="165"/>
      <c r="R413" s="165"/>
      <c r="S413" s="165"/>
      <c r="T413" s="165" t="s">
        <v>3806</v>
      </c>
      <c r="U413" s="165" t="s">
        <v>3807</v>
      </c>
      <c r="V413" s="165"/>
      <c r="W413" s="165"/>
      <c r="X413" s="165"/>
      <c r="Y413">
        <v>2</v>
      </c>
      <c r="Z413" s="165" t="s">
        <v>3880</v>
      </c>
      <c r="AA413" s="165" t="s">
        <v>3811</v>
      </c>
      <c r="AB413" s="165" t="s">
        <v>3810</v>
      </c>
      <c r="AC413" s="165" t="s">
        <v>3809</v>
      </c>
      <c r="AD413" s="165" t="s">
        <v>3881</v>
      </c>
      <c r="AE413">
        <v>1</v>
      </c>
      <c r="AF413" s="165" t="s">
        <v>3882</v>
      </c>
      <c r="AG413">
        <v>34</v>
      </c>
      <c r="AH413">
        <v>29</v>
      </c>
      <c r="AI413">
        <v>37</v>
      </c>
      <c r="AJ413">
        <v>32</v>
      </c>
      <c r="AK413" s="165" t="s">
        <v>3883</v>
      </c>
      <c r="AL413">
        <v>36</v>
      </c>
      <c r="AM413">
        <v>32</v>
      </c>
      <c r="AN413">
        <v>6</v>
      </c>
      <c r="AO413">
        <v>6</v>
      </c>
      <c r="AP413">
        <v>36</v>
      </c>
      <c r="AQ413" s="165" t="s">
        <v>3815</v>
      </c>
      <c r="AR413" t="s">
        <v>3974</v>
      </c>
      <c r="AS413" s="165" t="s">
        <v>30</v>
      </c>
      <c r="AT413" t="s">
        <v>5291</v>
      </c>
      <c r="AU413" t="s">
        <v>5291</v>
      </c>
    </row>
    <row r="414" spans="1:47" hidden="1" x14ac:dyDescent="0.25">
      <c r="A414" s="165" t="s">
        <v>1612</v>
      </c>
      <c r="B414" s="165" t="s">
        <v>3329</v>
      </c>
      <c r="C414" s="165" t="s">
        <v>2471</v>
      </c>
      <c r="D414" s="165" t="s">
        <v>4787</v>
      </c>
      <c r="E414" s="165" t="s">
        <v>4019</v>
      </c>
      <c r="F414" s="165" t="s">
        <v>9</v>
      </c>
      <c r="G414" s="165" t="s">
        <v>3878</v>
      </c>
      <c r="H414" s="165" t="s">
        <v>3466</v>
      </c>
      <c r="I414" s="165" t="s">
        <v>3807</v>
      </c>
      <c r="J414" s="165" t="s">
        <v>4769</v>
      </c>
      <c r="K414" s="165" t="s">
        <v>3819</v>
      </c>
      <c r="L414" s="165" t="s">
        <v>3820</v>
      </c>
      <c r="M414" s="165" t="s">
        <v>3803</v>
      </c>
      <c r="N414" s="165" t="s">
        <v>3805</v>
      </c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>
        <v>4</v>
      </c>
      <c r="Z414" s="165" t="s">
        <v>3873</v>
      </c>
      <c r="AA414" s="165" t="s">
        <v>3810</v>
      </c>
      <c r="AB414" s="165" t="s">
        <v>3811</v>
      </c>
      <c r="AC414" s="165" t="s">
        <v>3809</v>
      </c>
      <c r="AD414" s="165" t="s">
        <v>4770</v>
      </c>
      <c r="AE414">
        <v>93</v>
      </c>
      <c r="AF414" s="165" t="s">
        <v>4692</v>
      </c>
      <c r="AG414">
        <v>489</v>
      </c>
      <c r="AH414">
        <v>38</v>
      </c>
      <c r="AI414">
        <v>51.9</v>
      </c>
      <c r="AJ414">
        <v>41</v>
      </c>
      <c r="AK414" s="165" t="s">
        <v>4693</v>
      </c>
      <c r="AN414">
        <v>10</v>
      </c>
      <c r="AO414">
        <v>4</v>
      </c>
      <c r="AP414">
        <v>40</v>
      </c>
      <c r="AQ414" s="165" t="s">
        <v>3815</v>
      </c>
      <c r="AR414" t="s">
        <v>3816</v>
      </c>
      <c r="AS414" s="165" t="s">
        <v>3786</v>
      </c>
      <c r="AT414" t="s">
        <v>5291</v>
      </c>
      <c r="AU414" t="s">
        <v>3809</v>
      </c>
    </row>
    <row r="415" spans="1:47" hidden="1" x14ac:dyDescent="0.25">
      <c r="A415" s="165" t="s">
        <v>4788</v>
      </c>
      <c r="B415" s="165" t="s">
        <v>4789</v>
      </c>
      <c r="C415" s="165" t="s">
        <v>2471</v>
      </c>
      <c r="D415" s="165" t="s">
        <v>4790</v>
      </c>
      <c r="E415" s="165" t="s">
        <v>4556</v>
      </c>
      <c r="F415" s="165" t="s">
        <v>11</v>
      </c>
      <c r="G415" s="165" t="s">
        <v>3878</v>
      </c>
      <c r="H415" s="165" t="s">
        <v>263</v>
      </c>
      <c r="I415" s="165" t="s">
        <v>3821</v>
      </c>
      <c r="J415" s="165" t="s">
        <v>3879</v>
      </c>
      <c r="K415" s="165"/>
      <c r="L415" s="165"/>
      <c r="M415" s="165"/>
      <c r="N415" s="165"/>
      <c r="O415" s="165"/>
      <c r="P415" s="165"/>
      <c r="Q415" s="165"/>
      <c r="R415" s="165"/>
      <c r="S415" s="165"/>
      <c r="T415" s="165" t="s">
        <v>3806</v>
      </c>
      <c r="U415" s="165" t="s">
        <v>3807</v>
      </c>
      <c r="V415" s="165"/>
      <c r="W415" s="165"/>
      <c r="X415" s="165"/>
      <c r="Y415">
        <v>2</v>
      </c>
      <c r="Z415" s="165" t="s">
        <v>3880</v>
      </c>
      <c r="AA415" s="165" t="s">
        <v>3811</v>
      </c>
      <c r="AB415" s="165" t="s">
        <v>3810</v>
      </c>
      <c r="AC415" s="165" t="s">
        <v>3809</v>
      </c>
      <c r="AD415" s="165" t="s">
        <v>4688</v>
      </c>
      <c r="AE415">
        <v>28</v>
      </c>
      <c r="AF415" s="165" t="s">
        <v>4692</v>
      </c>
      <c r="AG415">
        <v>489</v>
      </c>
      <c r="AH415">
        <v>38</v>
      </c>
      <c r="AI415">
        <v>51.9</v>
      </c>
      <c r="AJ415">
        <v>41</v>
      </c>
      <c r="AK415" s="165" t="s">
        <v>4693</v>
      </c>
      <c r="AN415">
        <v>10</v>
      </c>
      <c r="AO415">
        <v>4</v>
      </c>
      <c r="AP415">
        <v>40</v>
      </c>
      <c r="AQ415" s="165" t="s">
        <v>3978</v>
      </c>
      <c r="AR415" t="s">
        <v>4503</v>
      </c>
      <c r="AS415" s="165" t="s">
        <v>30</v>
      </c>
      <c r="AT415" t="s">
        <v>5291</v>
      </c>
      <c r="AU415" t="s">
        <v>3809</v>
      </c>
    </row>
    <row r="416" spans="1:47" hidden="1" x14ac:dyDescent="0.25">
      <c r="A416" s="165" t="s">
        <v>1425</v>
      </c>
      <c r="B416" s="165" t="s">
        <v>4791</v>
      </c>
      <c r="C416" s="165" t="s">
        <v>23</v>
      </c>
      <c r="D416" s="165" t="s">
        <v>4792</v>
      </c>
      <c r="E416" s="165" t="s">
        <v>4738</v>
      </c>
      <c r="F416" s="165" t="s">
        <v>11</v>
      </c>
      <c r="G416" s="165" t="s">
        <v>3878</v>
      </c>
      <c r="H416" s="165" t="s">
        <v>263</v>
      </c>
      <c r="I416" s="165" t="s">
        <v>3821</v>
      </c>
      <c r="J416" s="165" t="s">
        <v>3879</v>
      </c>
      <c r="K416" s="165"/>
      <c r="L416" s="165"/>
      <c r="M416" s="165"/>
      <c r="N416" s="165"/>
      <c r="O416" s="165"/>
      <c r="P416" s="165"/>
      <c r="Q416" s="165"/>
      <c r="R416" s="165"/>
      <c r="S416" s="165"/>
      <c r="T416" s="165" t="s">
        <v>3806</v>
      </c>
      <c r="U416" s="165" t="s">
        <v>3807</v>
      </c>
      <c r="V416" s="165"/>
      <c r="W416" s="165"/>
      <c r="X416" s="165"/>
      <c r="Y416">
        <v>2</v>
      </c>
      <c r="Z416" s="165" t="s">
        <v>3880</v>
      </c>
      <c r="AA416" s="165" t="s">
        <v>3810</v>
      </c>
      <c r="AB416" s="165" t="s">
        <v>3811</v>
      </c>
      <c r="AC416" s="165" t="s">
        <v>3811</v>
      </c>
      <c r="AD416" s="165" t="s">
        <v>3881</v>
      </c>
      <c r="AE416">
        <v>1</v>
      </c>
      <c r="AF416" s="165" t="s">
        <v>3882</v>
      </c>
      <c r="AG416">
        <v>34</v>
      </c>
      <c r="AH416">
        <v>29</v>
      </c>
      <c r="AI416">
        <v>37</v>
      </c>
      <c r="AJ416">
        <v>32</v>
      </c>
      <c r="AK416" s="165" t="s">
        <v>3883</v>
      </c>
      <c r="AL416">
        <v>36</v>
      </c>
      <c r="AM416">
        <v>32</v>
      </c>
      <c r="AN416">
        <v>6</v>
      </c>
      <c r="AO416">
        <v>6</v>
      </c>
      <c r="AP416">
        <v>36</v>
      </c>
      <c r="AQ416" s="165" t="s">
        <v>3815</v>
      </c>
      <c r="AR416" t="s">
        <v>3870</v>
      </c>
      <c r="AS416" s="165" t="s">
        <v>3786</v>
      </c>
      <c r="AT416" t="s">
        <v>5291</v>
      </c>
      <c r="AU416" t="s">
        <v>5291</v>
      </c>
    </row>
    <row r="417" spans="1:47" hidden="1" x14ac:dyDescent="0.25">
      <c r="A417" s="165" t="s">
        <v>4793</v>
      </c>
      <c r="B417" s="165" t="s">
        <v>88</v>
      </c>
      <c r="C417" s="165" t="s">
        <v>2471</v>
      </c>
      <c r="D417" s="165" t="s">
        <v>4794</v>
      </c>
      <c r="E417" s="165" t="s">
        <v>4795</v>
      </c>
      <c r="F417" s="165" t="s">
        <v>2183</v>
      </c>
      <c r="G417" s="165" t="s">
        <v>3878</v>
      </c>
      <c r="H417" s="165" t="s">
        <v>263</v>
      </c>
      <c r="I417" s="165" t="s">
        <v>3807</v>
      </c>
      <c r="J417" s="165" t="s">
        <v>4570</v>
      </c>
      <c r="K417" s="165"/>
      <c r="L417" s="165"/>
      <c r="M417" s="165"/>
      <c r="N417" s="165"/>
      <c r="O417" s="165"/>
      <c r="P417" s="165"/>
      <c r="Q417" s="165"/>
      <c r="R417" s="165"/>
      <c r="S417" s="165"/>
      <c r="T417" s="165" t="s">
        <v>3806</v>
      </c>
      <c r="U417" s="165" t="s">
        <v>3807</v>
      </c>
      <c r="V417" s="165"/>
      <c r="W417" s="165"/>
      <c r="X417" s="165"/>
      <c r="Y417">
        <v>2</v>
      </c>
      <c r="Z417" s="165" t="s">
        <v>3880</v>
      </c>
      <c r="AA417" s="165" t="s">
        <v>3811</v>
      </c>
      <c r="AB417" s="165" t="s">
        <v>3810</v>
      </c>
      <c r="AC417" s="165" t="s">
        <v>3809</v>
      </c>
      <c r="AD417" s="165" t="s">
        <v>4688</v>
      </c>
      <c r="AE417">
        <v>28</v>
      </c>
      <c r="AF417" s="165" t="s">
        <v>4692</v>
      </c>
      <c r="AG417">
        <v>489</v>
      </c>
      <c r="AH417">
        <v>38</v>
      </c>
      <c r="AI417">
        <v>51.9</v>
      </c>
      <c r="AJ417">
        <v>41</v>
      </c>
      <c r="AK417" s="165" t="s">
        <v>4693</v>
      </c>
      <c r="AN417">
        <v>10</v>
      </c>
      <c r="AO417">
        <v>4</v>
      </c>
      <c r="AP417">
        <v>40</v>
      </c>
      <c r="AQ417" s="165" t="s">
        <v>3978</v>
      </c>
      <c r="AR417" t="s">
        <v>4796</v>
      </c>
      <c r="AS417" s="165" t="s">
        <v>30</v>
      </c>
      <c r="AT417" t="s">
        <v>5291</v>
      </c>
      <c r="AU417" t="s">
        <v>3809</v>
      </c>
    </row>
    <row r="418" spans="1:47" hidden="1" x14ac:dyDescent="0.25">
      <c r="A418" s="165" t="s">
        <v>4797</v>
      </c>
      <c r="B418" s="165" t="s">
        <v>4798</v>
      </c>
      <c r="C418" s="165" t="s">
        <v>2471</v>
      </c>
      <c r="D418" s="165" t="s">
        <v>4799</v>
      </c>
      <c r="E418" s="165" t="s">
        <v>4800</v>
      </c>
      <c r="F418" s="165" t="s">
        <v>2183</v>
      </c>
      <c r="G418" s="165" t="s">
        <v>3878</v>
      </c>
      <c r="H418" s="165" t="s">
        <v>263</v>
      </c>
      <c r="I418" s="165" t="s">
        <v>3807</v>
      </c>
      <c r="J418" s="165" t="s">
        <v>4570</v>
      </c>
      <c r="K418" s="165"/>
      <c r="L418" s="165"/>
      <c r="M418" s="165"/>
      <c r="N418" s="165"/>
      <c r="O418" s="165"/>
      <c r="P418" s="165"/>
      <c r="Q418" s="165"/>
      <c r="R418" s="165"/>
      <c r="S418" s="165"/>
      <c r="T418" s="165" t="s">
        <v>3806</v>
      </c>
      <c r="U418" s="165" t="s">
        <v>3807</v>
      </c>
      <c r="V418" s="165"/>
      <c r="W418" s="165"/>
      <c r="X418" s="165"/>
      <c r="Y418">
        <v>2</v>
      </c>
      <c r="Z418" s="165" t="s">
        <v>3880</v>
      </c>
      <c r="AA418" s="165" t="s">
        <v>3810</v>
      </c>
      <c r="AB418" s="165" t="s">
        <v>3810</v>
      </c>
      <c r="AC418" s="165" t="s">
        <v>3811</v>
      </c>
      <c r="AD418" s="165" t="s">
        <v>4688</v>
      </c>
      <c r="AE418">
        <v>28</v>
      </c>
      <c r="AF418" s="165" t="s">
        <v>4689</v>
      </c>
      <c r="AG418">
        <v>485</v>
      </c>
      <c r="AH418">
        <v>19</v>
      </c>
      <c r="AI418">
        <v>51.5</v>
      </c>
      <c r="AJ418">
        <v>22</v>
      </c>
      <c r="AK418" s="165" t="s">
        <v>4690</v>
      </c>
      <c r="AN418">
        <v>5</v>
      </c>
      <c r="AO418">
        <v>8</v>
      </c>
      <c r="AP418">
        <v>40</v>
      </c>
      <c r="AQ418" s="165" t="s">
        <v>3815</v>
      </c>
      <c r="AR418" t="s">
        <v>4092</v>
      </c>
      <c r="AS418" s="165" t="s">
        <v>174</v>
      </c>
      <c r="AT418" t="s">
        <v>5291</v>
      </c>
      <c r="AU418" t="s">
        <v>3809</v>
      </c>
    </row>
    <row r="419" spans="1:47" hidden="1" x14ac:dyDescent="0.25">
      <c r="A419" s="165" t="s">
        <v>4797</v>
      </c>
      <c r="B419" s="165" t="s">
        <v>4798</v>
      </c>
      <c r="C419" s="165" t="s">
        <v>2471</v>
      </c>
      <c r="D419" s="165" t="s">
        <v>4801</v>
      </c>
      <c r="E419" s="165" t="s">
        <v>4800</v>
      </c>
      <c r="F419" s="165" t="s">
        <v>2183</v>
      </c>
      <c r="G419" s="165" t="s">
        <v>3878</v>
      </c>
      <c r="H419" s="165" t="s">
        <v>263</v>
      </c>
      <c r="I419" s="165" t="s">
        <v>3807</v>
      </c>
      <c r="J419" s="165" t="s">
        <v>4570</v>
      </c>
      <c r="K419" s="165"/>
      <c r="L419" s="165"/>
      <c r="M419" s="165"/>
      <c r="N419" s="165"/>
      <c r="O419" s="165"/>
      <c r="P419" s="165"/>
      <c r="Q419" s="165"/>
      <c r="R419" s="165"/>
      <c r="S419" s="165"/>
      <c r="T419" s="165" t="s">
        <v>3806</v>
      </c>
      <c r="U419" s="165" t="s">
        <v>3807</v>
      </c>
      <c r="V419" s="165"/>
      <c r="W419" s="165"/>
      <c r="X419" s="165"/>
      <c r="Y419">
        <v>2</v>
      </c>
      <c r="Z419" s="165" t="s">
        <v>3880</v>
      </c>
      <c r="AA419" s="165" t="s">
        <v>3811</v>
      </c>
      <c r="AB419" s="165" t="s">
        <v>3810</v>
      </c>
      <c r="AC419" s="165" t="s">
        <v>3809</v>
      </c>
      <c r="AD419" s="165" t="s">
        <v>4688</v>
      </c>
      <c r="AE419">
        <v>28</v>
      </c>
      <c r="AF419" s="165" t="s">
        <v>4692</v>
      </c>
      <c r="AG419">
        <v>489</v>
      </c>
      <c r="AH419">
        <v>38</v>
      </c>
      <c r="AI419">
        <v>51.9</v>
      </c>
      <c r="AJ419">
        <v>41</v>
      </c>
      <c r="AK419" s="165" t="s">
        <v>4693</v>
      </c>
      <c r="AN419">
        <v>10</v>
      </c>
      <c r="AO419">
        <v>4</v>
      </c>
      <c r="AP419">
        <v>40</v>
      </c>
      <c r="AQ419" s="165" t="s">
        <v>3815</v>
      </c>
      <c r="AR419" t="s">
        <v>4092</v>
      </c>
      <c r="AS419" s="165" t="s">
        <v>30</v>
      </c>
      <c r="AT419" t="s">
        <v>5291</v>
      </c>
      <c r="AU419" t="s">
        <v>3809</v>
      </c>
    </row>
    <row r="420" spans="1:47" hidden="1" x14ac:dyDescent="0.25">
      <c r="A420" s="165" t="s">
        <v>1429</v>
      </c>
      <c r="B420" s="165" t="s">
        <v>3449</v>
      </c>
      <c r="C420" s="165" t="s">
        <v>2471</v>
      </c>
      <c r="D420" s="165" t="s">
        <v>1430</v>
      </c>
      <c r="E420" s="165" t="s">
        <v>3802</v>
      </c>
      <c r="F420" s="165" t="s">
        <v>11</v>
      </c>
      <c r="G420" s="165" t="s">
        <v>3878</v>
      </c>
      <c r="H420" s="165" t="s">
        <v>263</v>
      </c>
      <c r="I420" s="165" t="s">
        <v>3821</v>
      </c>
      <c r="J420" s="165" t="s">
        <v>3879</v>
      </c>
      <c r="K420" s="165"/>
      <c r="L420" s="165"/>
      <c r="M420" s="165"/>
      <c r="N420" s="165"/>
      <c r="O420" s="165"/>
      <c r="P420" s="165"/>
      <c r="Q420" s="165"/>
      <c r="R420" s="165"/>
      <c r="S420" s="165"/>
      <c r="T420" s="165" t="s">
        <v>3806</v>
      </c>
      <c r="U420" s="165" t="s">
        <v>3807</v>
      </c>
      <c r="V420" s="165"/>
      <c r="W420" s="165"/>
      <c r="X420" s="165"/>
      <c r="Y420">
        <v>2</v>
      </c>
      <c r="Z420" s="165" t="s">
        <v>3880</v>
      </c>
      <c r="AA420" s="165" t="s">
        <v>3810</v>
      </c>
      <c r="AB420" s="165" t="s">
        <v>3810</v>
      </c>
      <c r="AC420" s="165" t="s">
        <v>3811</v>
      </c>
      <c r="AD420" s="165" t="s">
        <v>4688</v>
      </c>
      <c r="AE420">
        <v>28</v>
      </c>
      <c r="AF420" s="165" t="s">
        <v>4689</v>
      </c>
      <c r="AG420">
        <v>485</v>
      </c>
      <c r="AH420">
        <v>19</v>
      </c>
      <c r="AI420">
        <v>51.5</v>
      </c>
      <c r="AJ420">
        <v>22</v>
      </c>
      <c r="AK420" s="165" t="s">
        <v>4690</v>
      </c>
      <c r="AN420">
        <v>5</v>
      </c>
      <c r="AO420">
        <v>8</v>
      </c>
      <c r="AP420">
        <v>40</v>
      </c>
      <c r="AQ420" s="165" t="s">
        <v>3815</v>
      </c>
      <c r="AR420" t="s">
        <v>3860</v>
      </c>
      <c r="AS420" s="165" t="s">
        <v>174</v>
      </c>
      <c r="AT420" t="s">
        <v>5291</v>
      </c>
      <c r="AU420" t="s">
        <v>3809</v>
      </c>
    </row>
    <row r="421" spans="1:47" hidden="1" x14ac:dyDescent="0.25">
      <c r="A421" s="165" t="s">
        <v>1431</v>
      </c>
      <c r="B421" s="165" t="s">
        <v>4802</v>
      </c>
      <c r="C421" s="165" t="s">
        <v>2471</v>
      </c>
      <c r="D421" s="165" t="s">
        <v>4803</v>
      </c>
      <c r="E421" s="165" t="s">
        <v>4016</v>
      </c>
      <c r="F421" s="165" t="s">
        <v>11</v>
      </c>
      <c r="G421" s="165" t="s">
        <v>3878</v>
      </c>
      <c r="H421" s="165" t="s">
        <v>263</v>
      </c>
      <c r="I421" s="165" t="s">
        <v>3821</v>
      </c>
      <c r="J421" s="165" t="s">
        <v>3879</v>
      </c>
      <c r="K421" s="165"/>
      <c r="L421" s="165"/>
      <c r="M421" s="165"/>
      <c r="N421" s="165"/>
      <c r="O421" s="165"/>
      <c r="P421" s="165"/>
      <c r="Q421" s="165"/>
      <c r="R421" s="165"/>
      <c r="S421" s="165"/>
      <c r="T421" s="165" t="s">
        <v>3806</v>
      </c>
      <c r="U421" s="165" t="s">
        <v>3807</v>
      </c>
      <c r="V421" s="165"/>
      <c r="W421" s="165"/>
      <c r="X421" s="165"/>
      <c r="Y421">
        <v>2</v>
      </c>
      <c r="Z421" s="165" t="s">
        <v>3880</v>
      </c>
      <c r="AA421" s="165" t="s">
        <v>3809</v>
      </c>
      <c r="AB421" s="165" t="s">
        <v>3810</v>
      </c>
      <c r="AC421" s="165" t="s">
        <v>3811</v>
      </c>
      <c r="AD421" s="165" t="s">
        <v>4688</v>
      </c>
      <c r="AE421">
        <v>28</v>
      </c>
      <c r="AF421" s="165" t="s">
        <v>4689</v>
      </c>
      <c r="AG421">
        <v>485</v>
      </c>
      <c r="AH421">
        <v>19</v>
      </c>
      <c r="AI421">
        <v>51.5</v>
      </c>
      <c r="AJ421">
        <v>22</v>
      </c>
      <c r="AK421" s="165" t="s">
        <v>4690</v>
      </c>
      <c r="AN421">
        <v>5</v>
      </c>
      <c r="AO421">
        <v>8</v>
      </c>
      <c r="AP421">
        <v>40</v>
      </c>
      <c r="AQ421" s="165" t="s">
        <v>3815</v>
      </c>
      <c r="AR421" t="s">
        <v>3932</v>
      </c>
      <c r="AS421" s="165" t="s">
        <v>174</v>
      </c>
      <c r="AT421" t="s">
        <v>5291</v>
      </c>
      <c r="AU421" t="s">
        <v>3809</v>
      </c>
    </row>
    <row r="422" spans="1:47" hidden="1" x14ac:dyDescent="0.25">
      <c r="A422" s="165" t="s">
        <v>4804</v>
      </c>
      <c r="B422" s="165" t="s">
        <v>88</v>
      </c>
      <c r="C422" s="165" t="s">
        <v>2471</v>
      </c>
      <c r="D422" s="165" t="s">
        <v>4805</v>
      </c>
      <c r="E422" s="165" t="s">
        <v>4800</v>
      </c>
      <c r="F422" s="165" t="s">
        <v>2183</v>
      </c>
      <c r="G422" s="165" t="s">
        <v>3878</v>
      </c>
      <c r="H422" s="165" t="s">
        <v>263</v>
      </c>
      <c r="I422" s="165" t="s">
        <v>3807</v>
      </c>
      <c r="J422" s="165" t="s">
        <v>4570</v>
      </c>
      <c r="K422" s="165"/>
      <c r="L422" s="165"/>
      <c r="M422" s="165"/>
      <c r="N422" s="165"/>
      <c r="O422" s="165"/>
      <c r="P422" s="165"/>
      <c r="Q422" s="165"/>
      <c r="R422" s="165"/>
      <c r="S422" s="165"/>
      <c r="T422" s="165" t="s">
        <v>3806</v>
      </c>
      <c r="U422" s="165" t="s">
        <v>3807</v>
      </c>
      <c r="V422" s="165"/>
      <c r="W422" s="165"/>
      <c r="X422" s="165"/>
      <c r="Y422">
        <v>2</v>
      </c>
      <c r="Z422" s="165" t="s">
        <v>3880</v>
      </c>
      <c r="AA422" s="165" t="s">
        <v>3811</v>
      </c>
      <c r="AB422" s="165" t="s">
        <v>3810</v>
      </c>
      <c r="AC422" s="165" t="s">
        <v>3809</v>
      </c>
      <c r="AD422" s="165" t="s">
        <v>4688</v>
      </c>
      <c r="AE422">
        <v>28</v>
      </c>
      <c r="AF422" s="165" t="s">
        <v>4692</v>
      </c>
      <c r="AG422">
        <v>489</v>
      </c>
      <c r="AH422">
        <v>38</v>
      </c>
      <c r="AI422">
        <v>51.9</v>
      </c>
      <c r="AJ422">
        <v>41</v>
      </c>
      <c r="AK422" s="165" t="s">
        <v>4693</v>
      </c>
      <c r="AN422">
        <v>10</v>
      </c>
      <c r="AO422">
        <v>4</v>
      </c>
      <c r="AP422">
        <v>40</v>
      </c>
      <c r="AQ422" s="165" t="s">
        <v>3978</v>
      </c>
      <c r="AR422" t="s">
        <v>4806</v>
      </c>
      <c r="AS422" s="165" t="s">
        <v>30</v>
      </c>
      <c r="AT422" t="s">
        <v>5291</v>
      </c>
      <c r="AU422" t="s">
        <v>3809</v>
      </c>
    </row>
    <row r="423" spans="1:47" hidden="1" x14ac:dyDescent="0.25">
      <c r="A423" s="165" t="s">
        <v>1431</v>
      </c>
      <c r="B423" s="165" t="s">
        <v>4802</v>
      </c>
      <c r="C423" s="165" t="s">
        <v>2471</v>
      </c>
      <c r="D423" s="165" t="s">
        <v>4807</v>
      </c>
      <c r="E423" s="165" t="s">
        <v>4016</v>
      </c>
      <c r="F423" s="165" t="s">
        <v>11</v>
      </c>
      <c r="G423" s="165" t="s">
        <v>3878</v>
      </c>
      <c r="H423" s="165" t="s">
        <v>263</v>
      </c>
      <c r="I423" s="165" t="s">
        <v>3821</v>
      </c>
      <c r="J423" s="165" t="s">
        <v>3879</v>
      </c>
      <c r="K423" s="165"/>
      <c r="L423" s="165"/>
      <c r="M423" s="165"/>
      <c r="N423" s="165"/>
      <c r="O423" s="165"/>
      <c r="P423" s="165"/>
      <c r="Q423" s="165"/>
      <c r="R423" s="165"/>
      <c r="S423" s="165"/>
      <c r="T423" s="165" t="s">
        <v>3806</v>
      </c>
      <c r="U423" s="165" t="s">
        <v>3807</v>
      </c>
      <c r="V423" s="165"/>
      <c r="W423" s="165"/>
      <c r="X423" s="165"/>
      <c r="Y423">
        <v>2</v>
      </c>
      <c r="Z423" s="165" t="s">
        <v>3880</v>
      </c>
      <c r="AA423" s="165" t="s">
        <v>3811</v>
      </c>
      <c r="AB423" s="165" t="s">
        <v>3810</v>
      </c>
      <c r="AC423" s="165" t="s">
        <v>3809</v>
      </c>
      <c r="AD423" s="165" t="s">
        <v>4688</v>
      </c>
      <c r="AE423">
        <v>28</v>
      </c>
      <c r="AF423" s="165" t="s">
        <v>4808</v>
      </c>
      <c r="AG423">
        <v>485</v>
      </c>
      <c r="AH423">
        <v>371</v>
      </c>
      <c r="AI423">
        <v>51.5</v>
      </c>
      <c r="AJ423">
        <v>40.1</v>
      </c>
      <c r="AK423" s="165" t="s">
        <v>4809</v>
      </c>
      <c r="AN423">
        <v>10</v>
      </c>
      <c r="AO423">
        <v>4</v>
      </c>
      <c r="AP423">
        <v>40</v>
      </c>
      <c r="AQ423" s="165" t="s">
        <v>3815</v>
      </c>
      <c r="AR423" t="s">
        <v>3928</v>
      </c>
      <c r="AS423" s="165" t="s">
        <v>30</v>
      </c>
      <c r="AT423" t="s">
        <v>5291</v>
      </c>
      <c r="AU423" t="s">
        <v>3809</v>
      </c>
    </row>
    <row r="424" spans="1:47" hidden="1" x14ac:dyDescent="0.25">
      <c r="A424" s="165" t="s">
        <v>1437</v>
      </c>
      <c r="B424" s="165" t="s">
        <v>4810</v>
      </c>
      <c r="C424" s="165" t="s">
        <v>23</v>
      </c>
      <c r="D424" s="165" t="s">
        <v>4811</v>
      </c>
      <c r="E424" s="165" t="s">
        <v>4812</v>
      </c>
      <c r="F424" s="165" t="s">
        <v>11</v>
      </c>
      <c r="G424" s="165" t="s">
        <v>3878</v>
      </c>
      <c r="H424" s="165" t="s">
        <v>263</v>
      </c>
      <c r="I424" s="165" t="s">
        <v>3821</v>
      </c>
      <c r="J424" s="165" t="s">
        <v>3879</v>
      </c>
      <c r="K424" s="165"/>
      <c r="L424" s="165"/>
      <c r="M424" s="165"/>
      <c r="N424" s="165"/>
      <c r="O424" s="165"/>
      <c r="P424" s="165"/>
      <c r="Q424" s="165"/>
      <c r="R424" s="165"/>
      <c r="S424" s="165"/>
      <c r="T424" s="165" t="s">
        <v>3806</v>
      </c>
      <c r="U424" s="165" t="s">
        <v>3807</v>
      </c>
      <c r="V424" s="165"/>
      <c r="W424" s="165"/>
      <c r="X424" s="165"/>
      <c r="Y424">
        <v>2</v>
      </c>
      <c r="Z424" s="165" t="s">
        <v>3880</v>
      </c>
      <c r="AA424" s="165" t="s">
        <v>3811</v>
      </c>
      <c r="AB424" s="165" t="s">
        <v>3810</v>
      </c>
      <c r="AC424" s="165" t="s">
        <v>3809</v>
      </c>
      <c r="AD424" s="165" t="s">
        <v>3881</v>
      </c>
      <c r="AE424">
        <v>1</v>
      </c>
      <c r="AF424" s="165" t="s">
        <v>3882</v>
      </c>
      <c r="AG424">
        <v>34</v>
      </c>
      <c r="AH424">
        <v>29</v>
      </c>
      <c r="AI424">
        <v>37</v>
      </c>
      <c r="AJ424">
        <v>32</v>
      </c>
      <c r="AK424" s="165" t="s">
        <v>3883</v>
      </c>
      <c r="AL424">
        <v>36</v>
      </c>
      <c r="AM424">
        <v>32</v>
      </c>
      <c r="AN424">
        <v>6</v>
      </c>
      <c r="AO424">
        <v>6</v>
      </c>
      <c r="AP424">
        <v>36</v>
      </c>
      <c r="AQ424" s="165" t="s">
        <v>3815</v>
      </c>
      <c r="AR424" t="s">
        <v>3930</v>
      </c>
      <c r="AS424" s="165" t="s">
        <v>30</v>
      </c>
      <c r="AT424" t="s">
        <v>5291</v>
      </c>
      <c r="AU424" t="s">
        <v>5291</v>
      </c>
    </row>
    <row r="425" spans="1:47" hidden="1" x14ac:dyDescent="0.25">
      <c r="A425" s="165" t="s">
        <v>1420</v>
      </c>
      <c r="B425" s="165" t="s">
        <v>4773</v>
      </c>
      <c r="C425" s="165" t="s">
        <v>2471</v>
      </c>
      <c r="D425" s="165" t="s">
        <v>4813</v>
      </c>
      <c r="E425" s="165" t="s">
        <v>4019</v>
      </c>
      <c r="F425" s="165" t="s">
        <v>9</v>
      </c>
      <c r="G425" s="165" t="s">
        <v>3878</v>
      </c>
      <c r="H425" s="165" t="s">
        <v>2206</v>
      </c>
      <c r="I425" s="165" t="s">
        <v>3807</v>
      </c>
      <c r="J425" s="165" t="s">
        <v>4314</v>
      </c>
      <c r="K425" s="165"/>
      <c r="L425" s="165"/>
      <c r="M425" s="165"/>
      <c r="N425" s="165"/>
      <c r="O425" s="165" t="s">
        <v>3864</v>
      </c>
      <c r="P425" s="165" t="s">
        <v>3865</v>
      </c>
      <c r="Q425" s="165"/>
      <c r="R425" s="165"/>
      <c r="S425" s="165"/>
      <c r="T425" s="165"/>
      <c r="U425" s="165" t="s">
        <v>3807</v>
      </c>
      <c r="V425" s="165"/>
      <c r="W425" s="165"/>
      <c r="X425" s="165"/>
      <c r="Y425">
        <v>3</v>
      </c>
      <c r="Z425" s="165" t="s">
        <v>4775</v>
      </c>
      <c r="AA425" s="165" t="s">
        <v>3811</v>
      </c>
      <c r="AB425" s="165" t="s">
        <v>3810</v>
      </c>
      <c r="AC425" s="165" t="s">
        <v>3809</v>
      </c>
      <c r="AD425" s="165" t="s">
        <v>4770</v>
      </c>
      <c r="AE425">
        <v>93</v>
      </c>
      <c r="AF425" s="165" t="s">
        <v>4692</v>
      </c>
      <c r="AG425">
        <v>489</v>
      </c>
      <c r="AH425">
        <v>38</v>
      </c>
      <c r="AI425">
        <v>51.9</v>
      </c>
      <c r="AJ425">
        <v>41</v>
      </c>
      <c r="AK425" s="165" t="s">
        <v>4693</v>
      </c>
      <c r="AN425">
        <v>10</v>
      </c>
      <c r="AO425">
        <v>4</v>
      </c>
      <c r="AP425">
        <v>40</v>
      </c>
      <c r="AQ425" s="165" t="s">
        <v>3815</v>
      </c>
      <c r="AR425" t="s">
        <v>3949</v>
      </c>
      <c r="AS425" s="165" t="s">
        <v>30</v>
      </c>
      <c r="AT425" t="s">
        <v>5291</v>
      </c>
      <c r="AU425" t="s">
        <v>3809</v>
      </c>
    </row>
    <row r="426" spans="1:47" hidden="1" x14ac:dyDescent="0.25">
      <c r="A426" s="165" t="s">
        <v>1051</v>
      </c>
      <c r="B426" s="165" t="s">
        <v>4814</v>
      </c>
      <c r="C426" s="165" t="s">
        <v>23</v>
      </c>
      <c r="D426" s="165" t="s">
        <v>1052</v>
      </c>
      <c r="E426" s="165" t="s">
        <v>4306</v>
      </c>
      <c r="F426" s="165" t="s">
        <v>9</v>
      </c>
      <c r="G426" s="165" t="s">
        <v>8</v>
      </c>
      <c r="H426" s="165" t="s">
        <v>2206</v>
      </c>
      <c r="I426" s="165" t="s">
        <v>3820</v>
      </c>
      <c r="J426" s="165" t="s">
        <v>3863</v>
      </c>
      <c r="K426" s="165"/>
      <c r="L426" s="165"/>
      <c r="M426" s="165"/>
      <c r="N426" s="165" t="s">
        <v>3805</v>
      </c>
      <c r="O426" s="165" t="s">
        <v>3864</v>
      </c>
      <c r="P426" s="165" t="s">
        <v>3865</v>
      </c>
      <c r="Q426" s="165"/>
      <c r="R426" s="165"/>
      <c r="S426" s="165"/>
      <c r="T426" s="165"/>
      <c r="U426" s="165" t="s">
        <v>3807</v>
      </c>
      <c r="V426" s="165"/>
      <c r="W426" s="165"/>
      <c r="X426" s="165"/>
      <c r="Y426">
        <v>4</v>
      </c>
      <c r="Z426" s="165" t="s">
        <v>3866</v>
      </c>
      <c r="AA426" s="165" t="s">
        <v>3809</v>
      </c>
      <c r="AB426" s="165" t="s">
        <v>3810</v>
      </c>
      <c r="AC426" s="165" t="s">
        <v>3811</v>
      </c>
      <c r="AD426" s="165" t="s">
        <v>4815</v>
      </c>
      <c r="AE426">
        <v>106</v>
      </c>
      <c r="AF426" s="165" t="s">
        <v>4816</v>
      </c>
      <c r="AG426">
        <v>384</v>
      </c>
      <c r="AH426">
        <v>19</v>
      </c>
      <c r="AI426">
        <v>41.4</v>
      </c>
      <c r="AJ426">
        <v>22</v>
      </c>
      <c r="AK426" s="165" t="s">
        <v>4817</v>
      </c>
      <c r="AN426">
        <v>2</v>
      </c>
      <c r="AO426">
        <v>7</v>
      </c>
      <c r="AP426">
        <v>14</v>
      </c>
      <c r="AQ426" s="165" t="s">
        <v>3815</v>
      </c>
      <c r="AR426" t="s">
        <v>3870</v>
      </c>
      <c r="AS426" s="165" t="s">
        <v>174</v>
      </c>
      <c r="AT426" t="s">
        <v>5291</v>
      </c>
      <c r="AU426" t="s">
        <v>5291</v>
      </c>
    </row>
    <row r="427" spans="1:47" hidden="1" x14ac:dyDescent="0.25">
      <c r="A427" s="165" t="s">
        <v>1361</v>
      </c>
      <c r="B427" s="165" t="s">
        <v>4818</v>
      </c>
      <c r="C427" s="165" t="s">
        <v>23</v>
      </c>
      <c r="D427" s="165" t="s">
        <v>1362</v>
      </c>
      <c r="E427" s="165" t="s">
        <v>4819</v>
      </c>
      <c r="F427" s="165" t="s">
        <v>9</v>
      </c>
      <c r="G427" s="165" t="s">
        <v>8</v>
      </c>
      <c r="H427" s="165" t="s">
        <v>2206</v>
      </c>
      <c r="I427" s="165" t="s">
        <v>3820</v>
      </c>
      <c r="J427" s="165" t="s">
        <v>3863</v>
      </c>
      <c r="K427" s="165"/>
      <c r="L427" s="165"/>
      <c r="M427" s="165"/>
      <c r="N427" s="165" t="s">
        <v>3805</v>
      </c>
      <c r="O427" s="165" t="s">
        <v>3864</v>
      </c>
      <c r="P427" s="165" t="s">
        <v>3865</v>
      </c>
      <c r="Q427" s="165"/>
      <c r="R427" s="165"/>
      <c r="S427" s="165"/>
      <c r="T427" s="165"/>
      <c r="U427" s="165" t="s">
        <v>3807</v>
      </c>
      <c r="V427" s="165"/>
      <c r="W427" s="165"/>
      <c r="X427" s="165"/>
      <c r="Y427">
        <v>4</v>
      </c>
      <c r="Z427" s="165" t="s">
        <v>3866</v>
      </c>
      <c r="AA427" s="165" t="s">
        <v>3809</v>
      </c>
      <c r="AB427" s="165" t="s">
        <v>3810</v>
      </c>
      <c r="AC427" s="165" t="s">
        <v>3811</v>
      </c>
      <c r="AD427" s="165" t="s">
        <v>4820</v>
      </c>
      <c r="AE427">
        <v>67</v>
      </c>
      <c r="AF427" s="165" t="s">
        <v>4821</v>
      </c>
      <c r="AG427">
        <v>48</v>
      </c>
      <c r="AH427">
        <v>18</v>
      </c>
      <c r="AI427">
        <v>51</v>
      </c>
      <c r="AJ427">
        <v>21</v>
      </c>
      <c r="AK427" s="165" t="s">
        <v>4822</v>
      </c>
      <c r="AN427">
        <v>3</v>
      </c>
      <c r="AO427">
        <v>6</v>
      </c>
      <c r="AP427">
        <v>18</v>
      </c>
      <c r="AQ427" s="165" t="s">
        <v>3815</v>
      </c>
      <c r="AR427" t="s">
        <v>3949</v>
      </c>
      <c r="AS427" s="165" t="s">
        <v>174</v>
      </c>
      <c r="AT427" t="s">
        <v>5291</v>
      </c>
      <c r="AU427" t="s">
        <v>5291</v>
      </c>
    </row>
    <row r="428" spans="1:47" hidden="1" x14ac:dyDescent="0.25">
      <c r="A428" s="165" t="s">
        <v>1365</v>
      </c>
      <c r="B428" s="165" t="s">
        <v>4823</v>
      </c>
      <c r="C428" s="165" t="s">
        <v>23</v>
      </c>
      <c r="D428" s="165" t="s">
        <v>1366</v>
      </c>
      <c r="E428" s="165" t="s">
        <v>4819</v>
      </c>
      <c r="F428" s="165" t="s">
        <v>9</v>
      </c>
      <c r="G428" s="165" t="s">
        <v>8</v>
      </c>
      <c r="H428" s="165" t="s">
        <v>2206</v>
      </c>
      <c r="I428" s="165" t="s">
        <v>3820</v>
      </c>
      <c r="J428" s="165" t="s">
        <v>3863</v>
      </c>
      <c r="K428" s="165"/>
      <c r="L428" s="165"/>
      <c r="M428" s="165"/>
      <c r="N428" s="165" t="s">
        <v>3805</v>
      </c>
      <c r="O428" s="165" t="s">
        <v>3864</v>
      </c>
      <c r="P428" s="165" t="s">
        <v>3865</v>
      </c>
      <c r="Q428" s="165"/>
      <c r="R428" s="165"/>
      <c r="S428" s="165"/>
      <c r="T428" s="165"/>
      <c r="U428" s="165" t="s">
        <v>3807</v>
      </c>
      <c r="V428" s="165"/>
      <c r="W428" s="165"/>
      <c r="X428" s="165"/>
      <c r="Y428">
        <v>4</v>
      </c>
      <c r="Z428" s="165" t="s">
        <v>3866</v>
      </c>
      <c r="AA428" s="165" t="s">
        <v>3809</v>
      </c>
      <c r="AB428" s="165" t="s">
        <v>3810</v>
      </c>
      <c r="AC428" s="165" t="s">
        <v>3811</v>
      </c>
      <c r="AD428" s="165" t="s">
        <v>4820</v>
      </c>
      <c r="AE428">
        <v>67</v>
      </c>
      <c r="AF428" s="165" t="s">
        <v>4821</v>
      </c>
      <c r="AG428">
        <v>48</v>
      </c>
      <c r="AH428">
        <v>18</v>
      </c>
      <c r="AI428">
        <v>51</v>
      </c>
      <c r="AJ428">
        <v>21</v>
      </c>
      <c r="AK428" s="165" t="s">
        <v>4822</v>
      </c>
      <c r="AN428">
        <v>3</v>
      </c>
      <c r="AO428">
        <v>6</v>
      </c>
      <c r="AP428">
        <v>18</v>
      </c>
      <c r="AQ428" s="165" t="s">
        <v>3815</v>
      </c>
      <c r="AR428" t="s">
        <v>4135</v>
      </c>
      <c r="AS428" s="165" t="s">
        <v>174</v>
      </c>
      <c r="AT428" t="s">
        <v>5291</v>
      </c>
      <c r="AU428" t="s">
        <v>5291</v>
      </c>
    </row>
    <row r="429" spans="1:47" hidden="1" x14ac:dyDescent="0.25">
      <c r="A429" s="165" t="s">
        <v>979</v>
      </c>
      <c r="B429" s="165" t="s">
        <v>4824</v>
      </c>
      <c r="C429" s="165" t="s">
        <v>23</v>
      </c>
      <c r="D429" s="165" t="s">
        <v>980</v>
      </c>
      <c r="E429" s="165" t="s">
        <v>4407</v>
      </c>
      <c r="F429" s="165" t="s">
        <v>15</v>
      </c>
      <c r="G429" s="165" t="s">
        <v>8</v>
      </c>
      <c r="H429" s="165" t="s">
        <v>269</v>
      </c>
      <c r="I429" s="165" t="s">
        <v>3864</v>
      </c>
      <c r="J429" s="165" t="s">
        <v>3894</v>
      </c>
      <c r="K429" s="165" t="s">
        <v>3819</v>
      </c>
      <c r="L429" s="165" t="s">
        <v>3820</v>
      </c>
      <c r="M429" s="165" t="s">
        <v>3803</v>
      </c>
      <c r="N429" s="165" t="s">
        <v>3805</v>
      </c>
      <c r="O429" s="165"/>
      <c r="P429" s="165"/>
      <c r="Q429" s="165" t="s">
        <v>3888</v>
      </c>
      <c r="R429" s="165"/>
      <c r="S429" s="165"/>
      <c r="T429" s="165"/>
      <c r="U429" s="165" t="s">
        <v>3807</v>
      </c>
      <c r="V429" s="165"/>
      <c r="W429" s="165"/>
      <c r="X429" s="165"/>
      <c r="Y429">
        <v>6</v>
      </c>
      <c r="Z429" s="165" t="s">
        <v>3889</v>
      </c>
      <c r="AA429" s="165" t="s">
        <v>3809</v>
      </c>
      <c r="AB429" s="165" t="s">
        <v>3811</v>
      </c>
      <c r="AC429" s="165" t="s">
        <v>3810</v>
      </c>
      <c r="AD429" s="165" t="s">
        <v>3895</v>
      </c>
      <c r="AE429">
        <v>75</v>
      </c>
      <c r="AF429" s="165" t="s">
        <v>3896</v>
      </c>
      <c r="AG429">
        <v>251</v>
      </c>
      <c r="AH429">
        <v>475</v>
      </c>
      <c r="AI429">
        <v>28.1</v>
      </c>
      <c r="AJ429">
        <v>50.5</v>
      </c>
      <c r="AK429" s="165" t="s">
        <v>3897</v>
      </c>
      <c r="AL429">
        <v>26.2</v>
      </c>
      <c r="AM429">
        <v>54</v>
      </c>
      <c r="AN429">
        <v>2</v>
      </c>
      <c r="AO429">
        <v>6</v>
      </c>
      <c r="AP429">
        <v>12</v>
      </c>
      <c r="AQ429" s="165" t="s">
        <v>3815</v>
      </c>
      <c r="AR429" t="s">
        <v>3974</v>
      </c>
      <c r="AS429" s="165" t="s">
        <v>3786</v>
      </c>
      <c r="AT429" t="s">
        <v>5291</v>
      </c>
      <c r="AU429" t="s">
        <v>5291</v>
      </c>
    </row>
    <row r="430" spans="1:47" hidden="1" x14ac:dyDescent="0.25">
      <c r="A430" s="165" t="s">
        <v>1158</v>
      </c>
      <c r="B430" s="165" t="s">
        <v>4825</v>
      </c>
      <c r="C430" s="165" t="s">
        <v>23</v>
      </c>
      <c r="D430" s="165" t="s">
        <v>1159</v>
      </c>
      <c r="E430" s="165" t="s">
        <v>4000</v>
      </c>
      <c r="F430" s="165" t="s">
        <v>181</v>
      </c>
      <c r="G430" s="165" t="s">
        <v>8</v>
      </c>
      <c r="H430" s="165" t="s">
        <v>269</v>
      </c>
      <c r="I430" s="165" t="s">
        <v>3864</v>
      </c>
      <c r="J430" s="165" t="s">
        <v>3894</v>
      </c>
      <c r="K430" s="165" t="s">
        <v>3819</v>
      </c>
      <c r="L430" s="165" t="s">
        <v>3820</v>
      </c>
      <c r="M430" s="165" t="s">
        <v>3803</v>
      </c>
      <c r="N430" s="165" t="s">
        <v>3805</v>
      </c>
      <c r="O430" s="165"/>
      <c r="P430" s="165"/>
      <c r="Q430" s="165" t="s">
        <v>3888</v>
      </c>
      <c r="R430" s="165"/>
      <c r="S430" s="165"/>
      <c r="T430" s="165"/>
      <c r="U430" s="165" t="s">
        <v>3807</v>
      </c>
      <c r="V430" s="165"/>
      <c r="W430" s="165"/>
      <c r="X430" s="165"/>
      <c r="Y430">
        <v>6</v>
      </c>
      <c r="Z430" s="165" t="s">
        <v>3889</v>
      </c>
      <c r="AA430" s="165" t="s">
        <v>3809</v>
      </c>
      <c r="AB430" s="165" t="s">
        <v>3811</v>
      </c>
      <c r="AC430" s="165" t="s">
        <v>3810</v>
      </c>
      <c r="AD430" s="165" t="s">
        <v>3895</v>
      </c>
      <c r="AE430">
        <v>75</v>
      </c>
      <c r="AF430" s="165" t="s">
        <v>3896</v>
      </c>
      <c r="AG430">
        <v>251</v>
      </c>
      <c r="AH430">
        <v>475</v>
      </c>
      <c r="AI430">
        <v>28.1</v>
      </c>
      <c r="AJ430">
        <v>50.5</v>
      </c>
      <c r="AK430" s="165" t="s">
        <v>3897</v>
      </c>
      <c r="AL430">
        <v>26.2</v>
      </c>
      <c r="AM430">
        <v>54</v>
      </c>
      <c r="AN430">
        <v>2</v>
      </c>
      <c r="AO430">
        <v>6</v>
      </c>
      <c r="AP430">
        <v>12</v>
      </c>
      <c r="AQ430" s="165" t="s">
        <v>3815</v>
      </c>
      <c r="AR430" t="s">
        <v>3830</v>
      </c>
      <c r="AS430" s="165" t="s">
        <v>3786</v>
      </c>
      <c r="AT430" t="s">
        <v>5291</v>
      </c>
      <c r="AU430" t="s">
        <v>5291</v>
      </c>
    </row>
    <row r="431" spans="1:47" hidden="1" x14ac:dyDescent="0.25">
      <c r="A431" s="165" t="s">
        <v>1457</v>
      </c>
      <c r="B431" s="165" t="s">
        <v>4826</v>
      </c>
      <c r="C431" s="165" t="s">
        <v>23</v>
      </c>
      <c r="D431" s="165" t="s">
        <v>4827</v>
      </c>
      <c r="E431" s="165" t="s">
        <v>4828</v>
      </c>
      <c r="F431" s="165" t="s">
        <v>181</v>
      </c>
      <c r="G431" s="165" t="s">
        <v>3878</v>
      </c>
      <c r="H431" s="165" t="s">
        <v>269</v>
      </c>
      <c r="I431" s="165" t="s">
        <v>2428</v>
      </c>
      <c r="J431" s="165" t="s">
        <v>3887</v>
      </c>
      <c r="K431" s="165" t="s">
        <v>3819</v>
      </c>
      <c r="L431" s="165" t="s">
        <v>3820</v>
      </c>
      <c r="M431" s="165" t="s">
        <v>3803</v>
      </c>
      <c r="N431" s="165" t="s">
        <v>3805</v>
      </c>
      <c r="O431" s="165"/>
      <c r="P431" s="165"/>
      <c r="Q431" s="165" t="s">
        <v>3888</v>
      </c>
      <c r="R431" s="165"/>
      <c r="S431" s="165"/>
      <c r="T431" s="165"/>
      <c r="U431" s="165" t="s">
        <v>3807</v>
      </c>
      <c r="V431" s="165"/>
      <c r="W431" s="165"/>
      <c r="X431" s="165"/>
      <c r="Y431">
        <v>6</v>
      </c>
      <c r="Z431" s="165" t="s">
        <v>3889</v>
      </c>
      <c r="AA431" s="165" t="s">
        <v>3809</v>
      </c>
      <c r="AB431" s="165" t="s">
        <v>3811</v>
      </c>
      <c r="AC431" s="165" t="s">
        <v>3810</v>
      </c>
      <c r="AD431" s="165" t="s">
        <v>4829</v>
      </c>
      <c r="AE431">
        <v>73</v>
      </c>
      <c r="AF431" s="165" t="s">
        <v>4830</v>
      </c>
      <c r="AG431">
        <v>48</v>
      </c>
      <c r="AH431">
        <v>27</v>
      </c>
      <c r="AI431">
        <v>51</v>
      </c>
      <c r="AJ431">
        <v>30</v>
      </c>
      <c r="AK431" s="165" t="s">
        <v>4831</v>
      </c>
      <c r="AN431">
        <v>2</v>
      </c>
      <c r="AO431">
        <v>4</v>
      </c>
      <c r="AP431">
        <v>8</v>
      </c>
      <c r="AQ431" s="165" t="s">
        <v>3815</v>
      </c>
      <c r="AR431" t="s">
        <v>3907</v>
      </c>
      <c r="AS431" s="165" t="s">
        <v>3786</v>
      </c>
      <c r="AT431" t="s">
        <v>5291</v>
      </c>
      <c r="AU431" t="s">
        <v>5291</v>
      </c>
    </row>
    <row r="432" spans="1:47" hidden="1" x14ac:dyDescent="0.25">
      <c r="A432" s="165" t="s">
        <v>1458</v>
      </c>
      <c r="B432" s="165" t="s">
        <v>3402</v>
      </c>
      <c r="C432" s="165" t="s">
        <v>23</v>
      </c>
      <c r="D432" s="165" t="s">
        <v>1459</v>
      </c>
      <c r="E432" s="165" t="s">
        <v>4828</v>
      </c>
      <c r="F432" s="165" t="s">
        <v>181</v>
      </c>
      <c r="G432" s="165" t="s">
        <v>8</v>
      </c>
      <c r="H432" s="165" t="s">
        <v>269</v>
      </c>
      <c r="I432" s="165" t="s">
        <v>3864</v>
      </c>
      <c r="J432" s="165" t="s">
        <v>3894</v>
      </c>
      <c r="K432" s="165" t="s">
        <v>3819</v>
      </c>
      <c r="L432" s="165" t="s">
        <v>3820</v>
      </c>
      <c r="M432" s="165" t="s">
        <v>3803</v>
      </c>
      <c r="N432" s="165" t="s">
        <v>3805</v>
      </c>
      <c r="O432" s="165"/>
      <c r="P432" s="165"/>
      <c r="Q432" s="165" t="s">
        <v>3888</v>
      </c>
      <c r="R432" s="165"/>
      <c r="S432" s="165"/>
      <c r="T432" s="165"/>
      <c r="U432" s="165" t="s">
        <v>3807</v>
      </c>
      <c r="V432" s="165"/>
      <c r="W432" s="165"/>
      <c r="X432" s="165"/>
      <c r="Y432">
        <v>6</v>
      </c>
      <c r="Z432" s="165" t="s">
        <v>3889</v>
      </c>
      <c r="AA432" s="165" t="s">
        <v>3809</v>
      </c>
      <c r="AB432" s="165" t="s">
        <v>3811</v>
      </c>
      <c r="AC432" s="165" t="s">
        <v>3810</v>
      </c>
      <c r="AD432" s="165" t="s">
        <v>4829</v>
      </c>
      <c r="AE432">
        <v>73</v>
      </c>
      <c r="AF432" s="165" t="s">
        <v>4830</v>
      </c>
      <c r="AG432">
        <v>48</v>
      </c>
      <c r="AH432">
        <v>27</v>
      </c>
      <c r="AI432">
        <v>51</v>
      </c>
      <c r="AJ432">
        <v>30</v>
      </c>
      <c r="AK432" s="165" t="s">
        <v>4831</v>
      </c>
      <c r="AN432">
        <v>2</v>
      </c>
      <c r="AO432">
        <v>4</v>
      </c>
      <c r="AP432">
        <v>8</v>
      </c>
      <c r="AQ432" s="165" t="s">
        <v>3815</v>
      </c>
      <c r="AS432" s="165" t="s">
        <v>3786</v>
      </c>
      <c r="AT432" t="s">
        <v>5291</v>
      </c>
      <c r="AU432" t="s">
        <v>5291</v>
      </c>
    </row>
    <row r="433" spans="1:47" hidden="1" x14ac:dyDescent="0.25">
      <c r="A433" s="165" t="s">
        <v>768</v>
      </c>
      <c r="B433" s="165" t="s">
        <v>4832</v>
      </c>
      <c r="C433" s="165" t="s">
        <v>23</v>
      </c>
      <c r="D433" s="165" t="s">
        <v>769</v>
      </c>
      <c r="E433" s="165" t="s">
        <v>4200</v>
      </c>
      <c r="F433" s="165" t="s">
        <v>181</v>
      </c>
      <c r="G433" s="165" t="s">
        <v>8</v>
      </c>
      <c r="H433" s="165" t="s">
        <v>176</v>
      </c>
      <c r="I433" s="165" t="s">
        <v>3864</v>
      </c>
      <c r="J433" s="165" t="s">
        <v>3970</v>
      </c>
      <c r="K433" s="165"/>
      <c r="L433" s="165"/>
      <c r="M433" s="165"/>
      <c r="N433" s="165"/>
      <c r="O433" s="165"/>
      <c r="P433" s="165"/>
      <c r="Q433" s="165"/>
      <c r="R433" s="165" t="s">
        <v>3842</v>
      </c>
      <c r="S433" s="165"/>
      <c r="T433" s="165"/>
      <c r="U433" s="165" t="s">
        <v>3807</v>
      </c>
      <c r="V433" s="165"/>
      <c r="W433" s="165"/>
      <c r="X433" s="165"/>
      <c r="Y433">
        <v>2</v>
      </c>
      <c r="Z433" s="165" t="s">
        <v>3843</v>
      </c>
      <c r="AA433" s="165" t="s">
        <v>3811</v>
      </c>
      <c r="AB433" s="165" t="s">
        <v>3810</v>
      </c>
      <c r="AC433" s="165" t="s">
        <v>3809</v>
      </c>
      <c r="AD433" s="165" t="s">
        <v>4829</v>
      </c>
      <c r="AE433">
        <v>73</v>
      </c>
      <c r="AF433" s="165" t="s">
        <v>4830</v>
      </c>
      <c r="AG433">
        <v>48</v>
      </c>
      <c r="AH433">
        <v>27</v>
      </c>
      <c r="AI433">
        <v>51</v>
      </c>
      <c r="AJ433">
        <v>30</v>
      </c>
      <c r="AK433" s="165" t="s">
        <v>4831</v>
      </c>
      <c r="AN433">
        <v>2</v>
      </c>
      <c r="AO433">
        <v>4</v>
      </c>
      <c r="AP433">
        <v>8</v>
      </c>
      <c r="AQ433" s="165" t="s">
        <v>3815</v>
      </c>
      <c r="AR433" t="s">
        <v>3870</v>
      </c>
      <c r="AS433" s="165" t="s">
        <v>30</v>
      </c>
      <c r="AT433" t="s">
        <v>5291</v>
      </c>
      <c r="AU433" t="s">
        <v>5291</v>
      </c>
    </row>
    <row r="434" spans="1:47" hidden="1" x14ac:dyDescent="0.25">
      <c r="A434" s="165" t="s">
        <v>770</v>
      </c>
      <c r="B434" s="165" t="s">
        <v>4833</v>
      </c>
      <c r="C434" s="165" t="s">
        <v>23</v>
      </c>
      <c r="D434" s="165" t="s">
        <v>771</v>
      </c>
      <c r="E434" s="165" t="s">
        <v>4200</v>
      </c>
      <c r="F434" s="165" t="s">
        <v>181</v>
      </c>
      <c r="G434" s="165" t="s">
        <v>8</v>
      </c>
      <c r="H434" s="165" t="s">
        <v>176</v>
      </c>
      <c r="I434" s="165" t="s">
        <v>3864</v>
      </c>
      <c r="J434" s="165" t="s">
        <v>3970</v>
      </c>
      <c r="K434" s="165"/>
      <c r="L434" s="165"/>
      <c r="M434" s="165"/>
      <c r="N434" s="165"/>
      <c r="O434" s="165"/>
      <c r="P434" s="165"/>
      <c r="Q434" s="165"/>
      <c r="R434" s="165" t="s">
        <v>3842</v>
      </c>
      <c r="S434" s="165"/>
      <c r="T434" s="165"/>
      <c r="U434" s="165" t="s">
        <v>3807</v>
      </c>
      <c r="V434" s="165"/>
      <c r="W434" s="165"/>
      <c r="X434" s="165"/>
      <c r="Y434">
        <v>2</v>
      </c>
      <c r="Z434" s="165" t="s">
        <v>3843</v>
      </c>
      <c r="AA434" s="165" t="s">
        <v>3811</v>
      </c>
      <c r="AB434" s="165" t="s">
        <v>3810</v>
      </c>
      <c r="AC434" s="165" t="s">
        <v>3809</v>
      </c>
      <c r="AD434" s="165" t="s">
        <v>4829</v>
      </c>
      <c r="AE434">
        <v>73</v>
      </c>
      <c r="AF434" s="165" t="s">
        <v>4830</v>
      </c>
      <c r="AG434">
        <v>48</v>
      </c>
      <c r="AH434">
        <v>27</v>
      </c>
      <c r="AI434">
        <v>51</v>
      </c>
      <c r="AJ434">
        <v>30</v>
      </c>
      <c r="AK434" s="165" t="s">
        <v>4831</v>
      </c>
      <c r="AN434">
        <v>2</v>
      </c>
      <c r="AO434">
        <v>4</v>
      </c>
      <c r="AP434">
        <v>8</v>
      </c>
      <c r="AQ434" s="165" t="s">
        <v>3815</v>
      </c>
      <c r="AR434" t="s">
        <v>3884</v>
      </c>
      <c r="AS434" s="165" t="s">
        <v>30</v>
      </c>
      <c r="AT434" t="s">
        <v>5291</v>
      </c>
      <c r="AU434" t="s">
        <v>5291</v>
      </c>
    </row>
    <row r="435" spans="1:47" hidden="1" x14ac:dyDescent="0.25">
      <c r="A435" s="165" t="s">
        <v>1638</v>
      </c>
      <c r="B435" s="165" t="s">
        <v>4834</v>
      </c>
      <c r="C435" s="165" t="s">
        <v>23</v>
      </c>
      <c r="D435" s="165" t="s">
        <v>1688</v>
      </c>
      <c r="E435" s="165" t="s">
        <v>3914</v>
      </c>
      <c r="F435" s="165" t="s">
        <v>3935</v>
      </c>
      <c r="G435" s="165" t="s">
        <v>8</v>
      </c>
      <c r="H435" s="165" t="s">
        <v>176</v>
      </c>
      <c r="I435" s="165" t="s">
        <v>3864</v>
      </c>
      <c r="J435" s="165" t="s">
        <v>3970</v>
      </c>
      <c r="K435" s="165"/>
      <c r="L435" s="165"/>
      <c r="M435" s="165"/>
      <c r="N435" s="165"/>
      <c r="O435" s="165"/>
      <c r="P435" s="165"/>
      <c r="Q435" s="165"/>
      <c r="R435" s="165" t="s">
        <v>3842</v>
      </c>
      <c r="S435" s="165"/>
      <c r="T435" s="165"/>
      <c r="U435" s="165" t="s">
        <v>3807</v>
      </c>
      <c r="V435" s="165"/>
      <c r="W435" s="165"/>
      <c r="X435" s="165"/>
      <c r="Y435">
        <v>2</v>
      </c>
      <c r="Z435" s="165" t="s">
        <v>3843</v>
      </c>
      <c r="AA435" s="165" t="s">
        <v>3811</v>
      </c>
      <c r="AB435" s="165" t="s">
        <v>3810</v>
      </c>
      <c r="AC435" s="165" t="s">
        <v>3809</v>
      </c>
      <c r="AD435" s="165" t="s">
        <v>4829</v>
      </c>
      <c r="AE435">
        <v>73</v>
      </c>
      <c r="AF435" s="165" t="s">
        <v>4830</v>
      </c>
      <c r="AG435">
        <v>48</v>
      </c>
      <c r="AH435">
        <v>27</v>
      </c>
      <c r="AI435">
        <v>51</v>
      </c>
      <c r="AJ435">
        <v>30</v>
      </c>
      <c r="AK435" s="165" t="s">
        <v>4831</v>
      </c>
      <c r="AN435">
        <v>2</v>
      </c>
      <c r="AO435">
        <v>4</v>
      </c>
      <c r="AP435">
        <v>8</v>
      </c>
      <c r="AQ435" s="165" t="s">
        <v>3815</v>
      </c>
      <c r="AR435" t="s">
        <v>3944</v>
      </c>
      <c r="AS435" s="165" t="s">
        <v>30</v>
      </c>
      <c r="AT435" t="s">
        <v>5291</v>
      </c>
      <c r="AU435" t="s">
        <v>5291</v>
      </c>
    </row>
    <row r="436" spans="1:47" hidden="1" x14ac:dyDescent="0.25">
      <c r="A436" s="165" t="s">
        <v>825</v>
      </c>
      <c r="B436" s="165" t="s">
        <v>4835</v>
      </c>
      <c r="C436" s="165" t="s">
        <v>23</v>
      </c>
      <c r="D436" s="165" t="s">
        <v>826</v>
      </c>
      <c r="E436" s="165" t="s">
        <v>3922</v>
      </c>
      <c r="F436" s="165" t="s">
        <v>181</v>
      </c>
      <c r="G436" s="165" t="s">
        <v>8</v>
      </c>
      <c r="H436" s="165" t="s">
        <v>176</v>
      </c>
      <c r="I436" s="165" t="s">
        <v>3864</v>
      </c>
      <c r="J436" s="165" t="s">
        <v>3970</v>
      </c>
      <c r="K436" s="165"/>
      <c r="L436" s="165"/>
      <c r="M436" s="165"/>
      <c r="N436" s="165"/>
      <c r="O436" s="165"/>
      <c r="P436" s="165"/>
      <c r="Q436" s="165"/>
      <c r="R436" s="165" t="s">
        <v>3842</v>
      </c>
      <c r="S436" s="165"/>
      <c r="T436" s="165"/>
      <c r="U436" s="165" t="s">
        <v>3807</v>
      </c>
      <c r="V436" s="165"/>
      <c r="W436" s="165"/>
      <c r="X436" s="165"/>
      <c r="Y436">
        <v>2</v>
      </c>
      <c r="Z436" s="165" t="s">
        <v>3843</v>
      </c>
      <c r="AA436" s="165" t="s">
        <v>3811</v>
      </c>
      <c r="AB436" s="165" t="s">
        <v>3810</v>
      </c>
      <c r="AC436" s="165" t="s">
        <v>3809</v>
      </c>
      <c r="AD436" s="165" t="s">
        <v>4829</v>
      </c>
      <c r="AE436">
        <v>73</v>
      </c>
      <c r="AF436" s="165" t="s">
        <v>4830</v>
      </c>
      <c r="AG436">
        <v>48</v>
      </c>
      <c r="AH436">
        <v>27</v>
      </c>
      <c r="AI436">
        <v>51</v>
      </c>
      <c r="AJ436">
        <v>30</v>
      </c>
      <c r="AK436" s="165" t="s">
        <v>4831</v>
      </c>
      <c r="AN436">
        <v>2</v>
      </c>
      <c r="AO436">
        <v>4</v>
      </c>
      <c r="AP436">
        <v>8</v>
      </c>
      <c r="AQ436" s="165" t="s">
        <v>3815</v>
      </c>
      <c r="AS436" s="165" t="s">
        <v>30</v>
      </c>
      <c r="AT436" t="s">
        <v>5291</v>
      </c>
      <c r="AU436" t="s">
        <v>5291</v>
      </c>
    </row>
    <row r="437" spans="1:47" hidden="1" x14ac:dyDescent="0.25">
      <c r="A437" s="165" t="s">
        <v>921</v>
      </c>
      <c r="B437" s="165" t="s">
        <v>3436</v>
      </c>
      <c r="C437" s="165" t="s">
        <v>23</v>
      </c>
      <c r="D437" s="165" t="s">
        <v>922</v>
      </c>
      <c r="E437" s="165" t="s">
        <v>4208</v>
      </c>
      <c r="F437" s="165" t="s">
        <v>181</v>
      </c>
      <c r="G437" s="165" t="s">
        <v>8</v>
      </c>
      <c r="H437" s="165" t="s">
        <v>176</v>
      </c>
      <c r="I437" s="165" t="s">
        <v>3864</v>
      </c>
      <c r="J437" s="165" t="s">
        <v>3970</v>
      </c>
      <c r="K437" s="165"/>
      <c r="L437" s="165"/>
      <c r="M437" s="165"/>
      <c r="N437" s="165"/>
      <c r="O437" s="165"/>
      <c r="P437" s="165"/>
      <c r="Q437" s="165"/>
      <c r="R437" s="165" t="s">
        <v>3842</v>
      </c>
      <c r="S437" s="165"/>
      <c r="T437" s="165"/>
      <c r="U437" s="165" t="s">
        <v>3807</v>
      </c>
      <c r="V437" s="165"/>
      <c r="W437" s="165"/>
      <c r="X437" s="165"/>
      <c r="Y437">
        <v>2</v>
      </c>
      <c r="Z437" s="165" t="s">
        <v>3843</v>
      </c>
      <c r="AA437" s="165" t="s">
        <v>3811</v>
      </c>
      <c r="AB437" s="165" t="s">
        <v>3810</v>
      </c>
      <c r="AC437" s="165" t="s">
        <v>3809</v>
      </c>
      <c r="AD437" s="165" t="s">
        <v>4829</v>
      </c>
      <c r="AE437">
        <v>73</v>
      </c>
      <c r="AF437" s="165" t="s">
        <v>4830</v>
      </c>
      <c r="AG437">
        <v>48</v>
      </c>
      <c r="AH437">
        <v>27</v>
      </c>
      <c r="AI437">
        <v>51</v>
      </c>
      <c r="AJ437">
        <v>30</v>
      </c>
      <c r="AK437" s="165" t="s">
        <v>4831</v>
      </c>
      <c r="AN437">
        <v>2</v>
      </c>
      <c r="AO437">
        <v>4</v>
      </c>
      <c r="AP437">
        <v>8</v>
      </c>
      <c r="AQ437" s="165" t="s">
        <v>3815</v>
      </c>
      <c r="AR437" t="s">
        <v>3830</v>
      </c>
      <c r="AS437" s="165" t="s">
        <v>30</v>
      </c>
      <c r="AT437" t="s">
        <v>5291</v>
      </c>
      <c r="AU437" t="s">
        <v>5291</v>
      </c>
    </row>
    <row r="438" spans="1:47" hidden="1" x14ac:dyDescent="0.25">
      <c r="A438" s="165" t="s">
        <v>1047</v>
      </c>
      <c r="B438" s="165" t="s">
        <v>4836</v>
      </c>
      <c r="C438" s="165" t="s">
        <v>23</v>
      </c>
      <c r="D438" s="165" t="s">
        <v>1048</v>
      </c>
      <c r="E438" s="165" t="s">
        <v>4837</v>
      </c>
      <c r="F438" s="165" t="s">
        <v>181</v>
      </c>
      <c r="G438" s="165" t="s">
        <v>8</v>
      </c>
      <c r="H438" s="165" t="s">
        <v>176</v>
      </c>
      <c r="I438" s="165" t="s">
        <v>3864</v>
      </c>
      <c r="J438" s="165" t="s">
        <v>3970</v>
      </c>
      <c r="K438" s="165"/>
      <c r="L438" s="165"/>
      <c r="M438" s="165"/>
      <c r="N438" s="165"/>
      <c r="O438" s="165"/>
      <c r="P438" s="165"/>
      <c r="Q438" s="165"/>
      <c r="R438" s="165" t="s">
        <v>3842</v>
      </c>
      <c r="S438" s="165"/>
      <c r="T438" s="165"/>
      <c r="U438" s="165" t="s">
        <v>3807</v>
      </c>
      <c r="V438" s="165"/>
      <c r="W438" s="165"/>
      <c r="X438" s="165"/>
      <c r="Y438">
        <v>2</v>
      </c>
      <c r="Z438" s="165" t="s">
        <v>3843</v>
      </c>
      <c r="AA438" s="165" t="s">
        <v>3811</v>
      </c>
      <c r="AB438" s="165" t="s">
        <v>3810</v>
      </c>
      <c r="AC438" s="165" t="s">
        <v>3809</v>
      </c>
      <c r="AD438" s="165" t="s">
        <v>4829</v>
      </c>
      <c r="AE438">
        <v>73</v>
      </c>
      <c r="AF438" s="165" t="s">
        <v>4830</v>
      </c>
      <c r="AG438">
        <v>48</v>
      </c>
      <c r="AH438">
        <v>27</v>
      </c>
      <c r="AI438">
        <v>51</v>
      </c>
      <c r="AJ438">
        <v>30</v>
      </c>
      <c r="AK438" s="165" t="s">
        <v>4831</v>
      </c>
      <c r="AN438">
        <v>2</v>
      </c>
      <c r="AO438">
        <v>4</v>
      </c>
      <c r="AP438">
        <v>8</v>
      </c>
      <c r="AQ438" s="165" t="s">
        <v>3815</v>
      </c>
      <c r="AR438" t="s">
        <v>3870</v>
      </c>
      <c r="AS438" s="165" t="s">
        <v>30</v>
      </c>
      <c r="AT438" t="s">
        <v>5291</v>
      </c>
      <c r="AU438" t="s">
        <v>5291</v>
      </c>
    </row>
    <row r="439" spans="1:47" hidden="1" x14ac:dyDescent="0.25">
      <c r="A439" s="165" t="s">
        <v>1252</v>
      </c>
      <c r="B439" s="165" t="s">
        <v>4838</v>
      </c>
      <c r="C439" s="165" t="s">
        <v>23</v>
      </c>
      <c r="D439" s="165" t="s">
        <v>1253</v>
      </c>
      <c r="E439" s="165" t="s">
        <v>3943</v>
      </c>
      <c r="F439" s="165" t="s">
        <v>15</v>
      </c>
      <c r="G439" s="165" t="s">
        <v>8</v>
      </c>
      <c r="H439" s="165" t="s">
        <v>176</v>
      </c>
      <c r="I439" s="165" t="s">
        <v>3864</v>
      </c>
      <c r="J439" s="165" t="s">
        <v>3970</v>
      </c>
      <c r="K439" s="165"/>
      <c r="L439" s="165"/>
      <c r="M439" s="165"/>
      <c r="N439" s="165"/>
      <c r="O439" s="165"/>
      <c r="P439" s="165"/>
      <c r="Q439" s="165"/>
      <c r="R439" s="165" t="s">
        <v>3842</v>
      </c>
      <c r="S439" s="165"/>
      <c r="T439" s="165"/>
      <c r="U439" s="165" t="s">
        <v>3807</v>
      </c>
      <c r="V439" s="165"/>
      <c r="W439" s="165"/>
      <c r="X439" s="165"/>
      <c r="Y439">
        <v>2</v>
      </c>
      <c r="Z439" s="165" t="s">
        <v>3843</v>
      </c>
      <c r="AA439" s="165" t="s">
        <v>3811</v>
      </c>
      <c r="AB439" s="165" t="s">
        <v>3810</v>
      </c>
      <c r="AC439" s="165" t="s">
        <v>3809</v>
      </c>
      <c r="AD439" s="165" t="s">
        <v>4829</v>
      </c>
      <c r="AE439">
        <v>73</v>
      </c>
      <c r="AF439" s="165" t="s">
        <v>4830</v>
      </c>
      <c r="AG439">
        <v>48</v>
      </c>
      <c r="AH439">
        <v>27</v>
      </c>
      <c r="AI439">
        <v>51</v>
      </c>
      <c r="AJ439">
        <v>30</v>
      </c>
      <c r="AK439" s="165" t="s">
        <v>4831</v>
      </c>
      <c r="AN439">
        <v>2</v>
      </c>
      <c r="AO439">
        <v>4</v>
      </c>
      <c r="AP439">
        <v>8</v>
      </c>
      <c r="AQ439" s="165" t="s">
        <v>3815</v>
      </c>
      <c r="AR439" t="s">
        <v>3884</v>
      </c>
      <c r="AS439" s="165" t="s">
        <v>30</v>
      </c>
      <c r="AT439" t="s">
        <v>5291</v>
      </c>
      <c r="AU439" t="s">
        <v>5291</v>
      </c>
    </row>
    <row r="440" spans="1:47" hidden="1" x14ac:dyDescent="0.25">
      <c r="A440" s="165" t="s">
        <v>1254</v>
      </c>
      <c r="B440" s="165" t="s">
        <v>3397</v>
      </c>
      <c r="C440" s="165" t="s">
        <v>23</v>
      </c>
      <c r="D440" s="165" t="s">
        <v>1255</v>
      </c>
      <c r="E440" s="165" t="s">
        <v>3943</v>
      </c>
      <c r="F440" s="165" t="s">
        <v>15</v>
      </c>
      <c r="G440" s="165" t="s">
        <v>8</v>
      </c>
      <c r="H440" s="165" t="s">
        <v>176</v>
      </c>
      <c r="I440" s="165" t="s">
        <v>3864</v>
      </c>
      <c r="J440" s="165" t="s">
        <v>3970</v>
      </c>
      <c r="K440" s="165"/>
      <c r="L440" s="165"/>
      <c r="M440" s="165"/>
      <c r="N440" s="165"/>
      <c r="O440" s="165"/>
      <c r="P440" s="165"/>
      <c r="Q440" s="165"/>
      <c r="R440" s="165" t="s">
        <v>3842</v>
      </c>
      <c r="S440" s="165"/>
      <c r="T440" s="165"/>
      <c r="U440" s="165" t="s">
        <v>3807</v>
      </c>
      <c r="V440" s="165"/>
      <c r="W440" s="165"/>
      <c r="X440" s="165"/>
      <c r="Y440">
        <v>2</v>
      </c>
      <c r="Z440" s="165" t="s">
        <v>3843</v>
      </c>
      <c r="AA440" s="165" t="s">
        <v>3811</v>
      </c>
      <c r="AB440" s="165" t="s">
        <v>3810</v>
      </c>
      <c r="AC440" s="165" t="s">
        <v>3809</v>
      </c>
      <c r="AD440" s="165" t="s">
        <v>4829</v>
      </c>
      <c r="AE440">
        <v>73</v>
      </c>
      <c r="AF440" s="165" t="s">
        <v>4830</v>
      </c>
      <c r="AG440">
        <v>48</v>
      </c>
      <c r="AH440">
        <v>27</v>
      </c>
      <c r="AI440">
        <v>51</v>
      </c>
      <c r="AJ440">
        <v>30</v>
      </c>
      <c r="AK440" s="165" t="s">
        <v>4831</v>
      </c>
      <c r="AN440">
        <v>2</v>
      </c>
      <c r="AO440">
        <v>4</v>
      </c>
      <c r="AP440">
        <v>8</v>
      </c>
      <c r="AQ440" s="165" t="s">
        <v>3815</v>
      </c>
      <c r="AS440" s="165" t="s">
        <v>30</v>
      </c>
      <c r="AT440" t="s">
        <v>5291</v>
      </c>
      <c r="AU440" t="s">
        <v>5291</v>
      </c>
    </row>
    <row r="441" spans="1:47" hidden="1" x14ac:dyDescent="0.25">
      <c r="A441" s="165" t="s">
        <v>1446</v>
      </c>
      <c r="B441" s="165" t="s">
        <v>4839</v>
      </c>
      <c r="C441" s="165" t="s">
        <v>23</v>
      </c>
      <c r="D441" s="165" t="s">
        <v>1447</v>
      </c>
      <c r="E441" s="165" t="s">
        <v>4840</v>
      </c>
      <c r="F441" s="165" t="s">
        <v>181</v>
      </c>
      <c r="G441" s="165" t="s">
        <v>8</v>
      </c>
      <c r="H441" s="165" t="s">
        <v>176</v>
      </c>
      <c r="I441" s="165" t="s">
        <v>3864</v>
      </c>
      <c r="J441" s="165" t="s">
        <v>3970</v>
      </c>
      <c r="K441" s="165"/>
      <c r="L441" s="165"/>
      <c r="M441" s="165"/>
      <c r="N441" s="165"/>
      <c r="O441" s="165"/>
      <c r="P441" s="165"/>
      <c r="Q441" s="165"/>
      <c r="R441" s="165" t="s">
        <v>3842</v>
      </c>
      <c r="S441" s="165"/>
      <c r="T441" s="165"/>
      <c r="U441" s="165" t="s">
        <v>3807</v>
      </c>
      <c r="V441" s="165"/>
      <c r="W441" s="165"/>
      <c r="X441" s="165"/>
      <c r="Y441">
        <v>2</v>
      </c>
      <c r="Z441" s="165" t="s">
        <v>3843</v>
      </c>
      <c r="AA441" s="165" t="s">
        <v>3811</v>
      </c>
      <c r="AB441" s="165" t="s">
        <v>3810</v>
      </c>
      <c r="AC441" s="165" t="s">
        <v>3809</v>
      </c>
      <c r="AD441" s="165" t="s">
        <v>4829</v>
      </c>
      <c r="AE441">
        <v>73</v>
      </c>
      <c r="AF441" s="165" t="s">
        <v>4830</v>
      </c>
      <c r="AG441">
        <v>48</v>
      </c>
      <c r="AH441">
        <v>27</v>
      </c>
      <c r="AI441">
        <v>51</v>
      </c>
      <c r="AJ441">
        <v>30</v>
      </c>
      <c r="AK441" s="165" t="s">
        <v>4831</v>
      </c>
      <c r="AN441">
        <v>2</v>
      </c>
      <c r="AO441">
        <v>4</v>
      </c>
      <c r="AP441">
        <v>8</v>
      </c>
      <c r="AQ441" s="165" t="s">
        <v>3815</v>
      </c>
      <c r="AR441" t="s">
        <v>3816</v>
      </c>
      <c r="AS441" s="165" t="s">
        <v>30</v>
      </c>
      <c r="AT441" t="s">
        <v>5291</v>
      </c>
      <c r="AU441" t="s">
        <v>5291</v>
      </c>
    </row>
    <row r="442" spans="1:47" hidden="1" x14ac:dyDescent="0.25">
      <c r="A442" s="165" t="s">
        <v>1472</v>
      </c>
      <c r="B442" s="165" t="s">
        <v>3319</v>
      </c>
      <c r="C442" s="165" t="s">
        <v>23</v>
      </c>
      <c r="D442" s="165" t="s">
        <v>1473</v>
      </c>
      <c r="E442" s="165" t="s">
        <v>4841</v>
      </c>
      <c r="F442" s="165" t="s">
        <v>181</v>
      </c>
      <c r="G442" s="165" t="s">
        <v>8</v>
      </c>
      <c r="H442" s="165" t="s">
        <v>176</v>
      </c>
      <c r="I442" s="165" t="s">
        <v>3864</v>
      </c>
      <c r="J442" s="165" t="s">
        <v>3970</v>
      </c>
      <c r="K442" s="165"/>
      <c r="L442" s="165"/>
      <c r="M442" s="165"/>
      <c r="N442" s="165"/>
      <c r="O442" s="165"/>
      <c r="P442" s="165"/>
      <c r="Q442" s="165"/>
      <c r="R442" s="165" t="s">
        <v>3842</v>
      </c>
      <c r="S442" s="165"/>
      <c r="T442" s="165"/>
      <c r="U442" s="165" t="s">
        <v>3807</v>
      </c>
      <c r="V442" s="165"/>
      <c r="W442" s="165"/>
      <c r="X442" s="165"/>
      <c r="Y442">
        <v>2</v>
      </c>
      <c r="Z442" s="165" t="s">
        <v>3843</v>
      </c>
      <c r="AA442" s="165" t="s">
        <v>3811</v>
      </c>
      <c r="AB442" s="165" t="s">
        <v>3810</v>
      </c>
      <c r="AC442" s="165" t="s">
        <v>3809</v>
      </c>
      <c r="AD442" s="165" t="s">
        <v>4829</v>
      </c>
      <c r="AE442">
        <v>73</v>
      </c>
      <c r="AF442" s="165" t="s">
        <v>4830</v>
      </c>
      <c r="AG442">
        <v>48</v>
      </c>
      <c r="AH442">
        <v>27</v>
      </c>
      <c r="AI442">
        <v>51</v>
      </c>
      <c r="AJ442">
        <v>30</v>
      </c>
      <c r="AK442" s="165" t="s">
        <v>4831</v>
      </c>
      <c r="AN442">
        <v>2</v>
      </c>
      <c r="AO442">
        <v>4</v>
      </c>
      <c r="AP442">
        <v>8</v>
      </c>
      <c r="AQ442" s="165" t="s">
        <v>3815</v>
      </c>
      <c r="AR442" t="s">
        <v>4009</v>
      </c>
      <c r="AS442" s="165" t="s">
        <v>30</v>
      </c>
      <c r="AT442" t="s">
        <v>5291</v>
      </c>
      <c r="AU442" t="s">
        <v>5291</v>
      </c>
    </row>
    <row r="443" spans="1:47" hidden="1" x14ac:dyDescent="0.25">
      <c r="A443" s="165" t="s">
        <v>1476</v>
      </c>
      <c r="B443" s="165" t="s">
        <v>4842</v>
      </c>
      <c r="C443" s="165" t="s">
        <v>23</v>
      </c>
      <c r="D443" s="165" t="s">
        <v>1477</v>
      </c>
      <c r="E443" s="165" t="s">
        <v>4183</v>
      </c>
      <c r="F443" s="165" t="s">
        <v>181</v>
      </c>
      <c r="G443" s="165" t="s">
        <v>8</v>
      </c>
      <c r="H443" s="165" t="s">
        <v>176</v>
      </c>
      <c r="I443" s="165" t="s">
        <v>3864</v>
      </c>
      <c r="J443" s="165" t="s">
        <v>3970</v>
      </c>
      <c r="K443" s="165"/>
      <c r="L443" s="165"/>
      <c r="M443" s="165"/>
      <c r="N443" s="165"/>
      <c r="O443" s="165"/>
      <c r="P443" s="165"/>
      <c r="Q443" s="165"/>
      <c r="R443" s="165" t="s">
        <v>3842</v>
      </c>
      <c r="S443" s="165"/>
      <c r="T443" s="165"/>
      <c r="U443" s="165" t="s">
        <v>3807</v>
      </c>
      <c r="V443" s="165"/>
      <c r="W443" s="165"/>
      <c r="X443" s="165"/>
      <c r="Y443">
        <v>2</v>
      </c>
      <c r="Z443" s="165" t="s">
        <v>3843</v>
      </c>
      <c r="AA443" s="165" t="s">
        <v>3811</v>
      </c>
      <c r="AB443" s="165" t="s">
        <v>3810</v>
      </c>
      <c r="AC443" s="165" t="s">
        <v>3809</v>
      </c>
      <c r="AD443" s="165" t="s">
        <v>4829</v>
      </c>
      <c r="AE443">
        <v>73</v>
      </c>
      <c r="AF443" s="165" t="s">
        <v>4830</v>
      </c>
      <c r="AG443">
        <v>48</v>
      </c>
      <c r="AH443">
        <v>27</v>
      </c>
      <c r="AI443">
        <v>51</v>
      </c>
      <c r="AJ443">
        <v>30</v>
      </c>
      <c r="AK443" s="165" t="s">
        <v>4831</v>
      </c>
      <c r="AN443">
        <v>2</v>
      </c>
      <c r="AO443">
        <v>4</v>
      </c>
      <c r="AP443">
        <v>8</v>
      </c>
      <c r="AQ443" s="165" t="s">
        <v>3815</v>
      </c>
      <c r="AR443" t="s">
        <v>3909</v>
      </c>
      <c r="AS443" s="165" t="s">
        <v>30</v>
      </c>
      <c r="AT443" t="s">
        <v>5291</v>
      </c>
      <c r="AU443" t="s">
        <v>5291</v>
      </c>
    </row>
    <row r="444" spans="1:47" hidden="1" x14ac:dyDescent="0.25">
      <c r="A444" s="165" t="s">
        <v>782</v>
      </c>
      <c r="B444" s="165" t="s">
        <v>3421</v>
      </c>
      <c r="C444" s="165" t="s">
        <v>23</v>
      </c>
      <c r="D444" s="165" t="s">
        <v>783</v>
      </c>
      <c r="E444" s="165" t="s">
        <v>3914</v>
      </c>
      <c r="F444" s="165" t="s">
        <v>11</v>
      </c>
      <c r="G444" s="165" t="s">
        <v>8</v>
      </c>
      <c r="H444" s="165" t="s">
        <v>241</v>
      </c>
      <c r="I444" s="165" t="s">
        <v>3803</v>
      </c>
      <c r="J444" s="165" t="s">
        <v>4011</v>
      </c>
      <c r="K444" s="165"/>
      <c r="L444" s="165"/>
      <c r="M444" s="165"/>
      <c r="N444" s="165"/>
      <c r="O444" s="165"/>
      <c r="P444" s="165"/>
      <c r="Q444" s="165"/>
      <c r="R444" s="165"/>
      <c r="S444" s="165" t="s">
        <v>3902</v>
      </c>
      <c r="T444" s="165"/>
      <c r="U444" s="165"/>
      <c r="V444" s="165"/>
      <c r="W444" s="165"/>
      <c r="X444" s="165" t="s">
        <v>2428</v>
      </c>
      <c r="Y444">
        <v>2</v>
      </c>
      <c r="Z444" s="165" t="s">
        <v>3903</v>
      </c>
      <c r="AA444" s="165" t="s">
        <v>3811</v>
      </c>
      <c r="AB444" s="165" t="s">
        <v>3810</v>
      </c>
      <c r="AC444" s="165" t="s">
        <v>3809</v>
      </c>
      <c r="AD444" s="165" t="s">
        <v>4843</v>
      </c>
      <c r="AE444">
        <v>38</v>
      </c>
      <c r="AF444" s="165" t="s">
        <v>4844</v>
      </c>
      <c r="AG444">
        <v>48</v>
      </c>
      <c r="AH444">
        <v>385</v>
      </c>
      <c r="AI444">
        <v>51</v>
      </c>
      <c r="AJ444">
        <v>41.5</v>
      </c>
      <c r="AK444" s="165" t="s">
        <v>4845</v>
      </c>
      <c r="AN444">
        <v>2</v>
      </c>
      <c r="AO444">
        <v>2</v>
      </c>
      <c r="AP444">
        <v>4</v>
      </c>
      <c r="AQ444" s="165" t="s">
        <v>3815</v>
      </c>
      <c r="AR444" t="s">
        <v>3932</v>
      </c>
      <c r="AS444" s="165" t="s">
        <v>30</v>
      </c>
      <c r="AT444" t="s">
        <v>5291</v>
      </c>
      <c r="AU444" t="s">
        <v>5291</v>
      </c>
    </row>
    <row r="445" spans="1:47" hidden="1" x14ac:dyDescent="0.25">
      <c r="A445" s="165" t="s">
        <v>967</v>
      </c>
      <c r="B445" s="165" t="s">
        <v>4846</v>
      </c>
      <c r="C445" s="165" t="s">
        <v>23</v>
      </c>
      <c r="D445" s="165" t="s">
        <v>968</v>
      </c>
      <c r="E445" s="165" t="s">
        <v>3934</v>
      </c>
      <c r="F445" s="165" t="s">
        <v>2183</v>
      </c>
      <c r="G445" s="165" t="s">
        <v>8</v>
      </c>
      <c r="H445" s="165" t="s">
        <v>241</v>
      </c>
      <c r="I445" s="165" t="s">
        <v>3820</v>
      </c>
      <c r="J445" s="165" t="s">
        <v>4106</v>
      </c>
      <c r="K445" s="165"/>
      <c r="L445" s="165"/>
      <c r="M445" s="165"/>
      <c r="N445" s="165"/>
      <c r="O445" s="165"/>
      <c r="P445" s="165"/>
      <c r="Q445" s="165"/>
      <c r="R445" s="165"/>
      <c r="S445" s="165" t="s">
        <v>3902</v>
      </c>
      <c r="T445" s="165"/>
      <c r="U445" s="165"/>
      <c r="V445" s="165"/>
      <c r="W445" s="165"/>
      <c r="X445" s="165" t="s">
        <v>2428</v>
      </c>
      <c r="Y445">
        <v>2</v>
      </c>
      <c r="Z445" s="165" t="s">
        <v>3903</v>
      </c>
      <c r="AA445" s="165" t="s">
        <v>3811</v>
      </c>
      <c r="AB445" s="165" t="s">
        <v>3810</v>
      </c>
      <c r="AC445" s="165" t="s">
        <v>3809</v>
      </c>
      <c r="AD445" s="165" t="s">
        <v>4843</v>
      </c>
      <c r="AE445">
        <v>38</v>
      </c>
      <c r="AF445" s="165" t="s">
        <v>4844</v>
      </c>
      <c r="AG445">
        <v>48</v>
      </c>
      <c r="AH445">
        <v>385</v>
      </c>
      <c r="AI445">
        <v>51</v>
      </c>
      <c r="AJ445">
        <v>41.5</v>
      </c>
      <c r="AK445" s="165" t="s">
        <v>4845</v>
      </c>
      <c r="AN445">
        <v>2</v>
      </c>
      <c r="AO445">
        <v>2</v>
      </c>
      <c r="AP445">
        <v>4</v>
      </c>
      <c r="AQ445" s="165" t="s">
        <v>3815</v>
      </c>
      <c r="AR445" t="s">
        <v>3909</v>
      </c>
      <c r="AS445" s="165" t="s">
        <v>30</v>
      </c>
      <c r="AT445" t="s">
        <v>5291</v>
      </c>
      <c r="AU445" t="s">
        <v>5291</v>
      </c>
    </row>
    <row r="446" spans="1:47" hidden="1" x14ac:dyDescent="0.25">
      <c r="A446" s="165" t="s">
        <v>1777</v>
      </c>
      <c r="B446" s="165" t="s">
        <v>3316</v>
      </c>
      <c r="C446" s="165" t="s">
        <v>23</v>
      </c>
      <c r="D446" s="165" t="s">
        <v>1778</v>
      </c>
      <c r="E446" s="165" t="s">
        <v>4828</v>
      </c>
      <c r="F446" s="165" t="s">
        <v>11</v>
      </c>
      <c r="G446" s="165" t="s">
        <v>8</v>
      </c>
      <c r="H446" s="165" t="s">
        <v>263</v>
      </c>
      <c r="I446" s="165" t="s">
        <v>3803</v>
      </c>
      <c r="J446" s="165" t="s">
        <v>3804</v>
      </c>
      <c r="K446" s="165"/>
      <c r="L446" s="165"/>
      <c r="M446" s="165"/>
      <c r="N446" s="165" t="s">
        <v>3805</v>
      </c>
      <c r="O446" s="165"/>
      <c r="P446" s="165"/>
      <c r="Q446" s="165"/>
      <c r="R446" s="165"/>
      <c r="S446" s="165"/>
      <c r="T446" s="165" t="s">
        <v>3806</v>
      </c>
      <c r="U446" s="165" t="s">
        <v>3807</v>
      </c>
      <c r="V446" s="165"/>
      <c r="W446" s="165"/>
      <c r="X446" s="165"/>
      <c r="Y446">
        <v>3</v>
      </c>
      <c r="Z446" s="165" t="s">
        <v>3808</v>
      </c>
      <c r="AA446" s="165" t="s">
        <v>3809</v>
      </c>
      <c r="AB446" s="165" t="s">
        <v>3810</v>
      </c>
      <c r="AC446" s="165" t="s">
        <v>3811</v>
      </c>
      <c r="AD446" s="165" t="s">
        <v>4847</v>
      </c>
      <c r="AE446">
        <v>88</v>
      </c>
      <c r="AF446" s="165" t="s">
        <v>4848</v>
      </c>
      <c r="AG446">
        <v>491</v>
      </c>
      <c r="AH446">
        <v>324</v>
      </c>
      <c r="AI446">
        <v>52.1</v>
      </c>
      <c r="AJ446">
        <v>35.4</v>
      </c>
      <c r="AK446" s="165" t="s">
        <v>4849</v>
      </c>
      <c r="AN446">
        <v>2</v>
      </c>
      <c r="AO446">
        <v>4</v>
      </c>
      <c r="AP446">
        <v>8</v>
      </c>
      <c r="AQ446" s="165" t="s">
        <v>3815</v>
      </c>
      <c r="AR446" t="s">
        <v>3974</v>
      </c>
      <c r="AS446" s="165" t="s">
        <v>174</v>
      </c>
      <c r="AT446" t="s">
        <v>5291</v>
      </c>
      <c r="AU446" t="s">
        <v>5291</v>
      </c>
    </row>
    <row r="447" spans="1:47" hidden="1" x14ac:dyDescent="0.25">
      <c r="A447" s="165" t="s">
        <v>1620</v>
      </c>
      <c r="B447" s="165" t="s">
        <v>4850</v>
      </c>
      <c r="C447" s="165" t="s">
        <v>23</v>
      </c>
      <c r="D447" s="165" t="s">
        <v>1621</v>
      </c>
      <c r="E447" s="165" t="s">
        <v>4407</v>
      </c>
      <c r="F447" s="165" t="s">
        <v>9</v>
      </c>
      <c r="G447" s="165" t="s">
        <v>8</v>
      </c>
      <c r="H447" s="165" t="s">
        <v>2030</v>
      </c>
      <c r="I447" s="165" t="s">
        <v>3820</v>
      </c>
      <c r="J447" s="165" t="s">
        <v>4302</v>
      </c>
      <c r="K447" s="165" t="s">
        <v>3819</v>
      </c>
      <c r="L447" s="165" t="s">
        <v>3820</v>
      </c>
      <c r="M447" s="165" t="s">
        <v>3803</v>
      </c>
      <c r="N447" s="165" t="s">
        <v>3805</v>
      </c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>
        <v>4</v>
      </c>
      <c r="Z447" s="165" t="s">
        <v>3873</v>
      </c>
      <c r="AA447" s="165" t="s">
        <v>3809</v>
      </c>
      <c r="AB447" s="165" t="s">
        <v>3811</v>
      </c>
      <c r="AC447" s="165" t="s">
        <v>3810</v>
      </c>
      <c r="AD447" s="165" t="s">
        <v>4361</v>
      </c>
      <c r="AE447">
        <v>116</v>
      </c>
      <c r="AF447" s="165" t="s">
        <v>4362</v>
      </c>
      <c r="AG447">
        <v>495</v>
      </c>
      <c r="AH447">
        <v>19</v>
      </c>
      <c r="AI447">
        <v>54.5</v>
      </c>
      <c r="AJ447">
        <v>24</v>
      </c>
      <c r="AK447" s="165" t="s">
        <v>4363</v>
      </c>
      <c r="AN447">
        <v>3</v>
      </c>
      <c r="AO447">
        <v>8</v>
      </c>
      <c r="AP447">
        <v>24</v>
      </c>
      <c r="AQ447" s="165" t="s">
        <v>3815</v>
      </c>
      <c r="AR447" t="s">
        <v>3830</v>
      </c>
      <c r="AS447" s="165" t="s">
        <v>3786</v>
      </c>
      <c r="AT447" t="s">
        <v>5291</v>
      </c>
      <c r="AU447" t="s">
        <v>5291</v>
      </c>
    </row>
    <row r="448" spans="1:47" hidden="1" x14ac:dyDescent="0.25">
      <c r="A448" s="165" t="s">
        <v>1599</v>
      </c>
      <c r="B448" s="165" t="s">
        <v>4851</v>
      </c>
      <c r="C448" s="165" t="s">
        <v>23</v>
      </c>
      <c r="D448" s="165" t="s">
        <v>1600</v>
      </c>
      <c r="E448" s="165" t="s">
        <v>3627</v>
      </c>
      <c r="F448" s="165" t="s">
        <v>9</v>
      </c>
      <c r="G448" s="165" t="s">
        <v>3878</v>
      </c>
      <c r="H448" s="165" t="s">
        <v>2305</v>
      </c>
      <c r="I448" s="165" t="s">
        <v>3807</v>
      </c>
      <c r="J448" s="165" t="s">
        <v>4852</v>
      </c>
      <c r="K448" s="165" t="s">
        <v>3819</v>
      </c>
      <c r="L448" s="165" t="s">
        <v>3820</v>
      </c>
      <c r="M448" s="165" t="s">
        <v>3803</v>
      </c>
      <c r="N448" s="165" t="s">
        <v>3805</v>
      </c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>
        <v>4</v>
      </c>
      <c r="Z448" s="165" t="s">
        <v>3873</v>
      </c>
      <c r="AA448" s="165" t="s">
        <v>3809</v>
      </c>
      <c r="AB448" s="165" t="s">
        <v>3811</v>
      </c>
      <c r="AC448" s="165" t="s">
        <v>3810</v>
      </c>
      <c r="AD448" s="165" t="s">
        <v>4853</v>
      </c>
      <c r="AE448">
        <v>99</v>
      </c>
      <c r="AF448" s="165" t="s">
        <v>4362</v>
      </c>
      <c r="AG448">
        <v>495</v>
      </c>
      <c r="AH448">
        <v>19</v>
      </c>
      <c r="AI448">
        <v>54.5</v>
      </c>
      <c r="AJ448">
        <v>24</v>
      </c>
      <c r="AK448" s="165" t="s">
        <v>4363</v>
      </c>
      <c r="AN448">
        <v>3</v>
      </c>
      <c r="AO448">
        <v>6</v>
      </c>
      <c r="AP448">
        <v>18</v>
      </c>
      <c r="AQ448" s="165" t="s">
        <v>3815</v>
      </c>
      <c r="AR448" t="s">
        <v>3956</v>
      </c>
      <c r="AS448" s="165" t="s">
        <v>3786</v>
      </c>
      <c r="AT448" t="s">
        <v>5291</v>
      </c>
      <c r="AU448" t="s">
        <v>5291</v>
      </c>
    </row>
    <row r="449" spans="1:47" hidden="1" x14ac:dyDescent="0.25">
      <c r="A449" s="165" t="s">
        <v>1282</v>
      </c>
      <c r="B449" s="165" t="s">
        <v>88</v>
      </c>
      <c r="C449" s="165" t="s">
        <v>23</v>
      </c>
      <c r="D449" s="165" t="s">
        <v>1283</v>
      </c>
      <c r="E449" s="165" t="s">
        <v>3627</v>
      </c>
      <c r="F449" s="165" t="s">
        <v>9</v>
      </c>
      <c r="G449" s="165" t="s">
        <v>8</v>
      </c>
      <c r="H449" s="165" t="s">
        <v>2305</v>
      </c>
      <c r="I449" s="165" t="s">
        <v>3820</v>
      </c>
      <c r="J449" s="165" t="s">
        <v>3872</v>
      </c>
      <c r="K449" s="165" t="s">
        <v>3819</v>
      </c>
      <c r="L449" s="165" t="s">
        <v>3820</v>
      </c>
      <c r="M449" s="165" t="s">
        <v>3803</v>
      </c>
      <c r="N449" s="165" t="s">
        <v>3805</v>
      </c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>
        <v>4</v>
      </c>
      <c r="Z449" s="165" t="s">
        <v>3873</v>
      </c>
      <c r="AA449" s="165" t="s">
        <v>3809</v>
      </c>
      <c r="AB449" s="165" t="s">
        <v>3810</v>
      </c>
      <c r="AC449" s="165" t="s">
        <v>3811</v>
      </c>
      <c r="AD449" s="165" t="s">
        <v>4853</v>
      </c>
      <c r="AE449">
        <v>99</v>
      </c>
      <c r="AF449" s="165" t="s">
        <v>4362</v>
      </c>
      <c r="AG449">
        <v>495</v>
      </c>
      <c r="AH449">
        <v>19</v>
      </c>
      <c r="AI449">
        <v>54.5</v>
      </c>
      <c r="AJ449">
        <v>24</v>
      </c>
      <c r="AK449" s="165" t="s">
        <v>4363</v>
      </c>
      <c r="AN449">
        <v>3</v>
      </c>
      <c r="AO449">
        <v>6</v>
      </c>
      <c r="AP449">
        <v>18</v>
      </c>
      <c r="AQ449" s="165" t="s">
        <v>3815</v>
      </c>
      <c r="AR449" t="s">
        <v>3956</v>
      </c>
      <c r="AS449" s="165" t="s">
        <v>174</v>
      </c>
      <c r="AT449" t="s">
        <v>5291</v>
      </c>
      <c r="AU449" t="s">
        <v>5291</v>
      </c>
    </row>
    <row r="450" spans="1:47" hidden="1" x14ac:dyDescent="0.25">
      <c r="A450" s="165" t="s">
        <v>829</v>
      </c>
      <c r="B450" s="165" t="s">
        <v>4854</v>
      </c>
      <c r="C450" s="165" t="s">
        <v>23</v>
      </c>
      <c r="D450" s="165" t="s">
        <v>830</v>
      </c>
      <c r="E450" s="165" t="s">
        <v>4855</v>
      </c>
      <c r="F450" s="165" t="s">
        <v>181</v>
      </c>
      <c r="G450" s="165" t="s">
        <v>3878</v>
      </c>
      <c r="H450" s="165" t="s">
        <v>269</v>
      </c>
      <c r="I450" s="165" t="s">
        <v>2428</v>
      </c>
      <c r="J450" s="165" t="s">
        <v>3887</v>
      </c>
      <c r="K450" s="165" t="s">
        <v>3819</v>
      </c>
      <c r="L450" s="165"/>
      <c r="M450" s="165" t="s">
        <v>3803</v>
      </c>
      <c r="N450" s="165" t="s">
        <v>3805</v>
      </c>
      <c r="O450" s="165"/>
      <c r="P450" s="165" t="s">
        <v>4856</v>
      </c>
      <c r="Q450" s="165" t="s">
        <v>3888</v>
      </c>
      <c r="R450" s="165"/>
      <c r="S450" s="165"/>
      <c r="T450" s="165"/>
      <c r="U450" s="165" t="s">
        <v>3807</v>
      </c>
      <c r="V450" s="165"/>
      <c r="W450" s="165"/>
      <c r="X450" s="165"/>
      <c r="Y450">
        <v>6</v>
      </c>
      <c r="Z450" s="165" t="s">
        <v>4857</v>
      </c>
      <c r="AA450" s="165" t="s">
        <v>3809</v>
      </c>
      <c r="AB450" s="165" t="s">
        <v>3811</v>
      </c>
      <c r="AC450" s="165" t="s">
        <v>3810</v>
      </c>
      <c r="AD450" s="165" t="s">
        <v>4858</v>
      </c>
      <c r="AE450">
        <v>76</v>
      </c>
      <c r="AF450" s="165" t="s">
        <v>4859</v>
      </c>
      <c r="AG450">
        <v>495</v>
      </c>
      <c r="AH450">
        <v>275</v>
      </c>
      <c r="AI450">
        <v>52.5</v>
      </c>
      <c r="AJ450">
        <v>30.5</v>
      </c>
      <c r="AK450" s="165" t="s">
        <v>4860</v>
      </c>
      <c r="AN450">
        <v>2</v>
      </c>
      <c r="AO450">
        <v>4</v>
      </c>
      <c r="AP450">
        <v>8</v>
      </c>
      <c r="AQ450" s="165" t="s">
        <v>3815</v>
      </c>
      <c r="AS450" s="165" t="s">
        <v>3786</v>
      </c>
      <c r="AT450" t="s">
        <v>5291</v>
      </c>
      <c r="AU450" t="s">
        <v>5291</v>
      </c>
    </row>
    <row r="451" spans="1:47" hidden="1" x14ac:dyDescent="0.25">
      <c r="A451" s="165" t="s">
        <v>4861</v>
      </c>
      <c r="B451" s="165" t="s">
        <v>88</v>
      </c>
      <c r="C451" s="165" t="s">
        <v>23</v>
      </c>
      <c r="D451" s="165" t="s">
        <v>4862</v>
      </c>
      <c r="E451" s="165" t="s">
        <v>4863</v>
      </c>
      <c r="F451" s="165" t="s">
        <v>181</v>
      </c>
      <c r="G451" s="165" t="s">
        <v>8</v>
      </c>
      <c r="H451" s="165" t="s">
        <v>269</v>
      </c>
      <c r="I451" s="165" t="s">
        <v>3864</v>
      </c>
      <c r="J451" s="165" t="s">
        <v>3894</v>
      </c>
      <c r="K451" s="165" t="s">
        <v>3819</v>
      </c>
      <c r="L451" s="165" t="s">
        <v>3820</v>
      </c>
      <c r="M451" s="165" t="s">
        <v>3803</v>
      </c>
      <c r="N451" s="165" t="s">
        <v>3805</v>
      </c>
      <c r="O451" s="165"/>
      <c r="P451" s="165"/>
      <c r="Q451" s="165" t="s">
        <v>3888</v>
      </c>
      <c r="R451" s="165"/>
      <c r="S451" s="165"/>
      <c r="T451" s="165"/>
      <c r="U451" s="165" t="s">
        <v>3807</v>
      </c>
      <c r="V451" s="165"/>
      <c r="W451" s="165"/>
      <c r="X451" s="165"/>
      <c r="Y451">
        <v>6</v>
      </c>
      <c r="Z451" s="165" t="s">
        <v>3889</v>
      </c>
      <c r="AA451" s="165" t="s">
        <v>3809</v>
      </c>
      <c r="AB451" s="165" t="s">
        <v>3811</v>
      </c>
      <c r="AC451" s="165" t="s">
        <v>3810</v>
      </c>
      <c r="AD451" s="165" t="s">
        <v>4858</v>
      </c>
      <c r="AE451">
        <v>76</v>
      </c>
      <c r="AF451" s="165" t="s">
        <v>4859</v>
      </c>
      <c r="AG451">
        <v>495</v>
      </c>
      <c r="AH451">
        <v>275</v>
      </c>
      <c r="AI451">
        <v>52.5</v>
      </c>
      <c r="AJ451">
        <v>30.5</v>
      </c>
      <c r="AK451" s="165" t="s">
        <v>4860</v>
      </c>
      <c r="AN451">
        <v>2</v>
      </c>
      <c r="AO451">
        <v>4</v>
      </c>
      <c r="AP451">
        <v>8</v>
      </c>
      <c r="AQ451" s="165" t="s">
        <v>3815</v>
      </c>
      <c r="AR451" t="s">
        <v>3830</v>
      </c>
      <c r="AS451" s="165" t="s">
        <v>3786</v>
      </c>
      <c r="AT451" t="s">
        <v>5291</v>
      </c>
      <c r="AU451" t="s">
        <v>5291</v>
      </c>
    </row>
    <row r="452" spans="1:47" hidden="1" x14ac:dyDescent="0.25">
      <c r="A452" s="165" t="s">
        <v>839</v>
      </c>
      <c r="B452" s="165" t="s">
        <v>88</v>
      </c>
      <c r="C452" s="165" t="s">
        <v>23</v>
      </c>
      <c r="D452" s="165" t="s">
        <v>840</v>
      </c>
      <c r="E452" s="165" t="s">
        <v>4335</v>
      </c>
      <c r="F452" s="165" t="s">
        <v>181</v>
      </c>
      <c r="G452" s="165" t="s">
        <v>3878</v>
      </c>
      <c r="H452" s="165" t="s">
        <v>269</v>
      </c>
      <c r="I452" s="165" t="s">
        <v>2428</v>
      </c>
      <c r="J452" s="165" t="s">
        <v>3887</v>
      </c>
      <c r="K452" s="165" t="s">
        <v>3819</v>
      </c>
      <c r="L452" s="165" t="s">
        <v>3820</v>
      </c>
      <c r="M452" s="165" t="s">
        <v>3803</v>
      </c>
      <c r="N452" s="165" t="s">
        <v>3805</v>
      </c>
      <c r="O452" s="165"/>
      <c r="P452" s="165"/>
      <c r="Q452" s="165" t="s">
        <v>3888</v>
      </c>
      <c r="R452" s="165"/>
      <c r="S452" s="165"/>
      <c r="T452" s="165"/>
      <c r="U452" s="165" t="s">
        <v>3807</v>
      </c>
      <c r="V452" s="165"/>
      <c r="W452" s="165"/>
      <c r="X452" s="165"/>
      <c r="Y452">
        <v>6</v>
      </c>
      <c r="Z452" s="165" t="s">
        <v>3889</v>
      </c>
      <c r="AA452" s="165" t="s">
        <v>3809</v>
      </c>
      <c r="AB452" s="165" t="s">
        <v>3811</v>
      </c>
      <c r="AC452" s="165" t="s">
        <v>3810</v>
      </c>
      <c r="AD452" s="165" t="s">
        <v>4858</v>
      </c>
      <c r="AE452">
        <v>76</v>
      </c>
      <c r="AF452" s="165" t="s">
        <v>4859</v>
      </c>
      <c r="AG452">
        <v>495</v>
      </c>
      <c r="AH452">
        <v>275</v>
      </c>
      <c r="AI452">
        <v>52.5</v>
      </c>
      <c r="AJ452">
        <v>30.5</v>
      </c>
      <c r="AK452" s="165" t="s">
        <v>4860</v>
      </c>
      <c r="AN452">
        <v>2</v>
      </c>
      <c r="AO452">
        <v>4</v>
      </c>
      <c r="AP452">
        <v>8</v>
      </c>
      <c r="AQ452" s="165" t="s">
        <v>3815</v>
      </c>
      <c r="AS452" s="165" t="s">
        <v>3786</v>
      </c>
      <c r="AT452" t="s">
        <v>5291</v>
      </c>
      <c r="AU452" t="s">
        <v>5291</v>
      </c>
    </row>
    <row r="453" spans="1:47" hidden="1" x14ac:dyDescent="0.25">
      <c r="A453" s="165" t="s">
        <v>843</v>
      </c>
      <c r="B453" s="165" t="s">
        <v>4864</v>
      </c>
      <c r="C453" s="165" t="s">
        <v>23</v>
      </c>
      <c r="D453" s="165" t="s">
        <v>844</v>
      </c>
      <c r="E453" s="165" t="s">
        <v>4335</v>
      </c>
      <c r="F453" s="165" t="s">
        <v>3935</v>
      </c>
      <c r="G453" s="165" t="s">
        <v>3878</v>
      </c>
      <c r="H453" s="165" t="s">
        <v>269</v>
      </c>
      <c r="I453" s="165" t="s">
        <v>2428</v>
      </c>
      <c r="J453" s="165" t="s">
        <v>3887</v>
      </c>
      <c r="K453" s="165" t="s">
        <v>3819</v>
      </c>
      <c r="L453" s="165" t="s">
        <v>3820</v>
      </c>
      <c r="M453" s="165" t="s">
        <v>3803</v>
      </c>
      <c r="N453" s="165" t="s">
        <v>3805</v>
      </c>
      <c r="O453" s="165"/>
      <c r="P453" s="165"/>
      <c r="Q453" s="165" t="s">
        <v>3888</v>
      </c>
      <c r="R453" s="165"/>
      <c r="S453" s="165"/>
      <c r="T453" s="165"/>
      <c r="U453" s="165" t="s">
        <v>3807</v>
      </c>
      <c r="V453" s="165"/>
      <c r="W453" s="165"/>
      <c r="X453" s="165"/>
      <c r="Y453">
        <v>6</v>
      </c>
      <c r="Z453" s="165" t="s">
        <v>3889</v>
      </c>
      <c r="AA453" s="165" t="s">
        <v>3809</v>
      </c>
      <c r="AB453" s="165" t="s">
        <v>3811</v>
      </c>
      <c r="AC453" s="165" t="s">
        <v>3810</v>
      </c>
      <c r="AD453" s="165" t="s">
        <v>4858</v>
      </c>
      <c r="AE453">
        <v>76</v>
      </c>
      <c r="AF453" s="165" t="s">
        <v>4859</v>
      </c>
      <c r="AG453">
        <v>495</v>
      </c>
      <c r="AH453">
        <v>275</v>
      </c>
      <c r="AI453">
        <v>52.5</v>
      </c>
      <c r="AJ453">
        <v>30.5</v>
      </c>
      <c r="AK453" s="165" t="s">
        <v>4860</v>
      </c>
      <c r="AN453">
        <v>2</v>
      </c>
      <c r="AO453">
        <v>4</v>
      </c>
      <c r="AP453">
        <v>8</v>
      </c>
      <c r="AQ453" s="165" t="s">
        <v>3815</v>
      </c>
      <c r="AR453" t="s">
        <v>3974</v>
      </c>
      <c r="AS453" s="165" t="s">
        <v>3786</v>
      </c>
      <c r="AT453" t="s">
        <v>5291</v>
      </c>
      <c r="AU453" t="s">
        <v>5291</v>
      </c>
    </row>
    <row r="454" spans="1:47" hidden="1" x14ac:dyDescent="0.25">
      <c r="A454" s="165" t="s">
        <v>881</v>
      </c>
      <c r="B454" s="165" t="s">
        <v>4865</v>
      </c>
      <c r="C454" s="165" t="s">
        <v>23</v>
      </c>
      <c r="D454" s="165" t="s">
        <v>882</v>
      </c>
      <c r="E454" s="165" t="s">
        <v>4340</v>
      </c>
      <c r="F454" s="165" t="s">
        <v>15</v>
      </c>
      <c r="G454" s="165" t="s">
        <v>3878</v>
      </c>
      <c r="H454" s="165" t="s">
        <v>269</v>
      </c>
      <c r="I454" s="165" t="s">
        <v>2428</v>
      </c>
      <c r="J454" s="165" t="s">
        <v>3887</v>
      </c>
      <c r="K454" s="165" t="s">
        <v>3819</v>
      </c>
      <c r="L454" s="165" t="s">
        <v>3820</v>
      </c>
      <c r="M454" s="165" t="s">
        <v>3803</v>
      </c>
      <c r="N454" s="165" t="s">
        <v>3805</v>
      </c>
      <c r="O454" s="165"/>
      <c r="P454" s="165"/>
      <c r="Q454" s="165" t="s">
        <v>3888</v>
      </c>
      <c r="R454" s="165"/>
      <c r="S454" s="165"/>
      <c r="T454" s="165"/>
      <c r="U454" s="165" t="s">
        <v>3807</v>
      </c>
      <c r="V454" s="165"/>
      <c r="W454" s="165"/>
      <c r="X454" s="165"/>
      <c r="Y454">
        <v>6</v>
      </c>
      <c r="Z454" s="165" t="s">
        <v>3889</v>
      </c>
      <c r="AA454" s="165" t="s">
        <v>3809</v>
      </c>
      <c r="AB454" s="165" t="s">
        <v>3811</v>
      </c>
      <c r="AC454" s="165" t="s">
        <v>3810</v>
      </c>
      <c r="AD454" s="165" t="s">
        <v>4858</v>
      </c>
      <c r="AE454">
        <v>76</v>
      </c>
      <c r="AF454" s="165" t="s">
        <v>4859</v>
      </c>
      <c r="AG454">
        <v>495</v>
      </c>
      <c r="AH454">
        <v>275</v>
      </c>
      <c r="AI454">
        <v>52.5</v>
      </c>
      <c r="AJ454">
        <v>30.5</v>
      </c>
      <c r="AK454" s="165" t="s">
        <v>4860</v>
      </c>
      <c r="AN454">
        <v>2</v>
      </c>
      <c r="AO454">
        <v>4</v>
      </c>
      <c r="AP454">
        <v>8</v>
      </c>
      <c r="AQ454" s="165" t="s">
        <v>3815</v>
      </c>
      <c r="AR454" t="s">
        <v>3909</v>
      </c>
      <c r="AS454" s="165" t="s">
        <v>3786</v>
      </c>
      <c r="AT454" t="s">
        <v>5291</v>
      </c>
      <c r="AU454" t="s">
        <v>5291</v>
      </c>
    </row>
    <row r="455" spans="1:47" hidden="1" x14ac:dyDescent="0.25">
      <c r="A455" s="165" t="s">
        <v>1464</v>
      </c>
      <c r="B455" s="165" t="s">
        <v>4866</v>
      </c>
      <c r="C455" s="165" t="s">
        <v>23</v>
      </c>
      <c r="D455" s="165" t="s">
        <v>1465</v>
      </c>
      <c r="E455" s="165" t="s">
        <v>3802</v>
      </c>
      <c r="F455" s="165" t="s">
        <v>181</v>
      </c>
      <c r="G455" s="165" t="s">
        <v>3878</v>
      </c>
      <c r="H455" s="165" t="s">
        <v>269</v>
      </c>
      <c r="I455" s="165" t="s">
        <v>2428</v>
      </c>
      <c r="J455" s="165" t="s">
        <v>3887</v>
      </c>
      <c r="K455" s="165" t="s">
        <v>3819</v>
      </c>
      <c r="L455" s="165" t="s">
        <v>3820</v>
      </c>
      <c r="M455" s="165" t="s">
        <v>3803</v>
      </c>
      <c r="N455" s="165" t="s">
        <v>3805</v>
      </c>
      <c r="O455" s="165"/>
      <c r="P455" s="165"/>
      <c r="Q455" s="165" t="s">
        <v>3888</v>
      </c>
      <c r="R455" s="165"/>
      <c r="S455" s="165"/>
      <c r="T455" s="165"/>
      <c r="U455" s="165" t="s">
        <v>3807</v>
      </c>
      <c r="V455" s="165"/>
      <c r="W455" s="165"/>
      <c r="X455" s="165"/>
      <c r="Y455">
        <v>6</v>
      </c>
      <c r="Z455" s="165" t="s">
        <v>3889</v>
      </c>
      <c r="AA455" s="165" t="s">
        <v>3809</v>
      </c>
      <c r="AB455" s="165" t="s">
        <v>3811</v>
      </c>
      <c r="AC455" s="165" t="s">
        <v>3810</v>
      </c>
      <c r="AD455" s="165" t="s">
        <v>4858</v>
      </c>
      <c r="AE455">
        <v>76</v>
      </c>
      <c r="AF455" s="165" t="s">
        <v>4859</v>
      </c>
      <c r="AG455">
        <v>495</v>
      </c>
      <c r="AH455">
        <v>275</v>
      </c>
      <c r="AI455">
        <v>52.5</v>
      </c>
      <c r="AJ455">
        <v>30.5</v>
      </c>
      <c r="AK455" s="165" t="s">
        <v>4860</v>
      </c>
      <c r="AN455">
        <v>2</v>
      </c>
      <c r="AO455">
        <v>4</v>
      </c>
      <c r="AP455">
        <v>8</v>
      </c>
      <c r="AQ455" s="165" t="s">
        <v>3815</v>
      </c>
      <c r="AR455" t="s">
        <v>3974</v>
      </c>
      <c r="AS455" s="165" t="s">
        <v>3786</v>
      </c>
      <c r="AT455" t="s">
        <v>5291</v>
      </c>
      <c r="AU455" t="s">
        <v>5291</v>
      </c>
    </row>
    <row r="456" spans="1:47" hidden="1" x14ac:dyDescent="0.25">
      <c r="A456" s="165" t="s">
        <v>1495</v>
      </c>
      <c r="B456" s="165" t="s">
        <v>4867</v>
      </c>
      <c r="C456" s="165" t="s">
        <v>23</v>
      </c>
      <c r="D456" s="165" t="s">
        <v>1496</v>
      </c>
      <c r="E456" s="165" t="s">
        <v>4812</v>
      </c>
      <c r="F456" s="165" t="s">
        <v>181</v>
      </c>
      <c r="G456" s="165" t="s">
        <v>3878</v>
      </c>
      <c r="H456" s="165" t="s">
        <v>269</v>
      </c>
      <c r="I456" s="165" t="s">
        <v>2428</v>
      </c>
      <c r="J456" s="165" t="s">
        <v>3887</v>
      </c>
      <c r="K456" s="165" t="s">
        <v>3819</v>
      </c>
      <c r="L456" s="165" t="s">
        <v>3820</v>
      </c>
      <c r="M456" s="165" t="s">
        <v>3803</v>
      </c>
      <c r="N456" s="165" t="s">
        <v>3805</v>
      </c>
      <c r="O456" s="165"/>
      <c r="P456" s="165"/>
      <c r="Q456" s="165" t="s">
        <v>3888</v>
      </c>
      <c r="R456" s="165"/>
      <c r="S456" s="165"/>
      <c r="T456" s="165"/>
      <c r="U456" s="165" t="s">
        <v>3807</v>
      </c>
      <c r="V456" s="165"/>
      <c r="W456" s="165"/>
      <c r="X456" s="165"/>
      <c r="Y456">
        <v>6</v>
      </c>
      <c r="Z456" s="165" t="s">
        <v>3889</v>
      </c>
      <c r="AA456" s="165" t="s">
        <v>3809</v>
      </c>
      <c r="AB456" s="165" t="s">
        <v>3811</v>
      </c>
      <c r="AC456" s="165" t="s">
        <v>3810</v>
      </c>
      <c r="AD456" s="165" t="s">
        <v>4858</v>
      </c>
      <c r="AE456">
        <v>76</v>
      </c>
      <c r="AF456" s="165" t="s">
        <v>4859</v>
      </c>
      <c r="AG456">
        <v>495</v>
      </c>
      <c r="AH456">
        <v>275</v>
      </c>
      <c r="AI456">
        <v>52.5</v>
      </c>
      <c r="AJ456">
        <v>30.5</v>
      </c>
      <c r="AK456" s="165" t="s">
        <v>4860</v>
      </c>
      <c r="AN456">
        <v>2</v>
      </c>
      <c r="AO456">
        <v>4</v>
      </c>
      <c r="AP456">
        <v>8</v>
      </c>
      <c r="AQ456" s="165" t="s">
        <v>3815</v>
      </c>
      <c r="AR456" t="s">
        <v>3816</v>
      </c>
      <c r="AS456" s="165" t="s">
        <v>3786</v>
      </c>
      <c r="AT456" t="s">
        <v>5291</v>
      </c>
      <c r="AU456" t="s">
        <v>5291</v>
      </c>
    </row>
    <row r="457" spans="1:47" hidden="1" x14ac:dyDescent="0.25">
      <c r="A457" s="165" t="s">
        <v>1737</v>
      </c>
      <c r="B457" s="165" t="s">
        <v>4868</v>
      </c>
      <c r="C457" s="165" t="s">
        <v>23</v>
      </c>
      <c r="D457" s="165" t="s">
        <v>4869</v>
      </c>
      <c r="E457" s="165" t="s">
        <v>4407</v>
      </c>
      <c r="F457" s="165" t="s">
        <v>9</v>
      </c>
      <c r="G457" s="165" t="s">
        <v>3878</v>
      </c>
      <c r="H457" s="165" t="s">
        <v>2030</v>
      </c>
      <c r="I457" s="165" t="s">
        <v>3807</v>
      </c>
      <c r="J457" s="165" t="s">
        <v>4769</v>
      </c>
      <c r="K457" s="165"/>
      <c r="L457" s="165" t="s">
        <v>3820</v>
      </c>
      <c r="M457" s="165" t="s">
        <v>3803</v>
      </c>
      <c r="N457" s="165" t="s">
        <v>3805</v>
      </c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>
        <v>3</v>
      </c>
      <c r="Z457" s="165" t="s">
        <v>4408</v>
      </c>
      <c r="AA457" s="165" t="s">
        <v>3809</v>
      </c>
      <c r="AB457" s="165" t="s">
        <v>3811</v>
      </c>
      <c r="AC457" s="165" t="s">
        <v>3810</v>
      </c>
      <c r="AD457" s="165" t="s">
        <v>4361</v>
      </c>
      <c r="AE457">
        <v>116</v>
      </c>
      <c r="AF457" s="165" t="s">
        <v>4362</v>
      </c>
      <c r="AG457">
        <v>495</v>
      </c>
      <c r="AH457">
        <v>19</v>
      </c>
      <c r="AI457">
        <v>54.5</v>
      </c>
      <c r="AJ457">
        <v>24</v>
      </c>
      <c r="AK457" s="165" t="s">
        <v>4363</v>
      </c>
      <c r="AN457">
        <v>3</v>
      </c>
      <c r="AO457">
        <v>8</v>
      </c>
      <c r="AP457">
        <v>24</v>
      </c>
      <c r="AQ457" s="165" t="s">
        <v>3815</v>
      </c>
      <c r="AR457" t="s">
        <v>4364</v>
      </c>
      <c r="AS457" s="165" t="s">
        <v>3786</v>
      </c>
      <c r="AT457" t="s">
        <v>5291</v>
      </c>
      <c r="AU457" t="s">
        <v>5291</v>
      </c>
    </row>
    <row r="458" spans="1:47" hidden="1" x14ac:dyDescent="0.25">
      <c r="A458" s="165" t="s">
        <v>1678</v>
      </c>
      <c r="B458" s="165" t="s">
        <v>88</v>
      </c>
      <c r="C458" s="165" t="s">
        <v>23</v>
      </c>
      <c r="D458" s="165" t="s">
        <v>1679</v>
      </c>
      <c r="E458" s="165" t="s">
        <v>3993</v>
      </c>
      <c r="F458" s="165" t="s">
        <v>9</v>
      </c>
      <c r="G458" s="165" t="s">
        <v>3878</v>
      </c>
      <c r="H458" s="165" t="s">
        <v>263</v>
      </c>
      <c r="I458" s="165" t="s">
        <v>3807</v>
      </c>
      <c r="J458" s="165" t="s">
        <v>4570</v>
      </c>
      <c r="K458" s="165"/>
      <c r="L458" s="165"/>
      <c r="M458" s="165"/>
      <c r="N458" s="165"/>
      <c r="O458" s="165"/>
      <c r="P458" s="165"/>
      <c r="Q458" s="165"/>
      <c r="R458" s="165"/>
      <c r="S458" s="165"/>
      <c r="T458" s="165" t="s">
        <v>3806</v>
      </c>
      <c r="U458" s="165" t="s">
        <v>3807</v>
      </c>
      <c r="V458" s="165"/>
      <c r="W458" s="165"/>
      <c r="X458" s="165"/>
      <c r="Y458">
        <v>2</v>
      </c>
      <c r="Z458" s="165" t="s">
        <v>3880</v>
      </c>
      <c r="AA458" s="165" t="s">
        <v>3810</v>
      </c>
      <c r="AB458" s="165" t="s">
        <v>3810</v>
      </c>
      <c r="AC458" s="165" t="s">
        <v>3811</v>
      </c>
      <c r="AD458" s="165" t="s">
        <v>4870</v>
      </c>
      <c r="AE458">
        <v>59</v>
      </c>
      <c r="AF458" s="165" t="s">
        <v>4871</v>
      </c>
      <c r="AG458">
        <v>49</v>
      </c>
      <c r="AH458">
        <v>31</v>
      </c>
      <c r="AI458">
        <v>52</v>
      </c>
      <c r="AJ458">
        <v>34</v>
      </c>
      <c r="AK458" s="165" t="s">
        <v>4872</v>
      </c>
      <c r="AN458">
        <v>7</v>
      </c>
      <c r="AO458">
        <v>4</v>
      </c>
      <c r="AP458">
        <v>28</v>
      </c>
      <c r="AQ458" s="165" t="s">
        <v>3815</v>
      </c>
      <c r="AR458" t="s">
        <v>3830</v>
      </c>
      <c r="AS458" s="165" t="s">
        <v>174</v>
      </c>
      <c r="AT458" t="s">
        <v>5291</v>
      </c>
      <c r="AU458" t="s">
        <v>5291</v>
      </c>
    </row>
    <row r="459" spans="1:47" hidden="1" x14ac:dyDescent="0.25">
      <c r="A459" s="165" t="s">
        <v>1397</v>
      </c>
      <c r="B459" s="165" t="s">
        <v>4873</v>
      </c>
      <c r="C459" s="165" t="s">
        <v>2471</v>
      </c>
      <c r="D459" s="165" t="s">
        <v>1398</v>
      </c>
      <c r="E459" s="165" t="s">
        <v>4306</v>
      </c>
      <c r="F459" s="165" t="s">
        <v>9</v>
      </c>
      <c r="G459" s="165" t="s">
        <v>3878</v>
      </c>
      <c r="H459" s="165" t="s">
        <v>263</v>
      </c>
      <c r="I459" s="165" t="s">
        <v>3807</v>
      </c>
      <c r="J459" s="165" t="s">
        <v>4570</v>
      </c>
      <c r="K459" s="165"/>
      <c r="L459" s="165"/>
      <c r="M459" s="165"/>
      <c r="N459" s="165"/>
      <c r="O459" s="165"/>
      <c r="P459" s="165"/>
      <c r="Q459" s="165"/>
      <c r="R459" s="165"/>
      <c r="S459" s="165"/>
      <c r="T459" s="165" t="s">
        <v>3806</v>
      </c>
      <c r="U459" s="165" t="s">
        <v>3807</v>
      </c>
      <c r="V459" s="165"/>
      <c r="W459" s="165"/>
      <c r="X459" s="165"/>
      <c r="Y459">
        <v>2</v>
      </c>
      <c r="Z459" s="165" t="s">
        <v>3880</v>
      </c>
      <c r="AA459" s="165" t="s">
        <v>3810</v>
      </c>
      <c r="AB459" s="165" t="s">
        <v>3810</v>
      </c>
      <c r="AC459" s="165" t="s">
        <v>3811</v>
      </c>
      <c r="AD459" s="165" t="s">
        <v>4870</v>
      </c>
      <c r="AE459">
        <v>59</v>
      </c>
      <c r="AF459" s="165" t="s">
        <v>4871</v>
      </c>
      <c r="AG459">
        <v>49</v>
      </c>
      <c r="AH459">
        <v>31</v>
      </c>
      <c r="AI459">
        <v>52</v>
      </c>
      <c r="AJ459">
        <v>34</v>
      </c>
      <c r="AK459" s="165" t="s">
        <v>4872</v>
      </c>
      <c r="AN459">
        <v>7</v>
      </c>
      <c r="AO459">
        <v>4</v>
      </c>
      <c r="AP459">
        <v>28</v>
      </c>
      <c r="AQ459" s="165" t="s">
        <v>3815</v>
      </c>
      <c r="AR459" t="s">
        <v>3830</v>
      </c>
      <c r="AS459" s="165" t="s">
        <v>174</v>
      </c>
      <c r="AT459" t="s">
        <v>5291</v>
      </c>
      <c r="AU459" t="s">
        <v>3809</v>
      </c>
    </row>
    <row r="460" spans="1:47" hidden="1" x14ac:dyDescent="0.25">
      <c r="A460" s="165" t="s">
        <v>1057</v>
      </c>
      <c r="B460" s="165" t="s">
        <v>4874</v>
      </c>
      <c r="C460" s="165" t="s">
        <v>2471</v>
      </c>
      <c r="D460" s="165" t="s">
        <v>1058</v>
      </c>
      <c r="E460" s="165" t="s">
        <v>4306</v>
      </c>
      <c r="F460" s="165" t="s">
        <v>9</v>
      </c>
      <c r="G460" s="165" t="s">
        <v>3878</v>
      </c>
      <c r="H460" s="165" t="s">
        <v>2206</v>
      </c>
      <c r="I460" s="165" t="s">
        <v>3807</v>
      </c>
      <c r="J460" s="165" t="s">
        <v>4314</v>
      </c>
      <c r="K460" s="165"/>
      <c r="L460" s="165"/>
      <c r="M460" s="165"/>
      <c r="N460" s="165" t="s">
        <v>3805</v>
      </c>
      <c r="O460" s="165" t="s">
        <v>3864</v>
      </c>
      <c r="P460" s="165" t="s">
        <v>3865</v>
      </c>
      <c r="Q460" s="165"/>
      <c r="R460" s="165"/>
      <c r="S460" s="165"/>
      <c r="T460" s="165"/>
      <c r="U460" s="165" t="s">
        <v>3807</v>
      </c>
      <c r="V460" s="165"/>
      <c r="W460" s="165"/>
      <c r="X460" s="165"/>
      <c r="Y460">
        <v>4</v>
      </c>
      <c r="Z460" s="165" t="s">
        <v>3866</v>
      </c>
      <c r="AA460" s="165" t="s">
        <v>3809</v>
      </c>
      <c r="AB460" s="165" t="s">
        <v>3810</v>
      </c>
      <c r="AC460" s="165" t="s">
        <v>3811</v>
      </c>
      <c r="AD460" s="165" t="s">
        <v>4870</v>
      </c>
      <c r="AE460">
        <v>59</v>
      </c>
      <c r="AF460" s="165" t="s">
        <v>4871</v>
      </c>
      <c r="AG460">
        <v>49</v>
      </c>
      <c r="AH460">
        <v>31</v>
      </c>
      <c r="AI460">
        <v>52</v>
      </c>
      <c r="AJ460">
        <v>34</v>
      </c>
      <c r="AK460" s="165" t="s">
        <v>4872</v>
      </c>
      <c r="AN460">
        <v>7</v>
      </c>
      <c r="AO460">
        <v>4</v>
      </c>
      <c r="AP460">
        <v>28</v>
      </c>
      <c r="AQ460" s="165" t="s">
        <v>3815</v>
      </c>
      <c r="AR460" t="s">
        <v>3855</v>
      </c>
      <c r="AS460" s="165" t="s">
        <v>174</v>
      </c>
      <c r="AT460" t="s">
        <v>5291</v>
      </c>
      <c r="AU460" t="s">
        <v>3809</v>
      </c>
    </row>
    <row r="461" spans="1:47" hidden="1" x14ac:dyDescent="0.25">
      <c r="A461" s="165" t="s">
        <v>1198</v>
      </c>
      <c r="B461" s="165" t="s">
        <v>4875</v>
      </c>
      <c r="C461" s="165" t="s">
        <v>2471</v>
      </c>
      <c r="D461" s="165" t="s">
        <v>1199</v>
      </c>
      <c r="E461" s="165" t="s">
        <v>4876</v>
      </c>
      <c r="F461" s="165" t="s">
        <v>9</v>
      </c>
      <c r="G461" s="165" t="s">
        <v>3878</v>
      </c>
      <c r="H461" s="165" t="s">
        <v>2206</v>
      </c>
      <c r="I461" s="165" t="s">
        <v>3807</v>
      </c>
      <c r="J461" s="165" t="s">
        <v>4314</v>
      </c>
      <c r="K461" s="165"/>
      <c r="L461" s="165"/>
      <c r="M461" s="165"/>
      <c r="N461" s="165"/>
      <c r="O461" s="165" t="s">
        <v>3864</v>
      </c>
      <c r="P461" s="165" t="s">
        <v>3865</v>
      </c>
      <c r="Q461" s="165"/>
      <c r="R461" s="165"/>
      <c r="S461" s="165"/>
      <c r="T461" s="165"/>
      <c r="U461" s="165" t="s">
        <v>3807</v>
      </c>
      <c r="V461" s="165"/>
      <c r="W461" s="165"/>
      <c r="X461" s="165"/>
      <c r="Y461">
        <v>3</v>
      </c>
      <c r="Z461" s="165" t="s">
        <v>4775</v>
      </c>
      <c r="AA461" s="165" t="s">
        <v>3809</v>
      </c>
      <c r="AB461" s="165" t="s">
        <v>3810</v>
      </c>
      <c r="AC461" s="165" t="s">
        <v>3811</v>
      </c>
      <c r="AD461" s="165" t="s">
        <v>4870</v>
      </c>
      <c r="AE461">
        <v>59</v>
      </c>
      <c r="AF461" s="165" t="s">
        <v>4871</v>
      </c>
      <c r="AG461">
        <v>49</v>
      </c>
      <c r="AH461">
        <v>31</v>
      </c>
      <c r="AI461">
        <v>52</v>
      </c>
      <c r="AJ461">
        <v>34</v>
      </c>
      <c r="AK461" s="165" t="s">
        <v>4872</v>
      </c>
      <c r="AN461">
        <v>7</v>
      </c>
      <c r="AO461">
        <v>4</v>
      </c>
      <c r="AP461">
        <v>28</v>
      </c>
      <c r="AQ461" s="165" t="s">
        <v>3815</v>
      </c>
      <c r="AR461" t="s">
        <v>3928</v>
      </c>
      <c r="AS461" s="165" t="s">
        <v>174</v>
      </c>
      <c r="AT461" t="s">
        <v>5291</v>
      </c>
      <c r="AU461" t="s">
        <v>3809</v>
      </c>
    </row>
    <row r="462" spans="1:47" hidden="1" x14ac:dyDescent="0.25">
      <c r="A462" s="165" t="s">
        <v>1359</v>
      </c>
      <c r="B462" s="165" t="s">
        <v>4877</v>
      </c>
      <c r="C462" s="165" t="s">
        <v>23</v>
      </c>
      <c r="D462" s="165" t="s">
        <v>1360</v>
      </c>
      <c r="E462" s="165" t="s">
        <v>4819</v>
      </c>
      <c r="F462" s="165" t="s">
        <v>9</v>
      </c>
      <c r="G462" s="165" t="s">
        <v>3878</v>
      </c>
      <c r="H462" s="165" t="s">
        <v>2206</v>
      </c>
      <c r="I462" s="165" t="s">
        <v>3807</v>
      </c>
      <c r="J462" s="165" t="s">
        <v>4314</v>
      </c>
      <c r="K462" s="165"/>
      <c r="L462" s="165"/>
      <c r="M462" s="165"/>
      <c r="N462" s="165"/>
      <c r="O462" s="165" t="s">
        <v>3864</v>
      </c>
      <c r="P462" s="165" t="s">
        <v>3865</v>
      </c>
      <c r="Q462" s="165"/>
      <c r="R462" s="165"/>
      <c r="S462" s="165"/>
      <c r="T462" s="165"/>
      <c r="U462" s="165" t="s">
        <v>3807</v>
      </c>
      <c r="V462" s="165"/>
      <c r="W462" s="165"/>
      <c r="X462" s="165"/>
      <c r="Y462">
        <v>3</v>
      </c>
      <c r="Z462" s="165" t="s">
        <v>4775</v>
      </c>
      <c r="AA462" s="165" t="s">
        <v>3809</v>
      </c>
      <c r="AB462" s="165" t="s">
        <v>3810</v>
      </c>
      <c r="AC462" s="165" t="s">
        <v>3811</v>
      </c>
      <c r="AD462" s="165" t="s">
        <v>4870</v>
      </c>
      <c r="AE462">
        <v>59</v>
      </c>
      <c r="AF462" s="165" t="s">
        <v>4871</v>
      </c>
      <c r="AG462">
        <v>49</v>
      </c>
      <c r="AH462">
        <v>31</v>
      </c>
      <c r="AI462">
        <v>52</v>
      </c>
      <c r="AJ462">
        <v>34</v>
      </c>
      <c r="AK462" s="165" t="s">
        <v>4872</v>
      </c>
      <c r="AN462">
        <v>7</v>
      </c>
      <c r="AO462">
        <v>4</v>
      </c>
      <c r="AP462">
        <v>28</v>
      </c>
      <c r="AQ462" s="165" t="s">
        <v>3815</v>
      </c>
      <c r="AR462" t="s">
        <v>3932</v>
      </c>
      <c r="AS462" s="165" t="s">
        <v>174</v>
      </c>
      <c r="AT462" t="s">
        <v>5291</v>
      </c>
      <c r="AU462" t="s">
        <v>5291</v>
      </c>
    </row>
    <row r="463" spans="1:47" hidden="1" x14ac:dyDescent="0.25">
      <c r="A463" s="165" t="s">
        <v>1363</v>
      </c>
      <c r="B463" s="165" t="s">
        <v>4878</v>
      </c>
      <c r="C463" s="165" t="s">
        <v>23</v>
      </c>
      <c r="D463" s="165" t="s">
        <v>1364</v>
      </c>
      <c r="E463" s="165" t="s">
        <v>4819</v>
      </c>
      <c r="F463" s="165" t="s">
        <v>9</v>
      </c>
      <c r="G463" s="165" t="s">
        <v>3878</v>
      </c>
      <c r="H463" s="165" t="s">
        <v>2206</v>
      </c>
      <c r="I463" s="165" t="s">
        <v>3807</v>
      </c>
      <c r="J463" s="165" t="s">
        <v>4314</v>
      </c>
      <c r="K463" s="165"/>
      <c r="L463" s="165"/>
      <c r="M463" s="165"/>
      <c r="N463" s="165"/>
      <c r="O463" s="165" t="s">
        <v>3864</v>
      </c>
      <c r="P463" s="165" t="s">
        <v>3865</v>
      </c>
      <c r="Q463" s="165"/>
      <c r="R463" s="165"/>
      <c r="S463" s="165"/>
      <c r="T463" s="165"/>
      <c r="U463" s="165" t="s">
        <v>3807</v>
      </c>
      <c r="V463" s="165"/>
      <c r="W463" s="165"/>
      <c r="X463" s="165"/>
      <c r="Y463">
        <v>3</v>
      </c>
      <c r="Z463" s="165" t="s">
        <v>4775</v>
      </c>
      <c r="AA463" s="165" t="s">
        <v>3809</v>
      </c>
      <c r="AB463" s="165" t="s">
        <v>3810</v>
      </c>
      <c r="AC463" s="165" t="s">
        <v>3811</v>
      </c>
      <c r="AD463" s="165" t="s">
        <v>4870</v>
      </c>
      <c r="AE463">
        <v>59</v>
      </c>
      <c r="AF463" s="165" t="s">
        <v>4871</v>
      </c>
      <c r="AG463">
        <v>49</v>
      </c>
      <c r="AH463">
        <v>31</v>
      </c>
      <c r="AI463">
        <v>52</v>
      </c>
      <c r="AJ463">
        <v>34</v>
      </c>
      <c r="AK463" s="165" t="s">
        <v>4872</v>
      </c>
      <c r="AN463">
        <v>7</v>
      </c>
      <c r="AO463">
        <v>4</v>
      </c>
      <c r="AP463">
        <v>28</v>
      </c>
      <c r="AQ463" s="165" t="s">
        <v>3815</v>
      </c>
      <c r="AR463" t="s">
        <v>3816</v>
      </c>
      <c r="AS463" s="165" t="s">
        <v>174</v>
      </c>
      <c r="AT463" t="s">
        <v>5291</v>
      </c>
      <c r="AU463" t="s">
        <v>5291</v>
      </c>
    </row>
    <row r="464" spans="1:47" hidden="1" x14ac:dyDescent="0.25">
      <c r="A464" s="165" t="s">
        <v>1369</v>
      </c>
      <c r="B464" s="165" t="s">
        <v>4879</v>
      </c>
      <c r="C464" s="165" t="s">
        <v>2471</v>
      </c>
      <c r="D464" s="165" t="s">
        <v>1370</v>
      </c>
      <c r="E464" s="165" t="s">
        <v>4880</v>
      </c>
      <c r="F464" s="165" t="s">
        <v>9</v>
      </c>
      <c r="G464" s="165" t="s">
        <v>3878</v>
      </c>
      <c r="H464" s="165" t="s">
        <v>2206</v>
      </c>
      <c r="I464" s="165" t="s">
        <v>3807</v>
      </c>
      <c r="J464" s="165" t="s">
        <v>4314</v>
      </c>
      <c r="K464" s="165"/>
      <c r="L464" s="165"/>
      <c r="M464" s="165"/>
      <c r="N464" s="165"/>
      <c r="O464" s="165" t="s">
        <v>3864</v>
      </c>
      <c r="P464" s="165" t="s">
        <v>3865</v>
      </c>
      <c r="Q464" s="165"/>
      <c r="R464" s="165"/>
      <c r="S464" s="165"/>
      <c r="T464" s="165"/>
      <c r="U464" s="165" t="s">
        <v>3807</v>
      </c>
      <c r="V464" s="165"/>
      <c r="W464" s="165"/>
      <c r="X464" s="165"/>
      <c r="Y464">
        <v>3</v>
      </c>
      <c r="Z464" s="165" t="s">
        <v>4775</v>
      </c>
      <c r="AA464" s="165" t="s">
        <v>3809</v>
      </c>
      <c r="AB464" s="165" t="s">
        <v>3810</v>
      </c>
      <c r="AC464" s="165" t="s">
        <v>3811</v>
      </c>
      <c r="AD464" s="165" t="s">
        <v>4870</v>
      </c>
      <c r="AE464">
        <v>59</v>
      </c>
      <c r="AF464" s="165" t="s">
        <v>4871</v>
      </c>
      <c r="AG464">
        <v>49</v>
      </c>
      <c r="AH464">
        <v>31</v>
      </c>
      <c r="AI464">
        <v>52</v>
      </c>
      <c r="AJ464">
        <v>34</v>
      </c>
      <c r="AK464" s="165" t="s">
        <v>4872</v>
      </c>
      <c r="AN464">
        <v>7</v>
      </c>
      <c r="AO464">
        <v>4</v>
      </c>
      <c r="AP464">
        <v>28</v>
      </c>
      <c r="AQ464" s="165" t="s">
        <v>3815</v>
      </c>
      <c r="AR464" t="s">
        <v>4881</v>
      </c>
      <c r="AS464" s="165" t="s">
        <v>174</v>
      </c>
      <c r="AT464" t="s">
        <v>5291</v>
      </c>
      <c r="AU464" t="s">
        <v>3809</v>
      </c>
    </row>
    <row r="465" spans="1:47" hidden="1" x14ac:dyDescent="0.25">
      <c r="A465" s="165" t="s">
        <v>1839</v>
      </c>
      <c r="B465" s="165" t="s">
        <v>4882</v>
      </c>
      <c r="C465" s="165" t="s">
        <v>2471</v>
      </c>
      <c r="D465" s="165" t="s">
        <v>1840</v>
      </c>
      <c r="E465" s="165" t="s">
        <v>4880</v>
      </c>
      <c r="F465" s="165" t="s">
        <v>9</v>
      </c>
      <c r="G465" s="165" t="s">
        <v>3878</v>
      </c>
      <c r="H465" s="165" t="s">
        <v>2206</v>
      </c>
      <c r="I465" s="165" t="s">
        <v>3807</v>
      </c>
      <c r="J465" s="165" t="s">
        <v>4314</v>
      </c>
      <c r="K465" s="165"/>
      <c r="L465" s="165"/>
      <c r="M465" s="165"/>
      <c r="N465" s="165"/>
      <c r="O465" s="165" t="s">
        <v>3864</v>
      </c>
      <c r="P465" s="165" t="s">
        <v>3865</v>
      </c>
      <c r="Q465" s="165"/>
      <c r="R465" s="165"/>
      <c r="S465" s="165"/>
      <c r="T465" s="165"/>
      <c r="U465" s="165" t="s">
        <v>3807</v>
      </c>
      <c r="V465" s="165"/>
      <c r="W465" s="165"/>
      <c r="X465" s="165"/>
      <c r="Y465">
        <v>3</v>
      </c>
      <c r="Z465" s="165" t="s">
        <v>4775</v>
      </c>
      <c r="AA465" s="165" t="s">
        <v>3809</v>
      </c>
      <c r="AB465" s="165" t="s">
        <v>3810</v>
      </c>
      <c r="AC465" s="165" t="s">
        <v>3811</v>
      </c>
      <c r="AD465" s="165" t="s">
        <v>4870</v>
      </c>
      <c r="AE465">
        <v>59</v>
      </c>
      <c r="AF465" s="165" t="s">
        <v>4871</v>
      </c>
      <c r="AG465">
        <v>49</v>
      </c>
      <c r="AH465">
        <v>31</v>
      </c>
      <c r="AI465">
        <v>52</v>
      </c>
      <c r="AJ465">
        <v>34</v>
      </c>
      <c r="AK465" s="165" t="s">
        <v>4872</v>
      </c>
      <c r="AN465">
        <v>7</v>
      </c>
      <c r="AO465">
        <v>4</v>
      </c>
      <c r="AP465">
        <v>28</v>
      </c>
      <c r="AQ465" s="165" t="s">
        <v>3815</v>
      </c>
      <c r="AR465" t="s">
        <v>3830</v>
      </c>
      <c r="AS465" s="165" t="s">
        <v>174</v>
      </c>
      <c r="AT465" t="s">
        <v>5291</v>
      </c>
      <c r="AU465" t="s">
        <v>3809</v>
      </c>
    </row>
    <row r="466" spans="1:47" hidden="1" x14ac:dyDescent="0.25">
      <c r="A466" s="165" t="s">
        <v>1399</v>
      </c>
      <c r="B466" s="165" t="s">
        <v>4883</v>
      </c>
      <c r="C466" s="165" t="s">
        <v>2471</v>
      </c>
      <c r="D466" s="165" t="s">
        <v>1400</v>
      </c>
      <c r="E466" s="165" t="s">
        <v>4306</v>
      </c>
      <c r="F466" s="165" t="s">
        <v>9</v>
      </c>
      <c r="G466" s="165" t="s">
        <v>3878</v>
      </c>
      <c r="H466" s="165" t="s">
        <v>2206</v>
      </c>
      <c r="I466" s="165" t="s">
        <v>3807</v>
      </c>
      <c r="J466" s="165" t="s">
        <v>4314</v>
      </c>
      <c r="K466" s="165"/>
      <c r="L466" s="165"/>
      <c r="M466" s="165"/>
      <c r="N466" s="165"/>
      <c r="O466" s="165" t="s">
        <v>3864</v>
      </c>
      <c r="P466" s="165" t="s">
        <v>3865</v>
      </c>
      <c r="Q466" s="165"/>
      <c r="R466" s="165"/>
      <c r="S466" s="165"/>
      <c r="T466" s="165"/>
      <c r="U466" s="165" t="s">
        <v>3807</v>
      </c>
      <c r="V466" s="165"/>
      <c r="W466" s="165"/>
      <c r="X466" s="165"/>
      <c r="Y466">
        <v>3</v>
      </c>
      <c r="Z466" s="165" t="s">
        <v>4775</v>
      </c>
      <c r="AA466" s="165" t="s">
        <v>3809</v>
      </c>
      <c r="AB466" s="165" t="s">
        <v>3810</v>
      </c>
      <c r="AC466" s="165" t="s">
        <v>3811</v>
      </c>
      <c r="AD466" s="165" t="s">
        <v>4870</v>
      </c>
      <c r="AE466">
        <v>59</v>
      </c>
      <c r="AF466" s="165" t="s">
        <v>4871</v>
      </c>
      <c r="AG466">
        <v>49</v>
      </c>
      <c r="AH466">
        <v>31</v>
      </c>
      <c r="AI466">
        <v>52</v>
      </c>
      <c r="AJ466">
        <v>34</v>
      </c>
      <c r="AK466" s="165" t="s">
        <v>4872</v>
      </c>
      <c r="AN466">
        <v>7</v>
      </c>
      <c r="AO466">
        <v>4</v>
      </c>
      <c r="AP466">
        <v>28</v>
      </c>
      <c r="AQ466" s="165" t="s">
        <v>3815</v>
      </c>
      <c r="AR466" t="s">
        <v>3830</v>
      </c>
      <c r="AS466" s="165" t="s">
        <v>174</v>
      </c>
      <c r="AT466" t="s">
        <v>5291</v>
      </c>
      <c r="AU466" t="s">
        <v>3809</v>
      </c>
    </row>
    <row r="467" spans="1:47" hidden="1" x14ac:dyDescent="0.25">
      <c r="A467" s="165" t="s">
        <v>1407</v>
      </c>
      <c r="B467" s="165" t="s">
        <v>4884</v>
      </c>
      <c r="C467" s="165" t="s">
        <v>2471</v>
      </c>
      <c r="D467" s="165" t="s">
        <v>1408</v>
      </c>
      <c r="E467" s="165" t="s">
        <v>3862</v>
      </c>
      <c r="F467" s="165" t="s">
        <v>9</v>
      </c>
      <c r="G467" s="165" t="s">
        <v>3878</v>
      </c>
      <c r="H467" s="165" t="s">
        <v>2206</v>
      </c>
      <c r="I467" s="165" t="s">
        <v>3807</v>
      </c>
      <c r="J467" s="165" t="s">
        <v>4314</v>
      </c>
      <c r="K467" s="165"/>
      <c r="L467" s="165"/>
      <c r="M467" s="165"/>
      <c r="N467" s="165"/>
      <c r="O467" s="165" t="s">
        <v>3864</v>
      </c>
      <c r="P467" s="165" t="s">
        <v>3865</v>
      </c>
      <c r="Q467" s="165"/>
      <c r="R467" s="165"/>
      <c r="S467" s="165"/>
      <c r="T467" s="165"/>
      <c r="U467" s="165" t="s">
        <v>3807</v>
      </c>
      <c r="V467" s="165"/>
      <c r="W467" s="165"/>
      <c r="X467" s="165"/>
      <c r="Y467">
        <v>3</v>
      </c>
      <c r="Z467" s="165" t="s">
        <v>4775</v>
      </c>
      <c r="AA467" s="165" t="s">
        <v>3809</v>
      </c>
      <c r="AB467" s="165" t="s">
        <v>3810</v>
      </c>
      <c r="AC467" s="165" t="s">
        <v>3811</v>
      </c>
      <c r="AD467" s="165" t="s">
        <v>4870</v>
      </c>
      <c r="AE467">
        <v>59</v>
      </c>
      <c r="AF467" s="165" t="s">
        <v>4871</v>
      </c>
      <c r="AG467">
        <v>49</v>
      </c>
      <c r="AH467">
        <v>31</v>
      </c>
      <c r="AI467">
        <v>52</v>
      </c>
      <c r="AJ467">
        <v>34</v>
      </c>
      <c r="AK467" s="165" t="s">
        <v>4872</v>
      </c>
      <c r="AN467">
        <v>7</v>
      </c>
      <c r="AO467">
        <v>4</v>
      </c>
      <c r="AP467">
        <v>28</v>
      </c>
      <c r="AQ467" s="165" t="s">
        <v>3815</v>
      </c>
      <c r="AR467" t="s">
        <v>3930</v>
      </c>
      <c r="AS467" s="165" t="s">
        <v>174</v>
      </c>
      <c r="AT467" t="s">
        <v>5291</v>
      </c>
      <c r="AU467" t="s">
        <v>3809</v>
      </c>
    </row>
    <row r="468" spans="1:47" hidden="1" x14ac:dyDescent="0.25">
      <c r="A468" s="165" t="s">
        <v>1409</v>
      </c>
      <c r="B468" s="165" t="s">
        <v>4885</v>
      </c>
      <c r="C468" s="165" t="s">
        <v>2471</v>
      </c>
      <c r="D468" s="165" t="s">
        <v>4886</v>
      </c>
      <c r="E468" s="165" t="s">
        <v>3862</v>
      </c>
      <c r="F468" s="165" t="s">
        <v>9</v>
      </c>
      <c r="G468" s="165" t="s">
        <v>3878</v>
      </c>
      <c r="H468" s="165" t="s">
        <v>2206</v>
      </c>
      <c r="I468" s="165" t="s">
        <v>3807</v>
      </c>
      <c r="J468" s="165" t="s">
        <v>4314</v>
      </c>
      <c r="K468" s="165"/>
      <c r="L468" s="165"/>
      <c r="M468" s="165"/>
      <c r="N468" s="165"/>
      <c r="O468" s="165" t="s">
        <v>3864</v>
      </c>
      <c r="P468" s="165" t="s">
        <v>3865</v>
      </c>
      <c r="Q468" s="165"/>
      <c r="R468" s="165"/>
      <c r="S468" s="165"/>
      <c r="T468" s="165"/>
      <c r="U468" s="165" t="s">
        <v>3807</v>
      </c>
      <c r="V468" s="165"/>
      <c r="W468" s="165"/>
      <c r="X468" s="165"/>
      <c r="Y468">
        <v>3</v>
      </c>
      <c r="Z468" s="165" t="s">
        <v>4775</v>
      </c>
      <c r="AA468" s="165" t="s">
        <v>3809</v>
      </c>
      <c r="AB468" s="165" t="s">
        <v>3810</v>
      </c>
      <c r="AC468" s="165" t="s">
        <v>3811</v>
      </c>
      <c r="AD468" s="165" t="s">
        <v>4870</v>
      </c>
      <c r="AE468">
        <v>59</v>
      </c>
      <c r="AF468" s="165" t="s">
        <v>4871</v>
      </c>
      <c r="AG468">
        <v>49</v>
      </c>
      <c r="AH468">
        <v>31</v>
      </c>
      <c r="AI468">
        <v>52</v>
      </c>
      <c r="AJ468">
        <v>34</v>
      </c>
      <c r="AK468" s="165" t="s">
        <v>4872</v>
      </c>
      <c r="AN468">
        <v>7</v>
      </c>
      <c r="AO468">
        <v>4</v>
      </c>
      <c r="AP468">
        <v>28</v>
      </c>
      <c r="AQ468" s="165" t="s">
        <v>3815</v>
      </c>
      <c r="AR468" t="s">
        <v>3930</v>
      </c>
      <c r="AS468" s="165" t="s">
        <v>174</v>
      </c>
      <c r="AT468" t="s">
        <v>5291</v>
      </c>
      <c r="AU468" t="s">
        <v>3809</v>
      </c>
    </row>
    <row r="469" spans="1:47" hidden="1" x14ac:dyDescent="0.25">
      <c r="A469" s="165" t="s">
        <v>4887</v>
      </c>
      <c r="B469" s="165" t="s">
        <v>88</v>
      </c>
      <c r="C469" s="165" t="s">
        <v>2471</v>
      </c>
      <c r="D469" s="165" t="s">
        <v>4888</v>
      </c>
      <c r="E469" s="165" t="s">
        <v>4819</v>
      </c>
      <c r="F469" s="165" t="s">
        <v>9</v>
      </c>
      <c r="G469" s="165" t="s">
        <v>3878</v>
      </c>
      <c r="H469" s="165" t="s">
        <v>2206</v>
      </c>
      <c r="I469" s="165" t="s">
        <v>3807</v>
      </c>
      <c r="J469" s="165" t="s">
        <v>4314</v>
      </c>
      <c r="K469" s="165"/>
      <c r="L469" s="165"/>
      <c r="M469" s="165"/>
      <c r="N469" s="165"/>
      <c r="O469" s="165" t="s">
        <v>3864</v>
      </c>
      <c r="P469" s="165" t="s">
        <v>3865</v>
      </c>
      <c r="Q469" s="165"/>
      <c r="R469" s="165"/>
      <c r="S469" s="165"/>
      <c r="T469" s="165"/>
      <c r="U469" s="165" t="s">
        <v>3807</v>
      </c>
      <c r="V469" s="165"/>
      <c r="W469" s="165"/>
      <c r="X469" s="165"/>
      <c r="Y469">
        <v>3</v>
      </c>
      <c r="Z469" s="165" t="s">
        <v>4775</v>
      </c>
      <c r="AA469" s="165" t="s">
        <v>3809</v>
      </c>
      <c r="AB469" s="165" t="s">
        <v>3810</v>
      </c>
      <c r="AC469" s="165" t="s">
        <v>3811</v>
      </c>
      <c r="AD469" s="165" t="s">
        <v>4870</v>
      </c>
      <c r="AE469">
        <v>59</v>
      </c>
      <c r="AF469" s="165" t="s">
        <v>4871</v>
      </c>
      <c r="AG469">
        <v>49</v>
      </c>
      <c r="AH469">
        <v>31</v>
      </c>
      <c r="AI469">
        <v>52</v>
      </c>
      <c r="AJ469">
        <v>34</v>
      </c>
      <c r="AK469" s="165" t="s">
        <v>4872</v>
      </c>
      <c r="AN469">
        <v>7</v>
      </c>
      <c r="AO469">
        <v>4</v>
      </c>
      <c r="AP469">
        <v>28</v>
      </c>
      <c r="AQ469" s="165" t="s">
        <v>3815</v>
      </c>
      <c r="AR469" t="s">
        <v>3855</v>
      </c>
      <c r="AS469" s="165" t="s">
        <v>174</v>
      </c>
      <c r="AT469" t="s">
        <v>5291</v>
      </c>
      <c r="AU469" t="s">
        <v>3809</v>
      </c>
    </row>
    <row r="470" spans="1:47" hidden="1" x14ac:dyDescent="0.25">
      <c r="A470" s="165" t="s">
        <v>4889</v>
      </c>
      <c r="B470" s="165" t="s">
        <v>88</v>
      </c>
      <c r="C470" s="165" t="s">
        <v>2471</v>
      </c>
      <c r="D470" s="165" t="s">
        <v>4890</v>
      </c>
      <c r="E470" s="165" t="s">
        <v>4819</v>
      </c>
      <c r="F470" s="165" t="s">
        <v>9</v>
      </c>
      <c r="G470" s="165" t="s">
        <v>3878</v>
      </c>
      <c r="H470" s="165" t="s">
        <v>2206</v>
      </c>
      <c r="I470" s="165" t="s">
        <v>3807</v>
      </c>
      <c r="J470" s="165" t="s">
        <v>4314</v>
      </c>
      <c r="K470" s="165"/>
      <c r="L470" s="165"/>
      <c r="M470" s="165"/>
      <c r="N470" s="165"/>
      <c r="O470" s="165" t="s">
        <v>3864</v>
      </c>
      <c r="P470" s="165" t="s">
        <v>3865</v>
      </c>
      <c r="Q470" s="165"/>
      <c r="R470" s="165"/>
      <c r="S470" s="165"/>
      <c r="T470" s="165"/>
      <c r="U470" s="165" t="s">
        <v>3807</v>
      </c>
      <c r="V470" s="165"/>
      <c r="W470" s="165"/>
      <c r="X470" s="165"/>
      <c r="Y470">
        <v>3</v>
      </c>
      <c r="Z470" s="165" t="s">
        <v>4775</v>
      </c>
      <c r="AA470" s="165" t="s">
        <v>3809</v>
      </c>
      <c r="AB470" s="165" t="s">
        <v>3810</v>
      </c>
      <c r="AC470" s="165" t="s">
        <v>3811</v>
      </c>
      <c r="AD470" s="165" t="s">
        <v>4870</v>
      </c>
      <c r="AE470">
        <v>59</v>
      </c>
      <c r="AF470" s="165" t="s">
        <v>4871</v>
      </c>
      <c r="AG470">
        <v>49</v>
      </c>
      <c r="AH470">
        <v>31</v>
      </c>
      <c r="AI470">
        <v>52</v>
      </c>
      <c r="AJ470">
        <v>34</v>
      </c>
      <c r="AK470" s="165" t="s">
        <v>4872</v>
      </c>
      <c r="AN470">
        <v>7</v>
      </c>
      <c r="AO470">
        <v>4</v>
      </c>
      <c r="AP470">
        <v>28</v>
      </c>
      <c r="AQ470" s="165" t="s">
        <v>3815</v>
      </c>
      <c r="AR470" t="s">
        <v>3974</v>
      </c>
      <c r="AS470" s="165" t="s">
        <v>174</v>
      </c>
      <c r="AT470" t="s">
        <v>5291</v>
      </c>
      <c r="AU470" t="s">
        <v>3809</v>
      </c>
    </row>
    <row r="471" spans="1:47" hidden="1" x14ac:dyDescent="0.25">
      <c r="A471" s="165" t="s">
        <v>1395</v>
      </c>
      <c r="B471" s="165" t="s">
        <v>3336</v>
      </c>
      <c r="C471" s="165" t="s">
        <v>2471</v>
      </c>
      <c r="D471" s="165" t="s">
        <v>1396</v>
      </c>
      <c r="E471" s="165" t="s">
        <v>4355</v>
      </c>
      <c r="F471" s="165" t="s">
        <v>9</v>
      </c>
      <c r="G471" s="165" t="s">
        <v>3878</v>
      </c>
      <c r="H471" s="165" t="s">
        <v>2206</v>
      </c>
      <c r="I471" s="165" t="s">
        <v>3807</v>
      </c>
      <c r="J471" s="165" t="s">
        <v>4314</v>
      </c>
      <c r="K471" s="165" t="s">
        <v>3819</v>
      </c>
      <c r="L471" s="165" t="s">
        <v>3820</v>
      </c>
      <c r="M471" s="165" t="s">
        <v>3803</v>
      </c>
      <c r="N471" s="165"/>
      <c r="O471" s="165" t="s">
        <v>3864</v>
      </c>
      <c r="P471" s="165" t="s">
        <v>3865</v>
      </c>
      <c r="Q471" s="165"/>
      <c r="R471" s="165"/>
      <c r="S471" s="165"/>
      <c r="T471" s="165"/>
      <c r="U471" s="165" t="s">
        <v>3807</v>
      </c>
      <c r="V471" s="165"/>
      <c r="W471" s="165"/>
      <c r="X471" s="165"/>
      <c r="Y471">
        <v>6</v>
      </c>
      <c r="Z471" s="165" t="s">
        <v>4891</v>
      </c>
      <c r="AA471" s="165" t="s">
        <v>3809</v>
      </c>
      <c r="AB471" s="165" t="s">
        <v>3810</v>
      </c>
      <c r="AC471" s="165" t="s">
        <v>3811</v>
      </c>
      <c r="AD471" s="165" t="s">
        <v>4892</v>
      </c>
      <c r="AE471">
        <v>104</v>
      </c>
      <c r="AF471" s="165" t="s">
        <v>4871</v>
      </c>
      <c r="AG471">
        <v>49</v>
      </c>
      <c r="AH471">
        <v>31</v>
      </c>
      <c r="AI471">
        <v>52</v>
      </c>
      <c r="AJ471">
        <v>34</v>
      </c>
      <c r="AK471" s="165" t="s">
        <v>4872</v>
      </c>
      <c r="AN471">
        <v>7</v>
      </c>
      <c r="AO471">
        <v>4</v>
      </c>
      <c r="AP471">
        <v>28</v>
      </c>
      <c r="AQ471" s="165" t="s">
        <v>3815</v>
      </c>
      <c r="AR471" t="s">
        <v>3830</v>
      </c>
      <c r="AS471" s="165" t="s">
        <v>174</v>
      </c>
      <c r="AT471" t="s">
        <v>5291</v>
      </c>
      <c r="AU471" t="s">
        <v>3809</v>
      </c>
    </row>
    <row r="472" spans="1:47" hidden="1" x14ac:dyDescent="0.25">
      <c r="A472" s="165" t="s">
        <v>1921</v>
      </c>
      <c r="B472" s="165" t="s">
        <v>3401</v>
      </c>
      <c r="C472" s="165" t="s">
        <v>23</v>
      </c>
      <c r="D472" s="165" t="s">
        <v>1922</v>
      </c>
      <c r="E472" s="165" t="s">
        <v>4893</v>
      </c>
      <c r="F472" s="165" t="s">
        <v>12</v>
      </c>
      <c r="G472" s="165" t="s">
        <v>8</v>
      </c>
      <c r="H472" s="165" t="s">
        <v>263</v>
      </c>
      <c r="I472" s="165" t="s">
        <v>3803</v>
      </c>
      <c r="J472" s="165" t="s">
        <v>3804</v>
      </c>
      <c r="K472" s="165"/>
      <c r="L472" s="165"/>
      <c r="M472" s="165"/>
      <c r="N472" s="165" t="s">
        <v>3805</v>
      </c>
      <c r="O472" s="165"/>
      <c r="P472" s="165"/>
      <c r="Q472" s="165"/>
      <c r="R472" s="165"/>
      <c r="S472" s="165"/>
      <c r="T472" s="165" t="s">
        <v>3806</v>
      </c>
      <c r="U472" s="165" t="s">
        <v>3807</v>
      </c>
      <c r="V472" s="165"/>
      <c r="W472" s="165"/>
      <c r="X472" s="165"/>
      <c r="Y472">
        <v>3</v>
      </c>
      <c r="Z472" s="165" t="s">
        <v>3808</v>
      </c>
      <c r="AA472" s="165" t="s">
        <v>3809</v>
      </c>
      <c r="AB472" s="165" t="s">
        <v>3810</v>
      </c>
      <c r="AC472" s="165" t="s">
        <v>3811</v>
      </c>
      <c r="AD472" s="165" t="s">
        <v>4230</v>
      </c>
      <c r="AE472">
        <v>97</v>
      </c>
      <c r="AF472" s="165" t="s">
        <v>4332</v>
      </c>
      <c r="AG472">
        <v>41</v>
      </c>
      <c r="AH472">
        <v>18</v>
      </c>
      <c r="AI472">
        <v>44</v>
      </c>
      <c r="AJ472">
        <v>21</v>
      </c>
      <c r="AK472" s="165" t="s">
        <v>4333</v>
      </c>
      <c r="AN472">
        <v>3</v>
      </c>
      <c r="AO472">
        <v>8</v>
      </c>
      <c r="AP472">
        <v>24</v>
      </c>
      <c r="AQ472" s="165" t="s">
        <v>3815</v>
      </c>
      <c r="AR472" t="s">
        <v>3909</v>
      </c>
      <c r="AS472" s="165" t="s">
        <v>174</v>
      </c>
      <c r="AT472" t="s">
        <v>5291</v>
      </c>
      <c r="AU472" t="s">
        <v>5291</v>
      </c>
    </row>
    <row r="473" spans="1:47" hidden="1" x14ac:dyDescent="0.25">
      <c r="A473" s="165" t="s">
        <v>1919</v>
      </c>
      <c r="B473" s="165" t="s">
        <v>4894</v>
      </c>
      <c r="C473" s="165" t="s">
        <v>23</v>
      </c>
      <c r="D473" s="165" t="s">
        <v>1920</v>
      </c>
      <c r="E473" s="165" t="s">
        <v>4893</v>
      </c>
      <c r="F473" s="165" t="s">
        <v>12</v>
      </c>
      <c r="G473" s="165" t="s">
        <v>3878</v>
      </c>
      <c r="H473" s="165" t="s">
        <v>263</v>
      </c>
      <c r="I473" s="165" t="s">
        <v>3821</v>
      </c>
      <c r="J473" s="165" t="s">
        <v>3879</v>
      </c>
      <c r="K473" s="165"/>
      <c r="L473" s="165"/>
      <c r="M473" s="165"/>
      <c r="N473" s="165"/>
      <c r="O473" s="165"/>
      <c r="P473" s="165"/>
      <c r="Q473" s="165"/>
      <c r="R473" s="165"/>
      <c r="S473" s="165"/>
      <c r="T473" s="165" t="s">
        <v>3806</v>
      </c>
      <c r="U473" s="165" t="s">
        <v>3807</v>
      </c>
      <c r="V473" s="165"/>
      <c r="W473" s="165"/>
      <c r="X473" s="165"/>
      <c r="Y473">
        <v>2</v>
      </c>
      <c r="Z473" s="165" t="s">
        <v>3880</v>
      </c>
      <c r="AA473" s="165" t="s">
        <v>3809</v>
      </c>
      <c r="AB473" s="165" t="s">
        <v>3810</v>
      </c>
      <c r="AC473" s="165" t="s">
        <v>3811</v>
      </c>
      <c r="AD473" s="165" t="s">
        <v>3881</v>
      </c>
      <c r="AE473">
        <v>1</v>
      </c>
      <c r="AF473" s="165" t="s">
        <v>3882</v>
      </c>
      <c r="AG473">
        <v>34</v>
      </c>
      <c r="AH473">
        <v>29</v>
      </c>
      <c r="AI473">
        <v>37</v>
      </c>
      <c r="AJ473">
        <v>32</v>
      </c>
      <c r="AK473" s="165" t="s">
        <v>3883</v>
      </c>
      <c r="AL473">
        <v>36</v>
      </c>
      <c r="AM473">
        <v>32</v>
      </c>
      <c r="AN473">
        <v>6</v>
      </c>
      <c r="AO473">
        <v>6</v>
      </c>
      <c r="AP473">
        <v>36</v>
      </c>
      <c r="AQ473" s="165" t="s">
        <v>3815</v>
      </c>
      <c r="AR473" t="s">
        <v>3909</v>
      </c>
      <c r="AS473" s="165" t="s">
        <v>174</v>
      </c>
      <c r="AT473" t="s">
        <v>5291</v>
      </c>
      <c r="AU473" t="s">
        <v>5291</v>
      </c>
    </row>
    <row r="474" spans="1:47" hidden="1" x14ac:dyDescent="0.25">
      <c r="A474" s="165" t="s">
        <v>1401</v>
      </c>
      <c r="B474" s="165" t="s">
        <v>4895</v>
      </c>
      <c r="C474" s="165" t="s">
        <v>2471</v>
      </c>
      <c r="D474" s="165" t="s">
        <v>1402</v>
      </c>
      <c r="E474" s="165" t="s">
        <v>4270</v>
      </c>
      <c r="F474" s="165" t="s">
        <v>9</v>
      </c>
      <c r="G474" s="165" t="s">
        <v>3878</v>
      </c>
      <c r="H474" s="165" t="s">
        <v>2206</v>
      </c>
      <c r="I474" s="165" t="s">
        <v>3807</v>
      </c>
      <c r="J474" s="165" t="s">
        <v>4314</v>
      </c>
      <c r="K474" s="165"/>
      <c r="L474" s="165"/>
      <c r="M474" s="165"/>
      <c r="N474" s="165"/>
      <c r="O474" s="165" t="s">
        <v>3864</v>
      </c>
      <c r="P474" s="165" t="s">
        <v>3865</v>
      </c>
      <c r="Q474" s="165"/>
      <c r="R474" s="165"/>
      <c r="S474" s="165"/>
      <c r="T474" s="165"/>
      <c r="U474" s="165" t="s">
        <v>3807</v>
      </c>
      <c r="V474" s="165"/>
      <c r="W474" s="165"/>
      <c r="X474" s="165"/>
      <c r="Y474">
        <v>3</v>
      </c>
      <c r="Z474" s="165" t="s">
        <v>4775</v>
      </c>
      <c r="AA474" s="165" t="s">
        <v>3809</v>
      </c>
      <c r="AB474" s="165" t="s">
        <v>3810</v>
      </c>
      <c r="AC474" s="165" t="s">
        <v>3811</v>
      </c>
      <c r="AD474" s="165" t="s">
        <v>4892</v>
      </c>
      <c r="AE474">
        <v>104</v>
      </c>
      <c r="AF474" s="165" t="s">
        <v>4871</v>
      </c>
      <c r="AG474">
        <v>49</v>
      </c>
      <c r="AH474">
        <v>31</v>
      </c>
      <c r="AI474">
        <v>52</v>
      </c>
      <c r="AJ474">
        <v>34</v>
      </c>
      <c r="AK474" s="165" t="s">
        <v>4872</v>
      </c>
      <c r="AN474">
        <v>7</v>
      </c>
      <c r="AO474">
        <v>4</v>
      </c>
      <c r="AP474">
        <v>28</v>
      </c>
      <c r="AQ474" s="165" t="s">
        <v>3815</v>
      </c>
      <c r="AR474" t="s">
        <v>3830</v>
      </c>
      <c r="AS474" s="165" t="s">
        <v>174</v>
      </c>
      <c r="AT474" t="s">
        <v>5291</v>
      </c>
      <c r="AU474" t="s">
        <v>3809</v>
      </c>
    </row>
    <row r="475" spans="1:47" hidden="1" x14ac:dyDescent="0.25">
      <c r="A475" s="165" t="s">
        <v>1075</v>
      </c>
      <c r="B475" s="165" t="s">
        <v>3337</v>
      </c>
      <c r="C475" s="165" t="s">
        <v>23</v>
      </c>
      <c r="D475" s="165" t="s">
        <v>1076</v>
      </c>
      <c r="E475" s="165" t="s">
        <v>4270</v>
      </c>
      <c r="F475" s="165" t="s">
        <v>9</v>
      </c>
      <c r="G475" s="165" t="s">
        <v>8</v>
      </c>
      <c r="H475" s="165" t="s">
        <v>2206</v>
      </c>
      <c r="I475" s="165" t="s">
        <v>3820</v>
      </c>
      <c r="J475" s="165" t="s">
        <v>3863</v>
      </c>
      <c r="K475" s="165"/>
      <c r="L475" s="165" t="s">
        <v>3820</v>
      </c>
      <c r="M475" s="165" t="s">
        <v>3803</v>
      </c>
      <c r="N475" s="165" t="s">
        <v>3805</v>
      </c>
      <c r="O475" s="165" t="s">
        <v>3864</v>
      </c>
      <c r="P475" s="165" t="s">
        <v>3865</v>
      </c>
      <c r="Q475" s="165"/>
      <c r="R475" s="165"/>
      <c r="S475" s="165"/>
      <c r="T475" s="165"/>
      <c r="U475" s="165" t="s">
        <v>3807</v>
      </c>
      <c r="V475" s="165"/>
      <c r="W475" s="165"/>
      <c r="X475" s="165"/>
      <c r="Y475">
        <v>6</v>
      </c>
      <c r="Z475" s="165" t="s">
        <v>4896</v>
      </c>
      <c r="AA475" s="165" t="s">
        <v>3809</v>
      </c>
      <c r="AB475" s="165" t="s">
        <v>3810</v>
      </c>
      <c r="AC475" s="165" t="s">
        <v>3811</v>
      </c>
      <c r="AD475" s="165" t="s">
        <v>4897</v>
      </c>
      <c r="AE475">
        <v>103</v>
      </c>
      <c r="AF475" s="165" t="s">
        <v>4898</v>
      </c>
      <c r="AG475">
        <v>501</v>
      </c>
      <c r="AH475">
        <v>338</v>
      </c>
      <c r="AI475">
        <v>53.1</v>
      </c>
      <c r="AJ475">
        <v>36.799999999999997</v>
      </c>
      <c r="AK475" s="165" t="s">
        <v>4899</v>
      </c>
      <c r="AN475">
        <v>1</v>
      </c>
      <c r="AO475">
        <v>4</v>
      </c>
      <c r="AP475">
        <v>4</v>
      </c>
      <c r="AQ475" s="165" t="s">
        <v>3815</v>
      </c>
      <c r="AR475" t="s">
        <v>3870</v>
      </c>
      <c r="AS475" s="165" t="s">
        <v>174</v>
      </c>
      <c r="AT475" t="s">
        <v>5291</v>
      </c>
      <c r="AU475" t="s">
        <v>5291</v>
      </c>
    </row>
    <row r="476" spans="1:47" hidden="1" x14ac:dyDescent="0.25">
      <c r="A476" s="165" t="s">
        <v>837</v>
      </c>
      <c r="B476" s="165" t="s">
        <v>4900</v>
      </c>
      <c r="C476" s="165" t="s">
        <v>23</v>
      </c>
      <c r="D476" s="165" t="s">
        <v>838</v>
      </c>
      <c r="E476" s="165" t="s">
        <v>4335</v>
      </c>
      <c r="F476" s="165" t="s">
        <v>15</v>
      </c>
      <c r="G476" s="165" t="s">
        <v>8</v>
      </c>
      <c r="H476" s="165" t="s">
        <v>269</v>
      </c>
      <c r="I476" s="165" t="s">
        <v>3864</v>
      </c>
      <c r="J476" s="165" t="s">
        <v>3894</v>
      </c>
      <c r="K476" s="165" t="s">
        <v>3819</v>
      </c>
      <c r="L476" s="165" t="s">
        <v>3820</v>
      </c>
      <c r="M476" s="165" t="s">
        <v>3803</v>
      </c>
      <c r="N476" s="165" t="s">
        <v>3805</v>
      </c>
      <c r="O476" s="165"/>
      <c r="P476" s="165"/>
      <c r="Q476" s="165" t="s">
        <v>3888</v>
      </c>
      <c r="R476" s="165"/>
      <c r="S476" s="165"/>
      <c r="T476" s="165"/>
      <c r="U476" s="165" t="s">
        <v>3807</v>
      </c>
      <c r="V476" s="165"/>
      <c r="W476" s="165"/>
      <c r="X476" s="165"/>
      <c r="Y476">
        <v>6</v>
      </c>
      <c r="Z476" s="165" t="s">
        <v>3889</v>
      </c>
      <c r="AA476" s="165" t="s">
        <v>3809</v>
      </c>
      <c r="AB476" s="165" t="s">
        <v>3811</v>
      </c>
      <c r="AC476" s="165" t="s">
        <v>3810</v>
      </c>
      <c r="AD476" s="165" t="s">
        <v>4901</v>
      </c>
      <c r="AE476">
        <v>72</v>
      </c>
      <c r="AF476" s="165" t="s">
        <v>4902</v>
      </c>
      <c r="AG476">
        <v>502</v>
      </c>
      <c r="AH476">
        <v>34</v>
      </c>
      <c r="AI476">
        <v>53.2</v>
      </c>
      <c r="AJ476">
        <v>37</v>
      </c>
      <c r="AK476" s="165" t="s">
        <v>4903</v>
      </c>
      <c r="AN476">
        <v>2</v>
      </c>
      <c r="AO476">
        <v>4</v>
      </c>
      <c r="AP476">
        <v>8</v>
      </c>
      <c r="AQ476" s="165" t="s">
        <v>3815</v>
      </c>
      <c r="AS476" s="165" t="s">
        <v>3786</v>
      </c>
      <c r="AT476" t="s">
        <v>5291</v>
      </c>
      <c r="AU476" t="s">
        <v>5291</v>
      </c>
    </row>
    <row r="477" spans="1:47" hidden="1" x14ac:dyDescent="0.25">
      <c r="A477" s="165" t="s">
        <v>4904</v>
      </c>
      <c r="B477" s="165" t="s">
        <v>88</v>
      </c>
      <c r="C477" s="165" t="s">
        <v>23</v>
      </c>
      <c r="D477" s="165" t="s">
        <v>4905</v>
      </c>
      <c r="E477" s="165" t="s">
        <v>3952</v>
      </c>
      <c r="F477" s="165" t="s">
        <v>3953</v>
      </c>
      <c r="G477" s="165" t="s">
        <v>3878</v>
      </c>
      <c r="H477" s="165" t="s">
        <v>263</v>
      </c>
      <c r="I477" s="165" t="s">
        <v>2428</v>
      </c>
      <c r="J477" s="165" t="s">
        <v>4130</v>
      </c>
      <c r="K477" s="165"/>
      <c r="L477" s="165"/>
      <c r="M477" s="165"/>
      <c r="N477" s="165" t="s">
        <v>3805</v>
      </c>
      <c r="O477" s="165"/>
      <c r="P477" s="165"/>
      <c r="Q477" s="165"/>
      <c r="R477" s="165"/>
      <c r="S477" s="165"/>
      <c r="T477" s="165"/>
      <c r="U477" s="165" t="s">
        <v>3807</v>
      </c>
      <c r="V477" s="165"/>
      <c r="W477" s="165"/>
      <c r="X477" s="165"/>
      <c r="Y477">
        <v>2</v>
      </c>
      <c r="Z477" s="165" t="s">
        <v>3955</v>
      </c>
      <c r="AA477" s="165" t="s">
        <v>3811</v>
      </c>
      <c r="AB477" s="165" t="s">
        <v>3810</v>
      </c>
      <c r="AC477" s="165" t="s">
        <v>3809</v>
      </c>
      <c r="AD477" s="165" t="s">
        <v>4127</v>
      </c>
      <c r="AE477">
        <v>32</v>
      </c>
      <c r="AF477" s="165" t="s">
        <v>4906</v>
      </c>
      <c r="AG477">
        <v>503</v>
      </c>
      <c r="AH477">
        <v>377</v>
      </c>
      <c r="AI477">
        <v>53.3</v>
      </c>
      <c r="AJ477">
        <v>40.700000000000003</v>
      </c>
      <c r="AK477" s="165" t="s">
        <v>4907</v>
      </c>
      <c r="AN477">
        <v>6</v>
      </c>
      <c r="AO477">
        <v>4</v>
      </c>
      <c r="AP477">
        <v>24</v>
      </c>
      <c r="AQ477" s="165" t="s">
        <v>3978</v>
      </c>
      <c r="AR477" t="s">
        <v>4908</v>
      </c>
      <c r="AS477" s="165" t="s">
        <v>30</v>
      </c>
      <c r="AT477" t="s">
        <v>5291</v>
      </c>
      <c r="AU477" t="s">
        <v>5291</v>
      </c>
    </row>
    <row r="478" spans="1:47" hidden="1" x14ac:dyDescent="0.25">
      <c r="A478" s="165" t="s">
        <v>809</v>
      </c>
      <c r="B478" s="165" t="s">
        <v>3410</v>
      </c>
      <c r="C478" s="165" t="s">
        <v>23</v>
      </c>
      <c r="D478" s="165" t="s">
        <v>810</v>
      </c>
      <c r="E478" s="165" t="s">
        <v>4609</v>
      </c>
      <c r="F478" s="165" t="s">
        <v>11</v>
      </c>
      <c r="G478" s="165" t="s">
        <v>8</v>
      </c>
      <c r="H478" s="165" t="s">
        <v>241</v>
      </c>
      <c r="I478" s="165" t="s">
        <v>3803</v>
      </c>
      <c r="J478" s="165" t="s">
        <v>4011</v>
      </c>
      <c r="K478" s="165"/>
      <c r="L478" s="165"/>
      <c r="M478" s="165"/>
      <c r="N478" s="165"/>
      <c r="O478" s="165"/>
      <c r="P478" s="165"/>
      <c r="Q478" s="165"/>
      <c r="R478" s="165"/>
      <c r="S478" s="165" t="s">
        <v>3902</v>
      </c>
      <c r="T478" s="165"/>
      <c r="U478" s="165"/>
      <c r="V478" s="165"/>
      <c r="W478" s="165"/>
      <c r="X478" s="165" t="s">
        <v>2428</v>
      </c>
      <c r="Y478">
        <v>2</v>
      </c>
      <c r="Z478" s="165" t="s">
        <v>3903</v>
      </c>
      <c r="AA478" s="165" t="s">
        <v>3811</v>
      </c>
      <c r="AB478" s="165" t="s">
        <v>3810</v>
      </c>
      <c r="AC478" s="165" t="s">
        <v>3809</v>
      </c>
      <c r="AD478" s="165" t="s">
        <v>4909</v>
      </c>
      <c r="AE478">
        <v>34</v>
      </c>
      <c r="AF478" s="165" t="s">
        <v>4910</v>
      </c>
      <c r="AG478">
        <v>504</v>
      </c>
      <c r="AH478">
        <v>376</v>
      </c>
      <c r="AI478">
        <v>53.4</v>
      </c>
      <c r="AJ478">
        <v>40.6</v>
      </c>
      <c r="AK478" s="165" t="s">
        <v>4911</v>
      </c>
      <c r="AN478">
        <v>4</v>
      </c>
      <c r="AO478">
        <v>4</v>
      </c>
      <c r="AP478">
        <v>16</v>
      </c>
      <c r="AQ478" s="165" t="s">
        <v>3815</v>
      </c>
      <c r="AR478" t="s">
        <v>3830</v>
      </c>
      <c r="AS478" s="165" t="s">
        <v>30</v>
      </c>
      <c r="AT478" t="s">
        <v>5291</v>
      </c>
      <c r="AU478" t="s">
        <v>5291</v>
      </c>
    </row>
    <row r="479" spans="1:47" hidden="1" x14ac:dyDescent="0.25">
      <c r="A479" s="165" t="s">
        <v>955</v>
      </c>
      <c r="B479" s="165" t="s">
        <v>3429</v>
      </c>
      <c r="C479" s="165" t="s">
        <v>23</v>
      </c>
      <c r="D479" s="165" t="s">
        <v>956</v>
      </c>
      <c r="E479" s="165" t="s">
        <v>4131</v>
      </c>
      <c r="F479" s="165" t="s">
        <v>11</v>
      </c>
      <c r="G479" s="165" t="s">
        <v>8</v>
      </c>
      <c r="H479" s="165" t="s">
        <v>241</v>
      </c>
      <c r="I479" s="165" t="s">
        <v>3803</v>
      </c>
      <c r="J479" s="165" t="s">
        <v>4011</v>
      </c>
      <c r="K479" s="165"/>
      <c r="L479" s="165"/>
      <c r="M479" s="165"/>
      <c r="N479" s="165"/>
      <c r="O479" s="165"/>
      <c r="P479" s="165"/>
      <c r="Q479" s="165"/>
      <c r="R479" s="165"/>
      <c r="S479" s="165" t="s">
        <v>3902</v>
      </c>
      <c r="T479" s="165"/>
      <c r="U479" s="165"/>
      <c r="V479" s="165"/>
      <c r="W479" s="165"/>
      <c r="X479" s="165" t="s">
        <v>2428</v>
      </c>
      <c r="Y479">
        <v>2</v>
      </c>
      <c r="Z479" s="165" t="s">
        <v>3903</v>
      </c>
      <c r="AA479" s="165" t="s">
        <v>3811</v>
      </c>
      <c r="AB479" s="165" t="s">
        <v>3810</v>
      </c>
      <c r="AC479" s="165" t="s">
        <v>3809</v>
      </c>
      <c r="AD479" s="165" t="s">
        <v>4909</v>
      </c>
      <c r="AE479">
        <v>34</v>
      </c>
      <c r="AF479" s="165" t="s">
        <v>4910</v>
      </c>
      <c r="AG479">
        <v>504</v>
      </c>
      <c r="AH479">
        <v>376</v>
      </c>
      <c r="AI479">
        <v>53.4</v>
      </c>
      <c r="AJ479">
        <v>40.6</v>
      </c>
      <c r="AK479" s="165" t="s">
        <v>4911</v>
      </c>
      <c r="AN479">
        <v>4</v>
      </c>
      <c r="AO479">
        <v>4</v>
      </c>
      <c r="AP479">
        <v>16</v>
      </c>
      <c r="AQ479" s="165" t="s">
        <v>3815</v>
      </c>
      <c r="AR479" t="s">
        <v>3944</v>
      </c>
      <c r="AS479" s="165" t="s">
        <v>30</v>
      </c>
      <c r="AT479" t="s">
        <v>5291</v>
      </c>
      <c r="AU479" t="s">
        <v>5291</v>
      </c>
    </row>
    <row r="480" spans="1:47" hidden="1" x14ac:dyDescent="0.25">
      <c r="A480" s="165" t="s">
        <v>1188</v>
      </c>
      <c r="B480" s="165" t="s">
        <v>3416</v>
      </c>
      <c r="C480" s="165" t="s">
        <v>23</v>
      </c>
      <c r="D480" s="165" t="s">
        <v>1189</v>
      </c>
      <c r="E480" s="165" t="s">
        <v>4258</v>
      </c>
      <c r="F480" s="165" t="s">
        <v>11</v>
      </c>
      <c r="G480" s="165" t="s">
        <v>8</v>
      </c>
      <c r="H480" s="165" t="s">
        <v>241</v>
      </c>
      <c r="I480" s="165" t="s">
        <v>3803</v>
      </c>
      <c r="J480" s="165" t="s">
        <v>4011</v>
      </c>
      <c r="K480" s="165"/>
      <c r="L480" s="165"/>
      <c r="M480" s="165"/>
      <c r="N480" s="165"/>
      <c r="O480" s="165"/>
      <c r="P480" s="165"/>
      <c r="Q480" s="165"/>
      <c r="R480" s="165"/>
      <c r="S480" s="165" t="s">
        <v>3902</v>
      </c>
      <c r="T480" s="165"/>
      <c r="U480" s="165"/>
      <c r="V480" s="165"/>
      <c r="W480" s="165"/>
      <c r="X480" s="165" t="s">
        <v>2428</v>
      </c>
      <c r="Y480">
        <v>2</v>
      </c>
      <c r="Z480" s="165" t="s">
        <v>3903</v>
      </c>
      <c r="AA480" s="165" t="s">
        <v>3811</v>
      </c>
      <c r="AB480" s="165" t="s">
        <v>3810</v>
      </c>
      <c r="AC480" s="165" t="s">
        <v>3809</v>
      </c>
      <c r="AD480" s="165" t="s">
        <v>4909</v>
      </c>
      <c r="AE480">
        <v>34</v>
      </c>
      <c r="AF480" s="165" t="s">
        <v>4910</v>
      </c>
      <c r="AG480">
        <v>504</v>
      </c>
      <c r="AH480">
        <v>376</v>
      </c>
      <c r="AI480">
        <v>53.4</v>
      </c>
      <c r="AJ480">
        <v>40.6</v>
      </c>
      <c r="AK480" s="165" t="s">
        <v>4911</v>
      </c>
      <c r="AN480">
        <v>4</v>
      </c>
      <c r="AO480">
        <v>4</v>
      </c>
      <c r="AP480">
        <v>16</v>
      </c>
      <c r="AQ480" s="165" t="s">
        <v>3815</v>
      </c>
      <c r="AR480" t="s">
        <v>3830</v>
      </c>
      <c r="AS480" s="165" t="s">
        <v>30</v>
      </c>
      <c r="AT480" t="s">
        <v>5291</v>
      </c>
      <c r="AU480" t="s">
        <v>5291</v>
      </c>
    </row>
    <row r="481" spans="1:47" hidden="1" x14ac:dyDescent="0.25">
      <c r="A481" s="165" t="s">
        <v>1601</v>
      </c>
      <c r="B481" s="165" t="s">
        <v>4912</v>
      </c>
      <c r="C481" s="165" t="s">
        <v>23</v>
      </c>
      <c r="D481" s="165" t="s">
        <v>1602</v>
      </c>
      <c r="E481" s="165" t="s">
        <v>4913</v>
      </c>
      <c r="F481" s="165" t="s">
        <v>2183</v>
      </c>
      <c r="G481" s="165" t="s">
        <v>8</v>
      </c>
      <c r="H481" s="165" t="s">
        <v>241</v>
      </c>
      <c r="I481" s="165" t="s">
        <v>3820</v>
      </c>
      <c r="J481" s="165" t="s">
        <v>4106</v>
      </c>
      <c r="K481" s="165"/>
      <c r="L481" s="165"/>
      <c r="M481" s="165"/>
      <c r="N481" s="165"/>
      <c r="O481" s="165"/>
      <c r="P481" s="165"/>
      <c r="Q481" s="165"/>
      <c r="R481" s="165"/>
      <c r="S481" s="165" t="s">
        <v>3902</v>
      </c>
      <c r="T481" s="165"/>
      <c r="U481" s="165"/>
      <c r="V481" s="165"/>
      <c r="W481" s="165"/>
      <c r="X481" s="165" t="s">
        <v>2428</v>
      </c>
      <c r="Y481">
        <v>2</v>
      </c>
      <c r="Z481" s="165" t="s">
        <v>3903</v>
      </c>
      <c r="AA481" s="165" t="s">
        <v>3811</v>
      </c>
      <c r="AB481" s="165" t="s">
        <v>3810</v>
      </c>
      <c r="AC481" s="165" t="s">
        <v>3809</v>
      </c>
      <c r="AD481" s="165" t="s">
        <v>4914</v>
      </c>
      <c r="AE481">
        <v>81</v>
      </c>
      <c r="AF481" s="165" t="s">
        <v>4915</v>
      </c>
      <c r="AG481">
        <v>508</v>
      </c>
      <c r="AH481">
        <v>217</v>
      </c>
      <c r="AI481">
        <v>53.8</v>
      </c>
      <c r="AJ481">
        <v>24.7</v>
      </c>
      <c r="AK481" s="165" t="s">
        <v>4916</v>
      </c>
      <c r="AN481">
        <v>3</v>
      </c>
      <c r="AO481">
        <v>6</v>
      </c>
      <c r="AP481">
        <v>18</v>
      </c>
      <c r="AQ481" s="165" t="s">
        <v>3815</v>
      </c>
      <c r="AR481" t="s">
        <v>3949</v>
      </c>
      <c r="AS481" s="165" t="s">
        <v>30</v>
      </c>
      <c r="AT481" t="s">
        <v>5291</v>
      </c>
      <c r="AU481" t="s">
        <v>5291</v>
      </c>
    </row>
    <row r="482" spans="1:47" hidden="1" x14ac:dyDescent="0.25">
      <c r="A482" s="165" t="s">
        <v>1258</v>
      </c>
      <c r="B482" s="165" t="s">
        <v>4917</v>
      </c>
      <c r="C482" s="165" t="s">
        <v>23</v>
      </c>
      <c r="D482" s="165" t="s">
        <v>1259</v>
      </c>
      <c r="E482" s="165" t="s">
        <v>3943</v>
      </c>
      <c r="F482" s="165" t="s">
        <v>4234</v>
      </c>
      <c r="G482" s="165" t="s">
        <v>8</v>
      </c>
      <c r="H482" s="165" t="s">
        <v>241</v>
      </c>
      <c r="I482" s="165" t="s">
        <v>3864</v>
      </c>
      <c r="J482" s="165" t="s">
        <v>3901</v>
      </c>
      <c r="K482" s="165"/>
      <c r="L482" s="165"/>
      <c r="M482" s="165"/>
      <c r="N482" s="165"/>
      <c r="O482" s="165"/>
      <c r="P482" s="165"/>
      <c r="Q482" s="165"/>
      <c r="R482" s="165"/>
      <c r="S482" s="165" t="s">
        <v>3902</v>
      </c>
      <c r="T482" s="165"/>
      <c r="U482" s="165"/>
      <c r="V482" s="165"/>
      <c r="W482" s="165"/>
      <c r="X482" s="165" t="s">
        <v>2428</v>
      </c>
      <c r="Y482">
        <v>2</v>
      </c>
      <c r="Z482" s="165" t="s">
        <v>3903</v>
      </c>
      <c r="AA482" s="165" t="s">
        <v>3811</v>
      </c>
      <c r="AB482" s="165" t="s">
        <v>3810</v>
      </c>
      <c r="AC482" s="165" t="s">
        <v>3809</v>
      </c>
      <c r="AD482" s="165" t="s">
        <v>4918</v>
      </c>
      <c r="AE482">
        <v>124</v>
      </c>
      <c r="AF482" s="165" t="s">
        <v>4919</v>
      </c>
      <c r="AG482">
        <v>503</v>
      </c>
      <c r="AH482">
        <v>246</v>
      </c>
      <c r="AI482">
        <v>53.3</v>
      </c>
      <c r="AJ482">
        <v>27.6</v>
      </c>
      <c r="AK482" s="165" t="s">
        <v>4920</v>
      </c>
      <c r="AN482">
        <v>3</v>
      </c>
      <c r="AO482">
        <v>6</v>
      </c>
      <c r="AP482">
        <v>18</v>
      </c>
      <c r="AQ482" s="165" t="s">
        <v>3815</v>
      </c>
      <c r="AR482" t="s">
        <v>3830</v>
      </c>
      <c r="AS482" s="165" t="s">
        <v>30</v>
      </c>
      <c r="AT482" t="s">
        <v>5291</v>
      </c>
      <c r="AU482" t="s">
        <v>5291</v>
      </c>
    </row>
    <row r="483" spans="1:47" hidden="1" x14ac:dyDescent="0.25">
      <c r="A483" s="165" t="s">
        <v>767</v>
      </c>
      <c r="B483" s="165" t="s">
        <v>4921</v>
      </c>
      <c r="C483" s="165" t="s">
        <v>23</v>
      </c>
      <c r="D483" s="165" t="s">
        <v>4922</v>
      </c>
      <c r="E483" s="165" t="s">
        <v>4359</v>
      </c>
      <c r="F483" s="165" t="s">
        <v>4234</v>
      </c>
      <c r="G483" s="165" t="s">
        <v>8</v>
      </c>
      <c r="H483" s="165" t="s">
        <v>251</v>
      </c>
      <c r="I483" s="165" t="s">
        <v>3864</v>
      </c>
      <c r="J483" s="165" t="s">
        <v>4235</v>
      </c>
      <c r="K483" s="165" t="s">
        <v>3819</v>
      </c>
      <c r="L483" s="165" t="s">
        <v>3820</v>
      </c>
      <c r="M483" s="165" t="s">
        <v>3803</v>
      </c>
      <c r="N483" s="165" t="s">
        <v>3805</v>
      </c>
      <c r="O483" s="165"/>
      <c r="P483" s="165"/>
      <c r="Q483" s="165"/>
      <c r="R483" s="165"/>
      <c r="S483" s="165"/>
      <c r="T483" s="165"/>
      <c r="U483" s="165" t="s">
        <v>3807</v>
      </c>
      <c r="V483" s="165" t="s">
        <v>3821</v>
      </c>
      <c r="W483" s="165" t="s">
        <v>3822</v>
      </c>
      <c r="X483" s="165"/>
      <c r="Y483">
        <v>7</v>
      </c>
      <c r="Z483" s="165" t="s">
        <v>3823</v>
      </c>
      <c r="AA483" s="165" t="s">
        <v>3809</v>
      </c>
      <c r="AB483" s="165" t="s">
        <v>3810</v>
      </c>
      <c r="AC483" s="165" t="s">
        <v>3811</v>
      </c>
      <c r="AD483" s="165" t="s">
        <v>4918</v>
      </c>
      <c r="AE483">
        <v>15</v>
      </c>
      <c r="AF483" s="165" t="s">
        <v>4923</v>
      </c>
      <c r="AG483">
        <v>50</v>
      </c>
      <c r="AH483">
        <v>238</v>
      </c>
      <c r="AI483">
        <v>53</v>
      </c>
      <c r="AJ483">
        <v>26.8</v>
      </c>
      <c r="AK483" s="165" t="s">
        <v>4924</v>
      </c>
      <c r="AN483">
        <v>3</v>
      </c>
      <c r="AO483">
        <v>6</v>
      </c>
      <c r="AP483">
        <v>18</v>
      </c>
      <c r="AQ483" s="165" t="s">
        <v>3815</v>
      </c>
      <c r="AR483" t="s">
        <v>4009</v>
      </c>
      <c r="AS483" s="165" t="s">
        <v>174</v>
      </c>
      <c r="AT483" t="s">
        <v>5291</v>
      </c>
      <c r="AU483" t="s">
        <v>5291</v>
      </c>
    </row>
    <row r="484" spans="1:47" hidden="1" x14ac:dyDescent="0.25">
      <c r="A484" s="165" t="s">
        <v>1019</v>
      </c>
      <c r="B484" s="165" t="s">
        <v>4925</v>
      </c>
      <c r="C484" s="165" t="s">
        <v>23</v>
      </c>
      <c r="D484" s="165" t="s">
        <v>4926</v>
      </c>
      <c r="E484" s="165" t="s">
        <v>3817</v>
      </c>
      <c r="F484" s="165" t="s">
        <v>4234</v>
      </c>
      <c r="G484" s="165" t="s">
        <v>8</v>
      </c>
      <c r="H484" s="165" t="s">
        <v>251</v>
      </c>
      <c r="I484" s="165" t="s">
        <v>3864</v>
      </c>
      <c r="J484" s="165" t="s">
        <v>4235</v>
      </c>
      <c r="K484" s="165" t="s">
        <v>3819</v>
      </c>
      <c r="L484" s="165" t="s">
        <v>3820</v>
      </c>
      <c r="M484" s="165" t="s">
        <v>3803</v>
      </c>
      <c r="N484" s="165" t="s">
        <v>3805</v>
      </c>
      <c r="O484" s="165"/>
      <c r="P484" s="165"/>
      <c r="Q484" s="165"/>
      <c r="R484" s="165"/>
      <c r="S484" s="165"/>
      <c r="T484" s="165"/>
      <c r="U484" s="165" t="s">
        <v>3807</v>
      </c>
      <c r="V484" s="165" t="s">
        <v>3821</v>
      </c>
      <c r="W484" s="165" t="s">
        <v>3822</v>
      </c>
      <c r="X484" s="165"/>
      <c r="Y484">
        <v>7</v>
      </c>
      <c r="Z484" s="165" t="s">
        <v>3823</v>
      </c>
      <c r="AA484" s="165" t="s">
        <v>3809</v>
      </c>
      <c r="AB484" s="165" t="s">
        <v>3810</v>
      </c>
      <c r="AC484" s="165" t="s">
        <v>3811</v>
      </c>
      <c r="AD484" s="165" t="s">
        <v>4918</v>
      </c>
      <c r="AE484">
        <v>15</v>
      </c>
      <c r="AF484" s="165" t="s">
        <v>4923</v>
      </c>
      <c r="AG484">
        <v>50</v>
      </c>
      <c r="AH484">
        <v>238</v>
      </c>
      <c r="AI484">
        <v>53</v>
      </c>
      <c r="AJ484">
        <v>26.8</v>
      </c>
      <c r="AK484" s="165" t="s">
        <v>4924</v>
      </c>
      <c r="AN484">
        <v>3</v>
      </c>
      <c r="AO484">
        <v>6</v>
      </c>
      <c r="AP484">
        <v>18</v>
      </c>
      <c r="AQ484" s="165" t="s">
        <v>3815</v>
      </c>
      <c r="AR484" t="s">
        <v>3855</v>
      </c>
      <c r="AS484" s="165" t="s">
        <v>174</v>
      </c>
      <c r="AT484" t="s">
        <v>5291</v>
      </c>
      <c r="AU484" t="s">
        <v>5291</v>
      </c>
    </row>
    <row r="485" spans="1:47" hidden="1" x14ac:dyDescent="0.25">
      <c r="A485" s="165" t="s">
        <v>1146</v>
      </c>
      <c r="B485" s="165" t="s">
        <v>4927</v>
      </c>
      <c r="C485" s="165" t="s">
        <v>23</v>
      </c>
      <c r="D485" s="165" t="s">
        <v>1147</v>
      </c>
      <c r="E485" s="165" t="s">
        <v>3977</v>
      </c>
      <c r="F485" s="165" t="s">
        <v>4234</v>
      </c>
      <c r="G485" s="165" t="s">
        <v>8</v>
      </c>
      <c r="H485" s="165" t="s">
        <v>251</v>
      </c>
      <c r="I485" s="165" t="s">
        <v>3864</v>
      </c>
      <c r="J485" s="165" t="s">
        <v>4235</v>
      </c>
      <c r="K485" s="165"/>
      <c r="L485" s="165"/>
      <c r="M485" s="165"/>
      <c r="N485" s="165" t="s">
        <v>3805</v>
      </c>
      <c r="O485" s="165"/>
      <c r="P485" s="165"/>
      <c r="Q485" s="165"/>
      <c r="R485" s="165"/>
      <c r="S485" s="165"/>
      <c r="T485" s="165"/>
      <c r="U485" s="165" t="s">
        <v>3807</v>
      </c>
      <c r="V485" s="165" t="s">
        <v>3821</v>
      </c>
      <c r="W485" s="165" t="s">
        <v>3822</v>
      </c>
      <c r="X485" s="165"/>
      <c r="Y485">
        <v>4</v>
      </c>
      <c r="Z485" s="165" t="s">
        <v>4071</v>
      </c>
      <c r="AA485" s="165" t="s">
        <v>3809</v>
      </c>
      <c r="AB485" s="165" t="s">
        <v>3810</v>
      </c>
      <c r="AC485" s="165" t="s">
        <v>3811</v>
      </c>
      <c r="AD485" s="165" t="s">
        <v>4918</v>
      </c>
      <c r="AE485">
        <v>15</v>
      </c>
      <c r="AF485" s="165" t="s">
        <v>4923</v>
      </c>
      <c r="AG485">
        <v>50</v>
      </c>
      <c r="AH485">
        <v>238</v>
      </c>
      <c r="AI485">
        <v>53</v>
      </c>
      <c r="AJ485">
        <v>26.8</v>
      </c>
      <c r="AK485" s="165" t="s">
        <v>4924</v>
      </c>
      <c r="AN485">
        <v>3</v>
      </c>
      <c r="AO485">
        <v>6</v>
      </c>
      <c r="AP485">
        <v>18</v>
      </c>
      <c r="AQ485" s="165" t="s">
        <v>3815</v>
      </c>
      <c r="AR485" t="s">
        <v>3830</v>
      </c>
      <c r="AS485" s="165" t="s">
        <v>174</v>
      </c>
      <c r="AT485" t="s">
        <v>5291</v>
      </c>
      <c r="AU485" t="s">
        <v>5291</v>
      </c>
    </row>
    <row r="486" spans="1:47" hidden="1" x14ac:dyDescent="0.25">
      <c r="A486" s="165" t="s">
        <v>1116</v>
      </c>
      <c r="B486" s="165" t="s">
        <v>4928</v>
      </c>
      <c r="C486" s="165" t="s">
        <v>23</v>
      </c>
      <c r="D486" s="165" t="s">
        <v>1117</v>
      </c>
      <c r="E486" s="165" t="s">
        <v>3862</v>
      </c>
      <c r="F486" s="165" t="s">
        <v>9</v>
      </c>
      <c r="G486" s="165" t="s">
        <v>8</v>
      </c>
      <c r="H486" s="165" t="s">
        <v>2206</v>
      </c>
      <c r="I486" s="165" t="s">
        <v>3820</v>
      </c>
      <c r="J486" s="165" t="s">
        <v>3863</v>
      </c>
      <c r="K486" s="165"/>
      <c r="L486" s="165"/>
      <c r="M486" s="165"/>
      <c r="N486" s="165" t="s">
        <v>3805</v>
      </c>
      <c r="O486" s="165" t="s">
        <v>3864</v>
      </c>
      <c r="P486" s="165" t="s">
        <v>3865</v>
      </c>
      <c r="Q486" s="165"/>
      <c r="R486" s="165"/>
      <c r="S486" s="165"/>
      <c r="T486" s="165"/>
      <c r="U486" s="165" t="s">
        <v>3807</v>
      </c>
      <c r="V486" s="165"/>
      <c r="W486" s="165"/>
      <c r="X486" s="165"/>
      <c r="Y486">
        <v>4</v>
      </c>
      <c r="Z486" s="165" t="s">
        <v>3866</v>
      </c>
      <c r="AA486" s="165" t="s">
        <v>3809</v>
      </c>
      <c r="AB486" s="165" t="s">
        <v>3810</v>
      </c>
      <c r="AC486" s="165" t="s">
        <v>3811</v>
      </c>
      <c r="AD486" s="165" t="s">
        <v>4918</v>
      </c>
      <c r="AE486">
        <v>15</v>
      </c>
      <c r="AF486" s="165" t="s">
        <v>4923</v>
      </c>
      <c r="AG486">
        <v>50</v>
      </c>
      <c r="AH486">
        <v>238</v>
      </c>
      <c r="AI486">
        <v>53</v>
      </c>
      <c r="AJ486">
        <v>26.8</v>
      </c>
      <c r="AK486" s="165" t="s">
        <v>4924</v>
      </c>
      <c r="AN486">
        <v>3</v>
      </c>
      <c r="AO486">
        <v>6</v>
      </c>
      <c r="AP486">
        <v>18</v>
      </c>
      <c r="AQ486" s="165" t="s">
        <v>3815</v>
      </c>
      <c r="AR486" t="s">
        <v>3956</v>
      </c>
      <c r="AS486" s="165" t="s">
        <v>174</v>
      </c>
      <c r="AT486" t="s">
        <v>5291</v>
      </c>
      <c r="AU486" t="s">
        <v>5291</v>
      </c>
    </row>
    <row r="487" spans="1:47" hidden="1" x14ac:dyDescent="0.25">
      <c r="A487" s="165" t="s">
        <v>4929</v>
      </c>
      <c r="B487" s="165" t="s">
        <v>4930</v>
      </c>
      <c r="C487" s="165" t="s">
        <v>23</v>
      </c>
      <c r="D487" s="165" t="s">
        <v>4931</v>
      </c>
      <c r="E487" s="165" t="s">
        <v>3862</v>
      </c>
      <c r="F487" s="165" t="s">
        <v>9</v>
      </c>
      <c r="G487" s="165" t="s">
        <v>8</v>
      </c>
      <c r="H487" s="165" t="s">
        <v>2206</v>
      </c>
      <c r="I487" s="165" t="s">
        <v>3820</v>
      </c>
      <c r="J487" s="165" t="s">
        <v>3863</v>
      </c>
      <c r="K487" s="165"/>
      <c r="L487" s="165"/>
      <c r="M487" s="165"/>
      <c r="N487" s="165" t="s">
        <v>3805</v>
      </c>
      <c r="O487" s="165" t="s">
        <v>3864</v>
      </c>
      <c r="P487" s="165" t="s">
        <v>3865</v>
      </c>
      <c r="Q487" s="165"/>
      <c r="R487" s="165"/>
      <c r="S487" s="165"/>
      <c r="T487" s="165"/>
      <c r="U487" s="165" t="s">
        <v>3807</v>
      </c>
      <c r="V487" s="165"/>
      <c r="W487" s="165"/>
      <c r="X487" s="165"/>
      <c r="Y487">
        <v>4</v>
      </c>
      <c r="Z487" s="165" t="s">
        <v>3866</v>
      </c>
      <c r="AA487" s="165" t="s">
        <v>3809</v>
      </c>
      <c r="AB487" s="165" t="s">
        <v>3810</v>
      </c>
      <c r="AC487" s="165" t="s">
        <v>3811</v>
      </c>
      <c r="AD487" s="165" t="s">
        <v>4918</v>
      </c>
      <c r="AE487">
        <v>15</v>
      </c>
      <c r="AF487" s="165" t="s">
        <v>4923</v>
      </c>
      <c r="AG487">
        <v>50</v>
      </c>
      <c r="AH487">
        <v>238</v>
      </c>
      <c r="AI487">
        <v>53</v>
      </c>
      <c r="AJ487">
        <v>26.8</v>
      </c>
      <c r="AK487" s="165" t="s">
        <v>4924</v>
      </c>
      <c r="AN487">
        <v>3</v>
      </c>
      <c r="AO487">
        <v>6</v>
      </c>
      <c r="AP487">
        <v>18</v>
      </c>
      <c r="AQ487" s="165" t="s">
        <v>3815</v>
      </c>
      <c r="AR487" t="s">
        <v>4168</v>
      </c>
      <c r="AS487" s="165" t="s">
        <v>174</v>
      </c>
      <c r="AT487" t="s">
        <v>5291</v>
      </c>
      <c r="AU487" t="s">
        <v>5291</v>
      </c>
    </row>
    <row r="488" spans="1:47" hidden="1" x14ac:dyDescent="0.25">
      <c r="A488" s="165" t="s">
        <v>1791</v>
      </c>
      <c r="B488" s="165" t="s">
        <v>4932</v>
      </c>
      <c r="C488" s="165" t="s">
        <v>23</v>
      </c>
      <c r="D488" s="165" t="s">
        <v>4933</v>
      </c>
      <c r="E488" s="165" t="s">
        <v>4407</v>
      </c>
      <c r="F488" s="165" t="s">
        <v>9</v>
      </c>
      <c r="G488" s="165" t="s">
        <v>3878</v>
      </c>
      <c r="H488" s="165" t="s">
        <v>2030</v>
      </c>
      <c r="I488" s="165" t="s">
        <v>3807</v>
      </c>
      <c r="J488" s="165" t="s">
        <v>4769</v>
      </c>
      <c r="K488" s="165" t="s">
        <v>3819</v>
      </c>
      <c r="L488" s="165" t="s">
        <v>3820</v>
      </c>
      <c r="M488" s="165" t="s">
        <v>3803</v>
      </c>
      <c r="N488" s="165" t="s">
        <v>3805</v>
      </c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>
        <v>4</v>
      </c>
      <c r="Z488" s="165" t="s">
        <v>3873</v>
      </c>
      <c r="AA488" s="165" t="s">
        <v>3809</v>
      </c>
      <c r="AB488" s="165" t="s">
        <v>3811</v>
      </c>
      <c r="AC488" s="165" t="s">
        <v>3810</v>
      </c>
      <c r="AD488" s="165" t="s">
        <v>4361</v>
      </c>
      <c r="AE488">
        <v>116</v>
      </c>
      <c r="AF488" s="165" t="s">
        <v>4362</v>
      </c>
      <c r="AG488">
        <v>495</v>
      </c>
      <c r="AH488">
        <v>19</v>
      </c>
      <c r="AI488">
        <v>54.5</v>
      </c>
      <c r="AJ488">
        <v>24</v>
      </c>
      <c r="AK488" s="165" t="s">
        <v>4363</v>
      </c>
      <c r="AN488">
        <v>3</v>
      </c>
      <c r="AO488">
        <v>8</v>
      </c>
      <c r="AP488">
        <v>24</v>
      </c>
      <c r="AQ488" s="165" t="s">
        <v>3815</v>
      </c>
      <c r="AR488" t="s">
        <v>4377</v>
      </c>
      <c r="AS488" s="165" t="s">
        <v>3786</v>
      </c>
      <c r="AT488" t="s">
        <v>5291</v>
      </c>
      <c r="AU488" t="s">
        <v>5291</v>
      </c>
    </row>
    <row r="489" spans="1:47" hidden="1" x14ac:dyDescent="0.25">
      <c r="A489" s="165" t="s">
        <v>1389</v>
      </c>
      <c r="B489" s="165" t="s">
        <v>4934</v>
      </c>
      <c r="C489" s="165" t="s">
        <v>2471</v>
      </c>
      <c r="D489" s="165" t="s">
        <v>1390</v>
      </c>
      <c r="E489" s="165" t="s">
        <v>3991</v>
      </c>
      <c r="F489" s="165" t="s">
        <v>9</v>
      </c>
      <c r="G489" s="165" t="s">
        <v>3878</v>
      </c>
      <c r="H489" s="165" t="s">
        <v>263</v>
      </c>
      <c r="I489" s="165" t="s">
        <v>3807</v>
      </c>
      <c r="J489" s="165" t="s">
        <v>4570</v>
      </c>
      <c r="K489" s="165"/>
      <c r="L489" s="165"/>
      <c r="M489" s="165"/>
      <c r="N489" s="165"/>
      <c r="O489" s="165"/>
      <c r="P489" s="165"/>
      <c r="Q489" s="165"/>
      <c r="R489" s="165"/>
      <c r="S489" s="165"/>
      <c r="T489" s="165" t="s">
        <v>3806</v>
      </c>
      <c r="U489" s="165" t="s">
        <v>3807</v>
      </c>
      <c r="V489" s="165"/>
      <c r="W489" s="165"/>
      <c r="X489" s="165"/>
      <c r="Y489">
        <v>2</v>
      </c>
      <c r="Z489" s="165" t="s">
        <v>3880</v>
      </c>
      <c r="AA489" s="165" t="s">
        <v>3809</v>
      </c>
      <c r="AB489" s="165" t="s">
        <v>3810</v>
      </c>
      <c r="AC489" s="165" t="s">
        <v>3811</v>
      </c>
      <c r="AD489" s="165" t="s">
        <v>4935</v>
      </c>
      <c r="AE489">
        <v>56</v>
      </c>
      <c r="AF489" s="165" t="s">
        <v>4936</v>
      </c>
      <c r="AG489">
        <v>50</v>
      </c>
      <c r="AH489">
        <v>272</v>
      </c>
      <c r="AI489">
        <v>53</v>
      </c>
      <c r="AJ489">
        <v>30.2</v>
      </c>
      <c r="AK489" s="165" t="s">
        <v>4937</v>
      </c>
      <c r="AN489">
        <v>5</v>
      </c>
      <c r="AO489">
        <v>4</v>
      </c>
      <c r="AP489">
        <v>20</v>
      </c>
      <c r="AQ489" s="165" t="s">
        <v>3815</v>
      </c>
      <c r="AR489" t="s">
        <v>3974</v>
      </c>
      <c r="AS489" s="165" t="s">
        <v>174</v>
      </c>
      <c r="AT489" t="s">
        <v>5291</v>
      </c>
      <c r="AU489" t="s">
        <v>3809</v>
      </c>
    </row>
    <row r="490" spans="1:47" hidden="1" x14ac:dyDescent="0.25">
      <c r="A490" s="165" t="s">
        <v>1387</v>
      </c>
      <c r="B490" s="165" t="s">
        <v>4938</v>
      </c>
      <c r="C490" s="165" t="s">
        <v>2471</v>
      </c>
      <c r="D490" s="165" t="s">
        <v>1388</v>
      </c>
      <c r="E490" s="165" t="s">
        <v>3991</v>
      </c>
      <c r="F490" s="165" t="s">
        <v>9</v>
      </c>
      <c r="G490" s="165" t="s">
        <v>3878</v>
      </c>
      <c r="H490" s="165" t="s">
        <v>2206</v>
      </c>
      <c r="I490" s="165" t="s">
        <v>3807</v>
      </c>
      <c r="J490" s="165" t="s">
        <v>4314</v>
      </c>
      <c r="K490" s="165"/>
      <c r="L490" s="165"/>
      <c r="M490" s="165"/>
      <c r="N490" s="165"/>
      <c r="O490" s="165" t="s">
        <v>3864</v>
      </c>
      <c r="P490" s="165" t="s">
        <v>3865</v>
      </c>
      <c r="Q490" s="165"/>
      <c r="R490" s="165"/>
      <c r="S490" s="165"/>
      <c r="T490" s="165"/>
      <c r="U490" s="165" t="s">
        <v>3807</v>
      </c>
      <c r="V490" s="165"/>
      <c r="W490" s="165"/>
      <c r="X490" s="165"/>
      <c r="Y490">
        <v>3</v>
      </c>
      <c r="Z490" s="165" t="s">
        <v>4775</v>
      </c>
      <c r="AA490" s="165" t="s">
        <v>3809</v>
      </c>
      <c r="AB490" s="165" t="s">
        <v>3810</v>
      </c>
      <c r="AC490" s="165" t="s">
        <v>3811</v>
      </c>
      <c r="AD490" s="165" t="s">
        <v>4935</v>
      </c>
      <c r="AE490">
        <v>56</v>
      </c>
      <c r="AF490" s="165" t="s">
        <v>4936</v>
      </c>
      <c r="AG490">
        <v>50</v>
      </c>
      <c r="AH490">
        <v>272</v>
      </c>
      <c r="AI490">
        <v>53</v>
      </c>
      <c r="AJ490">
        <v>30.2</v>
      </c>
      <c r="AK490" s="165" t="s">
        <v>4937</v>
      </c>
      <c r="AN490">
        <v>5</v>
      </c>
      <c r="AO490">
        <v>4</v>
      </c>
      <c r="AP490">
        <v>20</v>
      </c>
      <c r="AQ490" s="165" t="s">
        <v>3815</v>
      </c>
      <c r="AR490" t="s">
        <v>4165</v>
      </c>
      <c r="AS490" s="165" t="s">
        <v>174</v>
      </c>
      <c r="AT490" t="s">
        <v>5291</v>
      </c>
      <c r="AU490" t="s">
        <v>3809</v>
      </c>
    </row>
    <row r="491" spans="1:47" hidden="1" x14ac:dyDescent="0.25">
      <c r="A491" s="165" t="s">
        <v>831</v>
      </c>
      <c r="B491" s="165" t="s">
        <v>3295</v>
      </c>
      <c r="C491" s="165" t="s">
        <v>23</v>
      </c>
      <c r="D491" s="165" t="s">
        <v>832</v>
      </c>
      <c r="E491" s="165" t="s">
        <v>4855</v>
      </c>
      <c r="F491" s="165" t="s">
        <v>181</v>
      </c>
      <c r="G491" s="165" t="s">
        <v>8</v>
      </c>
      <c r="H491" s="165" t="s">
        <v>269</v>
      </c>
      <c r="I491" s="165" t="s">
        <v>3864</v>
      </c>
      <c r="J491" s="165" t="s">
        <v>3894</v>
      </c>
      <c r="K491" s="165" t="s">
        <v>3819</v>
      </c>
      <c r="L491" s="165" t="s">
        <v>3820</v>
      </c>
      <c r="M491" s="165" t="s">
        <v>3803</v>
      </c>
      <c r="N491" s="165" t="s">
        <v>3805</v>
      </c>
      <c r="O491" s="165"/>
      <c r="P491" s="165"/>
      <c r="Q491" s="165" t="s">
        <v>3888</v>
      </c>
      <c r="R491" s="165"/>
      <c r="S491" s="165"/>
      <c r="T491" s="165"/>
      <c r="U491" s="165" t="s">
        <v>3807</v>
      </c>
      <c r="V491" s="165"/>
      <c r="W491" s="165"/>
      <c r="X491" s="165"/>
      <c r="Y491">
        <v>6</v>
      </c>
      <c r="Z491" s="165" t="s">
        <v>3889</v>
      </c>
      <c r="AA491" s="165" t="s">
        <v>3809</v>
      </c>
      <c r="AB491" s="165" t="s">
        <v>3811</v>
      </c>
      <c r="AC491" s="165" t="s">
        <v>3810</v>
      </c>
      <c r="AD491" s="165" t="s">
        <v>4939</v>
      </c>
      <c r="AE491">
        <v>71</v>
      </c>
      <c r="AF491" s="165" t="s">
        <v>4940</v>
      </c>
      <c r="AG491">
        <v>50</v>
      </c>
      <c r="AH491">
        <v>30</v>
      </c>
      <c r="AI491">
        <v>53</v>
      </c>
      <c r="AJ491">
        <v>33</v>
      </c>
      <c r="AK491" s="165" t="s">
        <v>4941</v>
      </c>
      <c r="AN491">
        <v>2</v>
      </c>
      <c r="AO491">
        <v>4</v>
      </c>
      <c r="AP491">
        <v>8</v>
      </c>
      <c r="AQ491" s="165" t="s">
        <v>3815</v>
      </c>
      <c r="AS491" s="165" t="s">
        <v>3786</v>
      </c>
      <c r="AT491" t="s">
        <v>5291</v>
      </c>
      <c r="AU491" t="s">
        <v>5291</v>
      </c>
    </row>
    <row r="492" spans="1:47" hidden="1" x14ac:dyDescent="0.25">
      <c r="A492" s="165" t="s">
        <v>833</v>
      </c>
      <c r="B492" s="165" t="s">
        <v>4942</v>
      </c>
      <c r="C492" s="165" t="s">
        <v>23</v>
      </c>
      <c r="D492" s="165" t="s">
        <v>834</v>
      </c>
      <c r="E492" s="165" t="s">
        <v>4863</v>
      </c>
      <c r="F492" s="165" t="s">
        <v>181</v>
      </c>
      <c r="G492" s="165" t="s">
        <v>8</v>
      </c>
      <c r="H492" s="165" t="s">
        <v>269</v>
      </c>
      <c r="I492" s="165" t="s">
        <v>3864</v>
      </c>
      <c r="J492" s="165" t="s">
        <v>3894</v>
      </c>
      <c r="K492" s="165" t="s">
        <v>3819</v>
      </c>
      <c r="L492" s="165" t="s">
        <v>3820</v>
      </c>
      <c r="M492" s="165" t="s">
        <v>3803</v>
      </c>
      <c r="N492" s="165" t="s">
        <v>3805</v>
      </c>
      <c r="O492" s="165"/>
      <c r="P492" s="165"/>
      <c r="Q492" s="165" t="s">
        <v>3888</v>
      </c>
      <c r="R492" s="165"/>
      <c r="S492" s="165"/>
      <c r="T492" s="165"/>
      <c r="U492" s="165" t="s">
        <v>3807</v>
      </c>
      <c r="V492" s="165"/>
      <c r="W492" s="165"/>
      <c r="X492" s="165"/>
      <c r="Y492">
        <v>6</v>
      </c>
      <c r="Z492" s="165" t="s">
        <v>3889</v>
      </c>
      <c r="AA492" s="165" t="s">
        <v>3809</v>
      </c>
      <c r="AB492" s="165" t="s">
        <v>3811</v>
      </c>
      <c r="AC492" s="165" t="s">
        <v>3810</v>
      </c>
      <c r="AD492" s="165" t="s">
        <v>4939</v>
      </c>
      <c r="AE492">
        <v>71</v>
      </c>
      <c r="AF492" s="165" t="s">
        <v>4940</v>
      </c>
      <c r="AG492">
        <v>50</v>
      </c>
      <c r="AH492">
        <v>30</v>
      </c>
      <c r="AI492">
        <v>53</v>
      </c>
      <c r="AJ492">
        <v>33</v>
      </c>
      <c r="AK492" s="165" t="s">
        <v>4941</v>
      </c>
      <c r="AN492">
        <v>2</v>
      </c>
      <c r="AO492">
        <v>4</v>
      </c>
      <c r="AP492">
        <v>8</v>
      </c>
      <c r="AQ492" s="165" t="s">
        <v>3815</v>
      </c>
      <c r="AR492" t="s">
        <v>4009</v>
      </c>
      <c r="AS492" s="165" t="s">
        <v>3786</v>
      </c>
      <c r="AT492" t="s">
        <v>5291</v>
      </c>
      <c r="AU492" t="s">
        <v>5291</v>
      </c>
    </row>
    <row r="493" spans="1:47" hidden="1" x14ac:dyDescent="0.25">
      <c r="A493" s="165" t="s">
        <v>841</v>
      </c>
      <c r="B493" s="165" t="s">
        <v>3431</v>
      </c>
      <c r="C493" s="165" t="s">
        <v>23</v>
      </c>
      <c r="D493" s="165" t="s">
        <v>842</v>
      </c>
      <c r="E493" s="165" t="s">
        <v>4335</v>
      </c>
      <c r="F493" s="165" t="s">
        <v>181</v>
      </c>
      <c r="G493" s="165" t="s">
        <v>8</v>
      </c>
      <c r="H493" s="165" t="s">
        <v>269</v>
      </c>
      <c r="I493" s="165" t="s">
        <v>3864</v>
      </c>
      <c r="J493" s="165" t="s">
        <v>3894</v>
      </c>
      <c r="K493" s="165" t="s">
        <v>3819</v>
      </c>
      <c r="L493" s="165" t="s">
        <v>3820</v>
      </c>
      <c r="M493" s="165" t="s">
        <v>3803</v>
      </c>
      <c r="N493" s="165" t="s">
        <v>3805</v>
      </c>
      <c r="O493" s="165"/>
      <c r="P493" s="165"/>
      <c r="Q493" s="165" t="s">
        <v>3888</v>
      </c>
      <c r="R493" s="165"/>
      <c r="S493" s="165"/>
      <c r="T493" s="165"/>
      <c r="U493" s="165" t="s">
        <v>3807</v>
      </c>
      <c r="V493" s="165"/>
      <c r="W493" s="165"/>
      <c r="X493" s="165"/>
      <c r="Y493">
        <v>6</v>
      </c>
      <c r="Z493" s="165" t="s">
        <v>3889</v>
      </c>
      <c r="AA493" s="165" t="s">
        <v>3809</v>
      </c>
      <c r="AB493" s="165" t="s">
        <v>3811</v>
      </c>
      <c r="AC493" s="165" t="s">
        <v>3810</v>
      </c>
      <c r="AD493" s="165" t="s">
        <v>4939</v>
      </c>
      <c r="AE493">
        <v>71</v>
      </c>
      <c r="AF493" s="165" t="s">
        <v>4940</v>
      </c>
      <c r="AG493">
        <v>50</v>
      </c>
      <c r="AH493">
        <v>30</v>
      </c>
      <c r="AI493">
        <v>53</v>
      </c>
      <c r="AJ493">
        <v>33</v>
      </c>
      <c r="AK493" s="165" t="s">
        <v>4941</v>
      </c>
      <c r="AN493">
        <v>2</v>
      </c>
      <c r="AO493">
        <v>4</v>
      </c>
      <c r="AP493">
        <v>8</v>
      </c>
      <c r="AQ493" s="165" t="s">
        <v>3815</v>
      </c>
      <c r="AR493" t="s">
        <v>3860</v>
      </c>
      <c r="AS493" s="165" t="s">
        <v>3786</v>
      </c>
      <c r="AT493" t="s">
        <v>5291</v>
      </c>
      <c r="AU493" t="s">
        <v>5291</v>
      </c>
    </row>
    <row r="494" spans="1:47" hidden="1" x14ac:dyDescent="0.25">
      <c r="A494" s="165" t="s">
        <v>2793</v>
      </c>
      <c r="B494" s="165" t="s">
        <v>4943</v>
      </c>
      <c r="C494" s="165" t="s">
        <v>23</v>
      </c>
      <c r="D494" s="165" t="s">
        <v>2794</v>
      </c>
      <c r="E494" s="165" t="s">
        <v>4335</v>
      </c>
      <c r="F494" s="165" t="s">
        <v>3935</v>
      </c>
      <c r="G494" s="165" t="s">
        <v>8</v>
      </c>
      <c r="H494" s="165" t="s">
        <v>269</v>
      </c>
      <c r="I494" s="165" t="s">
        <v>3864</v>
      </c>
      <c r="J494" s="165" t="s">
        <v>3894</v>
      </c>
      <c r="K494" s="165" t="s">
        <v>3819</v>
      </c>
      <c r="L494" s="165" t="s">
        <v>3820</v>
      </c>
      <c r="M494" s="165" t="s">
        <v>3803</v>
      </c>
      <c r="N494" s="165" t="s">
        <v>3805</v>
      </c>
      <c r="O494" s="165"/>
      <c r="P494" s="165"/>
      <c r="Q494" s="165" t="s">
        <v>3888</v>
      </c>
      <c r="R494" s="165"/>
      <c r="S494" s="165"/>
      <c r="T494" s="165"/>
      <c r="U494" s="165" t="s">
        <v>3807</v>
      </c>
      <c r="V494" s="165"/>
      <c r="W494" s="165"/>
      <c r="X494" s="165"/>
      <c r="Y494">
        <v>6</v>
      </c>
      <c r="Z494" s="165" t="s">
        <v>3889</v>
      </c>
      <c r="AA494" s="165" t="s">
        <v>3809</v>
      </c>
      <c r="AB494" s="165" t="s">
        <v>3811</v>
      </c>
      <c r="AC494" s="165" t="s">
        <v>3810</v>
      </c>
      <c r="AD494" s="165" t="s">
        <v>4939</v>
      </c>
      <c r="AE494">
        <v>71</v>
      </c>
      <c r="AF494" s="165" t="s">
        <v>4940</v>
      </c>
      <c r="AG494">
        <v>50</v>
      </c>
      <c r="AH494">
        <v>30</v>
      </c>
      <c r="AI494">
        <v>53</v>
      </c>
      <c r="AJ494">
        <v>33</v>
      </c>
      <c r="AK494" s="165" t="s">
        <v>4941</v>
      </c>
      <c r="AN494">
        <v>2</v>
      </c>
      <c r="AO494">
        <v>4</v>
      </c>
      <c r="AP494">
        <v>8</v>
      </c>
      <c r="AQ494" s="165" t="s">
        <v>3815</v>
      </c>
      <c r="AS494" s="165" t="s">
        <v>3786</v>
      </c>
      <c r="AT494" t="s">
        <v>5291</v>
      </c>
      <c r="AU494" t="s">
        <v>5291</v>
      </c>
    </row>
    <row r="495" spans="1:47" hidden="1" x14ac:dyDescent="0.25">
      <c r="A495" s="165" t="s">
        <v>879</v>
      </c>
      <c r="B495" s="165" t="s">
        <v>3390</v>
      </c>
      <c r="C495" s="165" t="s">
        <v>23</v>
      </c>
      <c r="D495" s="165" t="s">
        <v>880</v>
      </c>
      <c r="E495" s="165" t="s">
        <v>4340</v>
      </c>
      <c r="F495" s="165" t="s">
        <v>15</v>
      </c>
      <c r="G495" s="165" t="s">
        <v>8</v>
      </c>
      <c r="H495" s="165" t="s">
        <v>269</v>
      </c>
      <c r="I495" s="165" t="s">
        <v>3864</v>
      </c>
      <c r="J495" s="165" t="s">
        <v>3894</v>
      </c>
      <c r="K495" s="165" t="s">
        <v>3819</v>
      </c>
      <c r="L495" s="165" t="s">
        <v>3820</v>
      </c>
      <c r="M495" s="165" t="s">
        <v>3803</v>
      </c>
      <c r="N495" s="165" t="s">
        <v>3805</v>
      </c>
      <c r="O495" s="165"/>
      <c r="P495" s="165"/>
      <c r="Q495" s="165" t="s">
        <v>3888</v>
      </c>
      <c r="R495" s="165"/>
      <c r="S495" s="165"/>
      <c r="T495" s="165"/>
      <c r="U495" s="165" t="s">
        <v>3807</v>
      </c>
      <c r="V495" s="165"/>
      <c r="W495" s="165"/>
      <c r="X495" s="165"/>
      <c r="Y495">
        <v>6</v>
      </c>
      <c r="Z495" s="165" t="s">
        <v>3889</v>
      </c>
      <c r="AA495" s="165" t="s">
        <v>3809</v>
      </c>
      <c r="AB495" s="165" t="s">
        <v>3811</v>
      </c>
      <c r="AC495" s="165" t="s">
        <v>3810</v>
      </c>
      <c r="AD495" s="165" t="s">
        <v>4939</v>
      </c>
      <c r="AE495">
        <v>71</v>
      </c>
      <c r="AF495" s="165" t="s">
        <v>4940</v>
      </c>
      <c r="AG495">
        <v>50</v>
      </c>
      <c r="AH495">
        <v>30</v>
      </c>
      <c r="AI495">
        <v>53</v>
      </c>
      <c r="AJ495">
        <v>33</v>
      </c>
      <c r="AK495" s="165" t="s">
        <v>4941</v>
      </c>
      <c r="AN495">
        <v>2</v>
      </c>
      <c r="AO495">
        <v>4</v>
      </c>
      <c r="AP495">
        <v>8</v>
      </c>
      <c r="AQ495" s="165" t="s">
        <v>3815</v>
      </c>
      <c r="AR495" t="s">
        <v>3830</v>
      </c>
      <c r="AS495" s="165" t="s">
        <v>3786</v>
      </c>
      <c r="AT495" t="s">
        <v>5291</v>
      </c>
      <c r="AU495" t="s">
        <v>5291</v>
      </c>
    </row>
    <row r="496" spans="1:47" hidden="1" x14ac:dyDescent="0.25">
      <c r="A496" s="165" t="s">
        <v>2972</v>
      </c>
      <c r="B496" s="165" t="s">
        <v>4944</v>
      </c>
      <c r="C496" s="165" t="s">
        <v>23</v>
      </c>
      <c r="D496" s="165" t="s">
        <v>2973</v>
      </c>
      <c r="E496" s="165" t="s">
        <v>3802</v>
      </c>
      <c r="F496" s="165" t="s">
        <v>181</v>
      </c>
      <c r="G496" s="165" t="s">
        <v>8</v>
      </c>
      <c r="H496" s="165" t="s">
        <v>269</v>
      </c>
      <c r="I496" s="165" t="s">
        <v>3864</v>
      </c>
      <c r="J496" s="165" t="s">
        <v>3894</v>
      </c>
      <c r="K496" s="165" t="s">
        <v>3819</v>
      </c>
      <c r="L496" s="165" t="s">
        <v>3820</v>
      </c>
      <c r="M496" s="165" t="s">
        <v>3803</v>
      </c>
      <c r="N496" s="165" t="s">
        <v>3805</v>
      </c>
      <c r="O496" s="165"/>
      <c r="P496" s="165"/>
      <c r="Q496" s="165" t="s">
        <v>3888</v>
      </c>
      <c r="R496" s="165"/>
      <c r="S496" s="165"/>
      <c r="T496" s="165"/>
      <c r="U496" s="165" t="s">
        <v>3807</v>
      </c>
      <c r="V496" s="165"/>
      <c r="W496" s="165"/>
      <c r="X496" s="165"/>
      <c r="Y496">
        <v>6</v>
      </c>
      <c r="Z496" s="165" t="s">
        <v>3889</v>
      </c>
      <c r="AA496" s="165" t="s">
        <v>3809</v>
      </c>
      <c r="AB496" s="165" t="s">
        <v>3811</v>
      </c>
      <c r="AC496" s="165" t="s">
        <v>3810</v>
      </c>
      <c r="AD496" s="165" t="s">
        <v>4939</v>
      </c>
      <c r="AE496">
        <v>71</v>
      </c>
      <c r="AF496" s="165" t="s">
        <v>4940</v>
      </c>
      <c r="AG496">
        <v>50</v>
      </c>
      <c r="AH496">
        <v>30</v>
      </c>
      <c r="AI496">
        <v>53</v>
      </c>
      <c r="AJ496">
        <v>33</v>
      </c>
      <c r="AK496" s="165" t="s">
        <v>4941</v>
      </c>
      <c r="AN496">
        <v>2</v>
      </c>
      <c r="AO496">
        <v>4</v>
      </c>
      <c r="AP496">
        <v>8</v>
      </c>
      <c r="AQ496" s="165" t="s">
        <v>3815</v>
      </c>
      <c r="AR496" t="s">
        <v>3855</v>
      </c>
      <c r="AS496" s="165" t="s">
        <v>3786</v>
      </c>
      <c r="AT496" t="s">
        <v>5291</v>
      </c>
      <c r="AU496" t="s">
        <v>5291</v>
      </c>
    </row>
    <row r="497" spans="1:47" hidden="1" x14ac:dyDescent="0.25">
      <c r="A497" s="165" t="s">
        <v>1497</v>
      </c>
      <c r="B497" s="165" t="s">
        <v>3309</v>
      </c>
      <c r="C497" s="165" t="s">
        <v>23</v>
      </c>
      <c r="D497" s="165" t="s">
        <v>1498</v>
      </c>
      <c r="E497" s="165" t="s">
        <v>4812</v>
      </c>
      <c r="F497" s="165" t="s">
        <v>181</v>
      </c>
      <c r="G497" s="165" t="s">
        <v>8</v>
      </c>
      <c r="H497" s="165" t="s">
        <v>269</v>
      </c>
      <c r="I497" s="165" t="s">
        <v>3864</v>
      </c>
      <c r="J497" s="165" t="s">
        <v>3894</v>
      </c>
      <c r="K497" s="165" t="s">
        <v>3819</v>
      </c>
      <c r="L497" s="165" t="s">
        <v>3820</v>
      </c>
      <c r="M497" s="165" t="s">
        <v>3803</v>
      </c>
      <c r="N497" s="165" t="s">
        <v>3805</v>
      </c>
      <c r="O497" s="165"/>
      <c r="P497" s="165"/>
      <c r="Q497" s="165" t="s">
        <v>3888</v>
      </c>
      <c r="R497" s="165"/>
      <c r="S497" s="165"/>
      <c r="T497" s="165"/>
      <c r="U497" s="165" t="s">
        <v>3807</v>
      </c>
      <c r="V497" s="165"/>
      <c r="W497" s="165"/>
      <c r="X497" s="165"/>
      <c r="Y497">
        <v>6</v>
      </c>
      <c r="Z497" s="165" t="s">
        <v>3889</v>
      </c>
      <c r="AA497" s="165" t="s">
        <v>3809</v>
      </c>
      <c r="AB497" s="165" t="s">
        <v>3811</v>
      </c>
      <c r="AC497" s="165" t="s">
        <v>3810</v>
      </c>
      <c r="AD497" s="165" t="s">
        <v>4939</v>
      </c>
      <c r="AE497">
        <v>71</v>
      </c>
      <c r="AF497" s="165" t="s">
        <v>4940</v>
      </c>
      <c r="AG497">
        <v>50</v>
      </c>
      <c r="AH497">
        <v>30</v>
      </c>
      <c r="AI497">
        <v>53</v>
      </c>
      <c r="AJ497">
        <v>33</v>
      </c>
      <c r="AK497" s="165" t="s">
        <v>4941</v>
      </c>
      <c r="AN497">
        <v>2</v>
      </c>
      <c r="AO497">
        <v>4</v>
      </c>
      <c r="AP497">
        <v>8</v>
      </c>
      <c r="AQ497" s="165" t="s">
        <v>3815</v>
      </c>
      <c r="AR497" t="s">
        <v>3930</v>
      </c>
      <c r="AS497" s="165" t="s">
        <v>3786</v>
      </c>
      <c r="AT497" t="s">
        <v>5291</v>
      </c>
      <c r="AU497" t="s">
        <v>5291</v>
      </c>
    </row>
    <row r="498" spans="1:47" hidden="1" x14ac:dyDescent="0.25">
      <c r="A498" s="165" t="s">
        <v>993</v>
      </c>
      <c r="B498" s="165" t="s">
        <v>3323</v>
      </c>
      <c r="C498" s="165" t="s">
        <v>23</v>
      </c>
      <c r="D498" s="165" t="s">
        <v>994</v>
      </c>
      <c r="E498" s="165" t="s">
        <v>4945</v>
      </c>
      <c r="F498" s="165" t="s">
        <v>13</v>
      </c>
      <c r="G498" s="165" t="s">
        <v>8</v>
      </c>
      <c r="H498" s="165" t="s">
        <v>241</v>
      </c>
      <c r="I498" s="165" t="s">
        <v>3864</v>
      </c>
      <c r="J498" s="165" t="s">
        <v>3901</v>
      </c>
      <c r="K498" s="165"/>
      <c r="L498" s="165"/>
      <c r="M498" s="165"/>
      <c r="N498" s="165"/>
      <c r="O498" s="165"/>
      <c r="P498" s="165"/>
      <c r="Q498" s="165"/>
      <c r="R498" s="165"/>
      <c r="S498" s="165" t="s">
        <v>3902</v>
      </c>
      <c r="T498" s="165"/>
      <c r="U498" s="165"/>
      <c r="V498" s="165"/>
      <c r="W498" s="165"/>
      <c r="X498" s="165" t="s">
        <v>2428</v>
      </c>
      <c r="Y498">
        <v>2</v>
      </c>
      <c r="Z498" s="165" t="s">
        <v>3903</v>
      </c>
      <c r="AA498" s="165" t="s">
        <v>3811</v>
      </c>
      <c r="AB498" s="165" t="s">
        <v>3810</v>
      </c>
      <c r="AC498" s="165" t="s">
        <v>3809</v>
      </c>
      <c r="AD498" s="165" t="s">
        <v>2313</v>
      </c>
      <c r="AE498">
        <v>25</v>
      </c>
      <c r="AF498" s="165" t="s">
        <v>4068</v>
      </c>
      <c r="AG498">
        <v>50</v>
      </c>
      <c r="AH498">
        <v>326</v>
      </c>
      <c r="AI498">
        <v>53</v>
      </c>
      <c r="AJ498">
        <v>35.6</v>
      </c>
      <c r="AK498" s="165" t="s">
        <v>4069</v>
      </c>
      <c r="AN498">
        <v>6</v>
      </c>
      <c r="AO498">
        <v>4</v>
      </c>
      <c r="AP498">
        <v>24</v>
      </c>
      <c r="AQ498" s="165" t="s">
        <v>3815</v>
      </c>
      <c r="AR498" t="s">
        <v>3830</v>
      </c>
      <c r="AS498" s="165" t="s">
        <v>30</v>
      </c>
      <c r="AT498" t="s">
        <v>5291</v>
      </c>
      <c r="AU498" t="s">
        <v>5291</v>
      </c>
    </row>
    <row r="499" spans="1:47" hidden="1" x14ac:dyDescent="0.25">
      <c r="A499" s="165" t="s">
        <v>1246</v>
      </c>
      <c r="B499" s="165" t="s">
        <v>4946</v>
      </c>
      <c r="C499" s="165" t="s">
        <v>23</v>
      </c>
      <c r="D499" s="165" t="s">
        <v>1247</v>
      </c>
      <c r="E499" s="165" t="s">
        <v>4177</v>
      </c>
      <c r="F499" s="165" t="s">
        <v>13</v>
      </c>
      <c r="G499" s="165" t="s">
        <v>8</v>
      </c>
      <c r="H499" s="165" t="s">
        <v>241</v>
      </c>
      <c r="I499" s="165" t="s">
        <v>3864</v>
      </c>
      <c r="J499" s="165" t="s">
        <v>3901</v>
      </c>
      <c r="K499" s="165"/>
      <c r="L499" s="165"/>
      <c r="M499" s="165"/>
      <c r="N499" s="165"/>
      <c r="O499" s="165"/>
      <c r="P499" s="165"/>
      <c r="Q499" s="165"/>
      <c r="R499" s="165"/>
      <c r="S499" s="165" t="s">
        <v>3902</v>
      </c>
      <c r="T499" s="165"/>
      <c r="U499" s="165"/>
      <c r="V499" s="165"/>
      <c r="W499" s="165"/>
      <c r="X499" s="165" t="s">
        <v>2428</v>
      </c>
      <c r="Y499">
        <v>2</v>
      </c>
      <c r="Z499" s="165" t="s">
        <v>3903</v>
      </c>
      <c r="AA499" s="165" t="s">
        <v>3811</v>
      </c>
      <c r="AB499" s="165" t="s">
        <v>3810</v>
      </c>
      <c r="AC499" s="165" t="s">
        <v>3809</v>
      </c>
      <c r="AD499" s="165" t="s">
        <v>2313</v>
      </c>
      <c r="AE499">
        <v>25</v>
      </c>
      <c r="AF499" s="165" t="s">
        <v>4068</v>
      </c>
      <c r="AG499">
        <v>50</v>
      </c>
      <c r="AH499">
        <v>326</v>
      </c>
      <c r="AI499">
        <v>53</v>
      </c>
      <c r="AJ499">
        <v>35.6</v>
      </c>
      <c r="AK499" s="165" t="s">
        <v>4069</v>
      </c>
      <c r="AN499">
        <v>6</v>
      </c>
      <c r="AO499">
        <v>4</v>
      </c>
      <c r="AP499">
        <v>24</v>
      </c>
      <c r="AQ499" s="165" t="s">
        <v>3815</v>
      </c>
      <c r="AR499" t="s">
        <v>3909</v>
      </c>
      <c r="AS499" s="165" t="s">
        <v>30</v>
      </c>
      <c r="AT499" t="s">
        <v>5291</v>
      </c>
      <c r="AU499" t="s">
        <v>5291</v>
      </c>
    </row>
    <row r="500" spans="1:47" hidden="1" x14ac:dyDescent="0.25">
      <c r="A500" s="165" t="s">
        <v>1156</v>
      </c>
      <c r="B500" s="165" t="s">
        <v>4947</v>
      </c>
      <c r="C500" s="165" t="s">
        <v>23</v>
      </c>
      <c r="D500" s="165" t="s">
        <v>1157</v>
      </c>
      <c r="E500" s="165" t="s">
        <v>4948</v>
      </c>
      <c r="F500" s="165" t="s">
        <v>3953</v>
      </c>
      <c r="G500" s="165" t="s">
        <v>8</v>
      </c>
      <c r="H500" s="165" t="s">
        <v>263</v>
      </c>
      <c r="I500" s="165" t="s">
        <v>3864</v>
      </c>
      <c r="J500" s="165" t="s">
        <v>3954</v>
      </c>
      <c r="K500" s="165"/>
      <c r="L500" s="165"/>
      <c r="M500" s="165"/>
      <c r="N500" s="165" t="s">
        <v>3805</v>
      </c>
      <c r="O500" s="165"/>
      <c r="P500" s="165"/>
      <c r="Q500" s="165"/>
      <c r="R500" s="165"/>
      <c r="S500" s="165"/>
      <c r="T500" s="165"/>
      <c r="U500" s="165" t="s">
        <v>3807</v>
      </c>
      <c r="V500" s="165"/>
      <c r="W500" s="165"/>
      <c r="X500" s="165"/>
      <c r="Y500">
        <v>2</v>
      </c>
      <c r="Z500" s="165" t="s">
        <v>3955</v>
      </c>
      <c r="AA500" s="165" t="s">
        <v>3811</v>
      </c>
      <c r="AB500" s="165" t="s">
        <v>3810</v>
      </c>
      <c r="AC500" s="165" t="s">
        <v>3809</v>
      </c>
      <c r="AD500" s="165" t="s">
        <v>2313</v>
      </c>
      <c r="AE500">
        <v>25</v>
      </c>
      <c r="AF500" s="165" t="s">
        <v>4068</v>
      </c>
      <c r="AG500">
        <v>50</v>
      </c>
      <c r="AH500">
        <v>326</v>
      </c>
      <c r="AI500">
        <v>53</v>
      </c>
      <c r="AJ500">
        <v>35.6</v>
      </c>
      <c r="AK500" s="165" t="s">
        <v>4069</v>
      </c>
      <c r="AN500">
        <v>6</v>
      </c>
      <c r="AO500">
        <v>4</v>
      </c>
      <c r="AP500">
        <v>24</v>
      </c>
      <c r="AQ500" s="165" t="s">
        <v>3815</v>
      </c>
      <c r="AR500" t="s">
        <v>3998</v>
      </c>
      <c r="AS500" s="165" t="s">
        <v>30</v>
      </c>
      <c r="AT500" t="s">
        <v>5291</v>
      </c>
      <c r="AU500" t="s">
        <v>5291</v>
      </c>
    </row>
    <row r="501" spans="1:47" hidden="1" x14ac:dyDescent="0.25">
      <c r="A501" s="165" t="s">
        <v>1341</v>
      </c>
      <c r="B501" s="165" t="s">
        <v>4949</v>
      </c>
      <c r="C501" s="165" t="s">
        <v>23</v>
      </c>
      <c r="D501" s="165" t="s">
        <v>1342</v>
      </c>
      <c r="E501" s="165" t="s">
        <v>4950</v>
      </c>
      <c r="F501" s="165" t="s">
        <v>3953</v>
      </c>
      <c r="G501" s="165" t="s">
        <v>8</v>
      </c>
      <c r="H501" s="165" t="s">
        <v>263</v>
      </c>
      <c r="I501" s="165" t="s">
        <v>3864</v>
      </c>
      <c r="J501" s="165" t="s">
        <v>3954</v>
      </c>
      <c r="K501" s="165"/>
      <c r="L501" s="165"/>
      <c r="M501" s="165"/>
      <c r="N501" s="165" t="s">
        <v>3805</v>
      </c>
      <c r="O501" s="165"/>
      <c r="P501" s="165"/>
      <c r="Q501" s="165"/>
      <c r="R501" s="165"/>
      <c r="S501" s="165"/>
      <c r="T501" s="165"/>
      <c r="U501" s="165" t="s">
        <v>3807</v>
      </c>
      <c r="V501" s="165"/>
      <c r="W501" s="165"/>
      <c r="X501" s="165"/>
      <c r="Y501">
        <v>2</v>
      </c>
      <c r="Z501" s="165" t="s">
        <v>3955</v>
      </c>
      <c r="AA501" s="165" t="s">
        <v>3811</v>
      </c>
      <c r="AB501" s="165" t="s">
        <v>3810</v>
      </c>
      <c r="AC501" s="165" t="s">
        <v>3809</v>
      </c>
      <c r="AD501" s="165" t="s">
        <v>2313</v>
      </c>
      <c r="AE501">
        <v>25</v>
      </c>
      <c r="AF501" s="165" t="s">
        <v>4068</v>
      </c>
      <c r="AG501">
        <v>50</v>
      </c>
      <c r="AH501">
        <v>326</v>
      </c>
      <c r="AI501">
        <v>53</v>
      </c>
      <c r="AJ501">
        <v>35.6</v>
      </c>
      <c r="AK501" s="165" t="s">
        <v>4069</v>
      </c>
      <c r="AN501">
        <v>6</v>
      </c>
      <c r="AO501">
        <v>4</v>
      </c>
      <c r="AP501">
        <v>24</v>
      </c>
      <c r="AQ501" s="165" t="s">
        <v>3815</v>
      </c>
      <c r="AR501" t="s">
        <v>4076</v>
      </c>
      <c r="AS501" s="165" t="s">
        <v>30</v>
      </c>
      <c r="AT501" t="s">
        <v>5291</v>
      </c>
      <c r="AU501" t="s">
        <v>5291</v>
      </c>
    </row>
    <row r="502" spans="1:47" hidden="1" x14ac:dyDescent="0.25">
      <c r="A502" s="165" t="s">
        <v>1741</v>
      </c>
      <c r="B502" s="165" t="s">
        <v>4951</v>
      </c>
      <c r="C502" s="165" t="s">
        <v>23</v>
      </c>
      <c r="D502" s="165" t="s">
        <v>1742</v>
      </c>
      <c r="E502" s="165" t="s">
        <v>4380</v>
      </c>
      <c r="F502" s="165" t="s">
        <v>13</v>
      </c>
      <c r="G502" s="165" t="s">
        <v>8</v>
      </c>
      <c r="H502" s="165" t="s">
        <v>269</v>
      </c>
      <c r="I502" s="165" t="s">
        <v>3864</v>
      </c>
      <c r="J502" s="165" t="s">
        <v>3894</v>
      </c>
      <c r="K502" s="165" t="s">
        <v>3819</v>
      </c>
      <c r="L502" s="165" t="s">
        <v>3820</v>
      </c>
      <c r="M502" s="165" t="s">
        <v>3803</v>
      </c>
      <c r="N502" s="165" t="s">
        <v>3805</v>
      </c>
      <c r="O502" s="165"/>
      <c r="P502" s="165"/>
      <c r="Q502" s="165" t="s">
        <v>3888</v>
      </c>
      <c r="R502" s="165"/>
      <c r="S502" s="165"/>
      <c r="T502" s="165"/>
      <c r="U502" s="165" t="s">
        <v>3807</v>
      </c>
      <c r="V502" s="165"/>
      <c r="W502" s="165"/>
      <c r="X502" s="165"/>
      <c r="Y502">
        <v>6</v>
      </c>
      <c r="Z502" s="165" t="s">
        <v>3889</v>
      </c>
      <c r="AA502" s="165" t="s">
        <v>3809</v>
      </c>
      <c r="AB502" s="165" t="s">
        <v>3811</v>
      </c>
      <c r="AC502" s="165" t="s">
        <v>3810</v>
      </c>
      <c r="AD502" s="165" t="s">
        <v>2313</v>
      </c>
      <c r="AE502">
        <v>25</v>
      </c>
      <c r="AF502" s="165" t="s">
        <v>4068</v>
      </c>
      <c r="AG502">
        <v>50</v>
      </c>
      <c r="AH502">
        <v>326</v>
      </c>
      <c r="AI502">
        <v>53</v>
      </c>
      <c r="AJ502">
        <v>35.6</v>
      </c>
      <c r="AK502" s="165" t="s">
        <v>4069</v>
      </c>
      <c r="AN502">
        <v>6</v>
      </c>
      <c r="AO502">
        <v>4</v>
      </c>
      <c r="AP502">
        <v>24</v>
      </c>
      <c r="AQ502" s="165" t="s">
        <v>3815</v>
      </c>
      <c r="AR502" t="s">
        <v>3909</v>
      </c>
      <c r="AS502" s="165" t="s">
        <v>3786</v>
      </c>
      <c r="AT502" t="s">
        <v>5291</v>
      </c>
      <c r="AU502" t="s">
        <v>5291</v>
      </c>
    </row>
    <row r="503" spans="1:47" hidden="1" x14ac:dyDescent="0.25">
      <c r="A503" s="165" t="s">
        <v>1624</v>
      </c>
      <c r="B503" s="165" t="s">
        <v>88</v>
      </c>
      <c r="C503" s="165" t="s">
        <v>23</v>
      </c>
      <c r="D503" s="165" t="s">
        <v>1625</v>
      </c>
      <c r="E503" s="165" t="s">
        <v>4270</v>
      </c>
      <c r="F503" s="165" t="s">
        <v>13</v>
      </c>
      <c r="G503" s="165" t="s">
        <v>8</v>
      </c>
      <c r="H503" s="165" t="s">
        <v>269</v>
      </c>
      <c r="I503" s="165" t="s">
        <v>3864</v>
      </c>
      <c r="J503" s="165" t="s">
        <v>3894</v>
      </c>
      <c r="K503" s="165" t="s">
        <v>3819</v>
      </c>
      <c r="L503" s="165" t="s">
        <v>3820</v>
      </c>
      <c r="M503" s="165" t="s">
        <v>3803</v>
      </c>
      <c r="N503" s="165" t="s">
        <v>3805</v>
      </c>
      <c r="O503" s="165"/>
      <c r="P503" s="165"/>
      <c r="Q503" s="165" t="s">
        <v>3888</v>
      </c>
      <c r="R503" s="165"/>
      <c r="S503" s="165"/>
      <c r="T503" s="165"/>
      <c r="U503" s="165" t="s">
        <v>3807</v>
      </c>
      <c r="V503" s="165"/>
      <c r="W503" s="165"/>
      <c r="X503" s="165"/>
      <c r="Y503">
        <v>6</v>
      </c>
      <c r="Z503" s="165" t="s">
        <v>3889</v>
      </c>
      <c r="AA503" s="165" t="s">
        <v>3809</v>
      </c>
      <c r="AB503" s="165" t="s">
        <v>3811</v>
      </c>
      <c r="AC503" s="165" t="s">
        <v>3810</v>
      </c>
      <c r="AD503" s="165" t="s">
        <v>2312</v>
      </c>
      <c r="AE503">
        <v>24</v>
      </c>
      <c r="AF503" s="165" t="s">
        <v>4371</v>
      </c>
      <c r="AG503">
        <v>426</v>
      </c>
      <c r="AH503">
        <v>303</v>
      </c>
      <c r="AI503">
        <v>45.6</v>
      </c>
      <c r="AJ503">
        <v>33.299999999999997</v>
      </c>
      <c r="AK503" s="165" t="s">
        <v>4372</v>
      </c>
      <c r="AN503">
        <v>6</v>
      </c>
      <c r="AO503">
        <v>4</v>
      </c>
      <c r="AP503">
        <v>24</v>
      </c>
      <c r="AQ503" s="165" t="s">
        <v>3815</v>
      </c>
      <c r="AR503" t="s">
        <v>4009</v>
      </c>
      <c r="AS503" s="165" t="s">
        <v>3786</v>
      </c>
      <c r="AT503" t="s">
        <v>5291</v>
      </c>
      <c r="AU503" t="s">
        <v>5291</v>
      </c>
    </row>
    <row r="504" spans="1:47" hidden="1" x14ac:dyDescent="0.25">
      <c r="A504" s="165" t="s">
        <v>4952</v>
      </c>
      <c r="B504" s="165" t="s">
        <v>4953</v>
      </c>
      <c r="C504" s="165" t="s">
        <v>23</v>
      </c>
      <c r="D504" s="165" t="s">
        <v>4954</v>
      </c>
      <c r="E504" s="165" t="s">
        <v>4385</v>
      </c>
      <c r="F504" s="165" t="s">
        <v>13</v>
      </c>
      <c r="G504" s="165" t="s">
        <v>8</v>
      </c>
      <c r="H504" s="165" t="s">
        <v>269</v>
      </c>
      <c r="I504" s="165" t="s">
        <v>3864</v>
      </c>
      <c r="J504" s="165" t="s">
        <v>3894</v>
      </c>
      <c r="K504" s="165" t="s">
        <v>3819</v>
      </c>
      <c r="L504" s="165" t="s">
        <v>3820</v>
      </c>
      <c r="M504" s="165" t="s">
        <v>3803</v>
      </c>
      <c r="N504" s="165" t="s">
        <v>3805</v>
      </c>
      <c r="O504" s="165"/>
      <c r="P504" s="165"/>
      <c r="Q504" s="165" t="s">
        <v>3888</v>
      </c>
      <c r="R504" s="165"/>
      <c r="S504" s="165"/>
      <c r="T504" s="165"/>
      <c r="U504" s="165" t="s">
        <v>3807</v>
      </c>
      <c r="V504" s="165"/>
      <c r="W504" s="165"/>
      <c r="X504" s="165"/>
      <c r="Y504">
        <v>6</v>
      </c>
      <c r="Z504" s="165" t="s">
        <v>3889</v>
      </c>
      <c r="AA504" s="165" t="s">
        <v>3809</v>
      </c>
      <c r="AB504" s="165" t="s">
        <v>3811</v>
      </c>
      <c r="AC504" s="165" t="s">
        <v>3810</v>
      </c>
      <c r="AD504" s="165" t="s">
        <v>2313</v>
      </c>
      <c r="AE504">
        <v>25</v>
      </c>
      <c r="AF504" s="165" t="s">
        <v>4068</v>
      </c>
      <c r="AG504">
        <v>50</v>
      </c>
      <c r="AH504">
        <v>326</v>
      </c>
      <c r="AI504">
        <v>53</v>
      </c>
      <c r="AJ504">
        <v>35.6</v>
      </c>
      <c r="AK504" s="165" t="s">
        <v>4069</v>
      </c>
      <c r="AN504">
        <v>6</v>
      </c>
      <c r="AO504">
        <v>4</v>
      </c>
      <c r="AP504">
        <v>24</v>
      </c>
      <c r="AQ504" s="165" t="s">
        <v>3815</v>
      </c>
      <c r="AR504" t="s">
        <v>3932</v>
      </c>
      <c r="AS504" s="165" t="s">
        <v>3786</v>
      </c>
      <c r="AT504" t="s">
        <v>5291</v>
      </c>
      <c r="AU504" t="s">
        <v>5291</v>
      </c>
    </row>
    <row r="505" spans="1:47" hidden="1" x14ac:dyDescent="0.25">
      <c r="A505" s="165" t="s">
        <v>1045</v>
      </c>
      <c r="B505" s="165" t="s">
        <v>3318</v>
      </c>
      <c r="C505" s="165" t="s">
        <v>23</v>
      </c>
      <c r="D505" s="165" t="s">
        <v>1046</v>
      </c>
      <c r="E505" s="165" t="s">
        <v>4837</v>
      </c>
      <c r="F505" s="165" t="s">
        <v>13</v>
      </c>
      <c r="G505" s="165" t="s">
        <v>8</v>
      </c>
      <c r="H505" s="165" t="s">
        <v>176</v>
      </c>
      <c r="I505" s="165" t="s">
        <v>3864</v>
      </c>
      <c r="J505" s="165" t="s">
        <v>3970</v>
      </c>
      <c r="K505" s="165"/>
      <c r="L505" s="165"/>
      <c r="M505" s="165"/>
      <c r="N505" s="165"/>
      <c r="O505" s="165"/>
      <c r="P505" s="165"/>
      <c r="Q505" s="165"/>
      <c r="R505" s="165" t="s">
        <v>3842</v>
      </c>
      <c r="S505" s="165"/>
      <c r="T505" s="165"/>
      <c r="U505" s="165" t="s">
        <v>3807</v>
      </c>
      <c r="V505" s="165"/>
      <c r="W505" s="165"/>
      <c r="X505" s="165"/>
      <c r="Y505">
        <v>2</v>
      </c>
      <c r="Z505" s="165" t="s">
        <v>3843</v>
      </c>
      <c r="AA505" s="165" t="s">
        <v>3811</v>
      </c>
      <c r="AB505" s="165" t="s">
        <v>3810</v>
      </c>
      <c r="AC505" s="165" t="s">
        <v>3809</v>
      </c>
      <c r="AD505" s="165" t="s">
        <v>2313</v>
      </c>
      <c r="AE505">
        <v>25</v>
      </c>
      <c r="AF505" s="165" t="s">
        <v>4068</v>
      </c>
      <c r="AG505">
        <v>50</v>
      </c>
      <c r="AH505">
        <v>326</v>
      </c>
      <c r="AI505">
        <v>53</v>
      </c>
      <c r="AJ505">
        <v>35.6</v>
      </c>
      <c r="AK505" s="165" t="s">
        <v>4069</v>
      </c>
      <c r="AN505">
        <v>6</v>
      </c>
      <c r="AO505">
        <v>4</v>
      </c>
      <c r="AP505">
        <v>24</v>
      </c>
      <c r="AQ505" s="165" t="s">
        <v>3815</v>
      </c>
      <c r="AR505" t="s">
        <v>3998</v>
      </c>
      <c r="AS505" s="165" t="s">
        <v>30</v>
      </c>
      <c r="AT505" t="s">
        <v>5291</v>
      </c>
      <c r="AU505" t="s">
        <v>5291</v>
      </c>
    </row>
    <row r="506" spans="1:47" hidden="1" x14ac:dyDescent="0.25">
      <c r="A506" s="165" t="s">
        <v>1250</v>
      </c>
      <c r="B506" s="165" t="s">
        <v>3377</v>
      </c>
      <c r="C506" s="165" t="s">
        <v>23</v>
      </c>
      <c r="D506" s="165" t="s">
        <v>1251</v>
      </c>
      <c r="E506" s="165" t="s">
        <v>4177</v>
      </c>
      <c r="F506" s="165" t="s">
        <v>13</v>
      </c>
      <c r="G506" s="165" t="s">
        <v>8</v>
      </c>
      <c r="H506" s="165" t="s">
        <v>176</v>
      </c>
      <c r="I506" s="165" t="s">
        <v>3864</v>
      </c>
      <c r="J506" s="165" t="s">
        <v>3970</v>
      </c>
      <c r="K506" s="165"/>
      <c r="L506" s="165"/>
      <c r="M506" s="165"/>
      <c r="N506" s="165"/>
      <c r="O506" s="165"/>
      <c r="P506" s="165"/>
      <c r="Q506" s="165"/>
      <c r="R506" s="165" t="s">
        <v>3842</v>
      </c>
      <c r="S506" s="165"/>
      <c r="T506" s="165"/>
      <c r="U506" s="165" t="s">
        <v>3807</v>
      </c>
      <c r="V506" s="165"/>
      <c r="W506" s="165"/>
      <c r="X506" s="165"/>
      <c r="Y506">
        <v>2</v>
      </c>
      <c r="Z506" s="165" t="s">
        <v>3843</v>
      </c>
      <c r="AA506" s="165" t="s">
        <v>3811</v>
      </c>
      <c r="AB506" s="165" t="s">
        <v>3810</v>
      </c>
      <c r="AC506" s="165" t="s">
        <v>3809</v>
      </c>
      <c r="AD506" s="165" t="s">
        <v>2313</v>
      </c>
      <c r="AE506">
        <v>25</v>
      </c>
      <c r="AF506" s="165" t="s">
        <v>4068</v>
      </c>
      <c r="AG506">
        <v>50</v>
      </c>
      <c r="AH506">
        <v>326</v>
      </c>
      <c r="AI506">
        <v>53</v>
      </c>
      <c r="AJ506">
        <v>35.6</v>
      </c>
      <c r="AK506" s="165" t="s">
        <v>4069</v>
      </c>
      <c r="AN506">
        <v>6</v>
      </c>
      <c r="AO506">
        <v>4</v>
      </c>
      <c r="AP506">
        <v>24</v>
      </c>
      <c r="AQ506" s="165" t="s">
        <v>3815</v>
      </c>
      <c r="AR506" t="s">
        <v>3860</v>
      </c>
      <c r="AS506" s="165" t="s">
        <v>30</v>
      </c>
      <c r="AT506" t="s">
        <v>5291</v>
      </c>
      <c r="AU506" t="s">
        <v>5291</v>
      </c>
    </row>
    <row r="507" spans="1:47" hidden="1" x14ac:dyDescent="0.25">
      <c r="A507" s="165" t="s">
        <v>1474</v>
      </c>
      <c r="B507" s="165" t="s">
        <v>4955</v>
      </c>
      <c r="C507" s="165" t="s">
        <v>23</v>
      </c>
      <c r="D507" s="165" t="s">
        <v>1475</v>
      </c>
      <c r="E507" s="165" t="s">
        <v>4956</v>
      </c>
      <c r="F507" s="165" t="s">
        <v>13</v>
      </c>
      <c r="G507" s="165" t="s">
        <v>8</v>
      </c>
      <c r="H507" s="165" t="s">
        <v>176</v>
      </c>
      <c r="I507" s="165" t="s">
        <v>3864</v>
      </c>
      <c r="J507" s="165" t="s">
        <v>3970</v>
      </c>
      <c r="K507" s="165"/>
      <c r="L507" s="165"/>
      <c r="M507" s="165"/>
      <c r="N507" s="165"/>
      <c r="O507" s="165"/>
      <c r="P507" s="165"/>
      <c r="Q507" s="165"/>
      <c r="R507" s="165" t="s">
        <v>3842</v>
      </c>
      <c r="S507" s="165"/>
      <c r="T507" s="165"/>
      <c r="U507" s="165" t="s">
        <v>3807</v>
      </c>
      <c r="V507" s="165"/>
      <c r="W507" s="165"/>
      <c r="X507" s="165"/>
      <c r="Y507">
        <v>2</v>
      </c>
      <c r="Z507" s="165" t="s">
        <v>3843</v>
      </c>
      <c r="AA507" s="165" t="s">
        <v>3811</v>
      </c>
      <c r="AB507" s="165" t="s">
        <v>3810</v>
      </c>
      <c r="AC507" s="165" t="s">
        <v>3809</v>
      </c>
      <c r="AD507" s="165" t="s">
        <v>2313</v>
      </c>
      <c r="AE507">
        <v>25</v>
      </c>
      <c r="AF507" s="165" t="s">
        <v>4068</v>
      </c>
      <c r="AG507">
        <v>50</v>
      </c>
      <c r="AH507">
        <v>326</v>
      </c>
      <c r="AI507">
        <v>53</v>
      </c>
      <c r="AJ507">
        <v>35.6</v>
      </c>
      <c r="AK507" s="165" t="s">
        <v>4069</v>
      </c>
      <c r="AN507">
        <v>6</v>
      </c>
      <c r="AO507">
        <v>4</v>
      </c>
      <c r="AP507">
        <v>24</v>
      </c>
      <c r="AQ507" s="165" t="s">
        <v>3815</v>
      </c>
      <c r="AR507" t="s">
        <v>3932</v>
      </c>
      <c r="AS507" s="165" t="s">
        <v>30</v>
      </c>
      <c r="AT507" t="s">
        <v>5291</v>
      </c>
      <c r="AU507" t="s">
        <v>5291</v>
      </c>
    </row>
    <row r="508" spans="1:47" hidden="1" x14ac:dyDescent="0.25">
      <c r="A508" s="165" t="s">
        <v>1478</v>
      </c>
      <c r="B508" s="165" t="s">
        <v>4957</v>
      </c>
      <c r="C508" s="165" t="s">
        <v>23</v>
      </c>
      <c r="D508" s="165" t="s">
        <v>1479</v>
      </c>
      <c r="E508" s="165" t="s">
        <v>4183</v>
      </c>
      <c r="F508" s="165" t="s">
        <v>13</v>
      </c>
      <c r="G508" s="165" t="s">
        <v>8</v>
      </c>
      <c r="H508" s="165" t="s">
        <v>176</v>
      </c>
      <c r="I508" s="165" t="s">
        <v>3864</v>
      </c>
      <c r="J508" s="165" t="s">
        <v>3970</v>
      </c>
      <c r="K508" s="165"/>
      <c r="L508" s="165"/>
      <c r="M508" s="165"/>
      <c r="N508" s="165"/>
      <c r="O508" s="165"/>
      <c r="P508" s="165"/>
      <c r="Q508" s="165"/>
      <c r="R508" s="165" t="s">
        <v>3842</v>
      </c>
      <c r="S508" s="165"/>
      <c r="T508" s="165"/>
      <c r="U508" s="165" t="s">
        <v>3807</v>
      </c>
      <c r="V508" s="165"/>
      <c r="W508" s="165"/>
      <c r="X508" s="165"/>
      <c r="Y508">
        <v>2</v>
      </c>
      <c r="Z508" s="165" t="s">
        <v>3843</v>
      </c>
      <c r="AA508" s="165" t="s">
        <v>3811</v>
      </c>
      <c r="AB508" s="165" t="s">
        <v>3810</v>
      </c>
      <c r="AC508" s="165" t="s">
        <v>3809</v>
      </c>
      <c r="AD508" s="165" t="s">
        <v>2313</v>
      </c>
      <c r="AE508">
        <v>25</v>
      </c>
      <c r="AF508" s="165" t="s">
        <v>4068</v>
      </c>
      <c r="AG508">
        <v>50</v>
      </c>
      <c r="AH508">
        <v>326</v>
      </c>
      <c r="AI508">
        <v>53</v>
      </c>
      <c r="AJ508">
        <v>35.6</v>
      </c>
      <c r="AK508" s="165" t="s">
        <v>4069</v>
      </c>
      <c r="AN508">
        <v>6</v>
      </c>
      <c r="AO508">
        <v>4</v>
      </c>
      <c r="AP508">
        <v>24</v>
      </c>
      <c r="AQ508" s="165" t="s">
        <v>3815</v>
      </c>
      <c r="AR508" t="s">
        <v>3816</v>
      </c>
      <c r="AS508" s="165" t="s">
        <v>30</v>
      </c>
      <c r="AT508" t="s">
        <v>5291</v>
      </c>
      <c r="AU508" t="s">
        <v>5291</v>
      </c>
    </row>
    <row r="509" spans="1:47" hidden="1" x14ac:dyDescent="0.25">
      <c r="A509" s="165" t="s">
        <v>911</v>
      </c>
      <c r="B509" s="165" t="s">
        <v>3335</v>
      </c>
      <c r="C509" s="165" t="s">
        <v>23</v>
      </c>
      <c r="D509" s="165" t="s">
        <v>912</v>
      </c>
      <c r="E509" s="165" t="s">
        <v>3957</v>
      </c>
      <c r="F509" s="165" t="s">
        <v>4234</v>
      </c>
      <c r="G509" s="165" t="s">
        <v>8</v>
      </c>
      <c r="H509" s="165" t="s">
        <v>241</v>
      </c>
      <c r="I509" s="165" t="s">
        <v>3864</v>
      </c>
      <c r="J509" s="165" t="s">
        <v>3901</v>
      </c>
      <c r="K509" s="165"/>
      <c r="L509" s="165"/>
      <c r="M509" s="165"/>
      <c r="N509" s="165"/>
      <c r="O509" s="165"/>
      <c r="P509" s="165"/>
      <c r="Q509" s="165"/>
      <c r="R509" s="165"/>
      <c r="S509" s="165" t="s">
        <v>3902</v>
      </c>
      <c r="T509" s="165"/>
      <c r="U509" s="165"/>
      <c r="V509" s="165"/>
      <c r="W509" s="165"/>
      <c r="X509" s="165" t="s">
        <v>2428</v>
      </c>
      <c r="Y509">
        <v>2</v>
      </c>
      <c r="Z509" s="165" t="s">
        <v>3903</v>
      </c>
      <c r="AA509" s="165" t="s">
        <v>3811</v>
      </c>
      <c r="AB509" s="165" t="s">
        <v>3810</v>
      </c>
      <c r="AC509" s="165" t="s">
        <v>3809</v>
      </c>
      <c r="AD509" s="165" t="s">
        <v>4958</v>
      </c>
      <c r="AE509">
        <v>16</v>
      </c>
      <c r="AF509" s="165" t="s">
        <v>4959</v>
      </c>
      <c r="AG509">
        <v>50</v>
      </c>
      <c r="AH509">
        <v>327</v>
      </c>
      <c r="AI509">
        <v>53</v>
      </c>
      <c r="AJ509">
        <v>35.700000000000003</v>
      </c>
      <c r="AK509" s="165" t="s">
        <v>4960</v>
      </c>
      <c r="AN509">
        <v>6</v>
      </c>
      <c r="AO509">
        <v>4</v>
      </c>
      <c r="AP509">
        <v>24</v>
      </c>
      <c r="AQ509" s="165" t="s">
        <v>3815</v>
      </c>
      <c r="AR509" t="s">
        <v>3930</v>
      </c>
      <c r="AS509" s="165" t="s">
        <v>30</v>
      </c>
      <c r="AT509" t="s">
        <v>5291</v>
      </c>
      <c r="AU509" t="s">
        <v>5291</v>
      </c>
    </row>
    <row r="510" spans="1:47" hidden="1" x14ac:dyDescent="0.25">
      <c r="A510" s="165" t="s">
        <v>1278</v>
      </c>
      <c r="B510" s="165" t="s">
        <v>4961</v>
      </c>
      <c r="C510" s="165" t="s">
        <v>23</v>
      </c>
      <c r="D510" s="165" t="s">
        <v>1279</v>
      </c>
      <c r="E510" s="165" t="s">
        <v>3948</v>
      </c>
      <c r="F510" s="165" t="s">
        <v>4234</v>
      </c>
      <c r="G510" s="165" t="s">
        <v>8</v>
      </c>
      <c r="H510" s="165" t="s">
        <v>241</v>
      </c>
      <c r="I510" s="165" t="s">
        <v>3864</v>
      </c>
      <c r="J510" s="165" t="s">
        <v>3901</v>
      </c>
      <c r="K510" s="165"/>
      <c r="L510" s="165"/>
      <c r="M510" s="165"/>
      <c r="N510" s="165"/>
      <c r="O510" s="165"/>
      <c r="P510" s="165"/>
      <c r="Q510" s="165"/>
      <c r="R510" s="165"/>
      <c r="S510" s="165" t="s">
        <v>3902</v>
      </c>
      <c r="T510" s="165"/>
      <c r="U510" s="165"/>
      <c r="V510" s="165"/>
      <c r="W510" s="165"/>
      <c r="X510" s="165" t="s">
        <v>2428</v>
      </c>
      <c r="Y510">
        <v>2</v>
      </c>
      <c r="Z510" s="165" t="s">
        <v>3903</v>
      </c>
      <c r="AA510" s="165" t="s">
        <v>3811</v>
      </c>
      <c r="AB510" s="165" t="s">
        <v>3810</v>
      </c>
      <c r="AC510" s="165" t="s">
        <v>3809</v>
      </c>
      <c r="AD510" s="165" t="s">
        <v>4958</v>
      </c>
      <c r="AE510">
        <v>16</v>
      </c>
      <c r="AF510" s="165" t="s">
        <v>4959</v>
      </c>
      <c r="AG510">
        <v>50</v>
      </c>
      <c r="AH510">
        <v>327</v>
      </c>
      <c r="AI510">
        <v>53</v>
      </c>
      <c r="AJ510">
        <v>35.700000000000003</v>
      </c>
      <c r="AK510" s="165" t="s">
        <v>4960</v>
      </c>
      <c r="AN510">
        <v>6</v>
      </c>
      <c r="AO510">
        <v>4</v>
      </c>
      <c r="AP510">
        <v>24</v>
      </c>
      <c r="AQ510" s="165" t="s">
        <v>3815</v>
      </c>
      <c r="AR510" t="s">
        <v>4962</v>
      </c>
      <c r="AS510" s="165" t="s">
        <v>30</v>
      </c>
      <c r="AT510" t="s">
        <v>5291</v>
      </c>
      <c r="AU510" t="s">
        <v>5291</v>
      </c>
    </row>
    <row r="511" spans="1:47" hidden="1" x14ac:dyDescent="0.25">
      <c r="A511" s="165" t="s">
        <v>1180</v>
      </c>
      <c r="B511" s="165" t="s">
        <v>4963</v>
      </c>
      <c r="C511" s="165" t="s">
        <v>23</v>
      </c>
      <c r="D511" s="165" t="s">
        <v>1181</v>
      </c>
      <c r="E511" s="165" t="s">
        <v>4073</v>
      </c>
      <c r="F511" s="165" t="s">
        <v>4234</v>
      </c>
      <c r="G511" s="165" t="s">
        <v>8</v>
      </c>
      <c r="H511" s="165" t="s">
        <v>251</v>
      </c>
      <c r="I511" s="165" t="s">
        <v>3864</v>
      </c>
      <c r="J511" s="165" t="s">
        <v>4235</v>
      </c>
      <c r="K511" s="165"/>
      <c r="L511" s="165"/>
      <c r="M511" s="165"/>
      <c r="N511" s="165" t="s">
        <v>3805</v>
      </c>
      <c r="O511" s="165"/>
      <c r="P511" s="165"/>
      <c r="Q511" s="165"/>
      <c r="R511" s="165"/>
      <c r="S511" s="165"/>
      <c r="T511" s="165"/>
      <c r="U511" s="165" t="s">
        <v>3807</v>
      </c>
      <c r="V511" s="165" t="s">
        <v>3821</v>
      </c>
      <c r="W511" s="165" t="s">
        <v>3822</v>
      </c>
      <c r="X511" s="165"/>
      <c r="Y511">
        <v>4</v>
      </c>
      <c r="Z511" s="165" t="s">
        <v>4071</v>
      </c>
      <c r="AA511" s="165" t="s">
        <v>3809</v>
      </c>
      <c r="AB511" s="165" t="s">
        <v>3810</v>
      </c>
      <c r="AC511" s="165" t="s">
        <v>3811</v>
      </c>
      <c r="AD511" s="165" t="s">
        <v>4958</v>
      </c>
      <c r="AE511">
        <v>16</v>
      </c>
      <c r="AF511" s="165" t="s">
        <v>4959</v>
      </c>
      <c r="AG511">
        <v>50</v>
      </c>
      <c r="AH511">
        <v>327</v>
      </c>
      <c r="AI511">
        <v>53</v>
      </c>
      <c r="AJ511">
        <v>35.700000000000003</v>
      </c>
      <c r="AK511" s="165" t="s">
        <v>4960</v>
      </c>
      <c r="AN511">
        <v>6</v>
      </c>
      <c r="AO511">
        <v>4</v>
      </c>
      <c r="AP511">
        <v>24</v>
      </c>
      <c r="AQ511" s="165" t="s">
        <v>3815</v>
      </c>
      <c r="AR511" t="s">
        <v>4165</v>
      </c>
      <c r="AS511" s="165" t="s">
        <v>174</v>
      </c>
      <c r="AT511" t="s">
        <v>5291</v>
      </c>
      <c r="AU511" t="s">
        <v>5291</v>
      </c>
    </row>
    <row r="512" spans="1:47" hidden="1" x14ac:dyDescent="0.25">
      <c r="A512" s="165" t="s">
        <v>1801</v>
      </c>
      <c r="B512" s="165" t="s">
        <v>4964</v>
      </c>
      <c r="C512" s="165" t="s">
        <v>23</v>
      </c>
      <c r="D512" s="165" t="s">
        <v>1802</v>
      </c>
      <c r="E512" s="165" t="s">
        <v>4075</v>
      </c>
      <c r="F512" s="165" t="s">
        <v>4234</v>
      </c>
      <c r="G512" s="165" t="s">
        <v>8</v>
      </c>
      <c r="H512" s="165" t="s">
        <v>251</v>
      </c>
      <c r="I512" s="165" t="s">
        <v>3864</v>
      </c>
      <c r="J512" s="165" t="s">
        <v>4235</v>
      </c>
      <c r="K512" s="165"/>
      <c r="L512" s="165"/>
      <c r="M512" s="165"/>
      <c r="N512" s="165" t="s">
        <v>3805</v>
      </c>
      <c r="O512" s="165"/>
      <c r="P512" s="165"/>
      <c r="Q512" s="165"/>
      <c r="R512" s="165"/>
      <c r="S512" s="165"/>
      <c r="T512" s="165"/>
      <c r="U512" s="165" t="s">
        <v>3807</v>
      </c>
      <c r="V512" s="165" t="s">
        <v>3821</v>
      </c>
      <c r="W512" s="165" t="s">
        <v>3822</v>
      </c>
      <c r="X512" s="165"/>
      <c r="Y512">
        <v>4</v>
      </c>
      <c r="Z512" s="165" t="s">
        <v>4071</v>
      </c>
      <c r="AA512" s="165" t="s">
        <v>3809</v>
      </c>
      <c r="AB512" s="165" t="s">
        <v>3810</v>
      </c>
      <c r="AC512" s="165" t="s">
        <v>3811</v>
      </c>
      <c r="AD512" s="165" t="s">
        <v>4958</v>
      </c>
      <c r="AE512">
        <v>16</v>
      </c>
      <c r="AF512" s="165" t="s">
        <v>4959</v>
      </c>
      <c r="AG512">
        <v>50</v>
      </c>
      <c r="AH512">
        <v>327</v>
      </c>
      <c r="AI512">
        <v>53</v>
      </c>
      <c r="AJ512">
        <v>35.700000000000003</v>
      </c>
      <c r="AK512" s="165" t="s">
        <v>4960</v>
      </c>
      <c r="AN512">
        <v>6</v>
      </c>
      <c r="AO512">
        <v>4</v>
      </c>
      <c r="AP512">
        <v>24</v>
      </c>
      <c r="AQ512" s="165" t="s">
        <v>3815</v>
      </c>
      <c r="AS512" s="165" t="s">
        <v>174</v>
      </c>
      <c r="AT512" t="s">
        <v>5291</v>
      </c>
      <c r="AU512" t="s">
        <v>5291</v>
      </c>
    </row>
    <row r="513" spans="1:47" hidden="1" x14ac:dyDescent="0.25">
      <c r="A513" s="165" t="s">
        <v>1304</v>
      </c>
      <c r="B513" s="165" t="s">
        <v>4965</v>
      </c>
      <c r="C513" s="165" t="s">
        <v>23</v>
      </c>
      <c r="D513" s="165" t="s">
        <v>1305</v>
      </c>
      <c r="E513" s="165" t="s">
        <v>2104</v>
      </c>
      <c r="F513" s="165" t="s">
        <v>4234</v>
      </c>
      <c r="G513" s="165" t="s">
        <v>8</v>
      </c>
      <c r="H513" s="165" t="s">
        <v>251</v>
      </c>
      <c r="I513" s="165" t="s">
        <v>3864</v>
      </c>
      <c r="J513" s="165" t="s">
        <v>4235</v>
      </c>
      <c r="K513" s="165"/>
      <c r="L513" s="165"/>
      <c r="M513" s="165"/>
      <c r="N513" s="165" t="s">
        <v>3805</v>
      </c>
      <c r="O513" s="165"/>
      <c r="P513" s="165"/>
      <c r="Q513" s="165"/>
      <c r="R513" s="165"/>
      <c r="S513" s="165"/>
      <c r="T513" s="165"/>
      <c r="U513" s="165" t="s">
        <v>3807</v>
      </c>
      <c r="V513" s="165" t="s">
        <v>3821</v>
      </c>
      <c r="W513" s="165" t="s">
        <v>3822</v>
      </c>
      <c r="X513" s="165"/>
      <c r="Y513">
        <v>4</v>
      </c>
      <c r="Z513" s="165" t="s">
        <v>4071</v>
      </c>
      <c r="AA513" s="165" t="s">
        <v>3809</v>
      </c>
      <c r="AB513" s="165" t="s">
        <v>3810</v>
      </c>
      <c r="AC513" s="165" t="s">
        <v>3811</v>
      </c>
      <c r="AD513" s="165" t="s">
        <v>4958</v>
      </c>
      <c r="AE513">
        <v>16</v>
      </c>
      <c r="AF513" s="165" t="s">
        <v>4959</v>
      </c>
      <c r="AG513">
        <v>50</v>
      </c>
      <c r="AH513">
        <v>327</v>
      </c>
      <c r="AI513">
        <v>53</v>
      </c>
      <c r="AJ513">
        <v>35.700000000000003</v>
      </c>
      <c r="AK513" s="165" t="s">
        <v>4960</v>
      </c>
      <c r="AN513">
        <v>6</v>
      </c>
      <c r="AO513">
        <v>4</v>
      </c>
      <c r="AP513">
        <v>24</v>
      </c>
      <c r="AQ513" s="165" t="s">
        <v>3815</v>
      </c>
      <c r="AR513" t="s">
        <v>4966</v>
      </c>
      <c r="AS513" s="165" t="s">
        <v>174</v>
      </c>
      <c r="AT513" t="s">
        <v>5291</v>
      </c>
      <c r="AU513" t="s">
        <v>5291</v>
      </c>
    </row>
    <row r="514" spans="1:47" hidden="1" x14ac:dyDescent="0.25">
      <c r="A514" s="165" t="s">
        <v>1442</v>
      </c>
      <c r="B514" s="165" t="s">
        <v>88</v>
      </c>
      <c r="C514" s="165" t="s">
        <v>23</v>
      </c>
      <c r="D514" s="165" t="s">
        <v>1443</v>
      </c>
      <c r="E514" s="165" t="s">
        <v>4448</v>
      </c>
      <c r="F514" s="165" t="s">
        <v>11</v>
      </c>
      <c r="G514" s="165" t="s">
        <v>8</v>
      </c>
      <c r="H514" s="165" t="s">
        <v>241</v>
      </c>
      <c r="I514" s="165" t="s">
        <v>3803</v>
      </c>
      <c r="J514" s="165" t="s">
        <v>4011</v>
      </c>
      <c r="K514" s="165"/>
      <c r="L514" s="165"/>
      <c r="M514" s="165"/>
      <c r="N514" s="165"/>
      <c r="O514" s="165"/>
      <c r="P514" s="165"/>
      <c r="Q514" s="165"/>
      <c r="R514" s="165"/>
      <c r="S514" s="165" t="s">
        <v>3902</v>
      </c>
      <c r="T514" s="165"/>
      <c r="U514" s="165"/>
      <c r="V514" s="165"/>
      <c r="W514" s="165"/>
      <c r="X514" s="165" t="s">
        <v>2428</v>
      </c>
      <c r="Y514">
        <v>2</v>
      </c>
      <c r="Z514" s="165" t="s">
        <v>3903</v>
      </c>
      <c r="AA514" s="165" t="s">
        <v>3811</v>
      </c>
      <c r="AB514" s="165" t="s">
        <v>3810</v>
      </c>
      <c r="AC514" s="165" t="s">
        <v>3809</v>
      </c>
      <c r="AD514" s="165" t="s">
        <v>4967</v>
      </c>
      <c r="AE514">
        <v>101</v>
      </c>
      <c r="AF514" s="165" t="s">
        <v>4968</v>
      </c>
      <c r="AG514">
        <v>519</v>
      </c>
      <c r="AH514">
        <v>334</v>
      </c>
      <c r="AI514">
        <v>54.9</v>
      </c>
      <c r="AJ514">
        <v>36.4</v>
      </c>
      <c r="AK514" s="165" t="s">
        <v>4969</v>
      </c>
      <c r="AN514">
        <v>1</v>
      </c>
      <c r="AO514">
        <v>4</v>
      </c>
      <c r="AP514">
        <v>4</v>
      </c>
      <c r="AQ514" s="165" t="s">
        <v>3815</v>
      </c>
      <c r="AR514" t="s">
        <v>3816</v>
      </c>
      <c r="AS514" s="165" t="s">
        <v>30</v>
      </c>
      <c r="AT514" t="s">
        <v>5291</v>
      </c>
      <c r="AU514" t="s">
        <v>5291</v>
      </c>
    </row>
    <row r="515" spans="1:47" hidden="1" x14ac:dyDescent="0.25">
      <c r="A515" s="165" t="s">
        <v>1444</v>
      </c>
      <c r="B515" s="165" t="s">
        <v>4970</v>
      </c>
      <c r="C515" s="165" t="s">
        <v>23</v>
      </c>
      <c r="D515" s="165" t="s">
        <v>1445</v>
      </c>
      <c r="E515" s="165" t="s">
        <v>4448</v>
      </c>
      <c r="F515" s="165" t="s">
        <v>11</v>
      </c>
      <c r="G515" s="165" t="s">
        <v>8</v>
      </c>
      <c r="H515" s="165" t="s">
        <v>241</v>
      </c>
      <c r="I515" s="165" t="s">
        <v>3803</v>
      </c>
      <c r="J515" s="165" t="s">
        <v>4011</v>
      </c>
      <c r="K515" s="165"/>
      <c r="L515" s="165"/>
      <c r="M515" s="165"/>
      <c r="N515" s="165"/>
      <c r="O515" s="165"/>
      <c r="P515" s="165"/>
      <c r="Q515" s="165"/>
      <c r="R515" s="165"/>
      <c r="S515" s="165" t="s">
        <v>3902</v>
      </c>
      <c r="T515" s="165"/>
      <c r="U515" s="165"/>
      <c r="V515" s="165"/>
      <c r="W515" s="165"/>
      <c r="X515" s="165" t="s">
        <v>2428</v>
      </c>
      <c r="Y515">
        <v>2</v>
      </c>
      <c r="Z515" s="165" t="s">
        <v>3903</v>
      </c>
      <c r="AA515" s="165" t="s">
        <v>3811</v>
      </c>
      <c r="AB515" s="165" t="s">
        <v>3810</v>
      </c>
      <c r="AC515" s="165" t="s">
        <v>3809</v>
      </c>
      <c r="AD515" s="165" t="s">
        <v>4967</v>
      </c>
      <c r="AE515">
        <v>101</v>
      </c>
      <c r="AF515" s="165" t="s">
        <v>4968</v>
      </c>
      <c r="AG515">
        <v>519</v>
      </c>
      <c r="AH515">
        <v>334</v>
      </c>
      <c r="AI515">
        <v>54.9</v>
      </c>
      <c r="AJ515">
        <v>36.4</v>
      </c>
      <c r="AK515" s="165" t="s">
        <v>4969</v>
      </c>
      <c r="AN515">
        <v>1</v>
      </c>
      <c r="AO515">
        <v>4</v>
      </c>
      <c r="AP515">
        <v>4</v>
      </c>
      <c r="AQ515" s="165" t="s">
        <v>3815</v>
      </c>
      <c r="AR515" t="s">
        <v>4971</v>
      </c>
      <c r="AS515" s="165" t="s">
        <v>30</v>
      </c>
      <c r="AT515" t="s">
        <v>5291</v>
      </c>
      <c r="AU515" t="s">
        <v>5291</v>
      </c>
    </row>
    <row r="516" spans="1:47" hidden="1" x14ac:dyDescent="0.25">
      <c r="A516" s="165" t="s">
        <v>817</v>
      </c>
      <c r="B516" s="165" t="s">
        <v>4972</v>
      </c>
      <c r="C516" s="165" t="s">
        <v>23</v>
      </c>
      <c r="D516" s="165" t="s">
        <v>818</v>
      </c>
      <c r="E516" s="165" t="s">
        <v>4327</v>
      </c>
      <c r="F516" s="165" t="s">
        <v>15</v>
      </c>
      <c r="G516" s="165" t="s">
        <v>8</v>
      </c>
      <c r="H516" s="165" t="s">
        <v>241</v>
      </c>
      <c r="I516" s="165" t="s">
        <v>3864</v>
      </c>
      <c r="J516" s="165" t="s">
        <v>3901</v>
      </c>
      <c r="K516" s="165"/>
      <c r="L516" s="165"/>
      <c r="M516" s="165"/>
      <c r="N516" s="165"/>
      <c r="O516" s="165"/>
      <c r="P516" s="165"/>
      <c r="Q516" s="165"/>
      <c r="R516" s="165"/>
      <c r="S516" s="165" t="s">
        <v>3902</v>
      </c>
      <c r="T516" s="165"/>
      <c r="U516" s="165"/>
      <c r="V516" s="165"/>
      <c r="W516" s="165"/>
      <c r="X516" s="165" t="s">
        <v>2428</v>
      </c>
      <c r="Y516">
        <v>2</v>
      </c>
      <c r="Z516" s="165" t="s">
        <v>3903</v>
      </c>
      <c r="AA516" s="165" t="s">
        <v>3811</v>
      </c>
      <c r="AB516" s="165" t="s">
        <v>3810</v>
      </c>
      <c r="AC516" s="165" t="s">
        <v>3809</v>
      </c>
      <c r="AD516" s="165" t="s">
        <v>4127</v>
      </c>
      <c r="AE516">
        <v>112</v>
      </c>
      <c r="AF516" s="165" t="s">
        <v>4973</v>
      </c>
      <c r="AG516">
        <v>525</v>
      </c>
      <c r="AH516">
        <v>376</v>
      </c>
      <c r="AI516">
        <v>55.5</v>
      </c>
      <c r="AJ516">
        <v>40.6</v>
      </c>
      <c r="AK516" s="165" t="s">
        <v>4974</v>
      </c>
      <c r="AN516">
        <v>6</v>
      </c>
      <c r="AO516">
        <v>4</v>
      </c>
      <c r="AP516">
        <v>24</v>
      </c>
      <c r="AQ516" s="165" t="s">
        <v>3815</v>
      </c>
      <c r="AR516" t="s">
        <v>3930</v>
      </c>
      <c r="AS516" s="165" t="s">
        <v>30</v>
      </c>
      <c r="AT516" t="s">
        <v>5291</v>
      </c>
      <c r="AU516" t="s">
        <v>5291</v>
      </c>
    </row>
    <row r="517" spans="1:47" hidden="1" x14ac:dyDescent="0.25">
      <c r="A517" s="165" t="s">
        <v>1298</v>
      </c>
      <c r="B517" s="165" t="s">
        <v>4975</v>
      </c>
      <c r="C517" s="165" t="s">
        <v>23</v>
      </c>
      <c r="D517" s="165" t="s">
        <v>1299</v>
      </c>
      <c r="E517" s="165" t="s">
        <v>4330</v>
      </c>
      <c r="F517" s="165" t="s">
        <v>15</v>
      </c>
      <c r="G517" s="165" t="s">
        <v>8</v>
      </c>
      <c r="H517" s="165" t="s">
        <v>241</v>
      </c>
      <c r="I517" s="165" t="s">
        <v>3864</v>
      </c>
      <c r="J517" s="165" t="s">
        <v>3901</v>
      </c>
      <c r="K517" s="165"/>
      <c r="L517" s="165"/>
      <c r="M517" s="165"/>
      <c r="N517" s="165"/>
      <c r="O517" s="165"/>
      <c r="P517" s="165"/>
      <c r="Q517" s="165"/>
      <c r="R517" s="165"/>
      <c r="S517" s="165" t="s">
        <v>3902</v>
      </c>
      <c r="T517" s="165"/>
      <c r="U517" s="165"/>
      <c r="V517" s="165"/>
      <c r="W517" s="165"/>
      <c r="X517" s="165" t="s">
        <v>2428</v>
      </c>
      <c r="Y517">
        <v>2</v>
      </c>
      <c r="Z517" s="165" t="s">
        <v>3903</v>
      </c>
      <c r="AA517" s="165" t="s">
        <v>3811</v>
      </c>
      <c r="AB517" s="165" t="s">
        <v>3810</v>
      </c>
      <c r="AC517" s="165" t="s">
        <v>3809</v>
      </c>
      <c r="AD517" s="165" t="s">
        <v>4221</v>
      </c>
      <c r="AE517">
        <v>122</v>
      </c>
      <c r="AF517" s="165" t="s">
        <v>4222</v>
      </c>
      <c r="AG517">
        <v>39</v>
      </c>
      <c r="AH517">
        <v>376</v>
      </c>
      <c r="AI517">
        <v>42</v>
      </c>
      <c r="AJ517">
        <v>40.6</v>
      </c>
      <c r="AK517" s="165" t="s">
        <v>4223</v>
      </c>
      <c r="AN517">
        <v>4</v>
      </c>
      <c r="AO517">
        <v>4</v>
      </c>
      <c r="AP517">
        <v>16</v>
      </c>
      <c r="AQ517" s="165" t="s">
        <v>3815</v>
      </c>
      <c r="AR517" t="s">
        <v>3909</v>
      </c>
      <c r="AS517" s="165" t="s">
        <v>30</v>
      </c>
      <c r="AT517" t="s">
        <v>5291</v>
      </c>
      <c r="AU517" t="s">
        <v>5291</v>
      </c>
    </row>
    <row r="518" spans="1:47" hidden="1" x14ac:dyDescent="0.25">
      <c r="A518" s="165" t="s">
        <v>1783</v>
      </c>
      <c r="B518" s="165" t="s">
        <v>3333</v>
      </c>
      <c r="C518" s="165" t="s">
        <v>23</v>
      </c>
      <c r="D518" s="165" t="s">
        <v>1784</v>
      </c>
      <c r="E518" s="165" t="s">
        <v>4047</v>
      </c>
      <c r="F518" s="165" t="s">
        <v>3850</v>
      </c>
      <c r="G518" s="165" t="s">
        <v>8</v>
      </c>
      <c r="H518" s="165" t="s">
        <v>263</v>
      </c>
      <c r="I518" s="165" t="s">
        <v>3819</v>
      </c>
      <c r="J518" s="165" t="s">
        <v>3851</v>
      </c>
      <c r="K518" s="165"/>
      <c r="L518" s="165"/>
      <c r="M518" s="165"/>
      <c r="N518" s="165" t="s">
        <v>3805</v>
      </c>
      <c r="O518" s="165"/>
      <c r="P518" s="165"/>
      <c r="Q518" s="165"/>
      <c r="R518" s="165"/>
      <c r="S518" s="165"/>
      <c r="T518" s="165" t="s">
        <v>3806</v>
      </c>
      <c r="U518" s="165" t="s">
        <v>3807</v>
      </c>
      <c r="V518" s="165"/>
      <c r="W518" s="165"/>
      <c r="X518" s="165"/>
      <c r="Y518">
        <v>3</v>
      </c>
      <c r="Z518" s="165" t="s">
        <v>3808</v>
      </c>
      <c r="AA518" s="165" t="s">
        <v>3809</v>
      </c>
      <c r="AB518" s="165" t="s">
        <v>3810</v>
      </c>
      <c r="AC518" s="165" t="s">
        <v>3811</v>
      </c>
      <c r="AD518" s="165" t="s">
        <v>4230</v>
      </c>
      <c r="AE518">
        <v>97</v>
      </c>
      <c r="AF518" s="165" t="s">
        <v>4332</v>
      </c>
      <c r="AG518">
        <v>41</v>
      </c>
      <c r="AH518">
        <v>18</v>
      </c>
      <c r="AI518">
        <v>44</v>
      </c>
      <c r="AJ518">
        <v>21</v>
      </c>
      <c r="AK518" s="165" t="s">
        <v>4333</v>
      </c>
      <c r="AN518">
        <v>3</v>
      </c>
      <c r="AO518">
        <v>8</v>
      </c>
      <c r="AP518">
        <v>24</v>
      </c>
      <c r="AQ518" s="165" t="s">
        <v>3815</v>
      </c>
      <c r="AR518" t="s">
        <v>3830</v>
      </c>
      <c r="AS518" s="165" t="s">
        <v>174</v>
      </c>
      <c r="AT518" t="s">
        <v>5291</v>
      </c>
      <c r="AU518" t="s">
        <v>5291</v>
      </c>
    </row>
    <row r="519" spans="1:47" hidden="1" x14ac:dyDescent="0.25">
      <c r="A519" s="165" t="s">
        <v>1435</v>
      </c>
      <c r="B519" s="165" t="s">
        <v>4976</v>
      </c>
      <c r="C519" s="165" t="s">
        <v>2471</v>
      </c>
      <c r="D519" s="165" t="s">
        <v>4977</v>
      </c>
      <c r="E519" s="165" t="s">
        <v>4061</v>
      </c>
      <c r="F519" s="165" t="s">
        <v>11</v>
      </c>
      <c r="G519" s="165" t="s">
        <v>3878</v>
      </c>
      <c r="H519" s="165" t="s">
        <v>263</v>
      </c>
      <c r="I519" s="165" t="s">
        <v>3821</v>
      </c>
      <c r="J519" s="165" t="s">
        <v>3879</v>
      </c>
      <c r="K519" s="165"/>
      <c r="L519" s="165"/>
      <c r="M519" s="165"/>
      <c r="N519" s="165" t="s">
        <v>3805</v>
      </c>
      <c r="O519" s="165"/>
      <c r="P519" s="165"/>
      <c r="Q519" s="165"/>
      <c r="R519" s="165"/>
      <c r="S519" s="165"/>
      <c r="T519" s="165" t="s">
        <v>3806</v>
      </c>
      <c r="U519" s="165" t="s">
        <v>3807</v>
      </c>
      <c r="V519" s="165"/>
      <c r="W519" s="165"/>
      <c r="X519" s="165"/>
      <c r="Y519">
        <v>3</v>
      </c>
      <c r="Z519" s="165" t="s">
        <v>3808</v>
      </c>
      <c r="AA519" s="165" t="s">
        <v>3809</v>
      </c>
      <c r="AB519" s="165" t="s">
        <v>3810</v>
      </c>
      <c r="AC519" s="165" t="s">
        <v>3811</v>
      </c>
      <c r="AD519" s="165" t="s">
        <v>4062</v>
      </c>
      <c r="AE519">
        <v>58</v>
      </c>
      <c r="AF519" s="165" t="s">
        <v>4978</v>
      </c>
      <c r="AG519">
        <v>533</v>
      </c>
      <c r="AH519">
        <v>313</v>
      </c>
      <c r="AI519">
        <v>56.3</v>
      </c>
      <c r="AJ519">
        <v>34.299999999999997</v>
      </c>
      <c r="AK519" s="165" t="s">
        <v>4979</v>
      </c>
      <c r="AN519">
        <v>3</v>
      </c>
      <c r="AO519">
        <v>4</v>
      </c>
      <c r="AP519">
        <v>12</v>
      </c>
      <c r="AQ519" s="165" t="s">
        <v>3815</v>
      </c>
      <c r="AR519" t="s">
        <v>4135</v>
      </c>
      <c r="AS519" s="165" t="s">
        <v>174</v>
      </c>
      <c r="AT519" t="s">
        <v>5291</v>
      </c>
      <c r="AU519" t="s">
        <v>3809</v>
      </c>
    </row>
    <row r="520" spans="1:47" hidden="1" x14ac:dyDescent="0.25">
      <c r="A520" s="165" t="s">
        <v>1077</v>
      </c>
      <c r="B520" s="165" t="s">
        <v>4980</v>
      </c>
      <c r="C520" s="165" t="s">
        <v>23</v>
      </c>
      <c r="D520" s="165" t="s">
        <v>1078</v>
      </c>
      <c r="E520" s="165" t="s">
        <v>4735</v>
      </c>
      <c r="F520" s="165" t="s">
        <v>2183</v>
      </c>
      <c r="G520" s="165" t="s">
        <v>8</v>
      </c>
      <c r="H520" s="165" t="s">
        <v>263</v>
      </c>
      <c r="I520" s="165" t="s">
        <v>3820</v>
      </c>
      <c r="J520" s="165" t="s">
        <v>4082</v>
      </c>
      <c r="K520" s="165"/>
      <c r="L520" s="165"/>
      <c r="M520" s="165"/>
      <c r="N520" s="165" t="s">
        <v>3805</v>
      </c>
      <c r="O520" s="165"/>
      <c r="P520" s="165"/>
      <c r="Q520" s="165"/>
      <c r="R520" s="165"/>
      <c r="S520" s="165"/>
      <c r="T520" s="165" t="s">
        <v>3806</v>
      </c>
      <c r="U520" s="165" t="s">
        <v>3807</v>
      </c>
      <c r="V520" s="165"/>
      <c r="W520" s="165"/>
      <c r="X520" s="165"/>
      <c r="Y520">
        <v>3</v>
      </c>
      <c r="Z520" s="165" t="s">
        <v>3808</v>
      </c>
      <c r="AA520" s="165" t="s">
        <v>3809</v>
      </c>
      <c r="AB520" s="165" t="s">
        <v>3810</v>
      </c>
      <c r="AC520" s="165" t="s">
        <v>3811</v>
      </c>
      <c r="AD520" s="165" t="s">
        <v>4230</v>
      </c>
      <c r="AE520">
        <v>97</v>
      </c>
      <c r="AF520" s="165" t="s">
        <v>4332</v>
      </c>
      <c r="AG520">
        <v>41</v>
      </c>
      <c r="AH520">
        <v>18</v>
      </c>
      <c r="AI520">
        <v>44</v>
      </c>
      <c r="AJ520">
        <v>21</v>
      </c>
      <c r="AK520" s="165" t="s">
        <v>4333</v>
      </c>
      <c r="AN520">
        <v>3</v>
      </c>
      <c r="AO520">
        <v>6</v>
      </c>
      <c r="AP520">
        <v>18</v>
      </c>
      <c r="AQ520" s="165" t="s">
        <v>3815</v>
      </c>
      <c r="AR520" t="s">
        <v>4009</v>
      </c>
      <c r="AS520" s="165" t="s">
        <v>174</v>
      </c>
      <c r="AT520" t="s">
        <v>5291</v>
      </c>
      <c r="AU520" t="s">
        <v>5291</v>
      </c>
    </row>
    <row r="521" spans="1:47" hidden="1" x14ac:dyDescent="0.25">
      <c r="A521" s="165" t="s">
        <v>1328</v>
      </c>
      <c r="B521" s="165" t="s">
        <v>3417</v>
      </c>
      <c r="C521" s="165" t="s">
        <v>23</v>
      </c>
      <c r="D521" s="165" t="s">
        <v>1329</v>
      </c>
      <c r="E521" s="165" t="s">
        <v>4738</v>
      </c>
      <c r="F521" s="165" t="s">
        <v>11</v>
      </c>
      <c r="G521" s="165" t="s">
        <v>8</v>
      </c>
      <c r="H521" s="165" t="s">
        <v>263</v>
      </c>
      <c r="I521" s="165" t="s">
        <v>3803</v>
      </c>
      <c r="J521" s="165" t="s">
        <v>3804</v>
      </c>
      <c r="K521" s="165"/>
      <c r="L521" s="165"/>
      <c r="M521" s="165"/>
      <c r="N521" s="165" t="s">
        <v>3805</v>
      </c>
      <c r="O521" s="165"/>
      <c r="P521" s="165"/>
      <c r="Q521" s="165"/>
      <c r="R521" s="165"/>
      <c r="S521" s="165"/>
      <c r="T521" s="165" t="s">
        <v>3806</v>
      </c>
      <c r="U521" s="165" t="s">
        <v>3807</v>
      </c>
      <c r="V521" s="165"/>
      <c r="W521" s="165"/>
      <c r="X521" s="165"/>
      <c r="Y521">
        <v>3</v>
      </c>
      <c r="Z521" s="165" t="s">
        <v>3808</v>
      </c>
      <c r="AA521" s="165" t="s">
        <v>3809</v>
      </c>
      <c r="AB521" s="165" t="s">
        <v>3810</v>
      </c>
      <c r="AC521" s="165" t="s">
        <v>3811</v>
      </c>
      <c r="AD521" s="165" t="s">
        <v>4230</v>
      </c>
      <c r="AE521">
        <v>97</v>
      </c>
      <c r="AF521" s="165" t="s">
        <v>4332</v>
      </c>
      <c r="AG521">
        <v>41</v>
      </c>
      <c r="AH521">
        <v>18</v>
      </c>
      <c r="AI521">
        <v>44</v>
      </c>
      <c r="AJ521">
        <v>21</v>
      </c>
      <c r="AK521" s="165" t="s">
        <v>4333</v>
      </c>
      <c r="AN521">
        <v>3</v>
      </c>
      <c r="AO521">
        <v>6</v>
      </c>
      <c r="AP521">
        <v>18</v>
      </c>
      <c r="AQ521" s="165" t="s">
        <v>3815</v>
      </c>
      <c r="AR521" t="s">
        <v>4298</v>
      </c>
      <c r="AS521" s="165" t="s">
        <v>174</v>
      </c>
      <c r="AT521" t="s">
        <v>5291</v>
      </c>
      <c r="AU521" t="s">
        <v>5291</v>
      </c>
    </row>
    <row r="522" spans="1:47" hidden="1" x14ac:dyDescent="0.25">
      <c r="A522" s="165" t="s">
        <v>1330</v>
      </c>
      <c r="B522" s="165" t="s">
        <v>3398</v>
      </c>
      <c r="C522" s="165" t="s">
        <v>23</v>
      </c>
      <c r="D522" s="165" t="s">
        <v>1331</v>
      </c>
      <c r="E522" s="165" t="s">
        <v>4738</v>
      </c>
      <c r="F522" s="165" t="s">
        <v>11</v>
      </c>
      <c r="G522" s="165" t="s">
        <v>8</v>
      </c>
      <c r="H522" s="165" t="s">
        <v>263</v>
      </c>
      <c r="I522" s="165" t="s">
        <v>3803</v>
      </c>
      <c r="J522" s="165" t="s">
        <v>3804</v>
      </c>
      <c r="K522" s="165"/>
      <c r="L522" s="165"/>
      <c r="M522" s="165"/>
      <c r="N522" s="165" t="s">
        <v>3805</v>
      </c>
      <c r="O522" s="165"/>
      <c r="P522" s="165"/>
      <c r="Q522" s="165"/>
      <c r="R522" s="165"/>
      <c r="S522" s="165"/>
      <c r="T522" s="165" t="s">
        <v>3806</v>
      </c>
      <c r="U522" s="165" t="s">
        <v>3807</v>
      </c>
      <c r="V522" s="165"/>
      <c r="W522" s="165"/>
      <c r="X522" s="165"/>
      <c r="Y522">
        <v>3</v>
      </c>
      <c r="Z522" s="165" t="s">
        <v>3808</v>
      </c>
      <c r="AA522" s="165" t="s">
        <v>3809</v>
      </c>
      <c r="AB522" s="165" t="s">
        <v>3810</v>
      </c>
      <c r="AC522" s="165" t="s">
        <v>3811</v>
      </c>
      <c r="AD522" s="165" t="s">
        <v>4230</v>
      </c>
      <c r="AE522">
        <v>97</v>
      </c>
      <c r="AF522" s="165" t="s">
        <v>4332</v>
      </c>
      <c r="AG522">
        <v>41</v>
      </c>
      <c r="AH522">
        <v>18</v>
      </c>
      <c r="AI522">
        <v>44</v>
      </c>
      <c r="AJ522">
        <v>21</v>
      </c>
      <c r="AK522" s="165" t="s">
        <v>4333</v>
      </c>
      <c r="AN522">
        <v>3</v>
      </c>
      <c r="AO522">
        <v>6</v>
      </c>
      <c r="AP522">
        <v>18</v>
      </c>
      <c r="AQ522" s="165" t="s">
        <v>3815</v>
      </c>
      <c r="AR522" t="s">
        <v>3998</v>
      </c>
      <c r="AS522" s="165" t="s">
        <v>174</v>
      </c>
      <c r="AT522" t="s">
        <v>5291</v>
      </c>
      <c r="AU522" t="s">
        <v>5291</v>
      </c>
    </row>
    <row r="523" spans="1:47" hidden="1" x14ac:dyDescent="0.25">
      <c r="A523" s="165" t="s">
        <v>1347</v>
      </c>
      <c r="B523" s="165" t="s">
        <v>3400</v>
      </c>
      <c r="C523" s="165" t="s">
        <v>23</v>
      </c>
      <c r="D523" s="165" t="s">
        <v>1348</v>
      </c>
      <c r="E523" s="165" t="s">
        <v>4049</v>
      </c>
      <c r="F523" s="165" t="s">
        <v>3850</v>
      </c>
      <c r="G523" s="165" t="s">
        <v>8</v>
      </c>
      <c r="H523" s="165" t="s">
        <v>263</v>
      </c>
      <c r="I523" s="165" t="s">
        <v>3819</v>
      </c>
      <c r="J523" s="165" t="s">
        <v>3851</v>
      </c>
      <c r="K523" s="165"/>
      <c r="L523" s="165"/>
      <c r="M523" s="165"/>
      <c r="N523" s="165" t="s">
        <v>3805</v>
      </c>
      <c r="O523" s="165"/>
      <c r="P523" s="165"/>
      <c r="Q523" s="165"/>
      <c r="R523" s="165"/>
      <c r="S523" s="165"/>
      <c r="T523" s="165" t="s">
        <v>3806</v>
      </c>
      <c r="U523" s="165" t="s">
        <v>3807</v>
      </c>
      <c r="V523" s="165"/>
      <c r="W523" s="165"/>
      <c r="X523" s="165"/>
      <c r="Y523">
        <v>3</v>
      </c>
      <c r="Z523" s="165" t="s">
        <v>3808</v>
      </c>
      <c r="AA523" s="165" t="s">
        <v>3809</v>
      </c>
      <c r="AB523" s="165" t="s">
        <v>3810</v>
      </c>
      <c r="AC523" s="165" t="s">
        <v>3811</v>
      </c>
      <c r="AD523" s="165" t="s">
        <v>4230</v>
      </c>
      <c r="AE523">
        <v>97</v>
      </c>
      <c r="AF523" s="165" t="s">
        <v>4332</v>
      </c>
      <c r="AG523">
        <v>41</v>
      </c>
      <c r="AH523">
        <v>18</v>
      </c>
      <c r="AI523">
        <v>44</v>
      </c>
      <c r="AJ523">
        <v>21</v>
      </c>
      <c r="AK523" s="165" t="s">
        <v>4333</v>
      </c>
      <c r="AN523">
        <v>3</v>
      </c>
      <c r="AO523">
        <v>6</v>
      </c>
      <c r="AP523">
        <v>18</v>
      </c>
      <c r="AQ523" s="165" t="s">
        <v>3815</v>
      </c>
      <c r="AR523" t="s">
        <v>3966</v>
      </c>
      <c r="AS523" s="165" t="s">
        <v>174</v>
      </c>
      <c r="AT523" t="s">
        <v>5291</v>
      </c>
      <c r="AU523" t="s">
        <v>5291</v>
      </c>
    </row>
    <row r="524" spans="1:47" hidden="1" x14ac:dyDescent="0.25">
      <c r="A524" s="165" t="s">
        <v>4981</v>
      </c>
      <c r="B524" s="165" t="s">
        <v>88</v>
      </c>
      <c r="C524" s="165" t="s">
        <v>23</v>
      </c>
      <c r="D524" s="165" t="s">
        <v>4982</v>
      </c>
      <c r="E524" s="165" t="s">
        <v>4049</v>
      </c>
      <c r="F524" s="165" t="s">
        <v>3850</v>
      </c>
      <c r="G524" s="165" t="s">
        <v>3878</v>
      </c>
      <c r="H524" s="165" t="s">
        <v>263</v>
      </c>
      <c r="I524" s="165" t="s">
        <v>3806</v>
      </c>
      <c r="J524" s="165" t="s">
        <v>4033</v>
      </c>
      <c r="K524" s="165"/>
      <c r="L524" s="165"/>
      <c r="M524" s="165"/>
      <c r="N524" s="165" t="s">
        <v>3805</v>
      </c>
      <c r="O524" s="165"/>
      <c r="P524" s="165"/>
      <c r="Q524" s="165"/>
      <c r="R524" s="165"/>
      <c r="S524" s="165"/>
      <c r="T524" s="165" t="s">
        <v>3806</v>
      </c>
      <c r="U524" s="165" t="s">
        <v>3807</v>
      </c>
      <c r="V524" s="165"/>
      <c r="W524" s="165"/>
      <c r="X524" s="165"/>
      <c r="Y524">
        <v>3</v>
      </c>
      <c r="Z524" s="165" t="s">
        <v>3808</v>
      </c>
      <c r="AA524" s="165" t="s">
        <v>3809</v>
      </c>
      <c r="AB524" s="165" t="s">
        <v>3810</v>
      </c>
      <c r="AC524" s="165" t="s">
        <v>3811</v>
      </c>
      <c r="AD524" s="165" t="s">
        <v>4230</v>
      </c>
      <c r="AE524">
        <v>97</v>
      </c>
      <c r="AF524" s="165" t="s">
        <v>4332</v>
      </c>
      <c r="AG524">
        <v>41</v>
      </c>
      <c r="AH524">
        <v>18</v>
      </c>
      <c r="AI524">
        <v>44</v>
      </c>
      <c r="AJ524">
        <v>21</v>
      </c>
      <c r="AK524" s="165" t="s">
        <v>4333</v>
      </c>
      <c r="AN524">
        <v>3</v>
      </c>
      <c r="AO524">
        <v>6</v>
      </c>
      <c r="AP524">
        <v>18</v>
      </c>
      <c r="AQ524" s="165" t="s">
        <v>3815</v>
      </c>
      <c r="AR524" t="s">
        <v>3966</v>
      </c>
      <c r="AS524" s="165" t="s">
        <v>174</v>
      </c>
      <c r="AT524" t="s">
        <v>5291</v>
      </c>
      <c r="AU524" t="s">
        <v>5291</v>
      </c>
    </row>
    <row r="525" spans="1:47" hidden="1" x14ac:dyDescent="0.25">
      <c r="A525" s="165" t="s">
        <v>1349</v>
      </c>
      <c r="B525" s="165" t="s">
        <v>3451</v>
      </c>
      <c r="C525" s="165" t="s">
        <v>23</v>
      </c>
      <c r="D525" s="165" t="s">
        <v>1350</v>
      </c>
      <c r="E525" s="165" t="s">
        <v>4049</v>
      </c>
      <c r="F525" s="165" t="s">
        <v>3850</v>
      </c>
      <c r="G525" s="165" t="s">
        <v>8</v>
      </c>
      <c r="H525" s="165" t="s">
        <v>263</v>
      </c>
      <c r="I525" s="165" t="s">
        <v>3819</v>
      </c>
      <c r="J525" s="165" t="s">
        <v>3851</v>
      </c>
      <c r="K525" s="165"/>
      <c r="L525" s="165"/>
      <c r="M525" s="165"/>
      <c r="N525" s="165" t="s">
        <v>3805</v>
      </c>
      <c r="O525" s="165"/>
      <c r="P525" s="165"/>
      <c r="Q525" s="165"/>
      <c r="R525" s="165"/>
      <c r="S525" s="165"/>
      <c r="T525" s="165" t="s">
        <v>3806</v>
      </c>
      <c r="U525" s="165" t="s">
        <v>3807</v>
      </c>
      <c r="V525" s="165"/>
      <c r="W525" s="165"/>
      <c r="X525" s="165"/>
      <c r="Y525">
        <v>3</v>
      </c>
      <c r="Z525" s="165" t="s">
        <v>3808</v>
      </c>
      <c r="AA525" s="165" t="s">
        <v>3809</v>
      </c>
      <c r="AB525" s="165" t="s">
        <v>3810</v>
      </c>
      <c r="AC525" s="165" t="s">
        <v>3811</v>
      </c>
      <c r="AD525" s="165" t="s">
        <v>4230</v>
      </c>
      <c r="AE525">
        <v>97</v>
      </c>
      <c r="AF525" s="165" t="s">
        <v>4332</v>
      </c>
      <c r="AG525">
        <v>41</v>
      </c>
      <c r="AH525">
        <v>18</v>
      </c>
      <c r="AI525">
        <v>44</v>
      </c>
      <c r="AJ525">
        <v>21</v>
      </c>
      <c r="AK525" s="165" t="s">
        <v>4333</v>
      </c>
      <c r="AN525">
        <v>3</v>
      </c>
      <c r="AO525">
        <v>6</v>
      </c>
      <c r="AP525">
        <v>18</v>
      </c>
      <c r="AQ525" s="165" t="s">
        <v>3815</v>
      </c>
      <c r="AR525" t="s">
        <v>3830</v>
      </c>
      <c r="AS525" s="165" t="s">
        <v>174</v>
      </c>
      <c r="AT525" t="s">
        <v>5291</v>
      </c>
      <c r="AU525" t="s">
        <v>5291</v>
      </c>
    </row>
    <row r="526" spans="1:47" hidden="1" x14ac:dyDescent="0.25">
      <c r="A526" s="165" t="s">
        <v>1819</v>
      </c>
      <c r="B526" s="165" t="s">
        <v>3386</v>
      </c>
      <c r="C526" s="165" t="s">
        <v>23</v>
      </c>
      <c r="D526" s="165" t="s">
        <v>1820</v>
      </c>
      <c r="E526" s="165" t="s">
        <v>3802</v>
      </c>
      <c r="F526" s="165" t="s">
        <v>11</v>
      </c>
      <c r="G526" s="165" t="s">
        <v>8</v>
      </c>
      <c r="H526" s="165" t="s">
        <v>263</v>
      </c>
      <c r="I526" s="165" t="s">
        <v>3803</v>
      </c>
      <c r="J526" s="165" t="s">
        <v>3804</v>
      </c>
      <c r="K526" s="165"/>
      <c r="L526" s="165"/>
      <c r="M526" s="165"/>
      <c r="N526" s="165" t="s">
        <v>3805</v>
      </c>
      <c r="O526" s="165"/>
      <c r="P526" s="165"/>
      <c r="Q526" s="165"/>
      <c r="R526" s="165"/>
      <c r="S526" s="165"/>
      <c r="T526" s="165" t="s">
        <v>3806</v>
      </c>
      <c r="U526" s="165" t="s">
        <v>3807</v>
      </c>
      <c r="V526" s="165"/>
      <c r="W526" s="165"/>
      <c r="X526" s="165"/>
      <c r="Y526">
        <v>3</v>
      </c>
      <c r="Z526" s="165" t="s">
        <v>3808</v>
      </c>
      <c r="AA526" s="165" t="s">
        <v>3809</v>
      </c>
      <c r="AB526" s="165" t="s">
        <v>3810</v>
      </c>
      <c r="AC526" s="165" t="s">
        <v>3811</v>
      </c>
      <c r="AD526" s="165" t="s">
        <v>4230</v>
      </c>
      <c r="AE526">
        <v>97</v>
      </c>
      <c r="AF526" s="165" t="s">
        <v>4332</v>
      </c>
      <c r="AG526">
        <v>41</v>
      </c>
      <c r="AH526">
        <v>18</v>
      </c>
      <c r="AI526">
        <v>44</v>
      </c>
      <c r="AJ526">
        <v>21</v>
      </c>
      <c r="AK526" s="165" t="s">
        <v>4333</v>
      </c>
      <c r="AN526">
        <v>3</v>
      </c>
      <c r="AO526">
        <v>8</v>
      </c>
      <c r="AP526">
        <v>24</v>
      </c>
      <c r="AQ526" s="165" t="s">
        <v>3815</v>
      </c>
      <c r="AR526" t="s">
        <v>3932</v>
      </c>
      <c r="AS526" s="165" t="s">
        <v>174</v>
      </c>
      <c r="AT526" t="s">
        <v>5291</v>
      </c>
      <c r="AU526" t="s">
        <v>5291</v>
      </c>
    </row>
    <row r="527" spans="1:47" hidden="1" x14ac:dyDescent="0.25">
      <c r="A527" s="165" t="s">
        <v>4983</v>
      </c>
      <c r="B527" s="165" t="s">
        <v>4984</v>
      </c>
      <c r="C527" s="165" t="s">
        <v>23</v>
      </c>
      <c r="D527" s="165" t="s">
        <v>4985</v>
      </c>
      <c r="E527" s="165" t="s">
        <v>4800</v>
      </c>
      <c r="F527" s="165" t="s">
        <v>2183</v>
      </c>
      <c r="G527" s="165" t="s">
        <v>8</v>
      </c>
      <c r="H527" s="165" t="s">
        <v>263</v>
      </c>
      <c r="I527" s="165" t="s">
        <v>3820</v>
      </c>
      <c r="J527" s="165" t="s">
        <v>4082</v>
      </c>
      <c r="K527" s="165"/>
      <c r="L527" s="165"/>
      <c r="M527" s="165"/>
      <c r="N527" s="165" t="s">
        <v>3805</v>
      </c>
      <c r="O527" s="165"/>
      <c r="P527" s="165"/>
      <c r="Q527" s="165"/>
      <c r="R527" s="165"/>
      <c r="S527" s="165"/>
      <c r="T527" s="165" t="s">
        <v>3806</v>
      </c>
      <c r="U527" s="165" t="s">
        <v>3807</v>
      </c>
      <c r="V527" s="165"/>
      <c r="W527" s="165"/>
      <c r="X527" s="165"/>
      <c r="Y527">
        <v>3</v>
      </c>
      <c r="Z527" s="165" t="s">
        <v>3808</v>
      </c>
      <c r="AA527" s="165" t="s">
        <v>3809</v>
      </c>
      <c r="AB527" s="165" t="s">
        <v>3810</v>
      </c>
      <c r="AC527" s="165" t="s">
        <v>3811</v>
      </c>
      <c r="AD527" s="165" t="s">
        <v>4230</v>
      </c>
      <c r="AE527">
        <v>97</v>
      </c>
      <c r="AF527" s="165" t="s">
        <v>4986</v>
      </c>
      <c r="AG527">
        <v>405</v>
      </c>
      <c r="AH527">
        <v>185</v>
      </c>
      <c r="AI527">
        <v>43.5</v>
      </c>
      <c r="AJ527">
        <v>21.5</v>
      </c>
      <c r="AK527" s="165" t="s">
        <v>4987</v>
      </c>
      <c r="AN527">
        <v>8</v>
      </c>
      <c r="AO527">
        <v>4</v>
      </c>
      <c r="AP527">
        <v>32</v>
      </c>
      <c r="AQ527" s="165" t="s">
        <v>3978</v>
      </c>
      <c r="AR527" t="s">
        <v>4244</v>
      </c>
      <c r="AS527" s="165" t="s">
        <v>174</v>
      </c>
      <c r="AT527" t="s">
        <v>5291</v>
      </c>
      <c r="AU527" t="s">
        <v>5291</v>
      </c>
    </row>
    <row r="528" spans="1:47" hidden="1" x14ac:dyDescent="0.25">
      <c r="A528" s="165" t="s">
        <v>873</v>
      </c>
      <c r="B528" s="165" t="s">
        <v>3372</v>
      </c>
      <c r="C528" s="165" t="s">
        <v>23</v>
      </c>
      <c r="D528" s="165" t="s">
        <v>874</v>
      </c>
      <c r="E528" s="165" t="s">
        <v>4530</v>
      </c>
      <c r="F528" s="165" t="s">
        <v>11</v>
      </c>
      <c r="G528" s="165" t="s">
        <v>8</v>
      </c>
      <c r="H528" s="165" t="s">
        <v>176</v>
      </c>
      <c r="I528" s="165" t="s">
        <v>3803</v>
      </c>
      <c r="J528" s="165" t="s">
        <v>4116</v>
      </c>
      <c r="K528" s="165"/>
      <c r="L528" s="165"/>
      <c r="M528" s="165"/>
      <c r="N528" s="165"/>
      <c r="O528" s="165"/>
      <c r="P528" s="165"/>
      <c r="Q528" s="165"/>
      <c r="R528" s="165" t="s">
        <v>3842</v>
      </c>
      <c r="S528" s="165"/>
      <c r="T528" s="165"/>
      <c r="U528" s="165" t="s">
        <v>3807</v>
      </c>
      <c r="V528" s="165"/>
      <c r="W528" s="165"/>
      <c r="X528" s="165"/>
      <c r="Y528">
        <v>2</v>
      </c>
      <c r="Z528" s="165" t="s">
        <v>3843</v>
      </c>
      <c r="AA528" s="165" t="s">
        <v>3811</v>
      </c>
      <c r="AB528" s="165" t="s">
        <v>3810</v>
      </c>
      <c r="AC528" s="165" t="s">
        <v>3809</v>
      </c>
      <c r="AD528" s="165" t="s">
        <v>4230</v>
      </c>
      <c r="AE528">
        <v>97</v>
      </c>
      <c r="AF528" s="165" t="s">
        <v>4231</v>
      </c>
      <c r="AG528">
        <v>539</v>
      </c>
      <c r="AH528">
        <v>358</v>
      </c>
      <c r="AI528">
        <v>56.9</v>
      </c>
      <c r="AJ528">
        <v>38.799999999999997</v>
      </c>
      <c r="AK528" s="165" t="s">
        <v>4232</v>
      </c>
      <c r="AN528">
        <v>8</v>
      </c>
      <c r="AO528">
        <v>4</v>
      </c>
      <c r="AP528">
        <v>32</v>
      </c>
      <c r="AQ528" s="165" t="s">
        <v>3815</v>
      </c>
      <c r="AR528" t="s">
        <v>3830</v>
      </c>
      <c r="AS528" s="165" t="s">
        <v>30</v>
      </c>
      <c r="AT528" t="s">
        <v>5291</v>
      </c>
      <c r="AU528" t="s">
        <v>5291</v>
      </c>
    </row>
    <row r="529" spans="1:47" hidden="1" x14ac:dyDescent="0.25">
      <c r="A529" s="165" t="s">
        <v>891</v>
      </c>
      <c r="B529" s="165" t="s">
        <v>4988</v>
      </c>
      <c r="C529" s="165" t="s">
        <v>23</v>
      </c>
      <c r="D529" s="165" t="s">
        <v>892</v>
      </c>
      <c r="E529" s="165" t="s">
        <v>4989</v>
      </c>
      <c r="F529" s="165" t="s">
        <v>3850</v>
      </c>
      <c r="G529" s="165" t="s">
        <v>8</v>
      </c>
      <c r="H529" s="165" t="s">
        <v>241</v>
      </c>
      <c r="I529" s="165" t="s">
        <v>3819</v>
      </c>
      <c r="J529" s="165" t="s">
        <v>4211</v>
      </c>
      <c r="K529" s="165"/>
      <c r="L529" s="165"/>
      <c r="M529" s="165"/>
      <c r="N529" s="165"/>
      <c r="O529" s="165"/>
      <c r="P529" s="165"/>
      <c r="Q529" s="165"/>
      <c r="R529" s="165"/>
      <c r="S529" s="165" t="s">
        <v>3902</v>
      </c>
      <c r="T529" s="165"/>
      <c r="U529" s="165"/>
      <c r="V529" s="165"/>
      <c r="W529" s="165"/>
      <c r="X529" s="165" t="s">
        <v>2428</v>
      </c>
      <c r="Y529">
        <v>2</v>
      </c>
      <c r="Z529" s="165" t="s">
        <v>3903</v>
      </c>
      <c r="AA529" s="165" t="s">
        <v>3811</v>
      </c>
      <c r="AB529" s="165" t="s">
        <v>3810</v>
      </c>
      <c r="AC529" s="165" t="s">
        <v>3809</v>
      </c>
      <c r="AD529" s="165" t="s">
        <v>4990</v>
      </c>
      <c r="AE529">
        <v>10</v>
      </c>
      <c r="AF529" s="165" t="s">
        <v>4991</v>
      </c>
      <c r="AG529">
        <v>53</v>
      </c>
      <c r="AH529">
        <v>37</v>
      </c>
      <c r="AI529">
        <v>56</v>
      </c>
      <c r="AJ529">
        <v>40</v>
      </c>
      <c r="AK529" s="165" t="s">
        <v>4992</v>
      </c>
      <c r="AN529">
        <v>2</v>
      </c>
      <c r="AO529">
        <v>4</v>
      </c>
      <c r="AP529">
        <v>8</v>
      </c>
      <c r="AQ529" s="165" t="s">
        <v>3815</v>
      </c>
      <c r="AR529" t="s">
        <v>3907</v>
      </c>
      <c r="AS529" s="165" t="s">
        <v>30</v>
      </c>
      <c r="AT529" t="s">
        <v>5291</v>
      </c>
      <c r="AU529" t="s">
        <v>5291</v>
      </c>
    </row>
    <row r="530" spans="1:47" hidden="1" x14ac:dyDescent="0.25">
      <c r="A530" s="165" t="s">
        <v>3291</v>
      </c>
      <c r="B530" s="165" t="s">
        <v>3290</v>
      </c>
      <c r="C530" s="165" t="s">
        <v>23</v>
      </c>
      <c r="D530" s="165" t="s">
        <v>4993</v>
      </c>
      <c r="E530" s="165" t="s">
        <v>4994</v>
      </c>
      <c r="F530" s="165" t="s">
        <v>3850</v>
      </c>
      <c r="G530" s="165" t="s">
        <v>8</v>
      </c>
      <c r="H530" s="165" t="s">
        <v>241</v>
      </c>
      <c r="I530" s="165" t="s">
        <v>3819</v>
      </c>
      <c r="J530" s="165" t="s">
        <v>4211</v>
      </c>
      <c r="K530" s="165"/>
      <c r="L530" s="165"/>
      <c r="M530" s="165"/>
      <c r="N530" s="165"/>
      <c r="O530" s="165"/>
      <c r="P530" s="165"/>
      <c r="Q530" s="165"/>
      <c r="R530" s="165"/>
      <c r="S530" s="165" t="s">
        <v>3902</v>
      </c>
      <c r="T530" s="165"/>
      <c r="U530" s="165"/>
      <c r="V530" s="165"/>
      <c r="W530" s="165"/>
      <c r="X530" s="165" t="s">
        <v>2428</v>
      </c>
      <c r="Y530">
        <v>2</v>
      </c>
      <c r="Z530" s="165" t="s">
        <v>3903</v>
      </c>
      <c r="AA530" s="165" t="s">
        <v>3811</v>
      </c>
      <c r="AB530" s="165" t="s">
        <v>3810</v>
      </c>
      <c r="AC530" s="165" t="s">
        <v>3809</v>
      </c>
      <c r="AD530" s="165" t="s">
        <v>4990</v>
      </c>
      <c r="AE530">
        <v>10</v>
      </c>
      <c r="AF530" s="165" t="s">
        <v>4991</v>
      </c>
      <c r="AG530">
        <v>53</v>
      </c>
      <c r="AH530">
        <v>37</v>
      </c>
      <c r="AI530">
        <v>56</v>
      </c>
      <c r="AJ530">
        <v>40</v>
      </c>
      <c r="AK530" s="165" t="s">
        <v>4992</v>
      </c>
      <c r="AN530">
        <v>2</v>
      </c>
      <c r="AO530">
        <v>4</v>
      </c>
      <c r="AP530">
        <v>8</v>
      </c>
      <c r="AQ530" s="165" t="s">
        <v>3815</v>
      </c>
      <c r="AR530" t="s">
        <v>3928</v>
      </c>
      <c r="AS530" s="165" t="s">
        <v>30</v>
      </c>
      <c r="AT530" t="s">
        <v>5291</v>
      </c>
      <c r="AU530" t="s">
        <v>5291</v>
      </c>
    </row>
    <row r="531" spans="1:47" hidden="1" x14ac:dyDescent="0.25">
      <c r="A531" s="165" t="s">
        <v>774</v>
      </c>
      <c r="B531" s="165" t="s">
        <v>4995</v>
      </c>
      <c r="C531" s="165" t="s">
        <v>23</v>
      </c>
      <c r="D531" s="165" t="s">
        <v>775</v>
      </c>
      <c r="E531" s="165" t="s">
        <v>4996</v>
      </c>
      <c r="F531" s="165" t="s">
        <v>3850</v>
      </c>
      <c r="G531" s="165" t="s">
        <v>8</v>
      </c>
      <c r="H531" s="165" t="s">
        <v>241</v>
      </c>
      <c r="I531" s="165" t="s">
        <v>3819</v>
      </c>
      <c r="J531" s="165" t="s">
        <v>4211</v>
      </c>
      <c r="K531" s="165"/>
      <c r="L531" s="165"/>
      <c r="M531" s="165"/>
      <c r="N531" s="165"/>
      <c r="O531" s="165"/>
      <c r="P531" s="165"/>
      <c r="Q531" s="165"/>
      <c r="R531" s="165"/>
      <c r="S531" s="165" t="s">
        <v>3902</v>
      </c>
      <c r="T531" s="165"/>
      <c r="U531" s="165"/>
      <c r="V531" s="165"/>
      <c r="W531" s="165"/>
      <c r="X531" s="165" t="s">
        <v>2428</v>
      </c>
      <c r="Y531">
        <v>2</v>
      </c>
      <c r="Z531" s="165" t="s">
        <v>3903</v>
      </c>
      <c r="AA531" s="165" t="s">
        <v>3811</v>
      </c>
      <c r="AB531" s="165" t="s">
        <v>3810</v>
      </c>
      <c r="AC531" s="165" t="s">
        <v>3809</v>
      </c>
      <c r="AD531" s="165" t="s">
        <v>4997</v>
      </c>
      <c r="AE531">
        <v>21</v>
      </c>
      <c r="AF531" s="165" t="s">
        <v>4998</v>
      </c>
      <c r="AG531">
        <v>545</v>
      </c>
      <c r="AH531">
        <v>378</v>
      </c>
      <c r="AI531">
        <v>57.5</v>
      </c>
      <c r="AJ531">
        <v>40.799999999999997</v>
      </c>
      <c r="AK531" s="165" t="s">
        <v>4999</v>
      </c>
      <c r="AL531">
        <v>54.5</v>
      </c>
      <c r="AM531">
        <v>40</v>
      </c>
      <c r="AN531">
        <v>2</v>
      </c>
      <c r="AO531">
        <v>4</v>
      </c>
      <c r="AP531">
        <v>8</v>
      </c>
      <c r="AQ531" s="165" t="s">
        <v>3815</v>
      </c>
      <c r="AR531" t="s">
        <v>3998</v>
      </c>
      <c r="AS531" s="165" t="s">
        <v>30</v>
      </c>
      <c r="AT531" t="s">
        <v>5291</v>
      </c>
      <c r="AU531" t="s">
        <v>5291</v>
      </c>
    </row>
    <row r="532" spans="1:47" hidden="1" x14ac:dyDescent="0.25">
      <c r="A532" s="165" t="s">
        <v>947</v>
      </c>
      <c r="B532" s="165" t="s">
        <v>5000</v>
      </c>
      <c r="C532" s="165" t="s">
        <v>23</v>
      </c>
      <c r="D532" s="165" t="s">
        <v>948</v>
      </c>
      <c r="E532" s="165" t="s">
        <v>4148</v>
      </c>
      <c r="F532" s="165" t="s">
        <v>3850</v>
      </c>
      <c r="G532" s="165" t="s">
        <v>8</v>
      </c>
      <c r="H532" s="165" t="s">
        <v>241</v>
      </c>
      <c r="I532" s="165" t="s">
        <v>3819</v>
      </c>
      <c r="J532" s="165" t="s">
        <v>4211</v>
      </c>
      <c r="K532" s="165"/>
      <c r="L532" s="165"/>
      <c r="M532" s="165"/>
      <c r="N532" s="165"/>
      <c r="O532" s="165"/>
      <c r="P532" s="165"/>
      <c r="Q532" s="165"/>
      <c r="R532" s="165"/>
      <c r="S532" s="165" t="s">
        <v>3902</v>
      </c>
      <c r="T532" s="165"/>
      <c r="U532" s="165"/>
      <c r="V532" s="165"/>
      <c r="W532" s="165"/>
      <c r="X532" s="165" t="s">
        <v>2428</v>
      </c>
      <c r="Y532">
        <v>2</v>
      </c>
      <c r="Z532" s="165" t="s">
        <v>3903</v>
      </c>
      <c r="AA532" s="165" t="s">
        <v>3811</v>
      </c>
      <c r="AB532" s="165" t="s">
        <v>3810</v>
      </c>
      <c r="AC532" s="165" t="s">
        <v>3809</v>
      </c>
      <c r="AD532" s="165" t="s">
        <v>4997</v>
      </c>
      <c r="AE532">
        <v>21</v>
      </c>
      <c r="AF532" s="165" t="s">
        <v>4998</v>
      </c>
      <c r="AG532">
        <v>545</v>
      </c>
      <c r="AH532">
        <v>378</v>
      </c>
      <c r="AI532">
        <v>57.5</v>
      </c>
      <c r="AJ532">
        <v>40.799999999999997</v>
      </c>
      <c r="AK532" s="165" t="s">
        <v>4999</v>
      </c>
      <c r="AL532">
        <v>54.5</v>
      </c>
      <c r="AM532">
        <v>40</v>
      </c>
      <c r="AN532">
        <v>2</v>
      </c>
      <c r="AO532">
        <v>4</v>
      </c>
      <c r="AP532">
        <v>8</v>
      </c>
      <c r="AQ532" s="165" t="s">
        <v>3815</v>
      </c>
      <c r="AR532" t="s">
        <v>3930</v>
      </c>
      <c r="AS532" s="165" t="s">
        <v>30</v>
      </c>
      <c r="AT532" t="s">
        <v>5291</v>
      </c>
      <c r="AU532" t="s">
        <v>5291</v>
      </c>
    </row>
    <row r="533" spans="1:47" hidden="1" x14ac:dyDescent="0.25">
      <c r="A533" s="165" t="s">
        <v>1104</v>
      </c>
      <c r="B533" s="165" t="s">
        <v>5001</v>
      </c>
      <c r="C533" s="165" t="s">
        <v>23</v>
      </c>
      <c r="D533" s="165" t="s">
        <v>1105</v>
      </c>
      <c r="E533" s="165" t="s">
        <v>5002</v>
      </c>
      <c r="F533" s="165" t="s">
        <v>3850</v>
      </c>
      <c r="G533" s="165" t="s">
        <v>8</v>
      </c>
      <c r="H533" s="165" t="s">
        <v>241</v>
      </c>
      <c r="I533" s="165" t="s">
        <v>3819</v>
      </c>
      <c r="J533" s="165" t="s">
        <v>4211</v>
      </c>
      <c r="K533" s="165"/>
      <c r="L533" s="165"/>
      <c r="M533" s="165"/>
      <c r="N533" s="165"/>
      <c r="O533" s="165"/>
      <c r="P533" s="165"/>
      <c r="Q533" s="165"/>
      <c r="R533" s="165"/>
      <c r="S533" s="165" t="s">
        <v>3902</v>
      </c>
      <c r="T533" s="165"/>
      <c r="U533" s="165"/>
      <c r="V533" s="165"/>
      <c r="W533" s="165"/>
      <c r="X533" s="165" t="s">
        <v>2428</v>
      </c>
      <c r="Y533">
        <v>2</v>
      </c>
      <c r="Z533" s="165" t="s">
        <v>3903</v>
      </c>
      <c r="AA533" s="165" t="s">
        <v>3811</v>
      </c>
      <c r="AB533" s="165" t="s">
        <v>3810</v>
      </c>
      <c r="AC533" s="165" t="s">
        <v>3809</v>
      </c>
      <c r="AD533" s="165" t="s">
        <v>4997</v>
      </c>
      <c r="AE533">
        <v>21</v>
      </c>
      <c r="AF533" s="165" t="s">
        <v>4998</v>
      </c>
      <c r="AG533">
        <v>545</v>
      </c>
      <c r="AH533">
        <v>378</v>
      </c>
      <c r="AI533">
        <v>57.5</v>
      </c>
      <c r="AJ533">
        <v>40.799999999999997</v>
      </c>
      <c r="AK533" s="165" t="s">
        <v>4999</v>
      </c>
      <c r="AL533">
        <v>54.5</v>
      </c>
      <c r="AM533">
        <v>40</v>
      </c>
      <c r="AN533">
        <v>2</v>
      </c>
      <c r="AO533">
        <v>4</v>
      </c>
      <c r="AP533">
        <v>8</v>
      </c>
      <c r="AQ533" s="165" t="s">
        <v>3815</v>
      </c>
      <c r="AR533" t="s">
        <v>3998</v>
      </c>
      <c r="AS533" s="165" t="s">
        <v>30</v>
      </c>
      <c r="AT533" t="s">
        <v>5291</v>
      </c>
      <c r="AU533" t="s">
        <v>5291</v>
      </c>
    </row>
    <row r="534" spans="1:47" hidden="1" x14ac:dyDescent="0.25">
      <c r="A534" s="165" t="s">
        <v>5003</v>
      </c>
      <c r="B534" s="165" t="s">
        <v>88</v>
      </c>
      <c r="C534" s="165" t="s">
        <v>23</v>
      </c>
      <c r="D534" s="165" t="s">
        <v>5004</v>
      </c>
      <c r="E534" s="165" t="s">
        <v>4328</v>
      </c>
      <c r="F534" s="165" t="s">
        <v>3850</v>
      </c>
      <c r="G534" s="165" t="s">
        <v>8</v>
      </c>
      <c r="H534" s="165" t="s">
        <v>241</v>
      </c>
      <c r="I534" s="165" t="s">
        <v>3819</v>
      </c>
      <c r="J534" s="165" t="s">
        <v>4211</v>
      </c>
      <c r="K534" s="165"/>
      <c r="L534" s="165"/>
      <c r="M534" s="165"/>
      <c r="N534" s="165"/>
      <c r="O534" s="165"/>
      <c r="P534" s="165"/>
      <c r="Q534" s="165"/>
      <c r="R534" s="165"/>
      <c r="S534" s="165" t="s">
        <v>3902</v>
      </c>
      <c r="T534" s="165"/>
      <c r="U534" s="165"/>
      <c r="V534" s="165"/>
      <c r="W534" s="165"/>
      <c r="X534" s="165" t="s">
        <v>2428</v>
      </c>
      <c r="Y534">
        <v>2</v>
      </c>
      <c r="Z534" s="165" t="s">
        <v>3903</v>
      </c>
      <c r="AA534" s="165" t="s">
        <v>3811</v>
      </c>
      <c r="AB534" s="165" t="s">
        <v>3810</v>
      </c>
      <c r="AC534" s="165" t="s">
        <v>3809</v>
      </c>
      <c r="AD534" s="165" t="s">
        <v>4997</v>
      </c>
      <c r="AE534">
        <v>21</v>
      </c>
      <c r="AF534" s="165" t="s">
        <v>4998</v>
      </c>
      <c r="AG534">
        <v>545</v>
      </c>
      <c r="AH534">
        <v>378</v>
      </c>
      <c r="AI534">
        <v>57.5</v>
      </c>
      <c r="AJ534">
        <v>40.799999999999997</v>
      </c>
      <c r="AK534" s="165" t="s">
        <v>4999</v>
      </c>
      <c r="AL534">
        <v>54.5</v>
      </c>
      <c r="AM534">
        <v>40</v>
      </c>
      <c r="AN534">
        <v>2</v>
      </c>
      <c r="AO534">
        <v>4</v>
      </c>
      <c r="AP534">
        <v>8</v>
      </c>
      <c r="AQ534" s="165" t="s">
        <v>3815</v>
      </c>
      <c r="AR534" t="s">
        <v>3930</v>
      </c>
      <c r="AS534" s="165" t="s">
        <v>30</v>
      </c>
      <c r="AT534" t="s">
        <v>5291</v>
      </c>
      <c r="AU534" t="s">
        <v>5291</v>
      </c>
    </row>
    <row r="535" spans="1:47" hidden="1" x14ac:dyDescent="0.25">
      <c r="A535" s="165" t="s">
        <v>1236</v>
      </c>
      <c r="B535" s="165" t="s">
        <v>3366</v>
      </c>
      <c r="C535" s="165" t="s">
        <v>23</v>
      </c>
      <c r="D535" s="165" t="s">
        <v>1237</v>
      </c>
      <c r="E535" s="165" t="s">
        <v>4210</v>
      </c>
      <c r="F535" s="165" t="s">
        <v>3850</v>
      </c>
      <c r="G535" s="165" t="s">
        <v>8</v>
      </c>
      <c r="H535" s="165" t="s">
        <v>241</v>
      </c>
      <c r="I535" s="165" t="s">
        <v>3819</v>
      </c>
      <c r="J535" s="165" t="s">
        <v>4211</v>
      </c>
      <c r="K535" s="165"/>
      <c r="L535" s="165"/>
      <c r="M535" s="165"/>
      <c r="N535" s="165"/>
      <c r="O535" s="165"/>
      <c r="P535" s="165"/>
      <c r="Q535" s="165"/>
      <c r="R535" s="165"/>
      <c r="S535" s="165" t="s">
        <v>3902</v>
      </c>
      <c r="T535" s="165"/>
      <c r="U535" s="165"/>
      <c r="V535" s="165"/>
      <c r="W535" s="165"/>
      <c r="X535" s="165" t="s">
        <v>2428</v>
      </c>
      <c r="Y535">
        <v>2</v>
      </c>
      <c r="Z535" s="165" t="s">
        <v>3903</v>
      </c>
      <c r="AA535" s="165" t="s">
        <v>3811</v>
      </c>
      <c r="AB535" s="165" t="s">
        <v>3810</v>
      </c>
      <c r="AC535" s="165" t="s">
        <v>3809</v>
      </c>
      <c r="AD535" s="165" t="s">
        <v>4997</v>
      </c>
      <c r="AE535">
        <v>21</v>
      </c>
      <c r="AF535" s="165" t="s">
        <v>4998</v>
      </c>
      <c r="AG535">
        <v>545</v>
      </c>
      <c r="AH535">
        <v>378</v>
      </c>
      <c r="AI535">
        <v>57.5</v>
      </c>
      <c r="AJ535">
        <v>40.799999999999997</v>
      </c>
      <c r="AK535" s="165" t="s">
        <v>4999</v>
      </c>
      <c r="AL535">
        <v>54.5</v>
      </c>
      <c r="AM535">
        <v>40</v>
      </c>
      <c r="AN535">
        <v>2</v>
      </c>
      <c r="AO535">
        <v>4</v>
      </c>
      <c r="AP535">
        <v>8</v>
      </c>
      <c r="AQ535" s="165" t="s">
        <v>3815</v>
      </c>
      <c r="AR535" t="s">
        <v>3930</v>
      </c>
      <c r="AS535" s="165" t="s">
        <v>30</v>
      </c>
      <c r="AT535" t="s">
        <v>5291</v>
      </c>
      <c r="AU535" t="s">
        <v>5291</v>
      </c>
    </row>
    <row r="536" spans="1:47" hidden="1" x14ac:dyDescent="0.25">
      <c r="A536" s="165" t="s">
        <v>1242</v>
      </c>
      <c r="B536" s="165" t="s">
        <v>3376</v>
      </c>
      <c r="C536" s="165" t="s">
        <v>23</v>
      </c>
      <c r="D536" s="165" t="s">
        <v>1243</v>
      </c>
      <c r="E536" s="165" t="s">
        <v>4177</v>
      </c>
      <c r="F536" s="165" t="s">
        <v>3850</v>
      </c>
      <c r="G536" s="165" t="s">
        <v>8</v>
      </c>
      <c r="H536" s="165" t="s">
        <v>241</v>
      </c>
      <c r="I536" s="165" t="s">
        <v>3819</v>
      </c>
      <c r="J536" s="165" t="s">
        <v>4211</v>
      </c>
      <c r="K536" s="165"/>
      <c r="L536" s="165"/>
      <c r="M536" s="165"/>
      <c r="N536" s="165"/>
      <c r="O536" s="165"/>
      <c r="P536" s="165"/>
      <c r="Q536" s="165"/>
      <c r="R536" s="165"/>
      <c r="S536" s="165" t="s">
        <v>3902</v>
      </c>
      <c r="T536" s="165"/>
      <c r="U536" s="165"/>
      <c r="V536" s="165"/>
      <c r="W536" s="165"/>
      <c r="X536" s="165" t="s">
        <v>2428</v>
      </c>
      <c r="Y536">
        <v>2</v>
      </c>
      <c r="Z536" s="165" t="s">
        <v>3903</v>
      </c>
      <c r="AA536" s="165" t="s">
        <v>3811</v>
      </c>
      <c r="AB536" s="165" t="s">
        <v>3810</v>
      </c>
      <c r="AC536" s="165" t="s">
        <v>3809</v>
      </c>
      <c r="AD536" s="165" t="s">
        <v>4997</v>
      </c>
      <c r="AE536">
        <v>21</v>
      </c>
      <c r="AF536" s="165" t="s">
        <v>4998</v>
      </c>
      <c r="AG536">
        <v>545</v>
      </c>
      <c r="AH536">
        <v>378</v>
      </c>
      <c r="AI536">
        <v>57.5</v>
      </c>
      <c r="AJ536">
        <v>40.799999999999997</v>
      </c>
      <c r="AK536" s="165" t="s">
        <v>4999</v>
      </c>
      <c r="AL536">
        <v>54.5</v>
      </c>
      <c r="AM536">
        <v>40</v>
      </c>
      <c r="AN536">
        <v>2</v>
      </c>
      <c r="AO536">
        <v>4</v>
      </c>
      <c r="AP536">
        <v>8</v>
      </c>
      <c r="AQ536" s="165" t="s">
        <v>3815</v>
      </c>
      <c r="AR536" t="s">
        <v>3909</v>
      </c>
      <c r="AS536" s="165" t="s">
        <v>30</v>
      </c>
      <c r="AT536" t="s">
        <v>5291</v>
      </c>
      <c r="AU536" t="s">
        <v>5291</v>
      </c>
    </row>
    <row r="537" spans="1:47" hidden="1" x14ac:dyDescent="0.25">
      <c r="A537" s="165" t="s">
        <v>1001</v>
      </c>
      <c r="B537" s="165" t="s">
        <v>5005</v>
      </c>
      <c r="C537" s="165" t="s">
        <v>23</v>
      </c>
      <c r="D537" s="165" t="s">
        <v>1002</v>
      </c>
      <c r="E537" s="165" t="s">
        <v>5006</v>
      </c>
      <c r="F537" s="165" t="s">
        <v>11</v>
      </c>
      <c r="G537" s="165" t="s">
        <v>8</v>
      </c>
      <c r="H537" s="165" t="s">
        <v>241</v>
      </c>
      <c r="I537" s="165" t="s">
        <v>3803</v>
      </c>
      <c r="J537" s="165" t="s">
        <v>4011</v>
      </c>
      <c r="K537" s="165"/>
      <c r="L537" s="165"/>
      <c r="M537" s="165"/>
      <c r="N537" s="165"/>
      <c r="O537" s="165"/>
      <c r="P537" s="165"/>
      <c r="Q537" s="165"/>
      <c r="R537" s="165"/>
      <c r="S537" s="165" t="s">
        <v>3902</v>
      </c>
      <c r="T537" s="165"/>
      <c r="U537" s="165"/>
      <c r="V537" s="165"/>
      <c r="W537" s="165"/>
      <c r="X537" s="165" t="s">
        <v>2428</v>
      </c>
      <c r="Y537">
        <v>2</v>
      </c>
      <c r="Z537" s="165" t="s">
        <v>3903</v>
      </c>
      <c r="AA537" s="165" t="s">
        <v>3811</v>
      </c>
      <c r="AB537" s="165" t="s">
        <v>3810</v>
      </c>
      <c r="AC537" s="165" t="s">
        <v>3809</v>
      </c>
      <c r="AD537" s="165" t="s">
        <v>4149</v>
      </c>
      <c r="AE537">
        <v>92</v>
      </c>
      <c r="AF537" s="165" t="s">
        <v>4150</v>
      </c>
      <c r="AG537">
        <v>378</v>
      </c>
      <c r="AH537">
        <v>412</v>
      </c>
      <c r="AI537">
        <v>40.799999999999997</v>
      </c>
      <c r="AJ537">
        <v>44.2</v>
      </c>
      <c r="AK537" s="165" t="s">
        <v>4151</v>
      </c>
      <c r="AN537">
        <v>4</v>
      </c>
      <c r="AO537">
        <v>4</v>
      </c>
      <c r="AP537">
        <v>16</v>
      </c>
      <c r="AQ537" s="165" t="s">
        <v>3815</v>
      </c>
      <c r="AR537" t="s">
        <v>4009</v>
      </c>
      <c r="AS537" s="165" t="s">
        <v>30</v>
      </c>
      <c r="AT537" t="s">
        <v>5291</v>
      </c>
      <c r="AU537" t="s">
        <v>5291</v>
      </c>
    </row>
    <row r="538" spans="1:47" hidden="1" x14ac:dyDescent="0.25">
      <c r="A538" s="165" t="s">
        <v>1218</v>
      </c>
      <c r="B538" s="165" t="s">
        <v>5007</v>
      </c>
      <c r="C538" s="165" t="s">
        <v>23</v>
      </c>
      <c r="D538" s="165" t="s">
        <v>5008</v>
      </c>
      <c r="E538" s="165" t="s">
        <v>4521</v>
      </c>
      <c r="F538" s="165" t="s">
        <v>11</v>
      </c>
      <c r="G538" s="165" t="s">
        <v>8</v>
      </c>
      <c r="H538" s="165" t="s">
        <v>241</v>
      </c>
      <c r="I538" s="165" t="s">
        <v>3803</v>
      </c>
      <c r="J538" s="165" t="s">
        <v>4011</v>
      </c>
      <c r="K538" s="165"/>
      <c r="L538" s="165"/>
      <c r="M538" s="165"/>
      <c r="N538" s="165"/>
      <c r="O538" s="165"/>
      <c r="P538" s="165"/>
      <c r="Q538" s="165"/>
      <c r="R538" s="165"/>
      <c r="S538" s="165" t="s">
        <v>3902</v>
      </c>
      <c r="T538" s="165"/>
      <c r="U538" s="165"/>
      <c r="V538" s="165"/>
      <c r="W538" s="165"/>
      <c r="X538" s="165" t="s">
        <v>2428</v>
      </c>
      <c r="Y538">
        <v>2</v>
      </c>
      <c r="Z538" s="165" t="s">
        <v>3903</v>
      </c>
      <c r="AA538" s="165" t="s">
        <v>3811</v>
      </c>
      <c r="AB538" s="165" t="s">
        <v>3810</v>
      </c>
      <c r="AC538" s="165" t="s">
        <v>3809</v>
      </c>
      <c r="AD538" s="165" t="s">
        <v>4149</v>
      </c>
      <c r="AE538">
        <v>92</v>
      </c>
      <c r="AF538" s="165" t="s">
        <v>4150</v>
      </c>
      <c r="AG538">
        <v>378</v>
      </c>
      <c r="AH538">
        <v>412</v>
      </c>
      <c r="AI538">
        <v>40.799999999999997</v>
      </c>
      <c r="AJ538">
        <v>44.2</v>
      </c>
      <c r="AK538" s="165" t="s">
        <v>4151</v>
      </c>
      <c r="AN538">
        <v>4</v>
      </c>
      <c r="AO538">
        <v>4</v>
      </c>
      <c r="AP538">
        <v>16</v>
      </c>
      <c r="AQ538" s="165" t="s">
        <v>3815</v>
      </c>
      <c r="AR538" t="s">
        <v>4009</v>
      </c>
      <c r="AS538" s="165" t="s">
        <v>30</v>
      </c>
      <c r="AT538" t="s">
        <v>5291</v>
      </c>
      <c r="AU538" t="s">
        <v>5291</v>
      </c>
    </row>
    <row r="539" spans="1:47" hidden="1" x14ac:dyDescent="0.25">
      <c r="A539" s="165" t="s">
        <v>1480</v>
      </c>
      <c r="B539" s="165" t="s">
        <v>5009</v>
      </c>
      <c r="C539" s="165" t="s">
        <v>23</v>
      </c>
      <c r="D539" s="165" t="s">
        <v>1481</v>
      </c>
      <c r="E539" s="165" t="s">
        <v>3951</v>
      </c>
      <c r="F539" s="165" t="s">
        <v>11</v>
      </c>
      <c r="G539" s="165" t="s">
        <v>8</v>
      </c>
      <c r="H539" s="165" t="s">
        <v>241</v>
      </c>
      <c r="I539" s="165" t="s">
        <v>3803</v>
      </c>
      <c r="J539" s="165" t="s">
        <v>4011</v>
      </c>
      <c r="K539" s="165"/>
      <c r="L539" s="165"/>
      <c r="M539" s="165"/>
      <c r="N539" s="165"/>
      <c r="O539" s="165"/>
      <c r="P539" s="165"/>
      <c r="Q539" s="165"/>
      <c r="R539" s="165"/>
      <c r="S539" s="165" t="s">
        <v>3902</v>
      </c>
      <c r="T539" s="165"/>
      <c r="U539" s="165"/>
      <c r="V539" s="165"/>
      <c r="W539" s="165"/>
      <c r="X539" s="165" t="s">
        <v>2428</v>
      </c>
      <c r="Y539">
        <v>2</v>
      </c>
      <c r="Z539" s="165" t="s">
        <v>3903</v>
      </c>
      <c r="AA539" s="165" t="s">
        <v>3811</v>
      </c>
      <c r="AB539" s="165" t="s">
        <v>3810</v>
      </c>
      <c r="AC539" s="165" t="s">
        <v>3809</v>
      </c>
      <c r="AD539" s="165" t="s">
        <v>5010</v>
      </c>
      <c r="AE539">
        <v>29</v>
      </c>
      <c r="AF539" s="165" t="s">
        <v>5011</v>
      </c>
      <c r="AG539">
        <v>547</v>
      </c>
      <c r="AH539">
        <v>381</v>
      </c>
      <c r="AI539">
        <v>57.7</v>
      </c>
      <c r="AJ539">
        <v>41.1</v>
      </c>
      <c r="AK539" s="165" t="s">
        <v>5012</v>
      </c>
      <c r="AN539">
        <v>4</v>
      </c>
      <c r="AO539">
        <v>4</v>
      </c>
      <c r="AP539">
        <v>16</v>
      </c>
      <c r="AQ539" s="165" t="s">
        <v>3815</v>
      </c>
      <c r="AR539" t="s">
        <v>3994</v>
      </c>
      <c r="AS539" s="165" t="s">
        <v>30</v>
      </c>
      <c r="AT539" t="s">
        <v>5291</v>
      </c>
      <c r="AU539" t="s">
        <v>5291</v>
      </c>
    </row>
    <row r="540" spans="1:47" hidden="1" x14ac:dyDescent="0.25">
      <c r="A540" s="165" t="s">
        <v>1709</v>
      </c>
      <c r="B540" s="165" t="s">
        <v>5013</v>
      </c>
      <c r="C540" s="165" t="s">
        <v>23</v>
      </c>
      <c r="D540" s="165" t="s">
        <v>1710</v>
      </c>
      <c r="E540" s="165" t="s">
        <v>5014</v>
      </c>
      <c r="F540" s="165" t="s">
        <v>11</v>
      </c>
      <c r="G540" s="165" t="s">
        <v>8</v>
      </c>
      <c r="H540" s="165" t="s">
        <v>176</v>
      </c>
      <c r="I540" s="165" t="s">
        <v>3803</v>
      </c>
      <c r="J540" s="165" t="s">
        <v>4116</v>
      </c>
      <c r="K540" s="165"/>
      <c r="L540" s="165"/>
      <c r="M540" s="165"/>
      <c r="N540" s="165"/>
      <c r="O540" s="165"/>
      <c r="P540" s="165"/>
      <c r="Q540" s="165"/>
      <c r="R540" s="165" t="s">
        <v>3842</v>
      </c>
      <c r="S540" s="165"/>
      <c r="T540" s="165"/>
      <c r="U540" s="165" t="s">
        <v>3807</v>
      </c>
      <c r="V540" s="165"/>
      <c r="W540" s="165"/>
      <c r="X540" s="165"/>
      <c r="Y540">
        <v>2</v>
      </c>
      <c r="Z540" s="165" t="s">
        <v>3843</v>
      </c>
      <c r="AA540" s="165" t="s">
        <v>3811</v>
      </c>
      <c r="AB540" s="165" t="s">
        <v>3810</v>
      </c>
      <c r="AC540" s="165" t="s">
        <v>3809</v>
      </c>
      <c r="AD540" s="165" t="s">
        <v>4149</v>
      </c>
      <c r="AE540">
        <v>92</v>
      </c>
      <c r="AF540" s="165" t="s">
        <v>4150</v>
      </c>
      <c r="AG540">
        <v>378</v>
      </c>
      <c r="AH540">
        <v>412</v>
      </c>
      <c r="AI540">
        <v>40.799999999999997</v>
      </c>
      <c r="AJ540">
        <v>44.2</v>
      </c>
      <c r="AK540" s="165" t="s">
        <v>4151</v>
      </c>
      <c r="AN540">
        <v>4</v>
      </c>
      <c r="AO540">
        <v>4</v>
      </c>
      <c r="AP540">
        <v>16</v>
      </c>
      <c r="AQ540" s="165" t="s">
        <v>3815</v>
      </c>
      <c r="AR540" t="s">
        <v>3971</v>
      </c>
      <c r="AS540" s="165" t="s">
        <v>30</v>
      </c>
      <c r="AT540" t="s">
        <v>5291</v>
      </c>
      <c r="AU540" t="s">
        <v>5291</v>
      </c>
    </row>
    <row r="541" spans="1:47" hidden="1" x14ac:dyDescent="0.25">
      <c r="A541" s="165" t="s">
        <v>1005</v>
      </c>
      <c r="B541" s="165" t="s">
        <v>5015</v>
      </c>
      <c r="C541" s="165" t="s">
        <v>23</v>
      </c>
      <c r="D541" s="165" t="s">
        <v>1006</v>
      </c>
      <c r="E541" s="165" t="s">
        <v>4115</v>
      </c>
      <c r="F541" s="165" t="s">
        <v>11</v>
      </c>
      <c r="G541" s="165" t="s">
        <v>8</v>
      </c>
      <c r="H541" s="165" t="s">
        <v>176</v>
      </c>
      <c r="I541" s="165" t="s">
        <v>3803</v>
      </c>
      <c r="J541" s="165" t="s">
        <v>4116</v>
      </c>
      <c r="K541" s="165"/>
      <c r="L541" s="165"/>
      <c r="M541" s="165"/>
      <c r="N541" s="165"/>
      <c r="O541" s="165"/>
      <c r="P541" s="165"/>
      <c r="Q541" s="165"/>
      <c r="R541" s="165" t="s">
        <v>3842</v>
      </c>
      <c r="S541" s="165"/>
      <c r="T541" s="165"/>
      <c r="U541" s="165" t="s">
        <v>3807</v>
      </c>
      <c r="V541" s="165"/>
      <c r="W541" s="165"/>
      <c r="X541" s="165"/>
      <c r="Y541">
        <v>2</v>
      </c>
      <c r="Z541" s="165" t="s">
        <v>3843</v>
      </c>
      <c r="AA541" s="165" t="s">
        <v>3811</v>
      </c>
      <c r="AB541" s="165" t="s">
        <v>3810</v>
      </c>
      <c r="AC541" s="165" t="s">
        <v>3809</v>
      </c>
      <c r="AD541" s="165" t="s">
        <v>4149</v>
      </c>
      <c r="AE541">
        <v>92</v>
      </c>
      <c r="AF541" s="165" t="s">
        <v>4150</v>
      </c>
      <c r="AG541">
        <v>378</v>
      </c>
      <c r="AH541">
        <v>412</v>
      </c>
      <c r="AI541">
        <v>40.799999999999997</v>
      </c>
      <c r="AJ541">
        <v>44.2</v>
      </c>
      <c r="AK541" s="165" t="s">
        <v>4151</v>
      </c>
      <c r="AN541">
        <v>4</v>
      </c>
      <c r="AO541">
        <v>4</v>
      </c>
      <c r="AP541">
        <v>16</v>
      </c>
      <c r="AQ541" s="165" t="s">
        <v>3815</v>
      </c>
      <c r="AR541" t="s">
        <v>4009</v>
      </c>
      <c r="AS541" s="165" t="s">
        <v>30</v>
      </c>
      <c r="AT541" t="s">
        <v>5291</v>
      </c>
      <c r="AU541" t="s">
        <v>5291</v>
      </c>
    </row>
    <row r="542" spans="1:47" x14ac:dyDescent="0.25">
      <c r="A542" s="165" t="s">
        <v>1381</v>
      </c>
      <c r="B542" s="165" t="s">
        <v>5016</v>
      </c>
      <c r="C542" s="165" t="s">
        <v>23</v>
      </c>
      <c r="D542" s="165" t="s">
        <v>5017</v>
      </c>
      <c r="E542" s="165" t="s">
        <v>4337</v>
      </c>
      <c r="F542" s="165" t="s">
        <v>11</v>
      </c>
      <c r="G542" s="165" t="s">
        <v>3878</v>
      </c>
      <c r="H542" s="165" t="s">
        <v>263</v>
      </c>
      <c r="I542" s="165" t="s">
        <v>3821</v>
      </c>
      <c r="J542" s="165" t="s">
        <v>3879</v>
      </c>
      <c r="K542" s="165"/>
      <c r="L542" s="165"/>
      <c r="M542" s="165"/>
      <c r="N542" s="165"/>
      <c r="O542" s="165"/>
      <c r="P542" s="165"/>
      <c r="Q542" s="165"/>
      <c r="R542" s="165"/>
      <c r="S542" s="165"/>
      <c r="T542" s="165" t="s">
        <v>3806</v>
      </c>
      <c r="U542" s="165" t="s">
        <v>3807</v>
      </c>
      <c r="V542" s="165"/>
      <c r="W542" s="165"/>
      <c r="X542" s="165"/>
      <c r="Y542">
        <v>2</v>
      </c>
      <c r="Z542" s="165" t="s">
        <v>3880</v>
      </c>
      <c r="AA542" s="165" t="s">
        <v>3810</v>
      </c>
      <c r="AB542" s="165" t="s">
        <v>3810</v>
      </c>
      <c r="AC542" s="165" t="s">
        <v>3811</v>
      </c>
      <c r="AD542" s="165" t="s">
        <v>4230</v>
      </c>
      <c r="AE542">
        <v>97</v>
      </c>
      <c r="AF542" s="165" t="s">
        <v>4332</v>
      </c>
      <c r="AG542">
        <v>41</v>
      </c>
      <c r="AH542">
        <v>18</v>
      </c>
      <c r="AI542">
        <v>44</v>
      </c>
      <c r="AJ542">
        <v>21</v>
      </c>
      <c r="AK542" s="165" t="s">
        <v>4333</v>
      </c>
      <c r="AN542">
        <v>3</v>
      </c>
      <c r="AO542">
        <v>8</v>
      </c>
      <c r="AP542">
        <v>24</v>
      </c>
      <c r="AQ542" s="165" t="s">
        <v>3815</v>
      </c>
      <c r="AR542" t="s">
        <v>3830</v>
      </c>
      <c r="AS542" s="165" t="s">
        <v>174</v>
      </c>
      <c r="AT542" t="s">
        <v>5291</v>
      </c>
      <c r="AU542" t="s">
        <v>5291</v>
      </c>
    </row>
    <row r="543" spans="1:47" hidden="1" x14ac:dyDescent="0.25">
      <c r="A543" s="165" t="s">
        <v>1190</v>
      </c>
      <c r="B543" s="165" t="s">
        <v>5018</v>
      </c>
      <c r="C543" s="165" t="s">
        <v>23</v>
      </c>
      <c r="D543" s="165" t="s">
        <v>1191</v>
      </c>
      <c r="E543" s="165" t="s">
        <v>4328</v>
      </c>
      <c r="F543" s="165" t="s">
        <v>11</v>
      </c>
      <c r="G543" s="165" t="s">
        <v>8</v>
      </c>
      <c r="H543" s="165" t="s">
        <v>241</v>
      </c>
      <c r="I543" s="165" t="s">
        <v>3803</v>
      </c>
      <c r="J543" s="165" t="s">
        <v>4011</v>
      </c>
      <c r="K543" s="165"/>
      <c r="L543" s="165"/>
      <c r="M543" s="165"/>
      <c r="N543" s="165"/>
      <c r="O543" s="165"/>
      <c r="P543" s="165"/>
      <c r="Q543" s="165"/>
      <c r="R543" s="165"/>
      <c r="S543" s="165" t="s">
        <v>3902</v>
      </c>
      <c r="T543" s="165"/>
      <c r="U543" s="165"/>
      <c r="V543" s="165"/>
      <c r="W543" s="165"/>
      <c r="X543" s="165" t="s">
        <v>2428</v>
      </c>
      <c r="Y543">
        <v>2</v>
      </c>
      <c r="Z543" s="165" t="s">
        <v>3903</v>
      </c>
      <c r="AA543" s="165" t="s">
        <v>3811</v>
      </c>
      <c r="AB543" s="165" t="s">
        <v>3810</v>
      </c>
      <c r="AC543" s="165" t="s">
        <v>3809</v>
      </c>
      <c r="AD543" s="165" t="s">
        <v>4038</v>
      </c>
      <c r="AE543">
        <v>31</v>
      </c>
      <c r="AF543" s="165" t="s">
        <v>5019</v>
      </c>
      <c r="AG543">
        <v>54</v>
      </c>
      <c r="AH543">
        <v>27</v>
      </c>
      <c r="AI543">
        <v>57</v>
      </c>
      <c r="AJ543">
        <v>30</v>
      </c>
      <c r="AK543" s="165" t="s">
        <v>5020</v>
      </c>
      <c r="AN543">
        <v>8</v>
      </c>
      <c r="AO543">
        <v>6</v>
      </c>
      <c r="AP543">
        <v>48</v>
      </c>
      <c r="AQ543" s="165" t="s">
        <v>3978</v>
      </c>
      <c r="AR543" t="s">
        <v>4325</v>
      </c>
      <c r="AS543" s="165" t="s">
        <v>30</v>
      </c>
      <c r="AT543" t="s">
        <v>5291</v>
      </c>
      <c r="AU543" t="s">
        <v>5291</v>
      </c>
    </row>
    <row r="544" spans="1:47" hidden="1" x14ac:dyDescent="0.25">
      <c r="A544" s="165" t="s">
        <v>5021</v>
      </c>
      <c r="B544" s="165" t="s">
        <v>88</v>
      </c>
      <c r="C544" s="165" t="s">
        <v>23</v>
      </c>
      <c r="D544" s="165" t="s">
        <v>5022</v>
      </c>
      <c r="E544" s="165" t="s">
        <v>5023</v>
      </c>
      <c r="F544" s="165" t="s">
        <v>2183</v>
      </c>
      <c r="G544" s="165" t="s">
        <v>8</v>
      </c>
      <c r="H544" s="165" t="s">
        <v>241</v>
      </c>
      <c r="I544" s="165" t="s">
        <v>3820</v>
      </c>
      <c r="J544" s="165" t="s">
        <v>4106</v>
      </c>
      <c r="K544" s="165"/>
      <c r="L544" s="165"/>
      <c r="M544" s="165"/>
      <c r="N544" s="165"/>
      <c r="O544" s="165"/>
      <c r="P544" s="165"/>
      <c r="Q544" s="165"/>
      <c r="R544" s="165"/>
      <c r="S544" s="165" t="s">
        <v>3902</v>
      </c>
      <c r="T544" s="165"/>
      <c r="U544" s="165"/>
      <c r="V544" s="165"/>
      <c r="W544" s="165"/>
      <c r="X544" s="165" t="s">
        <v>2428</v>
      </c>
      <c r="Y544">
        <v>2</v>
      </c>
      <c r="Z544" s="165" t="s">
        <v>3903</v>
      </c>
      <c r="AA544" s="165" t="s">
        <v>3811</v>
      </c>
      <c r="AB544" s="165" t="s">
        <v>3810</v>
      </c>
      <c r="AC544" s="165" t="s">
        <v>3809</v>
      </c>
      <c r="AD544" s="165" t="s">
        <v>4580</v>
      </c>
      <c r="AE544">
        <v>40</v>
      </c>
      <c r="AF544" s="165" t="s">
        <v>5024</v>
      </c>
      <c r="AG544">
        <v>599</v>
      </c>
      <c r="AH544">
        <v>377</v>
      </c>
      <c r="AI544">
        <v>62.9</v>
      </c>
      <c r="AJ544">
        <v>40.700000000000003</v>
      </c>
      <c r="AK544" s="165" t="s">
        <v>5025</v>
      </c>
      <c r="AN544">
        <v>3</v>
      </c>
      <c r="AO544">
        <v>4</v>
      </c>
      <c r="AP544">
        <v>12</v>
      </c>
      <c r="AQ544" s="165" t="s">
        <v>3978</v>
      </c>
      <c r="AR544" t="s">
        <v>5026</v>
      </c>
      <c r="AS544" s="165" t="s">
        <v>30</v>
      </c>
      <c r="AT544" t="s">
        <v>5291</v>
      </c>
      <c r="AU544" t="s">
        <v>5291</v>
      </c>
    </row>
    <row r="545" spans="1:47" hidden="1" x14ac:dyDescent="0.25">
      <c r="A545" s="165" t="s">
        <v>2795</v>
      </c>
      <c r="B545" s="165" t="s">
        <v>5027</v>
      </c>
      <c r="C545" s="165" t="s">
        <v>23</v>
      </c>
      <c r="D545" s="165" t="s">
        <v>2796</v>
      </c>
      <c r="E545" s="165" t="s">
        <v>4192</v>
      </c>
      <c r="F545" s="165" t="s">
        <v>11</v>
      </c>
      <c r="G545" s="165" t="s">
        <v>8</v>
      </c>
      <c r="H545" s="165" t="s">
        <v>176</v>
      </c>
      <c r="I545" s="165" t="s">
        <v>3803</v>
      </c>
      <c r="J545" s="165" t="s">
        <v>4116</v>
      </c>
      <c r="K545" s="165"/>
      <c r="L545" s="165"/>
      <c r="M545" s="165"/>
      <c r="N545" s="165"/>
      <c r="O545" s="165"/>
      <c r="P545" s="165"/>
      <c r="Q545" s="165"/>
      <c r="R545" s="165" t="s">
        <v>3842</v>
      </c>
      <c r="S545" s="165"/>
      <c r="T545" s="165"/>
      <c r="U545" s="165" t="s">
        <v>3807</v>
      </c>
      <c r="V545" s="165"/>
      <c r="W545" s="165"/>
      <c r="X545" s="165"/>
      <c r="Y545">
        <v>2</v>
      </c>
      <c r="Z545" s="165" t="s">
        <v>3843</v>
      </c>
      <c r="AA545" s="165" t="s">
        <v>3811</v>
      </c>
      <c r="AB545" s="165" t="s">
        <v>3810</v>
      </c>
      <c r="AC545" s="165" t="s">
        <v>3809</v>
      </c>
      <c r="AD545" s="165" t="s">
        <v>4580</v>
      </c>
      <c r="AE545">
        <v>40</v>
      </c>
      <c r="AF545" s="165" t="s">
        <v>4581</v>
      </c>
      <c r="AG545">
        <v>45</v>
      </c>
      <c r="AH545">
        <v>373</v>
      </c>
      <c r="AI545">
        <v>48</v>
      </c>
      <c r="AJ545">
        <v>40.299999999999997</v>
      </c>
      <c r="AK545" s="165" t="s">
        <v>4582</v>
      </c>
      <c r="AN545">
        <v>2</v>
      </c>
      <c r="AO545">
        <v>4</v>
      </c>
      <c r="AP545">
        <v>8</v>
      </c>
      <c r="AQ545" s="165" t="s">
        <v>3815</v>
      </c>
      <c r="AR545" t="s">
        <v>3930</v>
      </c>
      <c r="AS545" s="165" t="s">
        <v>30</v>
      </c>
      <c r="AT545" t="s">
        <v>5291</v>
      </c>
      <c r="AU545" t="s">
        <v>5291</v>
      </c>
    </row>
    <row r="546" spans="1:47" hidden="1" x14ac:dyDescent="0.25">
      <c r="A546" s="165" t="s">
        <v>5028</v>
      </c>
      <c r="B546" s="165" t="s">
        <v>88</v>
      </c>
      <c r="C546" s="165" t="s">
        <v>23</v>
      </c>
      <c r="D546" s="165" t="s">
        <v>5029</v>
      </c>
      <c r="E546" s="165" t="s">
        <v>4492</v>
      </c>
      <c r="F546" s="165" t="s">
        <v>11</v>
      </c>
      <c r="G546" s="165" t="s">
        <v>8</v>
      </c>
      <c r="H546" s="165" t="s">
        <v>241</v>
      </c>
      <c r="I546" s="165" t="s">
        <v>3803</v>
      </c>
      <c r="J546" s="165" t="s">
        <v>4011</v>
      </c>
      <c r="K546" s="165"/>
      <c r="L546" s="165"/>
      <c r="M546" s="165"/>
      <c r="N546" s="165"/>
      <c r="O546" s="165"/>
      <c r="P546" s="165"/>
      <c r="Q546" s="165"/>
      <c r="R546" s="165"/>
      <c r="S546" s="165" t="s">
        <v>3902</v>
      </c>
      <c r="T546" s="165"/>
      <c r="U546" s="165"/>
      <c r="V546" s="165"/>
      <c r="W546" s="165"/>
      <c r="X546" s="165" t="s">
        <v>2428</v>
      </c>
      <c r="Y546">
        <v>2</v>
      </c>
      <c r="Z546" s="165" t="s">
        <v>3903</v>
      </c>
      <c r="AA546" s="165" t="s">
        <v>3811</v>
      </c>
      <c r="AB546" s="165" t="s">
        <v>3810</v>
      </c>
      <c r="AC546" s="165" t="s">
        <v>3809</v>
      </c>
      <c r="AD546" s="165" t="s">
        <v>4843</v>
      </c>
      <c r="AE546">
        <v>38</v>
      </c>
      <c r="AF546" s="165" t="s">
        <v>5030</v>
      </c>
      <c r="AG546">
        <v>632</v>
      </c>
      <c r="AH546">
        <v>386</v>
      </c>
      <c r="AI546">
        <v>66.2</v>
      </c>
      <c r="AJ546">
        <v>41.6</v>
      </c>
      <c r="AK546" s="165" t="s">
        <v>5031</v>
      </c>
      <c r="AN546">
        <v>3</v>
      </c>
      <c r="AO546">
        <v>2</v>
      </c>
      <c r="AP546">
        <v>6</v>
      </c>
      <c r="AQ546" s="165" t="s">
        <v>3978</v>
      </c>
      <c r="AR546" t="s">
        <v>5032</v>
      </c>
      <c r="AS546" s="165" t="s">
        <v>30</v>
      </c>
      <c r="AT546" t="s">
        <v>5291</v>
      </c>
      <c r="AU546" t="s">
        <v>5291</v>
      </c>
    </row>
    <row r="547" spans="1:47" hidden="1" x14ac:dyDescent="0.25">
      <c r="A547" s="165" t="s">
        <v>763</v>
      </c>
      <c r="B547" s="165" t="s">
        <v>5033</v>
      </c>
      <c r="C547" s="165" t="s">
        <v>23</v>
      </c>
      <c r="D547" s="165" t="s">
        <v>764</v>
      </c>
      <c r="E547" s="165" t="s">
        <v>4513</v>
      </c>
      <c r="F547" s="165" t="s">
        <v>11</v>
      </c>
      <c r="G547" s="165" t="s">
        <v>8</v>
      </c>
      <c r="H547" s="165" t="s">
        <v>241</v>
      </c>
      <c r="I547" s="165" t="s">
        <v>3803</v>
      </c>
      <c r="J547" s="165" t="s">
        <v>4011</v>
      </c>
      <c r="K547" s="165"/>
      <c r="L547" s="165"/>
      <c r="M547" s="165"/>
      <c r="N547" s="165"/>
      <c r="O547" s="165"/>
      <c r="P547" s="165"/>
      <c r="Q547" s="165"/>
      <c r="R547" s="165"/>
      <c r="S547" s="165" t="s">
        <v>3902</v>
      </c>
      <c r="T547" s="165"/>
      <c r="U547" s="165"/>
      <c r="V547" s="165"/>
      <c r="W547" s="165"/>
      <c r="X547" s="165" t="s">
        <v>2428</v>
      </c>
      <c r="Y547">
        <v>2</v>
      </c>
      <c r="Z547" s="165" t="s">
        <v>3903</v>
      </c>
      <c r="AA547" s="165" t="s">
        <v>3811</v>
      </c>
      <c r="AB547" s="165" t="s">
        <v>3810</v>
      </c>
      <c r="AC547" s="165" t="s">
        <v>3809</v>
      </c>
      <c r="AD547" s="165" t="s">
        <v>4038</v>
      </c>
      <c r="AE547">
        <v>31</v>
      </c>
      <c r="AF547" s="165" t="s">
        <v>4035</v>
      </c>
      <c r="AG547">
        <v>296</v>
      </c>
      <c r="AH547">
        <v>276</v>
      </c>
      <c r="AI547">
        <v>32.6</v>
      </c>
      <c r="AJ547">
        <v>30.6</v>
      </c>
      <c r="AK547" s="165" t="s">
        <v>4036</v>
      </c>
      <c r="AN547">
        <v>4</v>
      </c>
      <c r="AO547">
        <v>6</v>
      </c>
      <c r="AP547">
        <v>24</v>
      </c>
      <c r="AQ547" s="165" t="s">
        <v>3815</v>
      </c>
      <c r="AR547" t="s">
        <v>3930</v>
      </c>
      <c r="AS547" s="165" t="s">
        <v>30</v>
      </c>
      <c r="AT547" t="s">
        <v>5291</v>
      </c>
      <c r="AU547" t="s">
        <v>5291</v>
      </c>
    </row>
    <row r="548" spans="1:47" hidden="1" x14ac:dyDescent="0.25">
      <c r="A548" s="165" t="s">
        <v>1088</v>
      </c>
      <c r="B548" s="165" t="s">
        <v>3374</v>
      </c>
      <c r="C548" s="165" t="s">
        <v>23</v>
      </c>
      <c r="D548" s="165" t="s">
        <v>1089</v>
      </c>
      <c r="E548" s="165" t="s">
        <v>4518</v>
      </c>
      <c r="F548" s="165" t="s">
        <v>11</v>
      </c>
      <c r="G548" s="165" t="s">
        <v>8</v>
      </c>
      <c r="H548" s="165" t="s">
        <v>241</v>
      </c>
      <c r="I548" s="165" t="s">
        <v>3803</v>
      </c>
      <c r="J548" s="165" t="s">
        <v>4011</v>
      </c>
      <c r="K548" s="165"/>
      <c r="L548" s="165"/>
      <c r="M548" s="165"/>
      <c r="N548" s="165"/>
      <c r="O548" s="165"/>
      <c r="P548" s="165"/>
      <c r="Q548" s="165"/>
      <c r="R548" s="165"/>
      <c r="S548" s="165" t="s">
        <v>3902</v>
      </c>
      <c r="T548" s="165"/>
      <c r="U548" s="165"/>
      <c r="V548" s="165"/>
      <c r="W548" s="165"/>
      <c r="X548" s="165" t="s">
        <v>2428</v>
      </c>
      <c r="Y548">
        <v>2</v>
      </c>
      <c r="Z548" s="165" t="s">
        <v>3903</v>
      </c>
      <c r="AA548" s="165" t="s">
        <v>3811</v>
      </c>
      <c r="AB548" s="165" t="s">
        <v>3810</v>
      </c>
      <c r="AC548" s="165" t="s">
        <v>3809</v>
      </c>
      <c r="AD548" s="165" t="s">
        <v>4038</v>
      </c>
      <c r="AE548">
        <v>31</v>
      </c>
      <c r="AF548" s="165" t="s">
        <v>4035</v>
      </c>
      <c r="AG548">
        <v>296</v>
      </c>
      <c r="AH548">
        <v>276</v>
      </c>
      <c r="AI548">
        <v>32.6</v>
      </c>
      <c r="AJ548">
        <v>30.6</v>
      </c>
      <c r="AK548" s="165" t="s">
        <v>4036</v>
      </c>
      <c r="AN548">
        <v>4</v>
      </c>
      <c r="AO548">
        <v>6</v>
      </c>
      <c r="AP548">
        <v>24</v>
      </c>
      <c r="AQ548" s="165" t="s">
        <v>3815</v>
      </c>
      <c r="AR548" t="s">
        <v>4009</v>
      </c>
      <c r="AS548" s="165" t="s">
        <v>30</v>
      </c>
      <c r="AT548" t="s">
        <v>5291</v>
      </c>
      <c r="AU548" t="s">
        <v>5291</v>
      </c>
    </row>
    <row r="549" spans="1:47" hidden="1" x14ac:dyDescent="0.25">
      <c r="A549" s="165" t="s">
        <v>5034</v>
      </c>
      <c r="B549" s="165" t="s">
        <v>88</v>
      </c>
      <c r="C549" s="165" t="s">
        <v>23</v>
      </c>
      <c r="D549" s="165" t="s">
        <v>5035</v>
      </c>
      <c r="E549" s="165" t="s">
        <v>3957</v>
      </c>
      <c r="F549" s="165" t="s">
        <v>4234</v>
      </c>
      <c r="G549" s="165" t="s">
        <v>8</v>
      </c>
      <c r="H549" s="165" t="s">
        <v>241</v>
      </c>
      <c r="I549" s="165" t="s">
        <v>3864</v>
      </c>
      <c r="J549" s="165" t="s">
        <v>3901</v>
      </c>
      <c r="K549" s="165"/>
      <c r="L549" s="165"/>
      <c r="M549" s="165"/>
      <c r="N549" s="165"/>
      <c r="O549" s="165"/>
      <c r="P549" s="165"/>
      <c r="Q549" s="165"/>
      <c r="R549" s="165"/>
      <c r="S549" s="165" t="s">
        <v>3902</v>
      </c>
      <c r="T549" s="165"/>
      <c r="U549" s="165"/>
      <c r="V549" s="165"/>
      <c r="W549" s="165"/>
      <c r="X549" s="165" t="s">
        <v>2428</v>
      </c>
      <c r="Y549">
        <v>2</v>
      </c>
      <c r="Z549" s="165" t="s">
        <v>3903</v>
      </c>
      <c r="AA549" s="165" t="s">
        <v>3811</v>
      </c>
      <c r="AB549" s="165" t="s">
        <v>3810</v>
      </c>
      <c r="AC549" s="165" t="s">
        <v>3809</v>
      </c>
      <c r="AD549" s="165" t="s">
        <v>5036</v>
      </c>
      <c r="AF549" s="165" t="s">
        <v>5036</v>
      </c>
      <c r="AK549" s="165"/>
      <c r="AP549">
        <v>0</v>
      </c>
      <c r="AQ549" s="165" t="s">
        <v>3978</v>
      </c>
      <c r="AS549" s="165" t="s">
        <v>30</v>
      </c>
      <c r="AT549" t="s">
        <v>5291</v>
      </c>
      <c r="AU549" t="s">
        <v>5291</v>
      </c>
    </row>
    <row r="550" spans="1:47" hidden="1" x14ac:dyDescent="0.25">
      <c r="A550" s="165" t="s">
        <v>1029</v>
      </c>
      <c r="B550" s="165" t="s">
        <v>3450</v>
      </c>
      <c r="C550" s="165" t="s">
        <v>23</v>
      </c>
      <c r="D550" s="165" t="s">
        <v>1030</v>
      </c>
      <c r="E550" s="165" t="s">
        <v>3937</v>
      </c>
      <c r="F550" s="165" t="s">
        <v>11</v>
      </c>
      <c r="G550" s="165" t="s">
        <v>8</v>
      </c>
      <c r="H550" s="165" t="s">
        <v>241</v>
      </c>
      <c r="I550" s="165" t="s">
        <v>3803</v>
      </c>
      <c r="J550" s="165" t="s">
        <v>4011</v>
      </c>
      <c r="K550" s="165"/>
      <c r="L550" s="165"/>
      <c r="M550" s="165"/>
      <c r="N550" s="165"/>
      <c r="O550" s="165"/>
      <c r="P550" s="165"/>
      <c r="Q550" s="165"/>
      <c r="R550" s="165"/>
      <c r="S550" s="165" t="s">
        <v>3902</v>
      </c>
      <c r="T550" s="165"/>
      <c r="U550" s="165"/>
      <c r="V550" s="165"/>
      <c r="W550" s="165"/>
      <c r="X550" s="165" t="s">
        <v>2428</v>
      </c>
      <c r="Y550">
        <v>2</v>
      </c>
      <c r="Z550" s="165" t="s">
        <v>3903</v>
      </c>
      <c r="AA550" s="165" t="s">
        <v>3811</v>
      </c>
      <c r="AB550" s="165" t="s">
        <v>3810</v>
      </c>
      <c r="AC550" s="165" t="s">
        <v>3809</v>
      </c>
      <c r="AD550" s="165" t="s">
        <v>4576</v>
      </c>
      <c r="AE550">
        <v>33</v>
      </c>
      <c r="AF550" s="165" t="s">
        <v>5037</v>
      </c>
      <c r="AG550">
        <v>45</v>
      </c>
      <c r="AH550">
        <v>355</v>
      </c>
      <c r="AI550">
        <v>48</v>
      </c>
      <c r="AJ550">
        <v>38.5</v>
      </c>
      <c r="AK550" s="165" t="s">
        <v>4844</v>
      </c>
      <c r="AN550">
        <v>2</v>
      </c>
      <c r="AO550">
        <v>4</v>
      </c>
      <c r="AP550">
        <v>8</v>
      </c>
      <c r="AQ550" s="165" t="s">
        <v>3815</v>
      </c>
      <c r="AR550" t="s">
        <v>5038</v>
      </c>
      <c r="AS550" s="165" t="s">
        <v>30</v>
      </c>
      <c r="AT550" t="s">
        <v>5291</v>
      </c>
      <c r="AU550" t="s">
        <v>5291</v>
      </c>
    </row>
    <row r="551" spans="1:47" hidden="1" x14ac:dyDescent="0.25">
      <c r="A551" s="165" t="s">
        <v>5039</v>
      </c>
      <c r="B551" s="165" t="s">
        <v>5040</v>
      </c>
      <c r="C551" s="165" t="s">
        <v>23</v>
      </c>
      <c r="D551" s="165" t="s">
        <v>5041</v>
      </c>
      <c r="E551" s="165" t="s">
        <v>3492</v>
      </c>
      <c r="F551" s="165" t="s">
        <v>181</v>
      </c>
      <c r="G551" s="165" t="s">
        <v>8</v>
      </c>
      <c r="H551" s="165" t="s">
        <v>241</v>
      </c>
      <c r="I551" s="165" t="s">
        <v>3864</v>
      </c>
      <c r="J551" s="165" t="s">
        <v>3901</v>
      </c>
      <c r="K551" s="165"/>
      <c r="L551" s="165"/>
      <c r="M551" s="165"/>
      <c r="N551" s="165"/>
      <c r="O551" s="165"/>
      <c r="P551" s="165"/>
      <c r="Q551" s="165"/>
      <c r="R551" s="165"/>
      <c r="S551" s="165" t="s">
        <v>3902</v>
      </c>
      <c r="T551" s="165"/>
      <c r="U551" s="165"/>
      <c r="V551" s="165"/>
      <c r="W551" s="165"/>
      <c r="X551" s="165" t="s">
        <v>2428</v>
      </c>
      <c r="Y551">
        <v>2</v>
      </c>
      <c r="Z551" s="165" t="s">
        <v>3903</v>
      </c>
      <c r="AA551" s="165" t="s">
        <v>3811</v>
      </c>
      <c r="AB551" s="165" t="s">
        <v>3810</v>
      </c>
      <c r="AC551" s="165" t="s">
        <v>3809</v>
      </c>
      <c r="AD551" s="165" t="s">
        <v>3904</v>
      </c>
      <c r="AF551" s="165" t="s">
        <v>5036</v>
      </c>
      <c r="AK551" s="165"/>
      <c r="AP551">
        <v>0</v>
      </c>
      <c r="AQ551" s="165" t="s">
        <v>3978</v>
      </c>
      <c r="AR551" t="s">
        <v>4806</v>
      </c>
      <c r="AS551" s="165" t="s">
        <v>30</v>
      </c>
      <c r="AT551" t="s">
        <v>5291</v>
      </c>
      <c r="AU551" t="s">
        <v>5291</v>
      </c>
    </row>
    <row r="552" spans="1:47" hidden="1" x14ac:dyDescent="0.25">
      <c r="A552" s="165" t="s">
        <v>1154</v>
      </c>
      <c r="B552" s="165" t="s">
        <v>5042</v>
      </c>
      <c r="C552" s="165" t="s">
        <v>23</v>
      </c>
      <c r="D552" s="165" t="s">
        <v>1155</v>
      </c>
      <c r="E552" s="165" t="s">
        <v>5043</v>
      </c>
      <c r="F552" s="165" t="s">
        <v>11</v>
      </c>
      <c r="G552" s="165" t="s">
        <v>8</v>
      </c>
      <c r="H552" s="165" t="s">
        <v>263</v>
      </c>
      <c r="I552" s="165" t="s">
        <v>3803</v>
      </c>
      <c r="J552" s="165" t="s">
        <v>3804</v>
      </c>
      <c r="K552" s="165"/>
      <c r="L552" s="165"/>
      <c r="M552" s="165"/>
      <c r="N552" s="165" t="s">
        <v>3805</v>
      </c>
      <c r="O552" s="165"/>
      <c r="P552" s="165"/>
      <c r="Q552" s="165"/>
      <c r="R552" s="165"/>
      <c r="S552" s="165"/>
      <c r="T552" s="165" t="s">
        <v>3806</v>
      </c>
      <c r="U552" s="165" t="s">
        <v>3807</v>
      </c>
      <c r="V552" s="165"/>
      <c r="W552" s="165"/>
      <c r="X552" s="165"/>
      <c r="Y552">
        <v>3</v>
      </c>
      <c r="Z552" s="165" t="s">
        <v>3808</v>
      </c>
      <c r="AA552" s="165" t="s">
        <v>3809</v>
      </c>
      <c r="AB552" s="165" t="s">
        <v>3810</v>
      </c>
      <c r="AC552" s="165" t="s">
        <v>3811</v>
      </c>
      <c r="AD552" s="165" t="s">
        <v>3857</v>
      </c>
      <c r="AE552">
        <v>42</v>
      </c>
      <c r="AF552" s="165" t="s">
        <v>5036</v>
      </c>
      <c r="AK552" s="165"/>
      <c r="AP552">
        <v>0</v>
      </c>
      <c r="AQ552" s="165" t="s">
        <v>3978</v>
      </c>
      <c r="AR552" t="s">
        <v>4244</v>
      </c>
      <c r="AS552" s="165" t="s">
        <v>174</v>
      </c>
      <c r="AT552" t="s">
        <v>5291</v>
      </c>
      <c r="AU552" t="s">
        <v>5291</v>
      </c>
    </row>
    <row r="553" spans="1:47" hidden="1" x14ac:dyDescent="0.25">
      <c r="A553" s="165" t="s">
        <v>2801</v>
      </c>
      <c r="B553" s="165" t="s">
        <v>5044</v>
      </c>
      <c r="C553" s="165" t="s">
        <v>23</v>
      </c>
      <c r="D553" s="165" t="s">
        <v>2802</v>
      </c>
      <c r="E553" s="165" t="s">
        <v>4719</v>
      </c>
      <c r="F553" s="165" t="s">
        <v>11</v>
      </c>
      <c r="G553" s="165" t="s">
        <v>8</v>
      </c>
      <c r="H553" s="165" t="s">
        <v>263</v>
      </c>
      <c r="I553" s="165" t="s">
        <v>3803</v>
      </c>
      <c r="J553" s="165" t="s">
        <v>3804</v>
      </c>
      <c r="K553" s="165"/>
      <c r="L553" s="165"/>
      <c r="M553" s="165"/>
      <c r="N553" s="165" t="s">
        <v>3805</v>
      </c>
      <c r="O553" s="165"/>
      <c r="P553" s="165"/>
      <c r="Q553" s="165"/>
      <c r="R553" s="165"/>
      <c r="S553" s="165"/>
      <c r="T553" s="165" t="s">
        <v>3806</v>
      </c>
      <c r="U553" s="165" t="s">
        <v>3807</v>
      </c>
      <c r="V553" s="165"/>
      <c r="W553" s="165"/>
      <c r="X553" s="165"/>
      <c r="Y553">
        <v>3</v>
      </c>
      <c r="Z553" s="165" t="s">
        <v>3808</v>
      </c>
      <c r="AA553" s="165" t="s">
        <v>3809</v>
      </c>
      <c r="AB553" s="165" t="s">
        <v>3810</v>
      </c>
      <c r="AC553" s="165" t="s">
        <v>3811</v>
      </c>
      <c r="AD553" s="165" t="s">
        <v>3857</v>
      </c>
      <c r="AE553">
        <v>42</v>
      </c>
      <c r="AF553" s="165" t="s">
        <v>3858</v>
      </c>
      <c r="AG553">
        <v>315</v>
      </c>
      <c r="AH553">
        <v>284</v>
      </c>
      <c r="AI553">
        <v>34.5</v>
      </c>
      <c r="AJ553">
        <v>31.4</v>
      </c>
      <c r="AK553" s="165" t="s">
        <v>3859</v>
      </c>
      <c r="AN553">
        <v>4</v>
      </c>
      <c r="AO553">
        <v>6</v>
      </c>
      <c r="AP553">
        <v>24</v>
      </c>
      <c r="AQ553" s="165" t="s">
        <v>3815</v>
      </c>
      <c r="AR553" t="s">
        <v>3971</v>
      </c>
      <c r="AS553" s="165" t="s">
        <v>174</v>
      </c>
      <c r="AT553" t="s">
        <v>5291</v>
      </c>
      <c r="AU553" t="s">
        <v>5291</v>
      </c>
    </row>
    <row r="554" spans="1:47" hidden="1" x14ac:dyDescent="0.25">
      <c r="A554" s="165" t="s">
        <v>1152</v>
      </c>
      <c r="B554" s="165" t="s">
        <v>5045</v>
      </c>
      <c r="C554" s="165" t="s">
        <v>23</v>
      </c>
      <c r="D554" s="165" t="s">
        <v>1153</v>
      </c>
      <c r="E554" s="165" t="s">
        <v>5043</v>
      </c>
      <c r="F554" s="165" t="s">
        <v>11</v>
      </c>
      <c r="G554" s="165" t="s">
        <v>8</v>
      </c>
      <c r="H554" s="165" t="s">
        <v>263</v>
      </c>
      <c r="I554" s="165" t="s">
        <v>3803</v>
      </c>
      <c r="J554" s="165" t="s">
        <v>3804</v>
      </c>
      <c r="K554" s="165"/>
      <c r="L554" s="165"/>
      <c r="M554" s="165"/>
      <c r="N554" s="165" t="s">
        <v>3805</v>
      </c>
      <c r="O554" s="165"/>
      <c r="P554" s="165"/>
      <c r="Q554" s="165"/>
      <c r="R554" s="165"/>
      <c r="S554" s="165"/>
      <c r="T554" s="165" t="s">
        <v>3806</v>
      </c>
      <c r="U554" s="165" t="s">
        <v>3807</v>
      </c>
      <c r="V554" s="165"/>
      <c r="W554" s="165"/>
      <c r="X554" s="165"/>
      <c r="Y554">
        <v>3</v>
      </c>
      <c r="Z554" s="165" t="s">
        <v>3808</v>
      </c>
      <c r="AA554" s="165" t="s">
        <v>3809</v>
      </c>
      <c r="AB554" s="165" t="s">
        <v>3810</v>
      </c>
      <c r="AC554" s="165" t="s">
        <v>3811</v>
      </c>
      <c r="AD554" s="165" t="s">
        <v>5046</v>
      </c>
      <c r="AE554">
        <v>74</v>
      </c>
      <c r="AF554" s="165" t="s">
        <v>5036</v>
      </c>
      <c r="AK554" s="165"/>
      <c r="AN554">
        <v>2</v>
      </c>
      <c r="AP554">
        <v>0</v>
      </c>
      <c r="AQ554" s="165" t="s">
        <v>3978</v>
      </c>
      <c r="AR554" t="s">
        <v>4120</v>
      </c>
      <c r="AS554" s="165" t="s">
        <v>174</v>
      </c>
      <c r="AT554" t="s">
        <v>5291</v>
      </c>
      <c r="AU554" t="s">
        <v>5291</v>
      </c>
    </row>
    <row r="555" spans="1:47" hidden="1" x14ac:dyDescent="0.25">
      <c r="A555" s="165" t="s">
        <v>5047</v>
      </c>
      <c r="B555" s="165" t="s">
        <v>88</v>
      </c>
      <c r="C555" s="165" t="s">
        <v>23</v>
      </c>
      <c r="D555" s="165" t="s">
        <v>5048</v>
      </c>
      <c r="E555" s="165" t="s">
        <v>4121</v>
      </c>
      <c r="F555" s="165" t="s">
        <v>11</v>
      </c>
      <c r="G555" s="165" t="s">
        <v>8</v>
      </c>
      <c r="H555" s="165" t="s">
        <v>263</v>
      </c>
      <c r="I555" s="165" t="s">
        <v>3803</v>
      </c>
      <c r="J555" s="165" t="s">
        <v>3804</v>
      </c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>
        <v>0</v>
      </c>
      <c r="Z555" s="165" t="s">
        <v>28</v>
      </c>
      <c r="AA555" s="165"/>
      <c r="AB555" s="165"/>
      <c r="AC555" s="165"/>
      <c r="AD555" s="165" t="s">
        <v>5036</v>
      </c>
      <c r="AF555" s="165" t="s">
        <v>5036</v>
      </c>
      <c r="AK555" s="165"/>
      <c r="AP555">
        <v>0</v>
      </c>
      <c r="AQ555" s="165" t="s">
        <v>3978</v>
      </c>
      <c r="AR555" t="s">
        <v>4567</v>
      </c>
      <c r="AS555" s="165" t="s">
        <v>2085</v>
      </c>
      <c r="AT555" t="s">
        <v>5291</v>
      </c>
      <c r="AU555" t="s">
        <v>5291</v>
      </c>
    </row>
    <row r="556" spans="1:47" hidden="1" x14ac:dyDescent="0.25">
      <c r="A556" s="165" t="s">
        <v>1885</v>
      </c>
      <c r="B556" s="165" t="s">
        <v>5049</v>
      </c>
      <c r="C556" s="165" t="s">
        <v>23</v>
      </c>
      <c r="D556" s="165" t="s">
        <v>1886</v>
      </c>
      <c r="E556" s="165" t="s">
        <v>5050</v>
      </c>
      <c r="F556" s="165" t="s">
        <v>13</v>
      </c>
      <c r="G556" s="165" t="s">
        <v>8</v>
      </c>
      <c r="H556" s="165" t="s">
        <v>269</v>
      </c>
      <c r="I556" s="165" t="s">
        <v>3864</v>
      </c>
      <c r="J556" s="165" t="s">
        <v>3894</v>
      </c>
      <c r="K556" s="165"/>
      <c r="L556" s="165"/>
      <c r="M556" s="165"/>
      <c r="N556" s="165"/>
      <c r="O556" s="165"/>
      <c r="P556" s="165"/>
      <c r="Q556" s="165" t="s">
        <v>3888</v>
      </c>
      <c r="R556" s="165"/>
      <c r="S556" s="165"/>
      <c r="T556" s="165"/>
      <c r="U556" s="165" t="s">
        <v>3807</v>
      </c>
      <c r="V556" s="165"/>
      <c r="W556" s="165"/>
      <c r="X556" s="165"/>
      <c r="Y556">
        <v>2</v>
      </c>
      <c r="Z556" s="165" t="s">
        <v>5051</v>
      </c>
      <c r="AA556" s="165"/>
      <c r="AB556" s="165"/>
      <c r="AC556" s="165"/>
      <c r="AD556" s="165"/>
      <c r="AF556" s="165"/>
      <c r="AK556" s="165"/>
      <c r="AP556">
        <v>0</v>
      </c>
      <c r="AQ556" s="165" t="s">
        <v>3978</v>
      </c>
      <c r="AR556" t="s">
        <v>88</v>
      </c>
      <c r="AS556" s="165" t="s">
        <v>2085</v>
      </c>
      <c r="AT556" t="s">
        <v>5291</v>
      </c>
      <c r="AU556" t="s">
        <v>5291</v>
      </c>
    </row>
    <row r="557" spans="1:47" hidden="1" x14ac:dyDescent="0.25">
      <c r="A557" s="165" t="s">
        <v>949</v>
      </c>
      <c r="B557" s="165" t="s">
        <v>3365</v>
      </c>
      <c r="C557" s="165" t="s">
        <v>23</v>
      </c>
      <c r="D557" s="165" t="s">
        <v>950</v>
      </c>
      <c r="E557" s="165" t="s">
        <v>4148</v>
      </c>
      <c r="F557" s="165" t="s">
        <v>3850</v>
      </c>
      <c r="G557" s="165" t="s">
        <v>8</v>
      </c>
      <c r="H557" s="165" t="s">
        <v>241</v>
      </c>
      <c r="I557" s="165" t="s">
        <v>3819</v>
      </c>
      <c r="J557" s="165" t="s">
        <v>4211</v>
      </c>
      <c r="K557" s="165"/>
      <c r="L557" s="165"/>
      <c r="M557" s="165"/>
      <c r="N557" s="165"/>
      <c r="O557" s="165"/>
      <c r="P557" s="165"/>
      <c r="Q557" s="165"/>
      <c r="R557" s="165"/>
      <c r="S557" s="165" t="s">
        <v>3902</v>
      </c>
      <c r="T557" s="165"/>
      <c r="U557" s="165"/>
      <c r="V557" s="165"/>
      <c r="W557" s="165"/>
      <c r="X557" s="165" t="s">
        <v>2428</v>
      </c>
      <c r="Y557">
        <v>2</v>
      </c>
      <c r="Z557" s="165" t="s">
        <v>3903</v>
      </c>
      <c r="AA557" s="165" t="s">
        <v>3811</v>
      </c>
      <c r="AB557" s="165" t="s">
        <v>3810</v>
      </c>
      <c r="AC557" s="165" t="s">
        <v>3809</v>
      </c>
      <c r="AD557" s="165" t="s">
        <v>4997</v>
      </c>
      <c r="AE557">
        <v>21</v>
      </c>
      <c r="AF557" s="165" t="s">
        <v>4998</v>
      </c>
      <c r="AG557">
        <v>545</v>
      </c>
      <c r="AH557">
        <v>378</v>
      </c>
      <c r="AI557">
        <v>57.5</v>
      </c>
      <c r="AJ557">
        <v>40.799999999999997</v>
      </c>
      <c r="AK557" s="165" t="s">
        <v>4999</v>
      </c>
      <c r="AL557">
        <v>54.5</v>
      </c>
      <c r="AM557">
        <v>40</v>
      </c>
      <c r="AN557">
        <v>2</v>
      </c>
      <c r="AO557">
        <v>4</v>
      </c>
      <c r="AP557">
        <v>8</v>
      </c>
      <c r="AQ557" s="165" t="s">
        <v>3815</v>
      </c>
      <c r="AR557" t="s">
        <v>3909</v>
      </c>
      <c r="AS557" s="165" t="s">
        <v>30</v>
      </c>
      <c r="AT557" t="s">
        <v>5291</v>
      </c>
      <c r="AU557" t="s">
        <v>5291</v>
      </c>
    </row>
    <row r="558" spans="1:47" hidden="1" x14ac:dyDescent="0.25">
      <c r="A558" s="165" t="s">
        <v>5052</v>
      </c>
      <c r="B558" s="165" t="s">
        <v>88</v>
      </c>
      <c r="C558" s="165" t="s">
        <v>23</v>
      </c>
      <c r="D558" s="165" t="s">
        <v>5053</v>
      </c>
      <c r="E558" s="165" t="s">
        <v>4131</v>
      </c>
      <c r="F558" s="165" t="s">
        <v>11</v>
      </c>
      <c r="G558" s="165" t="s">
        <v>8</v>
      </c>
      <c r="H558" s="165" t="s">
        <v>241</v>
      </c>
      <c r="I558" s="165" t="s">
        <v>3803</v>
      </c>
      <c r="J558" s="165" t="s">
        <v>4011</v>
      </c>
      <c r="K558" s="165"/>
      <c r="L558" s="165"/>
      <c r="M558" s="165"/>
      <c r="N558" s="165"/>
      <c r="O558" s="165"/>
      <c r="P558" s="165"/>
      <c r="Q558" s="165"/>
      <c r="R558" s="165"/>
      <c r="S558" s="165" t="s">
        <v>3902</v>
      </c>
      <c r="T558" s="165"/>
      <c r="U558" s="165"/>
      <c r="V558" s="165"/>
      <c r="W558" s="165"/>
      <c r="X558" s="165" t="s">
        <v>2428</v>
      </c>
      <c r="Y558">
        <v>2</v>
      </c>
      <c r="Z558" s="165" t="s">
        <v>3903</v>
      </c>
      <c r="AA558" s="165" t="s">
        <v>3811</v>
      </c>
      <c r="AB558" s="165" t="s">
        <v>3810</v>
      </c>
      <c r="AC558" s="165" t="s">
        <v>3809</v>
      </c>
      <c r="AD558" s="165"/>
      <c r="AF558" s="165"/>
      <c r="AK558" s="165"/>
      <c r="AP558">
        <v>0</v>
      </c>
      <c r="AQ558" s="165" t="s">
        <v>3978</v>
      </c>
      <c r="AS558" s="165" t="s">
        <v>30</v>
      </c>
      <c r="AT558" t="s">
        <v>5291</v>
      </c>
      <c r="AU558" t="s">
        <v>5291</v>
      </c>
    </row>
    <row r="559" spans="1:47" hidden="1" x14ac:dyDescent="0.25">
      <c r="A559" s="165" t="s">
        <v>2805</v>
      </c>
      <c r="B559" s="165" t="s">
        <v>5054</v>
      </c>
      <c r="C559" s="165" t="s">
        <v>23</v>
      </c>
      <c r="D559" s="165" t="s">
        <v>2806</v>
      </c>
      <c r="E559" s="165" t="s">
        <v>4524</v>
      </c>
      <c r="F559" s="165" t="s">
        <v>11</v>
      </c>
      <c r="G559" s="165" t="s">
        <v>8</v>
      </c>
      <c r="H559" s="165" t="s">
        <v>241</v>
      </c>
      <c r="I559" s="165" t="s">
        <v>3803</v>
      </c>
      <c r="J559" s="165" t="s">
        <v>4011</v>
      </c>
      <c r="K559" s="165"/>
      <c r="L559" s="165"/>
      <c r="M559" s="165"/>
      <c r="N559" s="165"/>
      <c r="O559" s="165"/>
      <c r="P559" s="165"/>
      <c r="Q559" s="165"/>
      <c r="R559" s="165"/>
      <c r="S559" s="165" t="s">
        <v>3902</v>
      </c>
      <c r="T559" s="165"/>
      <c r="U559" s="165"/>
      <c r="V559" s="165"/>
      <c r="W559" s="165"/>
      <c r="X559" s="165" t="s">
        <v>2428</v>
      </c>
      <c r="Y559">
        <v>2</v>
      </c>
      <c r="Z559" s="165" t="s">
        <v>3903</v>
      </c>
      <c r="AA559" s="165" t="s">
        <v>3811</v>
      </c>
      <c r="AB559" s="165" t="s">
        <v>3810</v>
      </c>
      <c r="AC559" s="165" t="s">
        <v>3809</v>
      </c>
      <c r="AD559" s="165" t="s">
        <v>4149</v>
      </c>
      <c r="AE559">
        <v>92</v>
      </c>
      <c r="AF559" s="165" t="s">
        <v>4150</v>
      </c>
      <c r="AG559">
        <v>378</v>
      </c>
      <c r="AH559">
        <v>412</v>
      </c>
      <c r="AI559">
        <v>40.799999999999997</v>
      </c>
      <c r="AJ559">
        <v>44.2</v>
      </c>
      <c r="AK559" s="165" t="s">
        <v>4151</v>
      </c>
      <c r="AN559">
        <v>4</v>
      </c>
      <c r="AO559">
        <v>4</v>
      </c>
      <c r="AP559">
        <v>16</v>
      </c>
      <c r="AQ559" s="165" t="s">
        <v>3815</v>
      </c>
      <c r="AR559" t="s">
        <v>5055</v>
      </c>
      <c r="AS559" s="165" t="s">
        <v>30</v>
      </c>
      <c r="AT559" t="s">
        <v>5291</v>
      </c>
      <c r="AU559" t="s">
        <v>5291</v>
      </c>
    </row>
    <row r="560" spans="1:47" hidden="1" x14ac:dyDescent="0.25">
      <c r="A560" s="165" t="s">
        <v>5056</v>
      </c>
      <c r="B560" s="165" t="s">
        <v>88</v>
      </c>
      <c r="C560" s="165" t="s">
        <v>23</v>
      </c>
      <c r="D560" s="165" t="s">
        <v>5057</v>
      </c>
      <c r="E560" s="165" t="s">
        <v>3948</v>
      </c>
      <c r="F560" s="165" t="s">
        <v>4234</v>
      </c>
      <c r="G560" s="165" t="s">
        <v>8</v>
      </c>
      <c r="H560" s="165" t="s">
        <v>241</v>
      </c>
      <c r="I560" s="165" t="s">
        <v>3864</v>
      </c>
      <c r="J560" s="165" t="s">
        <v>3901</v>
      </c>
      <c r="K560" s="165"/>
      <c r="L560" s="165"/>
      <c r="M560" s="165"/>
      <c r="N560" s="165"/>
      <c r="O560" s="165"/>
      <c r="P560" s="165"/>
      <c r="Q560" s="165"/>
      <c r="R560" s="165"/>
      <c r="S560" s="165" t="s">
        <v>3902</v>
      </c>
      <c r="T560" s="165"/>
      <c r="U560" s="165"/>
      <c r="V560" s="165"/>
      <c r="W560" s="165"/>
      <c r="X560" s="165" t="s">
        <v>2428</v>
      </c>
      <c r="Y560">
        <v>2</v>
      </c>
      <c r="Z560" s="165" t="s">
        <v>3903</v>
      </c>
      <c r="AA560" s="165" t="s">
        <v>3811</v>
      </c>
      <c r="AB560" s="165" t="s">
        <v>3810</v>
      </c>
      <c r="AC560" s="165" t="s">
        <v>3809</v>
      </c>
      <c r="AD560" s="165"/>
      <c r="AF560" s="165"/>
      <c r="AK560" s="165"/>
      <c r="AP560">
        <v>0</v>
      </c>
      <c r="AQ560" s="165" t="s">
        <v>3978</v>
      </c>
      <c r="AR560" t="s">
        <v>5058</v>
      </c>
      <c r="AS560" s="165" t="s">
        <v>30</v>
      </c>
      <c r="AT560" t="s">
        <v>5291</v>
      </c>
      <c r="AU560" t="s">
        <v>5291</v>
      </c>
    </row>
    <row r="561" spans="1:47" hidden="1" x14ac:dyDescent="0.25">
      <c r="A561" s="165" t="s">
        <v>5059</v>
      </c>
      <c r="B561" s="165" t="s">
        <v>5060</v>
      </c>
      <c r="C561" s="165" t="s">
        <v>23</v>
      </c>
      <c r="D561" s="165" t="s">
        <v>5061</v>
      </c>
      <c r="E561" s="165" t="s">
        <v>4527</v>
      </c>
      <c r="F561" s="165" t="s">
        <v>11</v>
      </c>
      <c r="G561" s="165" t="s">
        <v>8</v>
      </c>
      <c r="H561" s="165" t="s">
        <v>241</v>
      </c>
      <c r="I561" s="165" t="s">
        <v>3803</v>
      </c>
      <c r="J561" s="165" t="s">
        <v>4011</v>
      </c>
      <c r="K561" s="165"/>
      <c r="L561" s="165"/>
      <c r="M561" s="165"/>
      <c r="N561" s="165"/>
      <c r="O561" s="165"/>
      <c r="P561" s="165"/>
      <c r="Q561" s="165"/>
      <c r="R561" s="165"/>
      <c r="S561" s="165" t="s">
        <v>3902</v>
      </c>
      <c r="T561" s="165"/>
      <c r="U561" s="165"/>
      <c r="V561" s="165"/>
      <c r="W561" s="165"/>
      <c r="X561" s="165" t="s">
        <v>2428</v>
      </c>
      <c r="Y561">
        <v>2</v>
      </c>
      <c r="Z561" s="165" t="s">
        <v>3903</v>
      </c>
      <c r="AA561" s="165" t="s">
        <v>3811</v>
      </c>
      <c r="AB561" s="165" t="s">
        <v>3810</v>
      </c>
      <c r="AC561" s="165" t="s">
        <v>3809</v>
      </c>
      <c r="AD561" s="165"/>
      <c r="AF561" s="165"/>
      <c r="AK561" s="165"/>
      <c r="AP561">
        <v>0</v>
      </c>
      <c r="AQ561" s="165" t="s">
        <v>3978</v>
      </c>
      <c r="AR561" t="s">
        <v>4205</v>
      </c>
      <c r="AS561" s="165" t="s">
        <v>30</v>
      </c>
      <c r="AT561" t="s">
        <v>5291</v>
      </c>
      <c r="AU561" t="s">
        <v>5291</v>
      </c>
    </row>
    <row r="562" spans="1:47" hidden="1" x14ac:dyDescent="0.25">
      <c r="A562" s="165" t="s">
        <v>5062</v>
      </c>
      <c r="B562" s="165" t="s">
        <v>5063</v>
      </c>
      <c r="C562" s="165" t="s">
        <v>23</v>
      </c>
      <c r="D562" s="165" t="s">
        <v>5064</v>
      </c>
      <c r="E562" s="165" t="s">
        <v>4070</v>
      </c>
      <c r="F562" s="165" t="s">
        <v>106</v>
      </c>
      <c r="G562" s="165" t="s">
        <v>8</v>
      </c>
      <c r="H562" s="165" t="s">
        <v>251</v>
      </c>
      <c r="I562" s="165" t="s">
        <v>3805</v>
      </c>
      <c r="J562" s="165" t="s">
        <v>3818</v>
      </c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>
        <v>0</v>
      </c>
      <c r="Z562" s="165" t="s">
        <v>28</v>
      </c>
      <c r="AA562" s="165"/>
      <c r="AB562" s="165"/>
      <c r="AC562" s="165"/>
      <c r="AD562" s="165"/>
      <c r="AF562" s="165"/>
      <c r="AK562" s="165"/>
      <c r="AP562">
        <v>0</v>
      </c>
      <c r="AQ562" s="165" t="s">
        <v>3978</v>
      </c>
      <c r="AS562" s="165" t="s">
        <v>2085</v>
      </c>
      <c r="AT562" t="s">
        <v>5291</v>
      </c>
      <c r="AU562" t="s">
        <v>5291</v>
      </c>
    </row>
    <row r="563" spans="1:47" hidden="1" x14ac:dyDescent="0.25">
      <c r="A563" s="165" t="s">
        <v>5065</v>
      </c>
      <c r="B563" s="165" t="s">
        <v>88</v>
      </c>
      <c r="C563" s="165" t="s">
        <v>23</v>
      </c>
      <c r="D563" s="165" t="s">
        <v>5066</v>
      </c>
      <c r="E563" s="165" t="s">
        <v>4070</v>
      </c>
      <c r="F563" s="165" t="s">
        <v>106</v>
      </c>
      <c r="G563" s="165" t="s">
        <v>3878</v>
      </c>
      <c r="H563" s="165" t="s">
        <v>251</v>
      </c>
      <c r="I563" s="165" t="s">
        <v>3822</v>
      </c>
      <c r="J563" s="165" t="s">
        <v>4262</v>
      </c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>
        <v>0</v>
      </c>
      <c r="Z563" s="165" t="s">
        <v>28</v>
      </c>
      <c r="AA563" s="165"/>
      <c r="AB563" s="165"/>
      <c r="AC563" s="165"/>
      <c r="AD563" s="165"/>
      <c r="AF563" s="165"/>
      <c r="AK563" s="165"/>
      <c r="AP563">
        <v>0</v>
      </c>
      <c r="AQ563" s="165" t="s">
        <v>3978</v>
      </c>
      <c r="AS563" s="165" t="s">
        <v>2085</v>
      </c>
      <c r="AT563" t="s">
        <v>5291</v>
      </c>
      <c r="AU563" t="s">
        <v>5291</v>
      </c>
    </row>
    <row r="564" spans="1:47" hidden="1" x14ac:dyDescent="0.25">
      <c r="A564" s="165" t="s">
        <v>1033</v>
      </c>
      <c r="B564" s="165" t="s">
        <v>5067</v>
      </c>
      <c r="C564" s="165" t="s">
        <v>23</v>
      </c>
      <c r="D564" s="165" t="s">
        <v>1034</v>
      </c>
      <c r="E564" s="165" t="s">
        <v>4070</v>
      </c>
      <c r="F564" s="165" t="s">
        <v>106</v>
      </c>
      <c r="G564" s="165" t="s">
        <v>3878</v>
      </c>
      <c r="H564" s="165" t="s">
        <v>251</v>
      </c>
      <c r="I564" s="165" t="s">
        <v>3822</v>
      </c>
      <c r="J564" s="165" t="s">
        <v>4262</v>
      </c>
      <c r="K564" s="165"/>
      <c r="L564" s="165"/>
      <c r="M564" s="165"/>
      <c r="N564" s="165" t="s">
        <v>3805</v>
      </c>
      <c r="O564" s="165"/>
      <c r="P564" s="165"/>
      <c r="Q564" s="165"/>
      <c r="R564" s="165"/>
      <c r="S564" s="165"/>
      <c r="T564" s="165"/>
      <c r="U564" s="165"/>
      <c r="V564" s="165" t="s">
        <v>3821</v>
      </c>
      <c r="W564" s="165" t="s">
        <v>3822</v>
      </c>
      <c r="X564" s="165"/>
      <c r="Y564">
        <v>3</v>
      </c>
      <c r="Z564" s="165" t="s">
        <v>5068</v>
      </c>
      <c r="AA564" s="165" t="s">
        <v>3809</v>
      </c>
      <c r="AB564" s="165" t="s">
        <v>3810</v>
      </c>
      <c r="AC564" s="165" t="s">
        <v>3811</v>
      </c>
      <c r="AD564" s="165" t="s">
        <v>4252</v>
      </c>
      <c r="AE564">
        <v>6</v>
      </c>
      <c r="AF564" s="165" t="s">
        <v>4253</v>
      </c>
      <c r="AG564">
        <v>40</v>
      </c>
      <c r="AH564">
        <v>29</v>
      </c>
      <c r="AI564">
        <v>43</v>
      </c>
      <c r="AJ564">
        <v>32</v>
      </c>
      <c r="AK564" s="165" t="s">
        <v>4254</v>
      </c>
      <c r="AL564">
        <v>41</v>
      </c>
      <c r="AM564">
        <v>36</v>
      </c>
      <c r="AN564">
        <v>4</v>
      </c>
      <c r="AO564">
        <v>4</v>
      </c>
      <c r="AP564">
        <v>16</v>
      </c>
      <c r="AQ564" s="165" t="s">
        <v>3815</v>
      </c>
      <c r="AR564" t="s">
        <v>3860</v>
      </c>
      <c r="AS564" s="165" t="s">
        <v>174</v>
      </c>
      <c r="AT564" t="s">
        <v>5291</v>
      </c>
      <c r="AU564" t="s">
        <v>5291</v>
      </c>
    </row>
    <row r="565" spans="1:47" hidden="1" x14ac:dyDescent="0.25">
      <c r="A565" s="165" t="s">
        <v>5069</v>
      </c>
      <c r="B565" s="165" t="s">
        <v>88</v>
      </c>
      <c r="C565" s="165" t="s">
        <v>23</v>
      </c>
      <c r="D565" s="165" t="s">
        <v>5070</v>
      </c>
      <c r="E565" s="165" t="s">
        <v>4109</v>
      </c>
      <c r="F565" s="165" t="s">
        <v>2183</v>
      </c>
      <c r="G565" s="165" t="s">
        <v>3878</v>
      </c>
      <c r="H565" s="165" t="s">
        <v>251</v>
      </c>
      <c r="I565" s="165" t="s">
        <v>3807</v>
      </c>
      <c r="J565" s="165" t="s">
        <v>4671</v>
      </c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 t="s">
        <v>3807</v>
      </c>
      <c r="V565" s="165" t="s">
        <v>3821</v>
      </c>
      <c r="W565" s="165" t="s">
        <v>3822</v>
      </c>
      <c r="X565" s="165"/>
      <c r="Y565">
        <v>3</v>
      </c>
      <c r="Z565" s="165" t="s">
        <v>4367</v>
      </c>
      <c r="AA565" s="165" t="s">
        <v>3809</v>
      </c>
      <c r="AB565" s="165" t="s">
        <v>3810</v>
      </c>
      <c r="AC565" s="165" t="s">
        <v>3811</v>
      </c>
      <c r="AD565" s="165" t="s">
        <v>3881</v>
      </c>
      <c r="AE565">
        <v>1</v>
      </c>
      <c r="AF565" s="165" t="s">
        <v>3882</v>
      </c>
      <c r="AG565">
        <v>34</v>
      </c>
      <c r="AH565">
        <v>29</v>
      </c>
      <c r="AI565">
        <v>37</v>
      </c>
      <c r="AJ565">
        <v>32</v>
      </c>
      <c r="AK565" s="165" t="s">
        <v>3883</v>
      </c>
      <c r="AL565">
        <v>36</v>
      </c>
      <c r="AM565">
        <v>32</v>
      </c>
      <c r="AN565">
        <v>6</v>
      </c>
      <c r="AO565">
        <v>6</v>
      </c>
      <c r="AP565">
        <v>36</v>
      </c>
      <c r="AQ565" s="165" t="s">
        <v>3815</v>
      </c>
      <c r="AR565" t="s">
        <v>4698</v>
      </c>
      <c r="AS565" s="165" t="s">
        <v>174</v>
      </c>
      <c r="AT565" t="s">
        <v>5291</v>
      </c>
      <c r="AU565" t="s">
        <v>5291</v>
      </c>
    </row>
    <row r="566" spans="1:47" hidden="1" x14ac:dyDescent="0.25">
      <c r="A566" s="165" t="s">
        <v>1405</v>
      </c>
      <c r="B566" s="165" t="s">
        <v>5071</v>
      </c>
      <c r="C566" s="165" t="s">
        <v>23</v>
      </c>
      <c r="D566" s="165" t="s">
        <v>5072</v>
      </c>
      <c r="E566" s="165" t="s">
        <v>4109</v>
      </c>
      <c r="F566" s="165" t="s">
        <v>2183</v>
      </c>
      <c r="G566" s="165" t="s">
        <v>3878</v>
      </c>
      <c r="H566" s="165" t="s">
        <v>251</v>
      </c>
      <c r="I566" s="165" t="s">
        <v>3807</v>
      </c>
      <c r="J566" s="165" t="s">
        <v>4671</v>
      </c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 t="s">
        <v>3807</v>
      </c>
      <c r="V566" s="165" t="s">
        <v>3821</v>
      </c>
      <c r="W566" s="165" t="s">
        <v>3822</v>
      </c>
      <c r="X566" s="165"/>
      <c r="Y566">
        <v>3</v>
      </c>
      <c r="Z566" s="165" t="s">
        <v>4367</v>
      </c>
      <c r="AA566" s="165" t="s">
        <v>3809</v>
      </c>
      <c r="AB566" s="165" t="s">
        <v>3810</v>
      </c>
      <c r="AC566" s="165" t="s">
        <v>3811</v>
      </c>
      <c r="AD566" s="165" t="s">
        <v>3881</v>
      </c>
      <c r="AE566">
        <v>1</v>
      </c>
      <c r="AF566" s="165" t="s">
        <v>3882</v>
      </c>
      <c r="AG566">
        <v>34</v>
      </c>
      <c r="AH566">
        <v>29</v>
      </c>
      <c r="AI566">
        <v>37</v>
      </c>
      <c r="AJ566">
        <v>32</v>
      </c>
      <c r="AK566" s="165" t="s">
        <v>3883</v>
      </c>
      <c r="AL566">
        <v>36</v>
      </c>
      <c r="AM566">
        <v>32</v>
      </c>
      <c r="AN566">
        <v>6</v>
      </c>
      <c r="AO566">
        <v>6</v>
      </c>
      <c r="AP566">
        <v>36</v>
      </c>
      <c r="AQ566" s="165" t="s">
        <v>3815</v>
      </c>
      <c r="AR566" t="s">
        <v>3932</v>
      </c>
      <c r="AS566" s="165" t="s">
        <v>174</v>
      </c>
      <c r="AT566" t="s">
        <v>5291</v>
      </c>
      <c r="AU566" t="s">
        <v>5291</v>
      </c>
    </row>
    <row r="567" spans="1:47" hidden="1" x14ac:dyDescent="0.25">
      <c r="A567" s="165" t="s">
        <v>5073</v>
      </c>
      <c r="B567" s="165" t="s">
        <v>88</v>
      </c>
      <c r="C567" s="165" t="s">
        <v>23</v>
      </c>
      <c r="D567" s="165" t="s">
        <v>5074</v>
      </c>
      <c r="E567" s="165" t="s">
        <v>4795</v>
      </c>
      <c r="F567" s="165" t="s">
        <v>2183</v>
      </c>
      <c r="G567" s="165" t="s">
        <v>8</v>
      </c>
      <c r="H567" s="165" t="s">
        <v>263</v>
      </c>
      <c r="I567" s="165" t="s">
        <v>3820</v>
      </c>
      <c r="J567" s="165" t="s">
        <v>4082</v>
      </c>
      <c r="K567" s="165"/>
      <c r="L567" s="165"/>
      <c r="M567" s="165"/>
      <c r="N567" s="165" t="s">
        <v>3805</v>
      </c>
      <c r="O567" s="165"/>
      <c r="P567" s="165"/>
      <c r="Q567" s="165"/>
      <c r="R567" s="165"/>
      <c r="S567" s="165"/>
      <c r="T567" s="165" t="s">
        <v>3806</v>
      </c>
      <c r="U567" s="165" t="s">
        <v>3807</v>
      </c>
      <c r="V567" s="165"/>
      <c r="W567" s="165"/>
      <c r="X567" s="165"/>
      <c r="Y567">
        <v>3</v>
      </c>
      <c r="Z567" s="165" t="s">
        <v>3808</v>
      </c>
      <c r="AA567" s="165" t="s">
        <v>3809</v>
      </c>
      <c r="AB567" s="165" t="s">
        <v>3810</v>
      </c>
      <c r="AC567" s="165" t="s">
        <v>3811</v>
      </c>
      <c r="AD567" s="165" t="s">
        <v>4584</v>
      </c>
      <c r="AE567">
        <v>40</v>
      </c>
      <c r="AF567" s="165" t="s">
        <v>5024</v>
      </c>
      <c r="AG567">
        <v>599</v>
      </c>
      <c r="AH567">
        <v>377</v>
      </c>
      <c r="AI567">
        <v>62.9</v>
      </c>
      <c r="AJ567">
        <v>40.700000000000003</v>
      </c>
      <c r="AK567" s="165" t="s">
        <v>5025</v>
      </c>
      <c r="AN567">
        <v>3</v>
      </c>
      <c r="AO567">
        <v>4</v>
      </c>
      <c r="AP567">
        <v>12</v>
      </c>
      <c r="AQ567" s="165" t="s">
        <v>3978</v>
      </c>
      <c r="AR567" t="s">
        <v>5026</v>
      </c>
      <c r="AS567" s="165" t="s">
        <v>174</v>
      </c>
      <c r="AT567" t="s">
        <v>5291</v>
      </c>
      <c r="AU567" t="s">
        <v>5291</v>
      </c>
    </row>
    <row r="568" spans="1:47" hidden="1" x14ac:dyDescent="0.25">
      <c r="A568" s="165" t="s">
        <v>5075</v>
      </c>
      <c r="B568" s="165" t="s">
        <v>88</v>
      </c>
      <c r="C568" s="165" t="s">
        <v>23</v>
      </c>
      <c r="D568" s="165" t="s">
        <v>5076</v>
      </c>
      <c r="E568" s="165" t="s">
        <v>5077</v>
      </c>
      <c r="F568" s="165" t="s">
        <v>11</v>
      </c>
      <c r="G568" s="165" t="s">
        <v>3878</v>
      </c>
      <c r="H568" s="165" t="s">
        <v>263</v>
      </c>
      <c r="I568" s="165" t="s">
        <v>3821</v>
      </c>
      <c r="J568" s="165" t="s">
        <v>3879</v>
      </c>
      <c r="K568" s="165"/>
      <c r="L568" s="165"/>
      <c r="M568" s="165"/>
      <c r="N568" s="165" t="s">
        <v>3805</v>
      </c>
      <c r="O568" s="165"/>
      <c r="P568" s="165"/>
      <c r="Q568" s="165"/>
      <c r="R568" s="165"/>
      <c r="S568" s="165"/>
      <c r="T568" s="165" t="s">
        <v>3806</v>
      </c>
      <c r="U568" s="165" t="s">
        <v>3807</v>
      </c>
      <c r="V568" s="165"/>
      <c r="W568" s="165"/>
      <c r="X568" s="165"/>
      <c r="Y568">
        <v>3</v>
      </c>
      <c r="Z568" s="165" t="s">
        <v>3808</v>
      </c>
      <c r="AA568" s="165" t="s">
        <v>3809</v>
      </c>
      <c r="AB568" s="165" t="s">
        <v>3810</v>
      </c>
      <c r="AC568" s="165" t="s">
        <v>3811</v>
      </c>
      <c r="AD568" s="165" t="s">
        <v>4230</v>
      </c>
      <c r="AE568">
        <v>97</v>
      </c>
      <c r="AF568" s="165"/>
      <c r="AK568" s="165"/>
      <c r="AN568">
        <v>8</v>
      </c>
      <c r="AP568">
        <v>0</v>
      </c>
      <c r="AQ568" s="165" t="s">
        <v>3978</v>
      </c>
      <c r="AR568" t="s">
        <v>5078</v>
      </c>
      <c r="AS568" s="165" t="s">
        <v>174</v>
      </c>
      <c r="AT568" t="s">
        <v>5291</v>
      </c>
      <c r="AU568" t="s">
        <v>5291</v>
      </c>
    </row>
    <row r="569" spans="1:47" hidden="1" x14ac:dyDescent="0.25">
      <c r="A569" s="165" t="s">
        <v>5079</v>
      </c>
      <c r="B569" s="165" t="s">
        <v>88</v>
      </c>
      <c r="C569" s="165" t="s">
        <v>23</v>
      </c>
      <c r="D569" s="165" t="s">
        <v>5080</v>
      </c>
      <c r="E569" s="165" t="s">
        <v>3991</v>
      </c>
      <c r="F569" s="165" t="s">
        <v>11</v>
      </c>
      <c r="G569" s="165" t="s">
        <v>8</v>
      </c>
      <c r="H569" s="165" t="s">
        <v>263</v>
      </c>
      <c r="I569" s="165" t="s">
        <v>3803</v>
      </c>
      <c r="J569" s="165" t="s">
        <v>3804</v>
      </c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>
        <v>0</v>
      </c>
      <c r="Z569" s="165" t="s">
        <v>28</v>
      </c>
      <c r="AA569" s="165" t="s">
        <v>3809</v>
      </c>
      <c r="AB569" s="165" t="s">
        <v>3810</v>
      </c>
      <c r="AC569" s="165" t="s">
        <v>3811</v>
      </c>
      <c r="AD569" s="165"/>
      <c r="AF569" s="165"/>
      <c r="AK569" s="165"/>
      <c r="AP569">
        <v>0</v>
      </c>
      <c r="AQ569" s="165" t="s">
        <v>3978</v>
      </c>
      <c r="AR569" t="s">
        <v>5081</v>
      </c>
      <c r="AS569" s="165" t="s">
        <v>174</v>
      </c>
      <c r="AT569" t="s">
        <v>5291</v>
      </c>
      <c r="AU569" t="s">
        <v>5291</v>
      </c>
    </row>
    <row r="570" spans="1:47" hidden="1" x14ac:dyDescent="0.25">
      <c r="A570" s="165" t="s">
        <v>5082</v>
      </c>
      <c r="B570" s="165" t="s">
        <v>88</v>
      </c>
      <c r="C570" s="165" t="s">
        <v>23</v>
      </c>
      <c r="D570" s="165" t="s">
        <v>5083</v>
      </c>
      <c r="E570" s="165" t="s">
        <v>3991</v>
      </c>
      <c r="F570" s="165" t="s">
        <v>11</v>
      </c>
      <c r="G570" s="165" t="s">
        <v>8</v>
      </c>
      <c r="H570" s="165" t="s">
        <v>263</v>
      </c>
      <c r="I570" s="165" t="s">
        <v>3803</v>
      </c>
      <c r="J570" s="165" t="s">
        <v>3804</v>
      </c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>
        <v>0</v>
      </c>
      <c r="Z570" s="165" t="s">
        <v>28</v>
      </c>
      <c r="AA570" s="165" t="s">
        <v>3809</v>
      </c>
      <c r="AB570" s="165" t="s">
        <v>3810</v>
      </c>
      <c r="AC570" s="165" t="s">
        <v>3811</v>
      </c>
      <c r="AD570" s="165"/>
      <c r="AF570" s="165"/>
      <c r="AK570" s="165"/>
      <c r="AP570">
        <v>0</v>
      </c>
      <c r="AQ570" s="165" t="s">
        <v>3978</v>
      </c>
      <c r="AR570" t="s">
        <v>5058</v>
      </c>
      <c r="AS570" s="165" t="s">
        <v>174</v>
      </c>
      <c r="AT570" t="s">
        <v>5291</v>
      </c>
      <c r="AU570" t="s">
        <v>5291</v>
      </c>
    </row>
    <row r="571" spans="1:47" hidden="1" x14ac:dyDescent="0.25">
      <c r="A571" s="165" t="s">
        <v>5084</v>
      </c>
      <c r="B571" s="165" t="s">
        <v>88</v>
      </c>
      <c r="C571" s="165" t="s">
        <v>23</v>
      </c>
      <c r="D571" s="165" t="s">
        <v>5085</v>
      </c>
      <c r="E571" s="165" t="s">
        <v>5086</v>
      </c>
      <c r="F571" s="165" t="s">
        <v>11</v>
      </c>
      <c r="G571" s="165" t="s">
        <v>8</v>
      </c>
      <c r="H571" s="165" t="s">
        <v>263</v>
      </c>
      <c r="I571" s="165" t="s">
        <v>3803</v>
      </c>
      <c r="J571" s="165" t="s">
        <v>3804</v>
      </c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>
        <v>0</v>
      </c>
      <c r="Z571" s="165" t="s">
        <v>28</v>
      </c>
      <c r="AA571" s="165"/>
      <c r="AB571" s="165"/>
      <c r="AC571" s="165"/>
      <c r="AD571" s="165"/>
      <c r="AF571" s="165"/>
      <c r="AK571" s="165"/>
      <c r="AP571">
        <v>0</v>
      </c>
      <c r="AQ571" s="165" t="s">
        <v>3978</v>
      </c>
      <c r="AS571" s="165" t="s">
        <v>2085</v>
      </c>
      <c r="AT571" t="s">
        <v>5291</v>
      </c>
      <c r="AU571" t="s">
        <v>5291</v>
      </c>
    </row>
    <row r="572" spans="1:47" hidden="1" x14ac:dyDescent="0.25">
      <c r="A572" s="165" t="s">
        <v>5087</v>
      </c>
      <c r="B572" s="165" t="s">
        <v>88</v>
      </c>
      <c r="C572" s="165" t="s">
        <v>23</v>
      </c>
      <c r="D572" s="165" t="s">
        <v>5088</v>
      </c>
      <c r="E572" s="165" t="s">
        <v>5089</v>
      </c>
      <c r="F572" s="165" t="s">
        <v>2183</v>
      </c>
      <c r="G572" s="165" t="s">
        <v>8</v>
      </c>
      <c r="H572" s="165" t="s">
        <v>263</v>
      </c>
      <c r="I572" s="165" t="s">
        <v>3820</v>
      </c>
      <c r="J572" s="165" t="s">
        <v>4082</v>
      </c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>
        <v>0</v>
      </c>
      <c r="Z572" s="165" t="s">
        <v>28</v>
      </c>
      <c r="AA572" s="165"/>
      <c r="AB572" s="165"/>
      <c r="AC572" s="165"/>
      <c r="AD572" s="165"/>
      <c r="AF572" s="165"/>
      <c r="AK572" s="165"/>
      <c r="AP572">
        <v>0</v>
      </c>
      <c r="AQ572" s="165" t="s">
        <v>3978</v>
      </c>
      <c r="AS572" s="165" t="s">
        <v>2085</v>
      </c>
      <c r="AT572" t="s">
        <v>5291</v>
      </c>
      <c r="AU572" t="s">
        <v>5291</v>
      </c>
    </row>
    <row r="573" spans="1:47" hidden="1" x14ac:dyDescent="0.25">
      <c r="A573" s="165" t="s">
        <v>5090</v>
      </c>
      <c r="B573" s="165" t="s">
        <v>88</v>
      </c>
      <c r="C573" s="165" t="s">
        <v>23</v>
      </c>
      <c r="D573" s="165" t="s">
        <v>5091</v>
      </c>
      <c r="E573" s="165" t="s">
        <v>5092</v>
      </c>
      <c r="F573" s="165" t="s">
        <v>2183</v>
      </c>
      <c r="G573" s="165" t="s">
        <v>8</v>
      </c>
      <c r="H573" s="165" t="s">
        <v>263</v>
      </c>
      <c r="I573" s="165" t="s">
        <v>3820</v>
      </c>
      <c r="J573" s="165" t="s">
        <v>4082</v>
      </c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>
        <v>0</v>
      </c>
      <c r="Z573" s="165" t="s">
        <v>28</v>
      </c>
      <c r="AA573" s="165"/>
      <c r="AB573" s="165"/>
      <c r="AC573" s="165"/>
      <c r="AD573" s="165"/>
      <c r="AF573" s="165"/>
      <c r="AK573" s="165"/>
      <c r="AP573">
        <v>0</v>
      </c>
      <c r="AQ573" s="165" t="s">
        <v>3978</v>
      </c>
      <c r="AR573" t="s">
        <v>5093</v>
      </c>
      <c r="AS573" s="165" t="s">
        <v>2085</v>
      </c>
      <c r="AT573" t="s">
        <v>5291</v>
      </c>
      <c r="AU573" t="s">
        <v>5291</v>
      </c>
    </row>
    <row r="574" spans="1:47" hidden="1" x14ac:dyDescent="0.25">
      <c r="A574" s="165" t="s">
        <v>5094</v>
      </c>
      <c r="B574" s="165" t="s">
        <v>5095</v>
      </c>
      <c r="C574" s="165" t="s">
        <v>23</v>
      </c>
      <c r="D574" s="165" t="s">
        <v>5096</v>
      </c>
      <c r="E574" s="165" t="s">
        <v>5097</v>
      </c>
      <c r="F574" s="165" t="s">
        <v>11</v>
      </c>
      <c r="G574" s="165" t="s">
        <v>8</v>
      </c>
      <c r="H574" s="165" t="s">
        <v>263</v>
      </c>
      <c r="I574" s="165" t="s">
        <v>3803</v>
      </c>
      <c r="J574" s="165" t="s">
        <v>3804</v>
      </c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>
        <v>0</v>
      </c>
      <c r="Z574" s="165" t="s">
        <v>28</v>
      </c>
      <c r="AA574" s="165"/>
      <c r="AB574" s="165"/>
      <c r="AC574" s="165"/>
      <c r="AD574" s="165"/>
      <c r="AF574" s="165"/>
      <c r="AK574" s="165"/>
      <c r="AP574">
        <v>0</v>
      </c>
      <c r="AQ574" s="165" t="s">
        <v>3978</v>
      </c>
      <c r="AR574" t="s">
        <v>4023</v>
      </c>
      <c r="AS574" s="165" t="s">
        <v>2085</v>
      </c>
      <c r="AT574" t="s">
        <v>5291</v>
      </c>
      <c r="AU574" t="s">
        <v>5291</v>
      </c>
    </row>
    <row r="575" spans="1:47" hidden="1" x14ac:dyDescent="0.25">
      <c r="A575" s="165" t="s">
        <v>5098</v>
      </c>
      <c r="B575" s="165" t="s">
        <v>88</v>
      </c>
      <c r="C575" s="165" t="s">
        <v>23</v>
      </c>
      <c r="D575" s="165" t="s">
        <v>5099</v>
      </c>
      <c r="E575" s="165" t="s">
        <v>5097</v>
      </c>
      <c r="F575" s="165" t="s">
        <v>11</v>
      </c>
      <c r="G575" s="165" t="s">
        <v>8</v>
      </c>
      <c r="H575" s="165" t="s">
        <v>263</v>
      </c>
      <c r="I575" s="165" t="s">
        <v>3803</v>
      </c>
      <c r="J575" s="165" t="s">
        <v>3804</v>
      </c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>
        <v>0</v>
      </c>
      <c r="Z575" s="165" t="s">
        <v>28</v>
      </c>
      <c r="AA575" s="165"/>
      <c r="AB575" s="165"/>
      <c r="AC575" s="165"/>
      <c r="AD575" s="165"/>
      <c r="AF575" s="165"/>
      <c r="AK575" s="165"/>
      <c r="AP575">
        <v>0</v>
      </c>
      <c r="AQ575" s="165" t="s">
        <v>3978</v>
      </c>
      <c r="AR575" t="s">
        <v>5100</v>
      </c>
      <c r="AS575" s="165" t="s">
        <v>2085</v>
      </c>
      <c r="AT575" t="s">
        <v>5291</v>
      </c>
      <c r="AU575" t="s">
        <v>5291</v>
      </c>
    </row>
    <row r="576" spans="1:47" hidden="1" x14ac:dyDescent="0.25">
      <c r="A576" s="165" t="s">
        <v>5101</v>
      </c>
      <c r="B576" s="165" t="s">
        <v>88</v>
      </c>
      <c r="C576" s="165" t="s">
        <v>23</v>
      </c>
      <c r="D576" s="165" t="s">
        <v>5102</v>
      </c>
      <c r="E576" s="165" t="s">
        <v>3991</v>
      </c>
      <c r="F576" s="165" t="s">
        <v>11</v>
      </c>
      <c r="G576" s="165" t="s">
        <v>3878</v>
      </c>
      <c r="H576" s="165" t="s">
        <v>263</v>
      </c>
      <c r="I576" s="165" t="s">
        <v>3821</v>
      </c>
      <c r="J576" s="165" t="s">
        <v>3879</v>
      </c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>
        <v>0</v>
      </c>
      <c r="Z576" s="165" t="s">
        <v>28</v>
      </c>
      <c r="AA576" s="165" t="s">
        <v>3809</v>
      </c>
      <c r="AB576" s="165" t="s">
        <v>3810</v>
      </c>
      <c r="AC576" s="165" t="s">
        <v>3811</v>
      </c>
      <c r="AD576" s="165"/>
      <c r="AF576" s="165"/>
      <c r="AK576" s="165"/>
      <c r="AP576">
        <v>0</v>
      </c>
      <c r="AQ576" s="165" t="s">
        <v>3978</v>
      </c>
      <c r="AR576" t="s">
        <v>5103</v>
      </c>
      <c r="AS576" s="165" t="s">
        <v>174</v>
      </c>
      <c r="AT576" t="s">
        <v>5291</v>
      </c>
      <c r="AU576" t="s">
        <v>5291</v>
      </c>
    </row>
    <row r="577" spans="1:47" hidden="1" x14ac:dyDescent="0.25">
      <c r="A577" s="165" t="s">
        <v>1824</v>
      </c>
      <c r="B577" s="165" t="s">
        <v>88</v>
      </c>
      <c r="C577" s="165" t="s">
        <v>23</v>
      </c>
      <c r="D577" s="165" t="s">
        <v>1825</v>
      </c>
      <c r="E577" s="165" t="s">
        <v>4657</v>
      </c>
      <c r="F577" s="165" t="s">
        <v>11</v>
      </c>
      <c r="G577" s="165" t="s">
        <v>3878</v>
      </c>
      <c r="H577" s="165" t="s">
        <v>263</v>
      </c>
      <c r="I577" s="165" t="s">
        <v>3821</v>
      </c>
      <c r="J577" s="165" t="s">
        <v>3879</v>
      </c>
      <c r="K577" s="165"/>
      <c r="L577" s="165"/>
      <c r="M577" s="165"/>
      <c r="N577" s="165"/>
      <c r="O577" s="165"/>
      <c r="P577" s="165"/>
      <c r="Q577" s="165"/>
      <c r="R577" s="165"/>
      <c r="S577" s="165"/>
      <c r="T577" s="165" t="s">
        <v>3806</v>
      </c>
      <c r="U577" s="165" t="s">
        <v>3807</v>
      </c>
      <c r="V577" s="165"/>
      <c r="W577" s="165"/>
      <c r="X577" s="165"/>
      <c r="Y577">
        <v>2</v>
      </c>
      <c r="Z577" s="165" t="s">
        <v>3880</v>
      </c>
      <c r="AA577" s="165" t="s">
        <v>3810</v>
      </c>
      <c r="AB577" s="165" t="s">
        <v>3810</v>
      </c>
      <c r="AC577" s="165" t="s">
        <v>3811</v>
      </c>
      <c r="AD577" s="165" t="s">
        <v>3881</v>
      </c>
      <c r="AE577">
        <v>1</v>
      </c>
      <c r="AF577" s="165" t="s">
        <v>3882</v>
      </c>
      <c r="AG577">
        <v>34</v>
      </c>
      <c r="AH577">
        <v>29</v>
      </c>
      <c r="AI577">
        <v>37</v>
      </c>
      <c r="AJ577">
        <v>32</v>
      </c>
      <c r="AK577" s="165" t="s">
        <v>3883</v>
      </c>
      <c r="AL577">
        <v>36</v>
      </c>
      <c r="AM577">
        <v>32</v>
      </c>
      <c r="AN577">
        <v>6</v>
      </c>
      <c r="AO577">
        <v>6</v>
      </c>
      <c r="AP577">
        <v>36</v>
      </c>
      <c r="AQ577" s="165" t="s">
        <v>3815</v>
      </c>
      <c r="AR577" t="s">
        <v>3998</v>
      </c>
      <c r="AS577" s="165" t="s">
        <v>174</v>
      </c>
      <c r="AT577" t="s">
        <v>5291</v>
      </c>
      <c r="AU577" t="s">
        <v>5291</v>
      </c>
    </row>
    <row r="578" spans="1:47" hidden="1" x14ac:dyDescent="0.25">
      <c r="A578" s="165" t="s">
        <v>5104</v>
      </c>
      <c r="B578" s="165" t="s">
        <v>5105</v>
      </c>
      <c r="C578" s="165" t="s">
        <v>23</v>
      </c>
      <c r="D578" s="165" t="s">
        <v>5106</v>
      </c>
      <c r="E578" s="165" t="s">
        <v>4761</v>
      </c>
      <c r="F578" s="165" t="s">
        <v>11</v>
      </c>
      <c r="G578" s="165" t="s">
        <v>8</v>
      </c>
      <c r="H578" s="165" t="s">
        <v>263</v>
      </c>
      <c r="I578" s="165" t="s">
        <v>3803</v>
      </c>
      <c r="J578" s="165" t="s">
        <v>3804</v>
      </c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>
        <v>0</v>
      </c>
      <c r="Z578" s="165" t="s">
        <v>28</v>
      </c>
      <c r="AA578" s="165"/>
      <c r="AB578" s="165"/>
      <c r="AC578" s="165"/>
      <c r="AD578" s="165"/>
      <c r="AF578" s="165"/>
      <c r="AK578" s="165"/>
      <c r="AP578">
        <v>0</v>
      </c>
      <c r="AQ578" s="165" t="s">
        <v>3978</v>
      </c>
      <c r="AR578" t="s">
        <v>5107</v>
      </c>
      <c r="AS578" s="165" t="s">
        <v>2085</v>
      </c>
      <c r="AT578" t="s">
        <v>5291</v>
      </c>
      <c r="AU578" t="s">
        <v>5291</v>
      </c>
    </row>
    <row r="579" spans="1:47" hidden="1" x14ac:dyDescent="0.25">
      <c r="A579" s="165" t="s">
        <v>5108</v>
      </c>
      <c r="B579" s="165" t="s">
        <v>88</v>
      </c>
      <c r="C579" s="165" t="s">
        <v>2471</v>
      </c>
      <c r="D579" s="165" t="s">
        <v>5109</v>
      </c>
      <c r="E579" s="165" t="s">
        <v>5110</v>
      </c>
      <c r="F579" s="165" t="s">
        <v>11</v>
      </c>
      <c r="G579" s="165" t="s">
        <v>3878</v>
      </c>
      <c r="H579" s="165" t="s">
        <v>263</v>
      </c>
      <c r="I579" s="165" t="s">
        <v>3821</v>
      </c>
      <c r="J579" s="165" t="s">
        <v>3879</v>
      </c>
      <c r="K579" s="165"/>
      <c r="L579" s="165"/>
      <c r="M579" s="165"/>
      <c r="N579" s="165"/>
      <c r="O579" s="165"/>
      <c r="P579" s="165"/>
      <c r="Q579" s="165"/>
      <c r="R579" s="165"/>
      <c r="S579" s="165"/>
      <c r="T579" s="165" t="s">
        <v>3806</v>
      </c>
      <c r="U579" s="165" t="s">
        <v>3807</v>
      </c>
      <c r="V579" s="165"/>
      <c r="W579" s="165"/>
      <c r="X579" s="165"/>
      <c r="Y579">
        <v>2</v>
      </c>
      <c r="Z579" s="165" t="s">
        <v>3880</v>
      </c>
      <c r="AA579" s="165" t="s">
        <v>3811</v>
      </c>
      <c r="AB579" s="165" t="s">
        <v>3810</v>
      </c>
      <c r="AC579" s="165" t="s">
        <v>3809</v>
      </c>
      <c r="AD579" s="165"/>
      <c r="AF579" s="165"/>
      <c r="AK579" s="165"/>
      <c r="AP579">
        <v>0</v>
      </c>
      <c r="AQ579" s="165" t="s">
        <v>3978</v>
      </c>
      <c r="AR579" t="s">
        <v>5111</v>
      </c>
      <c r="AS579" s="165" t="s">
        <v>30</v>
      </c>
      <c r="AT579" t="s">
        <v>5291</v>
      </c>
      <c r="AU579" t="s">
        <v>3809</v>
      </c>
    </row>
    <row r="580" spans="1:47" hidden="1" x14ac:dyDescent="0.25">
      <c r="A580" s="165" t="s">
        <v>5112</v>
      </c>
      <c r="B580" s="165" t="s">
        <v>88</v>
      </c>
      <c r="C580" s="165" t="s">
        <v>2471</v>
      </c>
      <c r="D580" s="165" t="s">
        <v>5113</v>
      </c>
      <c r="E580" s="165" t="s">
        <v>5086</v>
      </c>
      <c r="F580" s="165" t="s">
        <v>11</v>
      </c>
      <c r="G580" s="165" t="s">
        <v>3878</v>
      </c>
      <c r="H580" s="165" t="s">
        <v>263</v>
      </c>
      <c r="I580" s="165" t="s">
        <v>3821</v>
      </c>
      <c r="J580" s="165" t="s">
        <v>3879</v>
      </c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>
        <v>0</v>
      </c>
      <c r="Z580" s="165" t="s">
        <v>28</v>
      </c>
      <c r="AA580" s="165"/>
      <c r="AB580" s="165"/>
      <c r="AC580" s="165"/>
      <c r="AD580" s="165"/>
      <c r="AF580" s="165"/>
      <c r="AK580" s="165"/>
      <c r="AP580">
        <v>0</v>
      </c>
      <c r="AQ580" s="165" t="s">
        <v>3978</v>
      </c>
      <c r="AR580" t="s">
        <v>4503</v>
      </c>
      <c r="AS580" s="165" t="s">
        <v>2085</v>
      </c>
      <c r="AT580" t="s">
        <v>5291</v>
      </c>
      <c r="AU580" t="s">
        <v>3809</v>
      </c>
    </row>
    <row r="581" spans="1:47" hidden="1" x14ac:dyDescent="0.25">
      <c r="A581" s="165" t="s">
        <v>5114</v>
      </c>
      <c r="B581" s="165" t="s">
        <v>88</v>
      </c>
      <c r="C581" s="165" t="s">
        <v>2471</v>
      </c>
      <c r="D581" s="165" t="s">
        <v>5115</v>
      </c>
      <c r="E581" s="165" t="s">
        <v>4812</v>
      </c>
      <c r="F581" s="165" t="s">
        <v>11</v>
      </c>
      <c r="G581" s="165" t="s">
        <v>3878</v>
      </c>
      <c r="H581" s="165" t="s">
        <v>263</v>
      </c>
      <c r="I581" s="165" t="s">
        <v>3821</v>
      </c>
      <c r="J581" s="165" t="s">
        <v>3879</v>
      </c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>
        <v>0</v>
      </c>
      <c r="Z581" s="165" t="s">
        <v>28</v>
      </c>
      <c r="AA581" s="165"/>
      <c r="AB581" s="165"/>
      <c r="AC581" s="165"/>
      <c r="AD581" s="165"/>
      <c r="AF581" s="165"/>
      <c r="AK581" s="165"/>
      <c r="AP581">
        <v>0</v>
      </c>
      <c r="AQ581" s="165" t="s">
        <v>3978</v>
      </c>
      <c r="AR581" t="s">
        <v>4503</v>
      </c>
      <c r="AS581" s="165" t="s">
        <v>2085</v>
      </c>
      <c r="AT581" t="s">
        <v>5291</v>
      </c>
      <c r="AU581" t="s">
        <v>3809</v>
      </c>
    </row>
    <row r="582" spans="1:47" hidden="1" x14ac:dyDescent="0.25">
      <c r="A582" s="165" t="s">
        <v>5116</v>
      </c>
      <c r="B582" s="165" t="s">
        <v>88</v>
      </c>
      <c r="C582" s="165" t="s">
        <v>23</v>
      </c>
      <c r="D582" s="165" t="s">
        <v>5117</v>
      </c>
      <c r="E582" s="165" t="s">
        <v>4049</v>
      </c>
      <c r="F582" s="165" t="s">
        <v>3850</v>
      </c>
      <c r="G582" s="165" t="s">
        <v>8</v>
      </c>
      <c r="H582" s="165" t="s">
        <v>263</v>
      </c>
      <c r="I582" s="165" t="s">
        <v>3819</v>
      </c>
      <c r="J582" s="165" t="s">
        <v>3851</v>
      </c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>
        <v>0</v>
      </c>
      <c r="Z582" s="165" t="s">
        <v>28</v>
      </c>
      <c r="AA582" s="165"/>
      <c r="AB582" s="165"/>
      <c r="AC582" s="165"/>
      <c r="AD582" s="165"/>
      <c r="AF582" s="165"/>
      <c r="AK582" s="165"/>
      <c r="AP582">
        <v>0</v>
      </c>
      <c r="AQ582" s="165" t="s">
        <v>3978</v>
      </c>
      <c r="AR582" t="s">
        <v>5118</v>
      </c>
      <c r="AS582" s="165" t="s">
        <v>2085</v>
      </c>
      <c r="AT582" t="s">
        <v>5291</v>
      </c>
      <c r="AU582" t="s">
        <v>5291</v>
      </c>
    </row>
    <row r="583" spans="1:47" hidden="1" x14ac:dyDescent="0.25">
      <c r="A583" s="165" t="s">
        <v>5119</v>
      </c>
      <c r="B583" s="165" t="s">
        <v>5120</v>
      </c>
      <c r="C583" s="165" t="s">
        <v>23</v>
      </c>
      <c r="D583" s="165" t="s">
        <v>5121</v>
      </c>
      <c r="E583" s="165" t="s">
        <v>4800</v>
      </c>
      <c r="F583" s="165" t="s">
        <v>2183</v>
      </c>
      <c r="G583" s="165" t="s">
        <v>8</v>
      </c>
      <c r="H583" s="165" t="s">
        <v>263</v>
      </c>
      <c r="I583" s="165" t="s">
        <v>3820</v>
      </c>
      <c r="J583" s="165" t="s">
        <v>4082</v>
      </c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>
        <v>0</v>
      </c>
      <c r="Z583" s="165" t="s">
        <v>28</v>
      </c>
      <c r="AA583" s="165"/>
      <c r="AB583" s="165"/>
      <c r="AC583" s="165"/>
      <c r="AD583" s="165"/>
      <c r="AF583" s="165"/>
      <c r="AK583" s="165"/>
      <c r="AP583">
        <v>0</v>
      </c>
      <c r="AQ583" s="165" t="s">
        <v>3978</v>
      </c>
      <c r="AR583" t="s">
        <v>4796</v>
      </c>
      <c r="AS583" s="165" t="s">
        <v>2085</v>
      </c>
      <c r="AT583" t="s">
        <v>5291</v>
      </c>
      <c r="AU583" t="s">
        <v>5291</v>
      </c>
    </row>
    <row r="584" spans="1:47" hidden="1" x14ac:dyDescent="0.25">
      <c r="A584" s="165" t="s">
        <v>5122</v>
      </c>
      <c r="B584" s="165" t="s">
        <v>88</v>
      </c>
      <c r="C584" s="165" t="s">
        <v>23</v>
      </c>
      <c r="D584" s="165" t="s">
        <v>5123</v>
      </c>
      <c r="E584" s="165" t="s">
        <v>4812</v>
      </c>
      <c r="F584" s="165" t="s">
        <v>11</v>
      </c>
      <c r="G584" s="165" t="s">
        <v>8</v>
      </c>
      <c r="H584" s="165" t="s">
        <v>263</v>
      </c>
      <c r="I584" s="165" t="s">
        <v>3803</v>
      </c>
      <c r="J584" s="165" t="s">
        <v>3804</v>
      </c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>
        <v>0</v>
      </c>
      <c r="Z584" s="165" t="s">
        <v>28</v>
      </c>
      <c r="AA584" s="165"/>
      <c r="AB584" s="165"/>
      <c r="AC584" s="165"/>
      <c r="AD584" s="165"/>
      <c r="AF584" s="165"/>
      <c r="AK584" s="165"/>
      <c r="AP584">
        <v>0</v>
      </c>
      <c r="AQ584" s="165" t="s">
        <v>3978</v>
      </c>
      <c r="AR584" t="s">
        <v>5124</v>
      </c>
      <c r="AS584" s="165" t="s">
        <v>2085</v>
      </c>
      <c r="AT584" t="s">
        <v>5291</v>
      </c>
      <c r="AU584" t="s">
        <v>5291</v>
      </c>
    </row>
    <row r="585" spans="1:47" hidden="1" x14ac:dyDescent="0.25">
      <c r="A585" s="165" t="s">
        <v>1493</v>
      </c>
      <c r="B585" s="165" t="s">
        <v>5125</v>
      </c>
      <c r="C585" s="165" t="s">
        <v>23</v>
      </c>
      <c r="D585" s="165" t="s">
        <v>1494</v>
      </c>
      <c r="E585" s="165" t="s">
        <v>4812</v>
      </c>
      <c r="F585" s="165" t="s">
        <v>11</v>
      </c>
      <c r="G585" s="165" t="s">
        <v>8</v>
      </c>
      <c r="H585" s="165" t="s">
        <v>263</v>
      </c>
      <c r="I585" s="165" t="s">
        <v>3803</v>
      </c>
      <c r="J585" s="165" t="s">
        <v>3804</v>
      </c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>
        <v>0</v>
      </c>
      <c r="Z585" s="165" t="s">
        <v>28</v>
      </c>
      <c r="AA585" s="165"/>
      <c r="AB585" s="165"/>
      <c r="AC585" s="165"/>
      <c r="AD585" s="165"/>
      <c r="AF585" s="165"/>
      <c r="AK585" s="165"/>
      <c r="AP585">
        <v>0</v>
      </c>
      <c r="AQ585" s="165" t="s">
        <v>3978</v>
      </c>
      <c r="AR585" t="s">
        <v>4202</v>
      </c>
      <c r="AS585" s="165" t="s">
        <v>2085</v>
      </c>
      <c r="AT585" t="s">
        <v>5291</v>
      </c>
      <c r="AU585" t="s">
        <v>5291</v>
      </c>
    </row>
    <row r="586" spans="1:47" hidden="1" x14ac:dyDescent="0.25">
      <c r="A586" s="165" t="s">
        <v>5126</v>
      </c>
      <c r="B586" s="165" t="s">
        <v>88</v>
      </c>
      <c r="C586" s="165" t="s">
        <v>23</v>
      </c>
      <c r="D586" s="165" t="s">
        <v>5127</v>
      </c>
      <c r="E586" s="165" t="s">
        <v>4880</v>
      </c>
      <c r="F586" s="165" t="s">
        <v>9</v>
      </c>
      <c r="G586" s="165" t="s">
        <v>8</v>
      </c>
      <c r="H586" s="165" t="s">
        <v>2206</v>
      </c>
      <c r="I586" s="165" t="s">
        <v>3820</v>
      </c>
      <c r="J586" s="165" t="s">
        <v>3863</v>
      </c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>
        <v>0</v>
      </c>
      <c r="Z586" s="165" t="s">
        <v>28</v>
      </c>
      <c r="AA586" s="165"/>
      <c r="AB586" s="165"/>
      <c r="AC586" s="165"/>
      <c r="AD586" s="165"/>
      <c r="AF586" s="165"/>
      <c r="AK586" s="165"/>
      <c r="AP586">
        <v>0</v>
      </c>
      <c r="AQ586" s="165" t="s">
        <v>3978</v>
      </c>
      <c r="AS586" s="165" t="s">
        <v>2085</v>
      </c>
      <c r="AT586" t="s">
        <v>5291</v>
      </c>
      <c r="AU586" t="s">
        <v>5291</v>
      </c>
    </row>
    <row r="587" spans="1:47" hidden="1" x14ac:dyDescent="0.25">
      <c r="A587" s="165" t="s">
        <v>1090</v>
      </c>
      <c r="B587" s="165" t="s">
        <v>5128</v>
      </c>
      <c r="C587" s="165" t="s">
        <v>23</v>
      </c>
      <c r="D587" s="165" t="s">
        <v>1091</v>
      </c>
      <c r="E587" s="165" t="s">
        <v>4880</v>
      </c>
      <c r="F587" s="165" t="s">
        <v>9</v>
      </c>
      <c r="G587" s="165" t="s">
        <v>8</v>
      </c>
      <c r="H587" s="165" t="s">
        <v>2206</v>
      </c>
      <c r="I587" s="165" t="s">
        <v>3820</v>
      </c>
      <c r="J587" s="165" t="s">
        <v>3863</v>
      </c>
      <c r="K587" s="165"/>
      <c r="L587" s="165"/>
      <c r="M587" s="165"/>
      <c r="N587" s="165" t="s">
        <v>3805</v>
      </c>
      <c r="O587" s="165" t="s">
        <v>3864</v>
      </c>
      <c r="P587" s="165" t="s">
        <v>3865</v>
      </c>
      <c r="Q587" s="165"/>
      <c r="R587" s="165"/>
      <c r="S587" s="165"/>
      <c r="T587" s="165"/>
      <c r="U587" s="165" t="s">
        <v>3807</v>
      </c>
      <c r="V587" s="165"/>
      <c r="W587" s="165"/>
      <c r="X587" s="165"/>
      <c r="Y587">
        <v>4</v>
      </c>
      <c r="Z587" s="165" t="s">
        <v>3866</v>
      </c>
      <c r="AA587" s="165" t="s">
        <v>3809</v>
      </c>
      <c r="AB587" s="165" t="s">
        <v>3810</v>
      </c>
      <c r="AC587" s="165" t="s">
        <v>3811</v>
      </c>
      <c r="AD587" s="165" t="s">
        <v>4820</v>
      </c>
      <c r="AE587">
        <v>67</v>
      </c>
      <c r="AF587" s="165" t="s">
        <v>4821</v>
      </c>
      <c r="AG587">
        <v>48</v>
      </c>
      <c r="AH587">
        <v>18</v>
      </c>
      <c r="AI587">
        <v>51</v>
      </c>
      <c r="AJ587">
        <v>21</v>
      </c>
      <c r="AK587" s="165" t="s">
        <v>4822</v>
      </c>
      <c r="AN587">
        <v>3</v>
      </c>
      <c r="AO587">
        <v>8</v>
      </c>
      <c r="AP587">
        <v>24</v>
      </c>
      <c r="AQ587" s="165" t="s">
        <v>3815</v>
      </c>
      <c r="AR587" t="s">
        <v>3974</v>
      </c>
      <c r="AS587" s="165" t="s">
        <v>174</v>
      </c>
      <c r="AT587" t="s">
        <v>5291</v>
      </c>
      <c r="AU587" t="s">
        <v>5291</v>
      </c>
    </row>
    <row r="588" spans="1:47" hidden="1" x14ac:dyDescent="0.25">
      <c r="A588" s="165" t="s">
        <v>1200</v>
      </c>
      <c r="B588" s="165" t="s">
        <v>5129</v>
      </c>
      <c r="C588" s="165" t="s">
        <v>23</v>
      </c>
      <c r="D588" s="165" t="s">
        <v>1201</v>
      </c>
      <c r="E588" s="165" t="s">
        <v>4876</v>
      </c>
      <c r="F588" s="165" t="s">
        <v>9</v>
      </c>
      <c r="G588" s="165" t="s">
        <v>8</v>
      </c>
      <c r="H588" s="165" t="s">
        <v>2206</v>
      </c>
      <c r="I588" s="165" t="s">
        <v>3820</v>
      </c>
      <c r="J588" s="165" t="s">
        <v>3863</v>
      </c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>
        <v>0</v>
      </c>
      <c r="Z588" s="165" t="s">
        <v>28</v>
      </c>
      <c r="AA588" s="165"/>
      <c r="AB588" s="165"/>
      <c r="AC588" s="165"/>
      <c r="AD588" s="165"/>
      <c r="AF588" s="165"/>
      <c r="AK588" s="165"/>
      <c r="AP588">
        <v>0</v>
      </c>
      <c r="AQ588" s="165" t="s">
        <v>3978</v>
      </c>
      <c r="AS588" s="165" t="s">
        <v>2085</v>
      </c>
      <c r="AT588" t="s">
        <v>5291</v>
      </c>
      <c r="AU588" t="s">
        <v>5291</v>
      </c>
    </row>
    <row r="589" spans="1:47" hidden="1" x14ac:dyDescent="0.25">
      <c r="A589" s="165" t="s">
        <v>5130</v>
      </c>
      <c r="B589" s="165" t="s">
        <v>88</v>
      </c>
      <c r="C589" s="165" t="s">
        <v>23</v>
      </c>
      <c r="D589" s="165" t="s">
        <v>5131</v>
      </c>
      <c r="E589" s="165" t="s">
        <v>5132</v>
      </c>
      <c r="F589" s="165" t="s">
        <v>9</v>
      </c>
      <c r="G589" s="165" t="s">
        <v>8</v>
      </c>
      <c r="H589" s="165" t="s">
        <v>2206</v>
      </c>
      <c r="I589" s="165" t="s">
        <v>3820</v>
      </c>
      <c r="J589" s="165" t="s">
        <v>3863</v>
      </c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>
        <v>0</v>
      </c>
      <c r="Z589" s="165" t="s">
        <v>28</v>
      </c>
      <c r="AA589" s="165"/>
      <c r="AB589" s="165"/>
      <c r="AC589" s="165"/>
      <c r="AD589" s="165"/>
      <c r="AF589" s="165"/>
      <c r="AK589" s="165"/>
      <c r="AP589">
        <v>0</v>
      </c>
      <c r="AQ589" s="165" t="s">
        <v>3978</v>
      </c>
      <c r="AR589" t="s">
        <v>3979</v>
      </c>
      <c r="AS589" s="165" t="s">
        <v>2085</v>
      </c>
      <c r="AT589" t="s">
        <v>5291</v>
      </c>
      <c r="AU589" t="s">
        <v>5291</v>
      </c>
    </row>
    <row r="590" spans="1:47" hidden="1" x14ac:dyDescent="0.25">
      <c r="A590" s="165" t="s">
        <v>5133</v>
      </c>
      <c r="B590" s="165" t="s">
        <v>88</v>
      </c>
      <c r="C590" s="165" t="s">
        <v>2471</v>
      </c>
      <c r="D590" s="165" t="s">
        <v>5134</v>
      </c>
      <c r="E590" s="165" t="s">
        <v>4270</v>
      </c>
      <c r="F590" s="165" t="s">
        <v>9</v>
      </c>
      <c r="G590" s="165" t="s">
        <v>3878</v>
      </c>
      <c r="H590" s="165" t="s">
        <v>2206</v>
      </c>
      <c r="I590" s="165" t="s">
        <v>3807</v>
      </c>
      <c r="J590" s="165" t="s">
        <v>4314</v>
      </c>
      <c r="K590" s="165"/>
      <c r="L590" s="165"/>
      <c r="M590" s="165"/>
      <c r="N590" s="165"/>
      <c r="O590" s="165" t="s">
        <v>3864</v>
      </c>
      <c r="P590" s="165" t="s">
        <v>3865</v>
      </c>
      <c r="Q590" s="165"/>
      <c r="R590" s="165"/>
      <c r="S590" s="165"/>
      <c r="T590" s="165"/>
      <c r="U590" s="165" t="s">
        <v>3807</v>
      </c>
      <c r="V590" s="165"/>
      <c r="W590" s="165"/>
      <c r="X590" s="165"/>
      <c r="Y590">
        <v>3</v>
      </c>
      <c r="Z590" s="165" t="s">
        <v>4775</v>
      </c>
      <c r="AA590" s="165" t="s">
        <v>3809</v>
      </c>
      <c r="AB590" s="165" t="s">
        <v>3810</v>
      </c>
      <c r="AC590" s="165" t="s">
        <v>3811</v>
      </c>
      <c r="AD590" s="165" t="s">
        <v>4892</v>
      </c>
      <c r="AE590">
        <v>104</v>
      </c>
      <c r="AF590" s="165" t="s">
        <v>4871</v>
      </c>
      <c r="AG590">
        <v>49</v>
      </c>
      <c r="AH590">
        <v>31</v>
      </c>
      <c r="AI590">
        <v>52</v>
      </c>
      <c r="AJ590">
        <v>34</v>
      </c>
      <c r="AK590" s="165" t="s">
        <v>4872</v>
      </c>
      <c r="AN590">
        <v>7</v>
      </c>
      <c r="AO590">
        <v>4</v>
      </c>
      <c r="AP590">
        <v>28</v>
      </c>
      <c r="AQ590" s="165" t="s">
        <v>5135</v>
      </c>
      <c r="AR590" t="s">
        <v>3998</v>
      </c>
      <c r="AS590" s="165" t="s">
        <v>174</v>
      </c>
      <c r="AT590" t="s">
        <v>5291</v>
      </c>
      <c r="AU590" t="s">
        <v>3809</v>
      </c>
    </row>
    <row r="591" spans="1:47" hidden="1" x14ac:dyDescent="0.25">
      <c r="A591" s="165" t="s">
        <v>5136</v>
      </c>
      <c r="B591" s="165" t="s">
        <v>5137</v>
      </c>
      <c r="C591" s="165" t="s">
        <v>23</v>
      </c>
      <c r="D591" s="165" t="s">
        <v>5138</v>
      </c>
      <c r="E591" s="165" t="s">
        <v>5139</v>
      </c>
      <c r="F591" s="165" t="s">
        <v>5140</v>
      </c>
      <c r="G591" s="165" t="s">
        <v>8</v>
      </c>
      <c r="H591" s="165" t="s">
        <v>269</v>
      </c>
      <c r="I591" s="165"/>
      <c r="J591" s="165"/>
      <c r="K591" s="165"/>
      <c r="L591" s="165"/>
      <c r="M591" s="165"/>
      <c r="N591" s="165"/>
      <c r="O591" s="165"/>
      <c r="P591" s="165"/>
      <c r="Q591" s="165" t="s">
        <v>3888</v>
      </c>
      <c r="R591" s="165"/>
      <c r="S591" s="165"/>
      <c r="T591" s="165"/>
      <c r="U591" s="165" t="s">
        <v>3807</v>
      </c>
      <c r="V591" s="165"/>
      <c r="W591" s="165"/>
      <c r="X591" s="165"/>
      <c r="Y591">
        <v>2</v>
      </c>
      <c r="Z591" s="165" t="s">
        <v>5051</v>
      </c>
      <c r="AA591" s="165"/>
      <c r="AB591" s="165"/>
      <c r="AC591" s="165"/>
      <c r="AD591" s="165"/>
      <c r="AF591" s="165"/>
      <c r="AK591" s="165"/>
      <c r="AP591">
        <v>0</v>
      </c>
      <c r="AQ591" s="165" t="s">
        <v>3978</v>
      </c>
      <c r="AR591" t="s">
        <v>5141</v>
      </c>
      <c r="AS591" s="165" t="s">
        <v>2085</v>
      </c>
      <c r="AT591" t="s">
        <v>5291</v>
      </c>
      <c r="AU591" t="s">
        <v>5291</v>
      </c>
    </row>
    <row r="592" spans="1:47" hidden="1" x14ac:dyDescent="0.25">
      <c r="A592" s="165" t="s">
        <v>3406</v>
      </c>
      <c r="B592" s="165" t="s">
        <v>3405</v>
      </c>
      <c r="C592" s="165" t="s">
        <v>23</v>
      </c>
      <c r="D592" s="165" t="s">
        <v>5142</v>
      </c>
      <c r="E592" s="165" t="s">
        <v>4270</v>
      </c>
      <c r="F592" s="165" t="s">
        <v>13</v>
      </c>
      <c r="G592" s="165" t="s">
        <v>8</v>
      </c>
      <c r="H592" s="165" t="s">
        <v>269</v>
      </c>
      <c r="I592" s="165" t="s">
        <v>3864</v>
      </c>
      <c r="J592" s="165" t="s">
        <v>3894</v>
      </c>
      <c r="K592" s="165" t="s">
        <v>3819</v>
      </c>
      <c r="L592" s="165" t="s">
        <v>3820</v>
      </c>
      <c r="M592" s="165" t="s">
        <v>3803</v>
      </c>
      <c r="N592" s="165" t="s">
        <v>3805</v>
      </c>
      <c r="O592" s="165"/>
      <c r="P592" s="165"/>
      <c r="Q592" s="165" t="s">
        <v>3888</v>
      </c>
      <c r="R592" s="165"/>
      <c r="S592" s="165"/>
      <c r="T592" s="165"/>
      <c r="U592" s="165" t="s">
        <v>3807</v>
      </c>
      <c r="V592" s="165"/>
      <c r="W592" s="165"/>
      <c r="X592" s="165"/>
      <c r="Y592">
        <v>6</v>
      </c>
      <c r="Z592" s="165" t="s">
        <v>3889</v>
      </c>
      <c r="AA592" s="165" t="s">
        <v>3809</v>
      </c>
      <c r="AB592" s="165" t="s">
        <v>3811</v>
      </c>
      <c r="AC592" s="165" t="s">
        <v>3810</v>
      </c>
      <c r="AD592" s="165"/>
      <c r="AF592" s="165"/>
      <c r="AK592" s="165"/>
      <c r="AP592">
        <v>0</v>
      </c>
      <c r="AQ592" s="165" t="s">
        <v>3978</v>
      </c>
      <c r="AR592" t="s">
        <v>4263</v>
      </c>
      <c r="AS592" s="165" t="s">
        <v>3786</v>
      </c>
      <c r="AT592" t="s">
        <v>5291</v>
      </c>
      <c r="AU592" t="s">
        <v>5291</v>
      </c>
    </row>
    <row r="593" spans="1:47" hidden="1" x14ac:dyDescent="0.25">
      <c r="A593" s="165" t="s">
        <v>5143</v>
      </c>
      <c r="B593" s="165" t="s">
        <v>88</v>
      </c>
      <c r="C593" s="165" t="s">
        <v>23</v>
      </c>
      <c r="D593" s="165" t="s">
        <v>5144</v>
      </c>
      <c r="E593" s="165" t="s">
        <v>4000</v>
      </c>
      <c r="F593" s="165" t="s">
        <v>181</v>
      </c>
      <c r="G593" s="165" t="s">
        <v>8</v>
      </c>
      <c r="H593" s="165" t="s">
        <v>269</v>
      </c>
      <c r="I593" s="165" t="s">
        <v>3864</v>
      </c>
      <c r="J593" s="165" t="s">
        <v>3894</v>
      </c>
      <c r="K593" s="165" t="s">
        <v>3819</v>
      </c>
      <c r="L593" s="165" t="s">
        <v>3820</v>
      </c>
      <c r="M593" s="165" t="s">
        <v>3803</v>
      </c>
      <c r="N593" s="165" t="s">
        <v>3805</v>
      </c>
      <c r="O593" s="165"/>
      <c r="P593" s="165"/>
      <c r="Q593" s="165" t="s">
        <v>3888</v>
      </c>
      <c r="R593" s="165"/>
      <c r="S593" s="165"/>
      <c r="T593" s="165"/>
      <c r="U593" s="165" t="s">
        <v>3807</v>
      </c>
      <c r="V593" s="165"/>
      <c r="W593" s="165"/>
      <c r="X593" s="165"/>
      <c r="Y593">
        <v>6</v>
      </c>
      <c r="Z593" s="165" t="s">
        <v>3889</v>
      </c>
      <c r="AA593" s="165" t="s">
        <v>3809</v>
      </c>
      <c r="AB593" s="165" t="s">
        <v>3811</v>
      </c>
      <c r="AC593" s="165" t="s">
        <v>3810</v>
      </c>
      <c r="AD593" s="165"/>
      <c r="AF593" s="165"/>
      <c r="AK593" s="165"/>
      <c r="AP593">
        <v>0</v>
      </c>
      <c r="AQ593" s="165" t="s">
        <v>3978</v>
      </c>
      <c r="AS593" s="165" t="s">
        <v>3786</v>
      </c>
      <c r="AT593" t="s">
        <v>5291</v>
      </c>
      <c r="AU593" t="s">
        <v>5291</v>
      </c>
    </row>
    <row r="594" spans="1:47" hidden="1" x14ac:dyDescent="0.25">
      <c r="A594" s="165" t="s">
        <v>5145</v>
      </c>
      <c r="B594" s="165" t="s">
        <v>5146</v>
      </c>
      <c r="C594" s="165" t="s">
        <v>23</v>
      </c>
      <c r="D594" s="165" t="s">
        <v>5147</v>
      </c>
      <c r="E594" s="165" t="s">
        <v>5139</v>
      </c>
      <c r="F594" s="165" t="s">
        <v>5140</v>
      </c>
      <c r="G594" s="165" t="s">
        <v>3878</v>
      </c>
      <c r="H594" s="165" t="s">
        <v>269</v>
      </c>
      <c r="I594" s="165"/>
      <c r="J594" s="165"/>
      <c r="K594" s="165"/>
      <c r="L594" s="165"/>
      <c r="M594" s="165"/>
      <c r="N594" s="165"/>
      <c r="O594" s="165"/>
      <c r="P594" s="165"/>
      <c r="Q594" s="165" t="s">
        <v>3888</v>
      </c>
      <c r="R594" s="165"/>
      <c r="S594" s="165"/>
      <c r="T594" s="165"/>
      <c r="U594" s="165" t="s">
        <v>3807</v>
      </c>
      <c r="V594" s="165"/>
      <c r="W594" s="165"/>
      <c r="X594" s="165"/>
      <c r="Y594">
        <v>2</v>
      </c>
      <c r="Z594" s="165" t="s">
        <v>5051</v>
      </c>
      <c r="AA594" s="165"/>
      <c r="AB594" s="165"/>
      <c r="AC594" s="165"/>
      <c r="AD594" s="165"/>
      <c r="AF594" s="165"/>
      <c r="AK594" s="165"/>
      <c r="AP594">
        <v>0</v>
      </c>
      <c r="AQ594" s="165" t="s">
        <v>3978</v>
      </c>
      <c r="AR594" t="s">
        <v>5141</v>
      </c>
      <c r="AS594" s="165" t="s">
        <v>2085</v>
      </c>
      <c r="AT594" t="s">
        <v>5291</v>
      </c>
      <c r="AU594" t="s">
        <v>5291</v>
      </c>
    </row>
    <row r="595" spans="1:47" hidden="1" x14ac:dyDescent="0.25">
      <c r="A595" s="165" t="s">
        <v>1490</v>
      </c>
      <c r="B595" s="165" t="s">
        <v>5148</v>
      </c>
      <c r="C595" s="165" t="s">
        <v>23</v>
      </c>
      <c r="D595" s="165" t="s">
        <v>1814</v>
      </c>
      <c r="E595" s="165" t="s">
        <v>4812</v>
      </c>
      <c r="F595" s="165" t="s">
        <v>181</v>
      </c>
      <c r="G595" s="165" t="s">
        <v>3878</v>
      </c>
      <c r="H595" s="165" t="s">
        <v>269</v>
      </c>
      <c r="I595" s="165" t="s">
        <v>2428</v>
      </c>
      <c r="J595" s="165" t="s">
        <v>3887</v>
      </c>
      <c r="K595" s="165" t="s">
        <v>3819</v>
      </c>
      <c r="L595" s="165" t="s">
        <v>3820</v>
      </c>
      <c r="M595" s="165" t="s">
        <v>3803</v>
      </c>
      <c r="N595" s="165" t="s">
        <v>3805</v>
      </c>
      <c r="O595" s="165"/>
      <c r="P595" s="165"/>
      <c r="Q595" s="165" t="s">
        <v>3888</v>
      </c>
      <c r="R595" s="165"/>
      <c r="S595" s="165"/>
      <c r="T595" s="165"/>
      <c r="U595" s="165" t="s">
        <v>3807</v>
      </c>
      <c r="V595" s="165"/>
      <c r="W595" s="165"/>
      <c r="X595" s="165"/>
      <c r="Y595">
        <v>6</v>
      </c>
      <c r="Z595" s="165" t="s">
        <v>3889</v>
      </c>
      <c r="AA595" s="165" t="s">
        <v>3809</v>
      </c>
      <c r="AB595" s="165" t="s">
        <v>3811</v>
      </c>
      <c r="AC595" s="165" t="s">
        <v>3810</v>
      </c>
      <c r="AD595" s="165" t="s">
        <v>4858</v>
      </c>
      <c r="AE595">
        <v>76</v>
      </c>
      <c r="AF595" s="165" t="s">
        <v>4859</v>
      </c>
      <c r="AG595">
        <v>495</v>
      </c>
      <c r="AH595">
        <v>275</v>
      </c>
      <c r="AI595">
        <v>52.5</v>
      </c>
      <c r="AJ595">
        <v>30.5</v>
      </c>
      <c r="AK595" s="165" t="s">
        <v>4860</v>
      </c>
      <c r="AN595">
        <v>2</v>
      </c>
      <c r="AO595">
        <v>4</v>
      </c>
      <c r="AP595">
        <v>8</v>
      </c>
      <c r="AQ595" s="165" t="s">
        <v>3815</v>
      </c>
      <c r="AR595" t="s">
        <v>4377</v>
      </c>
      <c r="AS595" s="165" t="s">
        <v>3786</v>
      </c>
      <c r="AT595" t="s">
        <v>5291</v>
      </c>
      <c r="AU595" t="s">
        <v>5291</v>
      </c>
    </row>
    <row r="596" spans="1:47" hidden="1" x14ac:dyDescent="0.25">
      <c r="A596" s="165" t="s">
        <v>1491</v>
      </c>
      <c r="B596" s="165" t="s">
        <v>5149</v>
      </c>
      <c r="C596" s="165" t="s">
        <v>23</v>
      </c>
      <c r="D596" s="165" t="s">
        <v>1492</v>
      </c>
      <c r="E596" s="165" t="s">
        <v>4812</v>
      </c>
      <c r="F596" s="165" t="s">
        <v>181</v>
      </c>
      <c r="G596" s="165" t="s">
        <v>8</v>
      </c>
      <c r="H596" s="165" t="s">
        <v>269</v>
      </c>
      <c r="I596" s="165" t="s">
        <v>3864</v>
      </c>
      <c r="J596" s="165" t="s">
        <v>3894</v>
      </c>
      <c r="K596" s="165" t="s">
        <v>3819</v>
      </c>
      <c r="L596" s="165" t="s">
        <v>3820</v>
      </c>
      <c r="M596" s="165" t="s">
        <v>3803</v>
      </c>
      <c r="N596" s="165" t="s">
        <v>3805</v>
      </c>
      <c r="O596" s="165"/>
      <c r="P596" s="165"/>
      <c r="Q596" s="165" t="s">
        <v>3888</v>
      </c>
      <c r="R596" s="165"/>
      <c r="S596" s="165"/>
      <c r="T596" s="165"/>
      <c r="U596" s="165" t="s">
        <v>3807</v>
      </c>
      <c r="V596" s="165"/>
      <c r="W596" s="165"/>
      <c r="X596" s="165"/>
      <c r="Y596">
        <v>6</v>
      </c>
      <c r="Z596" s="165" t="s">
        <v>3889</v>
      </c>
      <c r="AA596" s="165" t="s">
        <v>3809</v>
      </c>
      <c r="AB596" s="165" t="s">
        <v>3811</v>
      </c>
      <c r="AC596" s="165" t="s">
        <v>3810</v>
      </c>
      <c r="AD596" s="165" t="s">
        <v>4858</v>
      </c>
      <c r="AE596">
        <v>76</v>
      </c>
      <c r="AF596" s="165" t="s">
        <v>4859</v>
      </c>
      <c r="AG596">
        <v>495</v>
      </c>
      <c r="AH596">
        <v>275</v>
      </c>
      <c r="AI596">
        <v>52.5</v>
      </c>
      <c r="AJ596">
        <v>30.5</v>
      </c>
      <c r="AK596" s="165" t="s">
        <v>4860</v>
      </c>
      <c r="AN596">
        <v>2</v>
      </c>
      <c r="AO596">
        <v>4</v>
      </c>
      <c r="AP596">
        <v>8</v>
      </c>
      <c r="AQ596" s="165" t="s">
        <v>3815</v>
      </c>
      <c r="AR596" t="s">
        <v>3998</v>
      </c>
      <c r="AS596" s="165" t="s">
        <v>3786</v>
      </c>
      <c r="AT596" t="s">
        <v>5291</v>
      </c>
      <c r="AU596" t="s">
        <v>5291</v>
      </c>
    </row>
    <row r="597" spans="1:47" hidden="1" x14ac:dyDescent="0.25">
      <c r="A597" s="165" t="s">
        <v>995</v>
      </c>
      <c r="B597" s="165" t="s">
        <v>5150</v>
      </c>
      <c r="C597" s="165" t="s">
        <v>23</v>
      </c>
      <c r="D597" s="165" t="s">
        <v>996</v>
      </c>
      <c r="E597" s="165" t="s">
        <v>4945</v>
      </c>
      <c r="F597" s="165" t="s">
        <v>13</v>
      </c>
      <c r="G597" s="165" t="s">
        <v>8</v>
      </c>
      <c r="H597" s="165" t="s">
        <v>176</v>
      </c>
      <c r="I597" s="165" t="s">
        <v>3864</v>
      </c>
      <c r="J597" s="165" t="s">
        <v>3970</v>
      </c>
      <c r="K597" s="165"/>
      <c r="L597" s="165"/>
      <c r="M597" s="165"/>
      <c r="N597" s="165"/>
      <c r="O597" s="165"/>
      <c r="P597" s="165"/>
      <c r="Q597" s="165"/>
      <c r="R597" s="165" t="s">
        <v>3842</v>
      </c>
      <c r="S597" s="165"/>
      <c r="T597" s="165"/>
      <c r="U597" s="165" t="s">
        <v>3807</v>
      </c>
      <c r="V597" s="165"/>
      <c r="W597" s="165"/>
      <c r="X597" s="165"/>
      <c r="Y597">
        <v>2</v>
      </c>
      <c r="Z597" s="165" t="s">
        <v>3843</v>
      </c>
      <c r="AA597" s="165" t="s">
        <v>3811</v>
      </c>
      <c r="AB597" s="165" t="s">
        <v>3810</v>
      </c>
      <c r="AC597" s="165" t="s">
        <v>3809</v>
      </c>
      <c r="AD597" s="165" t="s">
        <v>2313</v>
      </c>
      <c r="AE597">
        <v>25</v>
      </c>
      <c r="AF597" s="165" t="s">
        <v>4068</v>
      </c>
      <c r="AG597">
        <v>50</v>
      </c>
      <c r="AH597">
        <v>326</v>
      </c>
      <c r="AI597">
        <v>53</v>
      </c>
      <c r="AJ597">
        <v>35.6</v>
      </c>
      <c r="AK597" s="165" t="s">
        <v>4069</v>
      </c>
      <c r="AN597">
        <v>6</v>
      </c>
      <c r="AO597">
        <v>4</v>
      </c>
      <c r="AP597">
        <v>24</v>
      </c>
      <c r="AQ597" s="165" t="s">
        <v>3815</v>
      </c>
      <c r="AR597" t="s">
        <v>3909</v>
      </c>
      <c r="AS597" s="165" t="s">
        <v>30</v>
      </c>
      <c r="AT597" t="s">
        <v>5291</v>
      </c>
      <c r="AU597" t="s">
        <v>5291</v>
      </c>
    </row>
    <row r="598" spans="1:47" hidden="1" x14ac:dyDescent="0.25">
      <c r="A598" s="165" t="s">
        <v>1094</v>
      </c>
      <c r="B598" s="165" t="s">
        <v>5151</v>
      </c>
      <c r="C598" s="165" t="s">
        <v>23</v>
      </c>
      <c r="D598" s="165" t="s">
        <v>1095</v>
      </c>
      <c r="E598" s="165" t="s">
        <v>4519</v>
      </c>
      <c r="F598" s="165" t="s">
        <v>11</v>
      </c>
      <c r="G598" s="165" t="s">
        <v>8</v>
      </c>
      <c r="H598" s="165" t="s">
        <v>176</v>
      </c>
      <c r="I598" s="165" t="s">
        <v>3803</v>
      </c>
      <c r="J598" s="165" t="s">
        <v>4116</v>
      </c>
      <c r="K598" s="165"/>
      <c r="L598" s="165"/>
      <c r="M598" s="165"/>
      <c r="N598" s="165"/>
      <c r="O598" s="165"/>
      <c r="P598" s="165"/>
      <c r="Q598" s="165"/>
      <c r="R598" s="165" t="s">
        <v>3842</v>
      </c>
      <c r="S598" s="165"/>
      <c r="T598" s="165"/>
      <c r="U598" s="165" t="s">
        <v>3807</v>
      </c>
      <c r="V598" s="165"/>
      <c r="W598" s="165"/>
      <c r="X598" s="165"/>
      <c r="Y598">
        <v>2</v>
      </c>
      <c r="Z598" s="165" t="s">
        <v>3843</v>
      </c>
      <c r="AA598" s="165" t="s">
        <v>3811</v>
      </c>
      <c r="AB598" s="165" t="s">
        <v>3810</v>
      </c>
      <c r="AC598" s="165" t="s">
        <v>3809</v>
      </c>
      <c r="AD598" s="165" t="s">
        <v>4629</v>
      </c>
      <c r="AE598">
        <v>14</v>
      </c>
      <c r="AF598" s="165" t="s">
        <v>4632</v>
      </c>
      <c r="AG598">
        <v>478</v>
      </c>
      <c r="AH598">
        <v>332</v>
      </c>
      <c r="AI598">
        <v>50.8</v>
      </c>
      <c r="AJ598">
        <v>36.200000000000003</v>
      </c>
      <c r="AK598" s="165" t="s">
        <v>4633</v>
      </c>
      <c r="AN598">
        <v>4</v>
      </c>
      <c r="AO598">
        <v>4</v>
      </c>
      <c r="AP598">
        <v>16</v>
      </c>
      <c r="AQ598" s="165" t="s">
        <v>3815</v>
      </c>
      <c r="AR598" t="s">
        <v>3930</v>
      </c>
      <c r="AS598" s="165" t="s">
        <v>30</v>
      </c>
      <c r="AT598" t="s">
        <v>5291</v>
      </c>
      <c r="AU598" t="s">
        <v>5291</v>
      </c>
    </row>
    <row r="599" spans="1:47" hidden="1" x14ac:dyDescent="0.25">
      <c r="A599" s="165" t="s">
        <v>1112</v>
      </c>
      <c r="B599" s="165" t="s">
        <v>5152</v>
      </c>
      <c r="C599" s="165" t="s">
        <v>23</v>
      </c>
      <c r="D599" s="165" t="s">
        <v>1113</v>
      </c>
      <c r="E599" s="165" t="s">
        <v>4295</v>
      </c>
      <c r="F599" s="165" t="s">
        <v>11</v>
      </c>
      <c r="G599" s="165" t="s">
        <v>8</v>
      </c>
      <c r="H599" s="165" t="s">
        <v>176</v>
      </c>
      <c r="I599" s="165" t="s">
        <v>3803</v>
      </c>
      <c r="J599" s="165" t="s">
        <v>4116</v>
      </c>
      <c r="K599" s="165"/>
      <c r="L599" s="165"/>
      <c r="M599" s="165"/>
      <c r="N599" s="165"/>
      <c r="O599" s="165"/>
      <c r="P599" s="165"/>
      <c r="Q599" s="165"/>
      <c r="R599" s="165" t="s">
        <v>3842</v>
      </c>
      <c r="S599" s="165"/>
      <c r="T599" s="165"/>
      <c r="U599" s="165" t="s">
        <v>3807</v>
      </c>
      <c r="V599" s="165"/>
      <c r="W599" s="165"/>
      <c r="X599" s="165"/>
      <c r="Y599">
        <v>2</v>
      </c>
      <c r="Z599" s="165" t="s">
        <v>3843</v>
      </c>
      <c r="AA599" s="165" t="s">
        <v>3811</v>
      </c>
      <c r="AB599" s="165" t="s">
        <v>3810</v>
      </c>
      <c r="AC599" s="165" t="s">
        <v>3809</v>
      </c>
      <c r="AD599" s="165" t="s">
        <v>4094</v>
      </c>
      <c r="AE599">
        <v>30</v>
      </c>
      <c r="AF599" s="165" t="s">
        <v>4095</v>
      </c>
      <c r="AG599">
        <v>44</v>
      </c>
      <c r="AH599">
        <v>345</v>
      </c>
      <c r="AI599">
        <v>47</v>
      </c>
      <c r="AJ599">
        <v>37.5</v>
      </c>
      <c r="AK599" s="165" t="s">
        <v>4096</v>
      </c>
      <c r="AN599">
        <v>2</v>
      </c>
      <c r="AO599">
        <v>4</v>
      </c>
      <c r="AP599">
        <v>8</v>
      </c>
      <c r="AQ599" s="165" t="s">
        <v>5153</v>
      </c>
      <c r="AR599" t="s">
        <v>3974</v>
      </c>
      <c r="AS599" s="165" t="s">
        <v>30</v>
      </c>
      <c r="AT599" t="s">
        <v>5291</v>
      </c>
      <c r="AU599" t="s">
        <v>5291</v>
      </c>
    </row>
    <row r="600" spans="1:47" hidden="1" x14ac:dyDescent="0.25">
      <c r="A600" s="165" t="s">
        <v>1184</v>
      </c>
      <c r="B600" s="165" t="s">
        <v>5154</v>
      </c>
      <c r="C600" s="165" t="s">
        <v>23</v>
      </c>
      <c r="D600" s="165" t="s">
        <v>1185</v>
      </c>
      <c r="E600" s="165" t="s">
        <v>4258</v>
      </c>
      <c r="F600" s="165" t="s">
        <v>3840</v>
      </c>
      <c r="G600" s="165" t="s">
        <v>8</v>
      </c>
      <c r="H600" s="165" t="s">
        <v>176</v>
      </c>
      <c r="I600" s="165" t="s">
        <v>3805</v>
      </c>
      <c r="J600" s="165" t="s">
        <v>3841</v>
      </c>
      <c r="K600" s="165"/>
      <c r="L600" s="165"/>
      <c r="M600" s="165"/>
      <c r="N600" s="165"/>
      <c r="O600" s="165"/>
      <c r="P600" s="165"/>
      <c r="Q600" s="165"/>
      <c r="R600" s="165" t="s">
        <v>3842</v>
      </c>
      <c r="S600" s="165"/>
      <c r="T600" s="165"/>
      <c r="U600" s="165" t="s">
        <v>3807</v>
      </c>
      <c r="V600" s="165"/>
      <c r="W600" s="165"/>
      <c r="X600" s="165"/>
      <c r="Y600">
        <v>2</v>
      </c>
      <c r="Z600" s="165" t="s">
        <v>3843</v>
      </c>
      <c r="AA600" s="165" t="s">
        <v>3811</v>
      </c>
      <c r="AB600" s="165" t="s">
        <v>3810</v>
      </c>
      <c r="AC600" s="165" t="s">
        <v>3809</v>
      </c>
      <c r="AD600" s="165" t="s">
        <v>3844</v>
      </c>
      <c r="AE600">
        <v>5</v>
      </c>
      <c r="AF600" s="165" t="s">
        <v>3845</v>
      </c>
      <c r="AG600">
        <v>465</v>
      </c>
      <c r="AH600">
        <v>176</v>
      </c>
      <c r="AI600">
        <v>51.5</v>
      </c>
      <c r="AJ600">
        <v>19.600000000000001</v>
      </c>
      <c r="AK600" s="165" t="s">
        <v>3846</v>
      </c>
      <c r="AN600">
        <v>2</v>
      </c>
      <c r="AO600">
        <v>6</v>
      </c>
      <c r="AP600">
        <v>12</v>
      </c>
      <c r="AQ600" s="165" t="s">
        <v>3815</v>
      </c>
      <c r="AR600" t="s">
        <v>5155</v>
      </c>
      <c r="AS600" s="165" t="s">
        <v>30</v>
      </c>
      <c r="AT600" t="s">
        <v>5291</v>
      </c>
      <c r="AU600" t="s">
        <v>5291</v>
      </c>
    </row>
    <row r="601" spans="1:47" hidden="1" x14ac:dyDescent="0.25">
      <c r="A601" s="165" t="s">
        <v>1186</v>
      </c>
      <c r="B601" s="165" t="s">
        <v>3414</v>
      </c>
      <c r="C601" s="165" t="s">
        <v>23</v>
      </c>
      <c r="D601" s="165" t="s">
        <v>1187</v>
      </c>
      <c r="E601" s="165" t="s">
        <v>4258</v>
      </c>
      <c r="F601" s="165" t="s">
        <v>11</v>
      </c>
      <c r="G601" s="165" t="s">
        <v>8</v>
      </c>
      <c r="H601" s="165" t="s">
        <v>176</v>
      </c>
      <c r="I601" s="165" t="s">
        <v>3803</v>
      </c>
      <c r="J601" s="165" t="s">
        <v>4116</v>
      </c>
      <c r="K601" s="165"/>
      <c r="L601" s="165"/>
      <c r="M601" s="165"/>
      <c r="N601" s="165"/>
      <c r="O601" s="165"/>
      <c r="P601" s="165"/>
      <c r="Q601" s="165"/>
      <c r="R601" s="165" t="s">
        <v>3842</v>
      </c>
      <c r="S601" s="165"/>
      <c r="T601" s="165"/>
      <c r="U601" s="165" t="s">
        <v>3807</v>
      </c>
      <c r="V601" s="165"/>
      <c r="W601" s="165"/>
      <c r="X601" s="165"/>
      <c r="Y601">
        <v>2</v>
      </c>
      <c r="Z601" s="165" t="s">
        <v>3843</v>
      </c>
      <c r="AA601" s="165" t="s">
        <v>3811</v>
      </c>
      <c r="AB601" s="165" t="s">
        <v>3810</v>
      </c>
      <c r="AC601" s="165" t="s">
        <v>3809</v>
      </c>
      <c r="AD601" s="165" t="s">
        <v>4909</v>
      </c>
      <c r="AE601">
        <v>34</v>
      </c>
      <c r="AF601" s="165" t="s">
        <v>5156</v>
      </c>
      <c r="AG601">
        <v>504</v>
      </c>
      <c r="AH601">
        <v>374</v>
      </c>
      <c r="AI601">
        <v>53.4</v>
      </c>
      <c r="AJ601">
        <v>40.4</v>
      </c>
      <c r="AK601" s="165" t="s">
        <v>5157</v>
      </c>
      <c r="AN601">
        <v>4</v>
      </c>
      <c r="AO601">
        <v>4</v>
      </c>
      <c r="AP601">
        <v>16</v>
      </c>
      <c r="AQ601" s="165" t="s">
        <v>3815</v>
      </c>
      <c r="AR601" t="s">
        <v>4698</v>
      </c>
      <c r="AS601" s="165" t="s">
        <v>30</v>
      </c>
      <c r="AT601" t="s">
        <v>5291</v>
      </c>
      <c r="AU601" t="s">
        <v>5291</v>
      </c>
    </row>
    <row r="602" spans="1:47" hidden="1" x14ac:dyDescent="0.25">
      <c r="A602" s="165" t="s">
        <v>1202</v>
      </c>
      <c r="B602" s="165" t="s">
        <v>5158</v>
      </c>
      <c r="C602" s="165" t="s">
        <v>2471</v>
      </c>
      <c r="D602" s="165" t="s">
        <v>1203</v>
      </c>
      <c r="E602" s="165" t="s">
        <v>5159</v>
      </c>
      <c r="F602" s="165" t="s">
        <v>11</v>
      </c>
      <c r="G602" s="165" t="s">
        <v>8</v>
      </c>
      <c r="H602" s="165" t="s">
        <v>176</v>
      </c>
      <c r="I602" s="165" t="s">
        <v>3803</v>
      </c>
      <c r="J602" s="165" t="s">
        <v>4116</v>
      </c>
      <c r="K602" s="165"/>
      <c r="L602" s="165"/>
      <c r="M602" s="165"/>
      <c r="N602" s="165"/>
      <c r="O602" s="165"/>
      <c r="P602" s="165"/>
      <c r="Q602" s="165"/>
      <c r="R602" s="165" t="s">
        <v>3842</v>
      </c>
      <c r="S602" s="165"/>
      <c r="T602" s="165"/>
      <c r="U602" s="165" t="s">
        <v>3807</v>
      </c>
      <c r="V602" s="165"/>
      <c r="W602" s="165"/>
      <c r="X602" s="165"/>
      <c r="Y602">
        <v>2</v>
      </c>
      <c r="Z602" s="165" t="s">
        <v>3843</v>
      </c>
      <c r="AA602" s="165" t="s">
        <v>3811</v>
      </c>
      <c r="AB602" s="165" t="s">
        <v>3810</v>
      </c>
      <c r="AC602" s="165" t="s">
        <v>3809</v>
      </c>
      <c r="AD602" s="165" t="s">
        <v>5160</v>
      </c>
      <c r="AE602">
        <v>86</v>
      </c>
      <c r="AF602" s="165" t="s">
        <v>5161</v>
      </c>
      <c r="AG602">
        <v>35</v>
      </c>
      <c r="AH602">
        <v>197</v>
      </c>
      <c r="AI602">
        <v>38</v>
      </c>
      <c r="AJ602">
        <v>22.7</v>
      </c>
      <c r="AK602" s="165" t="s">
        <v>5162</v>
      </c>
      <c r="AN602">
        <v>4</v>
      </c>
      <c r="AO602">
        <v>6</v>
      </c>
      <c r="AP602">
        <v>24</v>
      </c>
      <c r="AQ602" s="165" t="s">
        <v>3815</v>
      </c>
      <c r="AR602" t="s">
        <v>3870</v>
      </c>
      <c r="AS602" s="165" t="s">
        <v>30</v>
      </c>
      <c r="AT602" t="s">
        <v>5291</v>
      </c>
      <c r="AU602" t="s">
        <v>3809</v>
      </c>
    </row>
    <row r="603" spans="1:47" hidden="1" x14ac:dyDescent="0.25">
      <c r="A603" s="165" t="s">
        <v>1864</v>
      </c>
      <c r="B603" s="165" t="s">
        <v>5163</v>
      </c>
      <c r="C603" s="165" t="s">
        <v>23</v>
      </c>
      <c r="D603" s="165" t="s">
        <v>1865</v>
      </c>
      <c r="E603" s="165" t="s">
        <v>4164</v>
      </c>
      <c r="F603" s="165" t="s">
        <v>11</v>
      </c>
      <c r="G603" s="165" t="s">
        <v>8</v>
      </c>
      <c r="H603" s="165" t="s">
        <v>176</v>
      </c>
      <c r="I603" s="165" t="s">
        <v>3803</v>
      </c>
      <c r="J603" s="165" t="s">
        <v>4116</v>
      </c>
      <c r="K603" s="165"/>
      <c r="L603" s="165"/>
      <c r="M603" s="165"/>
      <c r="N603" s="165"/>
      <c r="O603" s="165"/>
      <c r="P603" s="165"/>
      <c r="Q603" s="165"/>
      <c r="R603" s="165" t="s">
        <v>3842</v>
      </c>
      <c r="S603" s="165"/>
      <c r="T603" s="165"/>
      <c r="U603" s="165" t="s">
        <v>3807</v>
      </c>
      <c r="V603" s="165"/>
      <c r="W603" s="165"/>
      <c r="X603" s="165"/>
      <c r="Y603">
        <v>2</v>
      </c>
      <c r="Z603" s="165" t="s">
        <v>3843</v>
      </c>
      <c r="AA603" s="165" t="s">
        <v>3811</v>
      </c>
      <c r="AB603" s="165" t="s">
        <v>3810</v>
      </c>
      <c r="AC603" s="165" t="s">
        <v>3809</v>
      </c>
      <c r="AD603" s="165" t="s">
        <v>4149</v>
      </c>
      <c r="AE603">
        <v>92</v>
      </c>
      <c r="AF603" s="165" t="s">
        <v>4150</v>
      </c>
      <c r="AG603">
        <v>378</v>
      </c>
      <c r="AH603">
        <v>412</v>
      </c>
      <c r="AI603">
        <v>40.799999999999997</v>
      </c>
      <c r="AJ603">
        <v>44.2</v>
      </c>
      <c r="AK603" s="165" t="s">
        <v>4151</v>
      </c>
      <c r="AN603">
        <v>4</v>
      </c>
      <c r="AO603">
        <v>4</v>
      </c>
      <c r="AP603">
        <v>16</v>
      </c>
      <c r="AQ603" s="165" t="s">
        <v>3815</v>
      </c>
      <c r="AR603" t="s">
        <v>3930</v>
      </c>
      <c r="AS603" s="165" t="s">
        <v>30</v>
      </c>
      <c r="AT603" t="s">
        <v>5291</v>
      </c>
      <c r="AU603" t="s">
        <v>5291</v>
      </c>
    </row>
    <row r="604" spans="1:47" hidden="1" x14ac:dyDescent="0.25">
      <c r="A604" s="165" t="s">
        <v>5164</v>
      </c>
      <c r="B604" s="165" t="s">
        <v>88</v>
      </c>
      <c r="C604" s="165" t="s">
        <v>23</v>
      </c>
      <c r="D604" s="165" t="s">
        <v>5165</v>
      </c>
      <c r="E604" s="165" t="s">
        <v>4945</v>
      </c>
      <c r="F604" s="165" t="s">
        <v>13</v>
      </c>
      <c r="G604" s="165" t="s">
        <v>3878</v>
      </c>
      <c r="H604" s="165" t="s">
        <v>176</v>
      </c>
      <c r="I604" s="165" t="s">
        <v>2428</v>
      </c>
      <c r="J604" s="165" t="s">
        <v>4201</v>
      </c>
      <c r="K604" s="165"/>
      <c r="L604" s="165"/>
      <c r="M604" s="165"/>
      <c r="N604" s="165"/>
      <c r="O604" s="165"/>
      <c r="P604" s="165"/>
      <c r="Q604" s="165"/>
      <c r="R604" s="165" t="s">
        <v>3842</v>
      </c>
      <c r="S604" s="165"/>
      <c r="T604" s="165"/>
      <c r="U604" s="165" t="s">
        <v>3807</v>
      </c>
      <c r="V604" s="165"/>
      <c r="W604" s="165"/>
      <c r="X604" s="165"/>
      <c r="Y604">
        <v>2</v>
      </c>
      <c r="Z604" s="165" t="s">
        <v>3843</v>
      </c>
      <c r="AA604" s="165" t="s">
        <v>3811</v>
      </c>
      <c r="AB604" s="165" t="s">
        <v>3810</v>
      </c>
      <c r="AC604" s="165" t="s">
        <v>3809</v>
      </c>
      <c r="AD604" s="165"/>
      <c r="AF604" s="165"/>
      <c r="AK604" s="165"/>
      <c r="AP604">
        <v>0</v>
      </c>
      <c r="AQ604" s="165" t="s">
        <v>3978</v>
      </c>
      <c r="AR604" t="s">
        <v>4202</v>
      </c>
      <c r="AS604" s="165" t="s">
        <v>30</v>
      </c>
      <c r="AT604" t="s">
        <v>5291</v>
      </c>
      <c r="AU604" t="s">
        <v>5291</v>
      </c>
    </row>
    <row r="605" spans="1:47" hidden="1" x14ac:dyDescent="0.25">
      <c r="A605" s="165" t="s">
        <v>5166</v>
      </c>
      <c r="B605" s="165" t="s">
        <v>88</v>
      </c>
      <c r="C605" s="165" t="s">
        <v>23</v>
      </c>
      <c r="D605" s="165" t="s">
        <v>5167</v>
      </c>
      <c r="E605" s="165" t="s">
        <v>4258</v>
      </c>
      <c r="F605" s="165" t="s">
        <v>3840</v>
      </c>
      <c r="G605" s="165" t="s">
        <v>3878</v>
      </c>
      <c r="H605" s="165" t="s">
        <v>176</v>
      </c>
      <c r="I605" s="165" t="s">
        <v>3822</v>
      </c>
      <c r="J605" s="165" t="s">
        <v>5168</v>
      </c>
      <c r="K605" s="165"/>
      <c r="L605" s="165"/>
      <c r="M605" s="165"/>
      <c r="N605" s="165"/>
      <c r="O605" s="165"/>
      <c r="P605" s="165"/>
      <c r="Q605" s="165"/>
      <c r="R605" s="165" t="s">
        <v>3842</v>
      </c>
      <c r="S605" s="165"/>
      <c r="T605" s="165"/>
      <c r="U605" s="165" t="s">
        <v>3807</v>
      </c>
      <c r="V605" s="165"/>
      <c r="W605" s="165"/>
      <c r="X605" s="165"/>
      <c r="Y605">
        <v>2</v>
      </c>
      <c r="Z605" s="165" t="s">
        <v>3843</v>
      </c>
      <c r="AA605" s="165" t="s">
        <v>3811</v>
      </c>
      <c r="AB605" s="165" t="s">
        <v>3810</v>
      </c>
      <c r="AC605" s="165" t="s">
        <v>3809</v>
      </c>
      <c r="AD605" s="165"/>
      <c r="AF605" s="165"/>
      <c r="AK605" s="165"/>
      <c r="AP605">
        <v>0</v>
      </c>
      <c r="AQ605" s="165" t="s">
        <v>3978</v>
      </c>
      <c r="AR605" t="s">
        <v>4202</v>
      </c>
      <c r="AS605" s="165" t="s">
        <v>30</v>
      </c>
      <c r="AT605" t="s">
        <v>5291</v>
      </c>
      <c r="AU605" t="s">
        <v>5291</v>
      </c>
    </row>
    <row r="606" spans="1:47" hidden="1" x14ac:dyDescent="0.25">
      <c r="A606" s="165" t="s">
        <v>5169</v>
      </c>
      <c r="B606" s="165" t="s">
        <v>88</v>
      </c>
      <c r="C606" s="165" t="s">
        <v>23</v>
      </c>
      <c r="D606" s="165" t="s">
        <v>5170</v>
      </c>
      <c r="E606" s="165" t="s">
        <v>3943</v>
      </c>
      <c r="F606" s="165" t="s">
        <v>15</v>
      </c>
      <c r="G606" s="165" t="s">
        <v>8</v>
      </c>
      <c r="H606" s="165" t="s">
        <v>176</v>
      </c>
      <c r="I606" s="165" t="s">
        <v>3864</v>
      </c>
      <c r="J606" s="165" t="s">
        <v>3970</v>
      </c>
      <c r="K606" s="165"/>
      <c r="L606" s="165"/>
      <c r="M606" s="165"/>
      <c r="N606" s="165"/>
      <c r="O606" s="165"/>
      <c r="P606" s="165"/>
      <c r="Q606" s="165"/>
      <c r="R606" s="165" t="s">
        <v>3842</v>
      </c>
      <c r="S606" s="165"/>
      <c r="T606" s="165"/>
      <c r="U606" s="165" t="s">
        <v>3807</v>
      </c>
      <c r="V606" s="165"/>
      <c r="W606" s="165"/>
      <c r="X606" s="165"/>
      <c r="Y606">
        <v>2</v>
      </c>
      <c r="Z606" s="165" t="s">
        <v>3843</v>
      </c>
      <c r="AA606" s="165" t="s">
        <v>3811</v>
      </c>
      <c r="AB606" s="165" t="s">
        <v>3810</v>
      </c>
      <c r="AC606" s="165" t="s">
        <v>3809</v>
      </c>
      <c r="AD606" s="165"/>
      <c r="AF606" s="165"/>
      <c r="AK606" s="165"/>
      <c r="AP606">
        <v>0</v>
      </c>
      <c r="AQ606" s="165" t="s">
        <v>3978</v>
      </c>
      <c r="AS606" s="165" t="s">
        <v>30</v>
      </c>
      <c r="AT606" t="s">
        <v>5291</v>
      </c>
      <c r="AU606" t="s">
        <v>5291</v>
      </c>
    </row>
    <row r="607" spans="1:47" hidden="1" x14ac:dyDescent="0.25">
      <c r="A607" s="165" t="s">
        <v>5171</v>
      </c>
      <c r="B607" s="165" t="s">
        <v>5172</v>
      </c>
      <c r="C607" s="165" t="s">
        <v>23</v>
      </c>
      <c r="D607" s="165" t="s">
        <v>5173</v>
      </c>
      <c r="E607" s="165" t="s">
        <v>3492</v>
      </c>
      <c r="F607" s="165" t="s">
        <v>11</v>
      </c>
      <c r="G607" s="165" t="s">
        <v>8</v>
      </c>
      <c r="H607" s="165" t="s">
        <v>176</v>
      </c>
      <c r="I607" s="165" t="s">
        <v>3803</v>
      </c>
      <c r="J607" s="165" t="s">
        <v>4116</v>
      </c>
      <c r="K607" s="165"/>
      <c r="L607" s="165"/>
      <c r="M607" s="165"/>
      <c r="N607" s="165"/>
      <c r="O607" s="165"/>
      <c r="P607" s="165"/>
      <c r="Q607" s="165"/>
      <c r="R607" s="165" t="s">
        <v>3842</v>
      </c>
      <c r="S607" s="165"/>
      <c r="T607" s="165"/>
      <c r="U607" s="165" t="s">
        <v>3807</v>
      </c>
      <c r="V607" s="165"/>
      <c r="W607" s="165"/>
      <c r="X607" s="165"/>
      <c r="Y607">
        <v>2</v>
      </c>
      <c r="Z607" s="165" t="s">
        <v>3843</v>
      </c>
      <c r="AA607" s="165" t="s">
        <v>3811</v>
      </c>
      <c r="AB607" s="165" t="s">
        <v>3810</v>
      </c>
      <c r="AC607" s="165" t="s">
        <v>3809</v>
      </c>
      <c r="AD607" s="165"/>
      <c r="AF607" s="165"/>
      <c r="AK607" s="165"/>
      <c r="AP607">
        <v>0</v>
      </c>
      <c r="AQ607" s="165" t="s">
        <v>3978</v>
      </c>
      <c r="AS607" s="165" t="s">
        <v>30</v>
      </c>
      <c r="AT607" t="s">
        <v>5291</v>
      </c>
      <c r="AU607" t="s">
        <v>5291</v>
      </c>
    </row>
    <row r="608" spans="1:47" hidden="1" x14ac:dyDescent="0.25">
      <c r="A608" s="165" t="s">
        <v>5174</v>
      </c>
      <c r="B608" s="165" t="s">
        <v>88</v>
      </c>
      <c r="C608" s="165" t="s">
        <v>2471</v>
      </c>
      <c r="D608" s="165" t="s">
        <v>5175</v>
      </c>
      <c r="E608" s="165" t="s">
        <v>5176</v>
      </c>
      <c r="F608" s="165" t="s">
        <v>11</v>
      </c>
      <c r="G608" s="165" t="s">
        <v>8</v>
      </c>
      <c r="H608" s="165" t="s">
        <v>176</v>
      </c>
      <c r="I608" s="165" t="s">
        <v>3803</v>
      </c>
      <c r="J608" s="165" t="s">
        <v>4116</v>
      </c>
      <c r="K608" s="165"/>
      <c r="L608" s="165"/>
      <c r="M608" s="165"/>
      <c r="N608" s="165"/>
      <c r="O608" s="165"/>
      <c r="P608" s="165"/>
      <c r="Q608" s="165"/>
      <c r="R608" s="165" t="s">
        <v>3842</v>
      </c>
      <c r="S608" s="165"/>
      <c r="T608" s="165"/>
      <c r="U608" s="165" t="s">
        <v>3807</v>
      </c>
      <c r="V608" s="165"/>
      <c r="W608" s="165"/>
      <c r="X608" s="165"/>
      <c r="Y608">
        <v>2</v>
      </c>
      <c r="Z608" s="165" t="s">
        <v>3843</v>
      </c>
      <c r="AA608" s="165" t="s">
        <v>3811</v>
      </c>
      <c r="AB608" s="165" t="s">
        <v>3810</v>
      </c>
      <c r="AC608" s="165" t="s">
        <v>3809</v>
      </c>
      <c r="AD608" s="165" t="s">
        <v>5160</v>
      </c>
      <c r="AE608">
        <v>86</v>
      </c>
      <c r="AF608" s="165" t="s">
        <v>5161</v>
      </c>
      <c r="AG608">
        <v>35</v>
      </c>
      <c r="AH608">
        <v>197</v>
      </c>
      <c r="AI608">
        <v>38</v>
      </c>
      <c r="AJ608">
        <v>22.7</v>
      </c>
      <c r="AK608" s="165" t="s">
        <v>5162</v>
      </c>
      <c r="AN608">
        <v>4</v>
      </c>
      <c r="AO608">
        <v>6</v>
      </c>
      <c r="AP608">
        <v>24</v>
      </c>
      <c r="AQ608" s="165" t="s">
        <v>3815</v>
      </c>
      <c r="AR608" t="s">
        <v>3870</v>
      </c>
      <c r="AS608" s="165" t="s">
        <v>30</v>
      </c>
      <c r="AT608" t="s">
        <v>5291</v>
      </c>
      <c r="AU608" t="s">
        <v>3809</v>
      </c>
    </row>
    <row r="609" spans="1:47" hidden="1" x14ac:dyDescent="0.25">
      <c r="A609" s="165" t="s">
        <v>1433</v>
      </c>
      <c r="B609" s="165" t="s">
        <v>5177</v>
      </c>
      <c r="C609" s="165" t="s">
        <v>2471</v>
      </c>
      <c r="D609" s="165" t="s">
        <v>1434</v>
      </c>
      <c r="E609" s="165" t="s">
        <v>5178</v>
      </c>
      <c r="F609" s="165" t="s">
        <v>11</v>
      </c>
      <c r="G609" s="165" t="s">
        <v>8</v>
      </c>
      <c r="H609" s="165" t="s">
        <v>176</v>
      </c>
      <c r="I609" s="165" t="s">
        <v>3803</v>
      </c>
      <c r="J609" s="165" t="s">
        <v>4116</v>
      </c>
      <c r="K609" s="165"/>
      <c r="L609" s="165"/>
      <c r="M609" s="165"/>
      <c r="N609" s="165"/>
      <c r="O609" s="165"/>
      <c r="P609" s="165"/>
      <c r="Q609" s="165"/>
      <c r="R609" s="165" t="s">
        <v>3842</v>
      </c>
      <c r="S609" s="165"/>
      <c r="T609" s="165"/>
      <c r="U609" s="165" t="s">
        <v>3807</v>
      </c>
      <c r="V609" s="165"/>
      <c r="W609" s="165"/>
      <c r="X609" s="165"/>
      <c r="Y609">
        <v>2</v>
      </c>
      <c r="Z609" s="165" t="s">
        <v>3843</v>
      </c>
      <c r="AA609" s="165" t="s">
        <v>3811</v>
      </c>
      <c r="AB609" s="165" t="s">
        <v>3810</v>
      </c>
      <c r="AC609" s="165" t="s">
        <v>3809</v>
      </c>
      <c r="AD609" s="165" t="s">
        <v>5160</v>
      </c>
      <c r="AE609">
        <v>86</v>
      </c>
      <c r="AF609" s="165" t="s">
        <v>5161</v>
      </c>
      <c r="AG609">
        <v>35</v>
      </c>
      <c r="AH609">
        <v>197</v>
      </c>
      <c r="AI609">
        <v>38</v>
      </c>
      <c r="AJ609">
        <v>22.7</v>
      </c>
      <c r="AK609" s="165" t="s">
        <v>5162</v>
      </c>
      <c r="AN609">
        <v>2</v>
      </c>
      <c r="AO609">
        <v>0</v>
      </c>
      <c r="AP609">
        <v>0</v>
      </c>
      <c r="AQ609" s="165" t="s">
        <v>3815</v>
      </c>
      <c r="AR609" t="s">
        <v>5179</v>
      </c>
      <c r="AS609" s="165" t="s">
        <v>30</v>
      </c>
      <c r="AT609" t="s">
        <v>5291</v>
      </c>
      <c r="AU609" t="s">
        <v>3809</v>
      </c>
    </row>
    <row r="610" spans="1:47" hidden="1" x14ac:dyDescent="0.25">
      <c r="A610" s="165" t="s">
        <v>1296</v>
      </c>
      <c r="B610" s="165" t="s">
        <v>3289</v>
      </c>
      <c r="C610" s="165" t="s">
        <v>23</v>
      </c>
      <c r="D610" s="165" t="s">
        <v>1297</v>
      </c>
      <c r="E610" s="165" t="s">
        <v>5180</v>
      </c>
      <c r="F610" s="165" t="s">
        <v>4137</v>
      </c>
      <c r="G610" s="165" t="s">
        <v>8</v>
      </c>
      <c r="H610" s="165" t="s">
        <v>176</v>
      </c>
      <c r="I610" s="165" t="s">
        <v>3902</v>
      </c>
      <c r="J610" s="165" t="s">
        <v>4572</v>
      </c>
      <c r="K610" s="165"/>
      <c r="L610" s="165"/>
      <c r="M610" s="165"/>
      <c r="N610" s="165"/>
      <c r="O610" s="165"/>
      <c r="P610" s="165"/>
      <c r="Q610" s="165"/>
      <c r="R610" s="165" t="s">
        <v>3842</v>
      </c>
      <c r="S610" s="165"/>
      <c r="T610" s="165"/>
      <c r="U610" s="165" t="s">
        <v>3807</v>
      </c>
      <c r="V610" s="165"/>
      <c r="W610" s="165"/>
      <c r="X610" s="165"/>
      <c r="Y610">
        <v>2</v>
      </c>
      <c r="Z610" s="165" t="s">
        <v>3843</v>
      </c>
      <c r="AA610" s="165" t="s">
        <v>3811</v>
      </c>
      <c r="AB610" s="165" t="s">
        <v>3810</v>
      </c>
      <c r="AC610" s="165" t="s">
        <v>3809</v>
      </c>
      <c r="AD610" s="165" t="s">
        <v>5181</v>
      </c>
      <c r="AE610">
        <v>85</v>
      </c>
      <c r="AF610" s="165" t="s">
        <v>5182</v>
      </c>
      <c r="AG610">
        <v>26</v>
      </c>
      <c r="AH610">
        <v>38</v>
      </c>
      <c r="AI610">
        <v>29</v>
      </c>
      <c r="AJ610">
        <v>41</v>
      </c>
      <c r="AK610" s="165" t="s">
        <v>5183</v>
      </c>
      <c r="AN610">
        <v>2</v>
      </c>
      <c r="AO610">
        <v>6</v>
      </c>
      <c r="AP610">
        <v>12</v>
      </c>
      <c r="AQ610" s="165" t="s">
        <v>3815</v>
      </c>
      <c r="AR610" t="s">
        <v>3930</v>
      </c>
      <c r="AS610" s="165" t="s">
        <v>30</v>
      </c>
      <c r="AT610" t="s">
        <v>5291</v>
      </c>
      <c r="AU610" t="s">
        <v>5291</v>
      </c>
    </row>
    <row r="611" spans="1:47" hidden="1" x14ac:dyDescent="0.25">
      <c r="A611" s="165" t="s">
        <v>1318</v>
      </c>
      <c r="B611" s="165" t="s">
        <v>3378</v>
      </c>
      <c r="C611" s="165" t="s">
        <v>23</v>
      </c>
      <c r="D611" s="165" t="s">
        <v>1319</v>
      </c>
      <c r="E611" s="165" t="s">
        <v>4167</v>
      </c>
      <c r="F611" s="165" t="s">
        <v>11</v>
      </c>
      <c r="G611" s="165" t="s">
        <v>8</v>
      </c>
      <c r="H611" s="165" t="s">
        <v>176</v>
      </c>
      <c r="I611" s="165" t="s">
        <v>3803</v>
      </c>
      <c r="J611" s="165" t="s">
        <v>4116</v>
      </c>
      <c r="K611" s="165"/>
      <c r="L611" s="165"/>
      <c r="M611" s="165"/>
      <c r="N611" s="165"/>
      <c r="O611" s="165"/>
      <c r="P611" s="165"/>
      <c r="Q611" s="165"/>
      <c r="R611" s="165" t="s">
        <v>3842</v>
      </c>
      <c r="S611" s="165"/>
      <c r="T611" s="165"/>
      <c r="U611" s="165" t="s">
        <v>3807</v>
      </c>
      <c r="V611" s="165"/>
      <c r="W611" s="165"/>
      <c r="X611" s="165"/>
      <c r="Y611">
        <v>2</v>
      </c>
      <c r="Z611" s="165" t="s">
        <v>3843</v>
      </c>
      <c r="AA611" s="165" t="s">
        <v>3811</v>
      </c>
      <c r="AB611" s="165" t="s">
        <v>3810</v>
      </c>
      <c r="AC611" s="165" t="s">
        <v>3809</v>
      </c>
      <c r="AD611" s="165" t="s">
        <v>4149</v>
      </c>
      <c r="AE611">
        <v>92</v>
      </c>
      <c r="AF611" s="165" t="s">
        <v>4150</v>
      </c>
      <c r="AG611">
        <v>378</v>
      </c>
      <c r="AH611">
        <v>412</v>
      </c>
      <c r="AI611">
        <v>40.799999999999997</v>
      </c>
      <c r="AJ611">
        <v>44.2</v>
      </c>
      <c r="AK611" s="165" t="s">
        <v>4151</v>
      </c>
      <c r="AN611">
        <v>4</v>
      </c>
      <c r="AO611">
        <v>4</v>
      </c>
      <c r="AP611">
        <v>16</v>
      </c>
      <c r="AQ611" s="165" t="s">
        <v>3815</v>
      </c>
      <c r="AR611" t="s">
        <v>5184</v>
      </c>
      <c r="AS611" s="165" t="s">
        <v>30</v>
      </c>
      <c r="AT611" t="s">
        <v>5291</v>
      </c>
      <c r="AU611" t="s">
        <v>5291</v>
      </c>
    </row>
    <row r="612" spans="1:47" hidden="1" x14ac:dyDescent="0.25">
      <c r="A612" s="165" t="s">
        <v>5185</v>
      </c>
      <c r="B612" s="165" t="s">
        <v>5186</v>
      </c>
      <c r="C612" s="165" t="s">
        <v>23</v>
      </c>
      <c r="D612" s="165" t="s">
        <v>5187</v>
      </c>
      <c r="E612" s="165" t="s">
        <v>4167</v>
      </c>
      <c r="F612" s="165" t="s">
        <v>11</v>
      </c>
      <c r="G612" s="165" t="s">
        <v>8</v>
      </c>
      <c r="H612" s="165" t="s">
        <v>176</v>
      </c>
      <c r="I612" s="165" t="s">
        <v>3803</v>
      </c>
      <c r="J612" s="165" t="s">
        <v>4116</v>
      </c>
      <c r="K612" s="165"/>
      <c r="L612" s="165"/>
      <c r="M612" s="165"/>
      <c r="N612" s="165"/>
      <c r="O612" s="165"/>
      <c r="P612" s="165"/>
      <c r="Q612" s="165"/>
      <c r="R612" s="165" t="s">
        <v>3842</v>
      </c>
      <c r="S612" s="165"/>
      <c r="T612" s="165"/>
      <c r="U612" s="165" t="s">
        <v>3807</v>
      </c>
      <c r="V612" s="165"/>
      <c r="W612" s="165"/>
      <c r="X612" s="165"/>
      <c r="Y612">
        <v>2</v>
      </c>
      <c r="Z612" s="165" t="s">
        <v>3843</v>
      </c>
      <c r="AA612" s="165" t="s">
        <v>3811</v>
      </c>
      <c r="AB612" s="165" t="s">
        <v>3810</v>
      </c>
      <c r="AC612" s="165" t="s">
        <v>3809</v>
      </c>
      <c r="AD612" s="165"/>
      <c r="AF612" s="165"/>
      <c r="AK612" s="165"/>
      <c r="AP612">
        <v>0</v>
      </c>
      <c r="AQ612" s="165" t="s">
        <v>3978</v>
      </c>
      <c r="AR612" t="s">
        <v>4202</v>
      </c>
      <c r="AS612" s="165" t="s">
        <v>30</v>
      </c>
      <c r="AT612" t="s">
        <v>5291</v>
      </c>
      <c r="AU612" t="s">
        <v>5291</v>
      </c>
    </row>
    <row r="613" spans="1:47" hidden="1" x14ac:dyDescent="0.25">
      <c r="A613" s="165" t="s">
        <v>5188</v>
      </c>
      <c r="B613" s="165" t="s">
        <v>5189</v>
      </c>
      <c r="C613" s="165" t="s">
        <v>23</v>
      </c>
      <c r="D613" s="165" t="s">
        <v>5190</v>
      </c>
      <c r="E613" s="165" t="s">
        <v>5191</v>
      </c>
      <c r="F613" s="165" t="s">
        <v>11</v>
      </c>
      <c r="G613" s="165" t="s">
        <v>8</v>
      </c>
      <c r="H613" s="165" t="s">
        <v>176</v>
      </c>
      <c r="I613" s="165" t="s">
        <v>3803</v>
      </c>
      <c r="J613" s="165" t="s">
        <v>4116</v>
      </c>
      <c r="K613" s="165"/>
      <c r="L613" s="165"/>
      <c r="M613" s="165"/>
      <c r="N613" s="165"/>
      <c r="O613" s="165"/>
      <c r="P613" s="165"/>
      <c r="Q613" s="165"/>
      <c r="R613" s="165" t="s">
        <v>3842</v>
      </c>
      <c r="S613" s="165"/>
      <c r="T613" s="165"/>
      <c r="U613" s="165" t="s">
        <v>3807</v>
      </c>
      <c r="V613" s="165"/>
      <c r="W613" s="165"/>
      <c r="X613" s="165"/>
      <c r="Y613">
        <v>2</v>
      </c>
      <c r="Z613" s="165" t="s">
        <v>3843</v>
      </c>
      <c r="AA613" s="165" t="s">
        <v>3811</v>
      </c>
      <c r="AB613" s="165" t="s">
        <v>3810</v>
      </c>
      <c r="AC613" s="165" t="s">
        <v>3809</v>
      </c>
      <c r="AD613" s="165"/>
      <c r="AF613" s="165"/>
      <c r="AK613" s="165"/>
      <c r="AP613">
        <v>0</v>
      </c>
      <c r="AQ613" s="165" t="s">
        <v>3978</v>
      </c>
      <c r="AS613" s="165" t="s">
        <v>30</v>
      </c>
      <c r="AT613" t="s">
        <v>5291</v>
      </c>
      <c r="AU613" t="s">
        <v>5291</v>
      </c>
    </row>
    <row r="614" spans="1:47" hidden="1" x14ac:dyDescent="0.25">
      <c r="A614" s="165" t="s">
        <v>1847</v>
      </c>
      <c r="B614" s="165" t="s">
        <v>5192</v>
      </c>
      <c r="C614" s="165" t="s">
        <v>23</v>
      </c>
      <c r="D614" s="165" t="s">
        <v>1848</v>
      </c>
      <c r="E614" s="165" t="s">
        <v>5176</v>
      </c>
      <c r="F614" s="165" t="s">
        <v>11</v>
      </c>
      <c r="G614" s="165" t="s">
        <v>8</v>
      </c>
      <c r="H614" s="165" t="s">
        <v>176</v>
      </c>
      <c r="I614" s="165" t="s">
        <v>3803</v>
      </c>
      <c r="J614" s="165" t="s">
        <v>4116</v>
      </c>
      <c r="K614" s="165"/>
      <c r="L614" s="165"/>
      <c r="M614" s="165"/>
      <c r="N614" s="165"/>
      <c r="O614" s="165"/>
      <c r="P614" s="165"/>
      <c r="Q614" s="165"/>
      <c r="R614" s="165" t="s">
        <v>3842</v>
      </c>
      <c r="S614" s="165"/>
      <c r="T614" s="165"/>
      <c r="U614" s="165" t="s">
        <v>3807</v>
      </c>
      <c r="V614" s="165"/>
      <c r="W614" s="165"/>
      <c r="X614" s="165"/>
      <c r="Y614">
        <v>2</v>
      </c>
      <c r="Z614" s="165" t="s">
        <v>3843</v>
      </c>
      <c r="AA614" s="165" t="s">
        <v>3811</v>
      </c>
      <c r="AB614" s="165" t="s">
        <v>3810</v>
      </c>
      <c r="AC614" s="165" t="s">
        <v>3809</v>
      </c>
      <c r="AD614" s="165" t="s">
        <v>5160</v>
      </c>
      <c r="AE614">
        <v>86</v>
      </c>
      <c r="AF614" s="165" t="s">
        <v>5161</v>
      </c>
      <c r="AG614">
        <v>35</v>
      </c>
      <c r="AH614">
        <v>197</v>
      </c>
      <c r="AI614">
        <v>38</v>
      </c>
      <c r="AJ614">
        <v>22.7</v>
      </c>
      <c r="AK614" s="165" t="s">
        <v>5162</v>
      </c>
      <c r="AN614">
        <v>2</v>
      </c>
      <c r="AO614">
        <v>9</v>
      </c>
      <c r="AP614">
        <v>18</v>
      </c>
      <c r="AQ614" s="165" t="s">
        <v>3815</v>
      </c>
      <c r="AR614" t="s">
        <v>3870</v>
      </c>
      <c r="AS614" s="165" t="s">
        <v>30</v>
      </c>
      <c r="AT614" t="s">
        <v>5291</v>
      </c>
      <c r="AU614" t="s">
        <v>5291</v>
      </c>
    </row>
    <row r="615" spans="1:47" hidden="1" x14ac:dyDescent="0.25">
      <c r="A615" s="165" t="s">
        <v>3361</v>
      </c>
      <c r="B615" s="165" t="s">
        <v>3360</v>
      </c>
      <c r="C615" s="165" t="s">
        <v>23</v>
      </c>
      <c r="D615" s="165" t="s">
        <v>5193</v>
      </c>
      <c r="E615" s="165" t="s">
        <v>3992</v>
      </c>
      <c r="F615" s="165" t="s">
        <v>12</v>
      </c>
      <c r="G615" s="165" t="s">
        <v>8</v>
      </c>
      <c r="H615" s="165" t="s">
        <v>263</v>
      </c>
      <c r="I615" s="165" t="s">
        <v>3803</v>
      </c>
      <c r="J615" s="165" t="s">
        <v>3804</v>
      </c>
      <c r="K615" s="165"/>
      <c r="L615" s="165"/>
      <c r="M615" s="165"/>
      <c r="N615" s="165" t="s">
        <v>3805</v>
      </c>
      <c r="O615" s="165"/>
      <c r="P615" s="165"/>
      <c r="Q615" s="165"/>
      <c r="R615" s="165"/>
      <c r="S615" s="165"/>
      <c r="T615" s="165" t="s">
        <v>3806</v>
      </c>
      <c r="U615" s="165" t="s">
        <v>3807</v>
      </c>
      <c r="V615" s="165"/>
      <c r="W615" s="165"/>
      <c r="X615" s="165"/>
      <c r="Y615">
        <v>3</v>
      </c>
      <c r="Z615" s="165" t="s">
        <v>3808</v>
      </c>
      <c r="AA615" s="165" t="s">
        <v>3809</v>
      </c>
      <c r="AB615" s="165" t="s">
        <v>3810</v>
      </c>
      <c r="AC615" s="165" t="s">
        <v>3811</v>
      </c>
      <c r="AD615" s="165" t="s">
        <v>4230</v>
      </c>
      <c r="AE615">
        <v>97</v>
      </c>
      <c r="AF615" s="165" t="s">
        <v>4332</v>
      </c>
      <c r="AG615">
        <v>41</v>
      </c>
      <c r="AH615">
        <v>18</v>
      </c>
      <c r="AI615">
        <v>44</v>
      </c>
      <c r="AJ615">
        <v>21</v>
      </c>
      <c r="AK615" s="165" t="s">
        <v>4333</v>
      </c>
      <c r="AN615">
        <v>3</v>
      </c>
      <c r="AO615">
        <v>8</v>
      </c>
      <c r="AP615">
        <v>24</v>
      </c>
      <c r="AQ615" s="165" t="s">
        <v>3815</v>
      </c>
      <c r="AR615" t="s">
        <v>3974</v>
      </c>
      <c r="AS615" s="165" t="s">
        <v>174</v>
      </c>
      <c r="AT615" t="s">
        <v>5291</v>
      </c>
      <c r="AU615" t="s">
        <v>5291</v>
      </c>
    </row>
    <row r="616" spans="1:47" hidden="1" x14ac:dyDescent="0.25">
      <c r="A616" s="165" t="s">
        <v>1923</v>
      </c>
      <c r="B616" s="165" t="s">
        <v>5194</v>
      </c>
      <c r="C616" s="165" t="s">
        <v>23</v>
      </c>
      <c r="D616" s="165" t="s">
        <v>1924</v>
      </c>
      <c r="E616" s="165" t="s">
        <v>3992</v>
      </c>
      <c r="F616" s="165" t="s">
        <v>12</v>
      </c>
      <c r="G616" s="165" t="s">
        <v>8</v>
      </c>
      <c r="H616" s="165" t="s">
        <v>263</v>
      </c>
      <c r="I616" s="165" t="s">
        <v>3803</v>
      </c>
      <c r="J616" s="165" t="s">
        <v>3804</v>
      </c>
      <c r="K616" s="165"/>
      <c r="L616" s="165"/>
      <c r="M616" s="165"/>
      <c r="N616" s="165" t="s">
        <v>3805</v>
      </c>
      <c r="O616" s="165"/>
      <c r="P616" s="165"/>
      <c r="Q616" s="165"/>
      <c r="R616" s="165"/>
      <c r="S616" s="165"/>
      <c r="T616" s="165" t="s">
        <v>3806</v>
      </c>
      <c r="U616" s="165" t="s">
        <v>3807</v>
      </c>
      <c r="V616" s="165"/>
      <c r="W616" s="165"/>
      <c r="X616" s="165"/>
      <c r="Y616">
        <v>3</v>
      </c>
      <c r="Z616" s="165" t="s">
        <v>3808</v>
      </c>
      <c r="AA616" s="165" t="s">
        <v>3809</v>
      </c>
      <c r="AB616" s="165" t="s">
        <v>3810</v>
      </c>
      <c r="AC616" s="165" t="s">
        <v>3811</v>
      </c>
      <c r="AD616" s="165" t="s">
        <v>4094</v>
      </c>
      <c r="AE616">
        <v>30</v>
      </c>
      <c r="AF616" s="165" t="s">
        <v>4095</v>
      </c>
      <c r="AG616">
        <v>44</v>
      </c>
      <c r="AH616">
        <v>345</v>
      </c>
      <c r="AI616">
        <v>47</v>
      </c>
      <c r="AJ616">
        <v>37.5</v>
      </c>
      <c r="AK616" s="165" t="s">
        <v>4096</v>
      </c>
      <c r="AN616">
        <v>2</v>
      </c>
      <c r="AO616">
        <v>4</v>
      </c>
      <c r="AP616">
        <v>8</v>
      </c>
      <c r="AQ616" s="165" t="s">
        <v>3815</v>
      </c>
      <c r="AR616" t="s">
        <v>3830</v>
      </c>
      <c r="AS616" s="165" t="s">
        <v>174</v>
      </c>
      <c r="AT616" t="s">
        <v>5291</v>
      </c>
      <c r="AU616" t="s">
        <v>5291</v>
      </c>
    </row>
    <row r="617" spans="1:47" hidden="1" x14ac:dyDescent="0.25">
      <c r="A617" s="165" t="s">
        <v>5195</v>
      </c>
      <c r="B617" s="165" t="s">
        <v>88</v>
      </c>
      <c r="C617" s="165" t="s">
        <v>23</v>
      </c>
      <c r="D617" s="165" t="s">
        <v>5196</v>
      </c>
      <c r="E617" s="165" t="s">
        <v>3992</v>
      </c>
      <c r="F617" s="165" t="s">
        <v>12</v>
      </c>
      <c r="G617" s="165" t="s">
        <v>3878</v>
      </c>
      <c r="H617" s="165" t="s">
        <v>263</v>
      </c>
      <c r="I617" s="165" t="s">
        <v>3821</v>
      </c>
      <c r="J617" s="165" t="s">
        <v>3879</v>
      </c>
      <c r="K617" s="165"/>
      <c r="L617" s="165"/>
      <c r="M617" s="165"/>
      <c r="N617" s="165"/>
      <c r="O617" s="165"/>
      <c r="P617" s="165"/>
      <c r="Q617" s="165"/>
      <c r="R617" s="165"/>
      <c r="S617" s="165"/>
      <c r="T617" s="165" t="s">
        <v>3806</v>
      </c>
      <c r="U617" s="165" t="s">
        <v>3807</v>
      </c>
      <c r="V617" s="165"/>
      <c r="W617" s="165"/>
      <c r="X617" s="165"/>
      <c r="Y617">
        <v>2</v>
      </c>
      <c r="Z617" s="165" t="s">
        <v>3880</v>
      </c>
      <c r="AA617" s="165" t="s">
        <v>3810</v>
      </c>
      <c r="AB617" s="165" t="s">
        <v>3810</v>
      </c>
      <c r="AC617" s="165" t="s">
        <v>3811</v>
      </c>
      <c r="AD617" s="165" t="s">
        <v>3881</v>
      </c>
      <c r="AE617">
        <v>1</v>
      </c>
      <c r="AF617" s="165" t="s">
        <v>3882</v>
      </c>
      <c r="AG617">
        <v>34</v>
      </c>
      <c r="AH617">
        <v>29</v>
      </c>
      <c r="AI617">
        <v>37</v>
      </c>
      <c r="AJ617">
        <v>32</v>
      </c>
      <c r="AK617" s="165" t="s">
        <v>3883</v>
      </c>
      <c r="AL617">
        <v>36</v>
      </c>
      <c r="AM617">
        <v>32</v>
      </c>
      <c r="AN617">
        <v>6</v>
      </c>
      <c r="AO617">
        <v>6</v>
      </c>
      <c r="AP617">
        <v>36</v>
      </c>
      <c r="AQ617" s="165" t="s">
        <v>3815</v>
      </c>
      <c r="AR617" t="s">
        <v>3974</v>
      </c>
      <c r="AS617" s="165" t="s">
        <v>174</v>
      </c>
      <c r="AT617" t="s">
        <v>5291</v>
      </c>
      <c r="AU617" t="s">
        <v>5291</v>
      </c>
    </row>
    <row r="618" spans="1:47" hidden="1" x14ac:dyDescent="0.25">
      <c r="A618" s="165" t="s">
        <v>1860</v>
      </c>
      <c r="B618" s="165" t="s">
        <v>3445</v>
      </c>
      <c r="C618" s="165" t="s">
        <v>23</v>
      </c>
      <c r="D618" s="165" t="s">
        <v>1861</v>
      </c>
      <c r="E618" s="165" t="s">
        <v>3484</v>
      </c>
      <c r="F618" s="165" t="s">
        <v>11</v>
      </c>
      <c r="G618" s="165" t="s">
        <v>8</v>
      </c>
      <c r="H618" s="165" t="s">
        <v>176</v>
      </c>
      <c r="I618" s="165" t="s">
        <v>3803</v>
      </c>
      <c r="J618" s="165" t="s">
        <v>4116</v>
      </c>
      <c r="K618" s="165"/>
      <c r="L618" s="165"/>
      <c r="M618" s="165"/>
      <c r="N618" s="165"/>
      <c r="O618" s="165"/>
      <c r="P618" s="165"/>
      <c r="Q618" s="165"/>
      <c r="R618" s="165" t="s">
        <v>3842</v>
      </c>
      <c r="S618" s="165"/>
      <c r="T618" s="165"/>
      <c r="U618" s="165" t="s">
        <v>3807</v>
      </c>
      <c r="V618" s="165"/>
      <c r="W618" s="165"/>
      <c r="X618" s="165"/>
      <c r="Y618">
        <v>2</v>
      </c>
      <c r="Z618" s="165" t="s">
        <v>3843</v>
      </c>
      <c r="AA618" s="165" t="s">
        <v>3811</v>
      </c>
      <c r="AB618" s="165" t="s">
        <v>3810</v>
      </c>
      <c r="AC618" s="165" t="s">
        <v>3809</v>
      </c>
      <c r="AD618" s="165" t="s">
        <v>5197</v>
      </c>
      <c r="AE618">
        <v>102</v>
      </c>
      <c r="AF618" s="165" t="s">
        <v>5198</v>
      </c>
      <c r="AG618">
        <v>43</v>
      </c>
      <c r="AH618">
        <v>244</v>
      </c>
      <c r="AI618">
        <v>46</v>
      </c>
      <c r="AJ618">
        <v>27.4</v>
      </c>
      <c r="AK618" s="165" t="s">
        <v>5199</v>
      </c>
      <c r="AN618">
        <v>2</v>
      </c>
      <c r="AO618">
        <v>6</v>
      </c>
      <c r="AP618">
        <v>12</v>
      </c>
      <c r="AQ618" s="165" t="s">
        <v>3815</v>
      </c>
      <c r="AR618" t="s">
        <v>3830</v>
      </c>
      <c r="AS618" s="165" t="s">
        <v>30</v>
      </c>
      <c r="AT618" t="s">
        <v>5291</v>
      </c>
      <c r="AU618" t="s">
        <v>5291</v>
      </c>
    </row>
    <row r="619" spans="1:47" hidden="1" x14ac:dyDescent="0.25">
      <c r="A619" s="165" t="s">
        <v>1811</v>
      </c>
      <c r="B619" s="165" t="s">
        <v>3440</v>
      </c>
      <c r="C619" s="165" t="s">
        <v>23</v>
      </c>
      <c r="D619" s="165" t="s">
        <v>5200</v>
      </c>
      <c r="E619" s="165" t="s">
        <v>3925</v>
      </c>
      <c r="F619" s="165" t="s">
        <v>11</v>
      </c>
      <c r="G619" s="165" t="s">
        <v>8</v>
      </c>
      <c r="H619" s="165" t="s">
        <v>241</v>
      </c>
      <c r="I619" s="165" t="s">
        <v>3803</v>
      </c>
      <c r="J619" s="165" t="s">
        <v>4011</v>
      </c>
      <c r="K619" s="165"/>
      <c r="L619" s="165"/>
      <c r="M619" s="165"/>
      <c r="N619" s="165"/>
      <c r="O619" s="165"/>
      <c r="P619" s="165"/>
      <c r="Q619" s="165"/>
      <c r="R619" s="165"/>
      <c r="S619" s="165" t="s">
        <v>3902</v>
      </c>
      <c r="T619" s="165"/>
      <c r="U619" s="165"/>
      <c r="V619" s="165"/>
      <c r="W619" s="165"/>
      <c r="X619" s="165" t="s">
        <v>2428</v>
      </c>
      <c r="Y619">
        <v>2</v>
      </c>
      <c r="Z619" s="165" t="s">
        <v>3903</v>
      </c>
      <c r="AA619" s="165" t="s">
        <v>3811</v>
      </c>
      <c r="AB619" s="165" t="s">
        <v>3810</v>
      </c>
      <c r="AC619" s="165" t="s">
        <v>3809</v>
      </c>
      <c r="AD619" s="165" t="s">
        <v>5201</v>
      </c>
      <c r="AE619">
        <v>78</v>
      </c>
      <c r="AF619" s="165" t="s">
        <v>5202</v>
      </c>
      <c r="AG619">
        <v>424</v>
      </c>
      <c r="AH619">
        <v>222</v>
      </c>
      <c r="AI619">
        <v>45.4</v>
      </c>
      <c r="AJ619">
        <v>25.2</v>
      </c>
      <c r="AK619" s="165" t="s">
        <v>5203</v>
      </c>
      <c r="AN619">
        <v>2</v>
      </c>
      <c r="AO619">
        <v>6</v>
      </c>
      <c r="AP619">
        <v>12</v>
      </c>
      <c r="AQ619" s="165" t="s">
        <v>3815</v>
      </c>
      <c r="AR619" t="s">
        <v>4111</v>
      </c>
      <c r="AS619" s="165" t="s">
        <v>30</v>
      </c>
      <c r="AT619" t="s">
        <v>5291</v>
      </c>
      <c r="AU619" t="s">
        <v>5291</v>
      </c>
    </row>
    <row r="620" spans="1:47" hidden="1" x14ac:dyDescent="0.25">
      <c r="A620" s="165" t="s">
        <v>5204</v>
      </c>
      <c r="B620" s="165" t="s">
        <v>88</v>
      </c>
      <c r="C620" s="165" t="s">
        <v>23</v>
      </c>
      <c r="D620" s="165" t="s">
        <v>5205</v>
      </c>
      <c r="E620" s="165" t="s">
        <v>5206</v>
      </c>
      <c r="F620" s="165" t="s">
        <v>13</v>
      </c>
      <c r="G620" s="165" t="s">
        <v>8</v>
      </c>
      <c r="H620" s="165"/>
      <c r="I620" s="165" t="s">
        <v>3864</v>
      </c>
      <c r="J620" s="165" t="s">
        <v>3864</v>
      </c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>
        <v>0</v>
      </c>
      <c r="Z620" s="165" t="s">
        <v>28</v>
      </c>
      <c r="AA620" s="165"/>
      <c r="AB620" s="165"/>
      <c r="AC620" s="165"/>
      <c r="AD620" s="165"/>
      <c r="AF620" s="165"/>
      <c r="AK620" s="165"/>
      <c r="AP620">
        <v>0</v>
      </c>
      <c r="AQ620" s="165" t="s">
        <v>3978</v>
      </c>
      <c r="AR620" t="s">
        <v>5207</v>
      </c>
      <c r="AS620" s="165" t="s">
        <v>2085</v>
      </c>
      <c r="AT620" t="s">
        <v>5291</v>
      </c>
      <c r="AU620" t="s">
        <v>5291</v>
      </c>
    </row>
    <row r="621" spans="1:47" hidden="1" x14ac:dyDescent="0.25">
      <c r="A621" s="165" t="s">
        <v>1735</v>
      </c>
      <c r="B621" s="165" t="s">
        <v>3315</v>
      </c>
      <c r="C621" s="165" t="s">
        <v>23</v>
      </c>
      <c r="D621" s="165" t="s">
        <v>1736</v>
      </c>
      <c r="E621" s="165" t="s">
        <v>4657</v>
      </c>
      <c r="F621" s="165" t="s">
        <v>11</v>
      </c>
      <c r="G621" s="165" t="s">
        <v>8</v>
      </c>
      <c r="H621" s="165" t="s">
        <v>263</v>
      </c>
      <c r="I621" s="165" t="s">
        <v>3803</v>
      </c>
      <c r="J621" s="165" t="s">
        <v>3804</v>
      </c>
      <c r="K621" s="165"/>
      <c r="L621" s="165"/>
      <c r="M621" s="165"/>
      <c r="N621" s="165" t="s">
        <v>3805</v>
      </c>
      <c r="O621" s="165"/>
      <c r="P621" s="165"/>
      <c r="Q621" s="165"/>
      <c r="R621" s="165"/>
      <c r="S621" s="165"/>
      <c r="T621" s="165" t="s">
        <v>3806</v>
      </c>
      <c r="U621" s="165" t="s">
        <v>3807</v>
      </c>
      <c r="V621" s="165"/>
      <c r="W621" s="165"/>
      <c r="X621" s="165"/>
      <c r="Y621">
        <v>3</v>
      </c>
      <c r="Z621" s="165" t="s">
        <v>3808</v>
      </c>
      <c r="AA621" s="165" t="s">
        <v>3809</v>
      </c>
      <c r="AB621" s="165" t="s">
        <v>3810</v>
      </c>
      <c r="AC621" s="165" t="s">
        <v>3811</v>
      </c>
      <c r="AD621" s="165" t="s">
        <v>3857</v>
      </c>
      <c r="AE621">
        <v>42</v>
      </c>
      <c r="AF621" s="165" t="s">
        <v>3858</v>
      </c>
      <c r="AG621">
        <v>315</v>
      </c>
      <c r="AH621">
        <v>284</v>
      </c>
      <c r="AI621">
        <v>34.5</v>
      </c>
      <c r="AJ621">
        <v>31.4</v>
      </c>
      <c r="AK621" s="165" t="s">
        <v>3859</v>
      </c>
      <c r="AN621">
        <v>4</v>
      </c>
      <c r="AO621">
        <v>6</v>
      </c>
      <c r="AP621">
        <v>24</v>
      </c>
      <c r="AQ621" s="165" t="s">
        <v>3815</v>
      </c>
      <c r="AR621" t="s">
        <v>3971</v>
      </c>
      <c r="AS621" s="165" t="s">
        <v>174</v>
      </c>
      <c r="AT621" t="s">
        <v>5291</v>
      </c>
      <c r="AU621" t="s">
        <v>5291</v>
      </c>
    </row>
    <row r="622" spans="1:47" hidden="1" x14ac:dyDescent="0.25">
      <c r="A622" s="165" t="s">
        <v>5208</v>
      </c>
      <c r="B622" s="165" t="s">
        <v>88</v>
      </c>
      <c r="C622" s="165" t="s">
        <v>23</v>
      </c>
      <c r="D622" s="165" t="s">
        <v>5209</v>
      </c>
      <c r="E622" s="165" t="s">
        <v>5092</v>
      </c>
      <c r="F622" s="165" t="s">
        <v>181</v>
      </c>
      <c r="G622" s="165" t="s">
        <v>8</v>
      </c>
      <c r="H622" s="165"/>
      <c r="I622" s="165" t="s">
        <v>3864</v>
      </c>
      <c r="J622" s="165" t="s">
        <v>3864</v>
      </c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>
        <v>0</v>
      </c>
      <c r="Z622" s="165" t="s">
        <v>28</v>
      </c>
      <c r="AA622" s="165"/>
      <c r="AB622" s="165"/>
      <c r="AC622" s="165"/>
      <c r="AD622" s="165"/>
      <c r="AF622" s="165"/>
      <c r="AK622" s="165"/>
      <c r="AP622">
        <v>0</v>
      </c>
      <c r="AQ622" s="165" t="s">
        <v>3978</v>
      </c>
      <c r="AR622">
        <v>2019</v>
      </c>
      <c r="AS622" s="165" t="s">
        <v>2085</v>
      </c>
      <c r="AT622" t="s">
        <v>5291</v>
      </c>
      <c r="AU622" t="s">
        <v>5291</v>
      </c>
    </row>
    <row r="623" spans="1:47" hidden="1" x14ac:dyDescent="0.25">
      <c r="A623" s="165" t="s">
        <v>5210</v>
      </c>
      <c r="B623" s="165" t="s">
        <v>88</v>
      </c>
      <c r="C623" s="165" t="s">
        <v>23</v>
      </c>
      <c r="D623" s="165" t="s">
        <v>5211</v>
      </c>
      <c r="E623" s="165" t="s">
        <v>5212</v>
      </c>
      <c r="F623" s="165" t="s">
        <v>5213</v>
      </c>
      <c r="G623" s="165" t="s">
        <v>8</v>
      </c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>
        <v>0</v>
      </c>
      <c r="Z623" s="165" t="s">
        <v>28</v>
      </c>
      <c r="AA623" s="165"/>
      <c r="AB623" s="165"/>
      <c r="AC623" s="165"/>
      <c r="AD623" s="165"/>
      <c r="AF623" s="165"/>
      <c r="AK623" s="165"/>
      <c r="AP623">
        <v>0</v>
      </c>
      <c r="AQ623" s="165" t="s">
        <v>3978</v>
      </c>
      <c r="AS623" s="165" t="s">
        <v>2085</v>
      </c>
      <c r="AT623" t="s">
        <v>5291</v>
      </c>
      <c r="AU623" t="s">
        <v>5291</v>
      </c>
    </row>
    <row r="624" spans="1:47" hidden="1" x14ac:dyDescent="0.25">
      <c r="A624" s="165" t="s">
        <v>5214</v>
      </c>
      <c r="B624" s="165" t="s">
        <v>88</v>
      </c>
      <c r="C624" s="165" t="s">
        <v>23</v>
      </c>
      <c r="D624" s="165" t="s">
        <v>5215</v>
      </c>
      <c r="E624" s="165" t="s">
        <v>4795</v>
      </c>
      <c r="F624" s="165" t="s">
        <v>181</v>
      </c>
      <c r="G624" s="165" t="s">
        <v>3878</v>
      </c>
      <c r="H624" s="165"/>
      <c r="I624" s="165" t="s">
        <v>2428</v>
      </c>
      <c r="J624" s="165" t="s">
        <v>2428</v>
      </c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>
        <v>0</v>
      </c>
      <c r="Z624" s="165" t="s">
        <v>28</v>
      </c>
      <c r="AA624" s="165"/>
      <c r="AB624" s="165"/>
      <c r="AC624" s="165"/>
      <c r="AD624" s="165"/>
      <c r="AF624" s="165"/>
      <c r="AK624" s="165"/>
      <c r="AP624">
        <v>0</v>
      </c>
      <c r="AQ624" s="165" t="s">
        <v>3978</v>
      </c>
      <c r="AS624" s="165" t="s">
        <v>2085</v>
      </c>
      <c r="AT624" t="s">
        <v>5291</v>
      </c>
      <c r="AU624" t="s">
        <v>5291</v>
      </c>
    </row>
    <row r="625" spans="1:47" hidden="1" x14ac:dyDescent="0.25">
      <c r="A625" s="165" t="s">
        <v>5216</v>
      </c>
      <c r="B625" s="165" t="s">
        <v>88</v>
      </c>
      <c r="C625" s="165" t="s">
        <v>23</v>
      </c>
      <c r="D625" s="165" t="s">
        <v>5217</v>
      </c>
      <c r="E625" s="165" t="s">
        <v>5092</v>
      </c>
      <c r="F625" s="165" t="s">
        <v>181</v>
      </c>
      <c r="G625" s="165" t="s">
        <v>3878</v>
      </c>
      <c r="H625" s="165"/>
      <c r="I625" s="165" t="s">
        <v>2428</v>
      </c>
      <c r="J625" s="165" t="s">
        <v>2428</v>
      </c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>
        <v>0</v>
      </c>
      <c r="Z625" s="165" t="s">
        <v>28</v>
      </c>
      <c r="AA625" s="165"/>
      <c r="AB625" s="165"/>
      <c r="AC625" s="165"/>
      <c r="AD625" s="165"/>
      <c r="AF625" s="165"/>
      <c r="AK625" s="165"/>
      <c r="AP625">
        <v>0</v>
      </c>
      <c r="AQ625" s="165" t="s">
        <v>3978</v>
      </c>
      <c r="AR625" t="s">
        <v>5218</v>
      </c>
      <c r="AS625" s="165" t="s">
        <v>2085</v>
      </c>
      <c r="AT625" t="s">
        <v>5291</v>
      </c>
      <c r="AU625" t="s">
        <v>5291</v>
      </c>
    </row>
    <row r="626" spans="1:47" hidden="1" x14ac:dyDescent="0.25">
      <c r="A626" s="165" t="s">
        <v>5219</v>
      </c>
      <c r="B626" s="165" t="s">
        <v>88</v>
      </c>
      <c r="C626" s="165" t="s">
        <v>23</v>
      </c>
      <c r="D626" s="165" t="s">
        <v>5220</v>
      </c>
      <c r="E626" s="165" t="s">
        <v>5212</v>
      </c>
      <c r="F626" s="165" t="s">
        <v>5213</v>
      </c>
      <c r="G626" s="165" t="s">
        <v>3878</v>
      </c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>
        <v>0</v>
      </c>
      <c r="Z626" s="165" t="s">
        <v>28</v>
      </c>
      <c r="AA626" s="165"/>
      <c r="AB626" s="165"/>
      <c r="AC626" s="165"/>
      <c r="AD626" s="165"/>
      <c r="AF626" s="165"/>
      <c r="AK626" s="165"/>
      <c r="AP626">
        <v>0</v>
      </c>
      <c r="AQ626" s="165" t="s">
        <v>3978</v>
      </c>
      <c r="AS626" s="165" t="s">
        <v>2085</v>
      </c>
      <c r="AT626" t="s">
        <v>5291</v>
      </c>
      <c r="AU626" t="s">
        <v>5291</v>
      </c>
    </row>
    <row r="627" spans="1:47" hidden="1" x14ac:dyDescent="0.25">
      <c r="A627" s="165" t="s">
        <v>5221</v>
      </c>
      <c r="B627" s="165" t="s">
        <v>88</v>
      </c>
      <c r="C627" s="165" t="s">
        <v>2471</v>
      </c>
      <c r="D627" s="165" t="s">
        <v>5222</v>
      </c>
      <c r="E627" s="165" t="s">
        <v>5089</v>
      </c>
      <c r="F627" s="165" t="s">
        <v>5213</v>
      </c>
      <c r="G627" s="165" t="s">
        <v>3878</v>
      </c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>
        <v>0</v>
      </c>
      <c r="Z627" s="165" t="s">
        <v>28</v>
      </c>
      <c r="AA627" s="165"/>
      <c r="AB627" s="165"/>
      <c r="AC627" s="165"/>
      <c r="AD627" s="165"/>
      <c r="AF627" s="165"/>
      <c r="AK627" s="165"/>
      <c r="AP627">
        <v>0</v>
      </c>
      <c r="AQ627" s="165" t="s">
        <v>3978</v>
      </c>
      <c r="AR627" t="s">
        <v>4205</v>
      </c>
      <c r="AS627" s="165" t="s">
        <v>2085</v>
      </c>
      <c r="AT627" t="s">
        <v>5291</v>
      </c>
      <c r="AU627" t="s">
        <v>3809</v>
      </c>
    </row>
    <row r="628" spans="1:47" hidden="1" x14ac:dyDescent="0.25">
      <c r="A628" s="165" t="s">
        <v>5223</v>
      </c>
      <c r="B628" s="165" t="s">
        <v>88</v>
      </c>
      <c r="C628" s="165" t="s">
        <v>2471</v>
      </c>
      <c r="D628" s="165" t="s">
        <v>5224</v>
      </c>
      <c r="E628" s="165" t="s">
        <v>5132</v>
      </c>
      <c r="F628" s="165" t="s">
        <v>5213</v>
      </c>
      <c r="G628" s="165" t="s">
        <v>3878</v>
      </c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>
        <v>0</v>
      </c>
      <c r="Z628" s="165" t="s">
        <v>28</v>
      </c>
      <c r="AA628" s="165"/>
      <c r="AB628" s="165"/>
      <c r="AC628" s="165"/>
      <c r="AD628" s="165"/>
      <c r="AF628" s="165"/>
      <c r="AK628" s="165"/>
      <c r="AP628">
        <v>0</v>
      </c>
      <c r="AQ628" s="165" t="s">
        <v>3978</v>
      </c>
      <c r="AR628" t="s">
        <v>4205</v>
      </c>
      <c r="AS628" s="165" t="s">
        <v>2085</v>
      </c>
      <c r="AT628" t="s">
        <v>5291</v>
      </c>
      <c r="AU628" t="s">
        <v>3809</v>
      </c>
    </row>
    <row r="629" spans="1:47" hidden="1" x14ac:dyDescent="0.25">
      <c r="A629" s="165" t="s">
        <v>5225</v>
      </c>
      <c r="B629" s="165" t="s">
        <v>88</v>
      </c>
      <c r="C629" s="165" t="s">
        <v>2471</v>
      </c>
      <c r="D629" s="165" t="s">
        <v>5226</v>
      </c>
      <c r="E629" s="165" t="s">
        <v>5227</v>
      </c>
      <c r="F629" s="165" t="s">
        <v>5213</v>
      </c>
      <c r="G629" s="165" t="s">
        <v>3878</v>
      </c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>
        <v>0</v>
      </c>
      <c r="Z629" s="165" t="s">
        <v>28</v>
      </c>
      <c r="AA629" s="165"/>
      <c r="AB629" s="165"/>
      <c r="AC629" s="165"/>
      <c r="AD629" s="165"/>
      <c r="AF629" s="165"/>
      <c r="AK629" s="165"/>
      <c r="AP629">
        <v>0</v>
      </c>
      <c r="AQ629" s="165" t="s">
        <v>3978</v>
      </c>
      <c r="AR629" t="s">
        <v>4202</v>
      </c>
      <c r="AS629" s="165" t="s">
        <v>2085</v>
      </c>
      <c r="AT629" t="s">
        <v>5291</v>
      </c>
      <c r="AU629" t="s">
        <v>3809</v>
      </c>
    </row>
    <row r="630" spans="1:47" hidden="1" x14ac:dyDescent="0.25">
      <c r="A630" s="165" t="s">
        <v>5228</v>
      </c>
      <c r="B630" s="165" t="s">
        <v>5229</v>
      </c>
      <c r="C630" s="165" t="s">
        <v>23</v>
      </c>
      <c r="D630" s="165" t="s">
        <v>5230</v>
      </c>
      <c r="E630" s="165" t="s">
        <v>5231</v>
      </c>
      <c r="F630" s="165" t="s">
        <v>9</v>
      </c>
      <c r="G630" s="165" t="s">
        <v>8</v>
      </c>
      <c r="H630" s="165" t="s">
        <v>2305</v>
      </c>
      <c r="I630" s="165" t="s">
        <v>3820</v>
      </c>
      <c r="J630" s="165" t="s">
        <v>3872</v>
      </c>
      <c r="K630" s="165" t="s">
        <v>3819</v>
      </c>
      <c r="L630" s="165" t="s">
        <v>3820</v>
      </c>
      <c r="M630" s="165" t="s">
        <v>3803</v>
      </c>
      <c r="N630" s="165" t="s">
        <v>3805</v>
      </c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>
        <v>4</v>
      </c>
      <c r="Z630" s="165" t="s">
        <v>3873</v>
      </c>
      <c r="AA630" s="165" t="s">
        <v>3809</v>
      </c>
      <c r="AB630" s="165" t="s">
        <v>3811</v>
      </c>
      <c r="AC630" s="165" t="s">
        <v>3810</v>
      </c>
      <c r="AD630" s="165" t="s">
        <v>5232</v>
      </c>
      <c r="AE630">
        <v>74</v>
      </c>
      <c r="AF630" s="165" t="s">
        <v>5233</v>
      </c>
      <c r="AG630">
        <v>363</v>
      </c>
      <c r="AH630">
        <v>256</v>
      </c>
      <c r="AI630">
        <v>39.299999999999997</v>
      </c>
      <c r="AJ630">
        <v>28.6</v>
      </c>
      <c r="AK630" s="165" t="s">
        <v>5234</v>
      </c>
      <c r="AN630">
        <v>2</v>
      </c>
      <c r="AO630">
        <v>6</v>
      </c>
      <c r="AP630">
        <v>12</v>
      </c>
      <c r="AQ630" s="165" t="s">
        <v>3815</v>
      </c>
      <c r="AR630" t="s">
        <v>4076</v>
      </c>
      <c r="AS630" s="165" t="s">
        <v>3786</v>
      </c>
      <c r="AT630" t="s">
        <v>5291</v>
      </c>
      <c r="AU630" t="s">
        <v>5291</v>
      </c>
    </row>
    <row r="631" spans="1:47" hidden="1" x14ac:dyDescent="0.25">
      <c r="A631" s="165" t="s">
        <v>1930</v>
      </c>
      <c r="B631" s="165" t="s">
        <v>5235</v>
      </c>
      <c r="C631" s="165" t="s">
        <v>23</v>
      </c>
      <c r="D631" s="165" t="s">
        <v>1931</v>
      </c>
      <c r="E631" s="165" t="s">
        <v>5236</v>
      </c>
      <c r="F631" s="165" t="s">
        <v>181</v>
      </c>
      <c r="G631" s="165" t="s">
        <v>8</v>
      </c>
      <c r="H631" s="165" t="s">
        <v>269</v>
      </c>
      <c r="I631" s="165" t="s">
        <v>3864</v>
      </c>
      <c r="J631" s="165" t="s">
        <v>3894</v>
      </c>
      <c r="K631" s="165" t="s">
        <v>3819</v>
      </c>
      <c r="L631" s="165" t="s">
        <v>3820</v>
      </c>
      <c r="M631" s="165" t="s">
        <v>3803</v>
      </c>
      <c r="N631" s="165" t="s">
        <v>3805</v>
      </c>
      <c r="O631" s="165"/>
      <c r="P631" s="165"/>
      <c r="Q631" s="165" t="s">
        <v>3888</v>
      </c>
      <c r="R631" s="165"/>
      <c r="S631" s="165"/>
      <c r="T631" s="165"/>
      <c r="U631" s="165" t="s">
        <v>3807</v>
      </c>
      <c r="V631" s="165"/>
      <c r="W631" s="165"/>
      <c r="X631" s="165"/>
      <c r="Y631">
        <v>6</v>
      </c>
      <c r="Z631" s="165" t="s">
        <v>3889</v>
      </c>
      <c r="AA631" s="165" t="s">
        <v>3809</v>
      </c>
      <c r="AB631" s="165" t="s">
        <v>3811</v>
      </c>
      <c r="AC631" s="165" t="s">
        <v>3810</v>
      </c>
      <c r="AD631" s="165" t="s">
        <v>3895</v>
      </c>
      <c r="AE631">
        <v>75</v>
      </c>
      <c r="AF631" s="165" t="s">
        <v>3896</v>
      </c>
      <c r="AG631">
        <v>251</v>
      </c>
      <c r="AH631">
        <v>475</v>
      </c>
      <c r="AI631">
        <v>28.1</v>
      </c>
      <c r="AJ631">
        <v>50.5</v>
      </c>
      <c r="AK631" s="165" t="s">
        <v>3897</v>
      </c>
      <c r="AL631">
        <v>26.2</v>
      </c>
      <c r="AM631">
        <v>54</v>
      </c>
      <c r="AN631">
        <v>2</v>
      </c>
      <c r="AO631">
        <v>6</v>
      </c>
      <c r="AP631">
        <v>12</v>
      </c>
      <c r="AQ631" s="165" t="s">
        <v>3815</v>
      </c>
      <c r="AR631" t="s">
        <v>3830</v>
      </c>
      <c r="AS631" s="165" t="s">
        <v>3786</v>
      </c>
      <c r="AT631" t="s">
        <v>5291</v>
      </c>
      <c r="AU631" t="s">
        <v>5291</v>
      </c>
    </row>
    <row r="632" spans="1:47" hidden="1" x14ac:dyDescent="0.25">
      <c r="A632" s="165" t="s">
        <v>1932</v>
      </c>
      <c r="B632" s="165" t="s">
        <v>5237</v>
      </c>
      <c r="C632" s="165" t="s">
        <v>23</v>
      </c>
      <c r="D632" s="165" t="s">
        <v>1933</v>
      </c>
      <c r="E632" s="165" t="s">
        <v>5236</v>
      </c>
      <c r="F632" s="165" t="s">
        <v>181</v>
      </c>
      <c r="G632" s="165" t="s">
        <v>3878</v>
      </c>
      <c r="H632" s="165" t="s">
        <v>269</v>
      </c>
      <c r="I632" s="165" t="s">
        <v>2428</v>
      </c>
      <c r="J632" s="165" t="s">
        <v>3887</v>
      </c>
      <c r="K632" s="165" t="s">
        <v>3819</v>
      </c>
      <c r="L632" s="165" t="s">
        <v>3820</v>
      </c>
      <c r="M632" s="165" t="s">
        <v>3803</v>
      </c>
      <c r="N632" s="165" t="s">
        <v>3805</v>
      </c>
      <c r="O632" s="165"/>
      <c r="P632" s="165"/>
      <c r="Q632" s="165" t="s">
        <v>3888</v>
      </c>
      <c r="R632" s="165"/>
      <c r="S632" s="165"/>
      <c r="T632" s="165"/>
      <c r="U632" s="165" t="s">
        <v>3807</v>
      </c>
      <c r="V632" s="165"/>
      <c r="W632" s="165"/>
      <c r="X632" s="165"/>
      <c r="Y632">
        <v>6</v>
      </c>
      <c r="Z632" s="165" t="s">
        <v>3889</v>
      </c>
      <c r="AA632" s="165" t="s">
        <v>3809</v>
      </c>
      <c r="AB632" s="165" t="s">
        <v>3811</v>
      </c>
      <c r="AC632" s="165" t="s">
        <v>3810</v>
      </c>
      <c r="AD632" s="165" t="s">
        <v>3890</v>
      </c>
      <c r="AE632">
        <v>77</v>
      </c>
      <c r="AF632" s="165" t="s">
        <v>3891</v>
      </c>
      <c r="AG632">
        <v>435</v>
      </c>
      <c r="AH632">
        <v>222</v>
      </c>
      <c r="AI632">
        <v>46.5</v>
      </c>
      <c r="AJ632">
        <v>25.2</v>
      </c>
      <c r="AK632" s="165" t="s">
        <v>3892</v>
      </c>
      <c r="AL632">
        <v>50</v>
      </c>
      <c r="AM632">
        <v>26</v>
      </c>
      <c r="AN632">
        <v>2</v>
      </c>
      <c r="AO632">
        <v>6</v>
      </c>
      <c r="AP632">
        <v>12</v>
      </c>
      <c r="AQ632" s="165" t="s">
        <v>3815</v>
      </c>
      <c r="AR632" t="s">
        <v>3830</v>
      </c>
      <c r="AS632" s="165" t="s">
        <v>3786</v>
      </c>
      <c r="AT632" t="s">
        <v>5291</v>
      </c>
      <c r="AU632" t="s">
        <v>5291</v>
      </c>
    </row>
    <row r="633" spans="1:47" hidden="1" x14ac:dyDescent="0.25">
      <c r="A633" s="165" t="s">
        <v>1980</v>
      </c>
      <c r="B633" s="165" t="s">
        <v>5238</v>
      </c>
      <c r="C633" s="165" t="s">
        <v>23</v>
      </c>
      <c r="D633" s="165" t="s">
        <v>1981</v>
      </c>
      <c r="E633" s="165" t="s">
        <v>4270</v>
      </c>
      <c r="F633" s="165" t="s">
        <v>12</v>
      </c>
      <c r="G633" s="165" t="s">
        <v>3878</v>
      </c>
      <c r="H633" s="165" t="s">
        <v>263</v>
      </c>
      <c r="I633" s="165" t="s">
        <v>3821</v>
      </c>
      <c r="J633" s="165" t="s">
        <v>3879</v>
      </c>
      <c r="K633" s="165"/>
      <c r="L633" s="165"/>
      <c r="M633" s="165"/>
      <c r="N633" s="165" t="s">
        <v>3805</v>
      </c>
      <c r="O633" s="165"/>
      <c r="P633" s="165"/>
      <c r="Q633" s="165"/>
      <c r="R633" s="165"/>
      <c r="S633" s="165"/>
      <c r="T633" s="165" t="s">
        <v>3806</v>
      </c>
      <c r="U633" s="165" t="s">
        <v>3807</v>
      </c>
      <c r="V633" s="165"/>
      <c r="W633" s="165"/>
      <c r="X633" s="165"/>
      <c r="Y633">
        <v>3</v>
      </c>
      <c r="Z633" s="165" t="s">
        <v>3808</v>
      </c>
      <c r="AA633" s="165" t="s">
        <v>3811</v>
      </c>
      <c r="AB633" s="165"/>
      <c r="AC633" s="165"/>
      <c r="AD633" s="165" t="s">
        <v>4672</v>
      </c>
      <c r="AE633">
        <v>117</v>
      </c>
      <c r="AF633" s="165" t="s">
        <v>4673</v>
      </c>
      <c r="AG633">
        <v>485</v>
      </c>
      <c r="AH633">
        <v>184</v>
      </c>
      <c r="AI633">
        <v>51.5</v>
      </c>
      <c r="AJ633">
        <v>21.4</v>
      </c>
      <c r="AK633" s="165" t="s">
        <v>4674</v>
      </c>
      <c r="AN633">
        <v>5</v>
      </c>
      <c r="AP633">
        <v>0</v>
      </c>
      <c r="AQ633" s="165" t="s">
        <v>3815</v>
      </c>
      <c r="AR633" t="s">
        <v>4263</v>
      </c>
      <c r="AS633" s="165" t="s">
        <v>30</v>
      </c>
      <c r="AT633" t="s">
        <v>5291</v>
      </c>
      <c r="AU633" t="s">
        <v>5291</v>
      </c>
    </row>
    <row r="634" spans="1:47" hidden="1" x14ac:dyDescent="0.25">
      <c r="A634" s="165" t="s">
        <v>1982</v>
      </c>
      <c r="B634" s="165" t="s">
        <v>5239</v>
      </c>
      <c r="C634" s="165" t="s">
        <v>23</v>
      </c>
      <c r="D634" s="165" t="s">
        <v>1983</v>
      </c>
      <c r="E634" s="165" t="s">
        <v>4270</v>
      </c>
      <c r="F634" s="165" t="s">
        <v>12</v>
      </c>
      <c r="G634" s="165" t="s">
        <v>8</v>
      </c>
      <c r="H634" s="165" t="s">
        <v>263</v>
      </c>
      <c r="I634" s="165" t="s">
        <v>3803</v>
      </c>
      <c r="J634" s="165" t="s">
        <v>3804</v>
      </c>
      <c r="K634" s="165"/>
      <c r="L634" s="165"/>
      <c r="M634" s="165"/>
      <c r="N634" s="165" t="s">
        <v>3805</v>
      </c>
      <c r="O634" s="165"/>
      <c r="P634" s="165"/>
      <c r="Q634" s="165"/>
      <c r="R634" s="165"/>
      <c r="S634" s="165"/>
      <c r="T634" s="165" t="s">
        <v>3806</v>
      </c>
      <c r="U634" s="165" t="s">
        <v>3807</v>
      </c>
      <c r="V634" s="165"/>
      <c r="W634" s="165"/>
      <c r="X634" s="165"/>
      <c r="Y634">
        <v>3</v>
      </c>
      <c r="Z634" s="165" t="s">
        <v>3808</v>
      </c>
      <c r="AA634" s="165" t="s">
        <v>3809</v>
      </c>
      <c r="AB634" s="165" t="s">
        <v>3810</v>
      </c>
      <c r="AC634" s="165" t="s">
        <v>3811</v>
      </c>
      <c r="AD634" s="165" t="s">
        <v>4230</v>
      </c>
      <c r="AE634">
        <v>97</v>
      </c>
      <c r="AF634" s="165" t="s">
        <v>4332</v>
      </c>
      <c r="AG634">
        <v>41</v>
      </c>
      <c r="AH634">
        <v>18</v>
      </c>
      <c r="AI634">
        <v>44</v>
      </c>
      <c r="AJ634">
        <v>21</v>
      </c>
      <c r="AK634" s="165" t="s">
        <v>4333</v>
      </c>
      <c r="AN634">
        <v>3</v>
      </c>
      <c r="AO634">
        <v>8</v>
      </c>
      <c r="AP634">
        <v>24</v>
      </c>
      <c r="AQ634" s="165" t="s">
        <v>3815</v>
      </c>
      <c r="AR634" t="s">
        <v>4263</v>
      </c>
      <c r="AS634" s="165" t="s">
        <v>174</v>
      </c>
      <c r="AT634" t="s">
        <v>5291</v>
      </c>
      <c r="AU634" t="s">
        <v>5291</v>
      </c>
    </row>
    <row r="635" spans="1:47" hidden="1" x14ac:dyDescent="0.25">
      <c r="A635" s="165" t="s">
        <v>1990</v>
      </c>
      <c r="B635" s="165" t="s">
        <v>5240</v>
      </c>
      <c r="C635" s="165" t="s">
        <v>23</v>
      </c>
      <c r="D635" s="165" t="s">
        <v>1991</v>
      </c>
      <c r="E635" s="165" t="s">
        <v>5241</v>
      </c>
      <c r="F635" s="165" t="s">
        <v>181</v>
      </c>
      <c r="G635" s="165" t="s">
        <v>8</v>
      </c>
      <c r="H635" s="165" t="s">
        <v>269</v>
      </c>
      <c r="I635" s="165" t="s">
        <v>3864</v>
      </c>
      <c r="J635" s="165" t="s">
        <v>3894</v>
      </c>
      <c r="K635" s="165" t="s">
        <v>3819</v>
      </c>
      <c r="L635" s="165" t="s">
        <v>3820</v>
      </c>
      <c r="M635" s="165" t="s">
        <v>3803</v>
      </c>
      <c r="N635" s="165" t="s">
        <v>3805</v>
      </c>
      <c r="O635" s="165"/>
      <c r="P635" s="165"/>
      <c r="Q635" s="165" t="s">
        <v>3888</v>
      </c>
      <c r="R635" s="165"/>
      <c r="S635" s="165"/>
      <c r="T635" s="165"/>
      <c r="U635" s="165" t="s">
        <v>3807</v>
      </c>
      <c r="V635" s="165"/>
      <c r="W635" s="165"/>
      <c r="X635" s="165"/>
      <c r="Y635">
        <v>6</v>
      </c>
      <c r="Z635" s="165" t="s">
        <v>3889</v>
      </c>
      <c r="AA635" s="165" t="s">
        <v>3809</v>
      </c>
      <c r="AB635" s="165" t="s">
        <v>3811</v>
      </c>
      <c r="AC635" s="165" t="s">
        <v>3810</v>
      </c>
      <c r="AD635" s="165" t="s">
        <v>3890</v>
      </c>
      <c r="AE635">
        <v>77</v>
      </c>
      <c r="AF635" s="165" t="s">
        <v>3891</v>
      </c>
      <c r="AG635">
        <v>435</v>
      </c>
      <c r="AH635">
        <v>222</v>
      </c>
      <c r="AI635">
        <v>46.5</v>
      </c>
      <c r="AJ635">
        <v>25.2</v>
      </c>
      <c r="AK635" s="165" t="s">
        <v>3892</v>
      </c>
      <c r="AL635">
        <v>50</v>
      </c>
      <c r="AM635">
        <v>26</v>
      </c>
      <c r="AN635">
        <v>2</v>
      </c>
      <c r="AO635">
        <v>6</v>
      </c>
      <c r="AP635">
        <v>12</v>
      </c>
      <c r="AQ635" s="165" t="s">
        <v>3815</v>
      </c>
      <c r="AR635" t="s">
        <v>4263</v>
      </c>
      <c r="AS635" s="165" t="s">
        <v>3786</v>
      </c>
      <c r="AT635" t="s">
        <v>5291</v>
      </c>
      <c r="AU635" t="s">
        <v>5291</v>
      </c>
    </row>
    <row r="636" spans="1:47" hidden="1" x14ac:dyDescent="0.25">
      <c r="A636" s="165" t="s">
        <v>1986</v>
      </c>
      <c r="B636" s="165" t="s">
        <v>5242</v>
      </c>
      <c r="C636" s="165" t="s">
        <v>23</v>
      </c>
      <c r="D636" s="165" t="s">
        <v>1987</v>
      </c>
      <c r="E636" s="165" t="s">
        <v>5241</v>
      </c>
      <c r="F636" s="165" t="s">
        <v>181</v>
      </c>
      <c r="G636" s="165" t="s">
        <v>3878</v>
      </c>
      <c r="H636" s="165" t="s">
        <v>269</v>
      </c>
      <c r="I636" s="165" t="s">
        <v>2428</v>
      </c>
      <c r="J636" s="165" t="s">
        <v>3887</v>
      </c>
      <c r="K636" s="165" t="s">
        <v>3819</v>
      </c>
      <c r="L636" s="165" t="s">
        <v>3820</v>
      </c>
      <c r="M636" s="165" t="s">
        <v>3803</v>
      </c>
      <c r="N636" s="165" t="s">
        <v>3805</v>
      </c>
      <c r="O636" s="165"/>
      <c r="P636" s="165"/>
      <c r="Q636" s="165" t="s">
        <v>3888</v>
      </c>
      <c r="R636" s="165"/>
      <c r="S636" s="165"/>
      <c r="T636" s="165"/>
      <c r="U636" s="165" t="s">
        <v>3807</v>
      </c>
      <c r="V636" s="165"/>
      <c r="W636" s="165"/>
      <c r="X636" s="165"/>
      <c r="Y636">
        <v>6</v>
      </c>
      <c r="Z636" s="165" t="s">
        <v>3889</v>
      </c>
      <c r="AA636" s="165" t="s">
        <v>3811</v>
      </c>
      <c r="AB636" s="165"/>
      <c r="AC636" s="165"/>
      <c r="AD636" s="165" t="s">
        <v>5243</v>
      </c>
      <c r="AE636">
        <v>127</v>
      </c>
      <c r="AF636" s="165" t="s">
        <v>5244</v>
      </c>
      <c r="AG636">
        <v>259</v>
      </c>
      <c r="AH636">
        <v>486</v>
      </c>
      <c r="AI636">
        <v>28.9</v>
      </c>
      <c r="AJ636">
        <v>51.6</v>
      </c>
      <c r="AK636" s="165" t="s">
        <v>5245</v>
      </c>
      <c r="AN636">
        <v>2</v>
      </c>
      <c r="AO636">
        <v>6</v>
      </c>
      <c r="AP636">
        <v>12</v>
      </c>
      <c r="AQ636" s="165" t="s">
        <v>3815</v>
      </c>
      <c r="AR636" t="s">
        <v>4263</v>
      </c>
      <c r="AS636" s="165" t="s">
        <v>30</v>
      </c>
      <c r="AT636" t="s">
        <v>5291</v>
      </c>
      <c r="AU636" t="s">
        <v>5291</v>
      </c>
    </row>
    <row r="637" spans="1:47" hidden="1" x14ac:dyDescent="0.25">
      <c r="A637" s="165" t="s">
        <v>1745</v>
      </c>
      <c r="B637" s="165" t="s">
        <v>88</v>
      </c>
      <c r="C637" s="165" t="s">
        <v>23</v>
      </c>
      <c r="D637" s="165" t="s">
        <v>1746</v>
      </c>
      <c r="E637" s="165" t="s">
        <v>3991</v>
      </c>
      <c r="F637" s="165" t="s">
        <v>9</v>
      </c>
      <c r="G637" s="165" t="s">
        <v>8</v>
      </c>
      <c r="H637" s="165" t="s">
        <v>263</v>
      </c>
      <c r="I637" s="165" t="s">
        <v>3820</v>
      </c>
      <c r="J637" s="165" t="s">
        <v>4082</v>
      </c>
      <c r="K637" s="165"/>
      <c r="L637" s="165"/>
      <c r="M637" s="165"/>
      <c r="N637" s="165" t="s">
        <v>3805</v>
      </c>
      <c r="O637" s="165"/>
      <c r="P637" s="165"/>
      <c r="Q637" s="165"/>
      <c r="R637" s="165"/>
      <c r="S637" s="165"/>
      <c r="T637" s="165" t="s">
        <v>3806</v>
      </c>
      <c r="U637" s="165" t="s">
        <v>3807</v>
      </c>
      <c r="V637" s="165"/>
      <c r="W637" s="165"/>
      <c r="X637" s="165"/>
      <c r="Y637">
        <v>3</v>
      </c>
      <c r="Z637" s="165" t="s">
        <v>3808</v>
      </c>
      <c r="AA637" s="165" t="s">
        <v>3811</v>
      </c>
      <c r="AB637" s="165"/>
      <c r="AC637" s="165"/>
      <c r="AD637" s="165" t="s">
        <v>4083</v>
      </c>
      <c r="AE637">
        <v>68</v>
      </c>
      <c r="AF637" s="165" t="s">
        <v>4084</v>
      </c>
      <c r="AG637">
        <v>342</v>
      </c>
      <c r="AH637">
        <v>346</v>
      </c>
      <c r="AI637">
        <v>37.200000000000003</v>
      </c>
      <c r="AJ637">
        <v>37.6</v>
      </c>
      <c r="AK637" s="165" t="s">
        <v>4085</v>
      </c>
      <c r="AN637">
        <v>1</v>
      </c>
      <c r="AP637">
        <v>0</v>
      </c>
      <c r="AQ637" s="165" t="s">
        <v>3815</v>
      </c>
      <c r="AR637" t="s">
        <v>4263</v>
      </c>
      <c r="AS637" s="165" t="s">
        <v>30</v>
      </c>
      <c r="AT637" t="s">
        <v>5291</v>
      </c>
      <c r="AU637" t="s">
        <v>5291</v>
      </c>
    </row>
    <row r="638" spans="1:47" hidden="1" x14ac:dyDescent="0.25">
      <c r="A638" s="165" t="s">
        <v>1966</v>
      </c>
      <c r="B638" s="165" t="s">
        <v>5246</v>
      </c>
      <c r="C638" s="165" t="s">
        <v>2471</v>
      </c>
      <c r="D638" s="165" t="s">
        <v>1967</v>
      </c>
      <c r="E638" s="165" t="s">
        <v>3957</v>
      </c>
      <c r="F638" s="165" t="s">
        <v>4234</v>
      </c>
      <c r="G638" s="165" t="s">
        <v>3878</v>
      </c>
      <c r="H638" s="165" t="s">
        <v>3466</v>
      </c>
      <c r="I638" s="165" t="s">
        <v>2428</v>
      </c>
      <c r="J638" s="165" t="s">
        <v>5247</v>
      </c>
      <c r="K638" s="165" t="s">
        <v>3819</v>
      </c>
      <c r="L638" s="165" t="s">
        <v>3820</v>
      </c>
      <c r="M638" s="165" t="s">
        <v>3803</v>
      </c>
      <c r="N638" s="165" t="s">
        <v>3805</v>
      </c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>
        <v>4</v>
      </c>
      <c r="Z638" s="165" t="s">
        <v>3873</v>
      </c>
      <c r="AA638" s="165" t="s">
        <v>3811</v>
      </c>
      <c r="AB638" s="165"/>
      <c r="AC638" s="165"/>
      <c r="AD638" s="165" t="s">
        <v>4458</v>
      </c>
      <c r="AE638">
        <v>110</v>
      </c>
      <c r="AF638" s="165" t="s">
        <v>4454</v>
      </c>
      <c r="AG638">
        <v>443</v>
      </c>
      <c r="AH638">
        <v>24</v>
      </c>
      <c r="AI638">
        <v>47.3</v>
      </c>
      <c r="AJ638">
        <v>27</v>
      </c>
      <c r="AK638" s="165" t="s">
        <v>4455</v>
      </c>
      <c r="AN638">
        <v>4</v>
      </c>
      <c r="AP638">
        <v>0</v>
      </c>
      <c r="AQ638" s="165" t="s">
        <v>3815</v>
      </c>
      <c r="AR638" t="s">
        <v>4263</v>
      </c>
      <c r="AS638" s="165" t="s">
        <v>30</v>
      </c>
      <c r="AT638" t="s">
        <v>5291</v>
      </c>
      <c r="AU638" t="s">
        <v>3809</v>
      </c>
    </row>
    <row r="639" spans="1:47" hidden="1" x14ac:dyDescent="0.25">
      <c r="A639" s="165" t="s">
        <v>3739</v>
      </c>
      <c r="B639" s="165" t="s">
        <v>3463</v>
      </c>
      <c r="C639" s="165" t="s">
        <v>23</v>
      </c>
      <c r="D639" s="165" t="s">
        <v>5248</v>
      </c>
      <c r="E639" s="165" t="s">
        <v>4270</v>
      </c>
      <c r="F639" s="165" t="s">
        <v>15</v>
      </c>
      <c r="G639" s="165" t="s">
        <v>8</v>
      </c>
      <c r="H639" s="165" t="s">
        <v>269</v>
      </c>
      <c r="I639" s="165" t="s">
        <v>3864</v>
      </c>
      <c r="J639" s="165" t="s">
        <v>3894</v>
      </c>
      <c r="K639" s="165" t="s">
        <v>3819</v>
      </c>
      <c r="L639" s="165" t="s">
        <v>3820</v>
      </c>
      <c r="M639" s="165" t="s">
        <v>3803</v>
      </c>
      <c r="N639" s="165" t="s">
        <v>3805</v>
      </c>
      <c r="O639" s="165"/>
      <c r="P639" s="165"/>
      <c r="Q639" s="165" t="s">
        <v>3888</v>
      </c>
      <c r="R639" s="165"/>
      <c r="S639" s="165"/>
      <c r="T639" s="165"/>
      <c r="U639" s="165" t="s">
        <v>3807</v>
      </c>
      <c r="V639" s="165"/>
      <c r="W639" s="165"/>
      <c r="X639" s="165"/>
      <c r="Y639">
        <v>6</v>
      </c>
      <c r="Z639" s="165" t="s">
        <v>3889</v>
      </c>
      <c r="AA639" s="165" t="s">
        <v>3809</v>
      </c>
      <c r="AB639" s="165" t="s">
        <v>3811</v>
      </c>
      <c r="AC639" s="165" t="s">
        <v>3810</v>
      </c>
      <c r="AD639" s="165" t="s">
        <v>5243</v>
      </c>
      <c r="AE639">
        <v>127</v>
      </c>
      <c r="AF639" s="165" t="s">
        <v>5244</v>
      </c>
      <c r="AG639">
        <v>259</v>
      </c>
      <c r="AH639">
        <v>486</v>
      </c>
      <c r="AI639">
        <v>28.9</v>
      </c>
      <c r="AJ639">
        <v>51.6</v>
      </c>
      <c r="AK639" s="165" t="s">
        <v>5245</v>
      </c>
      <c r="AN639">
        <v>2</v>
      </c>
      <c r="AO639">
        <v>6</v>
      </c>
      <c r="AP639">
        <v>12</v>
      </c>
      <c r="AQ639" s="165" t="s">
        <v>3815</v>
      </c>
      <c r="AR639" t="s">
        <v>4263</v>
      </c>
      <c r="AS639" s="165" t="s">
        <v>3786</v>
      </c>
      <c r="AT639" t="s">
        <v>5291</v>
      </c>
      <c r="AU639" t="s">
        <v>5291</v>
      </c>
    </row>
    <row r="640" spans="1:47" hidden="1" x14ac:dyDescent="0.25">
      <c r="A640" s="165" t="s">
        <v>1862</v>
      </c>
      <c r="B640" s="165" t="s">
        <v>5249</v>
      </c>
      <c r="C640" s="165" t="s">
        <v>23</v>
      </c>
      <c r="D640" s="165" t="s">
        <v>1863</v>
      </c>
      <c r="E640" s="165" t="s">
        <v>3862</v>
      </c>
      <c r="F640" s="165" t="s">
        <v>9</v>
      </c>
      <c r="G640" s="165" t="s">
        <v>3878</v>
      </c>
      <c r="H640" s="165" t="s">
        <v>2206</v>
      </c>
      <c r="I640" s="165" t="s">
        <v>3807</v>
      </c>
      <c r="J640" s="165" t="s">
        <v>4314</v>
      </c>
      <c r="K640" s="165"/>
      <c r="L640" s="165"/>
      <c r="M640" s="165"/>
      <c r="N640" s="165"/>
      <c r="O640" s="165" t="s">
        <v>3864</v>
      </c>
      <c r="P640" s="165" t="s">
        <v>3865</v>
      </c>
      <c r="Q640" s="165"/>
      <c r="R640" s="165"/>
      <c r="S640" s="165"/>
      <c r="T640" s="165"/>
      <c r="U640" s="165" t="s">
        <v>3807</v>
      </c>
      <c r="V640" s="165"/>
      <c r="W640" s="165"/>
      <c r="X640" s="165"/>
      <c r="Y640">
        <v>3</v>
      </c>
      <c r="Z640" s="165" t="s">
        <v>4775</v>
      </c>
      <c r="AA640" s="165" t="s">
        <v>3811</v>
      </c>
      <c r="AB640" s="165"/>
      <c r="AC640" s="165"/>
      <c r="AD640" s="165" t="s">
        <v>5250</v>
      </c>
      <c r="AE640">
        <v>59</v>
      </c>
      <c r="AF640" s="165" t="s">
        <v>4871</v>
      </c>
      <c r="AG640">
        <v>49</v>
      </c>
      <c r="AH640">
        <v>31</v>
      </c>
      <c r="AI640">
        <v>52</v>
      </c>
      <c r="AJ640">
        <v>34</v>
      </c>
      <c r="AK640" s="165" t="s">
        <v>4872</v>
      </c>
      <c r="AN640">
        <v>7</v>
      </c>
      <c r="AP640">
        <v>0</v>
      </c>
      <c r="AQ640" s="165" t="s">
        <v>3815</v>
      </c>
      <c r="AR640" t="s">
        <v>4263</v>
      </c>
      <c r="AS640" s="165" t="s">
        <v>30</v>
      </c>
      <c r="AT640" t="s">
        <v>5291</v>
      </c>
      <c r="AU640" t="s">
        <v>5291</v>
      </c>
    </row>
    <row r="641" spans="1:47" hidden="1" x14ac:dyDescent="0.25">
      <c r="A641" s="165" t="s">
        <v>1797</v>
      </c>
      <c r="B641" s="165" t="s">
        <v>5251</v>
      </c>
      <c r="C641" s="165" t="s">
        <v>23</v>
      </c>
      <c r="D641" s="165" t="s">
        <v>1798</v>
      </c>
      <c r="E641" s="165" t="s">
        <v>5231</v>
      </c>
      <c r="F641" s="165" t="s">
        <v>9</v>
      </c>
      <c r="G641" s="165" t="s">
        <v>3878</v>
      </c>
      <c r="H641" s="165" t="s">
        <v>2305</v>
      </c>
      <c r="I641" s="165" t="s">
        <v>3807</v>
      </c>
      <c r="J641" s="165" t="s">
        <v>4852</v>
      </c>
      <c r="K641" s="165" t="s">
        <v>3819</v>
      </c>
      <c r="L641" s="165" t="s">
        <v>3820</v>
      </c>
      <c r="M641" s="165" t="s">
        <v>3803</v>
      </c>
      <c r="N641" s="165" t="s">
        <v>3805</v>
      </c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>
        <v>4</v>
      </c>
      <c r="Z641" s="165" t="s">
        <v>3873</v>
      </c>
      <c r="AA641" s="165" t="s">
        <v>3809</v>
      </c>
      <c r="AB641" s="165" t="s">
        <v>3811</v>
      </c>
      <c r="AC641" s="165" t="s">
        <v>3810</v>
      </c>
      <c r="AD641" s="165" t="s">
        <v>4020</v>
      </c>
      <c r="AE641">
        <v>53</v>
      </c>
      <c r="AF641" s="165" t="s">
        <v>4303</v>
      </c>
      <c r="AG641">
        <v>416</v>
      </c>
      <c r="AH641">
        <v>29</v>
      </c>
      <c r="AI641">
        <v>44.6</v>
      </c>
      <c r="AJ641">
        <v>32</v>
      </c>
      <c r="AK641" s="165" t="s">
        <v>4304</v>
      </c>
      <c r="AN641">
        <v>6</v>
      </c>
      <c r="AO641">
        <v>4</v>
      </c>
      <c r="AP641">
        <v>24</v>
      </c>
      <c r="AQ641" s="165" t="s">
        <v>3815</v>
      </c>
      <c r="AR641" t="s">
        <v>4263</v>
      </c>
      <c r="AS641" s="165" t="s">
        <v>3786</v>
      </c>
      <c r="AT641" t="s">
        <v>5291</v>
      </c>
      <c r="AU641" t="s">
        <v>5291</v>
      </c>
    </row>
    <row r="642" spans="1:47" hidden="1" x14ac:dyDescent="0.25">
      <c r="A642" s="165" t="s">
        <v>1974</v>
      </c>
      <c r="B642" s="165" t="s">
        <v>5252</v>
      </c>
      <c r="C642" s="165" t="s">
        <v>23</v>
      </c>
      <c r="D642" s="165" t="s">
        <v>1975</v>
      </c>
      <c r="E642" s="165" t="s">
        <v>4624</v>
      </c>
      <c r="F642" s="165" t="s">
        <v>181</v>
      </c>
      <c r="G642" s="165" t="s">
        <v>8</v>
      </c>
      <c r="H642" s="165" t="s">
        <v>269</v>
      </c>
      <c r="I642" s="165" t="s">
        <v>3864</v>
      </c>
      <c r="J642" s="165" t="s">
        <v>3894</v>
      </c>
      <c r="K642" s="165" t="s">
        <v>3819</v>
      </c>
      <c r="L642" s="165" t="s">
        <v>3820</v>
      </c>
      <c r="M642" s="165" t="s">
        <v>3803</v>
      </c>
      <c r="N642" s="165" t="s">
        <v>3805</v>
      </c>
      <c r="O642" s="165"/>
      <c r="P642" s="165"/>
      <c r="Q642" s="165" t="s">
        <v>3888</v>
      </c>
      <c r="R642" s="165"/>
      <c r="S642" s="165"/>
      <c r="T642" s="165"/>
      <c r="U642" s="165" t="s">
        <v>3807</v>
      </c>
      <c r="V642" s="165"/>
      <c r="W642" s="165"/>
      <c r="X642" s="165"/>
      <c r="Y642">
        <v>6</v>
      </c>
      <c r="Z642" s="165" t="s">
        <v>3889</v>
      </c>
      <c r="AA642" s="165" t="s">
        <v>3809</v>
      </c>
      <c r="AB642" s="165" t="s">
        <v>3811</v>
      </c>
      <c r="AC642" s="165" t="s">
        <v>3810</v>
      </c>
      <c r="AD642" s="165" t="s">
        <v>3895</v>
      </c>
      <c r="AE642">
        <v>75</v>
      </c>
      <c r="AF642" s="165" t="s">
        <v>3896</v>
      </c>
      <c r="AG642">
        <v>251</v>
      </c>
      <c r="AH642">
        <v>475</v>
      </c>
      <c r="AI642">
        <v>28.1</v>
      </c>
      <c r="AJ642">
        <v>50.5</v>
      </c>
      <c r="AK642" s="165" t="s">
        <v>3897</v>
      </c>
      <c r="AL642">
        <v>26.2</v>
      </c>
      <c r="AM642">
        <v>54</v>
      </c>
      <c r="AN642">
        <v>2</v>
      </c>
      <c r="AO642">
        <v>6</v>
      </c>
      <c r="AP642">
        <v>12</v>
      </c>
      <c r="AQ642" s="165" t="s">
        <v>3815</v>
      </c>
      <c r="AR642" t="s">
        <v>4263</v>
      </c>
      <c r="AS642" s="165" t="s">
        <v>3786</v>
      </c>
      <c r="AT642" t="s">
        <v>5291</v>
      </c>
      <c r="AU642" t="s">
        <v>5291</v>
      </c>
    </row>
    <row r="643" spans="1:47" hidden="1" x14ac:dyDescent="0.25">
      <c r="A643" s="165" t="s">
        <v>5253</v>
      </c>
      <c r="B643" s="165" t="s">
        <v>88</v>
      </c>
      <c r="C643" s="165" t="s">
        <v>23</v>
      </c>
      <c r="D643" s="165" t="s">
        <v>5254</v>
      </c>
      <c r="E643" s="165" t="s">
        <v>4109</v>
      </c>
      <c r="F643" s="165" t="s">
        <v>2183</v>
      </c>
      <c r="G643" s="165" t="s">
        <v>3878</v>
      </c>
      <c r="H643" s="165" t="s">
        <v>251</v>
      </c>
      <c r="I643" s="165" t="s">
        <v>3807</v>
      </c>
      <c r="J643" s="165" t="s">
        <v>4671</v>
      </c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 t="s">
        <v>3807</v>
      </c>
      <c r="V643" s="165" t="s">
        <v>3821</v>
      </c>
      <c r="W643" s="165" t="s">
        <v>3822</v>
      </c>
      <c r="X643" s="165"/>
      <c r="Y643">
        <v>3</v>
      </c>
      <c r="Z643" s="165" t="s">
        <v>4367</v>
      </c>
      <c r="AA643" s="165" t="s">
        <v>3811</v>
      </c>
      <c r="AB643" s="165"/>
      <c r="AC643" s="165"/>
      <c r="AD643" s="165" t="s">
        <v>3881</v>
      </c>
      <c r="AE643">
        <v>1</v>
      </c>
      <c r="AF643" s="165" t="s">
        <v>3882</v>
      </c>
      <c r="AG643">
        <v>34</v>
      </c>
      <c r="AH643">
        <v>29</v>
      </c>
      <c r="AI643">
        <v>37</v>
      </c>
      <c r="AJ643">
        <v>32</v>
      </c>
      <c r="AK643" s="165" t="s">
        <v>3883</v>
      </c>
      <c r="AL643">
        <v>36</v>
      </c>
      <c r="AM643">
        <v>32</v>
      </c>
      <c r="AN643">
        <v>6</v>
      </c>
      <c r="AP643">
        <v>0</v>
      </c>
      <c r="AQ643" s="165" t="s">
        <v>3815</v>
      </c>
      <c r="AR643" t="s">
        <v>4263</v>
      </c>
      <c r="AS643" s="165" t="s">
        <v>30</v>
      </c>
      <c r="AT643" t="s">
        <v>5291</v>
      </c>
      <c r="AU643" t="s">
        <v>5291</v>
      </c>
    </row>
    <row r="644" spans="1:47" hidden="1" x14ac:dyDescent="0.25">
      <c r="A644" s="165" t="s">
        <v>1972</v>
      </c>
      <c r="B644" s="165" t="s">
        <v>5255</v>
      </c>
      <c r="C644" s="165" t="s">
        <v>23</v>
      </c>
      <c r="D644" s="165" t="s">
        <v>1973</v>
      </c>
      <c r="E644" s="165" t="s">
        <v>4624</v>
      </c>
      <c r="F644" s="165" t="s">
        <v>181</v>
      </c>
      <c r="G644" s="165" t="s">
        <v>3878</v>
      </c>
      <c r="H644" s="165" t="s">
        <v>269</v>
      </c>
      <c r="I644" s="165" t="s">
        <v>2428</v>
      </c>
      <c r="J644" s="165" t="s">
        <v>3887</v>
      </c>
      <c r="K644" s="165" t="s">
        <v>3819</v>
      </c>
      <c r="L644" s="165" t="s">
        <v>3820</v>
      </c>
      <c r="M644" s="165" t="s">
        <v>3803</v>
      </c>
      <c r="N644" s="165" t="s">
        <v>3805</v>
      </c>
      <c r="O644" s="165"/>
      <c r="P644" s="165"/>
      <c r="Q644" s="165" t="s">
        <v>3888</v>
      </c>
      <c r="R644" s="165"/>
      <c r="S644" s="165"/>
      <c r="T644" s="165"/>
      <c r="U644" s="165" t="s">
        <v>3807</v>
      </c>
      <c r="V644" s="165"/>
      <c r="W644" s="165"/>
      <c r="X644" s="165"/>
      <c r="Y644">
        <v>6</v>
      </c>
      <c r="Z644" s="165" t="s">
        <v>3889</v>
      </c>
      <c r="AA644" s="165" t="s">
        <v>3811</v>
      </c>
      <c r="AB644" s="165"/>
      <c r="AC644" s="165"/>
      <c r="AD644" s="165" t="s">
        <v>3890</v>
      </c>
      <c r="AE644">
        <v>77</v>
      </c>
      <c r="AF644" s="165" t="s">
        <v>3891</v>
      </c>
      <c r="AG644">
        <v>435</v>
      </c>
      <c r="AH644">
        <v>222</v>
      </c>
      <c r="AI644">
        <v>46.5</v>
      </c>
      <c r="AJ644">
        <v>25.2</v>
      </c>
      <c r="AK644" s="165" t="s">
        <v>3892</v>
      </c>
      <c r="AL644">
        <v>50</v>
      </c>
      <c r="AM644">
        <v>26</v>
      </c>
      <c r="AN644">
        <v>2</v>
      </c>
      <c r="AO644">
        <v>6</v>
      </c>
      <c r="AP644">
        <v>12</v>
      </c>
      <c r="AQ644" s="165" t="s">
        <v>3815</v>
      </c>
      <c r="AR644" t="s">
        <v>4263</v>
      </c>
      <c r="AS644" s="165" t="s">
        <v>30</v>
      </c>
      <c r="AT644" t="s">
        <v>5291</v>
      </c>
      <c r="AU644" t="s">
        <v>5291</v>
      </c>
    </row>
    <row r="645" spans="1:47" hidden="1" x14ac:dyDescent="0.25">
      <c r="A645" s="165" t="s">
        <v>1767</v>
      </c>
      <c r="B645" s="165" t="s">
        <v>5256</v>
      </c>
      <c r="C645" s="165" t="s">
        <v>23</v>
      </c>
      <c r="D645" s="165" t="s">
        <v>1768</v>
      </c>
      <c r="E645" s="165" t="s">
        <v>3832</v>
      </c>
      <c r="F645" s="165" t="s">
        <v>12</v>
      </c>
      <c r="G645" s="165" t="s">
        <v>3878</v>
      </c>
      <c r="H645" s="165" t="s">
        <v>263</v>
      </c>
      <c r="I645" s="165" t="s">
        <v>3821</v>
      </c>
      <c r="J645" s="165" t="s">
        <v>3879</v>
      </c>
      <c r="K645" s="165"/>
      <c r="L645" s="165"/>
      <c r="M645" s="165"/>
      <c r="N645" s="165"/>
      <c r="O645" s="165"/>
      <c r="P645" s="165"/>
      <c r="Q645" s="165"/>
      <c r="R645" s="165"/>
      <c r="S645" s="165"/>
      <c r="T645" s="165" t="s">
        <v>3806</v>
      </c>
      <c r="U645" s="165" t="s">
        <v>3807</v>
      </c>
      <c r="V645" s="165"/>
      <c r="W645" s="165"/>
      <c r="X645" s="165"/>
      <c r="Y645">
        <v>2</v>
      </c>
      <c r="Z645" s="165" t="s">
        <v>3880</v>
      </c>
      <c r="AA645" s="165" t="s">
        <v>3811</v>
      </c>
      <c r="AB645" s="165"/>
      <c r="AC645" s="165"/>
      <c r="AD645" s="165" t="s">
        <v>3881</v>
      </c>
      <c r="AE645">
        <v>1</v>
      </c>
      <c r="AF645" s="165" t="s">
        <v>3882</v>
      </c>
      <c r="AG645">
        <v>34</v>
      </c>
      <c r="AH645">
        <v>29</v>
      </c>
      <c r="AI645">
        <v>37</v>
      </c>
      <c r="AJ645">
        <v>32</v>
      </c>
      <c r="AK645" s="165" t="s">
        <v>3883</v>
      </c>
      <c r="AL645">
        <v>36</v>
      </c>
      <c r="AM645">
        <v>32</v>
      </c>
      <c r="AN645">
        <v>6</v>
      </c>
      <c r="AP645">
        <v>0</v>
      </c>
      <c r="AQ645" s="165" t="s">
        <v>3815</v>
      </c>
      <c r="AR645" t="s">
        <v>4263</v>
      </c>
      <c r="AS645" s="165" t="s">
        <v>30</v>
      </c>
      <c r="AT645" t="s">
        <v>5291</v>
      </c>
      <c r="AU645" t="s">
        <v>5291</v>
      </c>
    </row>
    <row r="646" spans="1:47" hidden="1" x14ac:dyDescent="0.25">
      <c r="A646" s="165" t="s">
        <v>1908</v>
      </c>
      <c r="B646" s="165" t="s">
        <v>3461</v>
      </c>
      <c r="C646" s="165" t="s">
        <v>23</v>
      </c>
      <c r="D646" s="165" t="s">
        <v>1909</v>
      </c>
      <c r="E646" s="165" t="s">
        <v>5257</v>
      </c>
      <c r="F646" s="165" t="s">
        <v>12</v>
      </c>
      <c r="G646" s="165" t="s">
        <v>3878</v>
      </c>
      <c r="H646" s="165" t="s">
        <v>263</v>
      </c>
      <c r="I646" s="165" t="s">
        <v>3821</v>
      </c>
      <c r="J646" s="165" t="s">
        <v>3879</v>
      </c>
      <c r="K646" s="165"/>
      <c r="L646" s="165"/>
      <c r="M646" s="165"/>
      <c r="N646" s="165"/>
      <c r="O646" s="165"/>
      <c r="P646" s="165"/>
      <c r="Q646" s="165"/>
      <c r="R646" s="165"/>
      <c r="S646" s="165"/>
      <c r="T646" s="165" t="s">
        <v>3806</v>
      </c>
      <c r="U646" s="165" t="s">
        <v>3807</v>
      </c>
      <c r="V646" s="165"/>
      <c r="W646" s="165"/>
      <c r="X646" s="165"/>
      <c r="Y646">
        <v>2</v>
      </c>
      <c r="Z646" s="165" t="s">
        <v>3880</v>
      </c>
      <c r="AA646" s="165" t="s">
        <v>3809</v>
      </c>
      <c r="AB646" s="165" t="s">
        <v>3810</v>
      </c>
      <c r="AC646" s="165" t="s">
        <v>3811</v>
      </c>
      <c r="AD646" s="165" t="s">
        <v>3881</v>
      </c>
      <c r="AE646">
        <v>1</v>
      </c>
      <c r="AF646" s="165" t="s">
        <v>3882</v>
      </c>
      <c r="AG646">
        <v>34</v>
      </c>
      <c r="AH646">
        <v>29</v>
      </c>
      <c r="AI646">
        <v>37</v>
      </c>
      <c r="AJ646">
        <v>32</v>
      </c>
      <c r="AK646" s="165" t="s">
        <v>3883</v>
      </c>
      <c r="AL646">
        <v>36</v>
      </c>
      <c r="AM646">
        <v>32</v>
      </c>
      <c r="AN646">
        <v>6</v>
      </c>
      <c r="AO646">
        <v>6</v>
      </c>
      <c r="AP646">
        <v>36</v>
      </c>
      <c r="AQ646" s="165" t="s">
        <v>3815</v>
      </c>
      <c r="AR646" t="s">
        <v>4263</v>
      </c>
      <c r="AS646" s="165" t="s">
        <v>174</v>
      </c>
      <c r="AT646" t="s">
        <v>5291</v>
      </c>
      <c r="AU646" t="s">
        <v>5291</v>
      </c>
    </row>
    <row r="647" spans="1:47" hidden="1" x14ac:dyDescent="0.25">
      <c r="A647" s="165" t="s">
        <v>1964</v>
      </c>
      <c r="B647" s="165" t="s">
        <v>5258</v>
      </c>
      <c r="C647" s="165" t="s">
        <v>23</v>
      </c>
      <c r="D647" s="165" t="s">
        <v>1965</v>
      </c>
      <c r="E647" s="165" t="s">
        <v>3957</v>
      </c>
      <c r="F647" s="165" t="s">
        <v>4234</v>
      </c>
      <c r="G647" s="165" t="s">
        <v>8</v>
      </c>
      <c r="H647" s="165" t="s">
        <v>3466</v>
      </c>
      <c r="I647" s="165" t="s">
        <v>3864</v>
      </c>
      <c r="J647" s="165" t="s">
        <v>5259</v>
      </c>
      <c r="K647" s="165" t="s">
        <v>3819</v>
      </c>
      <c r="L647" s="165" t="s">
        <v>3820</v>
      </c>
      <c r="M647" s="165" t="s">
        <v>3803</v>
      </c>
      <c r="N647" s="165" t="s">
        <v>3805</v>
      </c>
      <c r="O647" s="165"/>
      <c r="P647" s="165"/>
      <c r="Q647" s="165"/>
      <c r="R647" s="165"/>
      <c r="S647" s="165"/>
      <c r="T647" s="165"/>
      <c r="U647" s="165" t="s">
        <v>3807</v>
      </c>
      <c r="V647" s="165" t="s">
        <v>3821</v>
      </c>
      <c r="W647" s="165" t="s">
        <v>3822</v>
      </c>
      <c r="X647" s="165"/>
      <c r="Y647">
        <v>7</v>
      </c>
      <c r="Z647" s="165" t="s">
        <v>3823</v>
      </c>
      <c r="AA647" s="165" t="s">
        <v>3811</v>
      </c>
      <c r="AB647" s="165"/>
      <c r="AC647" s="165"/>
      <c r="AD647" s="165" t="s">
        <v>4458</v>
      </c>
      <c r="AE647">
        <v>110</v>
      </c>
      <c r="AF647" s="165" t="s">
        <v>4454</v>
      </c>
      <c r="AG647">
        <v>443</v>
      </c>
      <c r="AH647">
        <v>24</v>
      </c>
      <c r="AI647">
        <v>47.3</v>
      </c>
      <c r="AJ647">
        <v>27</v>
      </c>
      <c r="AK647" s="165" t="s">
        <v>4455</v>
      </c>
      <c r="AN647">
        <v>4</v>
      </c>
      <c r="AP647">
        <v>0</v>
      </c>
      <c r="AQ647" s="165" t="s">
        <v>3815</v>
      </c>
      <c r="AR647" t="s">
        <v>4263</v>
      </c>
      <c r="AS647" s="165" t="s">
        <v>30</v>
      </c>
      <c r="AT647" t="s">
        <v>5291</v>
      </c>
      <c r="AU647" t="s">
        <v>5291</v>
      </c>
    </row>
    <row r="648" spans="1:47" hidden="1" x14ac:dyDescent="0.25">
      <c r="A648" s="165" t="s">
        <v>1970</v>
      </c>
      <c r="B648" s="165" t="s">
        <v>5260</v>
      </c>
      <c r="C648" s="165" t="s">
        <v>23</v>
      </c>
      <c r="D648" s="165" t="s">
        <v>1971</v>
      </c>
      <c r="E648" s="165" t="s">
        <v>5261</v>
      </c>
      <c r="F648" s="165" t="s">
        <v>9</v>
      </c>
      <c r="G648" s="165" t="s">
        <v>8</v>
      </c>
      <c r="H648" s="165" t="s">
        <v>2305</v>
      </c>
      <c r="I648" s="165" t="s">
        <v>3820</v>
      </c>
      <c r="J648" s="165" t="s">
        <v>3872</v>
      </c>
      <c r="K648" s="165" t="s">
        <v>3819</v>
      </c>
      <c r="L648" s="165" t="s">
        <v>3820</v>
      </c>
      <c r="M648" s="165" t="s">
        <v>3803</v>
      </c>
      <c r="N648" s="165" t="s">
        <v>3805</v>
      </c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>
        <v>4</v>
      </c>
      <c r="Z648" s="165" t="s">
        <v>3873</v>
      </c>
      <c r="AA648" s="165" t="s">
        <v>3811</v>
      </c>
      <c r="AB648" s="165"/>
      <c r="AC648" s="165"/>
      <c r="AD648" s="165" t="s">
        <v>4815</v>
      </c>
      <c r="AE648">
        <v>106</v>
      </c>
      <c r="AF648" s="165" t="s">
        <v>4816</v>
      </c>
      <c r="AG648">
        <v>384</v>
      </c>
      <c r="AH648">
        <v>19</v>
      </c>
      <c r="AI648">
        <v>41.4</v>
      </c>
      <c r="AJ648">
        <v>22</v>
      </c>
      <c r="AK648" s="165" t="s">
        <v>4817</v>
      </c>
      <c r="AN648">
        <v>2</v>
      </c>
      <c r="AO648">
        <v>7</v>
      </c>
      <c r="AP648">
        <v>14</v>
      </c>
      <c r="AQ648" s="165" t="s">
        <v>3815</v>
      </c>
      <c r="AR648" t="s">
        <v>4263</v>
      </c>
      <c r="AS648" s="165" t="s">
        <v>30</v>
      </c>
      <c r="AT648" t="s">
        <v>5291</v>
      </c>
      <c r="AU648" t="s">
        <v>5291</v>
      </c>
    </row>
    <row r="649" spans="1:47" hidden="1" x14ac:dyDescent="0.25">
      <c r="A649" s="165" t="s">
        <v>5262</v>
      </c>
      <c r="B649" s="165" t="s">
        <v>5263</v>
      </c>
      <c r="C649" s="165" t="s">
        <v>2471</v>
      </c>
      <c r="D649" s="165" t="s">
        <v>5264</v>
      </c>
      <c r="E649" s="165" t="s">
        <v>5265</v>
      </c>
      <c r="F649" s="165" t="s">
        <v>9</v>
      </c>
      <c r="G649" s="165" t="s">
        <v>3878</v>
      </c>
      <c r="H649" s="165" t="s">
        <v>263</v>
      </c>
      <c r="I649" s="165" t="s">
        <v>3807</v>
      </c>
      <c r="J649" s="165" t="s">
        <v>4570</v>
      </c>
      <c r="K649" s="165"/>
      <c r="L649" s="165"/>
      <c r="M649" s="165"/>
      <c r="N649" s="165"/>
      <c r="O649" s="165"/>
      <c r="P649" s="165"/>
      <c r="Q649" s="165"/>
      <c r="R649" s="165"/>
      <c r="S649" s="165"/>
      <c r="T649" s="165" t="s">
        <v>3806</v>
      </c>
      <c r="U649" s="165" t="s">
        <v>3807</v>
      </c>
      <c r="V649" s="165"/>
      <c r="W649" s="165"/>
      <c r="X649" s="165"/>
      <c r="Y649">
        <v>2</v>
      </c>
      <c r="Z649" s="165" t="s">
        <v>3880</v>
      </c>
      <c r="AA649" s="165" t="s">
        <v>3810</v>
      </c>
      <c r="AB649" s="165" t="s">
        <v>3810</v>
      </c>
      <c r="AC649" s="165" t="s">
        <v>3811</v>
      </c>
      <c r="AD649" s="165" t="s">
        <v>4870</v>
      </c>
      <c r="AE649">
        <v>59</v>
      </c>
      <c r="AF649" s="165" t="s">
        <v>4871</v>
      </c>
      <c r="AG649">
        <v>49</v>
      </c>
      <c r="AH649">
        <v>31</v>
      </c>
      <c r="AI649">
        <v>52</v>
      </c>
      <c r="AJ649">
        <v>34</v>
      </c>
      <c r="AK649" s="165" t="s">
        <v>4872</v>
      </c>
      <c r="AN649">
        <v>7</v>
      </c>
      <c r="AO649">
        <v>4</v>
      </c>
      <c r="AP649">
        <v>28</v>
      </c>
      <c r="AQ649" s="165" t="s">
        <v>3815</v>
      </c>
      <c r="AR649" t="s">
        <v>4263</v>
      </c>
      <c r="AS649" s="165" t="s">
        <v>174</v>
      </c>
      <c r="AT649" t="s">
        <v>5291</v>
      </c>
      <c r="AU649" t="s">
        <v>3809</v>
      </c>
    </row>
    <row r="650" spans="1:47" hidden="1" x14ac:dyDescent="0.25">
      <c r="A650" s="165" t="s">
        <v>1951</v>
      </c>
      <c r="B650" s="165" t="s">
        <v>5266</v>
      </c>
      <c r="C650" s="165" t="s">
        <v>23</v>
      </c>
      <c r="D650" s="165" t="s">
        <v>1952</v>
      </c>
      <c r="E650" s="165" t="s">
        <v>5265</v>
      </c>
      <c r="F650" s="165" t="s">
        <v>13</v>
      </c>
      <c r="G650" s="165" t="s">
        <v>3878</v>
      </c>
      <c r="H650" s="165" t="s">
        <v>269</v>
      </c>
      <c r="I650" s="165" t="s">
        <v>2428</v>
      </c>
      <c r="J650" s="165" t="s">
        <v>3887</v>
      </c>
      <c r="K650" s="165" t="s">
        <v>3819</v>
      </c>
      <c r="L650" s="165" t="s">
        <v>3820</v>
      </c>
      <c r="M650" s="165" t="s">
        <v>3803</v>
      </c>
      <c r="N650" s="165" t="s">
        <v>3805</v>
      </c>
      <c r="O650" s="165"/>
      <c r="P650" s="165"/>
      <c r="Q650" s="165" t="s">
        <v>3888</v>
      </c>
      <c r="R650" s="165"/>
      <c r="S650" s="165"/>
      <c r="T650" s="165"/>
      <c r="U650" s="165" t="s">
        <v>3807</v>
      </c>
      <c r="V650" s="165"/>
      <c r="W650" s="165"/>
      <c r="X650" s="165"/>
      <c r="Y650">
        <v>6</v>
      </c>
      <c r="Z650" s="165" t="s">
        <v>3889</v>
      </c>
      <c r="AA650" s="165" t="s">
        <v>3811</v>
      </c>
      <c r="AB650" s="165"/>
      <c r="AC650" s="165"/>
      <c r="AD650" s="165" t="s">
        <v>2312</v>
      </c>
      <c r="AE650">
        <v>24</v>
      </c>
      <c r="AF650" s="165" t="s">
        <v>4371</v>
      </c>
      <c r="AG650">
        <v>426</v>
      </c>
      <c r="AH650">
        <v>303</v>
      </c>
      <c r="AI650">
        <v>45.6</v>
      </c>
      <c r="AJ650">
        <v>33.299999999999997</v>
      </c>
      <c r="AK650" s="165" t="s">
        <v>4372</v>
      </c>
      <c r="AN650">
        <v>6</v>
      </c>
      <c r="AP650">
        <v>0</v>
      </c>
      <c r="AQ650" s="165" t="s">
        <v>3815</v>
      </c>
      <c r="AR650" t="s">
        <v>4263</v>
      </c>
      <c r="AS650" s="165" t="s">
        <v>30</v>
      </c>
      <c r="AT650" t="s">
        <v>5291</v>
      </c>
      <c r="AU650" t="s">
        <v>5291</v>
      </c>
    </row>
    <row r="651" spans="1:47" hidden="1" x14ac:dyDescent="0.25">
      <c r="A651" s="165" t="s">
        <v>1896</v>
      </c>
      <c r="B651" s="165" t="s">
        <v>5267</v>
      </c>
      <c r="C651" s="165" t="s">
        <v>23</v>
      </c>
      <c r="D651" s="165" t="s">
        <v>1897</v>
      </c>
      <c r="E651" s="165" t="s">
        <v>5268</v>
      </c>
      <c r="F651" s="165" t="s">
        <v>15</v>
      </c>
      <c r="G651" s="165" t="s">
        <v>3878</v>
      </c>
      <c r="H651" s="165" t="s">
        <v>269</v>
      </c>
      <c r="I651" s="165" t="s">
        <v>2428</v>
      </c>
      <c r="J651" s="165" t="s">
        <v>3887</v>
      </c>
      <c r="K651" s="165" t="s">
        <v>3819</v>
      </c>
      <c r="L651" s="165" t="s">
        <v>3820</v>
      </c>
      <c r="M651" s="165" t="s">
        <v>3803</v>
      </c>
      <c r="N651" s="165" t="s">
        <v>3805</v>
      </c>
      <c r="O651" s="165"/>
      <c r="P651" s="165"/>
      <c r="Q651" s="165" t="s">
        <v>3888</v>
      </c>
      <c r="R651" s="165"/>
      <c r="S651" s="165"/>
      <c r="T651" s="165"/>
      <c r="U651" s="165" t="s">
        <v>3807</v>
      </c>
      <c r="V651" s="165"/>
      <c r="W651" s="165"/>
      <c r="X651" s="165"/>
      <c r="Y651">
        <v>6</v>
      </c>
      <c r="Z651" s="165" t="s">
        <v>3889</v>
      </c>
      <c r="AA651" s="165" t="s">
        <v>5269</v>
      </c>
      <c r="AB651" s="165" t="s">
        <v>3811</v>
      </c>
      <c r="AC651" s="165" t="s">
        <v>3810</v>
      </c>
      <c r="AD651" s="165" t="s">
        <v>3890</v>
      </c>
      <c r="AE651">
        <v>77</v>
      </c>
      <c r="AF651" s="165" t="s">
        <v>3891</v>
      </c>
      <c r="AG651">
        <v>435</v>
      </c>
      <c r="AH651">
        <v>222</v>
      </c>
      <c r="AI651">
        <v>46.5</v>
      </c>
      <c r="AJ651">
        <v>25.2</v>
      </c>
      <c r="AK651" s="165" t="s">
        <v>3892</v>
      </c>
      <c r="AL651">
        <v>50</v>
      </c>
      <c r="AM651">
        <v>26</v>
      </c>
      <c r="AN651">
        <v>2</v>
      </c>
      <c r="AO651">
        <v>6</v>
      </c>
      <c r="AP651">
        <v>12</v>
      </c>
      <c r="AQ651" s="165" t="s">
        <v>3815</v>
      </c>
      <c r="AR651" t="s">
        <v>4263</v>
      </c>
      <c r="AS651" s="165" t="s">
        <v>3786</v>
      </c>
      <c r="AT651" t="s">
        <v>5291</v>
      </c>
      <c r="AU651" t="s">
        <v>5291</v>
      </c>
    </row>
    <row r="652" spans="1:47" hidden="1" x14ac:dyDescent="0.25">
      <c r="A652" s="165" t="s">
        <v>1960</v>
      </c>
      <c r="B652" s="165" t="s">
        <v>88</v>
      </c>
      <c r="C652" s="165" t="s">
        <v>23</v>
      </c>
      <c r="D652" s="165" t="s">
        <v>1961</v>
      </c>
      <c r="E652" s="165" t="s">
        <v>5270</v>
      </c>
      <c r="F652" s="165" t="s">
        <v>181</v>
      </c>
      <c r="G652" s="165" t="s">
        <v>3878</v>
      </c>
      <c r="H652" s="165" t="s">
        <v>269</v>
      </c>
      <c r="I652" s="165" t="s">
        <v>2428</v>
      </c>
      <c r="J652" s="165" t="s">
        <v>3887</v>
      </c>
      <c r="K652" s="165" t="s">
        <v>3819</v>
      </c>
      <c r="L652" s="165" t="s">
        <v>3820</v>
      </c>
      <c r="M652" s="165" t="s">
        <v>3803</v>
      </c>
      <c r="N652" s="165" t="s">
        <v>3805</v>
      </c>
      <c r="O652" s="165"/>
      <c r="P652" s="165"/>
      <c r="Q652" s="165" t="s">
        <v>3888</v>
      </c>
      <c r="R652" s="165"/>
      <c r="S652" s="165"/>
      <c r="T652" s="165"/>
      <c r="U652" s="165" t="s">
        <v>3807</v>
      </c>
      <c r="V652" s="165"/>
      <c r="W652" s="165"/>
      <c r="X652" s="165"/>
      <c r="Y652">
        <v>6</v>
      </c>
      <c r="Z652" s="165" t="s">
        <v>3889</v>
      </c>
      <c r="AA652" s="165" t="s">
        <v>3811</v>
      </c>
      <c r="AB652" s="165"/>
      <c r="AC652" s="165"/>
      <c r="AD652" s="165" t="s">
        <v>3890</v>
      </c>
      <c r="AE652">
        <v>77</v>
      </c>
      <c r="AF652" s="165" t="s">
        <v>3891</v>
      </c>
      <c r="AG652">
        <v>435</v>
      </c>
      <c r="AH652">
        <v>222</v>
      </c>
      <c r="AI652">
        <v>46.5</v>
      </c>
      <c r="AJ652">
        <v>25.2</v>
      </c>
      <c r="AK652" s="165" t="s">
        <v>3892</v>
      </c>
      <c r="AL652">
        <v>50</v>
      </c>
      <c r="AM652">
        <v>26</v>
      </c>
      <c r="AN652">
        <v>2</v>
      </c>
      <c r="AO652">
        <v>6</v>
      </c>
      <c r="AP652">
        <v>12</v>
      </c>
      <c r="AQ652" s="165" t="s">
        <v>3815</v>
      </c>
      <c r="AR652" t="s">
        <v>4263</v>
      </c>
      <c r="AS652" s="165" t="s">
        <v>30</v>
      </c>
      <c r="AT652" t="s">
        <v>5291</v>
      </c>
      <c r="AU652" t="s">
        <v>5291</v>
      </c>
    </row>
    <row r="653" spans="1:47" hidden="1" x14ac:dyDescent="0.25">
      <c r="A653" s="165" t="s">
        <v>1958</v>
      </c>
      <c r="B653" s="165" t="s">
        <v>3379</v>
      </c>
      <c r="C653" s="165" t="s">
        <v>23</v>
      </c>
      <c r="D653" s="165" t="s">
        <v>1959</v>
      </c>
      <c r="E653" s="165" t="s">
        <v>5270</v>
      </c>
      <c r="F653" s="165" t="s">
        <v>181</v>
      </c>
      <c r="G653" s="165" t="s">
        <v>8</v>
      </c>
      <c r="H653" s="165" t="s">
        <v>269</v>
      </c>
      <c r="I653" s="165" t="s">
        <v>3864</v>
      </c>
      <c r="J653" s="165" t="s">
        <v>3894</v>
      </c>
      <c r="K653" s="165" t="s">
        <v>3819</v>
      </c>
      <c r="L653" s="165" t="s">
        <v>3820</v>
      </c>
      <c r="M653" s="165" t="s">
        <v>3803</v>
      </c>
      <c r="N653" s="165" t="s">
        <v>3805</v>
      </c>
      <c r="O653" s="165"/>
      <c r="P653" s="165"/>
      <c r="Q653" s="165" t="s">
        <v>3888</v>
      </c>
      <c r="R653" s="165"/>
      <c r="S653" s="165"/>
      <c r="T653" s="165"/>
      <c r="U653" s="165" t="s">
        <v>3807</v>
      </c>
      <c r="V653" s="165"/>
      <c r="W653" s="165"/>
      <c r="X653" s="165"/>
      <c r="Y653">
        <v>6</v>
      </c>
      <c r="Z653" s="165" t="s">
        <v>3889</v>
      </c>
      <c r="AA653" s="165" t="s">
        <v>3809</v>
      </c>
      <c r="AB653" s="165" t="s">
        <v>3811</v>
      </c>
      <c r="AC653" s="165" t="s">
        <v>3810</v>
      </c>
      <c r="AD653" s="165" t="s">
        <v>3895</v>
      </c>
      <c r="AE653">
        <v>75</v>
      </c>
      <c r="AF653" s="165" t="s">
        <v>3896</v>
      </c>
      <c r="AG653">
        <v>251</v>
      </c>
      <c r="AH653">
        <v>475</v>
      </c>
      <c r="AI653">
        <v>28.1</v>
      </c>
      <c r="AJ653">
        <v>50.5</v>
      </c>
      <c r="AK653" s="165" t="s">
        <v>3897</v>
      </c>
      <c r="AL653">
        <v>26.2</v>
      </c>
      <c r="AM653">
        <v>54</v>
      </c>
      <c r="AN653">
        <v>2</v>
      </c>
      <c r="AO653">
        <v>6</v>
      </c>
      <c r="AP653">
        <v>12</v>
      </c>
      <c r="AQ653" s="165" t="s">
        <v>3815</v>
      </c>
      <c r="AR653" t="s">
        <v>4263</v>
      </c>
      <c r="AS653" s="165" t="s">
        <v>3786</v>
      </c>
      <c r="AT653" t="s">
        <v>5291</v>
      </c>
      <c r="AU653" t="s">
        <v>5291</v>
      </c>
    </row>
    <row r="654" spans="1:47" hidden="1" x14ac:dyDescent="0.25">
      <c r="A654" s="165" t="s">
        <v>1948</v>
      </c>
      <c r="B654" s="165" t="s">
        <v>5271</v>
      </c>
      <c r="C654" s="165" t="s">
        <v>23</v>
      </c>
      <c r="D654" s="165" t="s">
        <v>1949</v>
      </c>
      <c r="E654" s="165" t="s">
        <v>5265</v>
      </c>
      <c r="F654" s="165" t="s">
        <v>13</v>
      </c>
      <c r="G654" s="165" t="s">
        <v>8</v>
      </c>
      <c r="H654" s="165" t="s">
        <v>269</v>
      </c>
      <c r="I654" s="165" t="s">
        <v>3864</v>
      </c>
      <c r="J654" s="165" t="s">
        <v>3894</v>
      </c>
      <c r="K654" s="165" t="s">
        <v>3819</v>
      </c>
      <c r="L654" s="165" t="s">
        <v>3820</v>
      </c>
      <c r="M654" s="165" t="s">
        <v>3803</v>
      </c>
      <c r="N654" s="165" t="s">
        <v>3805</v>
      </c>
      <c r="O654" s="165"/>
      <c r="P654" s="165"/>
      <c r="Q654" s="165" t="s">
        <v>3888</v>
      </c>
      <c r="R654" s="165"/>
      <c r="S654" s="165"/>
      <c r="T654" s="165"/>
      <c r="U654" s="165" t="s">
        <v>3807</v>
      </c>
      <c r="V654" s="165"/>
      <c r="W654" s="165"/>
      <c r="X654" s="165"/>
      <c r="Y654">
        <v>6</v>
      </c>
      <c r="Z654" s="165" t="s">
        <v>3889</v>
      </c>
      <c r="AA654" s="165" t="s">
        <v>3811</v>
      </c>
      <c r="AB654" s="165"/>
      <c r="AC654" s="165"/>
      <c r="AD654" s="165" t="s">
        <v>2313</v>
      </c>
      <c r="AE654">
        <v>25</v>
      </c>
      <c r="AF654" s="165" t="s">
        <v>4068</v>
      </c>
      <c r="AG654">
        <v>50</v>
      </c>
      <c r="AH654">
        <v>326</v>
      </c>
      <c r="AI654">
        <v>53</v>
      </c>
      <c r="AJ654">
        <v>35.6</v>
      </c>
      <c r="AK654" s="165" t="s">
        <v>4069</v>
      </c>
      <c r="AN654">
        <v>6</v>
      </c>
      <c r="AP654">
        <v>0</v>
      </c>
      <c r="AQ654" s="165" t="s">
        <v>3815</v>
      </c>
      <c r="AR654" t="s">
        <v>4263</v>
      </c>
      <c r="AS654" s="165" t="s">
        <v>30</v>
      </c>
      <c r="AT654" t="s">
        <v>5291</v>
      </c>
      <c r="AU654" t="s">
        <v>5291</v>
      </c>
    </row>
    <row r="655" spans="1:47" hidden="1" x14ac:dyDescent="0.25">
      <c r="A655" s="165" t="s">
        <v>2976</v>
      </c>
      <c r="B655" s="165" t="s">
        <v>3460</v>
      </c>
      <c r="C655" s="165" t="s">
        <v>23</v>
      </c>
      <c r="D655" s="165" t="s">
        <v>2977</v>
      </c>
      <c r="E655" s="165" t="s">
        <v>5272</v>
      </c>
      <c r="F655" s="165" t="s">
        <v>2148</v>
      </c>
      <c r="G655" s="165" t="s">
        <v>8</v>
      </c>
      <c r="H655" s="165" t="s">
        <v>2030</v>
      </c>
      <c r="I655" s="165" t="s">
        <v>3888</v>
      </c>
      <c r="J655" s="165" t="s">
        <v>4625</v>
      </c>
      <c r="K655" s="165" t="s">
        <v>3819</v>
      </c>
      <c r="L655" s="165" t="s">
        <v>3820</v>
      </c>
      <c r="M655" s="165" t="s">
        <v>3803</v>
      </c>
      <c r="N655" s="165" t="s">
        <v>3805</v>
      </c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>
        <v>4</v>
      </c>
      <c r="Z655" s="165" t="s">
        <v>3873</v>
      </c>
      <c r="AA655" s="165"/>
      <c r="AB655" s="165" t="s">
        <v>3810</v>
      </c>
      <c r="AC655" s="165" t="s">
        <v>3811</v>
      </c>
      <c r="AD655" s="165" t="s">
        <v>5273</v>
      </c>
      <c r="AE655">
        <v>125</v>
      </c>
      <c r="AF655" s="165" t="s">
        <v>5274</v>
      </c>
      <c r="AG655">
        <v>417</v>
      </c>
      <c r="AH655">
        <v>287</v>
      </c>
      <c r="AI655">
        <v>46.7</v>
      </c>
      <c r="AJ655">
        <v>33.700000000000003</v>
      </c>
      <c r="AK655" s="165" t="s">
        <v>5275</v>
      </c>
      <c r="AN655">
        <v>2</v>
      </c>
      <c r="AO655">
        <v>4</v>
      </c>
      <c r="AP655">
        <v>8</v>
      </c>
      <c r="AQ655" s="165" t="s">
        <v>3815</v>
      </c>
      <c r="AR655" t="s">
        <v>4263</v>
      </c>
      <c r="AS655" s="165" t="s">
        <v>174</v>
      </c>
      <c r="AT655" t="s">
        <v>5291</v>
      </c>
      <c r="AU655" t="s">
        <v>5291</v>
      </c>
    </row>
    <row r="656" spans="1:47" hidden="1" x14ac:dyDescent="0.25">
      <c r="A656" s="165" t="s">
        <v>1912</v>
      </c>
      <c r="B656" s="165" t="s">
        <v>88</v>
      </c>
      <c r="C656" s="165" t="s">
        <v>23</v>
      </c>
      <c r="D656" s="165" t="s">
        <v>1913</v>
      </c>
      <c r="E656" s="165" t="s">
        <v>5257</v>
      </c>
      <c r="F656" s="165" t="s">
        <v>12</v>
      </c>
      <c r="G656" s="165" t="s">
        <v>8</v>
      </c>
      <c r="H656" s="165" t="s">
        <v>263</v>
      </c>
      <c r="I656" s="165" t="s">
        <v>3803</v>
      </c>
      <c r="J656" s="165" t="s">
        <v>3804</v>
      </c>
      <c r="K656" s="165"/>
      <c r="L656" s="165"/>
      <c r="M656" s="165"/>
      <c r="N656" s="165" t="s">
        <v>3805</v>
      </c>
      <c r="O656" s="165"/>
      <c r="P656" s="165"/>
      <c r="Q656" s="165"/>
      <c r="R656" s="165"/>
      <c r="S656" s="165"/>
      <c r="T656" s="165" t="s">
        <v>3806</v>
      </c>
      <c r="U656" s="165" t="s">
        <v>3807</v>
      </c>
      <c r="V656" s="165"/>
      <c r="W656" s="165"/>
      <c r="X656" s="165"/>
      <c r="Y656">
        <v>3</v>
      </c>
      <c r="Z656" s="165" t="s">
        <v>3808</v>
      </c>
      <c r="AA656" s="165" t="s">
        <v>3809</v>
      </c>
      <c r="AB656" s="165" t="s">
        <v>3810</v>
      </c>
      <c r="AC656" s="165" t="s">
        <v>3811</v>
      </c>
      <c r="AD656" s="165" t="s">
        <v>4230</v>
      </c>
      <c r="AE656">
        <v>97</v>
      </c>
      <c r="AF656" s="165" t="s">
        <v>4332</v>
      </c>
      <c r="AG656">
        <v>41</v>
      </c>
      <c r="AH656">
        <v>18</v>
      </c>
      <c r="AI656">
        <v>44</v>
      </c>
      <c r="AJ656">
        <v>21</v>
      </c>
      <c r="AK656" s="165" t="s">
        <v>4333</v>
      </c>
      <c r="AN656">
        <v>3</v>
      </c>
      <c r="AO656">
        <v>8</v>
      </c>
      <c r="AP656">
        <v>24</v>
      </c>
      <c r="AQ656" s="165" t="s">
        <v>3815</v>
      </c>
      <c r="AR656" t="s">
        <v>4017</v>
      </c>
      <c r="AS656" s="165" t="s">
        <v>174</v>
      </c>
      <c r="AT656" t="s">
        <v>5291</v>
      </c>
      <c r="AU656" t="s">
        <v>5291</v>
      </c>
    </row>
    <row r="657" spans="1:47" hidden="1" x14ac:dyDescent="0.25">
      <c r="A657" s="165" t="s">
        <v>1086</v>
      </c>
      <c r="B657" s="165" t="s">
        <v>3427</v>
      </c>
      <c r="C657" s="165" t="s">
        <v>23</v>
      </c>
      <c r="D657" s="165" t="s">
        <v>1087</v>
      </c>
      <c r="E657" s="165" t="s">
        <v>5276</v>
      </c>
      <c r="F657" s="165" t="s">
        <v>11</v>
      </c>
      <c r="G657" s="165" t="s">
        <v>8</v>
      </c>
      <c r="H657" s="165" t="s">
        <v>241</v>
      </c>
      <c r="I657" s="165" t="s">
        <v>3803</v>
      </c>
      <c r="J657" s="165" t="s">
        <v>4011</v>
      </c>
      <c r="K657" s="165"/>
      <c r="L657" s="165"/>
      <c r="M657" s="165"/>
      <c r="N657" s="165"/>
      <c r="O657" s="165"/>
      <c r="P657" s="165"/>
      <c r="Q657" s="165"/>
      <c r="R657" s="165"/>
      <c r="S657" s="165" t="s">
        <v>3902</v>
      </c>
      <c r="T657" s="165"/>
      <c r="U657" s="165"/>
      <c r="V657" s="165"/>
      <c r="W657" s="165"/>
      <c r="X657" s="165" t="s">
        <v>2428</v>
      </c>
      <c r="Y657">
        <v>2</v>
      </c>
      <c r="Z657" s="165" t="s">
        <v>3903</v>
      </c>
      <c r="AA657" s="165" t="s">
        <v>3811</v>
      </c>
      <c r="AB657" s="165" t="s">
        <v>3810</v>
      </c>
      <c r="AC657" s="165" t="s">
        <v>3809</v>
      </c>
      <c r="AD657" s="165" t="s">
        <v>4149</v>
      </c>
      <c r="AE657">
        <v>92</v>
      </c>
      <c r="AF657" s="165" t="s">
        <v>4150</v>
      </c>
      <c r="AG657">
        <v>378</v>
      </c>
      <c r="AH657">
        <v>412</v>
      </c>
      <c r="AI657">
        <v>40.799999999999997</v>
      </c>
      <c r="AJ657">
        <v>44.2</v>
      </c>
      <c r="AK657" s="165" t="s">
        <v>4151</v>
      </c>
      <c r="AN657">
        <v>4</v>
      </c>
      <c r="AO657">
        <v>4</v>
      </c>
      <c r="AP657">
        <v>16</v>
      </c>
      <c r="AQ657" s="165" t="s">
        <v>3815</v>
      </c>
      <c r="AR657" t="s">
        <v>4263</v>
      </c>
      <c r="AS657" s="165" t="s">
        <v>30</v>
      </c>
      <c r="AT657" t="s">
        <v>5291</v>
      </c>
      <c r="AU657" t="s">
        <v>5291</v>
      </c>
    </row>
    <row r="658" spans="1:47" hidden="1" x14ac:dyDescent="0.25">
      <c r="A658" s="165" t="s">
        <v>1903</v>
      </c>
      <c r="B658" s="165" t="s">
        <v>88</v>
      </c>
      <c r="C658" s="165" t="s">
        <v>23</v>
      </c>
      <c r="D658" s="165" t="s">
        <v>1904</v>
      </c>
      <c r="E658" s="165" t="s">
        <v>5277</v>
      </c>
      <c r="F658" s="165" t="s">
        <v>4234</v>
      </c>
      <c r="G658" s="165" t="s">
        <v>8</v>
      </c>
      <c r="H658" s="165" t="s">
        <v>241</v>
      </c>
      <c r="I658" s="165" t="s">
        <v>3864</v>
      </c>
      <c r="J658" s="165" t="s">
        <v>3901</v>
      </c>
      <c r="K658" s="165"/>
      <c r="L658" s="165"/>
      <c r="M658" s="165"/>
      <c r="N658" s="165"/>
      <c r="O658" s="165"/>
      <c r="P658" s="165"/>
      <c r="Q658" s="165"/>
      <c r="R658" s="165"/>
      <c r="S658" s="165" t="s">
        <v>3902</v>
      </c>
      <c r="T658" s="165"/>
      <c r="U658" s="165"/>
      <c r="V658" s="165"/>
      <c r="W658" s="165"/>
      <c r="X658" s="165" t="s">
        <v>2428</v>
      </c>
      <c r="Y658">
        <v>2</v>
      </c>
      <c r="Z658" s="165" t="s">
        <v>3903</v>
      </c>
      <c r="AA658" s="165" t="s">
        <v>3811</v>
      </c>
      <c r="AB658" s="165"/>
      <c r="AC658" s="165"/>
      <c r="AD658" s="165" t="s">
        <v>5278</v>
      </c>
      <c r="AE658">
        <v>26</v>
      </c>
      <c r="AF658" s="165" t="s">
        <v>3813</v>
      </c>
      <c r="AG658">
        <v>41</v>
      </c>
      <c r="AH658">
        <v>425</v>
      </c>
      <c r="AI658">
        <v>44</v>
      </c>
      <c r="AJ658">
        <v>45.5</v>
      </c>
      <c r="AK658" s="165" t="s">
        <v>3814</v>
      </c>
      <c r="AN658">
        <v>1</v>
      </c>
      <c r="AP658">
        <v>0</v>
      </c>
      <c r="AQ658" s="165" t="s">
        <v>3815</v>
      </c>
      <c r="AR658" t="s">
        <v>4263</v>
      </c>
      <c r="AS658" s="165" t="s">
        <v>30</v>
      </c>
      <c r="AT658" t="s">
        <v>5291</v>
      </c>
      <c r="AU658" t="s">
        <v>5291</v>
      </c>
    </row>
    <row r="659" spans="1:47" hidden="1" x14ac:dyDescent="0.25">
      <c r="A659" s="165" t="s">
        <v>5279</v>
      </c>
      <c r="B659" s="165" t="s">
        <v>88</v>
      </c>
      <c r="C659" s="165" t="s">
        <v>23</v>
      </c>
      <c r="D659" s="165" t="s">
        <v>5280</v>
      </c>
      <c r="E659" s="165" t="s">
        <v>5281</v>
      </c>
      <c r="F659" s="165" t="s">
        <v>11</v>
      </c>
      <c r="G659" s="165" t="s">
        <v>3878</v>
      </c>
      <c r="H659" s="165" t="s">
        <v>263</v>
      </c>
      <c r="I659" s="165" t="s">
        <v>3821</v>
      </c>
      <c r="J659" s="165" t="s">
        <v>3879</v>
      </c>
      <c r="K659" s="165"/>
      <c r="L659" s="165"/>
      <c r="M659" s="165"/>
      <c r="N659" s="165"/>
      <c r="O659" s="165"/>
      <c r="P659" s="165"/>
      <c r="Q659" s="165"/>
      <c r="R659" s="165"/>
      <c r="S659" s="165"/>
      <c r="T659" s="165" t="s">
        <v>3806</v>
      </c>
      <c r="U659" s="165" t="s">
        <v>3807</v>
      </c>
      <c r="V659" s="165"/>
      <c r="W659" s="165"/>
      <c r="X659" s="165"/>
      <c r="Y659">
        <v>2</v>
      </c>
      <c r="Z659" s="165" t="s">
        <v>3880</v>
      </c>
      <c r="AA659" s="165"/>
      <c r="AB659" s="165"/>
      <c r="AC659" s="165"/>
      <c r="AD659" s="165" t="s">
        <v>3881</v>
      </c>
      <c r="AE659">
        <v>1</v>
      </c>
      <c r="AF659" s="165" t="s">
        <v>3882</v>
      </c>
      <c r="AG659">
        <v>34</v>
      </c>
      <c r="AH659">
        <v>29</v>
      </c>
      <c r="AI659">
        <v>37</v>
      </c>
      <c r="AJ659">
        <v>32</v>
      </c>
      <c r="AK659" s="165" t="s">
        <v>3883</v>
      </c>
      <c r="AL659">
        <v>36</v>
      </c>
      <c r="AM659">
        <v>32</v>
      </c>
      <c r="AN659">
        <v>6</v>
      </c>
      <c r="AP659">
        <v>0</v>
      </c>
      <c r="AQ659" s="165" t="s">
        <v>3978</v>
      </c>
      <c r="AR659" t="s">
        <v>4263</v>
      </c>
      <c r="AS659" s="165" t="s">
        <v>2085</v>
      </c>
      <c r="AT659" t="s">
        <v>5291</v>
      </c>
      <c r="AU659" t="s">
        <v>5291</v>
      </c>
    </row>
    <row r="660" spans="1:47" hidden="1" x14ac:dyDescent="0.25">
      <c r="A660" s="165" t="s">
        <v>5282</v>
      </c>
      <c r="B660" s="165" t="s">
        <v>88</v>
      </c>
      <c r="C660" s="165" t="s">
        <v>23</v>
      </c>
      <c r="D660" s="165" t="s">
        <v>5283</v>
      </c>
      <c r="E660" s="165" t="s">
        <v>4229</v>
      </c>
      <c r="F660" s="165" t="s">
        <v>12</v>
      </c>
      <c r="G660" s="165" t="s">
        <v>8</v>
      </c>
      <c r="H660" s="165" t="s">
        <v>241</v>
      </c>
      <c r="I660" s="165" t="s">
        <v>3803</v>
      </c>
      <c r="J660" s="165" t="s">
        <v>4011</v>
      </c>
      <c r="K660" s="165"/>
      <c r="L660" s="165"/>
      <c r="M660" s="165"/>
      <c r="N660" s="165"/>
      <c r="O660" s="165"/>
      <c r="P660" s="165"/>
      <c r="Q660" s="165"/>
      <c r="R660" s="165"/>
      <c r="S660" s="165" t="s">
        <v>3902</v>
      </c>
      <c r="T660" s="165"/>
      <c r="U660" s="165"/>
      <c r="V660" s="165"/>
      <c r="W660" s="165"/>
      <c r="X660" s="165" t="s">
        <v>2428</v>
      </c>
      <c r="Y660">
        <v>2</v>
      </c>
      <c r="Z660" s="165" t="s">
        <v>3903</v>
      </c>
      <c r="AA660" s="165" t="s">
        <v>3811</v>
      </c>
      <c r="AB660" s="165"/>
      <c r="AC660" s="165"/>
      <c r="AD660" s="165" t="s">
        <v>5278</v>
      </c>
      <c r="AE660">
        <v>26</v>
      </c>
      <c r="AF660" s="165" t="s">
        <v>4293</v>
      </c>
      <c r="AG660">
        <v>411</v>
      </c>
      <c r="AH660">
        <v>422</v>
      </c>
      <c r="AI660">
        <v>44.1</v>
      </c>
      <c r="AJ660">
        <v>45.2</v>
      </c>
      <c r="AK660" s="165" t="s">
        <v>4294</v>
      </c>
      <c r="AN660">
        <v>1</v>
      </c>
      <c r="AP660">
        <v>0</v>
      </c>
      <c r="AQ660" s="165" t="s">
        <v>3815</v>
      </c>
      <c r="AR660" t="s">
        <v>4263</v>
      </c>
      <c r="AS660" s="165" t="s">
        <v>30</v>
      </c>
      <c r="AT660" t="s">
        <v>5291</v>
      </c>
      <c r="AU660" t="s">
        <v>5291</v>
      </c>
    </row>
    <row r="661" spans="1:47" hidden="1" x14ac:dyDescent="0.25">
      <c r="A661" s="165" t="s">
        <v>5284</v>
      </c>
      <c r="B661" s="165" t="s">
        <v>88</v>
      </c>
      <c r="C661" s="165" t="s">
        <v>23</v>
      </c>
      <c r="D661" s="165" t="s">
        <v>5285</v>
      </c>
      <c r="E661" s="165" t="s">
        <v>3937</v>
      </c>
      <c r="F661" s="165" t="s">
        <v>3935</v>
      </c>
      <c r="G661" s="165" t="s">
        <v>8</v>
      </c>
      <c r="H661" s="165" t="s">
        <v>241</v>
      </c>
      <c r="I661" s="165" t="s">
        <v>3864</v>
      </c>
      <c r="J661" s="165" t="s">
        <v>3901</v>
      </c>
      <c r="K661" s="165"/>
      <c r="L661" s="165"/>
      <c r="M661" s="165"/>
      <c r="N661" s="165"/>
      <c r="O661" s="165"/>
      <c r="P661" s="165"/>
      <c r="Q661" s="165"/>
      <c r="R661" s="165"/>
      <c r="S661" s="165" t="s">
        <v>3902</v>
      </c>
      <c r="T661" s="165"/>
      <c r="U661" s="165"/>
      <c r="V661" s="165"/>
      <c r="W661" s="165"/>
      <c r="X661" s="165" t="s">
        <v>2428</v>
      </c>
      <c r="Y661">
        <v>2</v>
      </c>
      <c r="Z661" s="165" t="s">
        <v>3903</v>
      </c>
      <c r="AA661" s="165" t="s">
        <v>3811</v>
      </c>
      <c r="AB661" s="165"/>
      <c r="AC661" s="165"/>
      <c r="AD661" s="165" t="s">
        <v>3904</v>
      </c>
      <c r="AE661">
        <v>6</v>
      </c>
      <c r="AF661" s="165" t="s">
        <v>3905</v>
      </c>
      <c r="AG661">
        <v>24</v>
      </c>
      <c r="AH661">
        <v>455</v>
      </c>
      <c r="AI661">
        <v>27</v>
      </c>
      <c r="AJ661">
        <v>48.5</v>
      </c>
      <c r="AK661" s="165" t="s">
        <v>3906</v>
      </c>
      <c r="AL661">
        <v>26</v>
      </c>
      <c r="AM661">
        <v>54.5</v>
      </c>
      <c r="AN661">
        <v>2</v>
      </c>
      <c r="AP661">
        <v>0</v>
      </c>
      <c r="AQ661" s="165" t="s">
        <v>3815</v>
      </c>
      <c r="AR661" t="s">
        <v>4263</v>
      </c>
      <c r="AS661" s="165" t="s">
        <v>30</v>
      </c>
      <c r="AT661" t="s">
        <v>5291</v>
      </c>
      <c r="AU661" t="s">
        <v>5291</v>
      </c>
    </row>
    <row r="662" spans="1:47" hidden="1" x14ac:dyDescent="0.25">
      <c r="A662" s="165" t="s">
        <v>5286</v>
      </c>
      <c r="B662" s="165" t="s">
        <v>88</v>
      </c>
      <c r="C662" s="165" t="s">
        <v>23</v>
      </c>
      <c r="D662" s="165" t="s">
        <v>5287</v>
      </c>
      <c r="E662" s="165" t="s">
        <v>4812</v>
      </c>
      <c r="F662" s="165" t="s">
        <v>11</v>
      </c>
      <c r="G662" s="165" t="s">
        <v>3878</v>
      </c>
      <c r="H662" s="165" t="s">
        <v>263</v>
      </c>
      <c r="I662" s="165" t="s">
        <v>3821</v>
      </c>
      <c r="J662" s="165" t="s">
        <v>3879</v>
      </c>
      <c r="K662" s="165"/>
      <c r="L662" s="165"/>
      <c r="M662" s="165"/>
      <c r="N662" s="165"/>
      <c r="O662" s="165"/>
      <c r="P662" s="165"/>
      <c r="Q662" s="165"/>
      <c r="R662" s="165"/>
      <c r="S662" s="165"/>
      <c r="T662" s="165" t="s">
        <v>3806</v>
      </c>
      <c r="U662" s="165" t="s">
        <v>3807</v>
      </c>
      <c r="V662" s="165"/>
      <c r="W662" s="165"/>
      <c r="X662" s="165"/>
      <c r="Y662">
        <v>2</v>
      </c>
      <c r="Z662" s="165" t="s">
        <v>3880</v>
      </c>
      <c r="AA662" s="165" t="s">
        <v>3811</v>
      </c>
      <c r="AB662" s="165"/>
      <c r="AC662" s="165"/>
      <c r="AD662" s="165" t="s">
        <v>3881</v>
      </c>
      <c r="AE662">
        <v>1</v>
      </c>
      <c r="AF662" s="165" t="s">
        <v>3882</v>
      </c>
      <c r="AG662">
        <v>34</v>
      </c>
      <c r="AH662">
        <v>29</v>
      </c>
      <c r="AI662">
        <v>37</v>
      </c>
      <c r="AJ662">
        <v>32</v>
      </c>
      <c r="AK662" s="165" t="s">
        <v>3883</v>
      </c>
      <c r="AL662">
        <v>36</v>
      </c>
      <c r="AM662">
        <v>32</v>
      </c>
      <c r="AN662">
        <v>6</v>
      </c>
      <c r="AP662">
        <v>0</v>
      </c>
      <c r="AQ662" s="165" t="s">
        <v>3815</v>
      </c>
      <c r="AR662" t="s">
        <v>4263</v>
      </c>
      <c r="AS662" s="165" t="s">
        <v>30</v>
      </c>
      <c r="AT662" t="s">
        <v>5291</v>
      </c>
      <c r="AU662" t="s">
        <v>5291</v>
      </c>
    </row>
    <row r="663" spans="1:47" hidden="1" x14ac:dyDescent="0.25">
      <c r="A663" s="165" t="s">
        <v>5288</v>
      </c>
      <c r="B663" s="165" t="s">
        <v>5289</v>
      </c>
      <c r="C663" s="165" t="s">
        <v>2471</v>
      </c>
      <c r="D663" s="165" t="s">
        <v>5290</v>
      </c>
      <c r="E663" s="165" t="s">
        <v>4556</v>
      </c>
      <c r="F663" s="165" t="s">
        <v>11</v>
      </c>
      <c r="G663" s="165" t="s">
        <v>3878</v>
      </c>
      <c r="H663" s="165" t="s">
        <v>263</v>
      </c>
      <c r="I663" s="165" t="s">
        <v>3821</v>
      </c>
      <c r="J663" s="165" t="s">
        <v>3879</v>
      </c>
      <c r="K663" s="165"/>
      <c r="L663" s="165"/>
      <c r="M663" s="165"/>
      <c r="N663" s="165"/>
      <c r="O663" s="165"/>
      <c r="P663" s="165"/>
      <c r="Q663" s="165"/>
      <c r="R663" s="165"/>
      <c r="S663" s="165"/>
      <c r="T663" s="165" t="s">
        <v>3806</v>
      </c>
      <c r="U663" s="165" t="s">
        <v>3807</v>
      </c>
      <c r="V663" s="165"/>
      <c r="W663" s="165"/>
      <c r="X663" s="165"/>
      <c r="Y663">
        <v>2</v>
      </c>
      <c r="Z663" s="165" t="s">
        <v>3880</v>
      </c>
      <c r="AA663" s="165"/>
      <c r="AB663" s="165"/>
      <c r="AC663" s="165" t="s">
        <v>5291</v>
      </c>
      <c r="AD663" s="165" t="s">
        <v>4726</v>
      </c>
      <c r="AE663">
        <v>54</v>
      </c>
      <c r="AF663" s="165" t="s">
        <v>4779</v>
      </c>
      <c r="AG663">
        <v>489</v>
      </c>
      <c r="AH663">
        <v>37</v>
      </c>
      <c r="AI663">
        <v>51.9</v>
      </c>
      <c r="AJ663">
        <v>40</v>
      </c>
      <c r="AK663" s="165" t="s">
        <v>4780</v>
      </c>
      <c r="AN663">
        <v>10</v>
      </c>
      <c r="AP663">
        <v>0</v>
      </c>
      <c r="AQ663" s="165" t="s">
        <v>3978</v>
      </c>
      <c r="AR663" t="s">
        <v>4263</v>
      </c>
      <c r="AS663" s="165" t="s">
        <v>2085</v>
      </c>
      <c r="AT663" t="s">
        <v>5291</v>
      </c>
      <c r="AU663" t="s">
        <v>3809</v>
      </c>
    </row>
    <row r="664" spans="1:47" hidden="1" x14ac:dyDescent="0.25">
      <c r="A664" s="165" t="s">
        <v>1887</v>
      </c>
      <c r="B664" s="165" t="s">
        <v>88</v>
      </c>
      <c r="C664" s="165" t="s">
        <v>23</v>
      </c>
      <c r="D664" s="165" t="s">
        <v>1888</v>
      </c>
      <c r="E664" s="165" t="s">
        <v>5292</v>
      </c>
      <c r="F664" s="165" t="s">
        <v>13</v>
      </c>
      <c r="G664" s="165" t="s">
        <v>8</v>
      </c>
      <c r="H664" s="165" t="s">
        <v>263</v>
      </c>
      <c r="I664" s="165" t="s">
        <v>3864</v>
      </c>
      <c r="J664" s="165" t="s">
        <v>3954</v>
      </c>
      <c r="K664" s="165"/>
      <c r="L664" s="165"/>
      <c r="M664" s="165"/>
      <c r="N664" s="165" t="s">
        <v>3805</v>
      </c>
      <c r="O664" s="165"/>
      <c r="P664" s="165"/>
      <c r="Q664" s="165"/>
      <c r="R664" s="165"/>
      <c r="S664" s="165"/>
      <c r="T664" s="165" t="s">
        <v>3806</v>
      </c>
      <c r="U664" s="165" t="s">
        <v>3807</v>
      </c>
      <c r="V664" s="165"/>
      <c r="W664" s="165"/>
      <c r="X664" s="165"/>
      <c r="Y664">
        <v>3</v>
      </c>
      <c r="Z664" s="165" t="s">
        <v>3808</v>
      </c>
      <c r="AA664" s="165" t="s">
        <v>3811</v>
      </c>
      <c r="AB664" s="165"/>
      <c r="AC664" s="165"/>
      <c r="AD664" s="165" t="s">
        <v>5293</v>
      </c>
      <c r="AE664">
        <v>111</v>
      </c>
      <c r="AF664" s="165" t="s">
        <v>5294</v>
      </c>
      <c r="AG664">
        <v>542</v>
      </c>
      <c r="AH664">
        <v>34</v>
      </c>
      <c r="AI664">
        <v>57.2</v>
      </c>
      <c r="AJ664">
        <v>37</v>
      </c>
      <c r="AK664" s="165" t="s">
        <v>5295</v>
      </c>
      <c r="AN664">
        <v>1</v>
      </c>
      <c r="AP664">
        <v>0</v>
      </c>
      <c r="AQ664" s="165" t="s">
        <v>3815</v>
      </c>
      <c r="AR664" t="s">
        <v>4263</v>
      </c>
      <c r="AS664" s="165" t="s">
        <v>30</v>
      </c>
      <c r="AT664" t="s">
        <v>5291</v>
      </c>
      <c r="AU664" t="s">
        <v>5291</v>
      </c>
    </row>
    <row r="665" spans="1:47" hidden="1" x14ac:dyDescent="0.25">
      <c r="A665" s="165" t="s">
        <v>1941</v>
      </c>
      <c r="B665" s="165" t="s">
        <v>3441</v>
      </c>
      <c r="C665" s="165" t="s">
        <v>23</v>
      </c>
      <c r="D665" s="165" t="s">
        <v>1942</v>
      </c>
      <c r="E665" s="165" t="s">
        <v>5296</v>
      </c>
      <c r="F665" s="165" t="s">
        <v>2148</v>
      </c>
      <c r="G665" s="165" t="s">
        <v>8</v>
      </c>
      <c r="H665" s="165" t="s">
        <v>2030</v>
      </c>
      <c r="I665" s="165" t="s">
        <v>3888</v>
      </c>
      <c r="J665" s="165" t="s">
        <v>4625</v>
      </c>
      <c r="K665" s="165" t="s">
        <v>3819</v>
      </c>
      <c r="L665" s="165" t="s">
        <v>3820</v>
      </c>
      <c r="M665" s="165" t="s">
        <v>3803</v>
      </c>
      <c r="N665" s="165" t="s">
        <v>3805</v>
      </c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>
        <v>4</v>
      </c>
      <c r="Z665" s="165" t="s">
        <v>3873</v>
      </c>
      <c r="AA665" s="165" t="s">
        <v>3809</v>
      </c>
      <c r="AB665" s="165" t="s">
        <v>3811</v>
      </c>
      <c r="AC665" s="165" t="s">
        <v>3810</v>
      </c>
      <c r="AD665" s="165" t="s">
        <v>5297</v>
      </c>
      <c r="AE665">
        <v>128</v>
      </c>
      <c r="AF665" s="165" t="s">
        <v>5298</v>
      </c>
      <c r="AG665">
        <v>294</v>
      </c>
      <c r="AH665">
        <v>326</v>
      </c>
      <c r="AI665">
        <v>34.4</v>
      </c>
      <c r="AJ665">
        <v>37.6</v>
      </c>
      <c r="AK665" s="165" t="s">
        <v>5299</v>
      </c>
      <c r="AN665">
        <v>1</v>
      </c>
      <c r="AO665">
        <v>6</v>
      </c>
      <c r="AP665">
        <v>6</v>
      </c>
      <c r="AQ665" s="165" t="s">
        <v>3815</v>
      </c>
      <c r="AR665" t="s">
        <v>4263</v>
      </c>
      <c r="AS665" s="165" t="s">
        <v>3786</v>
      </c>
      <c r="AT665" t="s">
        <v>5291</v>
      </c>
      <c r="AU665" t="s">
        <v>5291</v>
      </c>
    </row>
    <row r="666" spans="1:47" hidden="1" x14ac:dyDescent="0.25">
      <c r="A666" s="165" t="s">
        <v>1939</v>
      </c>
      <c r="B666" s="165" t="s">
        <v>5300</v>
      </c>
      <c r="C666" s="165" t="s">
        <v>23</v>
      </c>
      <c r="D666" s="165" t="s">
        <v>1940</v>
      </c>
      <c r="E666" s="165" t="s">
        <v>5296</v>
      </c>
      <c r="F666" s="165" t="s">
        <v>2148</v>
      </c>
      <c r="G666" s="165" t="s">
        <v>8</v>
      </c>
      <c r="H666" s="165" t="s">
        <v>2030</v>
      </c>
      <c r="I666" s="165" t="s">
        <v>3888</v>
      </c>
      <c r="J666" s="165" t="s">
        <v>4625</v>
      </c>
      <c r="K666" s="165" t="s">
        <v>3819</v>
      </c>
      <c r="L666" s="165" t="s">
        <v>3820</v>
      </c>
      <c r="M666" s="165" t="s">
        <v>3803</v>
      </c>
      <c r="N666" s="165" t="s">
        <v>3805</v>
      </c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>
        <v>4</v>
      </c>
      <c r="Z666" s="165" t="s">
        <v>3873</v>
      </c>
      <c r="AA666" s="165" t="s">
        <v>3809</v>
      </c>
      <c r="AB666" s="165" t="s">
        <v>3811</v>
      </c>
      <c r="AC666" s="165" t="s">
        <v>3810</v>
      </c>
      <c r="AD666" s="165" t="s">
        <v>5297</v>
      </c>
      <c r="AE666">
        <v>128</v>
      </c>
      <c r="AF666" s="165" t="s">
        <v>5298</v>
      </c>
      <c r="AG666">
        <v>294</v>
      </c>
      <c r="AH666">
        <v>326</v>
      </c>
      <c r="AI666">
        <v>34.4</v>
      </c>
      <c r="AJ666">
        <v>37.6</v>
      </c>
      <c r="AK666" s="165" t="s">
        <v>5299</v>
      </c>
      <c r="AN666">
        <v>1</v>
      </c>
      <c r="AO666">
        <v>6</v>
      </c>
      <c r="AP666">
        <v>6</v>
      </c>
      <c r="AQ666" s="165" t="s">
        <v>3815</v>
      </c>
      <c r="AR666" t="s">
        <v>4263</v>
      </c>
      <c r="AS666" s="165" t="s">
        <v>3786</v>
      </c>
      <c r="AT666" t="s">
        <v>5291</v>
      </c>
      <c r="AU666" t="s">
        <v>5291</v>
      </c>
    </row>
    <row r="667" spans="1:47" hidden="1" x14ac:dyDescent="0.25">
      <c r="A667" s="165" t="s">
        <v>3740</v>
      </c>
      <c r="B667" s="165" t="s">
        <v>3320</v>
      </c>
      <c r="C667" s="165" t="s">
        <v>23</v>
      </c>
      <c r="D667" s="165" t="s">
        <v>5301</v>
      </c>
      <c r="E667" s="165" t="s">
        <v>5302</v>
      </c>
      <c r="F667" s="165" t="s">
        <v>4137</v>
      </c>
      <c r="G667" s="165" t="s">
        <v>8</v>
      </c>
      <c r="H667" s="165" t="s">
        <v>176</v>
      </c>
      <c r="I667" s="165" t="s">
        <v>3902</v>
      </c>
      <c r="J667" s="165" t="s">
        <v>4572</v>
      </c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>
        <v>0</v>
      </c>
      <c r="Z667" s="165" t="s">
        <v>28</v>
      </c>
      <c r="AA667" s="165"/>
      <c r="AB667" s="165"/>
      <c r="AC667" s="165"/>
      <c r="AD667" s="165"/>
      <c r="AF667" s="165"/>
      <c r="AK667" s="165"/>
      <c r="AP667">
        <v>0</v>
      </c>
      <c r="AQ667" s="165" t="s">
        <v>3978</v>
      </c>
      <c r="AR667" t="s">
        <v>4263</v>
      </c>
      <c r="AS667" s="165" t="s">
        <v>2085</v>
      </c>
      <c r="AT667" t="s">
        <v>5291</v>
      </c>
      <c r="AU667" t="s">
        <v>5291</v>
      </c>
    </row>
    <row r="668" spans="1:47" hidden="1" x14ac:dyDescent="0.25">
      <c r="A668" s="165" t="s">
        <v>2014</v>
      </c>
      <c r="B668" s="165" t="s">
        <v>5303</v>
      </c>
      <c r="C668" s="165" t="s">
        <v>23</v>
      </c>
      <c r="D668" s="165" t="s">
        <v>2015</v>
      </c>
      <c r="E668" s="165" t="s">
        <v>5304</v>
      </c>
      <c r="F668" s="165" t="s">
        <v>181</v>
      </c>
      <c r="G668" s="165" t="s">
        <v>3878</v>
      </c>
      <c r="H668" s="165" t="s">
        <v>269</v>
      </c>
      <c r="I668" s="165" t="s">
        <v>2428</v>
      </c>
      <c r="J668" s="165" t="s">
        <v>3887</v>
      </c>
      <c r="K668" s="165" t="s">
        <v>3819</v>
      </c>
      <c r="L668" s="165" t="s">
        <v>3820</v>
      </c>
      <c r="M668" s="165" t="s">
        <v>3803</v>
      </c>
      <c r="N668" s="165" t="s">
        <v>3805</v>
      </c>
      <c r="O668" s="165"/>
      <c r="P668" s="165"/>
      <c r="Q668" s="165" t="s">
        <v>3888</v>
      </c>
      <c r="R668" s="165"/>
      <c r="S668" s="165"/>
      <c r="T668" s="165"/>
      <c r="U668" s="165" t="s">
        <v>3807</v>
      </c>
      <c r="V668" s="165"/>
      <c r="W668" s="165"/>
      <c r="X668" s="165"/>
      <c r="Y668">
        <v>6</v>
      </c>
      <c r="Z668" s="165" t="s">
        <v>3889</v>
      </c>
      <c r="AA668" s="165" t="s">
        <v>3811</v>
      </c>
      <c r="AB668" s="165"/>
      <c r="AC668" s="165"/>
      <c r="AD668" s="165" t="s">
        <v>3890</v>
      </c>
      <c r="AE668">
        <v>77</v>
      </c>
      <c r="AF668" s="165" t="s">
        <v>3891</v>
      </c>
      <c r="AG668">
        <v>435</v>
      </c>
      <c r="AH668">
        <v>222</v>
      </c>
      <c r="AI668">
        <v>46.5</v>
      </c>
      <c r="AJ668">
        <v>25.2</v>
      </c>
      <c r="AK668" s="165" t="s">
        <v>3892</v>
      </c>
      <c r="AL668">
        <v>50</v>
      </c>
      <c r="AM668">
        <v>26</v>
      </c>
      <c r="AN668">
        <v>2</v>
      </c>
      <c r="AO668">
        <v>6</v>
      </c>
      <c r="AP668">
        <v>12</v>
      </c>
      <c r="AQ668" s="165" t="s">
        <v>3815</v>
      </c>
      <c r="AR668" t="s">
        <v>4263</v>
      </c>
      <c r="AS668" s="165" t="s">
        <v>30</v>
      </c>
      <c r="AT668" t="s">
        <v>5291</v>
      </c>
      <c r="AU668" t="s">
        <v>5291</v>
      </c>
    </row>
    <row r="669" spans="1:47" hidden="1" x14ac:dyDescent="0.25">
      <c r="A669" s="165" t="s">
        <v>5305</v>
      </c>
      <c r="B669" s="165" t="s">
        <v>88</v>
      </c>
      <c r="C669" s="165" t="s">
        <v>23</v>
      </c>
      <c r="D669" s="165" t="s">
        <v>1973</v>
      </c>
      <c r="E669" s="165" t="s">
        <v>4624</v>
      </c>
      <c r="F669" s="165" t="s">
        <v>181</v>
      </c>
      <c r="G669" s="165" t="s">
        <v>3878</v>
      </c>
      <c r="H669" s="165" t="s">
        <v>269</v>
      </c>
      <c r="I669" s="165" t="s">
        <v>2428</v>
      </c>
      <c r="J669" s="165" t="s">
        <v>3887</v>
      </c>
      <c r="K669" s="165" t="s">
        <v>3819</v>
      </c>
      <c r="L669" s="165" t="s">
        <v>3820</v>
      </c>
      <c r="M669" s="165" t="s">
        <v>3803</v>
      </c>
      <c r="N669" s="165" t="s">
        <v>3805</v>
      </c>
      <c r="O669" s="165"/>
      <c r="P669" s="165"/>
      <c r="Q669" s="165" t="s">
        <v>3888</v>
      </c>
      <c r="R669" s="165"/>
      <c r="S669" s="165"/>
      <c r="T669" s="165"/>
      <c r="U669" s="165" t="s">
        <v>3807</v>
      </c>
      <c r="V669" s="165"/>
      <c r="W669" s="165"/>
      <c r="X669" s="165"/>
      <c r="Y669">
        <v>6</v>
      </c>
      <c r="Z669" s="165" t="s">
        <v>3889</v>
      </c>
      <c r="AA669" s="165" t="s">
        <v>3811</v>
      </c>
      <c r="AB669" s="165"/>
      <c r="AC669" s="165"/>
      <c r="AD669" s="165" t="s">
        <v>3890</v>
      </c>
      <c r="AE669">
        <v>77</v>
      </c>
      <c r="AF669" s="165" t="s">
        <v>3891</v>
      </c>
      <c r="AG669">
        <v>435</v>
      </c>
      <c r="AH669">
        <v>222</v>
      </c>
      <c r="AI669">
        <v>46.5</v>
      </c>
      <c r="AJ669">
        <v>25.2</v>
      </c>
      <c r="AK669" s="165" t="s">
        <v>3892</v>
      </c>
      <c r="AL669">
        <v>50</v>
      </c>
      <c r="AM669">
        <v>26</v>
      </c>
      <c r="AN669">
        <v>2</v>
      </c>
      <c r="AO669">
        <v>6</v>
      </c>
      <c r="AP669">
        <v>12</v>
      </c>
      <c r="AQ669" s="165" t="s">
        <v>3815</v>
      </c>
      <c r="AR669" t="s">
        <v>4263</v>
      </c>
      <c r="AS669" s="165" t="s">
        <v>30</v>
      </c>
      <c r="AT669" t="s">
        <v>5291</v>
      </c>
      <c r="AU669" t="s">
        <v>5291</v>
      </c>
    </row>
    <row r="670" spans="1:47" hidden="1" x14ac:dyDescent="0.25">
      <c r="A670" s="165" t="s">
        <v>1992</v>
      </c>
      <c r="B670" s="165" t="s">
        <v>5306</v>
      </c>
      <c r="C670" s="165" t="s">
        <v>23</v>
      </c>
      <c r="D670" s="165" t="s">
        <v>1993</v>
      </c>
      <c r="E670" s="165" t="s">
        <v>4385</v>
      </c>
      <c r="F670" s="165" t="s">
        <v>181</v>
      </c>
      <c r="G670" s="165" t="s">
        <v>8</v>
      </c>
      <c r="H670" s="165" t="s">
        <v>269</v>
      </c>
      <c r="I670" s="165" t="s">
        <v>3864</v>
      </c>
      <c r="J670" s="165" t="s">
        <v>3894</v>
      </c>
      <c r="K670" s="165" t="s">
        <v>3819</v>
      </c>
      <c r="L670" s="165" t="s">
        <v>3820</v>
      </c>
      <c r="M670" s="165" t="s">
        <v>3803</v>
      </c>
      <c r="N670" s="165" t="s">
        <v>3805</v>
      </c>
      <c r="O670" s="165"/>
      <c r="P670" s="165"/>
      <c r="Q670" s="165" t="s">
        <v>3888</v>
      </c>
      <c r="R670" s="165"/>
      <c r="S670" s="165"/>
      <c r="T670" s="165"/>
      <c r="U670" s="165" t="s">
        <v>3807</v>
      </c>
      <c r="V670" s="165"/>
      <c r="W670" s="165"/>
      <c r="X670" s="165"/>
      <c r="Y670">
        <v>6</v>
      </c>
      <c r="Z670" s="165" t="s">
        <v>3889</v>
      </c>
      <c r="AA670" s="165" t="s">
        <v>3809</v>
      </c>
      <c r="AB670" s="165" t="s">
        <v>3811</v>
      </c>
      <c r="AC670" s="165" t="s">
        <v>3810</v>
      </c>
      <c r="AD670" s="165" t="s">
        <v>3890</v>
      </c>
      <c r="AE670">
        <v>77</v>
      </c>
      <c r="AF670" s="165" t="s">
        <v>3891</v>
      </c>
      <c r="AG670">
        <v>435</v>
      </c>
      <c r="AH670">
        <v>222</v>
      </c>
      <c r="AI670">
        <v>46.5</v>
      </c>
      <c r="AJ670">
        <v>25.2</v>
      </c>
      <c r="AK670" s="165" t="s">
        <v>3892</v>
      </c>
      <c r="AL670">
        <v>50</v>
      </c>
      <c r="AM670">
        <v>26</v>
      </c>
      <c r="AN670">
        <v>2</v>
      </c>
      <c r="AO670">
        <v>6</v>
      </c>
      <c r="AP670">
        <v>12</v>
      </c>
      <c r="AQ670" s="165" t="s">
        <v>3815</v>
      </c>
      <c r="AR670" t="s">
        <v>4263</v>
      </c>
      <c r="AS670" s="165" t="s">
        <v>3786</v>
      </c>
      <c r="AT670" t="s">
        <v>5291</v>
      </c>
      <c r="AU670" t="s">
        <v>5291</v>
      </c>
    </row>
    <row r="671" spans="1:47" hidden="1" x14ac:dyDescent="0.25">
      <c r="A671" s="165" t="s">
        <v>1994</v>
      </c>
      <c r="B671" s="165" t="s">
        <v>88</v>
      </c>
      <c r="C671" s="165" t="s">
        <v>23</v>
      </c>
      <c r="D671" s="165" t="s">
        <v>1995</v>
      </c>
      <c r="E671" s="165" t="s">
        <v>3900</v>
      </c>
      <c r="F671" s="165" t="s">
        <v>11</v>
      </c>
      <c r="G671" s="165" t="s">
        <v>8</v>
      </c>
      <c r="H671" s="165" t="s">
        <v>241</v>
      </c>
      <c r="I671" s="165" t="s">
        <v>28</v>
      </c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>
        <v>0</v>
      </c>
      <c r="Z671" s="165" t="s">
        <v>28</v>
      </c>
      <c r="AA671" s="165" t="s">
        <v>3811</v>
      </c>
      <c r="AB671" s="165" t="s">
        <v>3810</v>
      </c>
      <c r="AC671" s="165" t="s">
        <v>3809</v>
      </c>
      <c r="AD671" s="165" t="s">
        <v>3812</v>
      </c>
      <c r="AE671">
        <v>26</v>
      </c>
      <c r="AF671" s="165" t="s">
        <v>4281</v>
      </c>
      <c r="AG671">
        <v>411</v>
      </c>
      <c r="AH671">
        <v>427</v>
      </c>
      <c r="AI671">
        <v>44.1</v>
      </c>
      <c r="AJ671">
        <v>45.7</v>
      </c>
      <c r="AK671" s="165" t="s">
        <v>4282</v>
      </c>
      <c r="AN671">
        <v>1</v>
      </c>
      <c r="AO671">
        <v>2</v>
      </c>
      <c r="AP671">
        <v>2</v>
      </c>
      <c r="AQ671" s="165" t="s">
        <v>3815</v>
      </c>
      <c r="AR671" t="s">
        <v>3816</v>
      </c>
      <c r="AS671" s="165" t="s">
        <v>30</v>
      </c>
      <c r="AT671" t="s">
        <v>5291</v>
      </c>
      <c r="AU671" t="s">
        <v>5291</v>
      </c>
    </row>
    <row r="672" spans="1:47" hidden="1" x14ac:dyDescent="0.25">
      <c r="A672" s="165" t="s">
        <v>1998</v>
      </c>
      <c r="B672" s="165" t="s">
        <v>88</v>
      </c>
      <c r="C672" s="165" t="s">
        <v>23</v>
      </c>
      <c r="D672" s="165" t="s">
        <v>1999</v>
      </c>
      <c r="E672" s="165" t="s">
        <v>4913</v>
      </c>
      <c r="F672" s="165" t="s">
        <v>2183</v>
      </c>
      <c r="G672" s="165" t="s">
        <v>8</v>
      </c>
      <c r="H672" s="165" t="s">
        <v>241</v>
      </c>
      <c r="I672" s="165" t="s">
        <v>3820</v>
      </c>
      <c r="J672" s="165" t="s">
        <v>4106</v>
      </c>
      <c r="K672" s="165"/>
      <c r="L672" s="165"/>
      <c r="M672" s="165"/>
      <c r="N672" s="165"/>
      <c r="O672" s="165"/>
      <c r="P672" s="165"/>
      <c r="Q672" s="165"/>
      <c r="R672" s="165"/>
      <c r="S672" s="165" t="s">
        <v>3902</v>
      </c>
      <c r="T672" s="165"/>
      <c r="U672" s="165"/>
      <c r="V672" s="165"/>
      <c r="W672" s="165"/>
      <c r="X672" s="165" t="s">
        <v>2428</v>
      </c>
      <c r="Y672">
        <v>2</v>
      </c>
      <c r="Z672" s="165" t="s">
        <v>3903</v>
      </c>
      <c r="AA672" s="165" t="s">
        <v>3811</v>
      </c>
      <c r="AB672" s="165" t="s">
        <v>3810</v>
      </c>
      <c r="AC672" s="165" t="s">
        <v>25</v>
      </c>
      <c r="AD672" s="165" t="s">
        <v>5307</v>
      </c>
      <c r="AE672">
        <v>65</v>
      </c>
      <c r="AF672" s="165" t="s">
        <v>5308</v>
      </c>
      <c r="AG672">
        <v>45</v>
      </c>
      <c r="AH672">
        <v>326</v>
      </c>
      <c r="AI672">
        <v>48</v>
      </c>
      <c r="AJ672">
        <v>35.6</v>
      </c>
      <c r="AK672" s="165" t="s">
        <v>5309</v>
      </c>
      <c r="AN672">
        <v>2</v>
      </c>
      <c r="AO672">
        <v>4</v>
      </c>
      <c r="AP672">
        <v>8</v>
      </c>
      <c r="AQ672" s="165" t="s">
        <v>3815</v>
      </c>
      <c r="AR672" t="s">
        <v>3816</v>
      </c>
      <c r="AS672" s="165" t="s">
        <v>30</v>
      </c>
      <c r="AT672" t="s">
        <v>5291</v>
      </c>
      <c r="AU672" t="s">
        <v>5291</v>
      </c>
    </row>
    <row r="673" spans="1:47" hidden="1" x14ac:dyDescent="0.25">
      <c r="A673" s="165" t="s">
        <v>1996</v>
      </c>
      <c r="B673" s="165" t="s">
        <v>88</v>
      </c>
      <c r="C673" s="165" t="s">
        <v>23</v>
      </c>
      <c r="D673" s="165" t="s">
        <v>1997</v>
      </c>
      <c r="E673" s="165" t="s">
        <v>4913</v>
      </c>
      <c r="F673" s="165" t="s">
        <v>2183</v>
      </c>
      <c r="G673" s="165" t="s">
        <v>8</v>
      </c>
      <c r="H673" s="165" t="s">
        <v>241</v>
      </c>
      <c r="I673" s="165" t="s">
        <v>3820</v>
      </c>
      <c r="J673" s="165" t="s">
        <v>4106</v>
      </c>
      <c r="K673" s="165"/>
      <c r="L673" s="165"/>
      <c r="M673" s="165"/>
      <c r="N673" s="165"/>
      <c r="O673" s="165"/>
      <c r="P673" s="165"/>
      <c r="Q673" s="165"/>
      <c r="R673" s="165"/>
      <c r="S673" s="165" t="s">
        <v>3902</v>
      </c>
      <c r="T673" s="165"/>
      <c r="U673" s="165"/>
      <c r="V673" s="165"/>
      <c r="W673" s="165"/>
      <c r="X673" s="165" t="s">
        <v>2428</v>
      </c>
      <c r="Y673">
        <v>2</v>
      </c>
      <c r="Z673" s="165" t="s">
        <v>3903</v>
      </c>
      <c r="AA673" s="165" t="s">
        <v>3811</v>
      </c>
      <c r="AB673" s="165" t="s">
        <v>3810</v>
      </c>
      <c r="AC673" s="165" t="s">
        <v>25</v>
      </c>
      <c r="AD673" s="165" t="s">
        <v>5307</v>
      </c>
      <c r="AE673">
        <v>65</v>
      </c>
      <c r="AF673" s="165" t="s">
        <v>5308</v>
      </c>
      <c r="AG673">
        <v>45</v>
      </c>
      <c r="AH673">
        <v>326</v>
      </c>
      <c r="AI673">
        <v>48</v>
      </c>
      <c r="AJ673">
        <v>35.6</v>
      </c>
      <c r="AK673" s="165" t="s">
        <v>5309</v>
      </c>
      <c r="AN673">
        <v>2</v>
      </c>
      <c r="AO673">
        <v>4</v>
      </c>
      <c r="AP673">
        <v>8</v>
      </c>
      <c r="AQ673" s="165" t="s">
        <v>3815</v>
      </c>
      <c r="AR673" t="s">
        <v>3816</v>
      </c>
      <c r="AS673" s="165" t="s">
        <v>30</v>
      </c>
      <c r="AT673" t="s">
        <v>5291</v>
      </c>
      <c r="AU673" t="s">
        <v>5291</v>
      </c>
    </row>
    <row r="674" spans="1:47" hidden="1" x14ac:dyDescent="0.25">
      <c r="A674" s="165" t="s">
        <v>1747</v>
      </c>
      <c r="B674" s="165" t="s">
        <v>88</v>
      </c>
      <c r="C674" s="165" t="s">
        <v>23</v>
      </c>
      <c r="D674" s="165" t="s">
        <v>1748</v>
      </c>
      <c r="E674" s="165" t="s">
        <v>4624</v>
      </c>
      <c r="F674" s="165" t="s">
        <v>2148</v>
      </c>
      <c r="G674" s="165" t="s">
        <v>8</v>
      </c>
      <c r="H674" s="165" t="s">
        <v>2030</v>
      </c>
      <c r="I674" s="165" t="s">
        <v>28</v>
      </c>
      <c r="J674" s="165"/>
      <c r="K674" s="165" t="s">
        <v>3819</v>
      </c>
      <c r="L674" s="165" t="s">
        <v>3820</v>
      </c>
      <c r="M674" s="165" t="s">
        <v>3803</v>
      </c>
      <c r="N674" s="165" t="s">
        <v>3805</v>
      </c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>
        <v>4</v>
      </c>
      <c r="Z674" s="165" t="s">
        <v>3873</v>
      </c>
      <c r="AA674" s="165" t="s">
        <v>3809</v>
      </c>
      <c r="AB674" s="165" t="s">
        <v>3810</v>
      </c>
      <c r="AC674" s="165" t="s">
        <v>3811</v>
      </c>
      <c r="AD674" s="165" t="s">
        <v>4626</v>
      </c>
      <c r="AE674">
        <v>52</v>
      </c>
      <c r="AF674" s="165" t="s">
        <v>5310</v>
      </c>
      <c r="AG674">
        <v>46</v>
      </c>
      <c r="AH674">
        <v>32</v>
      </c>
      <c r="AI674">
        <v>51</v>
      </c>
      <c r="AJ674">
        <v>37</v>
      </c>
      <c r="AK674" s="165" t="s">
        <v>5311</v>
      </c>
      <c r="AN674">
        <v>1</v>
      </c>
      <c r="AO674">
        <v>4</v>
      </c>
      <c r="AP674">
        <v>4</v>
      </c>
      <c r="AQ674" s="165" t="s">
        <v>3815</v>
      </c>
      <c r="AR674" t="s">
        <v>5312</v>
      </c>
      <c r="AS674" s="165" t="s">
        <v>174</v>
      </c>
      <c r="AT674" t="s">
        <v>5291</v>
      </c>
      <c r="AU674" t="s">
        <v>5291</v>
      </c>
    </row>
    <row r="675" spans="1:47" hidden="1" x14ac:dyDescent="0.25">
      <c r="A675" s="165" t="s">
        <v>1753</v>
      </c>
      <c r="B675" s="165" t="s">
        <v>3463</v>
      </c>
      <c r="C675" s="165" t="s">
        <v>23</v>
      </c>
      <c r="D675" s="165" t="s">
        <v>1754</v>
      </c>
      <c r="E675" s="165" t="s">
        <v>4270</v>
      </c>
      <c r="F675" s="165" t="s">
        <v>15</v>
      </c>
      <c r="G675" s="165" t="s">
        <v>8</v>
      </c>
      <c r="H675" s="165" t="s">
        <v>269</v>
      </c>
      <c r="I675" s="165" t="s">
        <v>3864</v>
      </c>
      <c r="J675" s="165" t="s">
        <v>3894</v>
      </c>
      <c r="K675" s="165" t="s">
        <v>3819</v>
      </c>
      <c r="L675" s="165" t="s">
        <v>3820</v>
      </c>
      <c r="M675" s="165" t="s">
        <v>3803</v>
      </c>
      <c r="N675" s="165" t="s">
        <v>3805</v>
      </c>
      <c r="O675" s="165"/>
      <c r="P675" s="165"/>
      <c r="Q675" s="165" t="s">
        <v>3888</v>
      </c>
      <c r="R675" s="165"/>
      <c r="S675" s="165"/>
      <c r="T675" s="165"/>
      <c r="U675" s="165" t="s">
        <v>3807</v>
      </c>
      <c r="V675" s="165"/>
      <c r="W675" s="165"/>
      <c r="X675" s="165"/>
      <c r="Y675">
        <v>6</v>
      </c>
      <c r="Z675" s="165" t="s">
        <v>3889</v>
      </c>
      <c r="AA675" s="165" t="s">
        <v>3809</v>
      </c>
      <c r="AB675" s="165" t="s">
        <v>3811</v>
      </c>
      <c r="AC675" s="165" t="s">
        <v>3810</v>
      </c>
      <c r="AD675" s="165" t="s">
        <v>5243</v>
      </c>
      <c r="AE675">
        <v>127</v>
      </c>
      <c r="AF675" s="165" t="s">
        <v>5244</v>
      </c>
      <c r="AG675">
        <v>259</v>
      </c>
      <c r="AH675">
        <v>486</v>
      </c>
      <c r="AI675">
        <v>28.9</v>
      </c>
      <c r="AJ675">
        <v>51.6</v>
      </c>
      <c r="AK675" s="165" t="s">
        <v>5245</v>
      </c>
      <c r="AN675">
        <v>2</v>
      </c>
      <c r="AO675">
        <v>6</v>
      </c>
      <c r="AP675">
        <v>12</v>
      </c>
      <c r="AQ675" s="165" t="s">
        <v>3815</v>
      </c>
      <c r="AR675" t="s">
        <v>4364</v>
      </c>
      <c r="AS675" s="165" t="s">
        <v>3786</v>
      </c>
      <c r="AT675" t="s">
        <v>5291</v>
      </c>
      <c r="AU675" t="s">
        <v>5291</v>
      </c>
    </row>
    <row r="676" spans="1:47" hidden="1" x14ac:dyDescent="0.25">
      <c r="A676" s="165" t="s">
        <v>1803</v>
      </c>
      <c r="B676" s="165" t="s">
        <v>88</v>
      </c>
      <c r="C676" s="165" t="s">
        <v>23</v>
      </c>
      <c r="D676" s="165" t="s">
        <v>1804</v>
      </c>
      <c r="E676" s="165" t="s">
        <v>5313</v>
      </c>
      <c r="F676" s="165" t="s">
        <v>9</v>
      </c>
      <c r="G676" s="165" t="s">
        <v>8</v>
      </c>
      <c r="H676" s="165" t="s">
        <v>2206</v>
      </c>
      <c r="I676" s="165" t="s">
        <v>28</v>
      </c>
      <c r="J676" s="165"/>
      <c r="K676" s="165"/>
      <c r="L676" s="165"/>
      <c r="M676" s="165"/>
      <c r="N676" s="165" t="s">
        <v>3805</v>
      </c>
      <c r="O676" s="165" t="s">
        <v>3864</v>
      </c>
      <c r="P676" s="165" t="s">
        <v>3865</v>
      </c>
      <c r="Q676" s="165"/>
      <c r="R676" s="165"/>
      <c r="S676" s="165"/>
      <c r="T676" s="165"/>
      <c r="U676" s="165" t="s">
        <v>3807</v>
      </c>
      <c r="V676" s="165"/>
      <c r="W676" s="165"/>
      <c r="X676" s="165"/>
      <c r="Y676">
        <v>4</v>
      </c>
      <c r="Z676" s="165" t="s">
        <v>3866</v>
      </c>
      <c r="AA676" s="165" t="s">
        <v>3809</v>
      </c>
      <c r="AB676" s="165" t="s">
        <v>3809</v>
      </c>
      <c r="AC676" s="165" t="s">
        <v>3811</v>
      </c>
      <c r="AD676" s="165" t="s">
        <v>5314</v>
      </c>
      <c r="AE676">
        <v>4</v>
      </c>
      <c r="AF676" s="165" t="s">
        <v>5315</v>
      </c>
      <c r="AG676">
        <v>485</v>
      </c>
      <c r="AH676">
        <v>158</v>
      </c>
      <c r="AI676">
        <v>51.5</v>
      </c>
      <c r="AJ676">
        <v>18.8</v>
      </c>
      <c r="AK676" s="165" t="s">
        <v>5316</v>
      </c>
      <c r="AN676">
        <v>3</v>
      </c>
      <c r="AO676">
        <v>8</v>
      </c>
      <c r="AP676">
        <v>24</v>
      </c>
      <c r="AQ676" s="165" t="s">
        <v>3815</v>
      </c>
      <c r="AR676" t="s">
        <v>5317</v>
      </c>
      <c r="AS676" s="165" t="s">
        <v>174</v>
      </c>
      <c r="AT676" t="s">
        <v>5291</v>
      </c>
      <c r="AU676" t="s">
        <v>5291</v>
      </c>
    </row>
    <row r="677" spans="1:47" hidden="1" x14ac:dyDescent="0.25">
      <c r="A677" s="165" t="s">
        <v>1805</v>
      </c>
      <c r="B677" s="165" t="s">
        <v>88</v>
      </c>
      <c r="C677" s="165" t="s">
        <v>23</v>
      </c>
      <c r="D677" s="165" t="s">
        <v>1806</v>
      </c>
      <c r="E677" s="165" t="s">
        <v>4032</v>
      </c>
      <c r="F677" s="165" t="s">
        <v>3850</v>
      </c>
      <c r="G677" s="165" t="s">
        <v>8</v>
      </c>
      <c r="H677" s="165" t="s">
        <v>263</v>
      </c>
      <c r="I677" s="165" t="s">
        <v>28</v>
      </c>
      <c r="J677" s="165"/>
      <c r="K677" s="165"/>
      <c r="L677" s="165"/>
      <c r="M677" s="165"/>
      <c r="N677" s="165" t="s">
        <v>3805</v>
      </c>
      <c r="O677" s="165"/>
      <c r="P677" s="165"/>
      <c r="Q677" s="165"/>
      <c r="R677" s="165"/>
      <c r="S677" s="165"/>
      <c r="T677" s="165" t="s">
        <v>3806</v>
      </c>
      <c r="U677" s="165" t="s">
        <v>3807</v>
      </c>
      <c r="V677" s="165"/>
      <c r="W677" s="165"/>
      <c r="X677" s="165"/>
      <c r="Y677">
        <v>3</v>
      </c>
      <c r="Z677" s="165" t="s">
        <v>3808</v>
      </c>
      <c r="AA677" s="165" t="s">
        <v>3809</v>
      </c>
      <c r="AB677" s="165" t="s">
        <v>3810</v>
      </c>
      <c r="AC677" s="165" t="s">
        <v>3811</v>
      </c>
      <c r="AD677" s="165" t="s">
        <v>4230</v>
      </c>
      <c r="AE677">
        <v>97</v>
      </c>
      <c r="AF677" s="165" t="s">
        <v>4332</v>
      </c>
      <c r="AG677">
        <v>41</v>
      </c>
      <c r="AH677">
        <v>18</v>
      </c>
      <c r="AI677">
        <v>44</v>
      </c>
      <c r="AJ677">
        <v>21</v>
      </c>
      <c r="AK677" s="165" t="s">
        <v>4333</v>
      </c>
      <c r="AN677">
        <v>3</v>
      </c>
      <c r="AO677">
        <v>8</v>
      </c>
      <c r="AP677">
        <v>24</v>
      </c>
      <c r="AQ677" s="165" t="s">
        <v>3815</v>
      </c>
      <c r="AR677" t="s">
        <v>5317</v>
      </c>
      <c r="AS677" s="165" t="s">
        <v>174</v>
      </c>
      <c r="AT677" t="s">
        <v>5291</v>
      </c>
      <c r="AU677" t="s">
        <v>5291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FC21-0DF9-4BA1-8311-039985691D9E}">
  <sheetPr codeName="Hoja6"/>
  <dimension ref="A1:BC118"/>
  <sheetViews>
    <sheetView showGridLines="0" zoomScale="175" zoomScaleNormal="175" workbookViewId="0">
      <selection activeCell="E16" sqref="E16"/>
    </sheetView>
  </sheetViews>
  <sheetFormatPr baseColWidth="10" defaultRowHeight="15" x14ac:dyDescent="0.25"/>
  <cols>
    <col min="1" max="1" width="8.85546875" style="8" customWidth="1"/>
    <col min="2" max="2" width="10.28515625" style="8" customWidth="1"/>
    <col min="3" max="3" width="9.140625" style="8" customWidth="1"/>
    <col min="4" max="4" width="12.28515625" style="8" customWidth="1"/>
    <col min="5" max="5" width="11.85546875" style="8" customWidth="1"/>
    <col min="6" max="8" width="12.28515625" style="8" bestFit="1" customWidth="1"/>
    <col min="9" max="9" width="9.140625" style="8" bestFit="1" customWidth="1"/>
    <col min="10" max="10" width="9.5703125" style="8" customWidth="1"/>
    <col min="11" max="11" width="8.42578125" style="8" bestFit="1" customWidth="1"/>
    <col min="12" max="12" width="9.7109375" style="8" customWidth="1"/>
    <col min="13" max="13" width="9.5703125" style="8" customWidth="1"/>
    <col min="14" max="14" width="9.85546875" style="8" customWidth="1"/>
    <col min="15" max="15" width="9.85546875" style="8" bestFit="1" customWidth="1"/>
    <col min="16" max="16" width="7.140625" style="8" bestFit="1" customWidth="1"/>
    <col min="17" max="17" width="8.5703125" style="8" bestFit="1" customWidth="1"/>
    <col min="18" max="18" width="9.85546875" style="8" bestFit="1" customWidth="1"/>
    <col min="19" max="19" width="9.5703125" style="8" bestFit="1" customWidth="1"/>
    <col min="20" max="20" width="7.42578125" style="8" bestFit="1" customWidth="1"/>
    <col min="21" max="34" width="11.42578125" style="8"/>
    <col min="35" max="35" width="11.85546875" style="8" customWidth="1"/>
    <col min="36" max="36" width="16.42578125" style="8" bestFit="1" customWidth="1"/>
    <col min="37" max="39" width="15.28515625" style="8" bestFit="1" customWidth="1"/>
    <col min="40" max="40" width="13.5703125" style="8" customWidth="1"/>
    <col min="41" max="41" width="12.7109375" style="8" customWidth="1"/>
    <col min="42" max="42" width="13.42578125" style="8" customWidth="1"/>
    <col min="43" max="44" width="12.42578125" style="8" bestFit="1" customWidth="1"/>
    <col min="45" max="16384" width="11.42578125" style="8"/>
  </cols>
  <sheetData>
    <row r="1" spans="1:55" ht="15.75" thickBot="1" x14ac:dyDescent="0.3">
      <c r="A1" s="19" t="s">
        <v>29</v>
      </c>
      <c r="B1" s="132" t="s">
        <v>32</v>
      </c>
      <c r="C1" s="132" t="s">
        <v>98</v>
      </c>
      <c r="D1" s="19" t="s">
        <v>34</v>
      </c>
      <c r="E1" s="19" t="s">
        <v>35</v>
      </c>
      <c r="F1" s="129" t="s">
        <v>57</v>
      </c>
      <c r="G1" s="130" t="s">
        <v>58</v>
      </c>
      <c r="H1" s="130" t="s">
        <v>57</v>
      </c>
      <c r="I1" s="131" t="s">
        <v>59</v>
      </c>
      <c r="Y1" s="296">
        <v>1</v>
      </c>
      <c r="Z1" s="118" t="s">
        <v>94</v>
      </c>
      <c r="AA1" s="92">
        <v>9</v>
      </c>
      <c r="AB1" s="86" t="s">
        <v>92</v>
      </c>
      <c r="AC1" s="86"/>
      <c r="AD1" s="119" t="s">
        <v>95</v>
      </c>
      <c r="AE1" s="92">
        <v>9</v>
      </c>
      <c r="AF1" s="86" t="s">
        <v>92</v>
      </c>
      <c r="AG1" s="86"/>
      <c r="AH1" s="294" t="s">
        <v>22</v>
      </c>
      <c r="AI1" s="87">
        <f t="shared" ref="AI1:AI6" si="0">AA1-AE1</f>
        <v>0</v>
      </c>
      <c r="AN1" s="64"/>
      <c r="AO1" s="64"/>
      <c r="AQ1" s="8">
        <v>48</v>
      </c>
    </row>
    <row r="2" spans="1:55" ht="15.75" thickBot="1" x14ac:dyDescent="0.3">
      <c r="A2" s="19" t="s">
        <v>30</v>
      </c>
      <c r="B2" s="19">
        <v>2300</v>
      </c>
      <c r="C2" s="20">
        <f>1.5*3</f>
        <v>4.5</v>
      </c>
      <c r="D2" s="19">
        <f>B2*(9.6-C2-1)</f>
        <v>9430</v>
      </c>
      <c r="E2" s="19">
        <f>B2*(14.4-(C2*1.3)-1.5)</f>
        <v>16215.000000000002</v>
      </c>
      <c r="F2" s="67">
        <f>B2*(9.6-C2-0.5)</f>
        <v>10580</v>
      </c>
      <c r="G2" s="68">
        <f>B2*(14.72-(C2*1.3)-1)</f>
        <v>18101.000000000004</v>
      </c>
      <c r="H2" s="68">
        <f>B2*(13.6-(C2*1.3)-1)</f>
        <v>15524.999999999998</v>
      </c>
      <c r="I2" s="71">
        <f>AVERAGE(F2:H2)</f>
        <v>14735.333333333334</v>
      </c>
      <c r="L2" s="8">
        <f>9.6+4</f>
        <v>13.6</v>
      </c>
      <c r="M2" s="64"/>
      <c r="O2" s="8" t="s">
        <v>89</v>
      </c>
      <c r="Q2" s="8" t="s">
        <v>90</v>
      </c>
      <c r="S2" s="8" t="s">
        <v>91</v>
      </c>
      <c r="Y2" s="297"/>
      <c r="Z2" s="121" t="s">
        <v>94</v>
      </c>
      <c r="AA2" s="89">
        <v>10</v>
      </c>
      <c r="AB2" s="122" t="s">
        <v>93</v>
      </c>
      <c r="AC2" s="122"/>
      <c r="AD2" s="123" t="s">
        <v>95</v>
      </c>
      <c r="AE2" s="89">
        <v>4</v>
      </c>
      <c r="AF2" s="122" t="s">
        <v>93</v>
      </c>
      <c r="AG2" s="122"/>
      <c r="AH2" s="295"/>
      <c r="AI2" s="124">
        <f t="shared" si="0"/>
        <v>6</v>
      </c>
      <c r="AK2" s="8" t="s">
        <v>96</v>
      </c>
      <c r="AN2" s="64"/>
      <c r="AO2" s="64"/>
      <c r="AT2" s="8" t="s">
        <v>97</v>
      </c>
    </row>
    <row r="3" spans="1:55" ht="15.75" thickBot="1" x14ac:dyDescent="0.3">
      <c r="A3" s="19" t="s">
        <v>33</v>
      </c>
      <c r="B3" s="19">
        <v>1500</v>
      </c>
      <c r="C3" s="20">
        <f>1.21*3</f>
        <v>3.63</v>
      </c>
      <c r="D3" s="19">
        <f>B3*(9.6-C3-0.5)</f>
        <v>8205</v>
      </c>
      <c r="E3" s="19">
        <f>B3*(14.4-(C3*1.3)-1)</f>
        <v>13021.500000000002</v>
      </c>
      <c r="F3" s="69">
        <f>B3*(16-C3-0.5)</f>
        <v>17805</v>
      </c>
      <c r="G3" s="70">
        <f>B3*(9.6-C3-0.5)</f>
        <v>8205</v>
      </c>
      <c r="H3" s="70">
        <f>B3*(9.6-C3-0.5)</f>
        <v>8205</v>
      </c>
      <c r="I3" s="72">
        <f>AVERAGE(F3:H3)</f>
        <v>11405</v>
      </c>
      <c r="O3" s="114">
        <f>H3</f>
        <v>8205</v>
      </c>
      <c r="Q3" s="115">
        <f>D2</f>
        <v>9430</v>
      </c>
      <c r="S3" s="115">
        <f>Q3*1.4</f>
        <v>13202</v>
      </c>
      <c r="Y3" s="296">
        <v>2</v>
      </c>
      <c r="Z3" s="118" t="s">
        <v>94</v>
      </c>
      <c r="AA3" s="92">
        <v>9</v>
      </c>
      <c r="AB3" s="86" t="s">
        <v>92</v>
      </c>
      <c r="AC3" s="86"/>
      <c r="AD3" s="119" t="s">
        <v>95</v>
      </c>
      <c r="AE3" s="92">
        <v>9</v>
      </c>
      <c r="AF3" s="86" t="s">
        <v>92</v>
      </c>
      <c r="AG3" s="86"/>
      <c r="AH3" s="294" t="s">
        <v>22</v>
      </c>
      <c r="AI3" s="87">
        <f t="shared" si="0"/>
        <v>0</v>
      </c>
      <c r="AK3" s="8">
        <f>AI2+AI4+AI6</f>
        <v>11</v>
      </c>
      <c r="AN3" s="64"/>
      <c r="AO3" s="8">
        <v>9.6</v>
      </c>
      <c r="AP3" s="8">
        <v>9.6</v>
      </c>
      <c r="AQ3" s="8">
        <v>9.6</v>
      </c>
      <c r="AR3" s="8">
        <v>9.6</v>
      </c>
      <c r="AS3" s="8">
        <v>9.6</v>
      </c>
      <c r="AT3" s="8">
        <f>SUM(AO3:AS3)</f>
        <v>48</v>
      </c>
    </row>
    <row r="4" spans="1:55" ht="15.75" thickBot="1" x14ac:dyDescent="0.3">
      <c r="A4" s="19" t="s">
        <v>31</v>
      </c>
      <c r="B4" s="19">
        <v>2600</v>
      </c>
      <c r="C4" s="20">
        <f>0.83*3.5</f>
        <v>2.9049999999999998</v>
      </c>
      <c r="D4" s="19">
        <f>B4*(9.6-C4-0.75)</f>
        <v>15457</v>
      </c>
      <c r="E4" s="19"/>
      <c r="F4" s="68"/>
      <c r="G4" s="68"/>
      <c r="H4" s="68"/>
      <c r="I4" s="116"/>
      <c r="O4" s="114"/>
      <c r="Q4" s="115"/>
      <c r="S4" s="115"/>
      <c r="Y4" s="298"/>
      <c r="Z4" s="121" t="s">
        <v>94</v>
      </c>
      <c r="AA4" s="89">
        <v>10</v>
      </c>
      <c r="AB4" s="122" t="s">
        <v>93</v>
      </c>
      <c r="AC4" s="122"/>
      <c r="AD4" s="123" t="s">
        <v>95</v>
      </c>
      <c r="AE4" s="89">
        <v>5</v>
      </c>
      <c r="AF4" s="122" t="s">
        <v>93</v>
      </c>
      <c r="AG4" s="122"/>
      <c r="AH4" s="295"/>
      <c r="AI4" s="124">
        <f t="shared" si="0"/>
        <v>5</v>
      </c>
      <c r="AN4" s="64"/>
      <c r="AO4" s="8">
        <f>AO3/2</f>
        <v>4.8</v>
      </c>
      <c r="AP4" s="8">
        <f t="shared" ref="AP4:AS4" si="1">AP3/2</f>
        <v>4.8</v>
      </c>
      <c r="AQ4" s="8">
        <f t="shared" si="1"/>
        <v>4.8</v>
      </c>
      <c r="AR4" s="8">
        <f t="shared" si="1"/>
        <v>4.8</v>
      </c>
      <c r="AS4" s="8">
        <f t="shared" si="1"/>
        <v>4.8</v>
      </c>
      <c r="AT4" s="8">
        <f>SUM(AO4:AS4)</f>
        <v>24</v>
      </c>
    </row>
    <row r="5" spans="1:55" x14ac:dyDescent="0.25">
      <c r="A5" s="19"/>
      <c r="B5" s="19"/>
      <c r="C5" s="20"/>
      <c r="D5" s="19"/>
      <c r="E5" s="19"/>
      <c r="F5" s="68"/>
      <c r="G5" s="68"/>
      <c r="H5" s="68"/>
      <c r="I5" s="116"/>
      <c r="O5" s="114"/>
      <c r="Q5" s="115"/>
      <c r="S5" s="115"/>
      <c r="Y5" s="297">
        <v>3</v>
      </c>
      <c r="Z5" s="120" t="s">
        <v>94</v>
      </c>
      <c r="AA5" s="9">
        <v>9</v>
      </c>
      <c r="AB5" s="8" t="s">
        <v>92</v>
      </c>
      <c r="AD5" s="117" t="s">
        <v>95</v>
      </c>
      <c r="AE5" s="9">
        <v>9</v>
      </c>
      <c r="AF5" s="8" t="s">
        <v>92</v>
      </c>
      <c r="AH5" s="259" t="s">
        <v>22</v>
      </c>
      <c r="AI5" s="84">
        <f t="shared" si="0"/>
        <v>0</v>
      </c>
      <c r="AN5" s="64"/>
      <c r="AO5" s="64"/>
    </row>
    <row r="6" spans="1:55" ht="15.75" thickBot="1" x14ac:dyDescent="0.3">
      <c r="Y6" s="298"/>
      <c r="Z6" s="121" t="s">
        <v>94</v>
      </c>
      <c r="AA6" s="89">
        <v>10</v>
      </c>
      <c r="AB6" s="122" t="s">
        <v>93</v>
      </c>
      <c r="AC6" s="122"/>
      <c r="AD6" s="123" t="s">
        <v>95</v>
      </c>
      <c r="AE6" s="89">
        <v>10</v>
      </c>
      <c r="AF6" s="122" t="s">
        <v>93</v>
      </c>
      <c r="AG6" s="122"/>
      <c r="AH6" s="295"/>
      <c r="AI6" s="124">
        <f t="shared" si="0"/>
        <v>0</v>
      </c>
    </row>
    <row r="7" spans="1:55" ht="15" customHeight="1" x14ac:dyDescent="0.25">
      <c r="A7" s="263" t="s">
        <v>49</v>
      </c>
      <c r="B7" s="264"/>
      <c r="C7" s="264"/>
      <c r="D7" s="264"/>
      <c r="E7" s="264"/>
      <c r="F7" s="264"/>
      <c r="G7" s="264"/>
      <c r="H7" s="264"/>
      <c r="I7" s="264"/>
      <c r="J7" s="265"/>
      <c r="L7" s="263" t="s">
        <v>49</v>
      </c>
      <c r="M7" s="264"/>
      <c r="N7" s="264"/>
      <c r="O7" s="264"/>
      <c r="P7" s="264"/>
      <c r="Q7" s="264"/>
      <c r="R7" s="264"/>
      <c r="S7" s="264"/>
      <c r="T7" s="265"/>
      <c r="V7" s="277" t="s">
        <v>64</v>
      </c>
      <c r="W7" s="278"/>
      <c r="X7" s="278"/>
      <c r="Y7" s="278"/>
      <c r="Z7" s="279"/>
      <c r="AA7" s="279"/>
      <c r="AB7" s="279"/>
      <c r="AC7" s="279"/>
      <c r="AD7" s="279"/>
      <c r="AE7" s="280"/>
    </row>
    <row r="8" spans="1:55" ht="15" customHeight="1" thickBot="1" x14ac:dyDescent="0.3">
      <c r="A8" s="266"/>
      <c r="B8" s="267"/>
      <c r="C8" s="267"/>
      <c r="D8" s="267"/>
      <c r="E8" s="267"/>
      <c r="F8" s="267"/>
      <c r="G8" s="267"/>
      <c r="H8" s="267"/>
      <c r="I8" s="267"/>
      <c r="J8" s="268"/>
      <c r="L8" s="266"/>
      <c r="M8" s="267"/>
      <c r="N8" s="267"/>
      <c r="O8" s="267"/>
      <c r="P8" s="267"/>
      <c r="Q8" s="267"/>
      <c r="R8" s="267"/>
      <c r="S8" s="267"/>
      <c r="T8" s="268"/>
      <c r="V8" s="281"/>
      <c r="W8" s="282"/>
      <c r="X8" s="282"/>
      <c r="Y8" s="282"/>
      <c r="Z8" s="282"/>
      <c r="AA8" s="282"/>
      <c r="AB8" s="282"/>
      <c r="AC8" s="282"/>
      <c r="AD8" s="282"/>
      <c r="AE8" s="283"/>
    </row>
    <row r="9" spans="1:55" ht="15.75" thickBot="1" x14ac:dyDescent="0.3">
      <c r="A9" s="35" t="s">
        <v>46</v>
      </c>
      <c r="B9" s="36" t="s">
        <v>47</v>
      </c>
      <c r="C9" s="36" t="s">
        <v>48</v>
      </c>
      <c r="D9" s="36" t="s">
        <v>29</v>
      </c>
      <c r="E9" s="58" t="s">
        <v>36</v>
      </c>
      <c r="F9" s="58" t="s">
        <v>37</v>
      </c>
      <c r="G9" s="58" t="s">
        <v>38</v>
      </c>
      <c r="H9" s="58" t="s">
        <v>39</v>
      </c>
      <c r="I9" s="58" t="s">
        <v>40</v>
      </c>
      <c r="J9" s="59" t="s">
        <v>44</v>
      </c>
      <c r="K9" s="6"/>
      <c r="L9" s="35" t="s">
        <v>46</v>
      </c>
      <c r="M9" s="36" t="s">
        <v>47</v>
      </c>
      <c r="N9" s="36" t="s">
        <v>48</v>
      </c>
      <c r="O9" s="36" t="s">
        <v>29</v>
      </c>
      <c r="P9" s="36" t="s">
        <v>36</v>
      </c>
      <c r="Q9" s="36" t="s">
        <v>37</v>
      </c>
      <c r="R9" s="36" t="s">
        <v>38</v>
      </c>
      <c r="S9" s="36" t="s">
        <v>39</v>
      </c>
      <c r="T9" s="37" t="s">
        <v>40</v>
      </c>
      <c r="V9" s="35" t="s">
        <v>46</v>
      </c>
      <c r="W9" s="36" t="s">
        <v>47</v>
      </c>
      <c r="X9" s="36" t="s">
        <v>48</v>
      </c>
      <c r="Y9" s="36" t="s">
        <v>63</v>
      </c>
      <c r="Z9" s="36" t="s">
        <v>36</v>
      </c>
      <c r="AA9" s="36" t="s">
        <v>37</v>
      </c>
      <c r="AB9" s="36" t="s">
        <v>38</v>
      </c>
      <c r="AC9" s="36" t="s">
        <v>39</v>
      </c>
      <c r="AD9" s="36" t="s">
        <v>40</v>
      </c>
      <c r="AE9" s="37" t="s">
        <v>65</v>
      </c>
      <c r="AJ9" s="9"/>
      <c r="AK9" s="9"/>
      <c r="AL9" s="9"/>
      <c r="AM9" s="9"/>
      <c r="AN9" s="9"/>
    </row>
    <row r="10" spans="1:55" ht="15" customHeight="1" x14ac:dyDescent="0.25">
      <c r="A10" s="33">
        <v>0.29166666666666669</v>
      </c>
      <c r="B10" s="17">
        <v>0.33333333333333331</v>
      </c>
      <c r="C10" s="39">
        <f t="shared" ref="C10:C12" si="2">(B10-A10)*24</f>
        <v>0.99999999999999911</v>
      </c>
      <c r="D10" s="269" t="s">
        <v>33</v>
      </c>
      <c r="E10" s="23" t="s">
        <v>42</v>
      </c>
      <c r="F10" s="24" t="s">
        <v>42</v>
      </c>
      <c r="G10" s="24" t="s">
        <v>42</v>
      </c>
      <c r="H10" s="24" t="s">
        <v>42</v>
      </c>
      <c r="I10" s="24" t="s">
        <v>42</v>
      </c>
      <c r="J10" s="28" t="s">
        <v>42</v>
      </c>
      <c r="K10" s="6"/>
      <c r="L10" s="29">
        <v>0.33333333333333331</v>
      </c>
      <c r="M10" s="22">
        <v>0.375</v>
      </c>
      <c r="N10" s="18">
        <f>(M10-L10)*24</f>
        <v>1.0000000000000004</v>
      </c>
      <c r="O10" s="260" t="s">
        <v>54</v>
      </c>
      <c r="P10" s="13" t="s">
        <v>56</v>
      </c>
      <c r="Q10" s="13" t="s">
        <v>56</v>
      </c>
      <c r="R10" s="12" t="s">
        <v>55</v>
      </c>
      <c r="S10" s="12" t="s">
        <v>55</v>
      </c>
      <c r="T10" s="25" t="s">
        <v>55</v>
      </c>
      <c r="V10" s="26"/>
      <c r="W10" s="27"/>
      <c r="X10" s="28">
        <f>(W10-V10)*24</f>
        <v>0</v>
      </c>
      <c r="Y10" s="260" t="s">
        <v>62</v>
      </c>
      <c r="Z10" s="13"/>
      <c r="AA10" s="12"/>
      <c r="AB10" s="12"/>
      <c r="AC10" s="12"/>
      <c r="AD10" s="12"/>
      <c r="AE10" s="25" t="s">
        <v>61</v>
      </c>
      <c r="AJ10" s="64"/>
      <c r="AK10" s="64"/>
      <c r="AL10" s="64"/>
      <c r="AM10" s="64"/>
      <c r="AN10" s="64"/>
    </row>
    <row r="11" spans="1:55" ht="15" customHeight="1" x14ac:dyDescent="0.25">
      <c r="A11" s="29">
        <v>0.33333333333333331</v>
      </c>
      <c r="B11" s="22">
        <v>0.375</v>
      </c>
      <c r="C11" s="18">
        <f t="shared" si="2"/>
        <v>1.0000000000000004</v>
      </c>
      <c r="D11" s="270"/>
      <c r="E11" s="41" t="s">
        <v>42</v>
      </c>
      <c r="F11" s="12" t="s">
        <v>42</v>
      </c>
      <c r="G11" s="12" t="s">
        <v>42</v>
      </c>
      <c r="H11" s="12" t="s">
        <v>42</v>
      </c>
      <c r="I11" s="12" t="s">
        <v>42</v>
      </c>
      <c r="J11" s="25" t="s">
        <v>42</v>
      </c>
      <c r="K11" s="6"/>
      <c r="L11" s="29">
        <f>M10</f>
        <v>0.375</v>
      </c>
      <c r="M11" s="22">
        <v>0.41666666666666669</v>
      </c>
      <c r="N11" s="18">
        <f>(M11-L11)*24</f>
        <v>1.0000000000000004</v>
      </c>
      <c r="O11" s="261"/>
      <c r="P11" s="13" t="s">
        <v>56</v>
      </c>
      <c r="Q11" s="13" t="s">
        <v>56</v>
      </c>
      <c r="R11" s="12" t="s">
        <v>55</v>
      </c>
      <c r="S11" s="12" t="s">
        <v>55</v>
      </c>
      <c r="T11" s="25" t="s">
        <v>55</v>
      </c>
      <c r="V11" s="29"/>
      <c r="W11" s="22"/>
      <c r="X11" s="25">
        <f>(W11-V11)*24</f>
        <v>0</v>
      </c>
      <c r="Y11" s="261"/>
      <c r="Z11" s="13"/>
      <c r="AA11" s="12"/>
      <c r="AB11" s="12"/>
      <c r="AC11" s="12"/>
      <c r="AD11" s="12"/>
      <c r="AE11" s="25" t="s">
        <v>61</v>
      </c>
    </row>
    <row r="12" spans="1:55" ht="15" customHeight="1" thickBot="1" x14ac:dyDescent="0.3">
      <c r="A12" s="29">
        <f>B11</f>
        <v>0.375</v>
      </c>
      <c r="B12" s="22">
        <v>0.41666666666666669</v>
      </c>
      <c r="C12" s="18">
        <f t="shared" si="2"/>
        <v>1.0000000000000004</v>
      </c>
      <c r="D12" s="270"/>
      <c r="E12" s="41" t="s">
        <v>42</v>
      </c>
      <c r="F12" s="12" t="s">
        <v>42</v>
      </c>
      <c r="G12" s="12" t="s">
        <v>42</v>
      </c>
      <c r="H12" s="12" t="s">
        <v>42</v>
      </c>
      <c r="I12" s="12" t="s">
        <v>42</v>
      </c>
      <c r="J12" s="25" t="s">
        <v>42</v>
      </c>
      <c r="K12" s="6"/>
      <c r="L12" s="29">
        <f t="shared" ref="L12:L18" si="3">M11</f>
        <v>0.41666666666666669</v>
      </c>
      <c r="M12" s="22">
        <v>0.45833333333333298</v>
      </c>
      <c r="N12" s="18">
        <f>(M12-L12)*24</f>
        <v>0.99999999999999112</v>
      </c>
      <c r="O12" s="261"/>
      <c r="P12" s="13" t="s">
        <v>56</v>
      </c>
      <c r="Q12" s="13" t="s">
        <v>56</v>
      </c>
      <c r="R12" s="12" t="s">
        <v>55</v>
      </c>
      <c r="S12" s="12" t="s">
        <v>55</v>
      </c>
      <c r="T12" s="25" t="s">
        <v>55</v>
      </c>
      <c r="V12" s="29"/>
      <c r="W12" s="22"/>
      <c r="X12" s="25">
        <f>(W12-V12)*24</f>
        <v>0</v>
      </c>
      <c r="Y12" s="261"/>
      <c r="Z12" s="13"/>
      <c r="AA12" s="12"/>
      <c r="AB12" s="12"/>
      <c r="AC12" s="12"/>
      <c r="AD12" s="12"/>
      <c r="AE12" s="25" t="s">
        <v>61</v>
      </c>
    </row>
    <row r="13" spans="1:55" ht="15" customHeight="1" thickBot="1" x14ac:dyDescent="0.3">
      <c r="A13" s="29">
        <f t="shared" ref="A13:A19" si="4">B12</f>
        <v>0.41666666666666669</v>
      </c>
      <c r="B13" s="22">
        <v>0.45833333333333298</v>
      </c>
      <c r="C13" s="18">
        <f>(B13-A13)*24</f>
        <v>0.99999999999999112</v>
      </c>
      <c r="D13" s="270"/>
      <c r="E13" s="41" t="s">
        <v>42</v>
      </c>
      <c r="F13" s="12" t="s">
        <v>42</v>
      </c>
      <c r="G13" s="12" t="s">
        <v>42</v>
      </c>
      <c r="H13" s="12" t="s">
        <v>42</v>
      </c>
      <c r="I13" s="12" t="s">
        <v>42</v>
      </c>
      <c r="J13" s="25" t="s">
        <v>41</v>
      </c>
      <c r="K13" s="6"/>
      <c r="L13" s="29">
        <f>M12</f>
        <v>0.45833333333333298</v>
      </c>
      <c r="M13" s="22">
        <v>0.5</v>
      </c>
      <c r="N13" s="18">
        <f t="shared" ref="N13:N14" si="5">(M13-L13)*24</f>
        <v>1.0000000000000084</v>
      </c>
      <c r="O13" s="261"/>
      <c r="P13" s="13" t="s">
        <v>56</v>
      </c>
      <c r="Q13" s="13" t="s">
        <v>56</v>
      </c>
      <c r="R13" s="12" t="s">
        <v>55</v>
      </c>
      <c r="S13" s="12" t="s">
        <v>55</v>
      </c>
      <c r="T13" s="25" t="s">
        <v>55</v>
      </c>
      <c r="V13" s="29"/>
      <c r="W13" s="22"/>
      <c r="X13" s="25">
        <f t="shared" ref="X13:X14" si="6">(W13-V13)*24</f>
        <v>0</v>
      </c>
      <c r="Y13" s="261"/>
      <c r="Z13" s="13"/>
      <c r="AA13" s="12"/>
      <c r="AB13" s="12"/>
      <c r="AC13" s="12"/>
      <c r="AD13" s="12"/>
      <c r="AE13" s="25"/>
      <c r="AI13" s="274" t="s">
        <v>51</v>
      </c>
      <c r="AJ13" s="275"/>
      <c r="AK13" s="275"/>
      <c r="AL13" s="276"/>
      <c r="AO13" s="274" t="s">
        <v>49</v>
      </c>
      <c r="AP13" s="275"/>
      <c r="AQ13" s="275"/>
      <c r="AR13" s="276"/>
      <c r="AU13" s="274" t="s">
        <v>77</v>
      </c>
      <c r="AV13" s="275"/>
      <c r="AW13" s="275"/>
      <c r="AX13" s="276"/>
      <c r="AZ13" s="274" t="s">
        <v>81</v>
      </c>
      <c r="BA13" s="275"/>
      <c r="BB13" s="275"/>
      <c r="BC13" s="276"/>
    </row>
    <row r="14" spans="1:55" ht="15" customHeight="1" thickBot="1" x14ac:dyDescent="0.3">
      <c r="A14" s="29">
        <f t="shared" si="4"/>
        <v>0.45833333333333298</v>
      </c>
      <c r="B14" s="22">
        <v>0.5</v>
      </c>
      <c r="C14" s="18">
        <f t="shared" ref="C14:C15" si="7">(B14-A14)*24</f>
        <v>1.0000000000000084</v>
      </c>
      <c r="D14" s="270"/>
      <c r="E14" s="41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25" t="s">
        <v>41</v>
      </c>
      <c r="K14" s="6"/>
      <c r="L14" s="29">
        <f t="shared" si="3"/>
        <v>0.5</v>
      </c>
      <c r="M14" s="22">
        <v>0.54166666666666696</v>
      </c>
      <c r="N14" s="18">
        <f t="shared" si="5"/>
        <v>1.0000000000000071</v>
      </c>
      <c r="O14" s="261"/>
      <c r="P14" s="45" t="s">
        <v>55</v>
      </c>
      <c r="Q14" s="45" t="s">
        <v>55</v>
      </c>
      <c r="R14" s="13" t="s">
        <v>55</v>
      </c>
      <c r="S14" s="45" t="s">
        <v>60</v>
      </c>
      <c r="T14" s="74" t="s">
        <v>55</v>
      </c>
      <c r="V14" s="29">
        <v>0.41666666666666669</v>
      </c>
      <c r="W14" s="22">
        <v>0.45833333333333331</v>
      </c>
      <c r="X14" s="25">
        <f t="shared" si="6"/>
        <v>0.99999999999999911</v>
      </c>
      <c r="Y14" s="261"/>
      <c r="Z14" s="13"/>
      <c r="AA14" s="12"/>
      <c r="AB14" s="13"/>
      <c r="AC14" s="12"/>
      <c r="AD14" s="12"/>
      <c r="AE14" s="74"/>
      <c r="AI14" s="81" t="s">
        <v>78</v>
      </c>
      <c r="AJ14" s="82" t="s">
        <v>66</v>
      </c>
      <c r="AK14" s="82" t="s">
        <v>67</v>
      </c>
      <c r="AL14" s="11" t="s">
        <v>68</v>
      </c>
      <c r="AO14" s="81" t="s">
        <v>78</v>
      </c>
      <c r="AP14" s="92" t="s">
        <v>66</v>
      </c>
      <c r="AQ14" s="92" t="s">
        <v>67</v>
      </c>
      <c r="AR14" s="93" t="s">
        <v>68</v>
      </c>
      <c r="AU14" s="81" t="s">
        <v>78</v>
      </c>
      <c r="AV14" s="92" t="s">
        <v>66</v>
      </c>
      <c r="AW14" s="92" t="s">
        <v>67</v>
      </c>
      <c r="AX14" s="93" t="s">
        <v>68</v>
      </c>
      <c r="AZ14" s="81" t="s">
        <v>78</v>
      </c>
      <c r="BA14" s="92" t="s">
        <v>66</v>
      </c>
      <c r="BB14" s="92" t="s">
        <v>67</v>
      </c>
      <c r="BC14" s="93" t="s">
        <v>68</v>
      </c>
    </row>
    <row r="15" spans="1:55" ht="15" customHeight="1" thickBot="1" x14ac:dyDescent="0.3">
      <c r="A15" s="29">
        <f t="shared" si="4"/>
        <v>0.5</v>
      </c>
      <c r="B15" s="22">
        <v>0.54166666666666696</v>
      </c>
      <c r="C15" s="18">
        <f t="shared" si="7"/>
        <v>1.0000000000000071</v>
      </c>
      <c r="D15" s="270"/>
      <c r="E15" s="41" t="s">
        <v>42</v>
      </c>
      <c r="F15" s="12" t="s">
        <v>42</v>
      </c>
      <c r="G15" s="12" t="s">
        <v>42</v>
      </c>
      <c r="H15" s="12" t="s">
        <v>42</v>
      </c>
      <c r="I15" s="12" t="s">
        <v>42</v>
      </c>
      <c r="J15" s="25" t="s">
        <v>41</v>
      </c>
      <c r="K15" s="6"/>
      <c r="L15" s="29">
        <f t="shared" si="3"/>
        <v>0.54166666666666696</v>
      </c>
      <c r="M15" s="22">
        <v>0.58333333333333304</v>
      </c>
      <c r="N15" s="18">
        <f>(M15-L15)*24</f>
        <v>0.99999999999998579</v>
      </c>
      <c r="O15" s="261"/>
      <c r="P15" s="45" t="s">
        <v>55</v>
      </c>
      <c r="Q15" s="50" t="s">
        <v>55</v>
      </c>
      <c r="R15" s="12" t="s">
        <v>55</v>
      </c>
      <c r="S15" s="50" t="s">
        <v>60</v>
      </c>
      <c r="T15" s="25" t="s">
        <v>55</v>
      </c>
      <c r="V15" s="29">
        <f>W14</f>
        <v>0.45833333333333331</v>
      </c>
      <c r="W15" s="22">
        <v>0.5</v>
      </c>
      <c r="X15" s="25">
        <f>(W15-V15)*24</f>
        <v>1.0000000000000004</v>
      </c>
      <c r="Y15" s="261"/>
      <c r="Z15" s="13" t="s">
        <v>61</v>
      </c>
      <c r="AA15" s="12" t="s">
        <v>61</v>
      </c>
      <c r="AB15" s="12" t="s">
        <v>61</v>
      </c>
      <c r="AC15" s="12" t="s">
        <v>61</v>
      </c>
      <c r="AD15" s="12" t="s">
        <v>61</v>
      </c>
      <c r="AE15" s="25"/>
      <c r="AI15" s="79" t="s">
        <v>80</v>
      </c>
      <c r="AJ15" s="77">
        <v>0.4375</v>
      </c>
      <c r="AK15" s="77">
        <v>0.83750000000000002</v>
      </c>
      <c r="AL15" s="80">
        <f>((AK15-AJ15)*24*5)</f>
        <v>48.000000000000007</v>
      </c>
      <c r="AO15" s="91" t="s">
        <v>80</v>
      </c>
      <c r="AP15" s="94">
        <v>0.4375</v>
      </c>
      <c r="AQ15" s="95">
        <v>0.83750000000000002</v>
      </c>
      <c r="AR15" s="93">
        <f>((AQ15-AP15)*24*4)</f>
        <v>38.400000000000006</v>
      </c>
      <c r="AU15" s="91" t="s">
        <v>80</v>
      </c>
      <c r="AV15" s="94">
        <v>0.83750000000000002</v>
      </c>
      <c r="AW15" s="95">
        <v>0.91666666666666663</v>
      </c>
      <c r="AX15" s="93">
        <f>((AW15-AV15)*24*4)</f>
        <v>7.5999999999999943</v>
      </c>
      <c r="AZ15" s="91" t="s">
        <v>80</v>
      </c>
      <c r="BA15" s="94">
        <v>0.83750000000000002</v>
      </c>
      <c r="BB15" s="95">
        <v>0.91666666666666663</v>
      </c>
      <c r="BC15" s="93">
        <f>((BB15-BA15)*24*5)</f>
        <v>9.4999999999999929</v>
      </c>
    </row>
    <row r="16" spans="1:55" ht="15" customHeight="1" thickBot="1" x14ac:dyDescent="0.3">
      <c r="A16" s="29">
        <f t="shared" si="4"/>
        <v>0.54166666666666696</v>
      </c>
      <c r="B16" s="22">
        <v>0.58333333333333304</v>
      </c>
      <c r="C16" s="18">
        <f>(B16-A16)*24</f>
        <v>0.99999999999998579</v>
      </c>
      <c r="D16" s="270"/>
      <c r="E16" s="41" t="s">
        <v>42</v>
      </c>
      <c r="F16" s="12" t="s">
        <v>42</v>
      </c>
      <c r="G16" s="12" t="s">
        <v>42</v>
      </c>
      <c r="H16" s="12" t="s">
        <v>42</v>
      </c>
      <c r="I16" s="12" t="s">
        <v>42</v>
      </c>
      <c r="J16" s="61" t="s">
        <v>45</v>
      </c>
      <c r="K16" s="6"/>
      <c r="L16" s="30">
        <f t="shared" si="3"/>
        <v>0.58333333333333304</v>
      </c>
      <c r="M16" s="31">
        <v>0.625</v>
      </c>
      <c r="N16" s="40">
        <f>(M16-L16)*24</f>
        <v>1.0000000000000071</v>
      </c>
      <c r="O16" s="261"/>
      <c r="P16" s="46" t="s">
        <v>55</v>
      </c>
      <c r="Q16" s="51" t="s">
        <v>55</v>
      </c>
      <c r="R16" s="21" t="s">
        <v>55</v>
      </c>
      <c r="S16" s="51" t="s">
        <v>60</v>
      </c>
      <c r="T16" s="75" t="s">
        <v>55</v>
      </c>
      <c r="V16" s="30">
        <f t="shared" ref="V16:V23" si="8">W15</f>
        <v>0.5</v>
      </c>
      <c r="W16" s="31">
        <v>0.54166666666666696</v>
      </c>
      <c r="X16" s="32">
        <f>(W16-V16)*24</f>
        <v>1.0000000000000071</v>
      </c>
      <c r="Y16" s="261"/>
      <c r="Z16" s="14" t="s">
        <v>61</v>
      </c>
      <c r="AA16" s="21" t="s">
        <v>61</v>
      </c>
      <c r="AB16" s="21" t="s">
        <v>61</v>
      </c>
      <c r="AC16" s="21" t="s">
        <v>61</v>
      </c>
      <c r="AD16" s="21" t="s">
        <v>61</v>
      </c>
      <c r="AE16" s="75"/>
      <c r="AI16" s="290" t="s">
        <v>79</v>
      </c>
      <c r="AJ16" s="76">
        <v>0.33333333333333331</v>
      </c>
      <c r="AK16" s="76">
        <v>0.69166666666666676</v>
      </c>
      <c r="AL16" s="65">
        <f>((AK16-AJ16)*24*5)</f>
        <v>43.000000000000014</v>
      </c>
      <c r="AM16" s="292">
        <f>SUM(AL16:AL17)</f>
        <v>48.000000000000014</v>
      </c>
      <c r="AO16" s="285" t="s">
        <v>79</v>
      </c>
      <c r="AP16" s="97">
        <v>0.33333333333333331</v>
      </c>
      <c r="AQ16" s="98">
        <v>0.6875</v>
      </c>
      <c r="AR16" s="99">
        <f t="shared" ref="AR16" si="9">((AQ16-AP16)*24*4)</f>
        <v>34</v>
      </c>
      <c r="AS16" s="272">
        <f>SUM(AR16:AR17)</f>
        <v>38.400000000000006</v>
      </c>
      <c r="AU16" s="102" t="s">
        <v>79</v>
      </c>
      <c r="AV16" s="96">
        <v>0.5625</v>
      </c>
      <c r="AW16" s="78">
        <v>0.625</v>
      </c>
      <c r="AX16" s="66">
        <f>((AW16-AV16)*24)</f>
        <v>1.5</v>
      </c>
      <c r="AY16" s="100"/>
      <c r="AZ16" s="102" t="s">
        <v>79</v>
      </c>
      <c r="BA16" s="96">
        <v>0.5625</v>
      </c>
      <c r="BB16" s="78">
        <v>0.625</v>
      </c>
      <c r="BC16" s="66">
        <f>((BB16-BA16)*24)</f>
        <v>1.5</v>
      </c>
    </row>
    <row r="17" spans="1:51" ht="15" customHeight="1" thickBot="1" x14ac:dyDescent="0.3">
      <c r="A17" s="30">
        <f t="shared" si="4"/>
        <v>0.58333333333333304</v>
      </c>
      <c r="B17" s="31">
        <v>0.625</v>
      </c>
      <c r="C17" s="40">
        <f>(B17-A17)*24</f>
        <v>1.0000000000000071</v>
      </c>
      <c r="D17" s="270"/>
      <c r="E17" s="42" t="s">
        <v>50</v>
      </c>
      <c r="F17" s="38" t="s">
        <v>50</v>
      </c>
      <c r="G17" s="38" t="s">
        <v>50</v>
      </c>
      <c r="H17" s="38" t="s">
        <v>50</v>
      </c>
      <c r="I17" s="38" t="s">
        <v>50</v>
      </c>
      <c r="J17" s="62" t="s">
        <v>45</v>
      </c>
      <c r="K17" s="6"/>
      <c r="L17" s="26">
        <f t="shared" si="3"/>
        <v>0.625</v>
      </c>
      <c r="M17" s="27">
        <v>0.66666666666666696</v>
      </c>
      <c r="N17" s="28">
        <f t="shared" ref="N17:N23" si="10">(M17-L17)*24</f>
        <v>1.0000000000000071</v>
      </c>
      <c r="O17" s="261"/>
      <c r="P17" s="47" t="s">
        <v>55</v>
      </c>
      <c r="Q17" s="52" t="s">
        <v>55</v>
      </c>
      <c r="R17" s="24" t="s">
        <v>55</v>
      </c>
      <c r="S17" s="52" t="s">
        <v>60</v>
      </c>
      <c r="T17" s="28" t="s">
        <v>55</v>
      </c>
      <c r="V17" s="26">
        <f t="shared" si="8"/>
        <v>0.54166666666666696</v>
      </c>
      <c r="W17" s="27">
        <v>0.58333333333333304</v>
      </c>
      <c r="X17" s="28">
        <f t="shared" ref="X17:X23" si="11">(W17-V17)*24</f>
        <v>0.99999999999998579</v>
      </c>
      <c r="Y17" s="261"/>
      <c r="Z17" s="23" t="s">
        <v>61</v>
      </c>
      <c r="AA17" s="24" t="s">
        <v>61</v>
      </c>
      <c r="AB17" s="24" t="s">
        <v>61</v>
      </c>
      <c r="AC17" s="24" t="s">
        <v>61</v>
      </c>
      <c r="AD17" s="24" t="s">
        <v>61</v>
      </c>
      <c r="AE17" s="28"/>
      <c r="AI17" s="291"/>
      <c r="AJ17" s="78">
        <v>0.375</v>
      </c>
      <c r="AK17" s="78">
        <v>0.58333333333333337</v>
      </c>
      <c r="AL17" s="66">
        <f>((AK17-AJ17)*24)</f>
        <v>5.0000000000000009</v>
      </c>
      <c r="AM17" s="293"/>
      <c r="AO17" s="286"/>
      <c r="AP17" s="96">
        <v>0.33333333333333331</v>
      </c>
      <c r="AQ17" s="78">
        <v>0.51666666666666672</v>
      </c>
      <c r="AR17" s="66">
        <f>((AQ17-AP17)*24)</f>
        <v>4.4000000000000021</v>
      </c>
      <c r="AS17" s="273"/>
      <c r="AU17" s="101"/>
      <c r="AY17" s="100"/>
    </row>
    <row r="18" spans="1:51" ht="15" customHeight="1" x14ac:dyDescent="0.25">
      <c r="A18" s="26">
        <f t="shared" si="4"/>
        <v>0.625</v>
      </c>
      <c r="B18" s="27">
        <v>0.66666666666666696</v>
      </c>
      <c r="C18" s="28">
        <f t="shared" ref="C18:C25" si="12">(B18-A18)*24</f>
        <v>1.0000000000000071</v>
      </c>
      <c r="D18" s="270"/>
      <c r="E18" s="60" t="s">
        <v>50</v>
      </c>
      <c r="F18" s="16" t="s">
        <v>50</v>
      </c>
      <c r="G18" s="16" t="s">
        <v>50</v>
      </c>
      <c r="H18" s="16" t="s">
        <v>50</v>
      </c>
      <c r="I18" s="16" t="s">
        <v>50</v>
      </c>
      <c r="J18" s="63" t="s">
        <v>45</v>
      </c>
      <c r="K18" s="6"/>
      <c r="L18" s="29">
        <f t="shared" si="3"/>
        <v>0.66666666666666696</v>
      </c>
      <c r="M18" s="22">
        <v>0.70833333333333404</v>
      </c>
      <c r="N18" s="25">
        <f t="shared" si="10"/>
        <v>1.0000000000000098</v>
      </c>
      <c r="O18" s="261"/>
      <c r="P18" s="48" t="s">
        <v>55</v>
      </c>
      <c r="Q18" s="50" t="s">
        <v>55</v>
      </c>
      <c r="R18" s="12" t="s">
        <v>55</v>
      </c>
      <c r="S18" s="50" t="s">
        <v>60</v>
      </c>
      <c r="T18" s="25" t="s">
        <v>55</v>
      </c>
      <c r="V18" s="29">
        <f t="shared" si="8"/>
        <v>0.58333333333333304</v>
      </c>
      <c r="W18" s="22">
        <v>0.625</v>
      </c>
      <c r="X18" s="25">
        <f t="shared" si="11"/>
        <v>1.0000000000000071</v>
      </c>
      <c r="Y18" s="261"/>
      <c r="Z18" s="41" t="s">
        <v>61</v>
      </c>
      <c r="AA18" s="12" t="s">
        <v>61</v>
      </c>
      <c r="AB18" s="12" t="s">
        <v>61</v>
      </c>
      <c r="AC18" s="12" t="s">
        <v>61</v>
      </c>
      <c r="AD18" s="12" t="s">
        <v>61</v>
      </c>
      <c r="AE18" s="25"/>
    </row>
    <row r="19" spans="1:51" ht="15" customHeight="1" x14ac:dyDescent="0.25">
      <c r="A19" s="29">
        <f t="shared" si="4"/>
        <v>0.66666666666666696</v>
      </c>
      <c r="B19" s="22">
        <v>0.70833333333333404</v>
      </c>
      <c r="C19" s="25">
        <f t="shared" si="12"/>
        <v>1.0000000000000098</v>
      </c>
      <c r="D19" s="270"/>
      <c r="E19" s="41" t="s">
        <v>41</v>
      </c>
      <c r="F19" s="12" t="s">
        <v>41</v>
      </c>
      <c r="G19" s="12" t="s">
        <v>41</v>
      </c>
      <c r="H19" s="12" t="s">
        <v>41</v>
      </c>
      <c r="I19" s="12" t="s">
        <v>41</v>
      </c>
      <c r="J19" s="61" t="s">
        <v>45</v>
      </c>
      <c r="K19" s="6"/>
      <c r="L19" s="29">
        <f>M18</f>
        <v>0.70833333333333404</v>
      </c>
      <c r="M19" s="22">
        <v>0.75</v>
      </c>
      <c r="N19" s="25">
        <f t="shared" si="10"/>
        <v>0.99999999999998312</v>
      </c>
      <c r="O19" s="261"/>
      <c r="P19" s="48" t="s">
        <v>55</v>
      </c>
      <c r="Q19" s="50" t="s">
        <v>55</v>
      </c>
      <c r="R19" s="43" t="s">
        <v>45</v>
      </c>
      <c r="S19" s="50" t="s">
        <v>60</v>
      </c>
      <c r="T19" s="61" t="s">
        <v>45</v>
      </c>
      <c r="V19" s="29">
        <f t="shared" si="8"/>
        <v>0.625</v>
      </c>
      <c r="W19" s="22">
        <v>0.66666666666666596</v>
      </c>
      <c r="X19" s="25">
        <f t="shared" si="11"/>
        <v>0.99999999999998312</v>
      </c>
      <c r="Y19" s="261"/>
      <c r="Z19" s="41" t="s">
        <v>61</v>
      </c>
      <c r="AA19" s="12" t="s">
        <v>61</v>
      </c>
      <c r="AB19" s="12" t="s">
        <v>61</v>
      </c>
      <c r="AC19" s="12" t="s">
        <v>61</v>
      </c>
      <c r="AD19" s="12" t="s">
        <v>61</v>
      </c>
      <c r="AE19" s="25"/>
    </row>
    <row r="20" spans="1:51" ht="15" customHeight="1" x14ac:dyDescent="0.25">
      <c r="A20" s="29">
        <f>B19</f>
        <v>0.70833333333333404</v>
      </c>
      <c r="B20" s="22">
        <v>0.75</v>
      </c>
      <c r="C20" s="25">
        <f t="shared" si="12"/>
        <v>0.99999999999998312</v>
      </c>
      <c r="D20" s="270"/>
      <c r="E20" s="41" t="s">
        <v>41</v>
      </c>
      <c r="F20" s="12" t="s">
        <v>41</v>
      </c>
      <c r="G20" s="12" t="s">
        <v>41</v>
      </c>
      <c r="H20" s="12" t="s">
        <v>41</v>
      </c>
      <c r="I20" s="12" t="s">
        <v>41</v>
      </c>
      <c r="J20" s="61" t="s">
        <v>45</v>
      </c>
      <c r="K20" s="6"/>
      <c r="L20" s="29">
        <f t="shared" ref="L20:L23" si="13">M19</f>
        <v>0.75</v>
      </c>
      <c r="M20" s="22">
        <v>0.79166666666666696</v>
      </c>
      <c r="N20" s="25">
        <f t="shared" si="10"/>
        <v>1.0000000000000071</v>
      </c>
      <c r="O20" s="261"/>
      <c r="P20" s="48" t="s">
        <v>55</v>
      </c>
      <c r="Q20" s="50" t="s">
        <v>55</v>
      </c>
      <c r="R20" s="43" t="s">
        <v>45</v>
      </c>
      <c r="S20" s="50" t="s">
        <v>60</v>
      </c>
      <c r="T20" s="61" t="s">
        <v>45</v>
      </c>
      <c r="V20" s="29">
        <f t="shared" si="8"/>
        <v>0.66666666666666596</v>
      </c>
      <c r="W20" s="22">
        <v>0.70833333333333304</v>
      </c>
      <c r="X20" s="25">
        <f t="shared" si="11"/>
        <v>1.0000000000000098</v>
      </c>
      <c r="Y20" s="261"/>
      <c r="Z20" s="41" t="s">
        <v>61</v>
      </c>
      <c r="AA20" s="12" t="s">
        <v>61</v>
      </c>
      <c r="AB20" s="12" t="s">
        <v>61</v>
      </c>
      <c r="AC20" s="12" t="s">
        <v>61</v>
      </c>
      <c r="AD20" s="12" t="s">
        <v>61</v>
      </c>
      <c r="AE20" s="25"/>
    </row>
    <row r="21" spans="1:51" ht="15" customHeight="1" thickBot="1" x14ac:dyDescent="0.3">
      <c r="A21" s="29">
        <f t="shared" ref="A21:A25" si="14">B20</f>
        <v>0.75</v>
      </c>
      <c r="B21" s="22">
        <v>0.79166666666666696</v>
      </c>
      <c r="C21" s="25">
        <f t="shared" si="12"/>
        <v>1.0000000000000071</v>
      </c>
      <c r="D21" s="270"/>
      <c r="E21" s="41" t="s">
        <v>41</v>
      </c>
      <c r="F21" s="12" t="s">
        <v>41</v>
      </c>
      <c r="G21" s="12" t="s">
        <v>41</v>
      </c>
      <c r="H21" s="12" t="s">
        <v>41</v>
      </c>
      <c r="I21" s="12" t="s">
        <v>41</v>
      </c>
      <c r="J21" s="61" t="s">
        <v>45</v>
      </c>
      <c r="K21" s="6"/>
      <c r="L21" s="29">
        <f t="shared" si="13"/>
        <v>0.79166666666666696</v>
      </c>
      <c r="M21" s="22">
        <v>0.83333333333333304</v>
      </c>
      <c r="N21" s="25">
        <f t="shared" si="10"/>
        <v>0.99999999999998579</v>
      </c>
      <c r="O21" s="261"/>
      <c r="P21" s="48" t="s">
        <v>55</v>
      </c>
      <c r="Q21" s="50" t="s">
        <v>55</v>
      </c>
      <c r="R21" s="43" t="s">
        <v>45</v>
      </c>
      <c r="S21" s="50" t="s">
        <v>60</v>
      </c>
      <c r="T21" s="61" t="s">
        <v>45</v>
      </c>
      <c r="V21" s="29">
        <f t="shared" si="8"/>
        <v>0.70833333333333304</v>
      </c>
      <c r="W21" s="22">
        <v>0.75</v>
      </c>
      <c r="X21" s="25">
        <f t="shared" si="11"/>
        <v>1.0000000000000071</v>
      </c>
      <c r="Y21" s="261"/>
      <c r="Z21" s="41" t="s">
        <v>61</v>
      </c>
      <c r="AA21" s="12" t="s">
        <v>61</v>
      </c>
      <c r="AB21" s="12" t="s">
        <v>61</v>
      </c>
      <c r="AC21" s="12" t="s">
        <v>61</v>
      </c>
      <c r="AD21" s="12" t="s">
        <v>61</v>
      </c>
      <c r="AE21" s="25"/>
    </row>
    <row r="22" spans="1:51" ht="15" customHeight="1" thickBot="1" x14ac:dyDescent="0.3">
      <c r="A22" s="29">
        <f t="shared" si="14"/>
        <v>0.79166666666666696</v>
      </c>
      <c r="B22" s="22">
        <v>0.83333333333333304</v>
      </c>
      <c r="C22" s="25">
        <f t="shared" si="12"/>
        <v>0.99999999999998579</v>
      </c>
      <c r="D22" s="270"/>
      <c r="E22" s="41" t="s">
        <v>41</v>
      </c>
      <c r="F22" s="12" t="s">
        <v>41</v>
      </c>
      <c r="G22" s="12" t="s">
        <v>41</v>
      </c>
      <c r="H22" s="12" t="s">
        <v>41</v>
      </c>
      <c r="I22" s="12" t="s">
        <v>41</v>
      </c>
      <c r="J22" s="61" t="s">
        <v>45</v>
      </c>
      <c r="K22" s="6"/>
      <c r="L22" s="29">
        <f t="shared" si="13"/>
        <v>0.83333333333333304</v>
      </c>
      <c r="M22" s="22">
        <v>0.875</v>
      </c>
      <c r="N22" s="25">
        <f t="shared" si="10"/>
        <v>1.0000000000000071</v>
      </c>
      <c r="O22" s="261"/>
      <c r="P22" s="48" t="s">
        <v>55</v>
      </c>
      <c r="Q22" s="50" t="s">
        <v>55</v>
      </c>
      <c r="R22" s="43" t="s">
        <v>45</v>
      </c>
      <c r="S22" s="50" t="s">
        <v>60</v>
      </c>
      <c r="T22" s="61" t="s">
        <v>45</v>
      </c>
      <c r="V22" s="29">
        <f t="shared" si="8"/>
        <v>0.75</v>
      </c>
      <c r="W22" s="22">
        <v>0.79166666666666596</v>
      </c>
      <c r="X22" s="25">
        <f t="shared" si="11"/>
        <v>0.99999999999998312</v>
      </c>
      <c r="Y22" s="261"/>
      <c r="Z22" s="41" t="s">
        <v>61</v>
      </c>
      <c r="AA22" s="12" t="s">
        <v>61</v>
      </c>
      <c r="AB22" s="12" t="s">
        <v>61</v>
      </c>
      <c r="AC22" s="12" t="s">
        <v>61</v>
      </c>
      <c r="AD22" s="12" t="s">
        <v>61</v>
      </c>
      <c r="AE22" s="25"/>
      <c r="AN22" s="287" t="s">
        <v>55</v>
      </c>
      <c r="AO22" s="288"/>
      <c r="AP22" s="288"/>
      <c r="AQ22" s="288"/>
      <c r="AR22" s="289"/>
    </row>
    <row r="23" spans="1:51" ht="15" customHeight="1" thickBot="1" x14ac:dyDescent="0.3">
      <c r="A23" s="29">
        <f t="shared" si="14"/>
        <v>0.83333333333333304</v>
      </c>
      <c r="B23" s="22">
        <v>0.875</v>
      </c>
      <c r="C23" s="25">
        <f t="shared" si="12"/>
        <v>1.0000000000000071</v>
      </c>
      <c r="D23" s="270"/>
      <c r="E23" s="41" t="s">
        <v>41</v>
      </c>
      <c r="F23" s="12" t="s">
        <v>41</v>
      </c>
      <c r="G23" s="12" t="s">
        <v>41</v>
      </c>
      <c r="H23" s="12" t="s">
        <v>41</v>
      </c>
      <c r="I23" s="12" t="s">
        <v>41</v>
      </c>
      <c r="J23" s="61" t="s">
        <v>45</v>
      </c>
      <c r="K23" s="6"/>
      <c r="L23" s="30">
        <f t="shared" si="13"/>
        <v>0.875</v>
      </c>
      <c r="M23" s="31">
        <v>0.91666666666666696</v>
      </c>
      <c r="N23" s="32">
        <f t="shared" si="10"/>
        <v>1.0000000000000071</v>
      </c>
      <c r="O23" s="262"/>
      <c r="P23" s="49" t="s">
        <v>55</v>
      </c>
      <c r="Q23" s="53" t="s">
        <v>55</v>
      </c>
      <c r="R23" s="44" t="s">
        <v>45</v>
      </c>
      <c r="S23" s="53" t="s">
        <v>60</v>
      </c>
      <c r="T23" s="62" t="s">
        <v>45</v>
      </c>
      <c r="V23" s="30">
        <f t="shared" si="8"/>
        <v>0.79166666666666596</v>
      </c>
      <c r="W23" s="31">
        <v>0.83333333333333337</v>
      </c>
      <c r="X23" s="32">
        <f t="shared" si="11"/>
        <v>1.0000000000000178</v>
      </c>
      <c r="Y23" s="262"/>
      <c r="Z23" s="42" t="s">
        <v>61</v>
      </c>
      <c r="AA23" s="38" t="s">
        <v>61</v>
      </c>
      <c r="AB23" s="38" t="s">
        <v>61</v>
      </c>
      <c r="AC23" s="38" t="s">
        <v>61</v>
      </c>
      <c r="AD23" s="38" t="s">
        <v>61</v>
      </c>
      <c r="AE23" s="32"/>
      <c r="AN23" s="10" t="s">
        <v>36</v>
      </c>
      <c r="AO23" s="8" t="s">
        <v>37</v>
      </c>
      <c r="AP23" s="8" t="s">
        <v>38</v>
      </c>
      <c r="AQ23" s="8" t="s">
        <v>39</v>
      </c>
      <c r="AR23" s="84" t="s">
        <v>40</v>
      </c>
    </row>
    <row r="24" spans="1:51" ht="15" customHeight="1" thickBot="1" x14ac:dyDescent="0.3">
      <c r="A24" s="29">
        <f t="shared" si="14"/>
        <v>0.875</v>
      </c>
      <c r="B24" s="22">
        <v>0.91666666666666696</v>
      </c>
      <c r="C24" s="25">
        <f t="shared" si="12"/>
        <v>1.0000000000000071</v>
      </c>
      <c r="D24" s="270"/>
      <c r="E24" s="41" t="s">
        <v>41</v>
      </c>
      <c r="F24" s="12" t="s">
        <v>41</v>
      </c>
      <c r="G24" s="12" t="s">
        <v>41</v>
      </c>
      <c r="H24" s="12" t="s">
        <v>41</v>
      </c>
      <c r="I24" s="12" t="s">
        <v>41</v>
      </c>
      <c r="J24" s="61" t="s">
        <v>45</v>
      </c>
      <c r="K24" s="6"/>
      <c r="L24" s="54"/>
      <c r="M24" s="54"/>
      <c r="N24" s="55"/>
      <c r="O24" s="56"/>
      <c r="P24" s="55"/>
      <c r="Q24" s="57"/>
      <c r="R24" s="55"/>
      <c r="S24" s="57"/>
      <c r="T24" s="55"/>
      <c r="AJ24" s="83" t="s">
        <v>71</v>
      </c>
      <c r="AM24" s="83"/>
      <c r="AN24" s="88" t="s">
        <v>74</v>
      </c>
      <c r="AO24" s="89" t="s">
        <v>74</v>
      </c>
      <c r="AP24" s="90" t="s">
        <v>75</v>
      </c>
      <c r="AQ24" s="89" t="s">
        <v>76</v>
      </c>
      <c r="AR24" s="66" t="s">
        <v>76</v>
      </c>
    </row>
    <row r="25" spans="1:51" ht="15" customHeight="1" thickBot="1" x14ac:dyDescent="0.3">
      <c r="A25" s="30">
        <f t="shared" si="14"/>
        <v>0.91666666666666696</v>
      </c>
      <c r="B25" s="31">
        <v>0.95833333333333404</v>
      </c>
      <c r="C25" s="32">
        <f t="shared" si="12"/>
        <v>1.0000000000000098</v>
      </c>
      <c r="D25" s="271"/>
      <c r="E25" s="42" t="s">
        <v>41</v>
      </c>
      <c r="F25" s="38" t="s">
        <v>41</v>
      </c>
      <c r="G25" s="38" t="s">
        <v>41</v>
      </c>
      <c r="H25" s="38" t="s">
        <v>41</v>
      </c>
      <c r="I25" s="38" t="s">
        <v>41</v>
      </c>
      <c r="J25" s="62" t="s">
        <v>45</v>
      </c>
      <c r="K25" s="6"/>
      <c r="AJ25" s="8" t="s">
        <v>42</v>
      </c>
      <c r="AK25" s="8" t="s">
        <v>69</v>
      </c>
    </row>
    <row r="26" spans="1:51" ht="15.75" thickBo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AJ26" s="8" t="s">
        <v>41</v>
      </c>
      <c r="AK26" s="64" t="s">
        <v>70</v>
      </c>
      <c r="AN26" s="287" t="s">
        <v>60</v>
      </c>
      <c r="AO26" s="288"/>
      <c r="AP26" s="288"/>
      <c r="AQ26" s="288"/>
      <c r="AR26" s="289"/>
    </row>
    <row r="27" spans="1:51" x14ac:dyDescent="0.25">
      <c r="A27" s="263" t="s">
        <v>51</v>
      </c>
      <c r="B27" s="264"/>
      <c r="C27" s="264"/>
      <c r="D27" s="264"/>
      <c r="E27" s="264"/>
      <c r="F27" s="264"/>
      <c r="G27" s="264"/>
      <c r="H27" s="264"/>
      <c r="I27" s="264"/>
      <c r="J27" s="265"/>
      <c r="K27" s="6"/>
      <c r="L27" s="263" t="s">
        <v>49</v>
      </c>
      <c r="M27" s="264"/>
      <c r="N27" s="264"/>
      <c r="O27" s="264"/>
      <c r="P27" s="264"/>
      <c r="Q27" s="264"/>
      <c r="R27" s="264"/>
      <c r="S27" s="264"/>
      <c r="T27" s="265"/>
      <c r="V27" s="277" t="s">
        <v>64</v>
      </c>
      <c r="W27" s="278"/>
      <c r="X27" s="278"/>
      <c r="Y27" s="278"/>
      <c r="Z27" s="278"/>
      <c r="AA27" s="278"/>
      <c r="AB27" s="278"/>
      <c r="AC27" s="278"/>
      <c r="AD27" s="278"/>
      <c r="AE27" s="284"/>
      <c r="AJ27" s="83" t="s">
        <v>44</v>
      </c>
      <c r="AM27" s="83"/>
      <c r="AN27" s="85" t="s">
        <v>36</v>
      </c>
      <c r="AO27" s="86" t="s">
        <v>37</v>
      </c>
      <c r="AP27" s="86" t="s">
        <v>38</v>
      </c>
      <c r="AQ27" s="86" t="s">
        <v>39</v>
      </c>
      <c r="AR27" s="87" t="s">
        <v>40</v>
      </c>
    </row>
    <row r="28" spans="1:51" ht="15.75" thickBot="1" x14ac:dyDescent="0.3">
      <c r="A28" s="266"/>
      <c r="B28" s="267"/>
      <c r="C28" s="267"/>
      <c r="D28" s="267"/>
      <c r="E28" s="267"/>
      <c r="F28" s="267"/>
      <c r="G28" s="267"/>
      <c r="H28" s="267"/>
      <c r="I28" s="267"/>
      <c r="J28" s="268"/>
      <c r="K28" s="6"/>
      <c r="L28" s="266"/>
      <c r="M28" s="267"/>
      <c r="N28" s="267"/>
      <c r="O28" s="267"/>
      <c r="P28" s="267"/>
      <c r="Q28" s="267"/>
      <c r="R28" s="267"/>
      <c r="S28" s="267"/>
      <c r="T28" s="268"/>
      <c r="V28" s="281"/>
      <c r="W28" s="282"/>
      <c r="X28" s="282"/>
      <c r="Y28" s="282"/>
      <c r="Z28" s="282"/>
      <c r="AA28" s="282"/>
      <c r="AB28" s="282"/>
      <c r="AC28" s="282"/>
      <c r="AD28" s="282"/>
      <c r="AE28" s="283"/>
      <c r="AJ28" s="8" t="s">
        <v>72</v>
      </c>
      <c r="AK28" s="8" t="s">
        <v>73</v>
      </c>
      <c r="AN28" s="88" t="s">
        <v>76</v>
      </c>
      <c r="AO28" s="89" t="s">
        <v>76</v>
      </c>
      <c r="AP28" s="89" t="s">
        <v>76</v>
      </c>
      <c r="AQ28" s="89" t="s">
        <v>74</v>
      </c>
      <c r="AR28" s="73" t="s">
        <v>75</v>
      </c>
    </row>
    <row r="29" spans="1:51" ht="15.75" thickBot="1" x14ac:dyDescent="0.3">
      <c r="A29" s="35" t="s">
        <v>46</v>
      </c>
      <c r="B29" s="36" t="s">
        <v>47</v>
      </c>
      <c r="C29" s="36" t="s">
        <v>48</v>
      </c>
      <c r="D29" s="36" t="s">
        <v>29</v>
      </c>
      <c r="E29" s="36" t="s">
        <v>36</v>
      </c>
      <c r="F29" s="36" t="s">
        <v>37</v>
      </c>
      <c r="G29" s="36" t="s">
        <v>38</v>
      </c>
      <c r="H29" s="36" t="s">
        <v>39</v>
      </c>
      <c r="I29" s="36" t="s">
        <v>40</v>
      </c>
      <c r="J29" s="37" t="s">
        <v>44</v>
      </c>
      <c r="K29" s="6"/>
      <c r="L29" s="35" t="s">
        <v>46</v>
      </c>
      <c r="M29" s="36" t="s">
        <v>47</v>
      </c>
      <c r="N29" s="36" t="s">
        <v>48</v>
      </c>
      <c r="O29" s="36" t="s">
        <v>29</v>
      </c>
      <c r="P29" s="36" t="s">
        <v>36</v>
      </c>
      <c r="Q29" s="36" t="s">
        <v>37</v>
      </c>
      <c r="R29" s="36" t="s">
        <v>38</v>
      </c>
      <c r="S29" s="36" t="s">
        <v>39</v>
      </c>
      <c r="T29" s="37" t="s">
        <v>40</v>
      </c>
      <c r="V29" s="35" t="s">
        <v>46</v>
      </c>
      <c r="W29" s="36" t="s">
        <v>47</v>
      </c>
      <c r="X29" s="36" t="s">
        <v>48</v>
      </c>
      <c r="Y29" s="36" t="s">
        <v>63</v>
      </c>
      <c r="Z29" s="36" t="s">
        <v>36</v>
      </c>
      <c r="AA29" s="36" t="s">
        <v>37</v>
      </c>
      <c r="AB29" s="36" t="s">
        <v>38</v>
      </c>
      <c r="AC29" s="36" t="s">
        <v>39</v>
      </c>
      <c r="AD29" s="36" t="s">
        <v>40</v>
      </c>
      <c r="AE29" s="37" t="s">
        <v>65</v>
      </c>
    </row>
    <row r="30" spans="1:51" x14ac:dyDescent="0.25">
      <c r="A30" s="33">
        <v>0.29166666666666669</v>
      </c>
      <c r="B30" s="17">
        <v>0.33333333333333331</v>
      </c>
      <c r="C30" s="39">
        <f t="shared" ref="C30:C32" si="15">(B30-A30)*24</f>
        <v>0.99999999999999911</v>
      </c>
      <c r="D30" s="260" t="s">
        <v>30</v>
      </c>
      <c r="E30" s="15">
        <v>1</v>
      </c>
      <c r="F30" s="16">
        <v>1</v>
      </c>
      <c r="G30" s="16">
        <v>1</v>
      </c>
      <c r="H30" s="16">
        <v>1</v>
      </c>
      <c r="I30" s="16">
        <v>1</v>
      </c>
      <c r="J30" s="34" t="s">
        <v>88</v>
      </c>
      <c r="K30" s="6"/>
      <c r="L30" s="29">
        <v>0.33333333333333331</v>
      </c>
      <c r="M30" s="22">
        <v>0.375</v>
      </c>
      <c r="N30" s="18">
        <f>(M30-L30)*24</f>
        <v>1.0000000000000004</v>
      </c>
      <c r="O30" s="260" t="s">
        <v>54</v>
      </c>
      <c r="P30" s="13" t="s">
        <v>56</v>
      </c>
      <c r="Q30" s="13" t="s">
        <v>56</v>
      </c>
      <c r="R30" s="12" t="s">
        <v>55</v>
      </c>
      <c r="S30" s="12" t="s">
        <v>55</v>
      </c>
      <c r="T30" s="25" t="s">
        <v>55</v>
      </c>
      <c r="V30" s="26">
        <v>0.29166666666666669</v>
      </c>
      <c r="W30" s="27">
        <v>0.33333333333333331</v>
      </c>
      <c r="X30" s="28">
        <f>(W30-V30)*24</f>
        <v>0.99999999999999911</v>
      </c>
      <c r="Y30" s="260" t="s">
        <v>62</v>
      </c>
      <c r="Z30" s="13"/>
      <c r="AA30" s="12"/>
      <c r="AB30" s="12"/>
      <c r="AC30" s="12"/>
      <c r="AD30" s="12"/>
      <c r="AE30" s="25"/>
    </row>
    <row r="31" spans="1:51" x14ac:dyDescent="0.25">
      <c r="A31" s="29">
        <v>0.33333333333333331</v>
      </c>
      <c r="B31" s="22">
        <v>0.375</v>
      </c>
      <c r="C31" s="18">
        <f t="shared" si="15"/>
        <v>1.0000000000000004</v>
      </c>
      <c r="D31" s="261"/>
      <c r="E31" s="13">
        <v>1</v>
      </c>
      <c r="F31" s="12">
        <v>1</v>
      </c>
      <c r="G31" s="12">
        <v>1</v>
      </c>
      <c r="H31" s="12">
        <v>1</v>
      </c>
      <c r="I31" s="12">
        <v>1</v>
      </c>
      <c r="J31" s="25">
        <v>1</v>
      </c>
      <c r="K31" s="6"/>
      <c r="L31" s="29">
        <f>M30</f>
        <v>0.375</v>
      </c>
      <c r="M31" s="22">
        <v>0.41666666666666669</v>
      </c>
      <c r="N31" s="18">
        <f>(M31-L31)*24</f>
        <v>1.0000000000000004</v>
      </c>
      <c r="O31" s="261"/>
      <c r="P31" s="13" t="s">
        <v>56</v>
      </c>
      <c r="Q31" s="13" t="s">
        <v>56</v>
      </c>
      <c r="R31" s="12" t="s">
        <v>55</v>
      </c>
      <c r="S31" s="12" t="s">
        <v>55</v>
      </c>
      <c r="T31" s="25" t="s">
        <v>55</v>
      </c>
      <c r="V31" s="29">
        <v>0.33333333333333331</v>
      </c>
      <c r="W31" s="22">
        <v>0.375</v>
      </c>
      <c r="X31" s="25">
        <f>(W31-V31)*24</f>
        <v>1.0000000000000004</v>
      </c>
      <c r="Y31" s="261"/>
      <c r="Z31" s="13">
        <v>1</v>
      </c>
      <c r="AA31" s="12">
        <v>1</v>
      </c>
      <c r="AB31" s="13">
        <v>1</v>
      </c>
      <c r="AC31" s="12">
        <v>1</v>
      </c>
      <c r="AD31" s="12">
        <v>1</v>
      </c>
      <c r="AE31" s="25">
        <v>1</v>
      </c>
    </row>
    <row r="32" spans="1:51" x14ac:dyDescent="0.25">
      <c r="A32" s="29">
        <f>B31</f>
        <v>0.375</v>
      </c>
      <c r="B32" s="22">
        <v>0.41666666666666669</v>
      </c>
      <c r="C32" s="18">
        <f t="shared" si="15"/>
        <v>1.0000000000000004</v>
      </c>
      <c r="D32" s="261"/>
      <c r="E32" s="13">
        <v>1</v>
      </c>
      <c r="F32" s="12">
        <v>1</v>
      </c>
      <c r="G32" s="12">
        <v>1</v>
      </c>
      <c r="H32" s="12">
        <v>1</v>
      </c>
      <c r="I32" s="12">
        <v>1</v>
      </c>
      <c r="J32" s="25">
        <v>1</v>
      </c>
      <c r="K32" s="6"/>
      <c r="L32" s="29">
        <f t="shared" ref="L32" si="16">M31</f>
        <v>0.41666666666666669</v>
      </c>
      <c r="M32" s="22">
        <v>0.45833333333333298</v>
      </c>
      <c r="N32" s="18">
        <f>(M32-L32)*24</f>
        <v>0.99999999999999112</v>
      </c>
      <c r="O32" s="261"/>
      <c r="P32" s="13" t="s">
        <v>56</v>
      </c>
      <c r="Q32" s="13" t="s">
        <v>56</v>
      </c>
      <c r="R32" s="12" t="s">
        <v>55</v>
      </c>
      <c r="S32" s="12" t="s">
        <v>55</v>
      </c>
      <c r="T32" s="25" t="s">
        <v>55</v>
      </c>
      <c r="V32" s="29">
        <f>W31</f>
        <v>0.375</v>
      </c>
      <c r="W32" s="22">
        <v>0.41666666666666669</v>
      </c>
      <c r="X32" s="25">
        <f>(W32-V32)*24</f>
        <v>1.0000000000000004</v>
      </c>
      <c r="Y32" s="261"/>
      <c r="Z32" s="13">
        <v>1</v>
      </c>
      <c r="AA32" s="12">
        <v>1</v>
      </c>
      <c r="AB32" s="12">
        <v>1</v>
      </c>
      <c r="AC32" s="12">
        <v>1</v>
      </c>
      <c r="AD32" s="12">
        <v>1</v>
      </c>
      <c r="AE32" s="25">
        <v>1</v>
      </c>
    </row>
    <row r="33" spans="1:41" ht="15.75" thickBot="1" x14ac:dyDescent="0.3">
      <c r="A33" s="29">
        <f t="shared" ref="A33:A39" si="17">B32</f>
        <v>0.41666666666666669</v>
      </c>
      <c r="B33" s="22">
        <v>0.45833333333333298</v>
      </c>
      <c r="C33" s="18">
        <f>(B33-A33)*24</f>
        <v>0.99999999999999112</v>
      </c>
      <c r="D33" s="261"/>
      <c r="E33" s="13">
        <v>1</v>
      </c>
      <c r="F33" s="12">
        <v>1</v>
      </c>
      <c r="G33" s="12">
        <v>1</v>
      </c>
      <c r="H33" s="12">
        <v>1</v>
      </c>
      <c r="I33" s="12">
        <v>1</v>
      </c>
      <c r="J33" s="25">
        <v>1</v>
      </c>
      <c r="K33" s="6"/>
      <c r="L33" s="29">
        <f>M32</f>
        <v>0.45833333333333298</v>
      </c>
      <c r="M33" s="22">
        <v>0.5</v>
      </c>
      <c r="N33" s="18">
        <f t="shared" ref="N33:N34" si="18">(M33-L33)*24</f>
        <v>1.0000000000000084</v>
      </c>
      <c r="O33" s="261"/>
      <c r="P33" s="13" t="s">
        <v>56</v>
      </c>
      <c r="Q33" s="13" t="s">
        <v>56</v>
      </c>
      <c r="R33" s="12" t="s">
        <v>55</v>
      </c>
      <c r="S33" s="12" t="s">
        <v>55</v>
      </c>
      <c r="T33" s="25" t="s">
        <v>55</v>
      </c>
      <c r="V33" s="29">
        <f t="shared" ref="V33:V43" si="19">W32</f>
        <v>0.41666666666666669</v>
      </c>
      <c r="W33" s="22">
        <v>0.45833333333333298</v>
      </c>
      <c r="X33" s="25">
        <f t="shared" ref="X33:X34" si="20">(W33-V33)*24</f>
        <v>0.99999999999999112</v>
      </c>
      <c r="Y33" s="261"/>
      <c r="Z33" s="14">
        <v>1</v>
      </c>
      <c r="AA33" s="21">
        <v>1</v>
      </c>
      <c r="AB33" s="21">
        <v>1</v>
      </c>
      <c r="AC33" s="21">
        <v>1</v>
      </c>
      <c r="AD33" s="21">
        <v>1</v>
      </c>
      <c r="AE33" s="25">
        <v>1</v>
      </c>
    </row>
    <row r="34" spans="1:41" x14ac:dyDescent="0.25">
      <c r="A34" s="29">
        <f t="shared" si="17"/>
        <v>0.45833333333333298</v>
      </c>
      <c r="B34" s="22">
        <v>0.5</v>
      </c>
      <c r="C34" s="18">
        <f t="shared" ref="C34:C35" si="21">(B34-A34)*24</f>
        <v>1.0000000000000084</v>
      </c>
      <c r="D34" s="261"/>
      <c r="E34" s="13">
        <v>1</v>
      </c>
      <c r="F34" s="12">
        <v>1</v>
      </c>
      <c r="G34" s="12">
        <v>1</v>
      </c>
      <c r="H34" s="12">
        <v>1</v>
      </c>
      <c r="I34" s="12">
        <v>1</v>
      </c>
      <c r="J34" s="25">
        <v>1</v>
      </c>
      <c r="K34" s="6"/>
      <c r="L34" s="29">
        <f t="shared" ref="L34:L38" si="22">M33</f>
        <v>0.5</v>
      </c>
      <c r="M34" s="22">
        <v>0.54166666666666696</v>
      </c>
      <c r="N34" s="18">
        <f t="shared" si="18"/>
        <v>1.0000000000000071</v>
      </c>
      <c r="O34" s="261"/>
      <c r="P34" s="45" t="s">
        <v>55</v>
      </c>
      <c r="Q34" s="45" t="s">
        <v>55</v>
      </c>
      <c r="R34" s="13" t="s">
        <v>55</v>
      </c>
      <c r="S34" s="45" t="s">
        <v>60</v>
      </c>
      <c r="T34" s="74" t="s">
        <v>55</v>
      </c>
      <c r="V34" s="29">
        <f t="shared" si="19"/>
        <v>0.45833333333333298</v>
      </c>
      <c r="W34" s="22">
        <v>0.5</v>
      </c>
      <c r="X34" s="25">
        <f t="shared" si="20"/>
        <v>1.0000000000000084</v>
      </c>
      <c r="Y34" s="261"/>
      <c r="Z34" s="23">
        <v>1</v>
      </c>
      <c r="AA34" s="24">
        <v>1</v>
      </c>
      <c r="AB34" s="24">
        <v>1</v>
      </c>
      <c r="AC34" s="24">
        <v>1</v>
      </c>
      <c r="AD34" s="24">
        <v>1</v>
      </c>
      <c r="AE34" s="74">
        <v>1</v>
      </c>
    </row>
    <row r="35" spans="1:41" x14ac:dyDescent="0.25">
      <c r="A35" s="29">
        <f t="shared" si="17"/>
        <v>0.5</v>
      </c>
      <c r="B35" s="22">
        <v>0.54166666666666696</v>
      </c>
      <c r="C35" s="18">
        <f t="shared" si="21"/>
        <v>1.0000000000000071</v>
      </c>
      <c r="D35" s="261"/>
      <c r="E35" s="13">
        <v>1</v>
      </c>
      <c r="F35" s="12">
        <v>1</v>
      </c>
      <c r="G35" s="12">
        <v>1</v>
      </c>
      <c r="H35" s="12">
        <v>1</v>
      </c>
      <c r="I35" s="12">
        <v>1</v>
      </c>
      <c r="J35" s="25" t="s">
        <v>88</v>
      </c>
      <c r="K35" s="6"/>
      <c r="L35" s="29">
        <f t="shared" si="22"/>
        <v>0.54166666666666696</v>
      </c>
      <c r="M35" s="22">
        <v>0.58333333333333304</v>
      </c>
      <c r="N35" s="18">
        <f>(M35-L35)*24</f>
        <v>0.99999999999998579</v>
      </c>
      <c r="O35" s="261"/>
      <c r="P35" s="45" t="s">
        <v>55</v>
      </c>
      <c r="Q35" s="50" t="s">
        <v>55</v>
      </c>
      <c r="R35" s="12" t="s">
        <v>55</v>
      </c>
      <c r="S35" s="50" t="s">
        <v>60</v>
      </c>
      <c r="T35" s="25" t="s">
        <v>55</v>
      </c>
      <c r="V35" s="29">
        <f t="shared" si="19"/>
        <v>0.5</v>
      </c>
      <c r="W35" s="22">
        <v>0.54166666666666663</v>
      </c>
      <c r="X35" s="25">
        <f t="shared" ref="X35:X43" si="23">(W35-V35)*24</f>
        <v>0.99999999999999911</v>
      </c>
      <c r="Y35" s="261"/>
      <c r="Z35" s="41">
        <v>1</v>
      </c>
      <c r="AA35" s="12">
        <v>1</v>
      </c>
      <c r="AB35" s="12">
        <v>1</v>
      </c>
      <c r="AC35" s="12">
        <v>1</v>
      </c>
      <c r="AD35" s="12">
        <v>1</v>
      </c>
      <c r="AE35" s="25">
        <v>1</v>
      </c>
      <c r="AJ35" s="108" t="s">
        <v>36</v>
      </c>
      <c r="AK35" s="109" t="s">
        <v>37</v>
      </c>
      <c r="AL35" s="109" t="s">
        <v>38</v>
      </c>
      <c r="AM35" s="109" t="s">
        <v>39</v>
      </c>
      <c r="AN35" s="109" t="s">
        <v>40</v>
      </c>
      <c r="AO35" s="110" t="s">
        <v>44</v>
      </c>
    </row>
    <row r="36" spans="1:41" ht="15.75" thickBot="1" x14ac:dyDescent="0.3">
      <c r="A36" s="29">
        <f t="shared" si="17"/>
        <v>0.54166666666666696</v>
      </c>
      <c r="B36" s="22">
        <v>0.58333333333333304</v>
      </c>
      <c r="C36" s="18">
        <f>(B36-A36)*24</f>
        <v>0.99999999999998579</v>
      </c>
      <c r="D36" s="261"/>
      <c r="E36" s="13">
        <v>1</v>
      </c>
      <c r="F36" s="12">
        <v>1</v>
      </c>
      <c r="G36" s="12">
        <v>1</v>
      </c>
      <c r="H36" s="12">
        <v>1</v>
      </c>
      <c r="I36" s="12">
        <v>1</v>
      </c>
      <c r="J36" s="25" t="s">
        <v>88</v>
      </c>
      <c r="K36" s="6"/>
      <c r="L36" s="30">
        <f t="shared" si="22"/>
        <v>0.58333333333333304</v>
      </c>
      <c r="M36" s="31">
        <v>0.625</v>
      </c>
      <c r="N36" s="40">
        <f>(M36-L36)*24</f>
        <v>1.0000000000000071</v>
      </c>
      <c r="O36" s="261"/>
      <c r="P36" s="46" t="s">
        <v>55</v>
      </c>
      <c r="Q36" s="51" t="s">
        <v>55</v>
      </c>
      <c r="R36" s="21" t="s">
        <v>55</v>
      </c>
      <c r="S36" s="51" t="s">
        <v>60</v>
      </c>
      <c r="T36" s="75" t="s">
        <v>55</v>
      </c>
      <c r="V36" s="29">
        <f t="shared" si="19"/>
        <v>0.54166666666666663</v>
      </c>
      <c r="W36" s="22">
        <v>0.58333333333333304</v>
      </c>
      <c r="X36" s="32">
        <f t="shared" si="23"/>
        <v>0.99999999999999378</v>
      </c>
      <c r="Y36" s="261"/>
      <c r="Z36" s="41">
        <v>1</v>
      </c>
      <c r="AA36" s="12">
        <v>1</v>
      </c>
      <c r="AB36" s="12">
        <v>1</v>
      </c>
      <c r="AC36" s="12">
        <v>1</v>
      </c>
      <c r="AD36" s="12">
        <v>1</v>
      </c>
      <c r="AE36" s="75"/>
      <c r="AJ36" s="103" t="s">
        <v>82</v>
      </c>
      <c r="AK36" s="104" t="s">
        <v>82</v>
      </c>
      <c r="AL36" s="104" t="s">
        <v>82</v>
      </c>
      <c r="AM36" s="104" t="s">
        <v>82</v>
      </c>
      <c r="AN36" s="104" t="s">
        <v>82</v>
      </c>
      <c r="AO36" s="111" t="s">
        <v>84</v>
      </c>
    </row>
    <row r="37" spans="1:41" ht="15.75" thickBot="1" x14ac:dyDescent="0.3">
      <c r="A37" s="30">
        <f t="shared" si="17"/>
        <v>0.58333333333333304</v>
      </c>
      <c r="B37" s="31">
        <v>0.625</v>
      </c>
      <c r="C37" s="40">
        <f>(B37-A37)*24</f>
        <v>1.0000000000000071</v>
      </c>
      <c r="D37" s="261"/>
      <c r="E37" s="14">
        <v>1</v>
      </c>
      <c r="F37" s="21">
        <v>1</v>
      </c>
      <c r="G37" s="21">
        <v>1</v>
      </c>
      <c r="H37" s="21">
        <v>1</v>
      </c>
      <c r="I37" s="21">
        <v>1</v>
      </c>
      <c r="J37" s="25" t="s">
        <v>88</v>
      </c>
      <c r="K37" s="6"/>
      <c r="L37" s="26">
        <f t="shared" si="22"/>
        <v>0.625</v>
      </c>
      <c r="M37" s="27">
        <v>0.66666666666666696</v>
      </c>
      <c r="N37" s="28">
        <f t="shared" ref="N37:N43" si="24">(M37-L37)*24</f>
        <v>1.0000000000000071</v>
      </c>
      <c r="O37" s="261"/>
      <c r="P37" s="47" t="s">
        <v>55</v>
      </c>
      <c r="Q37" s="52" t="s">
        <v>55</v>
      </c>
      <c r="R37" s="24" t="s">
        <v>55</v>
      </c>
      <c r="S37" s="52" t="s">
        <v>60</v>
      </c>
      <c r="T37" s="28" t="s">
        <v>55</v>
      </c>
      <c r="V37" s="29">
        <f t="shared" si="19"/>
        <v>0.58333333333333304</v>
      </c>
      <c r="W37" s="22">
        <v>0.625</v>
      </c>
      <c r="X37" s="28">
        <f t="shared" si="23"/>
        <v>1.0000000000000071</v>
      </c>
      <c r="Y37" s="261"/>
      <c r="Z37" s="41">
        <v>1</v>
      </c>
      <c r="AA37" s="12">
        <v>1</v>
      </c>
      <c r="AB37" s="12">
        <v>1</v>
      </c>
      <c r="AC37" s="12">
        <v>1</v>
      </c>
      <c r="AD37" s="12">
        <v>1</v>
      </c>
      <c r="AE37" s="28"/>
      <c r="AL37" s="106" t="s">
        <v>83</v>
      </c>
      <c r="AN37" s="105" t="s">
        <v>83</v>
      </c>
      <c r="AO37" s="107" t="s">
        <v>84</v>
      </c>
    </row>
    <row r="38" spans="1:41" x14ac:dyDescent="0.25">
      <c r="A38" s="26">
        <f t="shared" si="17"/>
        <v>0.625</v>
      </c>
      <c r="B38" s="27">
        <v>0.66666666666666696</v>
      </c>
      <c r="C38" s="28">
        <f t="shared" ref="C38:C45" si="25">(B38-A38)*24</f>
        <v>1.0000000000000071</v>
      </c>
      <c r="D38" s="261"/>
      <c r="E38" s="23">
        <v>1</v>
      </c>
      <c r="F38" s="24">
        <v>1</v>
      </c>
      <c r="G38" s="24">
        <v>1</v>
      </c>
      <c r="H38" s="24">
        <v>1</v>
      </c>
      <c r="I38" s="24">
        <v>1</v>
      </c>
      <c r="J38" s="28" t="s">
        <v>88</v>
      </c>
      <c r="K38" s="6"/>
      <c r="L38" s="29">
        <f t="shared" si="22"/>
        <v>0.66666666666666696</v>
      </c>
      <c r="M38" s="22">
        <v>0.70833333333333404</v>
      </c>
      <c r="N38" s="25">
        <f t="shared" si="24"/>
        <v>1.0000000000000098</v>
      </c>
      <c r="O38" s="261"/>
      <c r="P38" s="48" t="s">
        <v>55</v>
      </c>
      <c r="Q38" s="50" t="s">
        <v>55</v>
      </c>
      <c r="R38" s="12" t="s">
        <v>55</v>
      </c>
      <c r="S38" s="50" t="s">
        <v>60</v>
      </c>
      <c r="T38" s="25" t="s">
        <v>55</v>
      </c>
      <c r="V38" s="29">
        <f t="shared" si="19"/>
        <v>0.625</v>
      </c>
      <c r="W38" s="22">
        <v>0.66666666666666696</v>
      </c>
      <c r="X38" s="25">
        <f t="shared" si="23"/>
        <v>1.0000000000000071</v>
      </c>
      <c r="Y38" s="261"/>
      <c r="Z38" s="41">
        <v>1</v>
      </c>
      <c r="AA38" s="12">
        <v>1</v>
      </c>
      <c r="AB38" s="12">
        <v>1</v>
      </c>
      <c r="AC38" s="12">
        <v>1</v>
      </c>
      <c r="AD38" s="12">
        <v>1</v>
      </c>
      <c r="AE38" s="25"/>
      <c r="AO38" s="107" t="s">
        <v>85</v>
      </c>
    </row>
    <row r="39" spans="1:41" x14ac:dyDescent="0.25">
      <c r="A39" s="29">
        <f t="shared" si="17"/>
        <v>0.66666666666666696</v>
      </c>
      <c r="B39" s="22">
        <v>0.70833333333333404</v>
      </c>
      <c r="C39" s="25">
        <f t="shared" si="25"/>
        <v>1.0000000000000098</v>
      </c>
      <c r="D39" s="261"/>
      <c r="E39" s="41">
        <v>0.6</v>
      </c>
      <c r="F39" s="12">
        <v>0.6</v>
      </c>
      <c r="G39" s="12">
        <v>0.6</v>
      </c>
      <c r="H39" s="12">
        <v>0.6</v>
      </c>
      <c r="I39" s="12">
        <v>0.6</v>
      </c>
      <c r="J39" s="25" t="s">
        <v>88</v>
      </c>
      <c r="K39" s="6"/>
      <c r="L39" s="29">
        <f>M38</f>
        <v>0.70833333333333404</v>
      </c>
      <c r="M39" s="22">
        <v>0.75</v>
      </c>
      <c r="N39" s="25">
        <f t="shared" si="24"/>
        <v>0.99999999999998312</v>
      </c>
      <c r="O39" s="261"/>
      <c r="P39" s="48" t="s">
        <v>55</v>
      </c>
      <c r="Q39" s="50" t="s">
        <v>55</v>
      </c>
      <c r="R39" s="43" t="s">
        <v>45</v>
      </c>
      <c r="S39" s="50" t="s">
        <v>60</v>
      </c>
      <c r="T39" s="61" t="s">
        <v>45</v>
      </c>
      <c r="V39" s="29">
        <f t="shared" si="19"/>
        <v>0.66666666666666696</v>
      </c>
      <c r="W39" s="22">
        <v>0.70833333333333304</v>
      </c>
      <c r="X39" s="25">
        <f t="shared" si="23"/>
        <v>0.99999999999998579</v>
      </c>
      <c r="Y39" s="261"/>
      <c r="Z39" s="41">
        <v>0.6</v>
      </c>
      <c r="AA39" s="12">
        <v>0.6</v>
      </c>
      <c r="AB39" s="12">
        <v>0.6</v>
      </c>
      <c r="AC39" s="12">
        <v>0.6</v>
      </c>
      <c r="AD39" s="12">
        <v>0.6</v>
      </c>
      <c r="AE39" s="25"/>
    </row>
    <row r="40" spans="1:41" ht="15.75" thickBot="1" x14ac:dyDescent="0.3">
      <c r="A40" s="29">
        <f>B39</f>
        <v>0.70833333333333404</v>
      </c>
      <c r="B40" s="22">
        <v>0.75</v>
      </c>
      <c r="C40" s="25">
        <f t="shared" si="25"/>
        <v>0.99999999999998312</v>
      </c>
      <c r="D40" s="261"/>
      <c r="E40" s="41" t="s">
        <v>41</v>
      </c>
      <c r="F40" s="12" t="s">
        <v>41</v>
      </c>
      <c r="G40" s="12" t="s">
        <v>41</v>
      </c>
      <c r="H40" s="12" t="s">
        <v>41</v>
      </c>
      <c r="I40" s="12" t="s">
        <v>41</v>
      </c>
      <c r="J40" s="25" t="s">
        <v>88</v>
      </c>
      <c r="K40" s="6"/>
      <c r="L40" s="29">
        <f t="shared" ref="L40:L43" si="26">M39</f>
        <v>0.75</v>
      </c>
      <c r="M40" s="22">
        <v>0.79166666666666696</v>
      </c>
      <c r="N40" s="25">
        <f t="shared" si="24"/>
        <v>1.0000000000000071</v>
      </c>
      <c r="O40" s="261"/>
      <c r="P40" s="48" t="s">
        <v>55</v>
      </c>
      <c r="Q40" s="50" t="s">
        <v>55</v>
      </c>
      <c r="R40" s="43" t="s">
        <v>45</v>
      </c>
      <c r="S40" s="50" t="s">
        <v>60</v>
      </c>
      <c r="T40" s="61" t="s">
        <v>45</v>
      </c>
      <c r="V40" s="29">
        <f t="shared" si="19"/>
        <v>0.70833333333333304</v>
      </c>
      <c r="W40" s="22">
        <v>0.75</v>
      </c>
      <c r="X40" s="25">
        <f t="shared" si="23"/>
        <v>1.0000000000000071</v>
      </c>
      <c r="Y40" s="261"/>
      <c r="Z40" s="42"/>
      <c r="AA40" s="38"/>
      <c r="AB40" s="38"/>
      <c r="AC40" s="38"/>
      <c r="AD40" s="38"/>
      <c r="AE40" s="25"/>
    </row>
    <row r="41" spans="1:41" x14ac:dyDescent="0.25">
      <c r="A41" s="29">
        <f t="shared" ref="A41:A45" si="27">B40</f>
        <v>0.75</v>
      </c>
      <c r="B41" s="22">
        <v>0.79166666666666696</v>
      </c>
      <c r="C41" s="25">
        <f t="shared" si="25"/>
        <v>1.0000000000000071</v>
      </c>
      <c r="D41" s="261"/>
      <c r="E41" s="41" t="s">
        <v>41</v>
      </c>
      <c r="F41" s="12" t="s">
        <v>41</v>
      </c>
      <c r="G41" s="12" t="s">
        <v>41</v>
      </c>
      <c r="H41" s="12" t="s">
        <v>41</v>
      </c>
      <c r="I41" s="12" t="s">
        <v>41</v>
      </c>
      <c r="J41" s="25" t="s">
        <v>88</v>
      </c>
      <c r="K41" s="6"/>
      <c r="L41" s="29">
        <f t="shared" si="26"/>
        <v>0.79166666666666696</v>
      </c>
      <c r="M41" s="22">
        <v>0.83333333333333304</v>
      </c>
      <c r="N41" s="25">
        <f t="shared" si="24"/>
        <v>0.99999999999998579</v>
      </c>
      <c r="O41" s="261"/>
      <c r="P41" s="48" t="s">
        <v>55</v>
      </c>
      <c r="Q41" s="50" t="s">
        <v>55</v>
      </c>
      <c r="R41" s="43" t="s">
        <v>45</v>
      </c>
      <c r="S41" s="50" t="s">
        <v>60</v>
      </c>
      <c r="T41" s="61" t="s">
        <v>45</v>
      </c>
      <c r="V41" s="29">
        <f t="shared" si="19"/>
        <v>0.75</v>
      </c>
      <c r="W41" s="22">
        <v>0.79166666666666596</v>
      </c>
      <c r="X41" s="25">
        <f t="shared" si="23"/>
        <v>0.99999999999998312</v>
      </c>
      <c r="Y41" s="261"/>
      <c r="Z41" s="41"/>
      <c r="AA41" s="12"/>
      <c r="AB41" s="12"/>
      <c r="AC41" s="12"/>
      <c r="AD41" s="12"/>
      <c r="AE41" s="25"/>
    </row>
    <row r="42" spans="1:41" x14ac:dyDescent="0.25">
      <c r="A42" s="29">
        <f t="shared" si="27"/>
        <v>0.79166666666666696</v>
      </c>
      <c r="B42" s="22">
        <v>0.83333333333333304</v>
      </c>
      <c r="C42" s="25">
        <f t="shared" si="25"/>
        <v>0.99999999999998579</v>
      </c>
      <c r="D42" s="261"/>
      <c r="E42" s="41" t="s">
        <v>41</v>
      </c>
      <c r="F42" s="12" t="s">
        <v>41</v>
      </c>
      <c r="G42" s="12" t="s">
        <v>41</v>
      </c>
      <c r="H42" s="12" t="s">
        <v>41</v>
      </c>
      <c r="I42" s="12" t="s">
        <v>41</v>
      </c>
      <c r="J42" s="25" t="s">
        <v>88</v>
      </c>
      <c r="K42" s="6"/>
      <c r="L42" s="29">
        <f t="shared" si="26"/>
        <v>0.83333333333333304</v>
      </c>
      <c r="M42" s="22">
        <v>0.875</v>
      </c>
      <c r="N42" s="25">
        <f t="shared" si="24"/>
        <v>1.0000000000000071</v>
      </c>
      <c r="O42" s="261"/>
      <c r="P42" s="48" t="s">
        <v>55</v>
      </c>
      <c r="Q42" s="50" t="s">
        <v>55</v>
      </c>
      <c r="R42" s="43" t="s">
        <v>45</v>
      </c>
      <c r="S42" s="50" t="s">
        <v>60</v>
      </c>
      <c r="T42" s="61" t="s">
        <v>45</v>
      </c>
      <c r="V42" s="29">
        <f t="shared" si="19"/>
        <v>0.79166666666666596</v>
      </c>
      <c r="W42" s="22">
        <v>0.83333333333333304</v>
      </c>
      <c r="X42" s="25">
        <f t="shared" si="23"/>
        <v>1.0000000000000098</v>
      </c>
      <c r="Y42" s="261"/>
      <c r="Z42" s="41"/>
      <c r="AA42" s="12"/>
      <c r="AB42" s="12"/>
      <c r="AC42" s="12"/>
      <c r="AD42" s="12"/>
      <c r="AE42" s="25"/>
    </row>
    <row r="43" spans="1:41" ht="15.75" thickBot="1" x14ac:dyDescent="0.3">
      <c r="A43" s="29">
        <f t="shared" si="27"/>
        <v>0.83333333333333304</v>
      </c>
      <c r="B43" s="22">
        <v>0.875</v>
      </c>
      <c r="C43" s="25">
        <f t="shared" si="25"/>
        <v>1.0000000000000071</v>
      </c>
      <c r="D43" s="261"/>
      <c r="E43" s="41" t="s">
        <v>41</v>
      </c>
      <c r="F43" s="12" t="s">
        <v>41</v>
      </c>
      <c r="G43" s="12" t="s">
        <v>41</v>
      </c>
      <c r="H43" s="12" t="s">
        <v>41</v>
      </c>
      <c r="I43" s="12" t="s">
        <v>41</v>
      </c>
      <c r="J43" s="25" t="s">
        <v>88</v>
      </c>
      <c r="K43" s="6"/>
      <c r="L43" s="30">
        <f t="shared" si="26"/>
        <v>0.875</v>
      </c>
      <c r="M43" s="31">
        <v>0.91666666666666696</v>
      </c>
      <c r="N43" s="32">
        <f t="shared" si="24"/>
        <v>1.0000000000000071</v>
      </c>
      <c r="O43" s="262"/>
      <c r="P43" s="49" t="s">
        <v>55</v>
      </c>
      <c r="Q43" s="53" t="s">
        <v>55</v>
      </c>
      <c r="R43" s="44" t="s">
        <v>45</v>
      </c>
      <c r="S43" s="53" t="s">
        <v>60</v>
      </c>
      <c r="T43" s="62" t="s">
        <v>45</v>
      </c>
      <c r="V43" s="29">
        <f t="shared" si="19"/>
        <v>0.83333333333333304</v>
      </c>
      <c r="W43" s="22">
        <v>0.875</v>
      </c>
      <c r="X43" s="32">
        <f t="shared" si="23"/>
        <v>1.0000000000000071</v>
      </c>
      <c r="Y43" s="262"/>
      <c r="Z43" s="42"/>
      <c r="AA43" s="38"/>
      <c r="AB43" s="38"/>
      <c r="AC43" s="38"/>
      <c r="AD43" s="38"/>
      <c r="AE43" s="32"/>
    </row>
    <row r="44" spans="1:41" x14ac:dyDescent="0.25">
      <c r="A44" s="29">
        <f t="shared" si="27"/>
        <v>0.875</v>
      </c>
      <c r="B44" s="22">
        <v>0.91666666666666696</v>
      </c>
      <c r="C44" s="25">
        <f t="shared" si="25"/>
        <v>1.0000000000000071</v>
      </c>
      <c r="D44" s="261"/>
      <c r="E44" s="41" t="s">
        <v>41</v>
      </c>
      <c r="F44" s="12" t="s">
        <v>41</v>
      </c>
      <c r="G44" s="12" t="s">
        <v>41</v>
      </c>
      <c r="H44" s="12" t="s">
        <v>41</v>
      </c>
      <c r="I44" s="12" t="s">
        <v>41</v>
      </c>
      <c r="J44" s="25" t="s">
        <v>88</v>
      </c>
      <c r="K44" s="6"/>
    </row>
    <row r="45" spans="1:41" ht="15.75" thickBot="1" x14ac:dyDescent="0.3">
      <c r="A45" s="30">
        <f t="shared" si="27"/>
        <v>0.91666666666666696</v>
      </c>
      <c r="B45" s="31">
        <v>0.95833333333333404</v>
      </c>
      <c r="C45" s="32">
        <f t="shared" si="25"/>
        <v>1.0000000000000098</v>
      </c>
      <c r="D45" s="262"/>
      <c r="E45" s="42" t="s">
        <v>41</v>
      </c>
      <c r="F45" s="38" t="s">
        <v>41</v>
      </c>
      <c r="G45" s="38" t="s">
        <v>41</v>
      </c>
      <c r="H45" s="38" t="s">
        <v>41</v>
      </c>
      <c r="I45" s="38" t="s">
        <v>41</v>
      </c>
      <c r="J45" s="32" t="s">
        <v>88</v>
      </c>
      <c r="K45" s="6"/>
    </row>
    <row r="46" spans="1:41" ht="15.75" thickBot="1" x14ac:dyDescent="0.3">
      <c r="A46" s="55"/>
      <c r="B46" s="55"/>
      <c r="C46" s="55"/>
      <c r="D46" s="55"/>
      <c r="E46" s="55"/>
      <c r="F46" s="55"/>
      <c r="G46" s="55"/>
      <c r="H46" s="55"/>
      <c r="I46" s="55"/>
      <c r="J46" s="6"/>
      <c r="K46" s="6"/>
    </row>
    <row r="47" spans="1:41" x14ac:dyDescent="0.25">
      <c r="A47" s="263" t="s">
        <v>53</v>
      </c>
      <c r="B47" s="264"/>
      <c r="C47" s="264"/>
      <c r="D47" s="264"/>
      <c r="E47" s="264"/>
      <c r="F47" s="264"/>
      <c r="G47" s="264"/>
      <c r="H47" s="264"/>
      <c r="I47" s="264"/>
      <c r="J47" s="265"/>
      <c r="K47" s="6"/>
    </row>
    <row r="48" spans="1:41" ht="15.75" thickBot="1" x14ac:dyDescent="0.3">
      <c r="A48" s="266"/>
      <c r="B48" s="267"/>
      <c r="C48" s="267"/>
      <c r="D48" s="267"/>
      <c r="E48" s="267"/>
      <c r="F48" s="267"/>
      <c r="G48" s="267"/>
      <c r="H48" s="267"/>
      <c r="I48" s="267"/>
      <c r="J48" s="268"/>
      <c r="K48" s="6"/>
    </row>
    <row r="49" spans="1:19" ht="15.75" thickBot="1" x14ac:dyDescent="0.3">
      <c r="A49" s="35" t="s">
        <v>46</v>
      </c>
      <c r="B49" s="36" t="s">
        <v>47</v>
      </c>
      <c r="C49" s="36" t="s">
        <v>48</v>
      </c>
      <c r="D49" s="36" t="s">
        <v>29</v>
      </c>
      <c r="E49" s="36" t="s">
        <v>36</v>
      </c>
      <c r="F49" s="36" t="s">
        <v>37</v>
      </c>
      <c r="G49" s="36" t="s">
        <v>38</v>
      </c>
      <c r="H49" s="36" t="s">
        <v>39</v>
      </c>
      <c r="I49" s="36" t="s">
        <v>40</v>
      </c>
      <c r="J49" s="37" t="s">
        <v>44</v>
      </c>
      <c r="K49" s="6"/>
    </row>
    <row r="50" spans="1:19" x14ac:dyDescent="0.25">
      <c r="A50" s="33">
        <v>0.29166666666666669</v>
      </c>
      <c r="B50" s="17">
        <v>0.33333333333333331</v>
      </c>
      <c r="C50" s="39">
        <f t="shared" ref="C50:C52" si="28">(B50-A50)*24</f>
        <v>0.99999999999999911</v>
      </c>
      <c r="D50" s="260" t="s">
        <v>30</v>
      </c>
      <c r="E50" s="15"/>
      <c r="F50" s="16"/>
      <c r="G50" s="16"/>
      <c r="H50" s="16"/>
      <c r="I50" s="16"/>
      <c r="J50" s="34"/>
      <c r="K50" s="6"/>
    </row>
    <row r="51" spans="1:19" x14ac:dyDescent="0.25">
      <c r="A51" s="29">
        <v>0.33333333333333331</v>
      </c>
      <c r="B51" s="22">
        <v>0.375</v>
      </c>
      <c r="C51" s="18">
        <f t="shared" si="28"/>
        <v>1.0000000000000004</v>
      </c>
      <c r="D51" s="261"/>
      <c r="E51" s="13" t="s">
        <v>43</v>
      </c>
      <c r="F51" s="12" t="s">
        <v>43</v>
      </c>
      <c r="G51" s="12" t="s">
        <v>43</v>
      </c>
      <c r="H51" s="12" t="s">
        <v>43</v>
      </c>
      <c r="I51" s="12" t="s">
        <v>43</v>
      </c>
      <c r="J51" s="128" t="s">
        <v>45</v>
      </c>
      <c r="K51" s="133" t="s">
        <v>99</v>
      </c>
    </row>
    <row r="52" spans="1:19" x14ac:dyDescent="0.25">
      <c r="A52" s="29">
        <f>B51</f>
        <v>0.375</v>
      </c>
      <c r="B52" s="22">
        <v>0.41666666666666669</v>
      </c>
      <c r="C52" s="18">
        <f t="shared" si="28"/>
        <v>1.0000000000000004</v>
      </c>
      <c r="D52" s="261"/>
      <c r="E52" s="13" t="s">
        <v>43</v>
      </c>
      <c r="F52" s="12" t="s">
        <v>43</v>
      </c>
      <c r="G52" s="12" t="s">
        <v>43</v>
      </c>
      <c r="H52" s="12" t="s">
        <v>43</v>
      </c>
      <c r="I52" s="12" t="s">
        <v>43</v>
      </c>
      <c r="J52" s="128" t="s">
        <v>45</v>
      </c>
      <c r="K52" s="133" t="s">
        <v>99</v>
      </c>
    </row>
    <row r="53" spans="1:19" x14ac:dyDescent="0.25">
      <c r="A53" s="29">
        <f t="shared" ref="A53:A59" si="29">B52</f>
        <v>0.41666666666666669</v>
      </c>
      <c r="B53" s="22">
        <v>0.45833333333333298</v>
      </c>
      <c r="C53" s="18">
        <f>(B53-A53)*24</f>
        <v>0.99999999999999112</v>
      </c>
      <c r="D53" s="261"/>
      <c r="E53" s="13" t="s">
        <v>43</v>
      </c>
      <c r="F53" s="12" t="s">
        <v>43</v>
      </c>
      <c r="G53" s="12" t="s">
        <v>43</v>
      </c>
      <c r="H53" s="12" t="s">
        <v>43</v>
      </c>
      <c r="I53" s="12" t="s">
        <v>43</v>
      </c>
      <c r="J53" s="128" t="s">
        <v>45</v>
      </c>
      <c r="K53" s="133" t="s">
        <v>99</v>
      </c>
    </row>
    <row r="54" spans="1:19" x14ac:dyDescent="0.25">
      <c r="A54" s="29">
        <f t="shared" si="29"/>
        <v>0.45833333333333298</v>
      </c>
      <c r="B54" s="22">
        <v>0.5</v>
      </c>
      <c r="C54" s="18">
        <f t="shared" ref="C54:C55" si="30">(B54-A54)*24</f>
        <v>1.0000000000000084</v>
      </c>
      <c r="D54" s="261"/>
      <c r="E54" s="13" t="s">
        <v>43</v>
      </c>
      <c r="F54" s="12" t="s">
        <v>43</v>
      </c>
      <c r="G54" s="12" t="s">
        <v>43</v>
      </c>
      <c r="H54" s="12" t="s">
        <v>43</v>
      </c>
      <c r="I54" s="12" t="s">
        <v>43</v>
      </c>
      <c r="J54" s="128" t="s">
        <v>45</v>
      </c>
      <c r="K54" s="133" t="s">
        <v>99</v>
      </c>
      <c r="M54" s="64">
        <v>0.33333333333333331</v>
      </c>
      <c r="N54" s="64">
        <v>0.66666666666666663</v>
      </c>
      <c r="O54" s="8">
        <f>(N54-M54)*24</f>
        <v>8</v>
      </c>
      <c r="Q54" s="8">
        <f>O54/O55</f>
        <v>0.83333333333333326</v>
      </c>
      <c r="S54" s="8">
        <f>Q54*3</f>
        <v>2.5</v>
      </c>
    </row>
    <row r="55" spans="1:19" x14ac:dyDescent="0.25">
      <c r="A55" s="29">
        <f t="shared" si="29"/>
        <v>0.5</v>
      </c>
      <c r="B55" s="22">
        <v>0.54166666666666696</v>
      </c>
      <c r="C55" s="18">
        <f t="shared" si="30"/>
        <v>1.0000000000000071</v>
      </c>
      <c r="D55" s="261"/>
      <c r="E55" s="13" t="s">
        <v>43</v>
      </c>
      <c r="F55" s="12" t="s">
        <v>43</v>
      </c>
      <c r="G55" s="12" t="s">
        <v>43</v>
      </c>
      <c r="H55" s="12" t="s">
        <v>43</v>
      </c>
      <c r="I55" s="12" t="s">
        <v>43</v>
      </c>
      <c r="J55" s="128" t="s">
        <v>45</v>
      </c>
      <c r="K55" s="133" t="s">
        <v>99</v>
      </c>
      <c r="M55" s="64">
        <v>0.33333333333333331</v>
      </c>
      <c r="N55" s="64">
        <v>0.73333333333333339</v>
      </c>
      <c r="O55" s="8">
        <f>(N55-M55)*24</f>
        <v>9.6000000000000014</v>
      </c>
      <c r="Q55" s="8">
        <v>1</v>
      </c>
    </row>
    <row r="56" spans="1:19" x14ac:dyDescent="0.25">
      <c r="A56" s="29">
        <f t="shared" si="29"/>
        <v>0.54166666666666696</v>
      </c>
      <c r="B56" s="22">
        <v>0.58333333333333304</v>
      </c>
      <c r="C56" s="18">
        <f>(B56-A56)*24</f>
        <v>0.99999999999998579</v>
      </c>
      <c r="D56" s="261"/>
      <c r="E56" s="13" t="s">
        <v>43</v>
      </c>
      <c r="F56" s="12" t="s">
        <v>43</v>
      </c>
      <c r="G56" s="12" t="s">
        <v>43</v>
      </c>
      <c r="H56" s="12" t="s">
        <v>43</v>
      </c>
      <c r="I56" s="12" t="s">
        <v>43</v>
      </c>
      <c r="J56" s="25"/>
      <c r="K56" s="6"/>
    </row>
    <row r="57" spans="1:19" ht="15.75" thickBot="1" x14ac:dyDescent="0.3">
      <c r="A57" s="30">
        <f t="shared" si="29"/>
        <v>0.58333333333333304</v>
      </c>
      <c r="B57" s="31">
        <v>0.625</v>
      </c>
      <c r="C57" s="40">
        <f>(B57-A57)*24</f>
        <v>1.0000000000000071</v>
      </c>
      <c r="D57" s="261"/>
      <c r="E57" s="14" t="s">
        <v>43</v>
      </c>
      <c r="F57" s="21" t="s">
        <v>43</v>
      </c>
      <c r="G57" s="21" t="s">
        <v>43</v>
      </c>
      <c r="H57" s="21" t="s">
        <v>43</v>
      </c>
      <c r="I57" s="21" t="s">
        <v>43</v>
      </c>
      <c r="J57" s="25"/>
      <c r="K57" s="6"/>
    </row>
    <row r="58" spans="1:19" x14ac:dyDescent="0.25">
      <c r="A58" s="26">
        <f t="shared" si="29"/>
        <v>0.625</v>
      </c>
      <c r="B58" s="27">
        <v>0.66666666666666696</v>
      </c>
      <c r="C58" s="28">
        <f t="shared" ref="C58:C65" si="31">(B58-A58)*24</f>
        <v>1.0000000000000071</v>
      </c>
      <c r="D58" s="261"/>
      <c r="E58" s="23" t="s">
        <v>43</v>
      </c>
      <c r="F58" s="24" t="s">
        <v>43</v>
      </c>
      <c r="G58" s="24" t="s">
        <v>43</v>
      </c>
      <c r="H58" s="24" t="s">
        <v>43</v>
      </c>
      <c r="I58" s="24" t="s">
        <v>43</v>
      </c>
      <c r="J58" s="28"/>
      <c r="K58" s="6"/>
    </row>
    <row r="59" spans="1:19" x14ac:dyDescent="0.25">
      <c r="A59" s="29">
        <f t="shared" si="29"/>
        <v>0.66666666666666696</v>
      </c>
      <c r="B59" s="22">
        <v>0.70833333333333404</v>
      </c>
      <c r="C59" s="25">
        <f t="shared" si="31"/>
        <v>1.0000000000000098</v>
      </c>
      <c r="D59" s="261"/>
      <c r="E59" s="41" t="s">
        <v>52</v>
      </c>
      <c r="F59" s="12" t="s">
        <v>52</v>
      </c>
      <c r="G59" s="12" t="s">
        <v>52</v>
      </c>
      <c r="H59" s="12" t="s">
        <v>52</v>
      </c>
      <c r="I59" s="12" t="s">
        <v>43</v>
      </c>
      <c r="J59" s="25"/>
      <c r="K59" s="6"/>
    </row>
    <row r="60" spans="1:19" x14ac:dyDescent="0.25">
      <c r="A60" s="29">
        <f>B59</f>
        <v>0.70833333333333404</v>
      </c>
      <c r="B60" s="22">
        <v>0.75</v>
      </c>
      <c r="C60" s="25">
        <f t="shared" si="31"/>
        <v>0.99999999999998312</v>
      </c>
      <c r="D60" s="261"/>
      <c r="E60" s="41" t="s">
        <v>41</v>
      </c>
      <c r="F60" s="12" t="s">
        <v>41</v>
      </c>
      <c r="G60" s="12" t="s">
        <v>41</v>
      </c>
      <c r="H60" s="12" t="s">
        <v>41</v>
      </c>
      <c r="I60" s="12" t="s">
        <v>43</v>
      </c>
      <c r="J60" s="25"/>
      <c r="K60" s="6"/>
    </row>
    <row r="61" spans="1:19" x14ac:dyDescent="0.25">
      <c r="A61" s="29">
        <f t="shared" ref="A61:A65" si="32">B60</f>
        <v>0.75</v>
      </c>
      <c r="B61" s="22">
        <v>0.79166666666666696</v>
      </c>
      <c r="C61" s="25">
        <f t="shared" si="31"/>
        <v>1.0000000000000071</v>
      </c>
      <c r="D61" s="261"/>
      <c r="E61" s="41" t="s">
        <v>41</v>
      </c>
      <c r="F61" s="12" t="s">
        <v>41</v>
      </c>
      <c r="G61" s="12" t="s">
        <v>41</v>
      </c>
      <c r="H61" s="12" t="s">
        <v>41</v>
      </c>
      <c r="I61" s="12" t="s">
        <v>43</v>
      </c>
      <c r="J61" s="126"/>
      <c r="K61" s="6"/>
    </row>
    <row r="62" spans="1:19" x14ac:dyDescent="0.25">
      <c r="A62" s="29">
        <f t="shared" si="32"/>
        <v>0.79166666666666696</v>
      </c>
      <c r="B62" s="22">
        <v>0.83333333333333304</v>
      </c>
      <c r="C62" s="25">
        <f t="shared" si="31"/>
        <v>0.99999999999998579</v>
      </c>
      <c r="D62" s="261"/>
      <c r="E62" s="41" t="s">
        <v>41</v>
      </c>
      <c r="F62" s="12" t="s">
        <v>41</v>
      </c>
      <c r="G62" s="12" t="s">
        <v>41</v>
      </c>
      <c r="H62" s="12" t="s">
        <v>41</v>
      </c>
      <c r="I62" s="12" t="s">
        <v>43</v>
      </c>
      <c r="J62" s="126"/>
      <c r="K62" s="6"/>
    </row>
    <row r="63" spans="1:19" x14ac:dyDescent="0.25">
      <c r="A63" s="29">
        <f t="shared" si="32"/>
        <v>0.83333333333333304</v>
      </c>
      <c r="B63" s="22">
        <v>0.875</v>
      </c>
      <c r="C63" s="25">
        <f t="shared" si="31"/>
        <v>1.0000000000000071</v>
      </c>
      <c r="D63" s="261"/>
      <c r="E63" s="41" t="s">
        <v>41</v>
      </c>
      <c r="F63" s="12" t="s">
        <v>41</v>
      </c>
      <c r="G63" s="12" t="s">
        <v>41</v>
      </c>
      <c r="H63" s="12" t="s">
        <v>41</v>
      </c>
      <c r="I63" s="127" t="s">
        <v>45</v>
      </c>
      <c r="J63" s="126"/>
      <c r="K63" s="6"/>
    </row>
    <row r="64" spans="1:19" x14ac:dyDescent="0.25">
      <c r="A64" s="29">
        <f t="shared" si="32"/>
        <v>0.875</v>
      </c>
      <c r="B64" s="22">
        <v>0.91666666666666696</v>
      </c>
      <c r="C64" s="25">
        <f t="shared" si="31"/>
        <v>1.0000000000000071</v>
      </c>
      <c r="D64" s="261"/>
      <c r="E64" s="41" t="s">
        <v>41</v>
      </c>
      <c r="F64" s="12" t="s">
        <v>41</v>
      </c>
      <c r="G64" s="12" t="s">
        <v>41</v>
      </c>
      <c r="H64" s="12" t="s">
        <v>41</v>
      </c>
      <c r="I64" s="127" t="s">
        <v>45</v>
      </c>
      <c r="J64" s="126"/>
      <c r="K64" s="6"/>
    </row>
    <row r="65" spans="1:11" ht="15.75" thickBot="1" x14ac:dyDescent="0.3">
      <c r="A65" s="30">
        <f t="shared" si="32"/>
        <v>0.91666666666666696</v>
      </c>
      <c r="B65" s="31">
        <v>0.95833333333333404</v>
      </c>
      <c r="C65" s="32">
        <f t="shared" si="31"/>
        <v>1.0000000000000098</v>
      </c>
      <c r="D65" s="262"/>
      <c r="E65" s="42"/>
      <c r="F65" s="38"/>
      <c r="G65" s="38"/>
      <c r="H65" s="38"/>
      <c r="I65" s="38"/>
      <c r="J65" s="125"/>
      <c r="K65" s="6"/>
    </row>
    <row r="66" spans="1:1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ht="1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1:1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1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1:1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1:1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1:1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1:1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1:1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1:1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1:1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1:1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</sheetData>
  <mergeCells count="30">
    <mergeCell ref="AH1:AH2"/>
    <mergeCell ref="AH3:AH4"/>
    <mergeCell ref="AH5:AH6"/>
    <mergeCell ref="Y1:Y2"/>
    <mergeCell ref="Y3:Y4"/>
    <mergeCell ref="Y5:Y6"/>
    <mergeCell ref="AS16:AS17"/>
    <mergeCell ref="AU13:AX13"/>
    <mergeCell ref="AZ13:BC13"/>
    <mergeCell ref="V7:AE8"/>
    <mergeCell ref="V27:AE28"/>
    <mergeCell ref="AI13:AL13"/>
    <mergeCell ref="AO13:AR13"/>
    <mergeCell ref="AO16:AO17"/>
    <mergeCell ref="AN22:AR22"/>
    <mergeCell ref="AN26:AR26"/>
    <mergeCell ref="AI16:AI17"/>
    <mergeCell ref="AM16:AM17"/>
    <mergeCell ref="A47:J48"/>
    <mergeCell ref="D50:D65"/>
    <mergeCell ref="A7:J8"/>
    <mergeCell ref="D10:D25"/>
    <mergeCell ref="A27:J28"/>
    <mergeCell ref="D30:D45"/>
    <mergeCell ref="Y30:Y43"/>
    <mergeCell ref="O10:O23"/>
    <mergeCell ref="L27:T28"/>
    <mergeCell ref="O30:O43"/>
    <mergeCell ref="L7:T8"/>
    <mergeCell ref="Y10:Y23"/>
  </mergeCells>
  <phoneticPr fontId="2" type="noConversion"/>
  <pageMargins left="0.25" right="0.25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800A-8FDB-4B9F-809E-C8A19A128D39}">
  <dimension ref="A1:L21"/>
  <sheetViews>
    <sheetView topLeftCell="C7" zoomScale="175" zoomScaleNormal="175" workbookViewId="0">
      <selection activeCell="I12" sqref="I12"/>
    </sheetView>
  </sheetViews>
  <sheetFormatPr baseColWidth="10" defaultRowHeight="15" x14ac:dyDescent="0.25"/>
  <cols>
    <col min="1" max="1" width="13" bestFit="1" customWidth="1"/>
    <col min="4" max="4" width="19.7109375" bestFit="1" customWidth="1"/>
    <col min="7" max="7" width="13.28515625" bestFit="1" customWidth="1"/>
  </cols>
  <sheetData>
    <row r="1" spans="1:12" ht="16.5" thickBot="1" x14ac:dyDescent="0.3">
      <c r="A1" s="302" t="s">
        <v>5516</v>
      </c>
      <c r="B1" s="303"/>
      <c r="C1" s="303"/>
      <c r="D1" s="303"/>
      <c r="E1" s="304"/>
      <c r="H1" s="150"/>
    </row>
    <row r="2" spans="1:12" x14ac:dyDescent="0.25">
      <c r="A2" s="305" t="s">
        <v>5504</v>
      </c>
      <c r="B2" s="307" t="s">
        <v>5505</v>
      </c>
      <c r="C2" s="309" t="s">
        <v>5506</v>
      </c>
      <c r="D2" s="309" t="s">
        <v>5507</v>
      </c>
      <c r="E2" s="311" t="s">
        <v>5508</v>
      </c>
      <c r="F2" s="237"/>
    </row>
    <row r="3" spans="1:12" ht="15.75" thickBot="1" x14ac:dyDescent="0.3">
      <c r="A3" s="306"/>
      <c r="B3" s="308"/>
      <c r="C3" s="310"/>
      <c r="D3" s="310"/>
      <c r="E3" s="312"/>
      <c r="F3" s="237"/>
    </row>
    <row r="4" spans="1:12" x14ac:dyDescent="0.25">
      <c r="A4" s="238" t="s">
        <v>5509</v>
      </c>
      <c r="B4" s="239">
        <v>48</v>
      </c>
      <c r="C4" s="239">
        <v>24</v>
      </c>
      <c r="D4" s="240" t="s">
        <v>5510</v>
      </c>
      <c r="E4" s="241" t="s">
        <v>5511</v>
      </c>
      <c r="F4" s="237"/>
      <c r="H4" t="s">
        <v>5519</v>
      </c>
      <c r="I4" t="s">
        <v>5520</v>
      </c>
      <c r="K4" t="s">
        <v>5521</v>
      </c>
      <c r="L4" t="s">
        <v>5520</v>
      </c>
    </row>
    <row r="5" spans="1:12" x14ac:dyDescent="0.25">
      <c r="A5" s="238" t="s">
        <v>5344</v>
      </c>
      <c r="B5" s="239">
        <v>48</v>
      </c>
      <c r="C5" s="239">
        <v>24</v>
      </c>
      <c r="D5" s="240" t="s">
        <v>5512</v>
      </c>
      <c r="E5" s="241" t="s">
        <v>5511</v>
      </c>
      <c r="F5" s="237"/>
      <c r="H5" s="150">
        <v>0.33333333333333331</v>
      </c>
      <c r="I5" s="301">
        <f>(H6-H5)*24</f>
        <v>9.6000000000000014</v>
      </c>
      <c r="K5" s="150">
        <v>0.73333333333333339</v>
      </c>
      <c r="L5" s="301">
        <f>(K6-K5)*24</f>
        <v>4.3999999999999977</v>
      </c>
    </row>
    <row r="6" spans="1:12" x14ac:dyDescent="0.25">
      <c r="A6" s="238" t="s">
        <v>5347</v>
      </c>
      <c r="B6" s="239">
        <v>48</v>
      </c>
      <c r="C6" s="239">
        <v>9.6</v>
      </c>
      <c r="D6" s="240" t="s">
        <v>5513</v>
      </c>
      <c r="E6" s="241" t="s">
        <v>5511</v>
      </c>
      <c r="F6" s="237"/>
      <c r="H6" s="150">
        <v>0.73333333333333339</v>
      </c>
      <c r="I6" s="301"/>
      <c r="K6" s="150">
        <v>0.91666666666666663</v>
      </c>
      <c r="L6" s="301"/>
    </row>
    <row r="7" spans="1:12" ht="15.75" thickBot="1" x14ac:dyDescent="0.3">
      <c r="A7" s="242" t="s">
        <v>5348</v>
      </c>
      <c r="B7" s="243">
        <v>48</v>
      </c>
      <c r="C7" s="243">
        <v>9.6</v>
      </c>
      <c r="D7" s="244" t="s">
        <v>5514</v>
      </c>
      <c r="E7" s="245" t="s">
        <v>5511</v>
      </c>
      <c r="F7" s="237"/>
    </row>
    <row r="8" spans="1:12" ht="15.75" thickBot="1" x14ac:dyDescent="0.3">
      <c r="A8" s="236"/>
      <c r="B8" s="246"/>
      <c r="C8" s="247">
        <f>SUM(C4:C7)</f>
        <v>67.2</v>
      </c>
      <c r="D8" s="299" t="s">
        <v>5515</v>
      </c>
      <c r="E8" s="300"/>
      <c r="F8" s="237"/>
    </row>
    <row r="9" spans="1:12" ht="15.75" thickBot="1" x14ac:dyDescent="0.3"/>
    <row r="10" spans="1:12" ht="16.5" thickBot="1" x14ac:dyDescent="0.3">
      <c r="A10" s="302" t="s">
        <v>5517</v>
      </c>
      <c r="B10" s="303"/>
      <c r="C10" s="303"/>
      <c r="D10" s="303"/>
      <c r="E10" s="304"/>
    </row>
    <row r="11" spans="1:12" x14ac:dyDescent="0.25">
      <c r="A11" s="305" t="s">
        <v>5504</v>
      </c>
      <c r="B11" s="307" t="s">
        <v>5505</v>
      </c>
      <c r="C11" s="309" t="s">
        <v>5506</v>
      </c>
      <c r="D11" s="309" t="s">
        <v>5507</v>
      </c>
      <c r="E11" s="311" t="s">
        <v>5508</v>
      </c>
    </row>
    <row r="12" spans="1:12" ht="15.75" thickBot="1" x14ac:dyDescent="0.3">
      <c r="A12" s="306"/>
      <c r="B12" s="308"/>
      <c r="C12" s="310"/>
      <c r="D12" s="310"/>
      <c r="E12" s="312"/>
      <c r="G12" t="s">
        <v>5518</v>
      </c>
      <c r="H12" t="s">
        <v>36</v>
      </c>
      <c r="I12" t="s">
        <v>37</v>
      </c>
      <c r="J12" t="s">
        <v>38</v>
      </c>
      <c r="K12" t="s">
        <v>39</v>
      </c>
      <c r="L12" t="s">
        <v>40</v>
      </c>
    </row>
    <row r="13" spans="1:12" x14ac:dyDescent="0.25">
      <c r="A13" s="238" t="s">
        <v>5344</v>
      </c>
      <c r="B13" s="239">
        <v>48</v>
      </c>
      <c r="C13" s="239">
        <v>24</v>
      </c>
      <c r="D13" s="240" t="s">
        <v>5512</v>
      </c>
      <c r="E13" s="241" t="s">
        <v>5511</v>
      </c>
      <c r="G13" t="s">
        <v>5344</v>
      </c>
      <c r="H13">
        <v>4.4000000000000004</v>
      </c>
      <c r="I13">
        <v>4.4000000000000004</v>
      </c>
      <c r="J13">
        <v>4.4000000000000004</v>
      </c>
      <c r="K13">
        <v>4.4000000000000004</v>
      </c>
      <c r="L13">
        <v>4.4000000000000004</v>
      </c>
    </row>
    <row r="14" spans="1:12" x14ac:dyDescent="0.25">
      <c r="A14" s="238" t="s">
        <v>5347</v>
      </c>
      <c r="B14" s="239">
        <v>48</v>
      </c>
      <c r="C14" s="239">
        <v>21.6</v>
      </c>
      <c r="D14" s="240" t="s">
        <v>5513</v>
      </c>
      <c r="E14" s="241" t="s">
        <v>5511</v>
      </c>
      <c r="G14" t="s">
        <v>5347</v>
      </c>
      <c r="H14">
        <v>4.4000000000000004</v>
      </c>
      <c r="I14">
        <v>4.4000000000000004</v>
      </c>
      <c r="J14">
        <v>4.4000000000000004</v>
      </c>
      <c r="K14">
        <v>4.4000000000000004</v>
      </c>
      <c r="L14">
        <v>4.4000000000000004</v>
      </c>
    </row>
    <row r="15" spans="1:12" ht="15.75" thickBot="1" x14ac:dyDescent="0.3">
      <c r="A15" s="242" t="s">
        <v>5348</v>
      </c>
      <c r="B15" s="243">
        <v>48</v>
      </c>
      <c r="C15" s="239">
        <v>21.6</v>
      </c>
      <c r="D15" s="244" t="s">
        <v>5514</v>
      </c>
      <c r="E15" s="245" t="s">
        <v>5511</v>
      </c>
      <c r="G15" t="s">
        <v>5348</v>
      </c>
      <c r="H15">
        <v>4.4000000000000004</v>
      </c>
      <c r="I15">
        <v>4.4000000000000004</v>
      </c>
      <c r="J15">
        <v>4.4000000000000004</v>
      </c>
      <c r="K15">
        <v>4.4000000000000004</v>
      </c>
      <c r="L15">
        <v>4.4000000000000004</v>
      </c>
    </row>
    <row r="16" spans="1:12" ht="15.75" thickBot="1" x14ac:dyDescent="0.3">
      <c r="A16" s="236"/>
      <c r="B16" s="246"/>
      <c r="C16" s="248">
        <f>SUM(C13:C15)</f>
        <v>67.2</v>
      </c>
      <c r="D16" s="299" t="s">
        <v>5515</v>
      </c>
      <c r="E16" s="300"/>
    </row>
    <row r="17" spans="7:12" ht="15.75" thickBot="1" x14ac:dyDescent="0.3">
      <c r="G17" s="255" t="s">
        <v>5518</v>
      </c>
      <c r="H17" s="256" t="s">
        <v>36</v>
      </c>
      <c r="I17" s="256" t="s">
        <v>37</v>
      </c>
      <c r="J17" s="256" t="s">
        <v>38</v>
      </c>
      <c r="K17" s="256" t="s">
        <v>39</v>
      </c>
      <c r="L17" s="257" t="s">
        <v>40</v>
      </c>
    </row>
    <row r="18" spans="7:12" x14ac:dyDescent="0.25">
      <c r="G18" s="250" t="s">
        <v>5344</v>
      </c>
      <c r="H18" s="234" t="s">
        <v>5525</v>
      </c>
      <c r="I18" s="234" t="s">
        <v>5525</v>
      </c>
      <c r="J18" s="234" t="s">
        <v>5525</v>
      </c>
      <c r="K18" s="234" t="s">
        <v>5525</v>
      </c>
      <c r="L18" s="251" t="s">
        <v>5525</v>
      </c>
    </row>
    <row r="19" spans="7:12" x14ac:dyDescent="0.25">
      <c r="G19" s="250" t="s">
        <v>5347</v>
      </c>
      <c r="H19" s="234" t="s">
        <v>5526</v>
      </c>
      <c r="I19" s="234" t="s">
        <v>5527</v>
      </c>
      <c r="J19" s="234" t="s">
        <v>5526</v>
      </c>
      <c r="K19" s="234" t="s">
        <v>5527</v>
      </c>
      <c r="L19" s="251" t="s">
        <v>5526</v>
      </c>
    </row>
    <row r="20" spans="7:12" x14ac:dyDescent="0.25">
      <c r="G20" s="250" t="s">
        <v>5348</v>
      </c>
      <c r="H20" s="234" t="s">
        <v>5528</v>
      </c>
      <c r="I20" s="234" t="s">
        <v>88</v>
      </c>
      <c r="J20" s="234" t="s">
        <v>5528</v>
      </c>
      <c r="K20" s="234" t="s">
        <v>88</v>
      </c>
      <c r="L20" s="251" t="s">
        <v>5528</v>
      </c>
    </row>
    <row r="21" spans="7:12" ht="15.75" thickBot="1" x14ac:dyDescent="0.3">
      <c r="G21" s="252" t="s">
        <v>5470</v>
      </c>
      <c r="H21" s="253" t="s">
        <v>88</v>
      </c>
      <c r="I21" s="253" t="s">
        <v>5528</v>
      </c>
      <c r="J21" s="253" t="s">
        <v>88</v>
      </c>
      <c r="K21" s="253" t="s">
        <v>5528</v>
      </c>
      <c r="L21" s="254" t="s">
        <v>88</v>
      </c>
    </row>
  </sheetData>
  <mergeCells count="16">
    <mergeCell ref="D16:E16"/>
    <mergeCell ref="I5:I6"/>
    <mergeCell ref="L5:L6"/>
    <mergeCell ref="A1:E1"/>
    <mergeCell ref="A10:E10"/>
    <mergeCell ref="A11:A12"/>
    <mergeCell ref="B11:B12"/>
    <mergeCell ref="C11:C12"/>
    <mergeCell ref="D11:D12"/>
    <mergeCell ref="E11:E12"/>
    <mergeCell ref="A2:A3"/>
    <mergeCell ref="B2:B3"/>
    <mergeCell ref="C2:C3"/>
    <mergeCell ref="D2:D3"/>
    <mergeCell ref="E2:E3"/>
    <mergeCell ref="D8:E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8712AE-CC5A-4FB6-AE59-A6691EF516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Control - Imprenta</vt:lpstr>
      <vt:lpstr>Hoja3</vt:lpstr>
      <vt:lpstr>STOCK SAP</vt:lpstr>
      <vt:lpstr>cronog tarde</vt:lpstr>
      <vt:lpstr>RMA</vt:lpstr>
      <vt:lpstr>Tabla_Imprenta</vt:lpstr>
      <vt:lpstr>HORARIO</vt:lpstr>
      <vt:lpstr>Hoja1</vt:lpstr>
      <vt:lpstr>'Control - Imprenta'!Títulos_a_imprimir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Soria Aldrin Magin</dc:creator>
  <cp:lastModifiedBy>Aldrin Alba</cp:lastModifiedBy>
  <cp:lastPrinted>2026-04-27T14:04:16Z</cp:lastPrinted>
  <dcterms:created xsi:type="dcterms:W3CDTF">2025-07-15T18:00:57Z</dcterms:created>
  <dcterms:modified xsi:type="dcterms:W3CDTF">2026-05-07T00:29:45Z</dcterms:modified>
</cp:coreProperties>
</file>