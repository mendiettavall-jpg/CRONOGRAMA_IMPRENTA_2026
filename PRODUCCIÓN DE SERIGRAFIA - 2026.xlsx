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11.246\Planificacion\aalba\2026\02 SERIGRAFIA 2026\"/>
    </mc:Choice>
  </mc:AlternateContent>
  <xr:revisionPtr revIDLastSave="0" documentId="13_ncr:1_{94620EFF-C741-4C7A-A316-8B9D81C6C368}" xr6:coauthVersionLast="47" xr6:coauthVersionMax="47" xr10:uidLastSave="{00000000-0000-0000-0000-000000000000}"/>
  <bookViews>
    <workbookView xWindow="-120" yWindow="-120" windowWidth="20730" windowHeight="11160" activeTab="1" xr2:uid="{820C96CD-A1A8-42CA-A3E8-2E229D63ECF7}"/>
  </bookViews>
  <sheets>
    <sheet name="REGISTRO" sheetId="1" r:id="rId1"/>
    <sheet name="PRODUCCIÓN" sheetId="5" r:id="rId2"/>
    <sheet name="TABLAS" sheetId="3" r:id="rId3"/>
  </sheets>
  <definedNames>
    <definedName name="DatosExternos_1" localSheetId="0" hidden="1">REGISTRO!$A$1:$P$90</definedName>
  </definedNames>
  <calcPr calcId="191029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6" i="5" l="1"/>
  <c r="F197" i="5"/>
  <c r="F198" i="5"/>
  <c r="F199" i="5"/>
  <c r="I196" i="5"/>
  <c r="I197" i="5"/>
  <c r="I198" i="5"/>
  <c r="I199" i="5"/>
  <c r="J196" i="5"/>
  <c r="J197" i="5"/>
  <c r="J198" i="5"/>
  <c r="J199" i="5"/>
  <c r="K196" i="5"/>
  <c r="K197" i="5"/>
  <c r="K198" i="5"/>
  <c r="K199" i="5"/>
  <c r="L196" i="5"/>
  <c r="L197" i="5"/>
  <c r="L198" i="5"/>
  <c r="L199" i="5"/>
  <c r="M196" i="5"/>
  <c r="M197" i="5"/>
  <c r="M198" i="5"/>
  <c r="M199" i="5"/>
  <c r="Q196" i="5"/>
  <c r="Q197" i="5"/>
  <c r="Q198" i="5"/>
  <c r="Q199" i="5"/>
  <c r="R196" i="5"/>
  <c r="R197" i="5"/>
  <c r="R198" i="5"/>
  <c r="R199" i="5"/>
  <c r="T196" i="5"/>
  <c r="T197" i="5"/>
  <c r="T198" i="5"/>
  <c r="T199" i="5"/>
  <c r="U196" i="5"/>
  <c r="U197" i="5"/>
  <c r="U198" i="5"/>
  <c r="U199" i="5"/>
  <c r="F190" i="5"/>
  <c r="F191" i="5"/>
  <c r="F192" i="5"/>
  <c r="F193" i="5"/>
  <c r="F194" i="5"/>
  <c r="F195" i="5"/>
  <c r="I190" i="5"/>
  <c r="I191" i="5"/>
  <c r="I192" i="5"/>
  <c r="I193" i="5"/>
  <c r="I194" i="5"/>
  <c r="I195" i="5"/>
  <c r="J190" i="5"/>
  <c r="J191" i="5"/>
  <c r="J192" i="5"/>
  <c r="J193" i="5"/>
  <c r="J194" i="5"/>
  <c r="J195" i="5"/>
  <c r="K190" i="5"/>
  <c r="K191" i="5"/>
  <c r="K192" i="5"/>
  <c r="K193" i="5"/>
  <c r="K194" i="5"/>
  <c r="K195" i="5"/>
  <c r="L190" i="5"/>
  <c r="L191" i="5"/>
  <c r="L192" i="5"/>
  <c r="L193" i="5"/>
  <c r="L194" i="5"/>
  <c r="L195" i="5"/>
  <c r="M190" i="5"/>
  <c r="M191" i="5"/>
  <c r="M192" i="5"/>
  <c r="M193" i="5"/>
  <c r="M194" i="5"/>
  <c r="M195" i="5"/>
  <c r="Q190" i="5"/>
  <c r="Q191" i="5"/>
  <c r="Q192" i="5"/>
  <c r="Q193" i="5"/>
  <c r="Q194" i="5"/>
  <c r="Q195" i="5"/>
  <c r="R190" i="5"/>
  <c r="R191" i="5"/>
  <c r="R192" i="5"/>
  <c r="R193" i="5"/>
  <c r="R194" i="5"/>
  <c r="R195" i="5"/>
  <c r="T190" i="5"/>
  <c r="T191" i="5"/>
  <c r="T192" i="5"/>
  <c r="T193" i="5"/>
  <c r="T194" i="5"/>
  <c r="T195" i="5"/>
  <c r="U190" i="5"/>
  <c r="U191" i="5"/>
  <c r="U192" i="5"/>
  <c r="U193" i="5"/>
  <c r="U194" i="5"/>
  <c r="U195" i="5"/>
  <c r="F183" i="5"/>
  <c r="F184" i="5"/>
  <c r="F185" i="5"/>
  <c r="F186" i="5"/>
  <c r="F187" i="5"/>
  <c r="F188" i="5"/>
  <c r="F189" i="5"/>
  <c r="I183" i="5"/>
  <c r="I184" i="5"/>
  <c r="I185" i="5"/>
  <c r="I186" i="5"/>
  <c r="I187" i="5"/>
  <c r="I188" i="5"/>
  <c r="I189" i="5"/>
  <c r="J183" i="5"/>
  <c r="J184" i="5"/>
  <c r="J185" i="5"/>
  <c r="J186" i="5"/>
  <c r="J187" i="5"/>
  <c r="J188" i="5"/>
  <c r="J189" i="5"/>
  <c r="K183" i="5"/>
  <c r="K184" i="5"/>
  <c r="K185" i="5"/>
  <c r="K186" i="5"/>
  <c r="L186" i="5" s="1"/>
  <c r="K187" i="5"/>
  <c r="K188" i="5"/>
  <c r="K189" i="5"/>
  <c r="L183" i="5"/>
  <c r="L184" i="5"/>
  <c r="L185" i="5"/>
  <c r="L187" i="5"/>
  <c r="L188" i="5"/>
  <c r="L189" i="5"/>
  <c r="M183" i="5"/>
  <c r="M184" i="5"/>
  <c r="M185" i="5"/>
  <c r="M186" i="5"/>
  <c r="M187" i="5"/>
  <c r="M188" i="5"/>
  <c r="M189" i="5"/>
  <c r="Q183" i="5"/>
  <c r="Q184" i="5"/>
  <c r="Q185" i="5"/>
  <c r="Q186" i="5"/>
  <c r="Q187" i="5"/>
  <c r="Q188" i="5"/>
  <c r="Q189" i="5"/>
  <c r="R183" i="5"/>
  <c r="R184" i="5"/>
  <c r="R185" i="5"/>
  <c r="R186" i="5"/>
  <c r="R187" i="5"/>
  <c r="R188" i="5"/>
  <c r="R189" i="5"/>
  <c r="T183" i="5"/>
  <c r="T184" i="5"/>
  <c r="T185" i="5"/>
  <c r="T186" i="5"/>
  <c r="T187" i="5"/>
  <c r="T188" i="5"/>
  <c r="T189" i="5"/>
  <c r="U183" i="5"/>
  <c r="U184" i="5"/>
  <c r="U185" i="5"/>
  <c r="U186" i="5"/>
  <c r="U187" i="5"/>
  <c r="U188" i="5"/>
  <c r="U189" i="5"/>
  <c r="U173" i="5"/>
  <c r="F181" i="5"/>
  <c r="F182" i="5"/>
  <c r="I181" i="5"/>
  <c r="I182" i="5"/>
  <c r="J181" i="5"/>
  <c r="J182" i="5"/>
  <c r="K181" i="5"/>
  <c r="K182" i="5"/>
  <c r="L181" i="5"/>
  <c r="L182" i="5"/>
  <c r="M181" i="5"/>
  <c r="M182" i="5"/>
  <c r="Q181" i="5"/>
  <c r="Q182" i="5"/>
  <c r="R181" i="5"/>
  <c r="R182" i="5"/>
  <c r="T181" i="5"/>
  <c r="T182" i="5"/>
  <c r="U181" i="5"/>
  <c r="U182" i="5"/>
  <c r="F177" i="5"/>
  <c r="F178" i="5"/>
  <c r="F179" i="5"/>
  <c r="F180" i="5"/>
  <c r="I177" i="5"/>
  <c r="I178" i="5"/>
  <c r="I179" i="5"/>
  <c r="I180" i="5"/>
  <c r="J177" i="5"/>
  <c r="J178" i="5"/>
  <c r="J179" i="5"/>
  <c r="J180" i="5"/>
  <c r="K177" i="5"/>
  <c r="K178" i="5"/>
  <c r="K179" i="5"/>
  <c r="K180" i="5"/>
  <c r="L177" i="5"/>
  <c r="L178" i="5"/>
  <c r="L179" i="5"/>
  <c r="L180" i="5"/>
  <c r="M177" i="5"/>
  <c r="M178" i="5"/>
  <c r="M179" i="5"/>
  <c r="M180" i="5"/>
  <c r="Q177" i="5"/>
  <c r="Q178" i="5"/>
  <c r="Q179" i="5"/>
  <c r="Q180" i="5"/>
  <c r="R177" i="5"/>
  <c r="R178" i="5"/>
  <c r="R179" i="5"/>
  <c r="R180" i="5"/>
  <c r="T177" i="5"/>
  <c r="T178" i="5"/>
  <c r="T179" i="5"/>
  <c r="T180" i="5"/>
  <c r="U177" i="5"/>
  <c r="U178" i="5"/>
  <c r="U179" i="5"/>
  <c r="U180" i="5"/>
  <c r="F171" i="5"/>
  <c r="F172" i="5"/>
  <c r="F173" i="5"/>
  <c r="F174" i="5"/>
  <c r="F175" i="5"/>
  <c r="F176" i="5"/>
  <c r="I171" i="5"/>
  <c r="I172" i="5"/>
  <c r="I173" i="5"/>
  <c r="I174" i="5"/>
  <c r="I175" i="5"/>
  <c r="I176" i="5"/>
  <c r="J171" i="5"/>
  <c r="J172" i="5"/>
  <c r="J173" i="5"/>
  <c r="J174" i="5"/>
  <c r="J175" i="5"/>
  <c r="J176" i="5"/>
  <c r="K171" i="5"/>
  <c r="K172" i="5"/>
  <c r="K173" i="5"/>
  <c r="K174" i="5"/>
  <c r="K175" i="5"/>
  <c r="K176" i="5"/>
  <c r="L171" i="5"/>
  <c r="L172" i="5"/>
  <c r="L173" i="5"/>
  <c r="L174" i="5"/>
  <c r="L175" i="5"/>
  <c r="L176" i="5"/>
  <c r="M171" i="5"/>
  <c r="M172" i="5"/>
  <c r="M173" i="5"/>
  <c r="M174" i="5"/>
  <c r="M175" i="5"/>
  <c r="M176" i="5"/>
  <c r="Q171" i="5"/>
  <c r="Q172" i="5"/>
  <c r="Q173" i="5"/>
  <c r="Q174" i="5"/>
  <c r="Q175" i="5"/>
  <c r="Q176" i="5"/>
  <c r="R171" i="5"/>
  <c r="R172" i="5"/>
  <c r="R173" i="5"/>
  <c r="R174" i="5"/>
  <c r="R175" i="5"/>
  <c r="R176" i="5"/>
  <c r="T171" i="5"/>
  <c r="T172" i="5"/>
  <c r="T173" i="5"/>
  <c r="T174" i="5"/>
  <c r="T175" i="5"/>
  <c r="T176" i="5"/>
  <c r="U171" i="5"/>
  <c r="U172" i="5"/>
  <c r="U174" i="5"/>
  <c r="U175" i="5"/>
  <c r="U176" i="5"/>
  <c r="F165" i="5"/>
  <c r="F166" i="5"/>
  <c r="F167" i="5"/>
  <c r="F168" i="5"/>
  <c r="F169" i="5"/>
  <c r="F170" i="5"/>
  <c r="I165" i="5"/>
  <c r="I166" i="5"/>
  <c r="I167" i="5"/>
  <c r="I168" i="5"/>
  <c r="I169" i="5"/>
  <c r="I170" i="5"/>
  <c r="J165" i="5"/>
  <c r="J166" i="5"/>
  <c r="J167" i="5"/>
  <c r="J168" i="5"/>
  <c r="J169" i="5"/>
  <c r="J170" i="5"/>
  <c r="K165" i="5"/>
  <c r="K166" i="5"/>
  <c r="K167" i="5"/>
  <c r="K168" i="5"/>
  <c r="K169" i="5"/>
  <c r="K170" i="5"/>
  <c r="L165" i="5"/>
  <c r="L166" i="5"/>
  <c r="L167" i="5"/>
  <c r="L168" i="5"/>
  <c r="L169" i="5"/>
  <c r="L170" i="5"/>
  <c r="M165" i="5"/>
  <c r="M166" i="5"/>
  <c r="M167" i="5"/>
  <c r="M168" i="5"/>
  <c r="M169" i="5"/>
  <c r="M170" i="5"/>
  <c r="Q165" i="5"/>
  <c r="Q166" i="5"/>
  <c r="Q167" i="5"/>
  <c r="Q168" i="5"/>
  <c r="Q169" i="5"/>
  <c r="Q170" i="5"/>
  <c r="R165" i="5"/>
  <c r="R166" i="5"/>
  <c r="R167" i="5"/>
  <c r="R168" i="5"/>
  <c r="R169" i="5"/>
  <c r="R170" i="5"/>
  <c r="T165" i="5"/>
  <c r="T166" i="5"/>
  <c r="T167" i="5"/>
  <c r="T168" i="5"/>
  <c r="T169" i="5"/>
  <c r="T170" i="5"/>
  <c r="U165" i="5"/>
  <c r="U166" i="5"/>
  <c r="U167" i="5"/>
  <c r="U168" i="5"/>
  <c r="U169" i="5"/>
  <c r="U170" i="5"/>
  <c r="F159" i="5"/>
  <c r="F160" i="5"/>
  <c r="F161" i="5"/>
  <c r="F162" i="5"/>
  <c r="F163" i="5"/>
  <c r="F164" i="5"/>
  <c r="I159" i="5"/>
  <c r="I160" i="5"/>
  <c r="I161" i="5"/>
  <c r="I162" i="5"/>
  <c r="I163" i="5"/>
  <c r="I164" i="5"/>
  <c r="J159" i="5"/>
  <c r="J160" i="5"/>
  <c r="J161" i="5"/>
  <c r="J162" i="5"/>
  <c r="J163" i="5"/>
  <c r="J164" i="5"/>
  <c r="K159" i="5"/>
  <c r="K160" i="5"/>
  <c r="K161" i="5"/>
  <c r="K162" i="5"/>
  <c r="K163" i="5"/>
  <c r="K164" i="5"/>
  <c r="L159" i="5"/>
  <c r="L160" i="5"/>
  <c r="L161" i="5"/>
  <c r="L162" i="5"/>
  <c r="L163" i="5"/>
  <c r="L164" i="5"/>
  <c r="M159" i="5"/>
  <c r="M160" i="5"/>
  <c r="M161" i="5"/>
  <c r="M162" i="5"/>
  <c r="M163" i="5"/>
  <c r="M164" i="5"/>
  <c r="Q159" i="5"/>
  <c r="Q160" i="5"/>
  <c r="Q161" i="5"/>
  <c r="Q162" i="5"/>
  <c r="Q163" i="5"/>
  <c r="Q164" i="5"/>
  <c r="R159" i="5"/>
  <c r="R160" i="5"/>
  <c r="R161" i="5"/>
  <c r="R162" i="5"/>
  <c r="R163" i="5"/>
  <c r="R164" i="5"/>
  <c r="T159" i="5"/>
  <c r="T160" i="5"/>
  <c r="T161" i="5"/>
  <c r="T162" i="5"/>
  <c r="T163" i="5"/>
  <c r="T164" i="5"/>
  <c r="U159" i="5"/>
  <c r="U160" i="5"/>
  <c r="U161" i="5"/>
  <c r="U162" i="5"/>
  <c r="U163" i="5"/>
  <c r="U164" i="5"/>
  <c r="F154" i="5"/>
  <c r="F155" i="5"/>
  <c r="F156" i="5"/>
  <c r="F157" i="5"/>
  <c r="F158" i="5"/>
  <c r="I154" i="5"/>
  <c r="I155" i="5"/>
  <c r="I156" i="5"/>
  <c r="I157" i="5"/>
  <c r="I158" i="5"/>
  <c r="J154" i="5"/>
  <c r="J155" i="5"/>
  <c r="J156" i="5"/>
  <c r="J157" i="5"/>
  <c r="J158" i="5"/>
  <c r="K154" i="5"/>
  <c r="K155" i="5"/>
  <c r="K156" i="5"/>
  <c r="L156" i="5" s="1"/>
  <c r="K157" i="5"/>
  <c r="K158" i="5"/>
  <c r="L158" i="5" s="1"/>
  <c r="L154" i="5"/>
  <c r="L155" i="5"/>
  <c r="L157" i="5"/>
  <c r="M154" i="5"/>
  <c r="M155" i="5"/>
  <c r="M156" i="5"/>
  <c r="M157" i="5"/>
  <c r="M158" i="5"/>
  <c r="Q154" i="5"/>
  <c r="Q155" i="5"/>
  <c r="Q156" i="5"/>
  <c r="Q157" i="5"/>
  <c r="Q158" i="5"/>
  <c r="R154" i="5"/>
  <c r="R155" i="5"/>
  <c r="R156" i="5"/>
  <c r="R157" i="5"/>
  <c r="R158" i="5"/>
  <c r="T154" i="5"/>
  <c r="T155" i="5"/>
  <c r="T156" i="5"/>
  <c r="T157" i="5"/>
  <c r="T158" i="5"/>
  <c r="U154" i="5"/>
  <c r="U155" i="5"/>
  <c r="U156" i="5"/>
  <c r="U157" i="5"/>
  <c r="U158" i="5"/>
  <c r="F152" i="5"/>
  <c r="F153" i="5"/>
  <c r="I152" i="5"/>
  <c r="I153" i="5"/>
  <c r="J152" i="5"/>
  <c r="J153" i="5"/>
  <c r="K152" i="5"/>
  <c r="K153" i="5"/>
  <c r="L152" i="5"/>
  <c r="L153" i="5"/>
  <c r="M152" i="5"/>
  <c r="M153" i="5"/>
  <c r="Q152" i="5"/>
  <c r="Q153" i="5"/>
  <c r="R152" i="5"/>
  <c r="R153" i="5"/>
  <c r="T152" i="5"/>
  <c r="T153" i="5"/>
  <c r="U152" i="5"/>
  <c r="U153" i="5"/>
  <c r="F148" i="5"/>
  <c r="F149" i="5"/>
  <c r="F150" i="5"/>
  <c r="F151" i="5"/>
  <c r="I148" i="5"/>
  <c r="I149" i="5"/>
  <c r="I150" i="5"/>
  <c r="I151" i="5"/>
  <c r="J148" i="5"/>
  <c r="J149" i="5"/>
  <c r="J150" i="5"/>
  <c r="J151" i="5"/>
  <c r="K148" i="5"/>
  <c r="K149" i="5"/>
  <c r="K150" i="5"/>
  <c r="K151" i="5"/>
  <c r="L148" i="5"/>
  <c r="L149" i="5"/>
  <c r="L150" i="5"/>
  <c r="L151" i="5"/>
  <c r="M148" i="5"/>
  <c r="M149" i="5"/>
  <c r="M150" i="5"/>
  <c r="M151" i="5"/>
  <c r="Q148" i="5"/>
  <c r="Q149" i="5"/>
  <c r="Q150" i="5"/>
  <c r="Q151" i="5"/>
  <c r="R148" i="5"/>
  <c r="R149" i="5"/>
  <c r="R150" i="5"/>
  <c r="R151" i="5"/>
  <c r="T148" i="5"/>
  <c r="T149" i="5"/>
  <c r="T150" i="5"/>
  <c r="T151" i="5"/>
  <c r="U148" i="5"/>
  <c r="U149" i="5"/>
  <c r="U150" i="5"/>
  <c r="U151" i="5"/>
  <c r="F144" i="5"/>
  <c r="F145" i="5"/>
  <c r="F146" i="5"/>
  <c r="F147" i="5"/>
  <c r="I144" i="5"/>
  <c r="I145" i="5"/>
  <c r="I146" i="5"/>
  <c r="I147" i="5"/>
  <c r="J144" i="5"/>
  <c r="J145" i="5"/>
  <c r="J146" i="5"/>
  <c r="J147" i="5"/>
  <c r="K144" i="5"/>
  <c r="K145" i="5"/>
  <c r="K146" i="5"/>
  <c r="K147" i="5"/>
  <c r="L144" i="5"/>
  <c r="L145" i="5"/>
  <c r="L146" i="5"/>
  <c r="L147" i="5"/>
  <c r="M144" i="5"/>
  <c r="M145" i="5"/>
  <c r="M146" i="5"/>
  <c r="M147" i="5"/>
  <c r="Q144" i="5"/>
  <c r="Q145" i="5"/>
  <c r="Q146" i="5"/>
  <c r="Q147" i="5"/>
  <c r="R144" i="5"/>
  <c r="R145" i="5"/>
  <c r="R146" i="5"/>
  <c r="R147" i="5"/>
  <c r="T144" i="5"/>
  <c r="T145" i="5"/>
  <c r="T146" i="5"/>
  <c r="T147" i="5"/>
  <c r="U144" i="5"/>
  <c r="U145" i="5"/>
  <c r="U146" i="5"/>
  <c r="U147" i="5"/>
  <c r="F88" i="5"/>
  <c r="I88" i="5"/>
  <c r="J88" i="5"/>
  <c r="K88" i="5"/>
  <c r="M88" i="5"/>
  <c r="Q88" i="5"/>
  <c r="R88" i="5"/>
  <c r="T88" i="5"/>
  <c r="U88" i="5"/>
  <c r="F142" i="5"/>
  <c r="F143" i="5"/>
  <c r="I142" i="5"/>
  <c r="I143" i="5"/>
  <c r="J142" i="5"/>
  <c r="J143" i="5"/>
  <c r="K142" i="5"/>
  <c r="K143" i="5"/>
  <c r="L142" i="5"/>
  <c r="M142" i="5"/>
  <c r="M143" i="5"/>
  <c r="Q142" i="5"/>
  <c r="Q143" i="5"/>
  <c r="R142" i="5"/>
  <c r="R143" i="5"/>
  <c r="T142" i="5"/>
  <c r="T143" i="5"/>
  <c r="U142" i="5"/>
  <c r="U143" i="5"/>
  <c r="F141" i="5"/>
  <c r="I141" i="5"/>
  <c r="J141" i="5"/>
  <c r="K141" i="5"/>
  <c r="M141" i="5"/>
  <c r="Q141" i="5"/>
  <c r="R141" i="5"/>
  <c r="T141" i="5"/>
  <c r="U141" i="5"/>
  <c r="F139" i="5"/>
  <c r="F140" i="5"/>
  <c r="I139" i="5"/>
  <c r="I140" i="5"/>
  <c r="J139" i="5"/>
  <c r="J140" i="5"/>
  <c r="K139" i="5"/>
  <c r="K140" i="5"/>
  <c r="L139" i="5"/>
  <c r="L140" i="5"/>
  <c r="M139" i="5"/>
  <c r="M140" i="5"/>
  <c r="Q139" i="5"/>
  <c r="Q140" i="5"/>
  <c r="R139" i="5"/>
  <c r="R140" i="5"/>
  <c r="T139" i="5"/>
  <c r="T140" i="5"/>
  <c r="U139" i="5"/>
  <c r="U140" i="5"/>
  <c r="F137" i="5"/>
  <c r="F138" i="5"/>
  <c r="I137" i="5"/>
  <c r="I138" i="5"/>
  <c r="J137" i="5"/>
  <c r="J138" i="5"/>
  <c r="K137" i="5"/>
  <c r="K138" i="5"/>
  <c r="L137" i="5"/>
  <c r="M137" i="5"/>
  <c r="M138" i="5"/>
  <c r="Q137" i="5"/>
  <c r="Q138" i="5"/>
  <c r="R137" i="5"/>
  <c r="R138" i="5"/>
  <c r="T137" i="5"/>
  <c r="T138" i="5"/>
  <c r="U137" i="5"/>
  <c r="U138" i="5"/>
  <c r="F135" i="5"/>
  <c r="F136" i="5"/>
  <c r="I135" i="5"/>
  <c r="I136" i="5"/>
  <c r="J135" i="5"/>
  <c r="J136" i="5"/>
  <c r="K135" i="5"/>
  <c r="K136" i="5"/>
  <c r="L135" i="5"/>
  <c r="M135" i="5"/>
  <c r="M136" i="5"/>
  <c r="Q135" i="5"/>
  <c r="Q136" i="5"/>
  <c r="R135" i="5"/>
  <c r="R136" i="5"/>
  <c r="T135" i="5"/>
  <c r="T136" i="5"/>
  <c r="U135" i="5"/>
  <c r="U136" i="5"/>
  <c r="F130" i="5"/>
  <c r="F131" i="5"/>
  <c r="F132" i="5"/>
  <c r="F133" i="5"/>
  <c r="F134" i="5"/>
  <c r="I130" i="5"/>
  <c r="I131" i="5"/>
  <c r="I132" i="5"/>
  <c r="I133" i="5"/>
  <c r="I134" i="5"/>
  <c r="J130" i="5"/>
  <c r="J131" i="5"/>
  <c r="J132" i="5"/>
  <c r="J133" i="5"/>
  <c r="J134" i="5"/>
  <c r="K130" i="5"/>
  <c r="K131" i="5"/>
  <c r="K132" i="5"/>
  <c r="K133" i="5"/>
  <c r="K134" i="5"/>
  <c r="L130" i="5"/>
  <c r="L132" i="5"/>
  <c r="L133" i="5"/>
  <c r="M130" i="5"/>
  <c r="M131" i="5"/>
  <c r="M132" i="5"/>
  <c r="M133" i="5"/>
  <c r="M134" i="5"/>
  <c r="Q130" i="5"/>
  <c r="Q131" i="5"/>
  <c r="Q132" i="5"/>
  <c r="Q133" i="5"/>
  <c r="Q134" i="5"/>
  <c r="R130" i="5"/>
  <c r="R131" i="5"/>
  <c r="R132" i="5"/>
  <c r="R133" i="5"/>
  <c r="R134" i="5"/>
  <c r="T130" i="5"/>
  <c r="T131" i="5"/>
  <c r="T132" i="5"/>
  <c r="T133" i="5"/>
  <c r="T134" i="5"/>
  <c r="U130" i="5"/>
  <c r="U131" i="5"/>
  <c r="U132" i="5"/>
  <c r="U133" i="5"/>
  <c r="U134" i="5"/>
  <c r="F127" i="5"/>
  <c r="F128" i="5"/>
  <c r="F129" i="5"/>
  <c r="I127" i="5"/>
  <c r="I128" i="5"/>
  <c r="I129" i="5"/>
  <c r="J127" i="5"/>
  <c r="J128" i="5"/>
  <c r="J129" i="5"/>
  <c r="K127" i="5"/>
  <c r="K128" i="5"/>
  <c r="K129" i="5"/>
  <c r="L127" i="5"/>
  <c r="L128" i="5"/>
  <c r="M127" i="5"/>
  <c r="M128" i="5"/>
  <c r="M129" i="5"/>
  <c r="Q127" i="5"/>
  <c r="Q128" i="5"/>
  <c r="Q129" i="5"/>
  <c r="R127" i="5"/>
  <c r="R128" i="5"/>
  <c r="R129" i="5"/>
  <c r="T127" i="5"/>
  <c r="T128" i="5"/>
  <c r="T129" i="5"/>
  <c r="U127" i="5"/>
  <c r="U128" i="5"/>
  <c r="U129" i="5"/>
  <c r="F125" i="5"/>
  <c r="F126" i="5"/>
  <c r="I125" i="5"/>
  <c r="I126" i="5"/>
  <c r="J125" i="5"/>
  <c r="J126" i="5"/>
  <c r="K125" i="5"/>
  <c r="K126" i="5"/>
  <c r="L125" i="5"/>
  <c r="M125" i="5"/>
  <c r="M126" i="5"/>
  <c r="Q125" i="5"/>
  <c r="Q126" i="5"/>
  <c r="R125" i="5"/>
  <c r="R126" i="5"/>
  <c r="T125" i="5"/>
  <c r="T126" i="5"/>
  <c r="U125" i="5"/>
  <c r="U126" i="5"/>
  <c r="F121" i="5"/>
  <c r="F122" i="5"/>
  <c r="F123" i="5"/>
  <c r="F124" i="5"/>
  <c r="I121" i="5"/>
  <c r="I122" i="5"/>
  <c r="I123" i="5"/>
  <c r="I124" i="5"/>
  <c r="J121" i="5"/>
  <c r="J122" i="5"/>
  <c r="J123" i="5"/>
  <c r="J124" i="5"/>
  <c r="K121" i="5"/>
  <c r="K122" i="5"/>
  <c r="K123" i="5"/>
  <c r="K124" i="5"/>
  <c r="L121" i="5"/>
  <c r="L123" i="5"/>
  <c r="M121" i="5"/>
  <c r="M122" i="5"/>
  <c r="M123" i="5"/>
  <c r="M124" i="5"/>
  <c r="Q121" i="5"/>
  <c r="Q122" i="5"/>
  <c r="Q123" i="5"/>
  <c r="Q124" i="5"/>
  <c r="R121" i="5"/>
  <c r="R122" i="5"/>
  <c r="R123" i="5"/>
  <c r="R124" i="5"/>
  <c r="T121" i="5"/>
  <c r="T122" i="5"/>
  <c r="T123" i="5"/>
  <c r="T124" i="5"/>
  <c r="U121" i="5"/>
  <c r="U122" i="5"/>
  <c r="U123" i="5"/>
  <c r="U124" i="5"/>
  <c r="F120" i="5"/>
  <c r="I120" i="5"/>
  <c r="J120" i="5"/>
  <c r="K120" i="5"/>
  <c r="M120" i="5"/>
  <c r="Q120" i="5"/>
  <c r="R120" i="5"/>
  <c r="T120" i="5"/>
  <c r="U120" i="5"/>
  <c r="F119" i="5"/>
  <c r="I119" i="5"/>
  <c r="J119" i="5"/>
  <c r="K119" i="5"/>
  <c r="L119" i="5"/>
  <c r="M119" i="5"/>
  <c r="Q119" i="5"/>
  <c r="R119" i="5"/>
  <c r="T119" i="5"/>
  <c r="U119" i="5"/>
  <c r="F117" i="5"/>
  <c r="F118" i="5"/>
  <c r="I117" i="5"/>
  <c r="I118" i="5"/>
  <c r="J117" i="5"/>
  <c r="J118" i="5"/>
  <c r="K117" i="5"/>
  <c r="K118" i="5"/>
  <c r="L117" i="5"/>
  <c r="M117" i="5"/>
  <c r="M118" i="5"/>
  <c r="Q117" i="5"/>
  <c r="Q118" i="5"/>
  <c r="R117" i="5"/>
  <c r="R118" i="5"/>
  <c r="T117" i="5"/>
  <c r="T118" i="5"/>
  <c r="U117" i="5"/>
  <c r="U118" i="5"/>
  <c r="F116" i="5"/>
  <c r="I116" i="5"/>
  <c r="J116" i="5"/>
  <c r="K116" i="5"/>
  <c r="M116" i="5"/>
  <c r="Q116" i="5"/>
  <c r="R116" i="5"/>
  <c r="T116" i="5"/>
  <c r="U116" i="5"/>
  <c r="F114" i="5"/>
  <c r="F115" i="5"/>
  <c r="I114" i="5"/>
  <c r="I115" i="5"/>
  <c r="J114" i="5"/>
  <c r="J115" i="5"/>
  <c r="K114" i="5"/>
  <c r="K115" i="5"/>
  <c r="M114" i="5"/>
  <c r="M115" i="5"/>
  <c r="Q114" i="5"/>
  <c r="Q115" i="5"/>
  <c r="R114" i="5"/>
  <c r="R115" i="5"/>
  <c r="T114" i="5"/>
  <c r="T115" i="5"/>
  <c r="U114" i="5"/>
  <c r="U115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F113" i="5"/>
  <c r="I113" i="5"/>
  <c r="J113" i="5"/>
  <c r="K113" i="5"/>
  <c r="L113" i="5"/>
  <c r="M113" i="5"/>
  <c r="R113" i="5"/>
  <c r="T113" i="5"/>
  <c r="U113" i="5"/>
  <c r="F112" i="5"/>
  <c r="I112" i="5"/>
  <c r="J112" i="5"/>
  <c r="K112" i="5"/>
  <c r="M112" i="5"/>
  <c r="R112" i="5"/>
  <c r="T112" i="5"/>
  <c r="U112" i="5"/>
  <c r="F111" i="5"/>
  <c r="I111" i="5"/>
  <c r="J111" i="5"/>
  <c r="K111" i="5"/>
  <c r="M111" i="5"/>
  <c r="R111" i="5"/>
  <c r="T111" i="5"/>
  <c r="U111" i="5"/>
  <c r="F110" i="5"/>
  <c r="I110" i="5"/>
  <c r="J110" i="5"/>
  <c r="K110" i="5"/>
  <c r="M110" i="5"/>
  <c r="R110" i="5"/>
  <c r="T110" i="5"/>
  <c r="U110" i="5"/>
  <c r="F109" i="5"/>
  <c r="I109" i="5"/>
  <c r="J109" i="5"/>
  <c r="K109" i="5"/>
  <c r="M109" i="5"/>
  <c r="R109" i="5"/>
  <c r="T109" i="5"/>
  <c r="U109" i="5"/>
  <c r="F108" i="5"/>
  <c r="I108" i="5"/>
  <c r="J108" i="5"/>
  <c r="K108" i="5"/>
  <c r="M108" i="5"/>
  <c r="R108" i="5"/>
  <c r="T108" i="5"/>
  <c r="U108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F107" i="5"/>
  <c r="I107" i="5"/>
  <c r="J107" i="5"/>
  <c r="K107" i="5"/>
  <c r="M107" i="5"/>
  <c r="R107" i="5"/>
  <c r="T107" i="5"/>
  <c r="F103" i="5"/>
  <c r="F104" i="5"/>
  <c r="F105" i="5"/>
  <c r="F106" i="5"/>
  <c r="I103" i="5"/>
  <c r="I104" i="5"/>
  <c r="I105" i="5"/>
  <c r="I106" i="5"/>
  <c r="J103" i="5"/>
  <c r="J104" i="5"/>
  <c r="J105" i="5"/>
  <c r="J106" i="5"/>
  <c r="K103" i="5"/>
  <c r="K104" i="5"/>
  <c r="K105" i="5"/>
  <c r="K106" i="5"/>
  <c r="L103" i="5"/>
  <c r="L105" i="5"/>
  <c r="M103" i="5"/>
  <c r="M104" i="5"/>
  <c r="M105" i="5"/>
  <c r="M106" i="5"/>
  <c r="R103" i="5"/>
  <c r="R104" i="5"/>
  <c r="R105" i="5"/>
  <c r="R106" i="5"/>
  <c r="T103" i="5"/>
  <c r="T104" i="5"/>
  <c r="T105" i="5"/>
  <c r="T106" i="5"/>
  <c r="F102" i="5"/>
  <c r="I102" i="5"/>
  <c r="J102" i="5"/>
  <c r="K102" i="5"/>
  <c r="M102" i="5"/>
  <c r="R102" i="5"/>
  <c r="T102" i="5"/>
  <c r="F98" i="5"/>
  <c r="F99" i="5"/>
  <c r="F100" i="5"/>
  <c r="F101" i="5"/>
  <c r="I98" i="5"/>
  <c r="I99" i="5"/>
  <c r="I100" i="5"/>
  <c r="I101" i="5"/>
  <c r="J98" i="5"/>
  <c r="J99" i="5"/>
  <c r="J100" i="5"/>
  <c r="J101" i="5"/>
  <c r="K98" i="5"/>
  <c r="K99" i="5"/>
  <c r="K100" i="5"/>
  <c r="K101" i="5"/>
  <c r="L100" i="5"/>
  <c r="M98" i="5"/>
  <c r="M99" i="5"/>
  <c r="M100" i="5"/>
  <c r="M101" i="5"/>
  <c r="R98" i="5"/>
  <c r="R99" i="5"/>
  <c r="R100" i="5"/>
  <c r="R101" i="5"/>
  <c r="T98" i="5"/>
  <c r="T99" i="5"/>
  <c r="T100" i="5"/>
  <c r="T101" i="5"/>
  <c r="F97" i="5"/>
  <c r="I97" i="5"/>
  <c r="J97" i="5"/>
  <c r="K97" i="5"/>
  <c r="M97" i="5"/>
  <c r="R97" i="5"/>
  <c r="T97" i="5"/>
  <c r="R93" i="5"/>
  <c r="M93" i="5"/>
  <c r="K93" i="5"/>
  <c r="J93" i="5"/>
  <c r="I93" i="5"/>
  <c r="R92" i="5"/>
  <c r="M92" i="5"/>
  <c r="L92" i="5"/>
  <c r="K92" i="5"/>
  <c r="J92" i="5"/>
  <c r="I92" i="5"/>
  <c r="R91" i="5"/>
  <c r="M91" i="5"/>
  <c r="K91" i="5"/>
  <c r="J91" i="5"/>
  <c r="I91" i="5"/>
  <c r="R90" i="5"/>
  <c r="M90" i="5"/>
  <c r="L90" i="5"/>
  <c r="K90" i="5"/>
  <c r="J90" i="5"/>
  <c r="I90" i="5"/>
  <c r="R89" i="5"/>
  <c r="M89" i="5"/>
  <c r="K89" i="5"/>
  <c r="J89" i="5"/>
  <c r="I89" i="5"/>
  <c r="R87" i="5"/>
  <c r="M87" i="5"/>
  <c r="K87" i="5"/>
  <c r="J87" i="5"/>
  <c r="I87" i="5"/>
  <c r="F93" i="5"/>
  <c r="F94" i="5"/>
  <c r="F95" i="5"/>
  <c r="F96" i="5"/>
  <c r="I94" i="5"/>
  <c r="I95" i="5"/>
  <c r="I96" i="5"/>
  <c r="J94" i="5"/>
  <c r="J95" i="5"/>
  <c r="J96" i="5"/>
  <c r="K94" i="5"/>
  <c r="K95" i="5"/>
  <c r="K96" i="5"/>
  <c r="L94" i="5"/>
  <c r="M94" i="5"/>
  <c r="M95" i="5"/>
  <c r="M96" i="5"/>
  <c r="R94" i="5"/>
  <c r="R95" i="5"/>
  <c r="R96" i="5"/>
  <c r="T93" i="5"/>
  <c r="T94" i="5"/>
  <c r="T95" i="5"/>
  <c r="T96" i="5"/>
  <c r="F92" i="5"/>
  <c r="T92" i="5"/>
  <c r="F90" i="5"/>
  <c r="F91" i="5"/>
  <c r="T90" i="5"/>
  <c r="T91" i="5"/>
  <c r="F89" i="5"/>
  <c r="T89" i="5"/>
  <c r="F87" i="5"/>
  <c r="T87" i="5"/>
  <c r="F86" i="5"/>
  <c r="I86" i="5"/>
  <c r="J86" i="5"/>
  <c r="K86" i="5"/>
  <c r="L86" i="5"/>
  <c r="M86" i="5"/>
  <c r="R86" i="5"/>
  <c r="T86" i="5"/>
  <c r="F85" i="5"/>
  <c r="I85" i="5"/>
  <c r="J85" i="5"/>
  <c r="K85" i="5"/>
  <c r="L85" i="5"/>
  <c r="M85" i="5"/>
  <c r="R85" i="5"/>
  <c r="T85" i="5"/>
  <c r="F84" i="5"/>
  <c r="I84" i="5"/>
  <c r="J84" i="5"/>
  <c r="K84" i="5"/>
  <c r="M84" i="5"/>
  <c r="R84" i="5"/>
  <c r="T84" i="5"/>
  <c r="F80" i="5"/>
  <c r="F81" i="5"/>
  <c r="F82" i="5"/>
  <c r="F83" i="5"/>
  <c r="I80" i="5"/>
  <c r="I81" i="5"/>
  <c r="I82" i="5"/>
  <c r="I83" i="5"/>
  <c r="J80" i="5"/>
  <c r="J81" i="5"/>
  <c r="J82" i="5"/>
  <c r="J83" i="5"/>
  <c r="K80" i="5"/>
  <c r="K81" i="5"/>
  <c r="K82" i="5"/>
  <c r="K83" i="5"/>
  <c r="L81" i="5"/>
  <c r="M80" i="5"/>
  <c r="M81" i="5"/>
  <c r="M82" i="5"/>
  <c r="M83" i="5"/>
  <c r="R80" i="5"/>
  <c r="R81" i="5"/>
  <c r="R82" i="5"/>
  <c r="R83" i="5"/>
  <c r="T80" i="5"/>
  <c r="T81" i="5"/>
  <c r="T82" i="5"/>
  <c r="T83" i="5"/>
  <c r="F79" i="5"/>
  <c r="I79" i="5"/>
  <c r="J79" i="5"/>
  <c r="K79" i="5"/>
  <c r="L79" i="5"/>
  <c r="M79" i="5"/>
  <c r="R79" i="5"/>
  <c r="T79" i="5"/>
  <c r="F75" i="5"/>
  <c r="F78" i="5"/>
  <c r="I78" i="5"/>
  <c r="J78" i="5"/>
  <c r="K78" i="5"/>
  <c r="M78" i="5"/>
  <c r="R78" i="5"/>
  <c r="T78" i="5"/>
  <c r="F77" i="5"/>
  <c r="I77" i="5"/>
  <c r="J77" i="5"/>
  <c r="K77" i="5"/>
  <c r="M77" i="5"/>
  <c r="R77" i="5"/>
  <c r="T77" i="5"/>
  <c r="F76" i="5"/>
  <c r="I76" i="5"/>
  <c r="J76" i="5"/>
  <c r="K76" i="5"/>
  <c r="M76" i="5"/>
  <c r="R76" i="5"/>
  <c r="T76" i="5"/>
  <c r="I75" i="5"/>
  <c r="J75" i="5"/>
  <c r="K75" i="5"/>
  <c r="L75" i="5"/>
  <c r="M75" i="5"/>
  <c r="R75" i="5"/>
  <c r="T75" i="5"/>
  <c r="M25" i="5"/>
  <c r="F74" i="5"/>
  <c r="I74" i="5"/>
  <c r="J74" i="5"/>
  <c r="K74" i="5"/>
  <c r="L74" i="5"/>
  <c r="M74" i="5"/>
  <c r="R74" i="5"/>
  <c r="T74" i="5"/>
  <c r="F73" i="5"/>
  <c r="I73" i="5"/>
  <c r="J73" i="5"/>
  <c r="K73" i="5"/>
  <c r="M73" i="5"/>
  <c r="R73" i="5"/>
  <c r="T73" i="5"/>
  <c r="F71" i="5"/>
  <c r="F72" i="5"/>
  <c r="I71" i="5"/>
  <c r="I72" i="5"/>
  <c r="J71" i="5"/>
  <c r="J72" i="5"/>
  <c r="K71" i="5"/>
  <c r="K72" i="5"/>
  <c r="M71" i="5"/>
  <c r="M72" i="5"/>
  <c r="R71" i="5"/>
  <c r="R72" i="5"/>
  <c r="T71" i="5"/>
  <c r="T72" i="5"/>
  <c r="F70" i="5"/>
  <c r="I70" i="5"/>
  <c r="J70" i="5"/>
  <c r="K70" i="5"/>
  <c r="L70" i="5"/>
  <c r="M70" i="5"/>
  <c r="R70" i="5"/>
  <c r="T70" i="5"/>
  <c r="L88" i="5" l="1"/>
  <c r="L124" i="5"/>
  <c r="L106" i="5"/>
  <c r="L122" i="5"/>
  <c r="L138" i="5"/>
  <c r="L143" i="5"/>
  <c r="L80" i="5"/>
  <c r="L104" i="5"/>
  <c r="L99" i="5"/>
  <c r="L71" i="5"/>
  <c r="L98" i="5"/>
  <c r="L118" i="5"/>
  <c r="L131" i="5"/>
  <c r="L101" i="5"/>
  <c r="L115" i="5"/>
  <c r="L114" i="5"/>
  <c r="L126" i="5"/>
  <c r="L141" i="5"/>
  <c r="L72" i="5"/>
  <c r="L136" i="5"/>
  <c r="L134" i="5"/>
  <c r="L129" i="5"/>
  <c r="L120" i="5"/>
  <c r="L116" i="5"/>
  <c r="L109" i="5"/>
  <c r="L108" i="5"/>
  <c r="L111" i="5"/>
  <c r="L112" i="5"/>
  <c r="L110" i="5"/>
  <c r="L107" i="5"/>
  <c r="L97" i="5"/>
  <c r="L102" i="5"/>
  <c r="L95" i="5"/>
  <c r="L82" i="5"/>
  <c r="L96" i="5"/>
  <c r="L87" i="5"/>
  <c r="L93" i="5"/>
  <c r="L89" i="5"/>
  <c r="L83" i="5"/>
  <c r="L84" i="5"/>
  <c r="L91" i="5"/>
  <c r="L76" i="5"/>
  <c r="L77" i="5"/>
  <c r="L78" i="5"/>
  <c r="L73" i="5"/>
  <c r="F68" i="5"/>
  <c r="R68" i="5"/>
  <c r="T68" i="5"/>
  <c r="F69" i="5"/>
  <c r="R69" i="5"/>
  <c r="T69" i="5"/>
  <c r="F67" i="5"/>
  <c r="R67" i="5"/>
  <c r="T67" i="5"/>
  <c r="F66" i="5"/>
  <c r="R66" i="5"/>
  <c r="T66" i="5"/>
  <c r="F65" i="5"/>
  <c r="R65" i="5"/>
  <c r="T65" i="5"/>
  <c r="F64" i="5"/>
  <c r="R64" i="5"/>
  <c r="T64" i="5"/>
  <c r="F63" i="5"/>
  <c r="R63" i="5"/>
  <c r="T63" i="5"/>
  <c r="F62" i="5"/>
  <c r="I62" i="5"/>
  <c r="J62" i="5"/>
  <c r="K62" i="5"/>
  <c r="L62" i="5"/>
  <c r="M62" i="5"/>
  <c r="R62" i="5"/>
  <c r="T62" i="5"/>
  <c r="F58" i="5"/>
  <c r="F59" i="5"/>
  <c r="F60" i="5"/>
  <c r="F61" i="5"/>
  <c r="I58" i="5"/>
  <c r="I59" i="5"/>
  <c r="I60" i="5"/>
  <c r="I61" i="5"/>
  <c r="J58" i="5"/>
  <c r="J59" i="5"/>
  <c r="J60" i="5"/>
  <c r="J61" i="5"/>
  <c r="K58" i="5"/>
  <c r="K59" i="5"/>
  <c r="K60" i="5"/>
  <c r="K61" i="5"/>
  <c r="L59" i="5"/>
  <c r="L60" i="5"/>
  <c r="M58" i="5"/>
  <c r="M59" i="5"/>
  <c r="M60" i="5"/>
  <c r="M61" i="5"/>
  <c r="R58" i="5"/>
  <c r="R59" i="5"/>
  <c r="R60" i="5"/>
  <c r="R61" i="5"/>
  <c r="T58" i="5"/>
  <c r="T59" i="5"/>
  <c r="T60" i="5"/>
  <c r="T61" i="5"/>
  <c r="F57" i="5"/>
  <c r="I57" i="5"/>
  <c r="J57" i="5"/>
  <c r="K57" i="5"/>
  <c r="L57" i="5"/>
  <c r="M57" i="5"/>
  <c r="R57" i="5"/>
  <c r="T57" i="5"/>
  <c r="F51" i="5"/>
  <c r="F52" i="5"/>
  <c r="F53" i="5"/>
  <c r="F54" i="5"/>
  <c r="F55" i="5"/>
  <c r="F56" i="5"/>
  <c r="I51" i="5"/>
  <c r="I52" i="5"/>
  <c r="I53" i="5"/>
  <c r="I54" i="5"/>
  <c r="I55" i="5"/>
  <c r="I56" i="5"/>
  <c r="J51" i="5"/>
  <c r="J52" i="5"/>
  <c r="J53" i="5"/>
  <c r="J54" i="5"/>
  <c r="J55" i="5"/>
  <c r="J56" i="5"/>
  <c r="K51" i="5"/>
  <c r="K52" i="5"/>
  <c r="K53" i="5"/>
  <c r="K54" i="5"/>
  <c r="K55" i="5"/>
  <c r="K56" i="5"/>
  <c r="L52" i="5"/>
  <c r="L54" i="5"/>
  <c r="M51" i="5"/>
  <c r="M52" i="5"/>
  <c r="M53" i="5"/>
  <c r="M54" i="5"/>
  <c r="M55" i="5"/>
  <c r="M56" i="5"/>
  <c r="R51" i="5"/>
  <c r="R52" i="5"/>
  <c r="R53" i="5"/>
  <c r="R54" i="5"/>
  <c r="R55" i="5"/>
  <c r="R56" i="5"/>
  <c r="T51" i="5"/>
  <c r="T52" i="5"/>
  <c r="T53" i="5"/>
  <c r="T54" i="5"/>
  <c r="T55" i="5"/>
  <c r="T56" i="5"/>
  <c r="F50" i="5"/>
  <c r="I50" i="5"/>
  <c r="J50" i="5"/>
  <c r="K50" i="5"/>
  <c r="L50" i="5"/>
  <c r="M50" i="5"/>
  <c r="R50" i="5"/>
  <c r="T50" i="5"/>
  <c r="F49" i="5"/>
  <c r="I49" i="5"/>
  <c r="J49" i="5"/>
  <c r="K49" i="5"/>
  <c r="M49" i="5"/>
  <c r="R49" i="5"/>
  <c r="T49" i="5"/>
  <c r="F48" i="5"/>
  <c r="I48" i="5"/>
  <c r="J48" i="5"/>
  <c r="K48" i="5"/>
  <c r="L48" i="5"/>
  <c r="M48" i="5"/>
  <c r="R48" i="5"/>
  <c r="T48" i="5"/>
  <c r="F47" i="5"/>
  <c r="I47" i="5"/>
  <c r="J47" i="5"/>
  <c r="K47" i="5"/>
  <c r="M47" i="5"/>
  <c r="R47" i="5"/>
  <c r="T47" i="5"/>
  <c r="F46" i="5"/>
  <c r="I46" i="5"/>
  <c r="J46" i="5"/>
  <c r="K46" i="5"/>
  <c r="L46" i="5"/>
  <c r="M46" i="5"/>
  <c r="R46" i="5"/>
  <c r="T46" i="5"/>
  <c r="F45" i="5"/>
  <c r="I45" i="5"/>
  <c r="J45" i="5"/>
  <c r="K45" i="5"/>
  <c r="M45" i="5"/>
  <c r="R45" i="5"/>
  <c r="T45" i="5"/>
  <c r="F44" i="5"/>
  <c r="I44" i="5"/>
  <c r="J44" i="5"/>
  <c r="K44" i="5"/>
  <c r="L44" i="5"/>
  <c r="M44" i="5"/>
  <c r="R44" i="5"/>
  <c r="T44" i="5"/>
  <c r="F43" i="5"/>
  <c r="I43" i="5"/>
  <c r="J43" i="5"/>
  <c r="K43" i="5"/>
  <c r="M43" i="5"/>
  <c r="R43" i="5"/>
  <c r="T43" i="5"/>
  <c r="F42" i="5"/>
  <c r="I42" i="5"/>
  <c r="J42" i="5"/>
  <c r="K42" i="5"/>
  <c r="L42" i="5"/>
  <c r="M42" i="5"/>
  <c r="R42" i="5"/>
  <c r="T42" i="5"/>
  <c r="F38" i="5"/>
  <c r="F39" i="5"/>
  <c r="F40" i="5"/>
  <c r="F41" i="5"/>
  <c r="I38" i="5"/>
  <c r="I39" i="5"/>
  <c r="I40" i="5"/>
  <c r="I41" i="5"/>
  <c r="J38" i="5"/>
  <c r="J39" i="5"/>
  <c r="J40" i="5"/>
  <c r="J41" i="5"/>
  <c r="K38" i="5"/>
  <c r="K39" i="5"/>
  <c r="K40" i="5"/>
  <c r="K41" i="5"/>
  <c r="L38" i="5"/>
  <c r="L40" i="5"/>
  <c r="M38" i="5"/>
  <c r="M39" i="5"/>
  <c r="M40" i="5"/>
  <c r="M41" i="5"/>
  <c r="R38" i="5"/>
  <c r="R39" i="5"/>
  <c r="R40" i="5"/>
  <c r="R41" i="5"/>
  <c r="T38" i="5"/>
  <c r="T39" i="5"/>
  <c r="T40" i="5"/>
  <c r="T41" i="5"/>
  <c r="F37" i="5"/>
  <c r="I37" i="5"/>
  <c r="J37" i="5"/>
  <c r="K37" i="5"/>
  <c r="L37" i="5"/>
  <c r="M37" i="5"/>
  <c r="R37" i="5"/>
  <c r="T37" i="5"/>
  <c r="F32" i="5"/>
  <c r="F33" i="5"/>
  <c r="F34" i="5"/>
  <c r="F35" i="5"/>
  <c r="F36" i="5"/>
  <c r="I32" i="5"/>
  <c r="I33" i="5"/>
  <c r="I34" i="5"/>
  <c r="I35" i="5"/>
  <c r="I36" i="5"/>
  <c r="J32" i="5"/>
  <c r="J33" i="5"/>
  <c r="J34" i="5"/>
  <c r="J35" i="5"/>
  <c r="J36" i="5"/>
  <c r="K32" i="5"/>
  <c r="K33" i="5"/>
  <c r="K34" i="5"/>
  <c r="K35" i="5"/>
  <c r="K36" i="5"/>
  <c r="L32" i="5"/>
  <c r="M32" i="5"/>
  <c r="M33" i="5"/>
  <c r="M34" i="5"/>
  <c r="M35" i="5"/>
  <c r="M36" i="5"/>
  <c r="R32" i="5"/>
  <c r="R33" i="5"/>
  <c r="R34" i="5"/>
  <c r="R35" i="5"/>
  <c r="R36" i="5"/>
  <c r="T32" i="5"/>
  <c r="T33" i="5"/>
  <c r="T34" i="5"/>
  <c r="T35" i="5"/>
  <c r="T36" i="5"/>
  <c r="F31" i="5"/>
  <c r="I31" i="5"/>
  <c r="J31" i="5"/>
  <c r="K31" i="5"/>
  <c r="L31" i="5"/>
  <c r="M31" i="5"/>
  <c r="R31" i="5"/>
  <c r="T31" i="5"/>
  <c r="F28" i="5"/>
  <c r="F29" i="5"/>
  <c r="F30" i="5"/>
  <c r="I28" i="5"/>
  <c r="I29" i="5"/>
  <c r="I30" i="5"/>
  <c r="J28" i="5"/>
  <c r="J29" i="5"/>
  <c r="J30" i="5"/>
  <c r="K28" i="5"/>
  <c r="K29" i="5"/>
  <c r="K30" i="5"/>
  <c r="L29" i="5"/>
  <c r="M28" i="5"/>
  <c r="M29" i="5"/>
  <c r="M30" i="5"/>
  <c r="R28" i="5"/>
  <c r="R29" i="5"/>
  <c r="R30" i="5"/>
  <c r="T28" i="5"/>
  <c r="T29" i="5"/>
  <c r="T30" i="5"/>
  <c r="F27" i="5"/>
  <c r="I27" i="5"/>
  <c r="J27" i="5"/>
  <c r="K27" i="5"/>
  <c r="L27" i="5"/>
  <c r="M27" i="5"/>
  <c r="R27" i="5"/>
  <c r="T27" i="5"/>
  <c r="F9" i="5"/>
  <c r="I9" i="5"/>
  <c r="J9" i="5"/>
  <c r="K9" i="5"/>
  <c r="M9" i="5"/>
  <c r="R9" i="5"/>
  <c r="T9" i="5"/>
  <c r="F2" i="5"/>
  <c r="I2" i="5"/>
  <c r="J2" i="5"/>
  <c r="K2" i="5"/>
  <c r="M2" i="5"/>
  <c r="R2" i="5"/>
  <c r="T2" i="5"/>
  <c r="F3" i="5"/>
  <c r="I3" i="5"/>
  <c r="J3" i="5"/>
  <c r="K3" i="5"/>
  <c r="L3" i="5"/>
  <c r="M3" i="5"/>
  <c r="R3" i="5"/>
  <c r="T3" i="5"/>
  <c r="F4" i="5"/>
  <c r="I4" i="5"/>
  <c r="J4" i="5"/>
  <c r="K4" i="5"/>
  <c r="L4" i="5"/>
  <c r="M4" i="5"/>
  <c r="R4" i="5"/>
  <c r="T4" i="5"/>
  <c r="F5" i="5"/>
  <c r="I5" i="5"/>
  <c r="J5" i="5"/>
  <c r="K5" i="5"/>
  <c r="M5" i="5"/>
  <c r="R5" i="5"/>
  <c r="T5" i="5"/>
  <c r="F6" i="5"/>
  <c r="I6" i="5"/>
  <c r="J6" i="5"/>
  <c r="K6" i="5"/>
  <c r="M6" i="5"/>
  <c r="R6" i="5"/>
  <c r="T6" i="5"/>
  <c r="F7" i="5"/>
  <c r="I7" i="5"/>
  <c r="J7" i="5"/>
  <c r="K7" i="5"/>
  <c r="M7" i="5"/>
  <c r="R7" i="5"/>
  <c r="T7" i="5"/>
  <c r="F8" i="5"/>
  <c r="I8" i="5"/>
  <c r="J8" i="5"/>
  <c r="K8" i="5"/>
  <c r="M8" i="5"/>
  <c r="R8" i="5"/>
  <c r="T8" i="5"/>
  <c r="F10" i="5"/>
  <c r="I10" i="5"/>
  <c r="J10" i="5"/>
  <c r="K10" i="5"/>
  <c r="L10" i="5"/>
  <c r="M10" i="5"/>
  <c r="R10" i="5"/>
  <c r="T10" i="5"/>
  <c r="F11" i="5"/>
  <c r="I11" i="5"/>
  <c r="J11" i="5"/>
  <c r="K11" i="5"/>
  <c r="M11" i="5"/>
  <c r="R11" i="5"/>
  <c r="T11" i="5"/>
  <c r="L39" i="5" l="1"/>
  <c r="L51" i="5"/>
  <c r="L58" i="5"/>
  <c r="L53" i="5"/>
  <c r="L55" i="5"/>
  <c r="L56" i="5"/>
  <c r="L61" i="5"/>
  <c r="L41" i="5"/>
  <c r="L49" i="5"/>
  <c r="L47" i="5"/>
  <c r="L35" i="5"/>
  <c r="L36" i="5"/>
  <c r="L43" i="5"/>
  <c r="L45" i="5"/>
  <c r="L7" i="5"/>
  <c r="L5" i="5"/>
  <c r="L9" i="5"/>
  <c r="L30" i="5"/>
  <c r="L28" i="5"/>
  <c r="L33" i="5"/>
  <c r="L34" i="5"/>
  <c r="L2" i="5"/>
  <c r="L8" i="5"/>
  <c r="L6" i="5"/>
  <c r="L11" i="5"/>
  <c r="F12" i="5" l="1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I21" i="5" l="1"/>
  <c r="I22" i="5"/>
  <c r="I23" i="5"/>
  <c r="I24" i="5"/>
  <c r="I25" i="5"/>
  <c r="I26" i="5"/>
  <c r="J21" i="5"/>
  <c r="J22" i="5"/>
  <c r="J23" i="5"/>
  <c r="J24" i="5"/>
  <c r="J25" i="5"/>
  <c r="J26" i="5"/>
  <c r="K21" i="5"/>
  <c r="K22" i="5"/>
  <c r="K23" i="5"/>
  <c r="K24" i="5"/>
  <c r="K25" i="5"/>
  <c r="K26" i="5"/>
  <c r="L21" i="5"/>
  <c r="L23" i="5"/>
  <c r="L25" i="5"/>
  <c r="M21" i="5"/>
  <c r="M22" i="5"/>
  <c r="M23" i="5"/>
  <c r="M24" i="5"/>
  <c r="M26" i="5"/>
  <c r="R21" i="5"/>
  <c r="R22" i="5"/>
  <c r="R23" i="5"/>
  <c r="R24" i="5"/>
  <c r="R25" i="5"/>
  <c r="R26" i="5"/>
  <c r="I20" i="5"/>
  <c r="J20" i="5"/>
  <c r="K20" i="5"/>
  <c r="L20" i="5"/>
  <c r="M20" i="5"/>
  <c r="R20" i="5"/>
  <c r="I16" i="5"/>
  <c r="I17" i="5"/>
  <c r="I18" i="5"/>
  <c r="I19" i="5"/>
  <c r="J16" i="5"/>
  <c r="J17" i="5"/>
  <c r="J18" i="5"/>
  <c r="J19" i="5"/>
  <c r="K16" i="5"/>
  <c r="K17" i="5"/>
  <c r="K18" i="5"/>
  <c r="K19" i="5"/>
  <c r="L17" i="5"/>
  <c r="L18" i="5"/>
  <c r="M16" i="5"/>
  <c r="M17" i="5"/>
  <c r="M18" i="5"/>
  <c r="M19" i="5"/>
  <c r="R16" i="5"/>
  <c r="R17" i="5"/>
  <c r="R18" i="5"/>
  <c r="R19" i="5"/>
  <c r="I15" i="5"/>
  <c r="J15" i="5"/>
  <c r="K15" i="5"/>
  <c r="L15" i="5"/>
  <c r="M15" i="5"/>
  <c r="R15" i="5"/>
  <c r="I13" i="5"/>
  <c r="I14" i="5"/>
  <c r="J13" i="5"/>
  <c r="J14" i="5"/>
  <c r="K13" i="5"/>
  <c r="K14" i="5"/>
  <c r="M13" i="5"/>
  <c r="M14" i="5"/>
  <c r="R13" i="5"/>
  <c r="R14" i="5"/>
  <c r="I12" i="5"/>
  <c r="J12" i="5"/>
  <c r="K12" i="5"/>
  <c r="L12" i="5"/>
  <c r="M12" i="5"/>
  <c r="R12" i="5"/>
  <c r="L22" i="5" l="1"/>
  <c r="L26" i="5"/>
  <c r="L16" i="5"/>
  <c r="L19" i="5"/>
  <c r="L13" i="5"/>
  <c r="L14" i="5"/>
  <c r="L2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7311C1-F110-4B9D-9426-D04732488F45}" keepAlive="1" name="Consulta - Tabla_control_serigrafia" description="Conexión a la consulta 'Tabla_control_serigrafia' en el libro." type="5" refreshedVersion="8" background="1" saveData="1">
    <dbPr connection="Provider=Microsoft.Mashup.OleDb.1;Data Source=$Workbook$;Location=Tabla_control_serigrafia;Extended Properties=&quot;&quot;" command="SELECT * FROM [Tabla_control_serigrafia]"/>
  </connection>
</connections>
</file>

<file path=xl/sharedStrings.xml><?xml version="1.0" encoding="utf-8"?>
<sst xmlns="http://schemas.openxmlformats.org/spreadsheetml/2006/main" count="1745" uniqueCount="147">
  <si>
    <t>FECHA EMISIÓN</t>
  </si>
  <si>
    <t>CÓD. SOLICITUD</t>
  </si>
  <si>
    <t>PRODUCTO</t>
  </si>
  <si>
    <t>FORMA FARMACEUTICA</t>
  </si>
  <si>
    <t>INSTITUCIÓN</t>
  </si>
  <si>
    <t>LOTE</t>
  </si>
  <si>
    <t>FECHA VTO.</t>
  </si>
  <si>
    <t>CANTIDAD PEDIDA</t>
  </si>
  <si>
    <t>STOCK</t>
  </si>
  <si>
    <t>FECHA PRODUCCIÓN</t>
  </si>
  <si>
    <t>FECHA ENTREGA</t>
  </si>
  <si>
    <t>FECHA REGISTRO</t>
  </si>
  <si>
    <t>FORMATO DE FRASCO</t>
  </si>
  <si>
    <t>TIPO DE FRASCO</t>
  </si>
  <si>
    <t>ORDEN RECIBIDA</t>
  </si>
  <si>
    <t>ESTADO</t>
  </si>
  <si>
    <t>IBUPROFENO 100 MG X 100 ML SUSP.</t>
  </si>
  <si>
    <t>SUSPENSIÓN</t>
  </si>
  <si>
    <t>COMERCIO</t>
  </si>
  <si>
    <t/>
  </si>
  <si>
    <t>120 ML</t>
  </si>
  <si>
    <t>FRASCO BLANCO</t>
  </si>
  <si>
    <t>SI</t>
  </si>
  <si>
    <t>PENDIENTE</t>
  </si>
  <si>
    <t>FERRASOL FN X 30 ML GOTAS</t>
  </si>
  <si>
    <t>GOTAS</t>
  </si>
  <si>
    <t>30 ML</t>
  </si>
  <si>
    <t>PARACETAMOL 100 MG X 15 ML GOTAS</t>
  </si>
  <si>
    <t>15 ML</t>
  </si>
  <si>
    <t>CETIRIZINA 5 MG X 100 ML JARABE</t>
  </si>
  <si>
    <t>JARABE</t>
  </si>
  <si>
    <t>REALIZADO</t>
  </si>
  <si>
    <t>TALCO PARA EL PITAI X 70 G POLVO</t>
  </si>
  <si>
    <t>POLVO</t>
  </si>
  <si>
    <t>100 GR</t>
  </si>
  <si>
    <t>METRONIDAZOL 250 MG X 100 ML SUSP.</t>
  </si>
  <si>
    <t>AMOXICILINA 250 MG + ACIDO CLAVULANICO 62,5 MG. X 60 ML POLVO PARA SUSP. VETERINARIO</t>
  </si>
  <si>
    <t>POLVO PARA SUSPENSIÓN</t>
  </si>
  <si>
    <t>-</t>
  </si>
  <si>
    <t>FRASCO NATURAL</t>
  </si>
  <si>
    <t>CODEINA 10 MG X 100 ML JARABE</t>
  </si>
  <si>
    <t>MEBENDAZOL 100 MG X 30 ML SUSP.</t>
  </si>
  <si>
    <t>40 ML</t>
  </si>
  <si>
    <t>SULTRIN FORTE 400/80 MG X 100 ML SUSP. VETERINARIO</t>
  </si>
  <si>
    <t>SARNOL 20% X 100 ML LOCION</t>
  </si>
  <si>
    <t>LOCION</t>
  </si>
  <si>
    <t>IFASAN 10% X 30 ML LOCION</t>
  </si>
  <si>
    <t>FECHA</t>
  </si>
  <si>
    <t>MÁQUINA</t>
  </si>
  <si>
    <t>OPERADOR</t>
  </si>
  <si>
    <t>ACCIÓN</t>
  </si>
  <si>
    <t>INICIO</t>
  </si>
  <si>
    <t>FIN</t>
  </si>
  <si>
    <t>CANTIDAD PRODUCIDA</t>
  </si>
  <si>
    <t>CANTIDAD RECHAZADA</t>
  </si>
  <si>
    <t>OBSERVACIONES</t>
  </si>
  <si>
    <t>PRODUCCIÓN</t>
  </si>
  <si>
    <t>REGULADO</t>
  </si>
  <si>
    <t>SF-ASP/3</t>
  </si>
  <si>
    <t>FORMATO Y TIPO DE FRASCO</t>
  </si>
  <si>
    <t>CANTIDAD SOLICITADA</t>
  </si>
  <si>
    <t>TIEMPO DE LIBERACIÓN</t>
  </si>
  <si>
    <t>COMPLETADO</t>
  </si>
  <si>
    <t>REGULADO DE PLACAS</t>
  </si>
  <si>
    <t>CAMBIO FORMATO</t>
  </si>
  <si>
    <t>GARRIDO JORGE</t>
  </si>
  <si>
    <t>EN PROCESO</t>
  </si>
  <si>
    <t>Etiquetas de fila</t>
  </si>
  <si>
    <t>Total general</t>
  </si>
  <si>
    <t>Suma de CANTIDAD PRODUCIDA</t>
  </si>
  <si>
    <t>HORA</t>
  </si>
  <si>
    <t>MES</t>
  </si>
  <si>
    <t>Suma de HORA</t>
  </si>
  <si>
    <t>Suma de CANTIDAD RECHAZADA</t>
  </si>
  <si>
    <t>PRODUCCIÓN TOTAL</t>
  </si>
  <si>
    <t>MENDIETA DAVID</t>
  </si>
  <si>
    <t>120 ML A 15 ML</t>
  </si>
  <si>
    <t>15 ML A 30 ML</t>
  </si>
  <si>
    <t>30 M A 40 ML</t>
  </si>
  <si>
    <t>40 ML A 120 ML</t>
  </si>
  <si>
    <t>ENTREGADO</t>
  </si>
  <si>
    <t>AMOXICILINA-ACIDO CLAVULANICO 250/62,5 MG X 100 ML POLVO PARA SUSP.</t>
  </si>
  <si>
    <t>170 ML</t>
  </si>
  <si>
    <t>PARACETAMOL 120 MG X 60 ML JARABE</t>
  </si>
  <si>
    <t>80 ML</t>
  </si>
  <si>
    <t>TUSSINOL X 100 ML JARABE</t>
  </si>
  <si>
    <t>100 GR A 120 ML</t>
  </si>
  <si>
    <t>120 ML A 100 GR</t>
  </si>
  <si>
    <t>DUBUIT/1</t>
  </si>
  <si>
    <t>VITAVE AVIAR X 1000 G POLVO VETERINARIO</t>
  </si>
  <si>
    <t>POLVO SOLUBLE</t>
  </si>
  <si>
    <t>1 KG</t>
  </si>
  <si>
    <t>CEFALEXINA 250 MG X 60 ML POLVO PARA SUSP.</t>
  </si>
  <si>
    <t>VITAVE AVIAR X 100 G POLVO VETERINARIO</t>
  </si>
  <si>
    <t>IBUPROFENO 200 MG X 100 ML SUSP.</t>
  </si>
  <si>
    <t>AMBROXOL 15 MG X 100 ML JARABE</t>
  </si>
  <si>
    <t>DICLOXACILINA 250 MG X 60 ML POLVO PARA SUSP.</t>
  </si>
  <si>
    <t>HONGO-VET X 100 ML LOCION VETERINARIO</t>
  </si>
  <si>
    <t>ABENDAZOL 400 ML</t>
  </si>
  <si>
    <t>15 ML FRASCO BLANCO (P)</t>
  </si>
  <si>
    <t>120 ML A 170 ML</t>
  </si>
  <si>
    <t>2° CICLO VERDE</t>
  </si>
  <si>
    <t>UNIDADES PRODUCIDAS</t>
  </si>
  <si>
    <t>1° CICLO AZUL</t>
  </si>
  <si>
    <t>CLORFENAMINA 2 MG X 60 ML JARABE</t>
  </si>
  <si>
    <t>COMPLEJO B X 100 ML JARABE</t>
  </si>
  <si>
    <t>REMASOL X 30 ML LOCION</t>
  </si>
  <si>
    <t>40 ML A 1 KG</t>
  </si>
  <si>
    <t>2° CICLO VERDE, SE ENTREGO UNA PARTE, TODAVIA FALTA</t>
  </si>
  <si>
    <t>SE PELO LA PLACA DE COLOR AZUL</t>
  </si>
  <si>
    <t>CAMBIADO DE PLACA</t>
  </si>
  <si>
    <t>TUSSINOL X 30 ML JARABE MM</t>
  </si>
  <si>
    <t>MM-2026</t>
  </si>
  <si>
    <t>FERROCAN X 30 ML GOTAS VETERINARIO</t>
  </si>
  <si>
    <t>VETACEF 250 MG/5ML X 100 ML POLVO PARA SUSP. VETERINARIO</t>
  </si>
  <si>
    <t>AMBROXOL FORTE 30 MG X 100 ML JARABE</t>
  </si>
  <si>
    <t>DOMPERIDONA 10 MG X 20 ML GOTAS</t>
  </si>
  <si>
    <t>METRONIDAZOL 125 MG X 100 ML SUSP. VETERINARIO</t>
  </si>
  <si>
    <t>COTRIMOXAZOL 400/80 MG X 100 ML SUSP.</t>
  </si>
  <si>
    <t>COTRIMOXAZOL 200/40 MG X 100 ML SUSP.</t>
  </si>
  <si>
    <t>COTRIMOXAZOL 400/80 MG X 60 ML SUSP.</t>
  </si>
  <si>
    <t>PRODUCCION TOTAL</t>
  </si>
  <si>
    <t>ZINC 20 MG X 100 ML JARABE</t>
  </si>
  <si>
    <t>LEVOCAN X 15 ML GOTAS VETERINARIO</t>
  </si>
  <si>
    <t>METOCLOPRAMIDA X 20 ML GOTAS VETERINARIO</t>
  </si>
  <si>
    <t>METRONIDAZOL 250 MG X 100 ML SUSP. VETERINARIO</t>
  </si>
  <si>
    <t>PARACETAMOL 120 MG X 100 ML JARABE</t>
  </si>
  <si>
    <t>NISTATINA 500.000 UI X 60 ML SUSP.</t>
  </si>
  <si>
    <t>AMOXICILINA 250 MG X 100 ML POLVO PARA SUSP.</t>
  </si>
  <si>
    <t>DICLOXACILINA 250 MG X 100 ML POLVO PARA SUSP.</t>
  </si>
  <si>
    <t>DERMO VET X 100 ML LOCION VETERINARIO</t>
  </si>
  <si>
    <t>IFABENA 500 MG X 30 ML SUSP.</t>
  </si>
  <si>
    <t>AMOXICILINA 125 MG X 60 ML POLVO PARA SUSP. VETERINARIO</t>
  </si>
  <si>
    <t>COMPLEJO B POTENCIADO X 100 ML JARABE VETERINARIO</t>
  </si>
  <si>
    <t>AMOXICILINA 250 MG X 60 ML POLVO PARA SUSP.</t>
  </si>
  <si>
    <t>DEXTROMETORFANO 10 MG X 100 ML JARABE</t>
  </si>
  <si>
    <t>ALBENDAZOL 400 MG X 10 ML SUSP.</t>
  </si>
  <si>
    <t>10 ML</t>
  </si>
  <si>
    <t>FRASCO BLANCO (PARAGUAYO)</t>
  </si>
  <si>
    <t>COLOR ROJO</t>
  </si>
  <si>
    <t>COLOR NEGRO</t>
  </si>
  <si>
    <t>120ML A 40 ML</t>
  </si>
  <si>
    <t>40 ML A 30 ML</t>
  </si>
  <si>
    <t>30 ML A 15 ML</t>
  </si>
  <si>
    <t>80 ML A 120 ML</t>
  </si>
  <si>
    <t>120 ML A 40 ML</t>
  </si>
  <si>
    <t>15 ML A 120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</si>
</sst>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 Nova Light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0" borderId="2" xfId="0" applyBorder="1"/>
    <xf numFmtId="0" fontId="0" fillId="0" borderId="3" xfId="0" applyBorder="1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  <xf numFmtId="2" fontId="0" fillId="0" borderId="3" xfId="0" applyNumberFormat="1" applyBorder="1" applyAlignment="1">
      <alignment horizontal="center"/>
    </xf>
    <xf numFmtId="0" fontId="1" fillId="0" borderId="0" xfId="0" applyFont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0" borderId="0" xfId="0" applyNumberFormat="1" applyFill="1" applyAlignment="1">
      <alignment horizontal="center"/>
    </xf>
    <xf numFmtId="20" fontId="0" fillId="0" borderId="1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0" fontId="0" fillId="0" borderId="2" xfId="0" applyFill="1" applyBorder="1"/>
    <xf numFmtId="0" fontId="0" fillId="0" borderId="0" xfId="0" applyFill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0" xfId="0" applyFill="1"/>
    <xf numFmtId="0" fontId="0" fillId="3" borderId="2" xfId="0" applyFill="1" applyBorder="1" applyAlignment="1">
      <alignment horizontal="center"/>
    </xf>
    <xf numFmtId="0" fontId="0" fillId="3" borderId="2" xfId="0" applyNumberForma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71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35" formatCode="_-* #,##0.00_-;\-* #,##0.00_-;_-* &quot;-&quot;??_-;_-@_-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top/>
        <bottom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auto="1"/>
        </left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border diagonalUp="0" diagonalDown="0" outline="0">
        <left style="thin">
          <color indexed="64"/>
        </left>
        <right/>
        <top/>
        <bottom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/m/yyyy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  <dxf>
      <fill>
        <patternFill>
          <bgColor theme="6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2" formatCode="0.00"/>
    </dxf>
    <dxf>
      <numFmt numFmtId="19" formatCode="d/m/yyyy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FA-IMPRENTA" refreshedDate="46071.428449074076" createdVersion="7" refreshedVersion="7" minRefreshableVersion="3" recordCount="73" xr:uid="{F653549E-08E7-461A-81AA-08F17549859C}">
  <cacheSource type="worksheet">
    <worksheetSource name="Tabla_producción_serigrafia"/>
  </cacheSource>
  <cacheFields count="22">
    <cacheField name="FECHA" numFmtId="14">
      <sharedItems containsSemiMixedTypes="0" containsNonDate="0" containsDate="1" containsString="0" minDate="2026-01-12T00:00:00" maxDate="2026-02-14T00:00:00"/>
    </cacheField>
    <cacheField name="MÁQUINA" numFmtId="14">
      <sharedItems/>
    </cacheField>
    <cacheField name="OPERADOR" numFmtId="14">
      <sharedItems/>
    </cacheField>
    <cacheField name="INICIO" numFmtId="20">
      <sharedItems containsSemiMixedTypes="0" containsNonDate="0" containsDate="1" containsString="0" minDate="1899-12-30T08:00:00" maxDate="1899-12-30T18:00:00"/>
    </cacheField>
    <cacheField name="FIN" numFmtId="20">
      <sharedItems containsSemiMixedTypes="0" containsNonDate="0" containsDate="1" containsString="0" minDate="1899-12-30T08:20:00" maxDate="1899-12-30T22:00:00"/>
    </cacheField>
    <cacheField name="HORA" numFmtId="2">
      <sharedItems containsSemiMixedTypes="0" containsString="0" containsNumber="1" minValue="0.33" maxValue="9.6"/>
    </cacheField>
    <cacheField name="ACCIÓN" numFmtId="0">
      <sharedItems count="3">
        <s v="PRODUCCIÓN"/>
        <s v="CAMBIO FORMATO"/>
        <s v="REGULADO"/>
      </sharedItems>
    </cacheField>
    <cacheField name="LOTE" numFmtId="0">
      <sharedItems containsMixedTypes="1" containsNumber="1" containsInteger="1" minValue="4126" maxValue="122567" count="24">
        <n v="12659"/>
        <s v="-"/>
        <n v="12680"/>
        <n v="12655"/>
        <n v="12666"/>
        <n v="12667"/>
        <n v="12683"/>
        <n v="4126"/>
        <n v="5126"/>
        <n v="12676"/>
        <n v="12677"/>
        <n v="12670"/>
        <n v="12671"/>
        <n v="12672"/>
        <n v="12673"/>
        <n v="12678"/>
        <n v="12660"/>
        <n v="12685"/>
        <n v="12662"/>
        <n v="12663"/>
        <n v="12664"/>
        <n v="12665"/>
        <n v="12692"/>
        <n v="122567"/>
      </sharedItems>
    </cacheField>
    <cacheField name="PRODUCTO" numFmtId="0">
      <sharedItems count="15">
        <s v="CETIRIZINA 5 MG X 100 ML JARABE"/>
        <s v="-"/>
        <s v="PARACETAMOL 100 MG X 15 ML GOTAS"/>
        <s v="FERRASOL FN X 30 ML GOTAS"/>
        <s v="IFASAN 10% X 30 ML LOCION"/>
        <s v="MEBENDAZOL 100 MG X 30 ML SUSP."/>
        <s v="AMOXICILINA 250 MG + ACIDO CLAVULANICO 62,5 MG. X 60 ML POLVO PARA SUSP. VETERINARIO"/>
        <s v="SULTRIN FORTE 400/80 MG X 100 ML SUSP. VETERINARIO"/>
        <s v="IBUPROFENO 100 MG X 100 ML SUSP."/>
        <s v="TALCO PARA EL PITAI X 70 G POLVO"/>
        <s v="CODEINA 10 MG X 100 ML JARABE"/>
        <s v="METRONIDAZOL 250 MG X 100 ML SUSP."/>
        <s v="SARNOL 20% X 100 ML LOCION"/>
        <s v="AMOXICILINA-ACIDO CLAVULANICO 250/62,5 MG X 100 ML POLVO PARA SUSP."/>
        <s v="ABENDAZOL 400 ML"/>
      </sharedItems>
    </cacheField>
    <cacheField name="FORMATO DE FRASCO" numFmtId="0">
      <sharedItems count="7">
        <s v="120 ML"/>
        <s v="-"/>
        <s v="15 ML"/>
        <s v="30 ML"/>
        <s v="40 ML"/>
        <s v="100 GR"/>
        <s v="170 ML"/>
      </sharedItems>
    </cacheField>
    <cacheField name="TIPO DE FRASCO" numFmtId="0">
      <sharedItems count="3">
        <s v="FRASCO BLANCO"/>
        <s v="-"/>
        <s v="FRASCO NATURAL"/>
      </sharedItems>
    </cacheField>
    <cacheField name="FORMATO Y TIPO DE FRASCO" numFmtId="0">
      <sharedItems/>
    </cacheField>
    <cacheField name="CANTIDAD SOLICITADA" numFmtId="0">
      <sharedItems containsMixedTypes="1" containsNumber="1" containsInteger="1" minValue="1000" maxValue="56250" count="15">
        <n v="9901"/>
        <s v="-"/>
        <n v="56250"/>
        <n v="9000"/>
        <n v="15000"/>
        <n v="9800"/>
        <n v="1500"/>
        <n v="4902"/>
        <n v="23529"/>
        <n v="1000"/>
        <n v="2000"/>
        <n v="29703"/>
        <n v="14706"/>
        <n v="6000"/>
        <n v="10000"/>
      </sharedItems>
    </cacheField>
    <cacheField name="CANTIDAD PRODUCIDA" numFmtId="0">
      <sharedItems containsString="0" containsBlank="1" containsNumber="1" containsInteger="1" minValue="0" maxValue="21000"/>
    </cacheField>
    <cacheField name="CANTIDAD RECHAZADA" numFmtId="0">
      <sharedItems containsString="0" containsBlank="1" containsNumber="1" containsInteger="1" minValue="0" maxValue="1050"/>
    </cacheField>
    <cacheField name="ESTADO" numFmtId="0">
      <sharedItems containsBlank="1"/>
    </cacheField>
    <cacheField name="UNIDADES PRODUCIDAS" numFmtId="0">
      <sharedItems containsSemiMixedTypes="0" containsString="0" containsNumber="1" containsInteger="1" minValue="0" maxValue="21000"/>
    </cacheField>
    <cacheField name="TIEMPO DE LIBERACIÓN" numFmtId="0">
      <sharedItems containsMixedTypes="1" containsNumber="1" containsInteger="1" minValue="10" maxValue="32"/>
    </cacheField>
    <cacheField name="OBSERVACIONES" numFmtId="0">
      <sharedItems containsBlank="1"/>
    </cacheField>
    <cacheField name="MES" numFmtId="0">
      <sharedItems/>
    </cacheField>
    <cacheField name="Campo1" numFmtId="0" formula=" 0" databaseField="0"/>
    <cacheField name="TOTAL" numFmtId="0" formula="'CANTIDAD RECHAZADA'+'CANTIDAD PRODUCIDA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d v="2026-01-12T00:00:00"/>
    <s v="SF-ASP/3"/>
    <s v="MENDIETA DAVID"/>
    <d v="1899-12-30T08:00:00"/>
    <d v="1899-12-30T12:00:00"/>
    <n v="4"/>
    <x v="0"/>
    <x v="0"/>
    <x v="0"/>
    <x v="0"/>
    <x v="0"/>
    <s v="120 ML FRASCO BLANCO"/>
    <x v="0"/>
    <n v="9901"/>
    <n v="0"/>
    <s v="COMPLETADO"/>
    <n v="9901"/>
    <n v="10"/>
    <s v="-"/>
    <s v="ENE"/>
  </r>
  <r>
    <d v="2026-01-12T00:00:00"/>
    <s v="SF-ASP/3"/>
    <s v="MENDIETA DAVID"/>
    <d v="1899-12-30T12:00:00"/>
    <d v="1899-12-30T17:36:00"/>
    <n v="5.6"/>
    <x v="1"/>
    <x v="1"/>
    <x v="1"/>
    <x v="1"/>
    <x v="1"/>
    <s v="-"/>
    <x v="1"/>
    <n v="0"/>
    <n v="0"/>
    <s v="-"/>
    <n v="0"/>
    <s v="-"/>
    <s v="120 ML A 15 ML"/>
    <s v="ENE"/>
  </r>
  <r>
    <d v="2026-01-13T00:00:00"/>
    <s v="SF-ASP/3"/>
    <s v="MENDIETA DAVID"/>
    <d v="1899-12-30T08:00:00"/>
    <d v="1899-12-30T12:00:00"/>
    <n v="4"/>
    <x v="1"/>
    <x v="1"/>
    <x v="1"/>
    <x v="1"/>
    <x v="1"/>
    <s v="-"/>
    <x v="1"/>
    <m/>
    <n v="0"/>
    <s v="-"/>
    <n v="0"/>
    <s v="-"/>
    <s v="120 ML A 15 ML"/>
    <s v="ENE"/>
  </r>
  <r>
    <d v="2026-01-13T00:00:00"/>
    <s v="SF-ASP/3"/>
    <s v="MENDIETA DAVID"/>
    <d v="1899-12-30T12:00:00"/>
    <d v="1899-12-30T17:36:00"/>
    <n v="5.6"/>
    <x v="0"/>
    <x v="2"/>
    <x v="2"/>
    <x v="2"/>
    <x v="0"/>
    <s v="15 ML FRASCO BLANCO"/>
    <x v="2"/>
    <n v="10000"/>
    <n v="0"/>
    <s v="EN PROCESO"/>
    <n v="10000"/>
    <s v="-"/>
    <s v="-"/>
    <s v="ENE"/>
  </r>
  <r>
    <d v="2026-01-14T00:00:00"/>
    <s v="SF-ASP/3"/>
    <s v="MENDIETA DAVID"/>
    <d v="1899-12-30T08:00:00"/>
    <d v="1899-12-30T17:36:00"/>
    <n v="9.6"/>
    <x v="0"/>
    <x v="2"/>
    <x v="2"/>
    <x v="2"/>
    <x v="0"/>
    <s v="15 ML FRASCO BLANCO"/>
    <x v="2"/>
    <n v="15000"/>
    <n v="0"/>
    <s v="EN PROCESO"/>
    <n v="15000"/>
    <s v="-"/>
    <s v="-"/>
    <s v="ENE"/>
  </r>
  <r>
    <d v="2026-01-14T00:00:00"/>
    <s v="SF-ASP/3"/>
    <s v="GARRIDO JORGE"/>
    <d v="1899-12-30T17:36:00"/>
    <d v="1899-12-30T22:00:00"/>
    <n v="4.4000000000000004"/>
    <x v="0"/>
    <x v="2"/>
    <x v="2"/>
    <x v="2"/>
    <x v="0"/>
    <s v="15 ML FRASCO BLANCO"/>
    <x v="2"/>
    <n v="6000"/>
    <n v="0"/>
    <s v="EN PROCESO"/>
    <n v="6000"/>
    <s v="-"/>
    <s v="-"/>
    <s v="ENE"/>
  </r>
  <r>
    <d v="2026-01-15T00:00:00"/>
    <s v="SF-ASP/3"/>
    <s v="MENDIETA DAVID"/>
    <d v="1899-12-30T08:00:00"/>
    <d v="1899-12-30T17:36:00"/>
    <n v="9.6"/>
    <x v="0"/>
    <x v="2"/>
    <x v="2"/>
    <x v="2"/>
    <x v="0"/>
    <s v="15 ML FRASCO BLANCO"/>
    <x v="2"/>
    <n v="21000"/>
    <n v="0"/>
    <s v="EN PROCESO"/>
    <n v="21000"/>
    <s v="-"/>
    <s v="-"/>
    <s v="ENE"/>
  </r>
  <r>
    <d v="2026-01-16T00:00:00"/>
    <s v="SF-ASP/3"/>
    <s v="MENDIETA DAVID"/>
    <d v="1899-12-30T08:00:00"/>
    <d v="1899-12-30T11:00:00"/>
    <n v="3"/>
    <x v="0"/>
    <x v="2"/>
    <x v="2"/>
    <x v="2"/>
    <x v="0"/>
    <s v="15 ML FRASCO BLANCO"/>
    <x v="2"/>
    <n v="6250"/>
    <n v="1050"/>
    <s v="COMPLETADO"/>
    <n v="6250"/>
    <n v="14"/>
    <s v="-"/>
    <s v="ENE"/>
  </r>
  <r>
    <d v="2026-01-15T00:00:00"/>
    <s v="SF-ASP/3"/>
    <s v="MENDIETA DAVID"/>
    <d v="1899-12-30T11:00:00"/>
    <d v="1899-12-30T16:00:00"/>
    <n v="5"/>
    <x v="1"/>
    <x v="1"/>
    <x v="1"/>
    <x v="1"/>
    <x v="1"/>
    <s v="-"/>
    <x v="1"/>
    <n v="0"/>
    <n v="0"/>
    <s v="-"/>
    <n v="0"/>
    <s v="-"/>
    <s v="15 ML A 30 ML"/>
    <s v="ENE"/>
  </r>
  <r>
    <d v="2026-01-18T00:00:00"/>
    <s v="SF-ASP/3"/>
    <s v="GARRIDO JORGE"/>
    <d v="1899-12-30T16:00:00"/>
    <d v="1899-12-30T22:00:00"/>
    <n v="6"/>
    <x v="0"/>
    <x v="3"/>
    <x v="3"/>
    <x v="3"/>
    <x v="0"/>
    <s v="30 ML FRASCO BLANCO"/>
    <x v="3"/>
    <n v="9000"/>
    <n v="550"/>
    <s v="COMPLETADO"/>
    <n v="9000"/>
    <n v="16"/>
    <s v="-"/>
    <s v="ENE"/>
  </r>
  <r>
    <d v="2026-01-19T00:00:00"/>
    <s v="SF-ASP/3"/>
    <s v="MENDIETA DAVID"/>
    <d v="1899-12-30T08:00:00"/>
    <d v="1899-12-30T08:30:00"/>
    <n v="0.5"/>
    <x v="2"/>
    <x v="1"/>
    <x v="1"/>
    <x v="1"/>
    <x v="1"/>
    <s v="-"/>
    <x v="1"/>
    <n v="0"/>
    <n v="0"/>
    <s v="-"/>
    <n v="0"/>
    <s v="-"/>
    <s v="REGULADO DE PLACAS"/>
    <s v="ENE"/>
  </r>
  <r>
    <d v="2026-01-19T00:00:00"/>
    <s v="SF-ASP/3"/>
    <s v="MENDIETA DAVID"/>
    <d v="1899-12-30T08:30:00"/>
    <d v="1899-12-30T17:00:00"/>
    <n v="8.5"/>
    <x v="0"/>
    <x v="4"/>
    <x v="4"/>
    <x v="3"/>
    <x v="0"/>
    <s v="30 ML FRASCO BLANCO"/>
    <x v="4"/>
    <n v="15200"/>
    <n v="510"/>
    <s v="COMPLETADO"/>
    <n v="15200"/>
    <n v="17"/>
    <s v="-"/>
    <s v="ENE"/>
  </r>
  <r>
    <d v="2026-01-19T00:00:00"/>
    <s v="SF-ASP/3"/>
    <s v="GARRIDO JORGE"/>
    <d v="1899-12-30T17:30:00"/>
    <d v="1899-12-30T22:00:00"/>
    <n v="4.5"/>
    <x v="0"/>
    <x v="5"/>
    <x v="4"/>
    <x v="3"/>
    <x v="0"/>
    <s v="30 ML FRASCO BLANCO"/>
    <x v="4"/>
    <n v="6000"/>
    <n v="0"/>
    <s v="EN PROCESO"/>
    <n v="6000"/>
    <s v="-"/>
    <s v="-"/>
    <s v="ENE"/>
  </r>
  <r>
    <d v="2026-01-20T00:00:00"/>
    <s v="SF-ASP/3"/>
    <s v="MENDIETA DAVID"/>
    <d v="1899-12-30T08:00:00"/>
    <d v="1899-12-30T08:20:00"/>
    <n v="0.33"/>
    <x v="2"/>
    <x v="1"/>
    <x v="1"/>
    <x v="1"/>
    <x v="1"/>
    <s v="-"/>
    <x v="1"/>
    <n v="0"/>
    <n v="0"/>
    <s v="-"/>
    <n v="0"/>
    <s v="-"/>
    <s v="REGULADO DE PLACAS"/>
    <s v="ENE"/>
  </r>
  <r>
    <d v="2026-01-20T00:00:00"/>
    <s v="SF-ASP/3"/>
    <s v="MENDIETA DAVID"/>
    <d v="1899-12-30T08:20:00"/>
    <d v="1899-12-30T10:00:00"/>
    <n v="1.67"/>
    <x v="0"/>
    <x v="5"/>
    <x v="4"/>
    <x v="3"/>
    <x v="0"/>
    <s v="30 ML FRASCO BLANCO"/>
    <x v="4"/>
    <n v="4200"/>
    <n v="409"/>
    <s v="COMPLETADO"/>
    <n v="4200"/>
    <n v="18"/>
    <s v="-"/>
    <s v="ENE"/>
  </r>
  <r>
    <d v="2026-01-20T00:00:00"/>
    <s v="SF-ASP/3"/>
    <s v="MENDIETA DAVID"/>
    <d v="1899-12-30T10:00:00"/>
    <d v="1899-12-30T14:30:00"/>
    <n v="4.5"/>
    <x v="1"/>
    <x v="1"/>
    <x v="1"/>
    <x v="1"/>
    <x v="1"/>
    <s v="-"/>
    <x v="1"/>
    <n v="0"/>
    <n v="0"/>
    <s v="-"/>
    <n v="0"/>
    <s v="-"/>
    <s v="30 M A 40 ML"/>
    <s v="ENE"/>
  </r>
  <r>
    <d v="2026-01-20T00:00:00"/>
    <s v="SF-ASP/3"/>
    <s v="MENDIETA DAVID"/>
    <d v="1899-12-30T14:30:00"/>
    <d v="1899-12-30T15:00:00"/>
    <n v="0.5"/>
    <x v="2"/>
    <x v="1"/>
    <x v="1"/>
    <x v="1"/>
    <x v="1"/>
    <s v="-"/>
    <x v="1"/>
    <n v="0"/>
    <n v="0"/>
    <s v="-"/>
    <n v="0"/>
    <s v="-"/>
    <s v="-"/>
    <s v="ENE"/>
  </r>
  <r>
    <d v="2026-01-20T00:00:00"/>
    <s v="SF-ASP/3"/>
    <s v="GARRIDO JORGE"/>
    <d v="1899-12-30T15:00:00"/>
    <d v="1899-12-30T22:00:00"/>
    <n v="7"/>
    <x v="0"/>
    <x v="6"/>
    <x v="5"/>
    <x v="4"/>
    <x v="0"/>
    <s v="40 ML FRASCO BLANCO"/>
    <x v="5"/>
    <n v="10000"/>
    <n v="409"/>
    <s v="COMPLETADO"/>
    <n v="10000"/>
    <n v="18"/>
    <s v="-"/>
    <s v="ENE"/>
  </r>
  <r>
    <d v="2026-01-21T00:00:00"/>
    <s v="SF-ASP/3"/>
    <s v="MENDIETA DAVID"/>
    <d v="1899-12-30T08:00:00"/>
    <d v="1899-12-30T13:00:00"/>
    <n v="5"/>
    <x v="1"/>
    <x v="1"/>
    <x v="1"/>
    <x v="1"/>
    <x v="1"/>
    <s v="-"/>
    <x v="1"/>
    <n v="0"/>
    <n v="0"/>
    <s v="-"/>
    <n v="0"/>
    <s v="-"/>
    <s v="40 ML A 120 ML"/>
    <s v="ENE"/>
  </r>
  <r>
    <d v="2026-01-21T00:00:00"/>
    <s v="SF-ASP/3"/>
    <s v="MENDIETA DAVID"/>
    <d v="1899-12-30T13:00:00"/>
    <d v="1899-12-30T13:30:00"/>
    <n v="0.5"/>
    <x v="2"/>
    <x v="1"/>
    <x v="1"/>
    <x v="1"/>
    <x v="1"/>
    <s v="-"/>
    <x v="1"/>
    <n v="0"/>
    <n v="0"/>
    <s v="-"/>
    <n v="0"/>
    <s v="-"/>
    <s v="REGULADO DE PLACAS"/>
    <s v="ENE"/>
  </r>
  <r>
    <d v="2026-01-21T00:00:00"/>
    <s v="SF-ASP/3"/>
    <s v="MENDIETA DAVID"/>
    <d v="1899-12-30T14:00:00"/>
    <d v="1899-12-30T15:00:00"/>
    <n v="1"/>
    <x v="0"/>
    <x v="7"/>
    <x v="6"/>
    <x v="0"/>
    <x v="2"/>
    <s v="120 ML FRASCO NATURAL"/>
    <x v="6"/>
    <n v="1600"/>
    <n v="160"/>
    <s v="COMPLETADO"/>
    <n v="1600"/>
    <n v="19"/>
    <s v="-"/>
    <s v="ENE"/>
  </r>
  <r>
    <d v="2026-01-21T00:00:00"/>
    <s v="SF-ASP/3"/>
    <s v="MENDIETA DAVID"/>
    <d v="1899-12-30T15:00:00"/>
    <d v="1899-12-30T15:30:00"/>
    <n v="0.5"/>
    <x v="2"/>
    <x v="1"/>
    <x v="1"/>
    <x v="1"/>
    <x v="1"/>
    <s v="-"/>
    <x v="1"/>
    <n v="0"/>
    <n v="0"/>
    <s v="-"/>
    <n v="0"/>
    <s v="-"/>
    <s v="REGULADO DE PLACAS"/>
    <s v="ENE"/>
  </r>
  <r>
    <d v="2026-01-21T00:00:00"/>
    <s v="SF-ASP/3"/>
    <s v="MENDIETA DAVID"/>
    <d v="1899-12-30T15:30:00"/>
    <d v="1899-12-30T17:30:00"/>
    <n v="2"/>
    <x v="0"/>
    <x v="8"/>
    <x v="7"/>
    <x v="0"/>
    <x v="0"/>
    <s v="120 ML FRASCO BLANCO"/>
    <x v="7"/>
    <n v="5000"/>
    <n v="290"/>
    <s v="COMPLETADO"/>
    <n v="5000"/>
    <n v="19"/>
    <s v="-"/>
    <s v="ENE"/>
  </r>
  <r>
    <d v="2026-01-21T00:00:00"/>
    <s v="SF-ASP/3"/>
    <s v="MENDIETA DAVID"/>
    <d v="1899-12-30T17:30:00"/>
    <d v="1899-12-30T18:00:00"/>
    <n v="0.5"/>
    <x v="2"/>
    <x v="1"/>
    <x v="1"/>
    <x v="1"/>
    <x v="1"/>
    <s v="-"/>
    <x v="1"/>
    <n v="0"/>
    <n v="0"/>
    <s v="-"/>
    <n v="0"/>
    <s v="-"/>
    <s v="REGULADO DE PLACAS"/>
    <s v="ENE"/>
  </r>
  <r>
    <d v="2026-01-21T00:00:00"/>
    <s v="SF-ASP/3"/>
    <s v="GARRIDO JORGE"/>
    <d v="1899-12-30T18:00:00"/>
    <d v="1899-12-30T22:00:00"/>
    <n v="4"/>
    <x v="0"/>
    <x v="9"/>
    <x v="8"/>
    <x v="0"/>
    <x v="0"/>
    <s v="120 ML FRASCO BLANCO"/>
    <x v="8"/>
    <n v="10000"/>
    <n v="0"/>
    <s v="EN PROCESO"/>
    <n v="10000"/>
    <s v="-"/>
    <s v="-"/>
    <s v="ENE"/>
  </r>
  <r>
    <d v="2026-01-22T00:00:00"/>
    <s v="SF-ASP/3"/>
    <s v="MENDIETA DAVID"/>
    <d v="1899-12-30T08:00:00"/>
    <d v="1899-12-30T08:30:00"/>
    <n v="0.5"/>
    <x v="2"/>
    <x v="1"/>
    <x v="1"/>
    <x v="1"/>
    <x v="1"/>
    <s v="-"/>
    <x v="1"/>
    <n v="0"/>
    <n v="0"/>
    <s v="-"/>
    <n v="0"/>
    <s v="-"/>
    <s v="-"/>
    <s v="ENE"/>
  </r>
  <r>
    <d v="2026-01-22T00:00:00"/>
    <s v="SF-ASP/3"/>
    <s v="MENDIETA DAVID"/>
    <d v="1899-12-30T08:30:00"/>
    <d v="1899-12-30T14:30:00"/>
    <n v="6"/>
    <x v="0"/>
    <x v="9"/>
    <x v="8"/>
    <x v="0"/>
    <x v="0"/>
    <s v="120 ML FRASCO BLANCO"/>
    <x v="8"/>
    <n v="13700"/>
    <n v="309"/>
    <s v="COMPLETADO"/>
    <n v="13700"/>
    <n v="20"/>
    <s v="-"/>
    <s v="ENE"/>
  </r>
  <r>
    <d v="2026-01-22T00:00:00"/>
    <s v="SF-ASP/3"/>
    <s v="MENDIETA DAVID"/>
    <d v="1899-12-30T14:30:00"/>
    <d v="1899-12-30T15:00:00"/>
    <n v="0.5"/>
    <x v="2"/>
    <x v="1"/>
    <x v="1"/>
    <x v="1"/>
    <x v="1"/>
    <s v="-"/>
    <x v="1"/>
    <n v="0"/>
    <n v="0"/>
    <s v="-"/>
    <n v="0"/>
    <s v="-"/>
    <s v="-"/>
    <s v="ENE"/>
  </r>
  <r>
    <d v="2026-01-22T00:00:00"/>
    <s v="SF-ASP/3"/>
    <s v="GARRIDO JORGE"/>
    <d v="1899-12-30T15:00:00"/>
    <d v="1899-12-30T22:00:00"/>
    <n v="7"/>
    <x v="0"/>
    <x v="10"/>
    <x v="8"/>
    <x v="0"/>
    <x v="0"/>
    <s v="120 ML FRASCO BLANCO"/>
    <x v="8"/>
    <n v="15000"/>
    <n v="0"/>
    <s v="EN PROCESO"/>
    <n v="15000"/>
    <s v="-"/>
    <s v="-"/>
    <s v="ENE"/>
  </r>
  <r>
    <d v="2026-01-26T00:00:00"/>
    <s v="SF-ASP/3"/>
    <s v="MENDIETA DAVID"/>
    <d v="1899-12-30T08:00:00"/>
    <d v="1899-12-30T11:00:00"/>
    <n v="3"/>
    <x v="1"/>
    <x v="1"/>
    <x v="1"/>
    <x v="1"/>
    <x v="1"/>
    <s v="-"/>
    <x v="1"/>
    <n v="0"/>
    <n v="0"/>
    <s v="-"/>
    <n v="0"/>
    <s v="-"/>
    <s v="120 ML A 100 GR"/>
    <s v="ENE"/>
  </r>
  <r>
    <d v="2026-01-26T00:00:00"/>
    <s v="SF-ASP/3"/>
    <s v="MENDIETA DAVID"/>
    <d v="1899-12-30T11:00:00"/>
    <d v="1899-12-30T11:30:00"/>
    <n v="0.5"/>
    <x v="2"/>
    <x v="1"/>
    <x v="1"/>
    <x v="1"/>
    <x v="1"/>
    <s v="-"/>
    <x v="1"/>
    <n v="0"/>
    <n v="0"/>
    <s v="-"/>
    <n v="0"/>
    <s v="-"/>
    <s v="-"/>
    <s v="ENE"/>
  </r>
  <r>
    <d v="2026-01-26T00:00:00"/>
    <s v="SF-ASP/3"/>
    <s v="MENDIETA DAVID"/>
    <d v="1899-12-30T11:30:00"/>
    <d v="1899-12-30T12:20:00"/>
    <n v="0.83"/>
    <x v="0"/>
    <x v="11"/>
    <x v="9"/>
    <x v="5"/>
    <x v="0"/>
    <s v="100 GR FRASCO BLANCO"/>
    <x v="9"/>
    <n v="1060"/>
    <n v="60"/>
    <s v="COMPLETADO"/>
    <n v="1060"/>
    <n v="24"/>
    <s v="-"/>
    <s v="ENE"/>
  </r>
  <r>
    <d v="2026-01-26T00:00:00"/>
    <s v="SF-ASP/3"/>
    <s v="MENDIETA DAVID"/>
    <d v="1899-12-30T12:30:00"/>
    <d v="1899-12-30T13:30:00"/>
    <n v="1"/>
    <x v="0"/>
    <x v="12"/>
    <x v="9"/>
    <x v="5"/>
    <x v="0"/>
    <s v="100 GR FRASCO BLANCO"/>
    <x v="10"/>
    <n v="2100"/>
    <n v="70"/>
    <s v="COMPLETADO"/>
    <n v="2100"/>
    <n v="24"/>
    <s v="-"/>
    <s v="ENE"/>
  </r>
  <r>
    <d v="2026-01-26T00:00:00"/>
    <s v="SF-ASP/3"/>
    <s v="MENDIETA DAVID"/>
    <d v="1899-12-30T14:10:00"/>
    <d v="1899-12-30T15:10:00"/>
    <n v="1"/>
    <x v="0"/>
    <x v="13"/>
    <x v="9"/>
    <x v="5"/>
    <x v="0"/>
    <s v="100 GR FRASCO BLANCO"/>
    <x v="10"/>
    <n v="2100"/>
    <n v="80"/>
    <s v="COMPLETADO"/>
    <n v="2100"/>
    <n v="24"/>
    <s v="-"/>
    <s v="ENE"/>
  </r>
  <r>
    <d v="2026-01-26T00:00:00"/>
    <s v="SF-ASP/3"/>
    <s v="MENDIETA DAVID"/>
    <d v="1899-12-30T15:20:00"/>
    <d v="1899-12-30T16:30:00"/>
    <n v="1.17"/>
    <x v="0"/>
    <x v="14"/>
    <x v="9"/>
    <x v="5"/>
    <x v="0"/>
    <s v="100 GR FRASCO BLANCO"/>
    <x v="10"/>
    <n v="2100"/>
    <n v="72"/>
    <s v="COMPLETADO"/>
    <n v="2100"/>
    <n v="24"/>
    <s v="-"/>
    <s v="ENE"/>
  </r>
  <r>
    <d v="2026-01-27T00:00:00"/>
    <s v="SF-ASP/3"/>
    <s v="MENDIETA DAVID"/>
    <d v="1899-12-30T08:00:00"/>
    <d v="1899-12-30T11:00:00"/>
    <n v="3"/>
    <x v="1"/>
    <x v="1"/>
    <x v="1"/>
    <x v="1"/>
    <x v="1"/>
    <s v="-"/>
    <x v="1"/>
    <n v="0"/>
    <n v="0"/>
    <s v="-"/>
    <n v="0"/>
    <s v="-"/>
    <s v="100 GR A 120 ML"/>
    <s v="ENE"/>
  </r>
  <r>
    <d v="2026-01-27T00:00:00"/>
    <s v="SF-ASP/3"/>
    <s v="MENDIETA DAVID"/>
    <d v="1899-12-30T11:00:00"/>
    <d v="1899-12-30T11:30:00"/>
    <n v="0.5"/>
    <x v="2"/>
    <x v="1"/>
    <x v="1"/>
    <x v="1"/>
    <x v="1"/>
    <s v="-"/>
    <x v="1"/>
    <n v="0"/>
    <n v="0"/>
    <s v="-"/>
    <n v="0"/>
    <s v="-"/>
    <s v="-"/>
    <s v="ENE"/>
  </r>
  <r>
    <d v="2026-01-27T00:00:00"/>
    <s v="SF-ASP/3"/>
    <s v="MENDIETA DAVID"/>
    <d v="1899-12-30T11:30:00"/>
    <d v="1899-12-30T15:00:00"/>
    <n v="3.5"/>
    <x v="0"/>
    <x v="10"/>
    <x v="8"/>
    <x v="0"/>
    <x v="0"/>
    <s v="120 ML FRASCO BLANCO"/>
    <x v="8"/>
    <n v="8700"/>
    <n v="309"/>
    <s v="COMPLETADO"/>
    <n v="8700"/>
    <n v="25"/>
    <s v="-"/>
    <s v="ENE"/>
  </r>
  <r>
    <d v="2026-01-27T00:00:00"/>
    <s v="SF-ASP/3"/>
    <s v="MENDIETA DAVID"/>
    <d v="1899-12-30T15:00:00"/>
    <d v="1899-12-30T15:20:00"/>
    <n v="0.33"/>
    <x v="2"/>
    <x v="1"/>
    <x v="1"/>
    <x v="1"/>
    <x v="1"/>
    <s v="-"/>
    <x v="1"/>
    <n v="0"/>
    <n v="0"/>
    <s v="-"/>
    <n v="0"/>
    <s v="-"/>
    <s v="-"/>
    <s v="ENE"/>
  </r>
  <r>
    <d v="2026-01-27T00:00:00"/>
    <s v="SF-ASP/3"/>
    <s v="MENDIETA DAVID"/>
    <d v="1899-12-30T15:20:00"/>
    <d v="1899-12-30T17:00:00"/>
    <n v="1.67"/>
    <x v="0"/>
    <x v="15"/>
    <x v="8"/>
    <x v="0"/>
    <x v="0"/>
    <s v="120 ML FRASCO BLANCO"/>
    <x v="8"/>
    <n v="4000"/>
    <n v="0"/>
    <s v="EN PROCESO"/>
    <n v="4000"/>
    <s v="-"/>
    <s v="-"/>
    <s v="ENE"/>
  </r>
  <r>
    <d v="2026-01-28T00:00:00"/>
    <s v="SF-ASP/3"/>
    <s v="MENDIETA DAVID"/>
    <d v="1899-12-30T08:00:00"/>
    <d v="1899-12-30T08:20:00"/>
    <n v="0.33"/>
    <x v="2"/>
    <x v="1"/>
    <x v="1"/>
    <x v="1"/>
    <x v="1"/>
    <s v="-"/>
    <x v="1"/>
    <n v="0"/>
    <n v="0"/>
    <m/>
    <n v="0"/>
    <s v="-"/>
    <s v="-"/>
    <s v="ENE"/>
  </r>
  <r>
    <d v="2026-01-28T00:00:00"/>
    <s v="SF-ASP/3"/>
    <s v="MENDIETA DAVID"/>
    <d v="1899-12-30T08:20:00"/>
    <d v="1899-12-30T17:00:00"/>
    <n v="8.67"/>
    <x v="0"/>
    <x v="15"/>
    <x v="8"/>
    <x v="0"/>
    <x v="0"/>
    <s v="120 ML FRASCO BLANCO"/>
    <x v="8"/>
    <n v="19700"/>
    <n v="209"/>
    <s v="COMPLETADO"/>
    <n v="19700"/>
    <n v="26"/>
    <s v="-"/>
    <s v="ENE"/>
  </r>
  <r>
    <d v="2026-01-29T00:00:00"/>
    <s v="SF-ASP/3"/>
    <s v="MENDIETA DAVID"/>
    <d v="1899-12-30T08:00:00"/>
    <d v="1899-12-30T08:30:00"/>
    <n v="0.5"/>
    <x v="2"/>
    <x v="1"/>
    <x v="1"/>
    <x v="1"/>
    <x v="1"/>
    <s v="-"/>
    <x v="1"/>
    <n v="0"/>
    <n v="0"/>
    <m/>
    <n v="0"/>
    <s v="-"/>
    <s v="-"/>
    <s v="ENE"/>
  </r>
  <r>
    <d v="2026-01-29T00:00:00"/>
    <s v="SF-ASP/3"/>
    <s v="MENDIETA DAVID"/>
    <d v="1899-12-30T08:30:00"/>
    <d v="1899-12-30T17:00:00"/>
    <n v="8.5"/>
    <x v="0"/>
    <x v="16"/>
    <x v="10"/>
    <x v="0"/>
    <x v="0"/>
    <s v="120 ML FRASCO BLANCO"/>
    <x v="11"/>
    <n v="20000"/>
    <n v="0"/>
    <s v="EN PROCESO"/>
    <n v="20000"/>
    <s v="-"/>
    <s v="-"/>
    <s v="ENE"/>
  </r>
  <r>
    <d v="2026-01-30T00:00:00"/>
    <s v="SF-ASP/3"/>
    <s v="MENDIETA DAVID"/>
    <d v="1899-12-30T08:00:00"/>
    <d v="1899-12-30T08:25:00"/>
    <n v="0.42"/>
    <x v="2"/>
    <x v="1"/>
    <x v="1"/>
    <x v="1"/>
    <x v="1"/>
    <s v="-"/>
    <x v="1"/>
    <n v="0"/>
    <n v="0"/>
    <m/>
    <n v="0"/>
    <s v="-"/>
    <s v="-"/>
    <s v="ENE"/>
  </r>
  <r>
    <d v="2026-01-30T00:00:00"/>
    <s v="SF-ASP/3"/>
    <s v="MENDIETA DAVID"/>
    <d v="1899-12-30T08:25:00"/>
    <d v="1899-12-30T12:10:00"/>
    <n v="3.75"/>
    <x v="0"/>
    <x v="16"/>
    <x v="10"/>
    <x v="0"/>
    <x v="0"/>
    <s v="120 ML FRASCO BLANCO"/>
    <x v="11"/>
    <n v="9903"/>
    <n v="200"/>
    <s v="COMPLETADO"/>
    <n v="9903"/>
    <n v="28"/>
    <s v="-"/>
    <s v="ENE"/>
  </r>
  <r>
    <d v="2026-01-30T00:00:00"/>
    <s v="SF-ASP/3"/>
    <s v="MENDIETA DAVID"/>
    <d v="1899-12-30T12:10:00"/>
    <d v="1899-12-30T12:30:00"/>
    <n v="0.33"/>
    <x v="2"/>
    <x v="1"/>
    <x v="1"/>
    <x v="1"/>
    <x v="1"/>
    <s v="-"/>
    <x v="1"/>
    <n v="0"/>
    <n v="0"/>
    <m/>
    <n v="0"/>
    <s v="-"/>
    <s v="-"/>
    <s v="ENE"/>
  </r>
  <r>
    <d v="2026-01-30T00:00:00"/>
    <s v="SF-ASP/3"/>
    <s v="MENDIETA DAVID"/>
    <d v="1899-12-30T12:30:00"/>
    <d v="1899-12-30T17:00:00"/>
    <n v="4.5"/>
    <x v="0"/>
    <x v="17"/>
    <x v="11"/>
    <x v="0"/>
    <x v="0"/>
    <s v="120 ML FRASCO BLANCO"/>
    <x v="12"/>
    <n v="10500"/>
    <n v="0"/>
    <s v="EN PROCESO"/>
    <n v="10500"/>
    <s v="-"/>
    <s v="-"/>
    <s v="ENE"/>
  </r>
  <r>
    <d v="2026-02-02T00:00:00"/>
    <s v="SF-ASP/3"/>
    <s v="MENDIETA DAVID"/>
    <d v="1899-12-30T08:00:00"/>
    <d v="1899-12-30T08:30:00"/>
    <n v="0.5"/>
    <x v="2"/>
    <x v="1"/>
    <x v="1"/>
    <x v="1"/>
    <x v="1"/>
    <s v="-"/>
    <x v="1"/>
    <n v="0"/>
    <n v="0"/>
    <m/>
    <n v="0"/>
    <s v="-"/>
    <s v="-"/>
    <s v="FEB"/>
  </r>
  <r>
    <d v="2026-02-02T00:00:00"/>
    <s v="SF-ASP/3"/>
    <s v="MENDIETA DAVID"/>
    <d v="1899-12-30T08:30:00"/>
    <d v="1899-12-30T10:30:00"/>
    <n v="2"/>
    <x v="0"/>
    <x v="17"/>
    <x v="11"/>
    <x v="0"/>
    <x v="0"/>
    <s v="120 ML FRASCO BLANCO"/>
    <x v="12"/>
    <n v="4306"/>
    <n v="133"/>
    <s v="COMPLETADO"/>
    <n v="4306"/>
    <n v="31"/>
    <s v="-"/>
    <s v="FEB"/>
  </r>
  <r>
    <d v="2026-02-02T00:00:00"/>
    <s v="SF-ASP/3"/>
    <s v="MENDIETA DAVID"/>
    <d v="1899-12-30T10:30:00"/>
    <d v="1899-12-30T11:00:00"/>
    <n v="0.5"/>
    <x v="2"/>
    <x v="1"/>
    <x v="1"/>
    <x v="1"/>
    <x v="1"/>
    <s v="-"/>
    <x v="1"/>
    <n v="0"/>
    <n v="0"/>
    <m/>
    <n v="0"/>
    <s v="-"/>
    <s v="-"/>
    <s v="FEB"/>
  </r>
  <r>
    <d v="2026-02-02T00:00:00"/>
    <s v="SF-ASP/3"/>
    <s v="MENDIETA DAVID"/>
    <d v="1899-12-30T11:00:00"/>
    <d v="1899-12-30T12:00:00"/>
    <n v="1"/>
    <x v="0"/>
    <x v="18"/>
    <x v="12"/>
    <x v="0"/>
    <x v="2"/>
    <s v="120 ML FRASCO NATURAL"/>
    <x v="10"/>
    <n v="2100"/>
    <n v="60"/>
    <s v="COMPLETADO"/>
    <n v="2100"/>
    <n v="31"/>
    <s v="-"/>
    <s v="FEB"/>
  </r>
  <r>
    <d v="2026-02-02T00:00:00"/>
    <s v="SF-ASP/3"/>
    <s v="MENDIETA DAVID"/>
    <d v="1899-12-30T12:00:00"/>
    <d v="1899-12-30T12:20:00"/>
    <n v="0.33"/>
    <x v="2"/>
    <x v="1"/>
    <x v="1"/>
    <x v="1"/>
    <x v="1"/>
    <s v="-"/>
    <x v="1"/>
    <n v="0"/>
    <n v="0"/>
    <m/>
    <n v="0"/>
    <s v="-"/>
    <s v="-"/>
    <s v="FEB"/>
  </r>
  <r>
    <d v="2026-02-02T00:00:00"/>
    <s v="SF-ASP/3"/>
    <s v="MENDIETA DAVID"/>
    <d v="1899-12-30T12:20:00"/>
    <d v="1899-12-30T14:30:00"/>
    <n v="2.17"/>
    <x v="0"/>
    <x v="19"/>
    <x v="12"/>
    <x v="0"/>
    <x v="2"/>
    <s v="120 ML FRASCO NATURAL"/>
    <x v="13"/>
    <n v="6100"/>
    <n v="70"/>
    <s v="COMPLETADO"/>
    <n v="6100"/>
    <n v="31"/>
    <s v="-"/>
    <s v="FEB"/>
  </r>
  <r>
    <d v="2026-02-02T00:00:00"/>
    <s v="SF-ASP/3"/>
    <s v="MENDIETA DAVID"/>
    <d v="1899-12-30T14:40:00"/>
    <d v="1899-12-30T17:10:00"/>
    <n v="2.5"/>
    <x v="0"/>
    <x v="20"/>
    <x v="12"/>
    <x v="0"/>
    <x v="2"/>
    <s v="120 ML FRASCO NATURAL"/>
    <x v="13"/>
    <n v="6100"/>
    <n v="66"/>
    <s v="COMPLETADO"/>
    <n v="6100"/>
    <n v="31"/>
    <s v="-"/>
    <s v="FEB"/>
  </r>
  <r>
    <d v="2026-02-03T00:00:00"/>
    <s v="SF-ASP/3"/>
    <s v="MENDIETA DAVID"/>
    <d v="1899-12-30T08:00:00"/>
    <d v="1899-12-30T08:30:00"/>
    <n v="0.5"/>
    <x v="2"/>
    <x v="1"/>
    <x v="1"/>
    <x v="1"/>
    <x v="1"/>
    <s v="-"/>
    <x v="1"/>
    <n v="0"/>
    <n v="0"/>
    <m/>
    <n v="0"/>
    <s v="-"/>
    <s v="-"/>
    <s v="FEB"/>
  </r>
  <r>
    <d v="2026-02-03T00:00:00"/>
    <s v="SF-ASP/3"/>
    <s v="MENDIETA DAVID"/>
    <d v="1899-12-30T08:30:00"/>
    <d v="1899-12-30T11:30:00"/>
    <n v="3"/>
    <x v="0"/>
    <x v="21"/>
    <x v="12"/>
    <x v="0"/>
    <x v="2"/>
    <s v="120 ML FRASCO NATURAL"/>
    <x v="13"/>
    <n v="6100"/>
    <n v="70"/>
    <s v="COMPLETADO"/>
    <n v="6100"/>
    <n v="32"/>
    <s v="-"/>
    <s v="FEB"/>
  </r>
  <r>
    <d v="2026-02-03T00:00:00"/>
    <s v="SF-ASP/3"/>
    <s v="MENDIETA DAVID"/>
    <d v="1899-12-30T11:30:00"/>
    <d v="1899-12-30T13:30:00"/>
    <n v="2"/>
    <x v="1"/>
    <x v="1"/>
    <x v="1"/>
    <x v="1"/>
    <x v="1"/>
    <s v="-"/>
    <x v="1"/>
    <n v="0"/>
    <n v="0"/>
    <m/>
    <n v="0"/>
    <s v="-"/>
    <s v="120 ML A 170 ML"/>
    <s v="FEB"/>
  </r>
  <r>
    <d v="2026-02-03T00:00:00"/>
    <s v="SF-ASP/3"/>
    <s v="MENDIETA DAVID"/>
    <d v="1899-12-30T14:00:00"/>
    <d v="1899-12-30T14:20:00"/>
    <n v="0.33"/>
    <x v="2"/>
    <x v="1"/>
    <x v="1"/>
    <x v="1"/>
    <x v="1"/>
    <s v="-"/>
    <x v="1"/>
    <n v="0"/>
    <n v="0"/>
    <m/>
    <n v="0"/>
    <s v="-"/>
    <s v="-"/>
    <s v="FEB"/>
  </r>
  <r>
    <d v="2026-02-03T00:00:00"/>
    <s v="SF-ASP/3"/>
    <s v="MENDIETA DAVID"/>
    <d v="1899-12-30T14:20:00"/>
    <d v="1899-12-30T17:00:00"/>
    <n v="2.67"/>
    <x v="0"/>
    <x v="22"/>
    <x v="13"/>
    <x v="6"/>
    <x v="2"/>
    <s v="170 ML FRASCO NATURAL"/>
    <x v="13"/>
    <n v="6100"/>
    <n v="60"/>
    <s v="COMPLETADO"/>
    <n v="6100"/>
    <n v="18"/>
    <s v="-"/>
    <s v="FEB"/>
  </r>
  <r>
    <d v="2026-02-04T00:00:00"/>
    <s v="DUBUIT/1"/>
    <s v="GARRIDO JORGE"/>
    <d v="1899-12-30T08:00:00"/>
    <d v="1899-12-30T10:30:00"/>
    <n v="2.5"/>
    <x v="2"/>
    <x v="1"/>
    <x v="1"/>
    <x v="1"/>
    <x v="1"/>
    <s v="-"/>
    <x v="1"/>
    <n v="0"/>
    <n v="0"/>
    <m/>
    <n v="0"/>
    <s v="-"/>
    <s v="-"/>
    <s v="FEB"/>
  </r>
  <r>
    <d v="2026-02-04T00:00:00"/>
    <s v="DUBUIT/1"/>
    <s v="GARRIDO JORGE"/>
    <d v="1899-12-30T10:30:00"/>
    <d v="1899-12-30T17:30:00"/>
    <n v="7"/>
    <x v="0"/>
    <x v="23"/>
    <x v="14"/>
    <x v="2"/>
    <x v="2"/>
    <s v="15 ML FRASCO BLANCO (P)"/>
    <x v="14"/>
    <n v="3300"/>
    <n v="200"/>
    <s v="EN PROCESO"/>
    <n v="1650"/>
    <s v="-"/>
    <s v="1° CICLO AZUL"/>
    <s v="FEB"/>
  </r>
  <r>
    <d v="2026-02-05T00:00:00"/>
    <s v="DUBUIT/1"/>
    <s v="GARRIDO JORGE"/>
    <d v="1899-12-30T09:00:00"/>
    <d v="1899-12-30T17:30:00"/>
    <n v="8.5"/>
    <x v="0"/>
    <x v="23"/>
    <x v="14"/>
    <x v="2"/>
    <x v="2"/>
    <s v="15 ML FRASCO BLANCO (P)"/>
    <x v="14"/>
    <n v="4000"/>
    <n v="375"/>
    <s v="EN PROCESO"/>
    <n v="2000"/>
    <s v="-"/>
    <s v="1° CICLO AZUL"/>
    <s v="FEB"/>
  </r>
  <r>
    <d v="2026-02-06T00:00:00"/>
    <s v="DUBUIT/1"/>
    <s v="GARRIDO JORGE"/>
    <d v="1899-12-30T09:00:00"/>
    <d v="1899-12-30T15:00:00"/>
    <n v="6"/>
    <x v="0"/>
    <x v="23"/>
    <x v="14"/>
    <x v="2"/>
    <x v="2"/>
    <s v="15 ML FRASCO BLANCO (P)"/>
    <x v="14"/>
    <n v="3200"/>
    <n v="293"/>
    <s v="EN PROCESO"/>
    <n v="1600"/>
    <s v="-"/>
    <s v="1° CICLO AZUL"/>
    <s v="FEB"/>
  </r>
  <r>
    <d v="2026-02-06T00:00:00"/>
    <s v="DUBUIT/1"/>
    <s v="GARRIDO JORGE"/>
    <d v="1899-12-30T15:00:00"/>
    <d v="1899-12-30T17:30:00"/>
    <n v="2.5"/>
    <x v="0"/>
    <x v="23"/>
    <x v="14"/>
    <x v="2"/>
    <x v="2"/>
    <s v="15 ML FRASCO BLANCO (P)"/>
    <x v="14"/>
    <n v="500"/>
    <n v="70"/>
    <s v="EN PROCESO"/>
    <n v="250"/>
    <s v="-"/>
    <s v="2° CICLO VERDE"/>
    <s v="FEB"/>
  </r>
  <r>
    <d v="2026-02-09T00:00:00"/>
    <s v="DUBUIT/1"/>
    <s v="GARRIDO JORGE"/>
    <d v="1899-12-30T09:00:00"/>
    <d v="1899-12-30T17:30:00"/>
    <n v="8.5"/>
    <x v="0"/>
    <x v="23"/>
    <x v="14"/>
    <x v="2"/>
    <x v="2"/>
    <s v="15 ML FRASCO BLANCO (P)"/>
    <x v="14"/>
    <n v="3000"/>
    <n v="102"/>
    <s v="EN PROCESO"/>
    <n v="1500"/>
    <s v="-"/>
    <s v="2° CICLO VERDE"/>
    <s v="FEB"/>
  </r>
  <r>
    <d v="2026-02-10T00:00:00"/>
    <s v="DUBUIT/1"/>
    <s v="GARRIDO JORGE"/>
    <d v="1899-12-30T09:00:00"/>
    <d v="1899-12-30T17:30:00"/>
    <n v="8.5"/>
    <x v="0"/>
    <x v="23"/>
    <x v="14"/>
    <x v="2"/>
    <x v="2"/>
    <s v="15 ML FRASCO BLANCO (P)"/>
    <x v="14"/>
    <n v="3500"/>
    <n v="250"/>
    <s v="EN PROCESO"/>
    <n v="1750"/>
    <s v="-"/>
    <s v="2° CICLO VERDE"/>
    <s v="FEB"/>
  </r>
  <r>
    <d v="2026-02-11T00:00:00"/>
    <s v="DUBUIT/1"/>
    <s v="GARRIDO JORGE"/>
    <d v="1899-12-30T09:00:00"/>
    <d v="1899-12-30T17:00:00"/>
    <n v="8"/>
    <x v="0"/>
    <x v="23"/>
    <x v="14"/>
    <x v="2"/>
    <x v="2"/>
    <s v="15 ML FRASCO BLANCO (P)"/>
    <x v="14"/>
    <n v="3080"/>
    <n v="230"/>
    <s v="COMPLETADO"/>
    <n v="1540"/>
    <s v="-"/>
    <s v="2° CICLO VERDE"/>
    <s v="FEB"/>
  </r>
  <r>
    <d v="2026-02-12T00:00:00"/>
    <s v="DUBUIT/1"/>
    <s v="GARRIDO JORGE"/>
    <d v="1899-12-30T08:00:00"/>
    <d v="1899-12-30T10:30:00"/>
    <n v="2.5"/>
    <x v="2"/>
    <x v="1"/>
    <x v="1"/>
    <x v="1"/>
    <x v="1"/>
    <s v="-"/>
    <x v="1"/>
    <m/>
    <m/>
    <m/>
    <n v="0"/>
    <s v="-"/>
    <m/>
    <s v="FEB"/>
  </r>
  <r>
    <d v="2026-02-12T00:00:00"/>
    <s v="DUBUIT/1"/>
    <s v="GARRIDO JORGE"/>
    <d v="1899-12-30T10:30:00"/>
    <d v="1899-12-30T16:30:00"/>
    <n v="6"/>
    <x v="0"/>
    <x v="6"/>
    <x v="5"/>
    <x v="4"/>
    <x v="0"/>
    <s v="40 ML FRASCO BLANCO"/>
    <x v="5"/>
    <n v="2000"/>
    <n v="150"/>
    <m/>
    <n v="1000"/>
    <s v="-"/>
    <m/>
    <s v="FEB"/>
  </r>
  <r>
    <d v="2026-02-12T00:00:00"/>
    <s v="DUBUIT/1"/>
    <s v="GARRIDO JORGE"/>
    <d v="1899-12-30T16:30:00"/>
    <d v="1899-12-30T17:30:00"/>
    <n v="1"/>
    <x v="0"/>
    <x v="6"/>
    <x v="5"/>
    <x v="4"/>
    <x v="0"/>
    <s v="40 ML FRASCO BLANCO"/>
    <x v="5"/>
    <n v="500"/>
    <n v="40"/>
    <m/>
    <n v="250"/>
    <s v="-"/>
    <m/>
    <s v="FEB"/>
  </r>
  <r>
    <d v="2026-02-13T00:00:00"/>
    <s v="DUBUIT/1"/>
    <s v="GARRIDO JORGE"/>
    <d v="1899-12-30T08:30:00"/>
    <d v="1899-12-30T11:00:00"/>
    <n v="2.5"/>
    <x v="0"/>
    <x v="6"/>
    <x v="5"/>
    <x v="4"/>
    <x v="0"/>
    <s v="40 ML FRASCO BLANCO"/>
    <x v="5"/>
    <n v="1135"/>
    <n v="250"/>
    <m/>
    <n v="568"/>
    <s v="-"/>
    <m/>
    <s v="FEB"/>
  </r>
  <r>
    <d v="2026-02-13T00:00:00"/>
    <s v="DUBUIT/1"/>
    <s v="GARRIDO JORGE"/>
    <d v="1899-12-30T11:00:00"/>
    <d v="1899-12-30T15:00:00"/>
    <n v="4"/>
    <x v="2"/>
    <x v="1"/>
    <x v="1"/>
    <x v="1"/>
    <x v="1"/>
    <s v="-"/>
    <x v="1"/>
    <m/>
    <m/>
    <m/>
    <n v="0"/>
    <s v="-"/>
    <m/>
    <s v="FE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0BEC2-5D6D-4CC1-AAD6-3EB7D21434D1}" name="TablaDinámica3" cacheId="2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24:C28" firstHeaderRow="1" firstDataRow="1" firstDataCol="1"/>
  <pivotFields count="22">
    <pivotField numFmtId="14" showAll="0"/>
    <pivotField showAll="0"/>
    <pivotField showAll="0"/>
    <pivotField numFmtId="20" showAll="0"/>
    <pivotField numFmtId="20" showAll="0"/>
    <pivotField dataField="1" numFmtId="20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HORA" fld="5" baseField="7" baseItem="2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8DE78-9B25-48CE-B4B6-79E8A7451463}" name="TablaDinámica1" cacheId="2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6:D21" firstHeaderRow="0" firstDataRow="1" firstDataCol="1" rowPageCount="1" colPageCount="1"/>
  <pivotFields count="22">
    <pivotField numFmtId="14" showAll="0"/>
    <pivotField showAll="0"/>
    <pivotField showAll="0"/>
    <pivotField numFmtId="20" showAll="0"/>
    <pivotField numFmtId="20" showAll="0"/>
    <pivotField numFmtId="20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axis="axisRow" showAll="0">
      <items count="8">
        <item sd="0" x="1"/>
        <item x="0"/>
        <item x="2"/>
        <item x="3"/>
        <item x="4"/>
        <item x="5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9"/>
    <field x="10"/>
  </rowFields>
  <rowItems count="15"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a de CANTIDAD PRODUCIDA" fld="13" baseField="0" baseItem="0"/>
    <dataField name="Suma de CANTIDAD RECHAZADA" fld="14" baseField="0" baseItem="0"/>
  </dataFields>
  <formats count="15">
    <format dxfId="17">
      <pivotArea outline="0" collapsedLevelsAreSubtotals="1" fieldPosition="0"/>
    </format>
    <format dxfId="16">
      <pivotArea field="9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9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field="9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collapsedLevelsAreSubtotals="1" fieldPosition="0">
        <references count="1">
          <reference field="9" count="1">
            <x v="1"/>
          </reference>
        </references>
      </pivotArea>
    </format>
    <format dxfId="9">
      <pivotArea collapsedLevelsAreSubtotals="1" fieldPosition="0">
        <references count="2">
          <reference field="9" count="1" selected="0">
            <x v="1"/>
          </reference>
          <reference field="10" count="2">
            <x v="1"/>
            <x v="2"/>
          </reference>
        </references>
      </pivotArea>
    </format>
    <format dxfId="8">
      <pivotArea collapsedLevelsAreSubtotals="1" fieldPosition="0">
        <references count="1">
          <reference field="9" count="1">
            <x v="2"/>
          </reference>
        </references>
      </pivotArea>
    </format>
    <format dxfId="7">
      <pivotArea collapsedLevelsAreSubtotals="1" fieldPosition="0">
        <references count="2">
          <reference field="9" count="1" selected="0">
            <x v="2"/>
          </reference>
          <reference field="10" count="1">
            <x v="1"/>
          </reference>
        </references>
      </pivotArea>
    </format>
    <format dxfId="6">
      <pivotArea collapsedLevelsAreSubtotals="1" fieldPosition="0">
        <references count="1">
          <reference field="9" count="1">
            <x v="3"/>
          </reference>
        </references>
      </pivotArea>
    </format>
    <format dxfId="5">
      <pivotArea collapsedLevelsAreSubtotals="1" fieldPosition="0">
        <references count="2">
          <reference field="9" count="1" selected="0">
            <x v="3"/>
          </reference>
          <reference field="10" count="1">
            <x v="1"/>
          </reference>
        </references>
      </pivotArea>
    </format>
    <format dxfId="4">
      <pivotArea collapsedLevelsAreSubtotals="1" fieldPosition="0">
        <references count="1">
          <reference field="9" count="1">
            <x v="4"/>
          </reference>
        </references>
      </pivotArea>
    </format>
    <format dxfId="3">
      <pivotArea collapsedLevelsAreSubtotals="1" fieldPosition="0">
        <references count="2">
          <reference field="9" count="1" selected="0">
            <x v="4"/>
          </reference>
          <reference field="10" count="1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3470F37-18F1-4241-A9A4-2814D57F6D8A}" autoFormatId="16" applyNumberFormats="0" applyBorderFormats="0" applyFontFormats="0" applyPatternFormats="0" applyAlignmentFormats="0" applyWidthHeightFormats="0">
  <queryTableRefresh nextId="17">
    <queryTableFields count="16">
      <queryTableField id="1" name="FECHA EMISIÓN" tableColumnId="1"/>
      <queryTableField id="2" name="CÓD. SOLICITUD" tableColumnId="2"/>
      <queryTableField id="3" name="PRODUCTO" tableColumnId="3"/>
      <queryTableField id="4" name="FORMA FARMACEUTICA" tableColumnId="4"/>
      <queryTableField id="5" name="INSTITUCIÓN" tableColumnId="5"/>
      <queryTableField id="6" name="LOTE" tableColumnId="6"/>
      <queryTableField id="7" name="FECHA VTO." tableColumnId="7"/>
      <queryTableField id="8" name="CANTIDAD PEDIDA" tableColumnId="8"/>
      <queryTableField id="9" name="STOCK" tableColumnId="9"/>
      <queryTableField id="10" name="FECHA PRODUCCIÓN" tableColumnId="10"/>
      <queryTableField id="11" name="FECHA ENTREGA" tableColumnId="11"/>
      <queryTableField id="12" name="FECHA REGISTRO" tableColumnId="12"/>
      <queryTableField id="13" name="FORMATO DE FRASCO" tableColumnId="13"/>
      <queryTableField id="14" name="TIPO DE FRASCO" tableColumnId="14"/>
      <queryTableField id="15" name="ORDEN RECIBIDA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0E0E4-40F4-43AA-B3A9-CFD01B9E630E}" name="Tabla_control_serigrafia" displayName="Tabla_control_serigrafia" ref="A1:P90" tableType="queryTable" totalsRowShown="0" headerRowDxfId="70">
  <autoFilter ref="A1:P90" xr:uid="{8640E0E4-40F4-43AA-B3A9-CFD01B9E630E}"/>
  <tableColumns count="16">
    <tableColumn id="1" xr3:uid="{AB9DBECA-DBEA-4F9D-B722-FC290A921469}" uniqueName="1" name="FECHA EMISIÓN" queryTableFieldId="1" dataDxfId="69"/>
    <tableColumn id="2" xr3:uid="{53A88D9A-82C4-4035-B761-5507A61949E6}" uniqueName="2" name="CÓD. SOLICITUD" queryTableFieldId="2"/>
    <tableColumn id="3" xr3:uid="{A7839BF1-108D-4FD2-BC75-F449988BEE16}" uniqueName="3" name="PRODUCTO" queryTableFieldId="3" dataDxfId="68"/>
    <tableColumn id="4" xr3:uid="{4D97DBE9-9B40-4881-9505-1CA69F63F73D}" uniqueName="4" name="FORMA FARMACEUTICA" queryTableFieldId="4" dataDxfId="67"/>
    <tableColumn id="5" xr3:uid="{0A0A8BFF-D534-4B30-BC8C-F099AA8D132C}" uniqueName="5" name="INSTITUCIÓN" queryTableFieldId="5" dataDxfId="66"/>
    <tableColumn id="6" xr3:uid="{73620A15-5747-4CAD-8532-D2AE1A47A8C1}" uniqueName="6" name="LOTE" queryTableFieldId="6" dataDxfId="65"/>
    <tableColumn id="7" xr3:uid="{24D7D558-88B9-4491-8877-F39B2AF73406}" uniqueName="7" name="FECHA VTO." queryTableFieldId="7" dataDxfId="64"/>
    <tableColumn id="8" xr3:uid="{F698A290-12DC-4FC3-9064-D5DB214C6175}" uniqueName="8" name="CANTIDAD PEDIDA" queryTableFieldId="8"/>
    <tableColumn id="9" xr3:uid="{35B3648B-49FF-4BEA-9632-9A019EE83598}" uniqueName="9" name="STOCK" queryTableFieldId="9" dataDxfId="63"/>
    <tableColumn id="10" xr3:uid="{67D651F3-B364-46F7-BBF3-BA29906818BD}" uniqueName="10" name="FECHA PRODUCCIÓN" queryTableFieldId="10" dataDxfId="62"/>
    <tableColumn id="11" xr3:uid="{B843EDED-A9F1-45FD-AC59-549E3D8BF566}" uniqueName="11" name="FECHA ENTREGA" queryTableFieldId="11" dataDxfId="61"/>
    <tableColumn id="12" xr3:uid="{4B0200C1-150B-4930-B0B0-E8B076947516}" uniqueName="12" name="FECHA REGISTRO" queryTableFieldId="12" dataDxfId="60"/>
    <tableColumn id="13" xr3:uid="{C549633D-1A9A-493E-A852-53607B55FE16}" uniqueName="13" name="FORMATO DE FRASCO" queryTableFieldId="13" dataDxfId="59"/>
    <tableColumn id="14" xr3:uid="{02F4A2C6-BA2F-469B-AD20-77645D5F9CAC}" uniqueName="14" name="TIPO DE FRASCO" queryTableFieldId="14" dataDxfId="58"/>
    <tableColumn id="15" xr3:uid="{E37446EB-70C5-4CFC-94DD-BC628C25F4A6}" uniqueName="15" name="ORDEN RECIBIDA" queryTableFieldId="15" dataDxfId="57"/>
    <tableColumn id="16" xr3:uid="{BDAEEDE5-5131-4944-8E03-7CA2A553B7A5}" uniqueName="16" name="ESTADO" queryTableFieldId="16" dataDxfId="5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5B08AB-1FC2-487A-B182-676C9234887A}" name="Tabla_producción_serigrafia" displayName="Tabla_producción_serigrafia" ref="A1:U199" headerRowDxfId="54">
  <autoFilter ref="A1:U199" xr:uid="{A25B08AB-1FC2-487A-B182-676C9234887A}"/>
  <tableColumns count="21">
    <tableColumn id="1" xr3:uid="{94C707E8-9FC1-4E5C-B8E8-943D33823EAB}" name="FECHA" totalsRowLabel="Total" dataDxfId="53" totalsRowDxfId="52"/>
    <tableColumn id="15" xr3:uid="{1874CDA4-7E3B-45CD-AE33-A6C21E580ECB}" name="MÁQUINA" dataDxfId="51" totalsRowDxfId="50"/>
    <tableColumn id="13" xr3:uid="{CE0020D2-D503-47F9-8A4A-99B52583C8DB}" name="OPERADOR" dataDxfId="49"/>
    <tableColumn id="12" xr3:uid="{864F3B9E-F25C-4840-ABBA-F53210A401CB}" name="INICIO" dataDxfId="48" totalsRowDxfId="47"/>
    <tableColumn id="9" xr3:uid="{D8060278-D041-40C4-AD0C-5B9D3F734297}" name="FIN" dataDxfId="46" totalsRowDxfId="45"/>
    <tableColumn id="23" xr3:uid="{2E473B36-7E73-46D0-BEEA-407ADFE72A54}" name="HORA" dataDxfId="44" totalsRowDxfId="43">
      <calculatedColumnFormula>ROUND((E2-D2)*24,2)</calculatedColumnFormula>
    </tableColumn>
    <tableColumn id="10" xr3:uid="{7773C3E6-BC9C-4709-9D23-29D98116F839}" name="ACCIÓN" dataDxfId="42" totalsRowDxfId="41"/>
    <tableColumn id="8" xr3:uid="{FE331AAB-AA32-4CAA-A8E5-92312B4F932A}" name="LOTE" dataDxfId="40" totalsRowDxfId="39"/>
    <tableColumn id="11" xr3:uid="{DCBC7570-E0C3-4907-A5D2-CA96989DAB3A}" name="PRODUCTO" dataDxfId="38" totalsRowDxfId="37">
      <calculatedColumnFormula>IFERROR(INDEX(Tabla_control_serigrafia[PRODUCTO],MATCH(Tabla_producción_serigrafia[[#This Row],[LOTE]],Tabla_control_serigrafia[LOTE],0)),"-")</calculatedColumnFormula>
    </tableColumn>
    <tableColumn id="19" xr3:uid="{83CC0094-479C-4FC2-9672-A689001C97A1}" name="FORMATO DE FRASCO" dataDxfId="36">
      <calculatedColumnFormula>IFERROR(INDEX(Tabla_control_serigrafia[FORMATO DE FRASCO],MATCH(Tabla_producción_serigrafia[[#This Row],[LOTE]],Tabla_control_serigrafia[LOTE],0)),"-")</calculatedColumnFormula>
    </tableColumn>
    <tableColumn id="18" xr3:uid="{4C6F4C0B-E97A-4809-A95F-BD9A4E39D649}" name="TIPO DE FRASCO" dataDxfId="35">
      <calculatedColumnFormula>IFERROR(INDEX(Tabla_control_serigrafia[TIPO DE FRASCO],MATCH(Tabla_producción_serigrafia[[#This Row],[LOTE]],Tabla_control_serigrafia[LOTE],0)),"-")</calculatedColumnFormula>
    </tableColumn>
    <tableColumn id="4" xr3:uid="{288C4F2A-AAB8-4297-9FDA-38E4875DCDD3}" name="FORMATO Y TIPO DE FRASCO">
      <calculatedColumnFormula>IF(Tabla_producción_serigrafia[[#This Row],[ACCIÓN]]="PRODUCCIÓN",Tabla_producción_serigrafia[[#This Row],[FORMATO DE FRASCO]]&amp;" "&amp;Tabla_producción_serigrafia[[#This Row],[TIPO DE FRASCO]],"-")</calculatedColumnFormula>
    </tableColumn>
    <tableColumn id="20" xr3:uid="{510E4512-4D8F-4C6C-AC2F-3DB5D92B07B9}" name="CANTIDAD SOLICITADA" dataDxfId="34">
      <calculatedColumnFormula>IFERROR(INDEX(Tabla_control_serigrafia[CANTIDAD PEDIDA],MATCH(Tabla_producción_serigrafia[[#This Row],[LOTE]],Tabla_control_serigrafia[LOTE],0)),"-")</calculatedColumnFormula>
    </tableColumn>
    <tableColumn id="5" xr3:uid="{420AC285-990D-4962-830F-9CF93A23CDB3}" name="CANTIDAD PRODUCIDA" dataDxfId="33" totalsRowDxfId="32"/>
    <tableColumn id="6" xr3:uid="{243B0174-6A38-48AC-BE4C-7E7DA38E4BB2}" name="CANTIDAD RECHAZADA" dataDxfId="31" totalsRowDxfId="30"/>
    <tableColumn id="22" xr3:uid="{29F86B1A-5D33-40E6-8B0A-823A0E444749}" name="ESTADO" dataDxfId="29" totalsRowDxfId="28"/>
    <tableColumn id="2" xr3:uid="{0925C418-E193-4052-BE76-7B7596F133F2}" name="UNIDADES PRODUCIDAS" dataDxfId="27" totalsRowDxfId="26">
      <calculatedColumnFormula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calculatedColumnFormula>
    </tableColumn>
    <tableColumn id="21" xr3:uid="{49BEDF2E-46FA-497B-9DDE-DEB6186660AC}" name="TIEMPO DE LIBERACIÓN" dataDxfId="25" totalsRowDxfId="24">
      <calculatedColumnFormula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calculatedColumnFormula>
    </tableColumn>
    <tableColumn id="7" xr3:uid="{1AA23391-9924-40A3-B02A-8C970406DAEA}" name="OBSERVACIONES" totalsRowFunction="count" dataDxfId="23" totalsRowDxfId="22"/>
    <tableColumn id="24" xr3:uid="{36E70417-1A9E-426F-8C74-FA20E781F084}" name="MES" dataDxfId="21" totalsRowDxfId="20">
      <calculatedColumnFormula>UPPER(LEFT(TEXT(Tabla_producción_serigrafia[[#This Row],[FECHA]],"mmm"),3))</calculatedColumnFormula>
    </tableColumn>
    <tableColumn id="3" xr3:uid="{8D551DCC-400D-4335-9DF8-0743025772C5}" name="PRODUCCION TOTAL" dataDxfId="19" totalsRowDxfId="18">
      <calculatedColumnFormula>+Tabla_producción_serigrafia[[#This Row],[CANTIDAD PRODUCIDA]]+Tabla_producción_serigrafia[[#This Row],[CANTIDAD RECHAZADA]]</calculatedColumnFormula>
    </tableColumn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E165-C61D-4F44-8A61-FC3C791F5E61}">
  <dimension ref="A1:P90"/>
  <sheetViews>
    <sheetView topLeftCell="F1" zoomScale="85" zoomScaleNormal="85" workbookViewId="0">
      <selection activeCell="I4" sqref="I4"/>
    </sheetView>
  </sheetViews>
  <sheetFormatPr baseColWidth="10" defaultRowHeight="15" x14ac:dyDescent="0.25"/>
  <cols>
    <col min="1" max="1" width="20" bestFit="1" customWidth="1"/>
    <col min="2" max="2" width="20.140625" bestFit="1" customWidth="1"/>
    <col min="3" max="3" width="81.140625" bestFit="1" customWidth="1"/>
    <col min="4" max="4" width="27.140625" bestFit="1" customWidth="1"/>
    <col min="5" max="5" width="17.42578125" bestFit="1" customWidth="1"/>
    <col min="6" max="6" width="10.7109375" bestFit="1" customWidth="1"/>
    <col min="7" max="7" width="16.5703125" bestFit="1" customWidth="1"/>
    <col min="8" max="8" width="22.42578125" bestFit="1" customWidth="1"/>
    <col min="9" max="9" width="12.140625" bestFit="1" customWidth="1"/>
    <col min="10" max="10" width="24.140625" bestFit="1" customWidth="1"/>
    <col min="11" max="11" width="20.7109375" bestFit="1" customWidth="1"/>
    <col min="12" max="12" width="21.140625" bestFit="1" customWidth="1"/>
    <col min="13" max="13" width="25.5703125" bestFit="1" customWidth="1"/>
    <col min="14" max="14" width="29.140625" bestFit="1" customWidth="1"/>
    <col min="15" max="15" width="21.140625" bestFit="1" customWidth="1"/>
    <col min="16" max="16" width="13.42578125" bestFit="1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1">
        <v>46024</v>
      </c>
      <c r="B2">
        <v>8095</v>
      </c>
      <c r="C2" s="27" t="s">
        <v>16</v>
      </c>
      <c r="D2" s="27" t="s">
        <v>17</v>
      </c>
      <c r="E2" s="27" t="s">
        <v>18</v>
      </c>
      <c r="F2" s="3">
        <v>12676</v>
      </c>
      <c r="G2" s="1">
        <v>46753</v>
      </c>
      <c r="H2">
        <v>23529</v>
      </c>
      <c r="I2" s="2" t="s">
        <v>38</v>
      </c>
      <c r="J2" s="1" t="s">
        <v>38</v>
      </c>
      <c r="K2" s="1"/>
      <c r="L2" s="1">
        <v>46027</v>
      </c>
      <c r="M2" s="27" t="s">
        <v>20</v>
      </c>
      <c r="N2" s="27" t="s">
        <v>21</v>
      </c>
      <c r="O2" s="27" t="s">
        <v>22</v>
      </c>
      <c r="P2" s="27" t="s">
        <v>31</v>
      </c>
    </row>
    <row r="3" spans="1:16" x14ac:dyDescent="0.25">
      <c r="A3" s="1">
        <v>46024</v>
      </c>
      <c r="B3">
        <v>8093</v>
      </c>
      <c r="C3" s="27" t="s">
        <v>24</v>
      </c>
      <c r="D3" s="27" t="s">
        <v>25</v>
      </c>
      <c r="E3" s="27" t="s">
        <v>18</v>
      </c>
      <c r="F3" s="3">
        <v>12655</v>
      </c>
      <c r="G3" s="1">
        <v>46753</v>
      </c>
      <c r="H3">
        <v>9000</v>
      </c>
      <c r="I3" s="2" t="s">
        <v>38</v>
      </c>
      <c r="J3" s="1" t="s">
        <v>38</v>
      </c>
      <c r="K3" s="1"/>
      <c r="L3" s="1">
        <v>46027</v>
      </c>
      <c r="M3" s="27" t="s">
        <v>26</v>
      </c>
      <c r="N3" s="27" t="s">
        <v>21</v>
      </c>
      <c r="O3" s="27" t="s">
        <v>22</v>
      </c>
      <c r="P3" s="27" t="s">
        <v>31</v>
      </c>
    </row>
    <row r="4" spans="1:16" x14ac:dyDescent="0.25">
      <c r="A4" s="1">
        <v>46024</v>
      </c>
      <c r="B4">
        <v>8167</v>
      </c>
      <c r="C4" s="27" t="s">
        <v>27</v>
      </c>
      <c r="D4" s="27" t="s">
        <v>25</v>
      </c>
      <c r="E4" s="27" t="s">
        <v>18</v>
      </c>
      <c r="F4" s="3">
        <v>12680</v>
      </c>
      <c r="G4" s="1">
        <v>47484</v>
      </c>
      <c r="H4">
        <v>56250</v>
      </c>
      <c r="I4" s="2" t="s">
        <v>38</v>
      </c>
      <c r="J4" s="1" t="s">
        <v>38</v>
      </c>
      <c r="K4" s="1"/>
      <c r="L4" s="1">
        <v>46027</v>
      </c>
      <c r="M4" s="27" t="s">
        <v>28</v>
      </c>
      <c r="N4" s="27" t="s">
        <v>21</v>
      </c>
      <c r="O4" s="27" t="s">
        <v>22</v>
      </c>
      <c r="P4" s="27" t="s">
        <v>31</v>
      </c>
    </row>
    <row r="5" spans="1:16" x14ac:dyDescent="0.25">
      <c r="A5" s="1">
        <v>46024</v>
      </c>
      <c r="B5">
        <v>8276</v>
      </c>
      <c r="C5" s="27" t="s">
        <v>16</v>
      </c>
      <c r="D5" s="27" t="s">
        <v>17</v>
      </c>
      <c r="E5" s="27" t="s">
        <v>18</v>
      </c>
      <c r="F5" s="3">
        <v>12678</v>
      </c>
      <c r="G5" s="1">
        <v>46753</v>
      </c>
      <c r="H5">
        <v>23529</v>
      </c>
      <c r="I5" s="2" t="s">
        <v>38</v>
      </c>
      <c r="J5" s="1" t="s">
        <v>38</v>
      </c>
      <c r="K5" s="1"/>
      <c r="L5" s="1">
        <v>46027</v>
      </c>
      <c r="M5" s="27" t="s">
        <v>20</v>
      </c>
      <c r="N5" s="27" t="s">
        <v>21</v>
      </c>
      <c r="O5" s="27" t="s">
        <v>22</v>
      </c>
      <c r="P5" s="27" t="s">
        <v>31</v>
      </c>
    </row>
    <row r="6" spans="1:16" x14ac:dyDescent="0.25">
      <c r="A6" s="1">
        <v>46024</v>
      </c>
      <c r="B6">
        <v>8275</v>
      </c>
      <c r="C6" s="27" t="s">
        <v>16</v>
      </c>
      <c r="D6" s="27" t="s">
        <v>17</v>
      </c>
      <c r="E6" s="27" t="s">
        <v>18</v>
      </c>
      <c r="F6" s="3">
        <v>12677</v>
      </c>
      <c r="G6" s="1">
        <v>46753</v>
      </c>
      <c r="H6">
        <v>23529</v>
      </c>
      <c r="I6" s="2" t="s">
        <v>38</v>
      </c>
      <c r="J6" s="1" t="s">
        <v>38</v>
      </c>
      <c r="K6" s="1"/>
      <c r="L6" s="1">
        <v>46027</v>
      </c>
      <c r="M6" s="27" t="s">
        <v>20</v>
      </c>
      <c r="N6" s="27" t="s">
        <v>21</v>
      </c>
      <c r="O6" s="27" t="s">
        <v>22</v>
      </c>
      <c r="P6" s="27" t="s">
        <v>31</v>
      </c>
    </row>
    <row r="7" spans="1:16" x14ac:dyDescent="0.25">
      <c r="A7" s="1">
        <v>46024</v>
      </c>
      <c r="B7">
        <v>8084</v>
      </c>
      <c r="C7" s="27" t="s">
        <v>29</v>
      </c>
      <c r="D7" s="27" t="s">
        <v>30</v>
      </c>
      <c r="E7" s="27" t="s">
        <v>18</v>
      </c>
      <c r="F7" s="3">
        <v>12659</v>
      </c>
      <c r="G7" s="1">
        <v>46753</v>
      </c>
      <c r="H7">
        <v>9901</v>
      </c>
      <c r="I7" s="2" t="s">
        <v>38</v>
      </c>
      <c r="J7" s="1" t="s">
        <v>38</v>
      </c>
      <c r="K7" s="1"/>
      <c r="L7" s="1">
        <v>46028</v>
      </c>
      <c r="M7" s="27" t="s">
        <v>20</v>
      </c>
      <c r="N7" s="27" t="s">
        <v>21</v>
      </c>
      <c r="O7" s="27" t="s">
        <v>22</v>
      </c>
      <c r="P7" s="27" t="s">
        <v>31</v>
      </c>
    </row>
    <row r="8" spans="1:16" x14ac:dyDescent="0.25">
      <c r="A8" s="1">
        <v>46024</v>
      </c>
      <c r="B8">
        <v>8182</v>
      </c>
      <c r="C8" s="27" t="s">
        <v>32</v>
      </c>
      <c r="D8" s="27" t="s">
        <v>33</v>
      </c>
      <c r="E8" s="27" t="s">
        <v>18</v>
      </c>
      <c r="F8" s="3">
        <v>12672</v>
      </c>
      <c r="G8" s="1">
        <v>46753</v>
      </c>
      <c r="H8">
        <v>2000</v>
      </c>
      <c r="I8" s="2" t="s">
        <v>38</v>
      </c>
      <c r="J8" s="1" t="s">
        <v>38</v>
      </c>
      <c r="K8" s="1"/>
      <c r="L8" s="1">
        <v>46028</v>
      </c>
      <c r="M8" s="27" t="s">
        <v>34</v>
      </c>
      <c r="N8" s="27" t="s">
        <v>21</v>
      </c>
      <c r="O8" s="27" t="s">
        <v>22</v>
      </c>
      <c r="P8" s="27" t="s">
        <v>31</v>
      </c>
    </row>
    <row r="9" spans="1:16" x14ac:dyDescent="0.25">
      <c r="A9" s="1">
        <v>46024</v>
      </c>
      <c r="B9">
        <v>8183</v>
      </c>
      <c r="C9" s="27" t="s">
        <v>32</v>
      </c>
      <c r="D9" s="27" t="s">
        <v>33</v>
      </c>
      <c r="E9" s="27" t="s">
        <v>18</v>
      </c>
      <c r="F9" s="3">
        <v>12673</v>
      </c>
      <c r="G9" s="1">
        <v>46753</v>
      </c>
      <c r="H9">
        <v>2000</v>
      </c>
      <c r="I9" s="2" t="s">
        <v>38</v>
      </c>
      <c r="J9" s="1" t="s">
        <v>38</v>
      </c>
      <c r="K9" s="1"/>
      <c r="L9" s="1">
        <v>46028</v>
      </c>
      <c r="M9" s="27" t="s">
        <v>34</v>
      </c>
      <c r="N9" s="27" t="s">
        <v>21</v>
      </c>
      <c r="O9" s="27" t="s">
        <v>22</v>
      </c>
      <c r="P9" s="27" t="s">
        <v>31</v>
      </c>
    </row>
    <row r="10" spans="1:16" x14ac:dyDescent="0.25">
      <c r="A10" s="1">
        <v>46024</v>
      </c>
      <c r="B10">
        <v>8181</v>
      </c>
      <c r="C10" s="27" t="s">
        <v>32</v>
      </c>
      <c r="D10" s="27" t="s">
        <v>33</v>
      </c>
      <c r="E10" s="27" t="s">
        <v>18</v>
      </c>
      <c r="F10" s="3">
        <v>12671</v>
      </c>
      <c r="G10" s="1">
        <v>46753</v>
      </c>
      <c r="H10">
        <v>2000</v>
      </c>
      <c r="I10" s="2" t="s">
        <v>38</v>
      </c>
      <c r="J10" s="1" t="s">
        <v>38</v>
      </c>
      <c r="K10" s="1"/>
      <c r="L10" s="1">
        <v>46028</v>
      </c>
      <c r="M10" s="27" t="s">
        <v>34</v>
      </c>
      <c r="N10" s="27" t="s">
        <v>21</v>
      </c>
      <c r="O10" s="27" t="s">
        <v>22</v>
      </c>
      <c r="P10" s="27" t="s">
        <v>31</v>
      </c>
    </row>
    <row r="11" spans="1:16" x14ac:dyDescent="0.25">
      <c r="A11" s="1">
        <v>46024</v>
      </c>
      <c r="B11">
        <v>7822</v>
      </c>
      <c r="C11" s="27" t="s">
        <v>35</v>
      </c>
      <c r="D11" s="27" t="s">
        <v>17</v>
      </c>
      <c r="E11" s="27" t="s">
        <v>18</v>
      </c>
      <c r="F11" s="3">
        <v>12685</v>
      </c>
      <c r="G11" s="1">
        <v>46753</v>
      </c>
      <c r="H11">
        <v>14706</v>
      </c>
      <c r="I11" s="2" t="s">
        <v>38</v>
      </c>
      <c r="J11" s="1" t="s">
        <v>38</v>
      </c>
      <c r="K11" s="1"/>
      <c r="L11" s="1">
        <v>46028</v>
      </c>
      <c r="M11" s="27" t="s">
        <v>20</v>
      </c>
      <c r="N11" s="27" t="s">
        <v>21</v>
      </c>
      <c r="O11" s="27" t="s">
        <v>22</v>
      </c>
      <c r="P11" s="27" t="s">
        <v>31</v>
      </c>
    </row>
    <row r="12" spans="1:16" x14ac:dyDescent="0.25">
      <c r="A12" s="1">
        <v>46024</v>
      </c>
      <c r="B12">
        <v>7836</v>
      </c>
      <c r="C12" s="27" t="s">
        <v>32</v>
      </c>
      <c r="D12" s="27" t="s">
        <v>33</v>
      </c>
      <c r="E12" s="27" t="s">
        <v>18</v>
      </c>
      <c r="F12" s="3">
        <v>12670</v>
      </c>
      <c r="G12" s="1">
        <v>46753</v>
      </c>
      <c r="H12">
        <v>1000</v>
      </c>
      <c r="I12" s="2" t="s">
        <v>38</v>
      </c>
      <c r="J12" s="1" t="s">
        <v>38</v>
      </c>
      <c r="K12" s="1"/>
      <c r="L12" s="1">
        <v>46028</v>
      </c>
      <c r="M12" s="27" t="s">
        <v>34</v>
      </c>
      <c r="N12" s="27" t="s">
        <v>21</v>
      </c>
      <c r="O12" s="27" t="s">
        <v>22</v>
      </c>
      <c r="P12" s="27" t="s">
        <v>31</v>
      </c>
    </row>
    <row r="13" spans="1:16" x14ac:dyDescent="0.25">
      <c r="A13" s="1">
        <v>46024</v>
      </c>
      <c r="B13">
        <v>7454</v>
      </c>
      <c r="C13" s="27" t="s">
        <v>36</v>
      </c>
      <c r="D13" s="27" t="s">
        <v>37</v>
      </c>
      <c r="E13" s="27" t="s">
        <v>18</v>
      </c>
      <c r="F13" s="3">
        <v>4126</v>
      </c>
      <c r="G13" s="1">
        <v>46753</v>
      </c>
      <c r="H13">
        <v>1500</v>
      </c>
      <c r="I13" s="2" t="s">
        <v>38</v>
      </c>
      <c r="J13" s="1" t="s">
        <v>38</v>
      </c>
      <c r="K13" s="1"/>
      <c r="L13" s="1">
        <v>46028</v>
      </c>
      <c r="M13" s="27" t="s">
        <v>20</v>
      </c>
      <c r="N13" s="27" t="s">
        <v>39</v>
      </c>
      <c r="O13" s="27" t="s">
        <v>22</v>
      </c>
      <c r="P13" s="27" t="s">
        <v>31</v>
      </c>
    </row>
    <row r="14" spans="1:16" x14ac:dyDescent="0.25">
      <c r="A14" s="1">
        <v>46024</v>
      </c>
      <c r="B14">
        <v>8039</v>
      </c>
      <c r="C14" s="27" t="s">
        <v>40</v>
      </c>
      <c r="D14" s="27" t="s">
        <v>30</v>
      </c>
      <c r="E14" s="27" t="s">
        <v>18</v>
      </c>
      <c r="F14" s="3">
        <v>12660</v>
      </c>
      <c r="G14" s="1">
        <v>46753</v>
      </c>
      <c r="H14">
        <v>29703</v>
      </c>
      <c r="I14" s="2" t="s">
        <v>38</v>
      </c>
      <c r="J14" s="1" t="s">
        <v>38</v>
      </c>
      <c r="K14" s="1"/>
      <c r="L14" s="1">
        <v>46028</v>
      </c>
      <c r="M14" s="27" t="s">
        <v>20</v>
      </c>
      <c r="N14" s="27" t="s">
        <v>21</v>
      </c>
      <c r="O14" s="27" t="s">
        <v>22</v>
      </c>
      <c r="P14" s="27" t="s">
        <v>31</v>
      </c>
    </row>
    <row r="15" spans="1:16" x14ac:dyDescent="0.25">
      <c r="A15" s="1">
        <v>46024</v>
      </c>
      <c r="B15">
        <v>7946</v>
      </c>
      <c r="C15" s="27" t="s">
        <v>41</v>
      </c>
      <c r="D15" s="27" t="s">
        <v>17</v>
      </c>
      <c r="E15" s="27" t="s">
        <v>18</v>
      </c>
      <c r="F15" s="3">
        <v>12683</v>
      </c>
      <c r="G15" s="1">
        <v>46753</v>
      </c>
      <c r="H15">
        <v>11400</v>
      </c>
      <c r="I15" s="2" t="s">
        <v>38</v>
      </c>
      <c r="J15" s="1" t="s">
        <v>38</v>
      </c>
      <c r="K15" s="1"/>
      <c r="L15" s="1">
        <v>46028</v>
      </c>
      <c r="M15" s="27" t="s">
        <v>42</v>
      </c>
      <c r="N15" s="27" t="s">
        <v>21</v>
      </c>
      <c r="O15" s="27" t="s">
        <v>22</v>
      </c>
      <c r="P15" s="27" t="s">
        <v>31</v>
      </c>
    </row>
    <row r="16" spans="1:16" x14ac:dyDescent="0.25">
      <c r="A16" s="1">
        <v>46024</v>
      </c>
      <c r="B16">
        <v>7953</v>
      </c>
      <c r="C16" s="27" t="s">
        <v>43</v>
      </c>
      <c r="D16" s="27" t="s">
        <v>17</v>
      </c>
      <c r="E16" s="27" t="s">
        <v>18</v>
      </c>
      <c r="F16" s="3">
        <v>5126</v>
      </c>
      <c r="G16" s="1">
        <v>46753</v>
      </c>
      <c r="H16">
        <v>4902</v>
      </c>
      <c r="I16" s="2" t="s">
        <v>38</v>
      </c>
      <c r="J16" s="1" t="s">
        <v>38</v>
      </c>
      <c r="K16" s="1"/>
      <c r="L16" s="1">
        <v>46028</v>
      </c>
      <c r="M16" s="27" t="s">
        <v>20</v>
      </c>
      <c r="N16" s="27" t="s">
        <v>21</v>
      </c>
      <c r="O16" s="27" t="s">
        <v>22</v>
      </c>
      <c r="P16" s="27" t="s">
        <v>31</v>
      </c>
    </row>
    <row r="17" spans="1:16" x14ac:dyDescent="0.25">
      <c r="A17" s="1">
        <v>46024</v>
      </c>
      <c r="B17">
        <v>8105</v>
      </c>
      <c r="C17" s="27" t="s">
        <v>44</v>
      </c>
      <c r="D17" s="27" t="s">
        <v>45</v>
      </c>
      <c r="E17" s="27" t="s">
        <v>18</v>
      </c>
      <c r="F17" s="3">
        <v>12663</v>
      </c>
      <c r="G17" s="1">
        <v>46753</v>
      </c>
      <c r="H17">
        <v>6000</v>
      </c>
      <c r="I17" s="2" t="s">
        <v>38</v>
      </c>
      <c r="J17" s="1" t="s">
        <v>38</v>
      </c>
      <c r="K17" s="1"/>
      <c r="L17" s="1">
        <v>46028</v>
      </c>
      <c r="M17" s="27" t="s">
        <v>20</v>
      </c>
      <c r="N17" s="27" t="s">
        <v>39</v>
      </c>
      <c r="O17" s="27" t="s">
        <v>22</v>
      </c>
      <c r="P17" s="27" t="s">
        <v>31</v>
      </c>
    </row>
    <row r="18" spans="1:16" x14ac:dyDescent="0.25">
      <c r="A18" s="1">
        <v>46024</v>
      </c>
      <c r="B18">
        <v>8098</v>
      </c>
      <c r="C18" s="27" t="s">
        <v>46</v>
      </c>
      <c r="D18" s="27" t="s">
        <v>45</v>
      </c>
      <c r="E18" s="27" t="s">
        <v>18</v>
      </c>
      <c r="F18" s="3">
        <v>12666</v>
      </c>
      <c r="G18" s="1">
        <v>47484</v>
      </c>
      <c r="H18">
        <v>15000</v>
      </c>
      <c r="I18" s="2" t="s">
        <v>38</v>
      </c>
      <c r="J18" s="1" t="s">
        <v>38</v>
      </c>
      <c r="K18" s="1"/>
      <c r="L18" s="1">
        <v>46028</v>
      </c>
      <c r="M18" s="27" t="s">
        <v>26</v>
      </c>
      <c r="N18" s="27" t="s">
        <v>21</v>
      </c>
      <c r="O18" s="27" t="s">
        <v>22</v>
      </c>
      <c r="P18" s="27" t="s">
        <v>31</v>
      </c>
    </row>
    <row r="19" spans="1:16" x14ac:dyDescent="0.25">
      <c r="A19" s="1">
        <v>46024</v>
      </c>
      <c r="B19">
        <v>8177</v>
      </c>
      <c r="C19" s="27" t="s">
        <v>44</v>
      </c>
      <c r="D19" s="27" t="s">
        <v>45</v>
      </c>
      <c r="E19" s="27" t="s">
        <v>18</v>
      </c>
      <c r="F19" s="3">
        <v>12664</v>
      </c>
      <c r="G19" s="1">
        <v>46753</v>
      </c>
      <c r="H19">
        <v>6000</v>
      </c>
      <c r="I19" s="2" t="s">
        <v>38</v>
      </c>
      <c r="J19" s="1" t="s">
        <v>38</v>
      </c>
      <c r="K19" s="1"/>
      <c r="L19" s="1">
        <v>46028</v>
      </c>
      <c r="M19" s="27" t="s">
        <v>20</v>
      </c>
      <c r="N19" s="27" t="s">
        <v>39</v>
      </c>
      <c r="O19" s="27" t="s">
        <v>22</v>
      </c>
      <c r="P19" s="27" t="s">
        <v>31</v>
      </c>
    </row>
    <row r="20" spans="1:16" x14ac:dyDescent="0.25">
      <c r="A20" s="1">
        <v>46024</v>
      </c>
      <c r="B20">
        <v>8178</v>
      </c>
      <c r="C20" s="27" t="s">
        <v>44</v>
      </c>
      <c r="D20" s="27" t="s">
        <v>45</v>
      </c>
      <c r="E20" s="27" t="s">
        <v>18</v>
      </c>
      <c r="F20" s="3">
        <v>12665</v>
      </c>
      <c r="G20" s="1">
        <v>46753</v>
      </c>
      <c r="H20">
        <v>6000</v>
      </c>
      <c r="I20" s="2" t="s">
        <v>38</v>
      </c>
      <c r="J20" s="1" t="s">
        <v>38</v>
      </c>
      <c r="K20" s="1"/>
      <c r="L20" s="1">
        <v>46028</v>
      </c>
      <c r="M20" s="27" t="s">
        <v>20</v>
      </c>
      <c r="N20" s="27" t="s">
        <v>39</v>
      </c>
      <c r="O20" s="27" t="s">
        <v>22</v>
      </c>
      <c r="P20" s="27" t="s">
        <v>31</v>
      </c>
    </row>
    <row r="21" spans="1:16" x14ac:dyDescent="0.25">
      <c r="A21" s="1">
        <v>46024</v>
      </c>
      <c r="B21">
        <v>8179</v>
      </c>
      <c r="C21" s="27" t="s">
        <v>44</v>
      </c>
      <c r="D21" s="27" t="s">
        <v>45</v>
      </c>
      <c r="E21" s="27" t="s">
        <v>18</v>
      </c>
      <c r="F21" s="3">
        <v>12662</v>
      </c>
      <c r="G21" s="1">
        <v>46753</v>
      </c>
      <c r="H21">
        <v>2000</v>
      </c>
      <c r="I21" s="2" t="s">
        <v>38</v>
      </c>
      <c r="J21" s="1" t="s">
        <v>38</v>
      </c>
      <c r="K21" s="1"/>
      <c r="L21" s="1">
        <v>46028</v>
      </c>
      <c r="M21" s="27" t="s">
        <v>20</v>
      </c>
      <c r="N21" s="27" t="s">
        <v>39</v>
      </c>
      <c r="O21" s="27" t="s">
        <v>22</v>
      </c>
      <c r="P21" s="27" t="s">
        <v>31</v>
      </c>
    </row>
    <row r="22" spans="1:16" x14ac:dyDescent="0.25">
      <c r="A22" s="1">
        <v>46024</v>
      </c>
      <c r="B22">
        <v>8180</v>
      </c>
      <c r="C22" s="27" t="s">
        <v>46</v>
      </c>
      <c r="D22" s="27" t="s">
        <v>45</v>
      </c>
      <c r="E22" s="27" t="s">
        <v>18</v>
      </c>
      <c r="F22" s="3">
        <v>12667</v>
      </c>
      <c r="G22" s="1">
        <v>47484</v>
      </c>
      <c r="H22">
        <v>15000</v>
      </c>
      <c r="I22" s="2" t="s">
        <v>38</v>
      </c>
      <c r="J22" s="1" t="s">
        <v>38</v>
      </c>
      <c r="K22" s="1"/>
      <c r="L22" s="1">
        <v>46028</v>
      </c>
      <c r="M22" s="27" t="s">
        <v>26</v>
      </c>
      <c r="N22" s="27" t="s">
        <v>21</v>
      </c>
      <c r="O22" s="27" t="s">
        <v>22</v>
      </c>
      <c r="P22" s="27" t="s">
        <v>31</v>
      </c>
    </row>
    <row r="23" spans="1:16" x14ac:dyDescent="0.25">
      <c r="A23" s="1">
        <v>46038</v>
      </c>
      <c r="B23">
        <v>7651</v>
      </c>
      <c r="C23" s="27" t="s">
        <v>81</v>
      </c>
      <c r="D23" s="27" t="s">
        <v>37</v>
      </c>
      <c r="E23" s="27" t="s">
        <v>18</v>
      </c>
      <c r="F23" s="3">
        <v>12692</v>
      </c>
      <c r="G23" s="1">
        <v>46753</v>
      </c>
      <c r="H23">
        <v>6000</v>
      </c>
      <c r="I23" s="2" t="s">
        <v>38</v>
      </c>
      <c r="J23" s="1" t="s">
        <v>38</v>
      </c>
      <c r="K23" s="1"/>
      <c r="L23" s="1">
        <v>46049</v>
      </c>
      <c r="M23" s="27" t="s">
        <v>82</v>
      </c>
      <c r="N23" s="27" t="s">
        <v>39</v>
      </c>
      <c r="O23" s="27" t="s">
        <v>22</v>
      </c>
      <c r="P23" s="27" t="s">
        <v>31</v>
      </c>
    </row>
    <row r="24" spans="1:16" x14ac:dyDescent="0.25">
      <c r="A24" s="1">
        <v>46055</v>
      </c>
      <c r="B24">
        <v>8219</v>
      </c>
      <c r="C24" s="27" t="s">
        <v>83</v>
      </c>
      <c r="D24" s="27" t="s">
        <v>30</v>
      </c>
      <c r="E24" s="27" t="s">
        <v>18</v>
      </c>
      <c r="F24" s="3">
        <v>22612</v>
      </c>
      <c r="G24" s="1">
        <v>46784</v>
      </c>
      <c r="H24">
        <v>44262</v>
      </c>
      <c r="I24" s="2">
        <v>0.53259794370672342</v>
      </c>
      <c r="J24" s="1" t="s">
        <v>80</v>
      </c>
      <c r="K24" s="1"/>
      <c r="L24" s="1">
        <v>46049</v>
      </c>
      <c r="M24" s="27" t="s">
        <v>84</v>
      </c>
      <c r="N24" s="27" t="s">
        <v>21</v>
      </c>
      <c r="O24" s="27" t="s">
        <v>22</v>
      </c>
      <c r="P24" s="27" t="s">
        <v>31</v>
      </c>
    </row>
    <row r="25" spans="1:16" x14ac:dyDescent="0.25">
      <c r="A25" s="1">
        <v>46055</v>
      </c>
      <c r="B25">
        <v>8108</v>
      </c>
      <c r="C25" s="27" t="s">
        <v>85</v>
      </c>
      <c r="D25" s="27" t="s">
        <v>30</v>
      </c>
      <c r="E25" s="27" t="s">
        <v>18</v>
      </c>
      <c r="F25" s="3">
        <v>22613</v>
      </c>
      <c r="G25" s="1">
        <v>46784</v>
      </c>
      <c r="H25">
        <v>7000</v>
      </c>
      <c r="I25" s="2" t="s">
        <v>38</v>
      </c>
      <c r="J25" s="1" t="s">
        <v>38</v>
      </c>
      <c r="K25" s="1"/>
      <c r="L25" s="1">
        <v>46049</v>
      </c>
      <c r="M25" s="27" t="s">
        <v>20</v>
      </c>
      <c r="N25" s="27" t="s">
        <v>21</v>
      </c>
      <c r="O25" s="27" t="s">
        <v>22</v>
      </c>
      <c r="P25" s="27" t="s">
        <v>31</v>
      </c>
    </row>
    <row r="26" spans="1:16" x14ac:dyDescent="0.25">
      <c r="A26" s="1">
        <v>46055</v>
      </c>
      <c r="B26">
        <v>8175</v>
      </c>
      <c r="C26" s="27" t="s">
        <v>89</v>
      </c>
      <c r="D26" s="27" t="s">
        <v>90</v>
      </c>
      <c r="E26" s="27" t="s">
        <v>18</v>
      </c>
      <c r="F26" s="3">
        <v>16226</v>
      </c>
      <c r="G26" s="1">
        <v>47515</v>
      </c>
      <c r="H26">
        <v>300</v>
      </c>
      <c r="I26" s="2" t="s">
        <v>38</v>
      </c>
      <c r="J26" s="1" t="s">
        <v>38</v>
      </c>
      <c r="K26" s="1"/>
      <c r="L26" s="1">
        <v>46057</v>
      </c>
      <c r="M26" s="27" t="s">
        <v>91</v>
      </c>
      <c r="N26" s="27" t="s">
        <v>21</v>
      </c>
      <c r="O26" s="27" t="s">
        <v>22</v>
      </c>
      <c r="P26" s="27" t="s">
        <v>31</v>
      </c>
    </row>
    <row r="27" spans="1:16" x14ac:dyDescent="0.25">
      <c r="A27" s="1">
        <v>46055</v>
      </c>
      <c r="B27">
        <v>8210</v>
      </c>
      <c r="C27" s="27" t="s">
        <v>92</v>
      </c>
      <c r="D27" s="27" t="s">
        <v>37</v>
      </c>
      <c r="E27" s="27" t="s">
        <v>18</v>
      </c>
      <c r="F27" s="3">
        <v>22676</v>
      </c>
      <c r="G27" s="1">
        <v>46784</v>
      </c>
      <c r="H27">
        <v>2200</v>
      </c>
      <c r="I27" s="2" t="s">
        <v>38</v>
      </c>
      <c r="J27" s="1" t="s">
        <v>38</v>
      </c>
      <c r="K27" s="1"/>
      <c r="L27" s="1">
        <v>46057</v>
      </c>
      <c r="M27" s="27" t="s">
        <v>84</v>
      </c>
      <c r="N27" s="27" t="s">
        <v>39</v>
      </c>
      <c r="O27" s="27" t="s">
        <v>22</v>
      </c>
      <c r="P27" s="27" t="s">
        <v>31</v>
      </c>
    </row>
    <row r="28" spans="1:16" x14ac:dyDescent="0.25">
      <c r="A28" s="1">
        <v>46055</v>
      </c>
      <c r="B28">
        <v>7715</v>
      </c>
      <c r="C28" s="27" t="s">
        <v>93</v>
      </c>
      <c r="D28" s="27" t="s">
        <v>90</v>
      </c>
      <c r="E28" s="27" t="s">
        <v>18</v>
      </c>
      <c r="F28" s="3">
        <v>17226</v>
      </c>
      <c r="G28" s="1">
        <v>47515</v>
      </c>
      <c r="H28">
        <v>1980</v>
      </c>
      <c r="I28" s="2" t="s">
        <v>38</v>
      </c>
      <c r="J28" s="1" t="s">
        <v>38</v>
      </c>
      <c r="K28" s="1"/>
      <c r="L28" s="1">
        <v>46057</v>
      </c>
      <c r="M28" s="27" t="s">
        <v>34</v>
      </c>
      <c r="N28" s="27" t="s">
        <v>21</v>
      </c>
      <c r="O28" s="27" t="s">
        <v>22</v>
      </c>
      <c r="P28" s="27" t="s">
        <v>31</v>
      </c>
    </row>
    <row r="29" spans="1:16" x14ac:dyDescent="0.25">
      <c r="A29" s="1">
        <v>46055</v>
      </c>
      <c r="B29">
        <v>8096</v>
      </c>
      <c r="C29" s="27" t="s">
        <v>94</v>
      </c>
      <c r="D29" s="27" t="s">
        <v>17</v>
      </c>
      <c r="E29" s="27" t="s">
        <v>18</v>
      </c>
      <c r="F29" s="3">
        <v>22682</v>
      </c>
      <c r="G29" s="1">
        <v>46784</v>
      </c>
      <c r="H29">
        <v>9804</v>
      </c>
      <c r="I29" s="2" t="s">
        <v>38</v>
      </c>
      <c r="J29" s="1" t="s">
        <v>38</v>
      </c>
      <c r="K29" s="1"/>
      <c r="L29" s="1">
        <v>46057</v>
      </c>
      <c r="M29" s="27" t="s">
        <v>20</v>
      </c>
      <c r="N29" s="27" t="s">
        <v>21</v>
      </c>
      <c r="O29" s="27" t="s">
        <v>22</v>
      </c>
      <c r="P29" s="27" t="s">
        <v>31</v>
      </c>
    </row>
    <row r="30" spans="1:16" x14ac:dyDescent="0.25">
      <c r="A30" s="1">
        <v>46055</v>
      </c>
      <c r="B30">
        <v>8032</v>
      </c>
      <c r="C30" s="27" t="s">
        <v>95</v>
      </c>
      <c r="D30" s="27" t="s">
        <v>30</v>
      </c>
      <c r="E30" s="27" t="s">
        <v>18</v>
      </c>
      <c r="F30" s="3">
        <v>22668</v>
      </c>
      <c r="G30" s="1">
        <v>46784</v>
      </c>
      <c r="H30">
        <v>9901</v>
      </c>
      <c r="I30" s="2">
        <v>0.31591392764246867</v>
      </c>
      <c r="J30" s="1" t="s">
        <v>80</v>
      </c>
      <c r="K30" s="1"/>
      <c r="L30" s="1">
        <v>46057</v>
      </c>
      <c r="M30" s="27" t="s">
        <v>20</v>
      </c>
      <c r="N30" s="27" t="s">
        <v>21</v>
      </c>
      <c r="O30" s="27" t="s">
        <v>22</v>
      </c>
      <c r="P30" s="27" t="s">
        <v>31</v>
      </c>
    </row>
    <row r="31" spans="1:16" x14ac:dyDescent="0.25">
      <c r="A31" s="1">
        <v>46055</v>
      </c>
      <c r="B31">
        <v>8310</v>
      </c>
      <c r="C31" s="27" t="s">
        <v>96</v>
      </c>
      <c r="D31" s="27" t="s">
        <v>37</v>
      </c>
      <c r="E31" s="27" t="s">
        <v>18</v>
      </c>
      <c r="F31" s="3">
        <v>22673</v>
      </c>
      <c r="G31" s="1">
        <v>46784</v>
      </c>
      <c r="H31">
        <v>2500</v>
      </c>
      <c r="I31" s="2">
        <v>0.3317410305925399</v>
      </c>
      <c r="J31" s="1">
        <v>46113</v>
      </c>
      <c r="K31" s="1"/>
      <c r="L31" s="1">
        <v>46057</v>
      </c>
      <c r="M31" s="27" t="s">
        <v>84</v>
      </c>
      <c r="N31" s="27" t="s">
        <v>39</v>
      </c>
      <c r="O31" s="27" t="s">
        <v>22</v>
      </c>
      <c r="P31" s="27" t="s">
        <v>31</v>
      </c>
    </row>
    <row r="32" spans="1:16" x14ac:dyDescent="0.25">
      <c r="A32" s="1">
        <v>46055</v>
      </c>
      <c r="B32">
        <v>8346</v>
      </c>
      <c r="C32" s="27" t="s">
        <v>94</v>
      </c>
      <c r="D32" s="27" t="s">
        <v>17</v>
      </c>
      <c r="E32" s="27" t="s">
        <v>18</v>
      </c>
      <c r="F32" s="3">
        <v>22683</v>
      </c>
      <c r="G32" s="1">
        <v>46784</v>
      </c>
      <c r="H32">
        <v>9804</v>
      </c>
      <c r="I32" s="2" t="s">
        <v>38</v>
      </c>
      <c r="J32" s="1" t="s">
        <v>38</v>
      </c>
      <c r="K32" s="1"/>
      <c r="L32" s="1">
        <v>46057</v>
      </c>
      <c r="M32" s="27" t="s">
        <v>20</v>
      </c>
      <c r="N32" s="27" t="s">
        <v>21</v>
      </c>
      <c r="O32" s="27" t="s">
        <v>22</v>
      </c>
      <c r="P32" s="27" t="s">
        <v>31</v>
      </c>
    </row>
    <row r="33" spans="1:16" x14ac:dyDescent="0.25">
      <c r="A33" s="1">
        <v>46055</v>
      </c>
      <c r="B33">
        <v>8247</v>
      </c>
      <c r="C33" s="27" t="s">
        <v>97</v>
      </c>
      <c r="D33" s="27" t="s">
        <v>45</v>
      </c>
      <c r="E33" s="27" t="s">
        <v>18</v>
      </c>
      <c r="F33" s="3">
        <v>15226</v>
      </c>
      <c r="G33" s="1">
        <v>46784</v>
      </c>
      <c r="H33">
        <v>2500</v>
      </c>
      <c r="I33" s="2" t="s">
        <v>38</v>
      </c>
      <c r="J33" s="1" t="s">
        <v>38</v>
      </c>
      <c r="K33" s="1"/>
      <c r="L33" s="1">
        <v>46057</v>
      </c>
      <c r="M33" s="27" t="s">
        <v>20</v>
      </c>
      <c r="N33" s="27" t="s">
        <v>21</v>
      </c>
      <c r="O33" s="27" t="s">
        <v>22</v>
      </c>
      <c r="P33" s="27" t="s">
        <v>31</v>
      </c>
    </row>
    <row r="34" spans="1:16" x14ac:dyDescent="0.25">
      <c r="A34" s="1">
        <v>46063</v>
      </c>
      <c r="B34">
        <v>8350</v>
      </c>
      <c r="C34" s="27" t="s">
        <v>104</v>
      </c>
      <c r="D34" s="27" t="s">
        <v>30</v>
      </c>
      <c r="E34" s="27" t="s">
        <v>18</v>
      </c>
      <c r="F34" s="3">
        <v>22685</v>
      </c>
      <c r="G34" s="1">
        <v>46784</v>
      </c>
      <c r="H34">
        <v>29508</v>
      </c>
      <c r="I34" s="2">
        <v>1.9699539674798685</v>
      </c>
      <c r="J34" s="1" t="s">
        <v>80</v>
      </c>
      <c r="K34" s="1"/>
      <c r="L34" s="1">
        <v>46065</v>
      </c>
      <c r="M34" s="27" t="s">
        <v>84</v>
      </c>
      <c r="N34" s="27" t="s">
        <v>21</v>
      </c>
      <c r="O34" s="27" t="s">
        <v>22</v>
      </c>
      <c r="P34" s="27" t="s">
        <v>31</v>
      </c>
    </row>
    <row r="35" spans="1:16" x14ac:dyDescent="0.25">
      <c r="A35" s="1">
        <v>46063</v>
      </c>
      <c r="B35">
        <v>8157</v>
      </c>
      <c r="C35" s="27" t="s">
        <v>105</v>
      </c>
      <c r="D35" s="27" t="s">
        <v>30</v>
      </c>
      <c r="E35" s="27" t="s">
        <v>18</v>
      </c>
      <c r="F35" s="3">
        <v>22686</v>
      </c>
      <c r="G35" s="1">
        <v>46784</v>
      </c>
      <c r="H35">
        <v>6000</v>
      </c>
      <c r="I35" s="2" t="s">
        <v>38</v>
      </c>
      <c r="J35" s="1" t="s">
        <v>38</v>
      </c>
      <c r="K35" s="1"/>
      <c r="L35" s="1">
        <v>46065</v>
      </c>
      <c r="M35" s="27" t="s">
        <v>20</v>
      </c>
      <c r="N35" s="27" t="s">
        <v>21</v>
      </c>
      <c r="O35" s="27" t="s">
        <v>22</v>
      </c>
      <c r="P35" s="27" t="s">
        <v>31</v>
      </c>
    </row>
    <row r="36" spans="1:16" x14ac:dyDescent="0.25">
      <c r="A36" s="1">
        <v>46064</v>
      </c>
      <c r="B36">
        <v>8222</v>
      </c>
      <c r="C36" s="27" t="s">
        <v>106</v>
      </c>
      <c r="D36" s="27" t="s">
        <v>45</v>
      </c>
      <c r="E36" s="27" t="s">
        <v>18</v>
      </c>
      <c r="F36" s="3">
        <v>22695</v>
      </c>
      <c r="G36" s="1">
        <v>46784</v>
      </c>
      <c r="H36">
        <v>2000</v>
      </c>
      <c r="I36" s="2" t="s">
        <v>38</v>
      </c>
      <c r="J36" s="1" t="s">
        <v>38</v>
      </c>
      <c r="K36" s="1"/>
      <c r="L36" s="1">
        <v>46065</v>
      </c>
      <c r="M36" s="27" t="s">
        <v>26</v>
      </c>
      <c r="N36" s="27" t="s">
        <v>21</v>
      </c>
      <c r="O36" s="27" t="s">
        <v>22</v>
      </c>
      <c r="P36" s="27" t="s">
        <v>31</v>
      </c>
    </row>
    <row r="37" spans="1:16" x14ac:dyDescent="0.25">
      <c r="A37" s="1">
        <v>46083</v>
      </c>
      <c r="B37">
        <v>8240</v>
      </c>
      <c r="C37" s="27" t="s">
        <v>111</v>
      </c>
      <c r="D37" s="27" t="s">
        <v>30</v>
      </c>
      <c r="E37" s="27" t="s">
        <v>112</v>
      </c>
      <c r="F37" s="3">
        <v>32605</v>
      </c>
      <c r="G37" s="1">
        <v>46813</v>
      </c>
      <c r="H37">
        <v>15000</v>
      </c>
      <c r="I37" s="2">
        <v>3.216647607540227</v>
      </c>
      <c r="J37" s="1">
        <v>46120</v>
      </c>
      <c r="K37" s="1"/>
      <c r="L37" s="1">
        <v>46076</v>
      </c>
      <c r="M37" s="27" t="s">
        <v>42</v>
      </c>
      <c r="N37" s="27" t="s">
        <v>21</v>
      </c>
      <c r="O37" s="27" t="s">
        <v>22</v>
      </c>
      <c r="P37" s="27" t="s">
        <v>31</v>
      </c>
    </row>
    <row r="38" spans="1:16" x14ac:dyDescent="0.25">
      <c r="A38" s="1">
        <v>46083</v>
      </c>
      <c r="B38">
        <v>8353</v>
      </c>
      <c r="C38" s="27" t="s">
        <v>113</v>
      </c>
      <c r="D38" s="27" t="s">
        <v>25</v>
      </c>
      <c r="E38" s="27" t="s">
        <v>18</v>
      </c>
      <c r="F38" s="3">
        <v>5326</v>
      </c>
      <c r="G38" s="1">
        <v>47543</v>
      </c>
      <c r="H38">
        <v>4839</v>
      </c>
      <c r="I38" s="2">
        <v>2.6345132215125648</v>
      </c>
      <c r="J38" s="1" t="s">
        <v>80</v>
      </c>
      <c r="K38" s="1"/>
      <c r="L38" s="1">
        <v>46076</v>
      </c>
      <c r="M38" s="27" t="s">
        <v>26</v>
      </c>
      <c r="N38" s="27" t="s">
        <v>21</v>
      </c>
      <c r="O38" s="27" t="s">
        <v>22</v>
      </c>
      <c r="P38" s="27" t="s">
        <v>31</v>
      </c>
    </row>
    <row r="39" spans="1:16" x14ac:dyDescent="0.25">
      <c r="A39" s="1">
        <v>46083</v>
      </c>
      <c r="B39">
        <v>8332</v>
      </c>
      <c r="C39" s="27" t="s">
        <v>114</v>
      </c>
      <c r="D39" s="27" t="s">
        <v>37</v>
      </c>
      <c r="E39" s="27" t="s">
        <v>18</v>
      </c>
      <c r="F39" s="3">
        <v>4326</v>
      </c>
      <c r="G39" s="1">
        <v>46813</v>
      </c>
      <c r="H39">
        <v>4000</v>
      </c>
      <c r="I39" s="2">
        <v>2.0870756062767475</v>
      </c>
      <c r="J39" s="1" t="s">
        <v>80</v>
      </c>
      <c r="K39" s="1"/>
      <c r="L39" s="1">
        <v>46076</v>
      </c>
      <c r="M39" s="27" t="s">
        <v>20</v>
      </c>
      <c r="N39" s="27" t="s">
        <v>39</v>
      </c>
      <c r="O39" s="27" t="s">
        <v>22</v>
      </c>
      <c r="P39" s="27" t="s">
        <v>31</v>
      </c>
    </row>
    <row r="40" spans="1:16" x14ac:dyDescent="0.25">
      <c r="A40" s="1">
        <v>46083</v>
      </c>
      <c r="B40">
        <v>8190</v>
      </c>
      <c r="C40" s="27" t="s">
        <v>115</v>
      </c>
      <c r="D40" s="27" t="s">
        <v>30</v>
      </c>
      <c r="E40" s="27" t="s">
        <v>18</v>
      </c>
      <c r="F40" s="3">
        <v>32604</v>
      </c>
      <c r="G40" s="1">
        <v>46813</v>
      </c>
      <c r="H40">
        <v>19802</v>
      </c>
      <c r="I40" s="2">
        <v>1.0908340782507049</v>
      </c>
      <c r="J40" s="1" t="s">
        <v>80</v>
      </c>
      <c r="K40" s="1"/>
      <c r="L40" s="1">
        <v>46076</v>
      </c>
      <c r="M40" s="27" t="s">
        <v>20</v>
      </c>
      <c r="N40" s="27" t="s">
        <v>21</v>
      </c>
      <c r="O40" s="27" t="s">
        <v>22</v>
      </c>
      <c r="P40" s="27" t="s">
        <v>31</v>
      </c>
    </row>
    <row r="41" spans="1:16" x14ac:dyDescent="0.25">
      <c r="A41" s="1">
        <v>46083</v>
      </c>
      <c r="B41">
        <v>8312</v>
      </c>
      <c r="C41" s="27" t="s">
        <v>116</v>
      </c>
      <c r="D41" s="27" t="s">
        <v>25</v>
      </c>
      <c r="E41" s="27" t="s">
        <v>18</v>
      </c>
      <c r="F41" s="3">
        <v>32606</v>
      </c>
      <c r="G41" s="1">
        <v>47178</v>
      </c>
      <c r="H41">
        <v>28570</v>
      </c>
      <c r="I41" s="2">
        <v>2.0203384627192142</v>
      </c>
      <c r="J41" s="1" t="s">
        <v>19</v>
      </c>
      <c r="K41" s="1">
        <v>46126</v>
      </c>
      <c r="L41" s="1">
        <v>46076</v>
      </c>
      <c r="M41" s="27" t="s">
        <v>26</v>
      </c>
      <c r="N41" s="27" t="s">
        <v>21</v>
      </c>
      <c r="O41" s="27" t="s">
        <v>22</v>
      </c>
      <c r="P41" s="27" t="s">
        <v>31</v>
      </c>
    </row>
    <row r="42" spans="1:16" x14ac:dyDescent="0.25">
      <c r="A42" s="1">
        <v>46083</v>
      </c>
      <c r="B42">
        <v>8322</v>
      </c>
      <c r="C42" s="27" t="s">
        <v>117</v>
      </c>
      <c r="D42" s="27" t="s">
        <v>17</v>
      </c>
      <c r="E42" s="27" t="s">
        <v>18</v>
      </c>
      <c r="F42" s="3">
        <v>1326</v>
      </c>
      <c r="G42" s="1">
        <v>47543</v>
      </c>
      <c r="H42">
        <v>2941</v>
      </c>
      <c r="I42" s="2" t="s">
        <v>38</v>
      </c>
      <c r="J42" s="1" t="s">
        <v>38</v>
      </c>
      <c r="K42" s="1"/>
      <c r="L42" s="1">
        <v>46076</v>
      </c>
      <c r="M42" s="27" t="s">
        <v>20</v>
      </c>
      <c r="N42" s="27" t="s">
        <v>21</v>
      </c>
      <c r="O42" s="27" t="s">
        <v>22</v>
      </c>
      <c r="P42" s="27" t="s">
        <v>31</v>
      </c>
    </row>
    <row r="43" spans="1:16" x14ac:dyDescent="0.25">
      <c r="A43" s="1">
        <v>46083</v>
      </c>
      <c r="B43">
        <v>8417</v>
      </c>
      <c r="C43" s="27" t="s">
        <v>27</v>
      </c>
      <c r="D43" s="27" t="s">
        <v>25</v>
      </c>
      <c r="E43" s="27" t="s">
        <v>18</v>
      </c>
      <c r="F43" s="3">
        <v>32637</v>
      </c>
      <c r="G43" s="1">
        <v>47543</v>
      </c>
      <c r="H43">
        <v>37500</v>
      </c>
      <c r="I43" s="2">
        <v>1.5949363652404456</v>
      </c>
      <c r="J43" s="1" t="s">
        <v>19</v>
      </c>
      <c r="K43" s="1">
        <v>46128</v>
      </c>
      <c r="L43" s="1">
        <v>46084</v>
      </c>
      <c r="M43" s="27" t="s">
        <v>28</v>
      </c>
      <c r="N43" s="27" t="s">
        <v>21</v>
      </c>
      <c r="O43" s="27" t="s">
        <v>22</v>
      </c>
      <c r="P43" s="27" t="s">
        <v>23</v>
      </c>
    </row>
    <row r="44" spans="1:16" x14ac:dyDescent="0.25">
      <c r="A44" s="1">
        <v>46083</v>
      </c>
      <c r="B44">
        <v>8352</v>
      </c>
      <c r="C44" s="27" t="s">
        <v>24</v>
      </c>
      <c r="D44" s="27" t="s">
        <v>25</v>
      </c>
      <c r="E44" s="27" t="s">
        <v>18</v>
      </c>
      <c r="F44" s="3">
        <v>32636</v>
      </c>
      <c r="G44" s="1">
        <v>46813</v>
      </c>
      <c r="H44">
        <v>6500</v>
      </c>
      <c r="I44" s="2">
        <v>7.4558936333418563E-2</v>
      </c>
      <c r="J44" s="1" t="s">
        <v>19</v>
      </c>
      <c r="K44" s="1"/>
      <c r="L44" s="1">
        <v>46084</v>
      </c>
      <c r="M44" s="27" t="s">
        <v>26</v>
      </c>
      <c r="N44" s="27" t="s">
        <v>21</v>
      </c>
      <c r="O44" s="27" t="s">
        <v>22</v>
      </c>
      <c r="P44" s="27" t="s">
        <v>31</v>
      </c>
    </row>
    <row r="45" spans="1:16" x14ac:dyDescent="0.25">
      <c r="A45" s="1">
        <v>46083</v>
      </c>
      <c r="B45">
        <v>8199</v>
      </c>
      <c r="C45" s="27" t="s">
        <v>118</v>
      </c>
      <c r="D45" s="27" t="s">
        <v>17</v>
      </c>
      <c r="E45" s="27" t="s">
        <v>18</v>
      </c>
      <c r="F45" s="3">
        <v>32648</v>
      </c>
      <c r="G45" s="1">
        <v>46813</v>
      </c>
      <c r="H45">
        <v>11764</v>
      </c>
      <c r="I45" s="2">
        <v>0.96306685366993916</v>
      </c>
      <c r="J45" s="1">
        <v>46114</v>
      </c>
      <c r="K45" s="1"/>
      <c r="L45" s="1">
        <v>46084</v>
      </c>
      <c r="M45" s="27" t="s">
        <v>20</v>
      </c>
      <c r="N45" s="27" t="s">
        <v>21</v>
      </c>
      <c r="O45" s="27" t="s">
        <v>22</v>
      </c>
      <c r="P45" s="27" t="s">
        <v>31</v>
      </c>
    </row>
    <row r="46" spans="1:16" x14ac:dyDescent="0.25">
      <c r="A46" s="1">
        <v>46083</v>
      </c>
      <c r="B46">
        <v>8307</v>
      </c>
      <c r="C46" s="27" t="s">
        <v>119</v>
      </c>
      <c r="D46" s="27" t="s">
        <v>17</v>
      </c>
      <c r="E46" s="27" t="s">
        <v>18</v>
      </c>
      <c r="F46" s="3">
        <v>32647</v>
      </c>
      <c r="G46" s="1">
        <v>46813</v>
      </c>
      <c r="H46">
        <v>15686</v>
      </c>
      <c r="I46" s="2">
        <v>0.57796649575996384</v>
      </c>
      <c r="J46" s="1">
        <v>46122</v>
      </c>
      <c r="K46" s="1"/>
      <c r="L46" s="1">
        <v>46084</v>
      </c>
      <c r="M46" s="27" t="s">
        <v>20</v>
      </c>
      <c r="N46" s="27" t="s">
        <v>21</v>
      </c>
      <c r="O46" s="27" t="s">
        <v>22</v>
      </c>
      <c r="P46" s="27" t="s">
        <v>31</v>
      </c>
    </row>
    <row r="47" spans="1:16" x14ac:dyDescent="0.25">
      <c r="A47" s="1">
        <v>46083</v>
      </c>
      <c r="B47">
        <v>8200</v>
      </c>
      <c r="C47" s="27" t="s">
        <v>120</v>
      </c>
      <c r="D47" s="27" t="s">
        <v>17</v>
      </c>
      <c r="E47" s="27" t="s">
        <v>18</v>
      </c>
      <c r="F47" s="3">
        <v>32649</v>
      </c>
      <c r="G47" s="1">
        <v>46813</v>
      </c>
      <c r="H47">
        <v>2419</v>
      </c>
      <c r="I47" s="2">
        <v>2.1877470355731226</v>
      </c>
      <c r="J47" s="1">
        <v>46121</v>
      </c>
      <c r="K47" s="1"/>
      <c r="L47" s="1">
        <v>46084</v>
      </c>
      <c r="M47" s="27" t="s">
        <v>84</v>
      </c>
      <c r="N47" s="27" t="s">
        <v>21</v>
      </c>
      <c r="O47" s="27" t="s">
        <v>22</v>
      </c>
      <c r="P47" s="27" t="s">
        <v>31</v>
      </c>
    </row>
    <row r="48" spans="1:16" x14ac:dyDescent="0.25">
      <c r="A48" s="1">
        <v>46083</v>
      </c>
      <c r="B48">
        <v>8463</v>
      </c>
      <c r="C48" s="27" t="s">
        <v>27</v>
      </c>
      <c r="D48" s="27" t="s">
        <v>25</v>
      </c>
      <c r="E48" s="27" t="s">
        <v>18</v>
      </c>
      <c r="F48" s="3">
        <v>32638</v>
      </c>
      <c r="G48" s="1">
        <v>47543</v>
      </c>
      <c r="H48">
        <v>56250</v>
      </c>
      <c r="I48" s="2">
        <v>1.5949363652404456</v>
      </c>
      <c r="J48" s="1" t="s">
        <v>19</v>
      </c>
      <c r="K48" s="1">
        <v>46132</v>
      </c>
      <c r="L48" s="1">
        <v>46084</v>
      </c>
      <c r="M48" s="27" t="s">
        <v>28</v>
      </c>
      <c r="N48" s="27" t="s">
        <v>21</v>
      </c>
      <c r="O48" s="27" t="s">
        <v>22</v>
      </c>
      <c r="P48" s="27" t="s">
        <v>23</v>
      </c>
    </row>
    <row r="49" spans="1:16" x14ac:dyDescent="0.25">
      <c r="A49" s="1">
        <v>46083</v>
      </c>
      <c r="B49">
        <v>8467</v>
      </c>
      <c r="C49" s="27" t="s">
        <v>16</v>
      </c>
      <c r="D49" s="27" t="s">
        <v>17</v>
      </c>
      <c r="E49" s="27" t="s">
        <v>18</v>
      </c>
      <c r="F49" s="3">
        <v>32646</v>
      </c>
      <c r="G49" s="1">
        <v>46813</v>
      </c>
      <c r="H49">
        <v>23529</v>
      </c>
      <c r="I49" s="2">
        <v>0.88127926525663147</v>
      </c>
      <c r="J49" s="1" t="s">
        <v>19</v>
      </c>
      <c r="K49" s="1"/>
      <c r="L49" s="1">
        <v>46084</v>
      </c>
      <c r="M49" s="27" t="s">
        <v>20</v>
      </c>
      <c r="N49" s="27" t="s">
        <v>21</v>
      </c>
      <c r="O49" s="27" t="s">
        <v>22</v>
      </c>
      <c r="P49" s="27" t="s">
        <v>31</v>
      </c>
    </row>
    <row r="50" spans="1:16" x14ac:dyDescent="0.25">
      <c r="A50" s="1">
        <v>46083</v>
      </c>
      <c r="B50">
        <v>8215</v>
      </c>
      <c r="C50" s="27" t="s">
        <v>16</v>
      </c>
      <c r="D50" s="27" t="s">
        <v>17</v>
      </c>
      <c r="E50" s="27" t="s">
        <v>18</v>
      </c>
      <c r="F50" s="3">
        <v>32656</v>
      </c>
      <c r="G50" s="1">
        <v>46813</v>
      </c>
      <c r="H50">
        <v>23529</v>
      </c>
      <c r="I50" s="2">
        <v>0.88127926525663147</v>
      </c>
      <c r="J50" s="1" t="s">
        <v>19</v>
      </c>
      <c r="K50" s="1">
        <v>46135</v>
      </c>
      <c r="L50" s="1">
        <v>46093</v>
      </c>
      <c r="M50" s="27" t="s">
        <v>20</v>
      </c>
      <c r="N50" s="27" t="s">
        <v>21</v>
      </c>
      <c r="O50" s="27" t="s">
        <v>22</v>
      </c>
      <c r="P50" s="27" t="s">
        <v>23</v>
      </c>
    </row>
    <row r="51" spans="1:16" x14ac:dyDescent="0.25">
      <c r="A51" s="1">
        <v>46083</v>
      </c>
      <c r="B51">
        <v>8446</v>
      </c>
      <c r="C51" s="27" t="s">
        <v>16</v>
      </c>
      <c r="D51" s="27" t="s">
        <v>17</v>
      </c>
      <c r="E51" s="27" t="s">
        <v>18</v>
      </c>
      <c r="F51" s="3">
        <v>32653</v>
      </c>
      <c r="G51" s="1">
        <v>46813</v>
      </c>
      <c r="H51">
        <v>23529</v>
      </c>
      <c r="I51" s="2">
        <v>0.88127926525663147</v>
      </c>
      <c r="J51" s="1" t="s">
        <v>19</v>
      </c>
      <c r="K51" s="1">
        <v>46119</v>
      </c>
      <c r="L51" s="1">
        <v>46093</v>
      </c>
      <c r="M51" s="27" t="s">
        <v>20</v>
      </c>
      <c r="N51" s="27" t="s">
        <v>21</v>
      </c>
      <c r="O51" s="27" t="s">
        <v>22</v>
      </c>
      <c r="P51" s="27" t="s">
        <v>31</v>
      </c>
    </row>
    <row r="52" spans="1:16" x14ac:dyDescent="0.25">
      <c r="A52" s="1">
        <v>46083</v>
      </c>
      <c r="B52">
        <v>8189</v>
      </c>
      <c r="C52" s="27" t="s">
        <v>16</v>
      </c>
      <c r="D52" s="27" t="s">
        <v>17</v>
      </c>
      <c r="E52" s="27" t="s">
        <v>18</v>
      </c>
      <c r="F52" s="3">
        <v>32654</v>
      </c>
      <c r="G52" s="1">
        <v>46813</v>
      </c>
      <c r="H52">
        <v>23529</v>
      </c>
      <c r="I52" s="2">
        <v>0.88127926525663147</v>
      </c>
      <c r="J52" s="1" t="s">
        <v>19</v>
      </c>
      <c r="K52" s="1">
        <v>46119</v>
      </c>
      <c r="L52" s="1">
        <v>46093</v>
      </c>
      <c r="M52" s="27" t="s">
        <v>20</v>
      </c>
      <c r="N52" s="27" t="s">
        <v>21</v>
      </c>
      <c r="O52" s="27" t="s">
        <v>22</v>
      </c>
      <c r="P52" s="27" t="s">
        <v>31</v>
      </c>
    </row>
    <row r="53" spans="1:16" x14ac:dyDescent="0.25">
      <c r="A53" s="1">
        <v>46083</v>
      </c>
      <c r="B53">
        <v>8451</v>
      </c>
      <c r="C53" s="27" t="s">
        <v>16</v>
      </c>
      <c r="D53" s="27" t="s">
        <v>17</v>
      </c>
      <c r="E53" s="27" t="s">
        <v>18</v>
      </c>
      <c r="F53" s="3">
        <v>32655</v>
      </c>
      <c r="G53" s="1">
        <v>46813</v>
      </c>
      <c r="H53">
        <v>23529</v>
      </c>
      <c r="I53" s="2">
        <v>0.88127926525663147</v>
      </c>
      <c r="J53" s="1" t="s">
        <v>19</v>
      </c>
      <c r="K53" s="1">
        <v>46134</v>
      </c>
      <c r="L53" s="1">
        <v>46093</v>
      </c>
      <c r="M53" s="27" t="s">
        <v>20</v>
      </c>
      <c r="N53" s="27" t="s">
        <v>21</v>
      </c>
      <c r="O53" s="27" t="s">
        <v>22</v>
      </c>
      <c r="P53" s="27" t="s">
        <v>23</v>
      </c>
    </row>
    <row r="54" spans="1:16" x14ac:dyDescent="0.25">
      <c r="A54" s="1">
        <v>46083</v>
      </c>
      <c r="B54">
        <v>8436</v>
      </c>
      <c r="C54" s="27" t="s">
        <v>29</v>
      </c>
      <c r="D54" s="27" t="s">
        <v>30</v>
      </c>
      <c r="E54" s="27" t="s">
        <v>18</v>
      </c>
      <c r="F54" s="3">
        <v>32669</v>
      </c>
      <c r="G54" s="1">
        <v>46813</v>
      </c>
      <c r="H54">
        <v>19802</v>
      </c>
      <c r="I54" s="2">
        <v>1.1425259543146105</v>
      </c>
      <c r="J54" s="1" t="s">
        <v>19</v>
      </c>
      <c r="K54" s="1">
        <v>46134</v>
      </c>
      <c r="L54" s="1">
        <v>46093</v>
      </c>
      <c r="M54" s="27" t="s">
        <v>20</v>
      </c>
      <c r="N54" s="27" t="s">
        <v>21</v>
      </c>
      <c r="O54" s="27" t="s">
        <v>22</v>
      </c>
      <c r="P54" s="27" t="s">
        <v>23</v>
      </c>
    </row>
    <row r="55" spans="1:16" x14ac:dyDescent="0.25">
      <c r="A55" s="1">
        <v>46113</v>
      </c>
      <c r="B55">
        <v>8399</v>
      </c>
      <c r="C55" s="27" t="s">
        <v>122</v>
      </c>
      <c r="D55" s="27" t="s">
        <v>30</v>
      </c>
      <c r="E55" s="27" t="s">
        <v>18</v>
      </c>
      <c r="F55" s="3">
        <v>42660</v>
      </c>
      <c r="G55" s="1">
        <v>46844</v>
      </c>
      <c r="H55">
        <v>29703</v>
      </c>
      <c r="I55" s="2">
        <v>1.873499293435881</v>
      </c>
      <c r="J55" s="1" t="s">
        <v>19</v>
      </c>
      <c r="K55" s="1">
        <v>46120</v>
      </c>
      <c r="L55" s="1">
        <v>46107</v>
      </c>
      <c r="M55" s="27" t="s">
        <v>20</v>
      </c>
      <c r="N55" s="27" t="s">
        <v>21</v>
      </c>
      <c r="O55" s="27" t="s">
        <v>22</v>
      </c>
      <c r="P55" s="27" t="s">
        <v>31</v>
      </c>
    </row>
    <row r="56" spans="1:16" x14ac:dyDescent="0.25">
      <c r="A56" s="1">
        <v>46113</v>
      </c>
      <c r="B56">
        <v>8412</v>
      </c>
      <c r="C56" s="27" t="s">
        <v>123</v>
      </c>
      <c r="D56" s="27" t="s">
        <v>25</v>
      </c>
      <c r="E56" s="27" t="s">
        <v>18</v>
      </c>
      <c r="F56" s="3">
        <v>15426</v>
      </c>
      <c r="G56" s="1">
        <v>46844</v>
      </c>
      <c r="H56">
        <v>7500</v>
      </c>
      <c r="I56" s="2">
        <v>3.8629845648180967</v>
      </c>
      <c r="J56" s="1" t="s">
        <v>19</v>
      </c>
      <c r="K56" s="1">
        <v>46135</v>
      </c>
      <c r="L56" s="1">
        <v>46107</v>
      </c>
      <c r="M56" s="27" t="s">
        <v>28</v>
      </c>
      <c r="N56" s="27" t="s">
        <v>21</v>
      </c>
      <c r="O56" s="27" t="s">
        <v>22</v>
      </c>
      <c r="P56" s="27" t="s">
        <v>23</v>
      </c>
    </row>
    <row r="57" spans="1:16" x14ac:dyDescent="0.25">
      <c r="A57" s="1">
        <v>46113</v>
      </c>
      <c r="B57">
        <v>8414</v>
      </c>
      <c r="C57" s="27" t="s">
        <v>124</v>
      </c>
      <c r="D57" s="27" t="s">
        <v>25</v>
      </c>
      <c r="E57" s="27" t="s">
        <v>18</v>
      </c>
      <c r="F57" s="3">
        <v>16426</v>
      </c>
      <c r="G57" s="1">
        <v>47574</v>
      </c>
      <c r="H57">
        <v>2000</v>
      </c>
      <c r="I57" s="2">
        <v>3.961904761904762</v>
      </c>
      <c r="J57" s="1" t="s">
        <v>19</v>
      </c>
      <c r="K57" s="1">
        <v>46126</v>
      </c>
      <c r="L57" s="1">
        <v>46107</v>
      </c>
      <c r="M57" s="27" t="s">
        <v>26</v>
      </c>
      <c r="N57" s="27" t="s">
        <v>21</v>
      </c>
      <c r="O57" s="27" t="s">
        <v>22</v>
      </c>
      <c r="P57" s="27" t="s">
        <v>31</v>
      </c>
    </row>
    <row r="58" spans="1:16" x14ac:dyDescent="0.25">
      <c r="A58" s="1">
        <v>46113</v>
      </c>
      <c r="B58">
        <v>8452</v>
      </c>
      <c r="C58" s="27" t="s">
        <v>41</v>
      </c>
      <c r="D58" s="27" t="s">
        <v>17</v>
      </c>
      <c r="E58" s="27" t="s">
        <v>18</v>
      </c>
      <c r="F58" s="3">
        <v>42669</v>
      </c>
      <c r="G58" s="1">
        <v>46844</v>
      </c>
      <c r="H58">
        <v>14063</v>
      </c>
      <c r="I58" s="2">
        <v>2.6325258775175415</v>
      </c>
      <c r="J58" s="1" t="s">
        <v>19</v>
      </c>
      <c r="K58" s="1">
        <v>46122</v>
      </c>
      <c r="L58" s="1">
        <v>46107</v>
      </c>
      <c r="M58" s="27" t="s">
        <v>42</v>
      </c>
      <c r="N58" s="27" t="s">
        <v>21</v>
      </c>
      <c r="O58" s="27" t="s">
        <v>22</v>
      </c>
      <c r="P58" s="27" t="s">
        <v>31</v>
      </c>
    </row>
    <row r="59" spans="1:16" x14ac:dyDescent="0.25">
      <c r="A59" s="1">
        <v>46113</v>
      </c>
      <c r="B59">
        <v>8461</v>
      </c>
      <c r="C59" s="27" t="s">
        <v>125</v>
      </c>
      <c r="D59" s="27" t="s">
        <v>17</v>
      </c>
      <c r="E59" s="27" t="s">
        <v>18</v>
      </c>
      <c r="F59" s="3">
        <v>11426</v>
      </c>
      <c r="G59" s="1">
        <v>47574</v>
      </c>
      <c r="H59">
        <v>4902</v>
      </c>
      <c r="I59" s="2">
        <v>4.3169312549385825</v>
      </c>
      <c r="J59" s="1" t="s">
        <v>19</v>
      </c>
      <c r="K59" s="1"/>
      <c r="L59" s="1">
        <v>46107</v>
      </c>
      <c r="M59" s="27" t="s">
        <v>20</v>
      </c>
      <c r="N59" s="27" t="s">
        <v>21</v>
      </c>
      <c r="O59" s="27" t="s">
        <v>22</v>
      </c>
      <c r="P59" s="27" t="s">
        <v>23</v>
      </c>
    </row>
    <row r="60" spans="1:16" x14ac:dyDescent="0.25">
      <c r="A60" s="1">
        <v>46113</v>
      </c>
      <c r="B60">
        <v>8392</v>
      </c>
      <c r="C60" s="27" t="s">
        <v>126</v>
      </c>
      <c r="D60" s="27" t="s">
        <v>30</v>
      </c>
      <c r="E60" s="27" t="s">
        <v>18</v>
      </c>
      <c r="F60" s="3">
        <v>42659</v>
      </c>
      <c r="G60" s="1">
        <v>46844</v>
      </c>
      <c r="H60">
        <v>9901</v>
      </c>
      <c r="I60" s="2">
        <v>0.4556031843233313</v>
      </c>
      <c r="J60" s="1" t="s">
        <v>19</v>
      </c>
      <c r="K60" s="1">
        <v>46135</v>
      </c>
      <c r="L60" s="1">
        <v>46107</v>
      </c>
      <c r="M60" s="27" t="s">
        <v>20</v>
      </c>
      <c r="N60" s="27" t="s">
        <v>21</v>
      </c>
      <c r="O60" s="27" t="s">
        <v>22</v>
      </c>
      <c r="P60" s="27" t="s">
        <v>23</v>
      </c>
    </row>
    <row r="61" spans="1:16" x14ac:dyDescent="0.25">
      <c r="A61" s="1">
        <v>46113</v>
      </c>
      <c r="B61">
        <v>8391</v>
      </c>
      <c r="C61" s="27" t="s">
        <v>127</v>
      </c>
      <c r="D61" s="27" t="s">
        <v>17</v>
      </c>
      <c r="E61" s="27" t="s">
        <v>18</v>
      </c>
      <c r="F61" s="3">
        <v>42668</v>
      </c>
      <c r="G61" s="1">
        <v>46844</v>
      </c>
      <c r="H61">
        <v>19354</v>
      </c>
      <c r="I61" s="2">
        <v>2.5845678217184078</v>
      </c>
      <c r="J61" s="1" t="s">
        <v>19</v>
      </c>
      <c r="K61" s="1"/>
      <c r="L61" s="1">
        <v>46107</v>
      </c>
      <c r="M61" s="27" t="s">
        <v>84</v>
      </c>
      <c r="N61" s="27" t="s">
        <v>21</v>
      </c>
      <c r="O61" s="27" t="s">
        <v>22</v>
      </c>
      <c r="P61" s="27" t="s">
        <v>23</v>
      </c>
    </row>
    <row r="62" spans="1:16" x14ac:dyDescent="0.25">
      <c r="A62" s="1">
        <v>46113</v>
      </c>
      <c r="B62">
        <v>8347</v>
      </c>
      <c r="C62" s="27" t="s">
        <v>128</v>
      </c>
      <c r="D62" s="27" t="s">
        <v>37</v>
      </c>
      <c r="E62" s="27" t="s">
        <v>18</v>
      </c>
      <c r="F62" s="3">
        <v>42673</v>
      </c>
      <c r="G62" s="1">
        <v>46844</v>
      </c>
      <c r="H62">
        <v>6000</v>
      </c>
      <c r="I62" s="2">
        <v>1.8714426294036608</v>
      </c>
      <c r="J62" s="1">
        <v>46122</v>
      </c>
      <c r="K62" s="1"/>
      <c r="L62" s="1">
        <v>46107</v>
      </c>
      <c r="M62" s="27" t="s">
        <v>20</v>
      </c>
      <c r="N62" s="27" t="s">
        <v>39</v>
      </c>
      <c r="O62" s="27" t="s">
        <v>22</v>
      </c>
      <c r="P62" s="27" t="s">
        <v>23</v>
      </c>
    </row>
    <row r="63" spans="1:16" x14ac:dyDescent="0.25">
      <c r="A63" s="1">
        <v>46113</v>
      </c>
      <c r="B63">
        <v>8351</v>
      </c>
      <c r="C63" s="27" t="s">
        <v>129</v>
      </c>
      <c r="D63" s="27" t="s">
        <v>37</v>
      </c>
      <c r="E63" s="27" t="s">
        <v>18</v>
      </c>
      <c r="F63" s="3">
        <v>42675</v>
      </c>
      <c r="G63" s="1">
        <v>46844</v>
      </c>
      <c r="H63">
        <v>5100</v>
      </c>
      <c r="I63" s="2">
        <v>1.8793290427203164</v>
      </c>
      <c r="J63" s="1">
        <v>46127</v>
      </c>
      <c r="K63" s="1"/>
      <c r="L63" s="1">
        <v>46107</v>
      </c>
      <c r="M63" s="27" t="s">
        <v>20</v>
      </c>
      <c r="N63" s="27" t="s">
        <v>39</v>
      </c>
      <c r="O63" s="27" t="s">
        <v>22</v>
      </c>
      <c r="P63" s="27" t="s">
        <v>23</v>
      </c>
    </row>
    <row r="64" spans="1:16" x14ac:dyDescent="0.25">
      <c r="A64" s="1">
        <v>46113</v>
      </c>
      <c r="B64">
        <v>8241</v>
      </c>
      <c r="C64" s="27" t="s">
        <v>130</v>
      </c>
      <c r="D64" s="27" t="s">
        <v>45</v>
      </c>
      <c r="E64" s="27" t="s">
        <v>18</v>
      </c>
      <c r="F64" s="3">
        <v>14426</v>
      </c>
      <c r="G64" s="1">
        <v>46844</v>
      </c>
      <c r="H64">
        <v>1800</v>
      </c>
      <c r="I64" s="2">
        <v>2.0843868001970121</v>
      </c>
      <c r="J64" s="1" t="s">
        <v>19</v>
      </c>
      <c r="K64" s="1"/>
      <c r="L64" s="1">
        <v>46107</v>
      </c>
      <c r="M64" s="27" t="s">
        <v>20</v>
      </c>
      <c r="N64" s="27" t="s">
        <v>21</v>
      </c>
      <c r="O64" s="27" t="s">
        <v>22</v>
      </c>
      <c r="P64" s="27" t="s">
        <v>23</v>
      </c>
    </row>
    <row r="65" spans="1:16" x14ac:dyDescent="0.25">
      <c r="A65" s="1">
        <v>46113</v>
      </c>
      <c r="B65">
        <v>8383</v>
      </c>
      <c r="C65" s="27" t="s">
        <v>131</v>
      </c>
      <c r="D65" s="27" t="s">
        <v>17</v>
      </c>
      <c r="E65" s="27" t="s">
        <v>18</v>
      </c>
      <c r="F65" s="3">
        <v>42672</v>
      </c>
      <c r="G65" s="1">
        <v>47209</v>
      </c>
      <c r="H65">
        <v>3750</v>
      </c>
      <c r="I65" s="2">
        <v>3.025792584631918</v>
      </c>
      <c r="J65" s="1" t="s">
        <v>19</v>
      </c>
      <c r="K65" s="1">
        <v>46122</v>
      </c>
      <c r="L65" s="1">
        <v>46107</v>
      </c>
      <c r="M65" s="27" t="s">
        <v>42</v>
      </c>
      <c r="N65" s="27" t="s">
        <v>21</v>
      </c>
      <c r="O65" s="27" t="s">
        <v>22</v>
      </c>
      <c r="P65" s="27" t="s">
        <v>31</v>
      </c>
    </row>
    <row r="66" spans="1:16" x14ac:dyDescent="0.25">
      <c r="A66" s="1">
        <v>46113</v>
      </c>
      <c r="B66">
        <v>8370</v>
      </c>
      <c r="C66" s="27" t="s">
        <v>132</v>
      </c>
      <c r="D66" s="27" t="s">
        <v>37</v>
      </c>
      <c r="E66" s="27" t="s">
        <v>18</v>
      </c>
      <c r="F66" s="3">
        <v>13426</v>
      </c>
      <c r="G66" s="1">
        <v>47574</v>
      </c>
      <c r="H66">
        <v>10000</v>
      </c>
      <c r="I66" s="2">
        <v>2.8834661354581672</v>
      </c>
      <c r="J66" s="1">
        <v>46120</v>
      </c>
      <c r="K66" s="1"/>
      <c r="L66" s="1">
        <v>46107</v>
      </c>
      <c r="M66" s="27" t="s">
        <v>84</v>
      </c>
      <c r="N66" s="27" t="s">
        <v>39</v>
      </c>
      <c r="O66" s="27" t="s">
        <v>22</v>
      </c>
      <c r="P66" s="27" t="s">
        <v>23</v>
      </c>
    </row>
    <row r="67" spans="1:16" x14ac:dyDescent="0.25">
      <c r="A67" s="1">
        <v>46113</v>
      </c>
      <c r="B67">
        <v>8306</v>
      </c>
      <c r="C67" s="27" t="s">
        <v>133</v>
      </c>
      <c r="D67" s="27" t="s">
        <v>30</v>
      </c>
      <c r="E67" s="27" t="s">
        <v>18</v>
      </c>
      <c r="F67" s="3">
        <v>6426</v>
      </c>
      <c r="G67" s="1">
        <v>47574</v>
      </c>
      <c r="H67">
        <v>9901</v>
      </c>
      <c r="I67" s="2">
        <v>2.5072935844781195</v>
      </c>
      <c r="J67" s="1" t="s">
        <v>19</v>
      </c>
      <c r="K67" s="1"/>
      <c r="L67" s="1">
        <v>46107</v>
      </c>
      <c r="M67" s="27" t="s">
        <v>20</v>
      </c>
      <c r="N67" s="27" t="s">
        <v>21</v>
      </c>
      <c r="O67" s="27" t="s">
        <v>22</v>
      </c>
      <c r="P67" s="27" t="s">
        <v>23</v>
      </c>
    </row>
    <row r="68" spans="1:16" x14ac:dyDescent="0.25">
      <c r="A68" s="1">
        <v>46113</v>
      </c>
      <c r="B68">
        <v>8499</v>
      </c>
      <c r="C68" s="27" t="s">
        <v>134</v>
      </c>
      <c r="D68" s="27" t="s">
        <v>37</v>
      </c>
      <c r="E68" s="27" t="s">
        <v>18</v>
      </c>
      <c r="F68" s="3">
        <v>42677</v>
      </c>
      <c r="G68" s="1">
        <v>46844</v>
      </c>
      <c r="H68">
        <v>8000</v>
      </c>
      <c r="I68" s="2">
        <v>2.8190888699822105</v>
      </c>
      <c r="J68" s="1">
        <v>46125</v>
      </c>
      <c r="K68" s="1"/>
      <c r="L68" s="1">
        <v>46107</v>
      </c>
      <c r="M68" s="27" t="s">
        <v>84</v>
      </c>
      <c r="N68" s="27" t="s">
        <v>39</v>
      </c>
      <c r="O68" s="27" t="s">
        <v>22</v>
      </c>
      <c r="P68" s="27" t="s">
        <v>23</v>
      </c>
    </row>
    <row r="69" spans="1:16" x14ac:dyDescent="0.25">
      <c r="A69" s="1">
        <v>46113</v>
      </c>
      <c r="B69">
        <v>8501</v>
      </c>
      <c r="C69" s="27" t="s">
        <v>105</v>
      </c>
      <c r="D69" s="27" t="s">
        <v>30</v>
      </c>
      <c r="E69" s="27" t="s">
        <v>18</v>
      </c>
      <c r="F69" s="3">
        <v>42662</v>
      </c>
      <c r="G69" s="1">
        <v>46844</v>
      </c>
      <c r="H69">
        <v>9901</v>
      </c>
      <c r="I69" s="2">
        <v>2.1248547235596877</v>
      </c>
      <c r="J69" s="1" t="s">
        <v>19</v>
      </c>
      <c r="K69" s="1"/>
      <c r="L69" s="1">
        <v>46107</v>
      </c>
      <c r="M69" s="27" t="s">
        <v>20</v>
      </c>
      <c r="N69" s="27" t="s">
        <v>21</v>
      </c>
      <c r="O69" s="27" t="s">
        <v>22</v>
      </c>
      <c r="P69" s="27" t="s">
        <v>23</v>
      </c>
    </row>
    <row r="70" spans="1:16" x14ac:dyDescent="0.25">
      <c r="A70" s="1">
        <v>46113</v>
      </c>
      <c r="B70">
        <v>8503</v>
      </c>
      <c r="C70" s="27" t="s">
        <v>135</v>
      </c>
      <c r="D70" s="27" t="s">
        <v>30</v>
      </c>
      <c r="E70" s="27" t="s">
        <v>18</v>
      </c>
      <c r="F70" s="3">
        <v>42647</v>
      </c>
      <c r="G70" s="1">
        <v>47574</v>
      </c>
      <c r="H70">
        <v>29703</v>
      </c>
      <c r="I70" s="2">
        <v>1.5130534972399436</v>
      </c>
      <c r="J70" s="1" t="s">
        <v>19</v>
      </c>
      <c r="K70" s="1">
        <v>46139</v>
      </c>
      <c r="L70" s="1">
        <v>46107</v>
      </c>
      <c r="M70" s="27" t="s">
        <v>20</v>
      </c>
      <c r="N70" s="27" t="s">
        <v>21</v>
      </c>
      <c r="O70" s="27" t="s">
        <v>22</v>
      </c>
      <c r="P70" s="27" t="s">
        <v>23</v>
      </c>
    </row>
    <row r="71" spans="1:16" x14ac:dyDescent="0.25">
      <c r="A71" s="1">
        <v>46113</v>
      </c>
      <c r="B71">
        <v>8518</v>
      </c>
      <c r="C71" s="27" t="s">
        <v>44</v>
      </c>
      <c r="D71" s="27" t="s">
        <v>45</v>
      </c>
      <c r="E71" s="27" t="s">
        <v>18</v>
      </c>
      <c r="F71" s="3">
        <v>42678</v>
      </c>
      <c r="G71" s="1">
        <v>46844</v>
      </c>
      <c r="H71">
        <v>4000</v>
      </c>
      <c r="I71" s="2">
        <v>2.4998089288384535</v>
      </c>
      <c r="J71" s="1" t="s">
        <v>19</v>
      </c>
      <c r="K71" s="1"/>
      <c r="L71" s="1">
        <v>46107</v>
      </c>
      <c r="M71" s="27" t="s">
        <v>20</v>
      </c>
      <c r="N71" s="27" t="s">
        <v>21</v>
      </c>
      <c r="O71" s="27" t="s">
        <v>22</v>
      </c>
      <c r="P71" s="27" t="s">
        <v>23</v>
      </c>
    </row>
    <row r="72" spans="1:16" x14ac:dyDescent="0.25">
      <c r="A72" s="1">
        <v>46113</v>
      </c>
      <c r="B72">
        <v>8522</v>
      </c>
      <c r="C72" s="27" t="s">
        <v>89</v>
      </c>
      <c r="D72" s="27" t="s">
        <v>90</v>
      </c>
      <c r="E72" s="27" t="s">
        <v>18</v>
      </c>
      <c r="F72" s="3">
        <v>17426</v>
      </c>
      <c r="G72" s="1">
        <v>47574</v>
      </c>
      <c r="H72">
        <v>200</v>
      </c>
      <c r="I72" s="2">
        <v>1.5111111111111113</v>
      </c>
      <c r="J72" s="1" t="s">
        <v>19</v>
      </c>
      <c r="K72" s="1"/>
      <c r="L72" s="1">
        <v>46107</v>
      </c>
      <c r="M72" s="27" t="s">
        <v>34</v>
      </c>
      <c r="N72" s="27" t="s">
        <v>21</v>
      </c>
      <c r="O72" s="27" t="s">
        <v>22</v>
      </c>
      <c r="P72" s="27" t="s">
        <v>23</v>
      </c>
    </row>
    <row r="73" spans="1:16" x14ac:dyDescent="0.25">
      <c r="A73" s="1">
        <v>46113</v>
      </c>
      <c r="B73">
        <v>8561</v>
      </c>
      <c r="C73" s="27" t="s">
        <v>44</v>
      </c>
      <c r="D73" s="27" t="s">
        <v>45</v>
      </c>
      <c r="E73" s="27" t="s">
        <v>18</v>
      </c>
      <c r="F73" s="3">
        <v>42682</v>
      </c>
      <c r="G73" s="1">
        <v>46844</v>
      </c>
      <c r="H73">
        <v>6000</v>
      </c>
      <c r="I73" s="2">
        <v>2.4998089288384535</v>
      </c>
      <c r="J73" s="1" t="s">
        <v>19</v>
      </c>
      <c r="K73" s="1"/>
      <c r="L73" s="1">
        <v>46107</v>
      </c>
      <c r="M73" s="27" t="s">
        <v>20</v>
      </c>
      <c r="N73" s="27" t="s">
        <v>21</v>
      </c>
      <c r="O73" s="27" t="s">
        <v>22</v>
      </c>
      <c r="P73" s="27" t="s">
        <v>23</v>
      </c>
    </row>
    <row r="74" spans="1:16" x14ac:dyDescent="0.25">
      <c r="A74" s="1">
        <v>46113</v>
      </c>
      <c r="B74">
        <v>8560</v>
      </c>
      <c r="C74" s="27" t="s">
        <v>44</v>
      </c>
      <c r="D74" s="27" t="s">
        <v>45</v>
      </c>
      <c r="E74" s="27" t="s">
        <v>18</v>
      </c>
      <c r="F74" s="3">
        <v>42681</v>
      </c>
      <c r="G74" s="1">
        <v>46844</v>
      </c>
      <c r="H74">
        <v>6000</v>
      </c>
      <c r="I74" s="2">
        <v>2.4998089288384535</v>
      </c>
      <c r="J74" s="1" t="s">
        <v>19</v>
      </c>
      <c r="K74" s="1"/>
      <c r="L74" s="1">
        <v>46107</v>
      </c>
      <c r="M74" s="27" t="s">
        <v>20</v>
      </c>
      <c r="N74" s="27" t="s">
        <v>21</v>
      </c>
      <c r="O74" s="27" t="s">
        <v>22</v>
      </c>
      <c r="P74" s="27" t="s">
        <v>23</v>
      </c>
    </row>
    <row r="75" spans="1:16" x14ac:dyDescent="0.25">
      <c r="A75" s="1">
        <v>46113</v>
      </c>
      <c r="B75">
        <v>8559</v>
      </c>
      <c r="C75" s="27" t="s">
        <v>44</v>
      </c>
      <c r="D75" s="27" t="s">
        <v>45</v>
      </c>
      <c r="E75" s="27" t="s">
        <v>18</v>
      </c>
      <c r="F75" s="3">
        <v>42680</v>
      </c>
      <c r="G75" s="1">
        <v>46844</v>
      </c>
      <c r="H75">
        <v>6000</v>
      </c>
      <c r="I75" s="2">
        <v>2.4998089288384535</v>
      </c>
      <c r="J75" s="1" t="s">
        <v>19</v>
      </c>
      <c r="K75" s="1"/>
      <c r="L75" s="1">
        <v>46107</v>
      </c>
      <c r="M75" s="27" t="s">
        <v>20</v>
      </c>
      <c r="N75" s="27" t="s">
        <v>21</v>
      </c>
      <c r="O75" s="27" t="s">
        <v>22</v>
      </c>
      <c r="P75" s="27" t="s">
        <v>23</v>
      </c>
    </row>
    <row r="76" spans="1:16" x14ac:dyDescent="0.25">
      <c r="A76" s="1">
        <v>46113</v>
      </c>
      <c r="B76">
        <v>8558</v>
      </c>
      <c r="C76" s="27" t="s">
        <v>44</v>
      </c>
      <c r="D76" s="27" t="s">
        <v>45</v>
      </c>
      <c r="E76" s="27" t="s">
        <v>18</v>
      </c>
      <c r="F76" s="3">
        <v>42679</v>
      </c>
      <c r="G76" s="1">
        <v>46844</v>
      </c>
      <c r="H76">
        <v>4000</v>
      </c>
      <c r="I76" s="2">
        <v>2.4998089288384535</v>
      </c>
      <c r="J76" s="1" t="s">
        <v>19</v>
      </c>
      <c r="K76" s="1"/>
      <c r="L76" s="1">
        <v>46107</v>
      </c>
      <c r="M76" s="27" t="s">
        <v>20</v>
      </c>
      <c r="N76" s="27" t="s">
        <v>21</v>
      </c>
      <c r="O76" s="27" t="s">
        <v>22</v>
      </c>
      <c r="P76" s="27" t="s">
        <v>23</v>
      </c>
    </row>
    <row r="77" spans="1:16" x14ac:dyDescent="0.25">
      <c r="A77" s="1">
        <v>46113</v>
      </c>
      <c r="B77">
        <v>8557</v>
      </c>
      <c r="C77" s="27" t="s">
        <v>129</v>
      </c>
      <c r="D77" s="27" t="s">
        <v>37</v>
      </c>
      <c r="E77" s="27" t="s">
        <v>18</v>
      </c>
      <c r="F77" s="3">
        <v>42674</v>
      </c>
      <c r="G77" s="1">
        <v>46844</v>
      </c>
      <c r="H77">
        <v>1700</v>
      </c>
      <c r="I77" s="2">
        <v>1.8793290427203164</v>
      </c>
      <c r="J77" s="1">
        <v>46126</v>
      </c>
      <c r="K77" s="1"/>
      <c r="L77" s="1">
        <v>46107</v>
      </c>
      <c r="M77" s="27" t="s">
        <v>20</v>
      </c>
      <c r="N77" s="27" t="s">
        <v>39</v>
      </c>
      <c r="O77" s="27" t="s">
        <v>22</v>
      </c>
      <c r="P77" s="27" t="s">
        <v>23</v>
      </c>
    </row>
    <row r="78" spans="1:16" x14ac:dyDescent="0.25">
      <c r="A78" s="1">
        <v>46113</v>
      </c>
      <c r="B78">
        <v>8556</v>
      </c>
      <c r="C78" s="27" t="s">
        <v>129</v>
      </c>
      <c r="D78" s="27" t="s">
        <v>37</v>
      </c>
      <c r="E78" s="27" t="s">
        <v>18</v>
      </c>
      <c r="F78" s="3">
        <v>42676</v>
      </c>
      <c r="G78" s="1">
        <v>46844</v>
      </c>
      <c r="H78">
        <v>5100</v>
      </c>
      <c r="I78" s="2">
        <v>1.8793290427203164</v>
      </c>
      <c r="J78" s="1">
        <v>46129</v>
      </c>
      <c r="K78" s="1"/>
      <c r="L78" s="1">
        <v>46107</v>
      </c>
      <c r="M78" s="27" t="s">
        <v>20</v>
      </c>
      <c r="N78" s="27" t="s">
        <v>39</v>
      </c>
      <c r="O78" s="27" t="s">
        <v>22</v>
      </c>
      <c r="P78" s="27" t="s">
        <v>23</v>
      </c>
    </row>
    <row r="79" spans="1:16" x14ac:dyDescent="0.25">
      <c r="A79" s="1">
        <v>46113</v>
      </c>
      <c r="B79">
        <v>8554</v>
      </c>
      <c r="C79" s="27" t="s">
        <v>135</v>
      </c>
      <c r="D79" s="27" t="s">
        <v>30</v>
      </c>
      <c r="E79" s="27" t="s">
        <v>18</v>
      </c>
      <c r="F79" s="3">
        <v>42658</v>
      </c>
      <c r="G79" s="1">
        <v>47574</v>
      </c>
      <c r="H79">
        <v>29703</v>
      </c>
      <c r="I79" s="2">
        <v>1.5130534972399436</v>
      </c>
      <c r="J79" s="1" t="s">
        <v>19</v>
      </c>
      <c r="K79" s="1"/>
      <c r="L79" s="1">
        <v>46107</v>
      </c>
      <c r="M79" s="27" t="s">
        <v>20</v>
      </c>
      <c r="N79" s="27" t="s">
        <v>21</v>
      </c>
      <c r="O79" s="27" t="s">
        <v>22</v>
      </c>
      <c r="P79" s="27" t="s">
        <v>23</v>
      </c>
    </row>
    <row r="80" spans="1:16" x14ac:dyDescent="0.25">
      <c r="A80" s="1">
        <v>46113</v>
      </c>
      <c r="B80">
        <v>8553</v>
      </c>
      <c r="C80" s="27" t="s">
        <v>135</v>
      </c>
      <c r="D80" s="27" t="s">
        <v>30</v>
      </c>
      <c r="E80" s="27" t="s">
        <v>18</v>
      </c>
      <c r="F80" s="3">
        <v>42657</v>
      </c>
      <c r="G80" s="1">
        <v>47574</v>
      </c>
      <c r="H80">
        <v>29703</v>
      </c>
      <c r="I80" s="2">
        <v>1.5130534972399436</v>
      </c>
      <c r="J80" s="1" t="s">
        <v>19</v>
      </c>
      <c r="K80" s="1"/>
      <c r="L80" s="1">
        <v>46107</v>
      </c>
      <c r="M80" s="27" t="s">
        <v>20</v>
      </c>
      <c r="N80" s="27" t="s">
        <v>21</v>
      </c>
      <c r="O80" s="27" t="s">
        <v>22</v>
      </c>
      <c r="P80" s="27" t="s">
        <v>23</v>
      </c>
    </row>
    <row r="81" spans="1:16" x14ac:dyDescent="0.25">
      <c r="A81" s="1">
        <v>46113</v>
      </c>
      <c r="B81">
        <v>8551</v>
      </c>
      <c r="C81" s="27" t="s">
        <v>135</v>
      </c>
      <c r="D81" s="27" t="s">
        <v>30</v>
      </c>
      <c r="E81" s="27" t="s">
        <v>18</v>
      </c>
      <c r="F81" s="3">
        <v>42655</v>
      </c>
      <c r="G81" s="1">
        <v>47574</v>
      </c>
      <c r="H81">
        <v>29703</v>
      </c>
      <c r="I81" s="2">
        <v>1.5130534972399436</v>
      </c>
      <c r="J81" s="1" t="s">
        <v>19</v>
      </c>
      <c r="K81" s="1"/>
      <c r="L81" s="1">
        <v>46107</v>
      </c>
      <c r="M81" s="27" t="s">
        <v>20</v>
      </c>
      <c r="N81" s="27" t="s">
        <v>21</v>
      </c>
      <c r="O81" s="27" t="s">
        <v>22</v>
      </c>
      <c r="P81" s="27" t="s">
        <v>23</v>
      </c>
    </row>
    <row r="82" spans="1:16" x14ac:dyDescent="0.25">
      <c r="A82" s="1">
        <v>46113</v>
      </c>
      <c r="B82">
        <v>8550</v>
      </c>
      <c r="C82" s="27" t="s">
        <v>135</v>
      </c>
      <c r="D82" s="27" t="s">
        <v>30</v>
      </c>
      <c r="E82" s="27" t="s">
        <v>18</v>
      </c>
      <c r="F82" s="3">
        <v>42654</v>
      </c>
      <c r="G82" s="1">
        <v>47574</v>
      </c>
      <c r="H82">
        <v>29703</v>
      </c>
      <c r="I82" s="2">
        <v>1.5130534972399436</v>
      </c>
      <c r="J82" s="1" t="s">
        <v>19</v>
      </c>
      <c r="K82" s="1"/>
      <c r="L82" s="1">
        <v>46107</v>
      </c>
      <c r="M82" s="27" t="s">
        <v>20</v>
      </c>
      <c r="N82" s="27" t="s">
        <v>21</v>
      </c>
      <c r="O82" s="27" t="s">
        <v>22</v>
      </c>
      <c r="P82" s="27" t="s">
        <v>23</v>
      </c>
    </row>
    <row r="83" spans="1:16" x14ac:dyDescent="0.25">
      <c r="A83" s="1">
        <v>46113</v>
      </c>
      <c r="B83">
        <v>8552</v>
      </c>
      <c r="C83" s="27" t="s">
        <v>135</v>
      </c>
      <c r="D83" s="27" t="s">
        <v>30</v>
      </c>
      <c r="E83" s="27" t="s">
        <v>18</v>
      </c>
      <c r="F83" s="3">
        <v>42656</v>
      </c>
      <c r="G83" s="1">
        <v>47574</v>
      </c>
      <c r="H83">
        <v>29703</v>
      </c>
      <c r="I83" s="2">
        <v>1.5130534972399436</v>
      </c>
      <c r="J83" s="1" t="s">
        <v>19</v>
      </c>
      <c r="K83" s="1"/>
      <c r="L83" s="1">
        <v>46107</v>
      </c>
      <c r="M83" s="27" t="s">
        <v>20</v>
      </c>
      <c r="N83" s="27" t="s">
        <v>21</v>
      </c>
      <c r="O83" s="27" t="s">
        <v>22</v>
      </c>
      <c r="P83" s="27" t="s">
        <v>23</v>
      </c>
    </row>
    <row r="84" spans="1:16" x14ac:dyDescent="0.25">
      <c r="A84" s="1">
        <v>46113</v>
      </c>
      <c r="B84">
        <v>8549</v>
      </c>
      <c r="C84" s="27" t="s">
        <v>135</v>
      </c>
      <c r="D84" s="27" t="s">
        <v>30</v>
      </c>
      <c r="E84" s="27" t="s">
        <v>18</v>
      </c>
      <c r="F84" s="3">
        <v>42653</v>
      </c>
      <c r="G84" s="1">
        <v>47574</v>
      </c>
      <c r="H84">
        <v>29703</v>
      </c>
      <c r="I84" s="2">
        <v>1.5130534972399436</v>
      </c>
      <c r="J84" s="1" t="s">
        <v>19</v>
      </c>
      <c r="K84" s="1">
        <v>46144</v>
      </c>
      <c r="L84" s="1">
        <v>46107</v>
      </c>
      <c r="M84" s="27" t="s">
        <v>20</v>
      </c>
      <c r="N84" s="27" t="s">
        <v>21</v>
      </c>
      <c r="O84" s="27" t="s">
        <v>22</v>
      </c>
      <c r="P84" s="27" t="s">
        <v>23</v>
      </c>
    </row>
    <row r="85" spans="1:16" x14ac:dyDescent="0.25">
      <c r="A85" s="1">
        <v>46113</v>
      </c>
      <c r="B85">
        <v>7750</v>
      </c>
      <c r="C85" s="27" t="s">
        <v>136</v>
      </c>
      <c r="D85" s="27" t="s">
        <v>17</v>
      </c>
      <c r="E85" s="27" t="s">
        <v>18</v>
      </c>
      <c r="F85" s="3">
        <v>42671</v>
      </c>
      <c r="G85" s="1">
        <v>46844</v>
      </c>
      <c r="H85">
        <v>12500</v>
      </c>
      <c r="I85" s="2">
        <v>3.0871800666704332</v>
      </c>
      <c r="J85" s="1" t="s">
        <v>19</v>
      </c>
      <c r="K85" s="1"/>
      <c r="L85" s="1">
        <v>46107</v>
      </c>
      <c r="M85" s="27" t="s">
        <v>137</v>
      </c>
      <c r="N85" s="27" t="s">
        <v>138</v>
      </c>
      <c r="O85" s="27" t="s">
        <v>22</v>
      </c>
      <c r="P85" s="27" t="s">
        <v>23</v>
      </c>
    </row>
    <row r="86" spans="1:16" x14ac:dyDescent="0.25">
      <c r="A86" s="1">
        <v>46113</v>
      </c>
      <c r="B86">
        <v>8545</v>
      </c>
      <c r="C86" s="27" t="s">
        <v>135</v>
      </c>
      <c r="D86" s="27" t="s">
        <v>30</v>
      </c>
      <c r="E86" s="27" t="s">
        <v>18</v>
      </c>
      <c r="F86" s="3">
        <v>42649</v>
      </c>
      <c r="G86" s="1">
        <v>47574</v>
      </c>
      <c r="H86">
        <v>29703</v>
      </c>
      <c r="I86" s="2">
        <v>1.5130534972399436</v>
      </c>
      <c r="J86" s="1" t="s">
        <v>19</v>
      </c>
      <c r="K86" s="1">
        <v>46139</v>
      </c>
      <c r="L86" s="1">
        <v>46107</v>
      </c>
      <c r="M86" s="27" t="s">
        <v>20</v>
      </c>
      <c r="N86" s="27" t="s">
        <v>21</v>
      </c>
      <c r="O86" s="27" t="s">
        <v>22</v>
      </c>
      <c r="P86" s="27" t="s">
        <v>23</v>
      </c>
    </row>
    <row r="87" spans="1:16" x14ac:dyDescent="0.25">
      <c r="A87" s="1">
        <v>46113</v>
      </c>
      <c r="B87">
        <v>8546</v>
      </c>
      <c r="C87" s="27" t="s">
        <v>135</v>
      </c>
      <c r="D87" s="27" t="s">
        <v>30</v>
      </c>
      <c r="E87" s="27" t="s">
        <v>18</v>
      </c>
      <c r="F87" s="3">
        <v>42650</v>
      </c>
      <c r="G87" s="1">
        <v>47574</v>
      </c>
      <c r="H87">
        <v>29703</v>
      </c>
      <c r="I87" s="2">
        <v>1.5130534972399436</v>
      </c>
      <c r="J87" s="1" t="s">
        <v>19</v>
      </c>
      <c r="K87" s="1">
        <v>46141</v>
      </c>
      <c r="L87" s="1">
        <v>46107</v>
      </c>
      <c r="M87" s="27" t="s">
        <v>20</v>
      </c>
      <c r="N87" s="27" t="s">
        <v>21</v>
      </c>
      <c r="O87" s="27" t="s">
        <v>22</v>
      </c>
      <c r="P87" s="27" t="s">
        <v>23</v>
      </c>
    </row>
    <row r="88" spans="1:16" x14ac:dyDescent="0.25">
      <c r="A88" s="1">
        <v>46113</v>
      </c>
      <c r="B88">
        <v>8544</v>
      </c>
      <c r="C88" s="27" t="s">
        <v>135</v>
      </c>
      <c r="D88" s="27" t="s">
        <v>30</v>
      </c>
      <c r="E88" s="27" t="s">
        <v>18</v>
      </c>
      <c r="F88" s="3">
        <v>42648</v>
      </c>
      <c r="G88" s="1">
        <v>47574</v>
      </c>
      <c r="H88">
        <v>29703</v>
      </c>
      <c r="I88" s="2">
        <v>1.5130534972399436</v>
      </c>
      <c r="J88" s="1" t="s">
        <v>19</v>
      </c>
      <c r="K88" s="1">
        <v>46139</v>
      </c>
      <c r="L88" s="1">
        <v>46107</v>
      </c>
      <c r="M88" s="27" t="s">
        <v>20</v>
      </c>
      <c r="N88" s="27" t="s">
        <v>21</v>
      </c>
      <c r="O88" s="27" t="s">
        <v>22</v>
      </c>
      <c r="P88" s="27" t="s">
        <v>23</v>
      </c>
    </row>
    <row r="89" spans="1:16" x14ac:dyDescent="0.25">
      <c r="A89" s="1">
        <v>46113</v>
      </c>
      <c r="B89">
        <v>8547</v>
      </c>
      <c r="C89" s="27" t="s">
        <v>135</v>
      </c>
      <c r="D89" s="27" t="s">
        <v>30</v>
      </c>
      <c r="E89" s="27" t="s">
        <v>18</v>
      </c>
      <c r="F89" s="3">
        <v>42651</v>
      </c>
      <c r="G89" s="1">
        <v>47574</v>
      </c>
      <c r="H89">
        <v>29703</v>
      </c>
      <c r="I89" s="2">
        <v>1.5130534972399436</v>
      </c>
      <c r="J89" s="1" t="s">
        <v>19</v>
      </c>
      <c r="K89" s="1">
        <v>46142</v>
      </c>
      <c r="L89" s="1">
        <v>46107</v>
      </c>
      <c r="M89" s="27" t="s">
        <v>20</v>
      </c>
      <c r="N89" s="27" t="s">
        <v>21</v>
      </c>
      <c r="O89" s="27" t="s">
        <v>22</v>
      </c>
      <c r="P89" s="27" t="s">
        <v>23</v>
      </c>
    </row>
    <row r="90" spans="1:16" x14ac:dyDescent="0.25">
      <c r="A90" s="1">
        <v>46113</v>
      </c>
      <c r="B90">
        <v>8548</v>
      </c>
      <c r="C90" s="27" t="s">
        <v>135</v>
      </c>
      <c r="D90" s="27" t="s">
        <v>30</v>
      </c>
      <c r="E90" s="27" t="s">
        <v>18</v>
      </c>
      <c r="F90" s="3">
        <v>42652</v>
      </c>
      <c r="G90" s="1">
        <v>47574</v>
      </c>
      <c r="H90">
        <v>29703</v>
      </c>
      <c r="I90" s="2">
        <v>1.5130534972399436</v>
      </c>
      <c r="J90" s="1" t="s">
        <v>19</v>
      </c>
      <c r="K90" s="1">
        <v>46143</v>
      </c>
      <c r="L90" s="1">
        <v>46107</v>
      </c>
      <c r="M90" s="27" t="s">
        <v>20</v>
      </c>
      <c r="N90" s="27" t="s">
        <v>21</v>
      </c>
      <c r="O90" s="27" t="s">
        <v>22</v>
      </c>
      <c r="P90" s="27" t="s">
        <v>23</v>
      </c>
    </row>
  </sheetData>
  <conditionalFormatting sqref="I2:I9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3DDB-90F7-4D9C-B951-970F83C24858}">
  <dimension ref="A1:U199"/>
  <sheetViews>
    <sheetView tabSelected="1" topLeftCell="A174" zoomScaleNormal="100" workbookViewId="0">
      <selection activeCell="A183" sqref="A183"/>
    </sheetView>
  </sheetViews>
  <sheetFormatPr baseColWidth="10" defaultRowHeight="15" x14ac:dyDescent="0.25"/>
  <cols>
    <col min="1" max="1" width="15.140625" customWidth="1"/>
    <col min="2" max="2" width="15.42578125" customWidth="1"/>
    <col min="3" max="3" width="20.28515625" customWidth="1"/>
    <col min="4" max="4" width="7.7109375" customWidth="1"/>
    <col min="5" max="5" width="9.7109375" customWidth="1"/>
    <col min="6" max="6" width="10.28515625" customWidth="1"/>
    <col min="7" max="7" width="14.85546875" customWidth="1"/>
    <col min="8" max="8" width="15.28515625" customWidth="1"/>
    <col min="9" max="9" width="48.140625" customWidth="1"/>
    <col min="10" max="10" width="21.5703125" hidden="1" customWidth="1"/>
    <col min="11" max="11" width="22.28515625" hidden="1" customWidth="1"/>
    <col min="12" max="12" width="28.28515625" customWidth="1"/>
    <col min="13" max="13" width="21.42578125" customWidth="1"/>
    <col min="16" max="17" width="16.42578125" customWidth="1"/>
    <col min="18" max="18" width="19.85546875" customWidth="1"/>
    <col min="19" max="19" width="36.85546875" customWidth="1"/>
    <col min="20" max="20" width="13.28515625" hidden="1" customWidth="1"/>
    <col min="21" max="21" width="16.7109375" customWidth="1"/>
  </cols>
  <sheetData>
    <row r="1" spans="1:21" ht="45" x14ac:dyDescent="0.25">
      <c r="A1" s="6" t="s">
        <v>47</v>
      </c>
      <c r="B1" s="6" t="s">
        <v>48</v>
      </c>
      <c r="C1" s="6" t="s">
        <v>49</v>
      </c>
      <c r="D1" s="6" t="s">
        <v>51</v>
      </c>
      <c r="E1" s="6" t="s">
        <v>52</v>
      </c>
      <c r="F1" s="6" t="s">
        <v>70</v>
      </c>
      <c r="G1" s="6" t="s">
        <v>50</v>
      </c>
      <c r="H1" s="6" t="s">
        <v>5</v>
      </c>
      <c r="I1" s="6" t="s">
        <v>2</v>
      </c>
      <c r="J1" s="6" t="s">
        <v>12</v>
      </c>
      <c r="K1" s="6" t="s">
        <v>13</v>
      </c>
      <c r="L1" s="6" t="s">
        <v>59</v>
      </c>
      <c r="M1" s="6" t="s">
        <v>60</v>
      </c>
      <c r="N1" s="6" t="s">
        <v>53</v>
      </c>
      <c r="O1" s="6" t="s">
        <v>54</v>
      </c>
      <c r="P1" s="6" t="s">
        <v>15</v>
      </c>
      <c r="Q1" s="6" t="s">
        <v>102</v>
      </c>
      <c r="R1" s="6" t="s">
        <v>61</v>
      </c>
      <c r="S1" s="6" t="s">
        <v>55</v>
      </c>
      <c r="T1" s="6" t="s">
        <v>71</v>
      </c>
      <c r="U1" s="6" t="s">
        <v>121</v>
      </c>
    </row>
    <row r="2" spans="1:21" x14ac:dyDescent="0.25">
      <c r="A2" s="10">
        <v>46034</v>
      </c>
      <c r="B2" s="10" t="s">
        <v>58</v>
      </c>
      <c r="C2" s="1" t="s">
        <v>75</v>
      </c>
      <c r="D2" s="9">
        <v>0.33333333333333331</v>
      </c>
      <c r="E2" s="9">
        <v>0.5</v>
      </c>
      <c r="F2" s="15">
        <f t="shared" ref="F2:F10" si="0">ROUND((E2-D2)*24,2)</f>
        <v>4</v>
      </c>
      <c r="G2" t="s">
        <v>56</v>
      </c>
      <c r="H2" s="3">
        <v>12659</v>
      </c>
      <c r="I2" s="7" t="str">
        <f>IFERROR(INDEX(Tabla_control_serigrafia[PRODUCTO],MATCH(Tabla_producción_serigrafia[[#This Row],[LOTE]],Tabla_control_serigrafia[LOTE],0)),"-")</f>
        <v>CETIRIZINA 5 MG X 100 ML JARABE</v>
      </c>
      <c r="J2" t="str">
        <f>IFERROR(INDEX(Tabla_control_serigrafia[FORMATO DE FRASCO],MATCH(Tabla_producción_serigrafia[[#This Row],[LOTE]],Tabla_control_serigrafia[LOTE],0)),"-")</f>
        <v>120 ML</v>
      </c>
      <c r="K2" t="str">
        <f>IFERROR(INDEX(Tabla_control_serigrafia[TIPO DE FRASCO],MATCH(Tabla_producción_serigrafia[[#This Row],[LOTE]],Tabla_control_serigrafia[LOTE],0)),"-")</f>
        <v>FRASCO BLANCO</v>
      </c>
      <c r="L2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2" s="19">
        <f>IFERROR(INDEX(Tabla_control_serigrafia[CANTIDAD PEDIDA],MATCH(Tabla_producción_serigrafia[[#This Row],[LOTE]],Tabla_control_serigrafia[LOTE],0)),"-")</f>
        <v>9901</v>
      </c>
      <c r="N2" s="3">
        <v>9901</v>
      </c>
      <c r="O2" s="3">
        <v>0</v>
      </c>
      <c r="P2" s="3" t="s">
        <v>62</v>
      </c>
      <c r="Q2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9901</v>
      </c>
      <c r="R2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10</v>
      </c>
      <c r="S2" t="s">
        <v>38</v>
      </c>
      <c r="T2" t="str">
        <f>UPPER(LEFT(TEXT(Tabla_producción_serigrafia[[#This Row],[FECHA]],"mmm"),3))</f>
        <v>ENE</v>
      </c>
      <c r="U2">
        <f>+Tabla_producción_serigrafia[[#This Row],[CANTIDAD PRODUCIDA]]+Tabla_producción_serigrafia[[#This Row],[CANTIDAD RECHAZADA]]</f>
        <v>9901</v>
      </c>
    </row>
    <row r="3" spans="1:21" x14ac:dyDescent="0.25">
      <c r="A3" s="10">
        <v>46034</v>
      </c>
      <c r="B3" s="10" t="s">
        <v>58</v>
      </c>
      <c r="C3" s="1" t="s">
        <v>75</v>
      </c>
      <c r="D3" s="9">
        <v>0.5</v>
      </c>
      <c r="E3" s="9">
        <v>0.73333333333333339</v>
      </c>
      <c r="F3" s="15">
        <f t="shared" si="0"/>
        <v>5.6</v>
      </c>
      <c r="G3" t="s">
        <v>64</v>
      </c>
      <c r="H3" s="3" t="s">
        <v>38</v>
      </c>
      <c r="I3" s="35" t="str">
        <f>IFERROR(INDEX(Tabla_control_serigrafia[PRODUCTO],MATCH(Tabla_producción_serigrafia[[#This Row],[LOTE]],Tabla_control_serigrafia[LOTE],0)),"-")</f>
        <v>-</v>
      </c>
      <c r="J3" t="str">
        <f>IFERROR(INDEX(Tabla_control_serigrafia[FORMATO DE FRASCO],MATCH(Tabla_producción_serigrafia[[#This Row],[LOTE]],Tabla_control_serigrafia[LOTE],0)),"-")</f>
        <v>-</v>
      </c>
      <c r="K3" t="str">
        <f>IFERROR(INDEX(Tabla_control_serigrafia[TIPO DE FRASCO],MATCH(Tabla_producción_serigrafia[[#This Row],[LOTE]],Tabla_control_serigrafia[LOTE],0)),"-")</f>
        <v>-</v>
      </c>
      <c r="L3" t="str">
        <f>IF(Tabla_producción_serigrafia[[#This Row],[ACCIÓN]]="PRODUCCIÓN",Tabla_producción_serigrafia[[#This Row],[FORMATO DE FRASCO]]&amp;" "&amp;Tabla_producción_serigrafia[[#This Row],[TIPO DE FRASCO]],"-")</f>
        <v>-</v>
      </c>
      <c r="M3" s="19" t="str">
        <f>IFERROR(INDEX(Tabla_control_serigrafia[CANTIDAD PEDIDA],MATCH(Tabla_producción_serigrafia[[#This Row],[LOTE]],Tabla_control_serigrafia[LOTE],0)),"-")</f>
        <v>-</v>
      </c>
      <c r="N3" s="3">
        <v>0</v>
      </c>
      <c r="O3" s="3">
        <v>0</v>
      </c>
      <c r="P3" s="3">
        <v>0</v>
      </c>
      <c r="Q3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3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3" t="s">
        <v>76</v>
      </c>
      <c r="T3" t="str">
        <f>UPPER(LEFT(TEXT(Tabla_producción_serigrafia[[#This Row],[FECHA]],"mmm"),3))</f>
        <v>ENE</v>
      </c>
      <c r="U3">
        <f>+Tabla_producción_serigrafia[[#This Row],[CANTIDAD PRODUCIDA]]+Tabla_producción_serigrafia[[#This Row],[CANTIDAD RECHAZADA]]</f>
        <v>0</v>
      </c>
    </row>
    <row r="4" spans="1:21" x14ac:dyDescent="0.25">
      <c r="A4" s="10">
        <v>46035</v>
      </c>
      <c r="B4" s="10" t="s">
        <v>58</v>
      </c>
      <c r="C4" s="1" t="s">
        <v>75</v>
      </c>
      <c r="D4" s="9">
        <v>0.33333333333333331</v>
      </c>
      <c r="E4" s="9">
        <v>0.5</v>
      </c>
      <c r="F4" s="15">
        <f t="shared" si="0"/>
        <v>4</v>
      </c>
      <c r="G4" t="s">
        <v>64</v>
      </c>
      <c r="H4" s="3" t="s">
        <v>38</v>
      </c>
      <c r="I4" s="7" t="str">
        <f>IFERROR(INDEX(Tabla_control_serigrafia[PRODUCTO],MATCH(Tabla_producción_serigrafia[[#This Row],[LOTE]],Tabla_control_serigrafia[LOTE],0)),"-")</f>
        <v>-</v>
      </c>
      <c r="J4" t="str">
        <f>IFERROR(INDEX(Tabla_control_serigrafia[FORMATO DE FRASCO],MATCH(Tabla_producción_serigrafia[[#This Row],[LOTE]],Tabla_control_serigrafia[LOTE],0)),"-")</f>
        <v>-</v>
      </c>
      <c r="K4" t="str">
        <f>IFERROR(INDEX(Tabla_control_serigrafia[TIPO DE FRASCO],MATCH(Tabla_producción_serigrafia[[#This Row],[LOTE]],Tabla_control_serigrafia[LOTE],0)),"-")</f>
        <v>-</v>
      </c>
      <c r="L4" t="str">
        <f>IF(Tabla_producción_serigrafia[[#This Row],[ACCIÓN]]="PRODUCCIÓN",Tabla_producción_serigrafia[[#This Row],[FORMATO DE FRASCO]]&amp;" "&amp;Tabla_producción_serigrafia[[#This Row],[TIPO DE FRASCO]],"-")</f>
        <v>-</v>
      </c>
      <c r="M4" s="19" t="str">
        <f>IFERROR(INDEX(Tabla_control_serigrafia[CANTIDAD PEDIDA],MATCH(Tabla_producción_serigrafia[[#This Row],[LOTE]],Tabla_control_serigrafia[LOTE],0)),"-")</f>
        <v>-</v>
      </c>
      <c r="N4" s="3">
        <v>0</v>
      </c>
      <c r="O4" s="3">
        <v>0</v>
      </c>
      <c r="P4" s="3">
        <v>0</v>
      </c>
      <c r="Q4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4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4" t="s">
        <v>76</v>
      </c>
      <c r="T4" t="str">
        <f>UPPER(LEFT(TEXT(Tabla_producción_serigrafia[[#This Row],[FECHA]],"mmm"),3))</f>
        <v>ENE</v>
      </c>
      <c r="U4">
        <f>+Tabla_producción_serigrafia[[#This Row],[CANTIDAD PRODUCIDA]]+Tabla_producción_serigrafia[[#This Row],[CANTIDAD RECHAZADA]]</f>
        <v>0</v>
      </c>
    </row>
    <row r="5" spans="1:21" x14ac:dyDescent="0.25">
      <c r="A5" s="10">
        <v>46035</v>
      </c>
      <c r="B5" s="10" t="s">
        <v>58</v>
      </c>
      <c r="C5" s="1" t="s">
        <v>75</v>
      </c>
      <c r="D5" s="9">
        <v>0.5</v>
      </c>
      <c r="E5" s="9">
        <v>0.73333333333333339</v>
      </c>
      <c r="F5" s="15">
        <f t="shared" si="0"/>
        <v>5.6</v>
      </c>
      <c r="G5" t="s">
        <v>56</v>
      </c>
      <c r="H5" s="3">
        <v>12680</v>
      </c>
      <c r="I5" s="7" t="str">
        <f>IFERROR(INDEX(Tabla_control_serigrafia[PRODUCTO],MATCH(Tabla_producción_serigrafia[[#This Row],[LOTE]],Tabla_control_serigrafia[LOTE],0)),"-")</f>
        <v>PARACETAMOL 100 MG X 15 ML GOTAS</v>
      </c>
      <c r="J5" t="str">
        <f>IFERROR(INDEX(Tabla_control_serigrafia[FORMATO DE FRASCO],MATCH(Tabla_producción_serigrafia[[#This Row],[LOTE]],Tabla_control_serigrafia[LOTE],0)),"-")</f>
        <v>15 ML</v>
      </c>
      <c r="K5" t="str">
        <f>IFERROR(INDEX(Tabla_control_serigrafia[TIPO DE FRASCO],MATCH(Tabla_producción_serigrafia[[#This Row],[LOTE]],Tabla_control_serigrafia[LOTE],0)),"-")</f>
        <v>FRASCO BLANCO</v>
      </c>
      <c r="L5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5" s="19">
        <f>IFERROR(INDEX(Tabla_control_serigrafia[CANTIDAD PEDIDA],MATCH(Tabla_producción_serigrafia[[#This Row],[LOTE]],Tabla_control_serigrafia[LOTE],0)),"-")</f>
        <v>56250</v>
      </c>
      <c r="N5" s="3">
        <v>10000</v>
      </c>
      <c r="O5" s="3">
        <v>0</v>
      </c>
      <c r="P5" s="3" t="s">
        <v>66</v>
      </c>
      <c r="Q5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10000</v>
      </c>
      <c r="R5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5" t="s">
        <v>38</v>
      </c>
      <c r="T5" t="str">
        <f>UPPER(LEFT(TEXT(Tabla_producción_serigrafia[[#This Row],[FECHA]],"mmm"),3))</f>
        <v>ENE</v>
      </c>
      <c r="U5">
        <f>+Tabla_producción_serigrafia[[#This Row],[CANTIDAD PRODUCIDA]]+Tabla_producción_serigrafia[[#This Row],[CANTIDAD RECHAZADA]]</f>
        <v>10000</v>
      </c>
    </row>
    <row r="6" spans="1:21" x14ac:dyDescent="0.25">
      <c r="A6" s="10">
        <v>46036</v>
      </c>
      <c r="B6" s="10" t="s">
        <v>58</v>
      </c>
      <c r="C6" s="1" t="s">
        <v>75</v>
      </c>
      <c r="D6" s="9">
        <v>0.33333333333333331</v>
      </c>
      <c r="E6" s="9">
        <v>0.73333333333333339</v>
      </c>
      <c r="F6" s="15">
        <f t="shared" si="0"/>
        <v>9.6</v>
      </c>
      <c r="G6" t="s">
        <v>56</v>
      </c>
      <c r="H6" s="3">
        <v>12680</v>
      </c>
      <c r="I6" s="7" t="str">
        <f>IFERROR(INDEX(Tabla_control_serigrafia[PRODUCTO],MATCH(Tabla_producción_serigrafia[[#This Row],[LOTE]],Tabla_control_serigrafia[LOTE],0)),"-")</f>
        <v>PARACETAMOL 100 MG X 15 ML GOTAS</v>
      </c>
      <c r="J6" t="str">
        <f>IFERROR(INDEX(Tabla_control_serigrafia[FORMATO DE FRASCO],MATCH(Tabla_producción_serigrafia[[#This Row],[LOTE]],Tabla_control_serigrafia[LOTE],0)),"-")</f>
        <v>15 ML</v>
      </c>
      <c r="K6" t="str">
        <f>IFERROR(INDEX(Tabla_control_serigrafia[TIPO DE FRASCO],MATCH(Tabla_producción_serigrafia[[#This Row],[LOTE]],Tabla_control_serigrafia[LOTE],0)),"-")</f>
        <v>FRASCO BLANCO</v>
      </c>
      <c r="L6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6" s="19">
        <f>IFERROR(INDEX(Tabla_control_serigrafia[CANTIDAD PEDIDA],MATCH(Tabla_producción_serigrafia[[#This Row],[LOTE]],Tabla_control_serigrafia[LOTE],0)),"-")</f>
        <v>56250</v>
      </c>
      <c r="N6" s="3">
        <v>15000</v>
      </c>
      <c r="O6" s="3">
        <v>0</v>
      </c>
      <c r="P6" s="3" t="s">
        <v>66</v>
      </c>
      <c r="Q6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15000</v>
      </c>
      <c r="R6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6" t="s">
        <v>38</v>
      </c>
      <c r="T6" t="str">
        <f>UPPER(LEFT(TEXT(Tabla_producción_serigrafia[[#This Row],[FECHA]],"mmm"),3))</f>
        <v>ENE</v>
      </c>
      <c r="U6">
        <f>+Tabla_producción_serigrafia[[#This Row],[CANTIDAD PRODUCIDA]]+Tabla_producción_serigrafia[[#This Row],[CANTIDAD RECHAZADA]]</f>
        <v>15000</v>
      </c>
    </row>
    <row r="7" spans="1:21" x14ac:dyDescent="0.25">
      <c r="A7" s="10">
        <v>46036</v>
      </c>
      <c r="B7" s="10" t="s">
        <v>58</v>
      </c>
      <c r="C7" s="1" t="s">
        <v>65</v>
      </c>
      <c r="D7" s="9">
        <v>0.73333333333333339</v>
      </c>
      <c r="E7" s="9">
        <v>0.91666666666666663</v>
      </c>
      <c r="F7" s="15">
        <f t="shared" si="0"/>
        <v>4.4000000000000004</v>
      </c>
      <c r="G7" t="s">
        <v>56</v>
      </c>
      <c r="H7" s="3">
        <v>12680</v>
      </c>
      <c r="I7" s="7" t="str">
        <f>IFERROR(INDEX(Tabla_control_serigrafia[PRODUCTO],MATCH(Tabla_producción_serigrafia[[#This Row],[LOTE]],Tabla_control_serigrafia[LOTE],0)),"-")</f>
        <v>PARACETAMOL 100 MG X 15 ML GOTAS</v>
      </c>
      <c r="J7" t="str">
        <f>IFERROR(INDEX(Tabla_control_serigrafia[FORMATO DE FRASCO],MATCH(Tabla_producción_serigrafia[[#This Row],[LOTE]],Tabla_control_serigrafia[LOTE],0)),"-")</f>
        <v>15 ML</v>
      </c>
      <c r="K7" t="str">
        <f>IFERROR(INDEX(Tabla_control_serigrafia[TIPO DE FRASCO],MATCH(Tabla_producción_serigrafia[[#This Row],[LOTE]],Tabla_control_serigrafia[LOTE],0)),"-")</f>
        <v>FRASCO BLANCO</v>
      </c>
      <c r="L7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7" s="19">
        <f>IFERROR(INDEX(Tabla_control_serigrafia[CANTIDAD PEDIDA],MATCH(Tabla_producción_serigrafia[[#This Row],[LOTE]],Tabla_control_serigrafia[LOTE],0)),"-")</f>
        <v>56250</v>
      </c>
      <c r="N7" s="3">
        <v>6000</v>
      </c>
      <c r="O7" s="3">
        <v>0</v>
      </c>
      <c r="P7" s="3" t="s">
        <v>66</v>
      </c>
      <c r="Q7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6000</v>
      </c>
      <c r="R7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7" t="s">
        <v>38</v>
      </c>
      <c r="T7" t="str">
        <f>UPPER(LEFT(TEXT(Tabla_producción_serigrafia[[#This Row],[FECHA]],"mmm"),3))</f>
        <v>ENE</v>
      </c>
      <c r="U7">
        <f>+Tabla_producción_serigrafia[[#This Row],[CANTIDAD PRODUCIDA]]+Tabla_producción_serigrafia[[#This Row],[CANTIDAD RECHAZADA]]</f>
        <v>6000</v>
      </c>
    </row>
    <row r="8" spans="1:21" x14ac:dyDescent="0.25">
      <c r="A8" s="10">
        <v>46037</v>
      </c>
      <c r="B8" s="10" t="s">
        <v>58</v>
      </c>
      <c r="C8" s="1" t="s">
        <v>75</v>
      </c>
      <c r="D8" s="9">
        <v>0.33333333333333331</v>
      </c>
      <c r="E8" s="9">
        <v>0.73333333333333339</v>
      </c>
      <c r="F8" s="15">
        <f t="shared" si="0"/>
        <v>9.6</v>
      </c>
      <c r="G8" t="s">
        <v>56</v>
      </c>
      <c r="H8" s="3">
        <v>12680</v>
      </c>
      <c r="I8" s="7" t="str">
        <f>IFERROR(INDEX(Tabla_control_serigrafia[PRODUCTO],MATCH(Tabla_producción_serigrafia[[#This Row],[LOTE]],Tabla_control_serigrafia[LOTE],0)),"-")</f>
        <v>PARACETAMOL 100 MG X 15 ML GOTAS</v>
      </c>
      <c r="J8" t="str">
        <f>IFERROR(INDEX(Tabla_control_serigrafia[FORMATO DE FRASCO],MATCH(Tabla_producción_serigrafia[[#This Row],[LOTE]],Tabla_control_serigrafia[LOTE],0)),"-")</f>
        <v>15 ML</v>
      </c>
      <c r="K8" t="str">
        <f>IFERROR(INDEX(Tabla_control_serigrafia[TIPO DE FRASCO],MATCH(Tabla_producción_serigrafia[[#This Row],[LOTE]],Tabla_control_serigrafia[LOTE],0)),"-")</f>
        <v>FRASCO BLANCO</v>
      </c>
      <c r="L8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8" s="19">
        <f>IFERROR(INDEX(Tabla_control_serigrafia[CANTIDAD PEDIDA],MATCH(Tabla_producción_serigrafia[[#This Row],[LOTE]],Tabla_control_serigrafia[LOTE],0)),"-")</f>
        <v>56250</v>
      </c>
      <c r="N8" s="3">
        <v>21000</v>
      </c>
      <c r="O8" s="3">
        <v>0</v>
      </c>
      <c r="P8" s="3" t="s">
        <v>66</v>
      </c>
      <c r="Q8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21000</v>
      </c>
      <c r="R8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8" t="s">
        <v>38</v>
      </c>
      <c r="T8" t="str">
        <f>UPPER(LEFT(TEXT(Tabla_producción_serigrafia[[#This Row],[FECHA]],"mmm"),3))</f>
        <v>ENE</v>
      </c>
      <c r="U8">
        <f>+Tabla_producción_serigrafia[[#This Row],[CANTIDAD PRODUCIDA]]+Tabla_producción_serigrafia[[#This Row],[CANTIDAD RECHAZADA]]</f>
        <v>21000</v>
      </c>
    </row>
    <row r="9" spans="1:21" x14ac:dyDescent="0.25">
      <c r="A9" s="10">
        <v>46038</v>
      </c>
      <c r="B9" s="10" t="s">
        <v>58</v>
      </c>
      <c r="C9" s="1" t="s">
        <v>75</v>
      </c>
      <c r="D9" s="9">
        <v>0.33333333333333331</v>
      </c>
      <c r="E9" s="9">
        <v>0.45833333333333331</v>
      </c>
      <c r="F9" s="15">
        <f t="shared" si="0"/>
        <v>3</v>
      </c>
      <c r="G9" t="s">
        <v>56</v>
      </c>
      <c r="H9" s="3">
        <v>12680</v>
      </c>
      <c r="I9" s="7" t="str">
        <f>IFERROR(INDEX(Tabla_control_serigrafia[PRODUCTO],MATCH(Tabla_producción_serigrafia[[#This Row],[LOTE]],Tabla_control_serigrafia[LOTE],0)),"-")</f>
        <v>PARACETAMOL 100 MG X 15 ML GOTAS</v>
      </c>
      <c r="J9" t="str">
        <f>IFERROR(INDEX(Tabla_control_serigrafia[FORMATO DE FRASCO],MATCH(Tabla_producción_serigrafia[[#This Row],[LOTE]],Tabla_control_serigrafia[LOTE],0)),"-")</f>
        <v>15 ML</v>
      </c>
      <c r="K9" t="str">
        <f>IFERROR(INDEX(Tabla_control_serigrafia[TIPO DE FRASCO],MATCH(Tabla_producción_serigrafia[[#This Row],[LOTE]],Tabla_control_serigrafia[LOTE],0)),"-")</f>
        <v>FRASCO BLANCO</v>
      </c>
      <c r="L9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9" s="19">
        <f>IFERROR(INDEX(Tabla_control_serigrafia[CANTIDAD PEDIDA],MATCH(Tabla_producción_serigrafia[[#This Row],[LOTE]],Tabla_control_serigrafia[LOTE],0)),"-")</f>
        <v>56250</v>
      </c>
      <c r="N9" s="3">
        <v>6250</v>
      </c>
      <c r="O9" s="3">
        <v>1050</v>
      </c>
      <c r="P9" s="3" t="s">
        <v>62</v>
      </c>
      <c r="Q9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6250</v>
      </c>
      <c r="R9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14</v>
      </c>
      <c r="S9" t="s">
        <v>38</v>
      </c>
      <c r="T9" t="str">
        <f>UPPER(LEFT(TEXT(Tabla_producción_serigrafia[[#This Row],[FECHA]],"mmm"),3))</f>
        <v>ENE</v>
      </c>
      <c r="U9">
        <f>+Tabla_producción_serigrafia[[#This Row],[CANTIDAD PRODUCIDA]]+Tabla_producción_serigrafia[[#This Row],[CANTIDAD RECHAZADA]]</f>
        <v>7300</v>
      </c>
    </row>
    <row r="10" spans="1:21" x14ac:dyDescent="0.25">
      <c r="A10" s="10">
        <v>46037</v>
      </c>
      <c r="B10" s="10" t="s">
        <v>58</v>
      </c>
      <c r="C10" s="1" t="s">
        <v>75</v>
      </c>
      <c r="D10" s="9">
        <v>0.45833333333333331</v>
      </c>
      <c r="E10" s="9">
        <v>0.66666666666666663</v>
      </c>
      <c r="F10" s="15">
        <f t="shared" si="0"/>
        <v>5</v>
      </c>
      <c r="G10" t="s">
        <v>64</v>
      </c>
      <c r="H10" s="3" t="s">
        <v>38</v>
      </c>
      <c r="I10" s="7" t="str">
        <f>IFERROR(INDEX(Tabla_control_serigrafia[PRODUCTO],MATCH(Tabla_producción_serigrafia[[#This Row],[LOTE]],Tabla_control_serigrafia[LOTE],0)),"-")</f>
        <v>-</v>
      </c>
      <c r="J10" t="str">
        <f>IFERROR(INDEX(Tabla_control_serigrafia[FORMATO DE FRASCO],MATCH(Tabla_producción_serigrafia[[#This Row],[LOTE]],Tabla_control_serigrafia[LOTE],0)),"-")</f>
        <v>-</v>
      </c>
      <c r="K10" t="str">
        <f>IFERROR(INDEX(Tabla_control_serigrafia[TIPO DE FRASCO],MATCH(Tabla_producción_serigrafia[[#This Row],[LOTE]],Tabla_control_serigrafia[LOTE],0)),"-")</f>
        <v>-</v>
      </c>
      <c r="L10" t="str">
        <f>IF(Tabla_producción_serigrafia[[#This Row],[ACCIÓN]]="PRODUCCIÓN",Tabla_producción_serigrafia[[#This Row],[FORMATO DE FRASCO]]&amp;" "&amp;Tabla_producción_serigrafia[[#This Row],[TIPO DE FRASCO]],"-")</f>
        <v>-</v>
      </c>
      <c r="M10" s="19" t="str">
        <f>IFERROR(INDEX(Tabla_control_serigrafia[CANTIDAD PEDIDA],MATCH(Tabla_producción_serigrafia[[#This Row],[LOTE]],Tabla_control_serigrafia[LOTE],0)),"-")</f>
        <v>-</v>
      </c>
      <c r="N10" s="3">
        <v>0</v>
      </c>
      <c r="O10" s="3">
        <v>0</v>
      </c>
      <c r="P10" s="3">
        <v>0</v>
      </c>
      <c r="Q10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0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0" t="s">
        <v>77</v>
      </c>
      <c r="T10" t="str">
        <f>UPPER(LEFT(TEXT(Tabla_producción_serigrafia[[#This Row],[FECHA]],"mmm"),3))</f>
        <v>ENE</v>
      </c>
      <c r="U10">
        <f>+Tabla_producción_serigrafia[[#This Row],[CANTIDAD PRODUCIDA]]+Tabla_producción_serigrafia[[#This Row],[CANTIDAD RECHAZADA]]</f>
        <v>0</v>
      </c>
    </row>
    <row r="11" spans="1:21" x14ac:dyDescent="0.25">
      <c r="A11" s="10">
        <v>46040</v>
      </c>
      <c r="B11" s="10" t="s">
        <v>58</v>
      </c>
      <c r="C11" s="1" t="s">
        <v>65</v>
      </c>
      <c r="D11" s="9">
        <v>0.66666666666666663</v>
      </c>
      <c r="E11" s="9">
        <v>0.91666666666666663</v>
      </c>
      <c r="F11" s="15">
        <f t="shared" ref="F11:F26" si="1">ROUND((E11-D11)*24,2)</f>
        <v>6</v>
      </c>
      <c r="G11" t="s">
        <v>56</v>
      </c>
      <c r="H11" s="3">
        <v>12655</v>
      </c>
      <c r="I11" s="7" t="str">
        <f>IFERROR(INDEX(Tabla_control_serigrafia[PRODUCTO],MATCH(Tabla_producción_serigrafia[[#This Row],[LOTE]],Tabla_control_serigrafia[LOTE],0)),"-")</f>
        <v>FERRASOL FN X 30 ML GOTAS</v>
      </c>
      <c r="J11" t="str">
        <f>IFERROR(INDEX(Tabla_control_serigrafia[FORMATO DE FRASCO],MATCH(Tabla_producción_serigrafia[[#This Row],[LOTE]],Tabla_control_serigrafia[LOTE],0)),"-")</f>
        <v>30 ML</v>
      </c>
      <c r="K11" t="str">
        <f>IFERROR(INDEX(Tabla_control_serigrafia[TIPO DE FRASCO],MATCH(Tabla_producción_serigrafia[[#This Row],[LOTE]],Tabla_control_serigrafia[LOTE],0)),"-")</f>
        <v>FRASCO BLANCO</v>
      </c>
      <c r="L11" t="str">
        <f>IF(Tabla_producción_serigrafia[[#This Row],[ACCIÓN]]="PRODUCCIÓN",Tabla_producción_serigrafia[[#This Row],[FORMATO DE FRASCO]]&amp;" "&amp;Tabla_producción_serigrafia[[#This Row],[TIPO DE FRASCO]],"-")</f>
        <v>30 ML FRASCO BLANCO</v>
      </c>
      <c r="M11" s="19">
        <f>IFERROR(INDEX(Tabla_control_serigrafia[CANTIDAD PEDIDA],MATCH(Tabla_producción_serigrafia[[#This Row],[LOTE]],Tabla_control_serigrafia[LOTE],0)),"-")</f>
        <v>9000</v>
      </c>
      <c r="N11" s="3">
        <v>9000</v>
      </c>
      <c r="O11" s="3">
        <v>550</v>
      </c>
      <c r="P11" s="3" t="s">
        <v>62</v>
      </c>
      <c r="Q11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9000</v>
      </c>
      <c r="R11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16</v>
      </c>
      <c r="S11" t="s">
        <v>38</v>
      </c>
      <c r="T11" t="str">
        <f>UPPER(LEFT(TEXT(Tabla_producción_serigrafia[[#This Row],[FECHA]],"mmm"),3))</f>
        <v>ENE</v>
      </c>
      <c r="U11">
        <f>+Tabla_producción_serigrafia[[#This Row],[CANTIDAD PRODUCIDA]]+Tabla_producción_serigrafia[[#This Row],[CANTIDAD RECHAZADA]]</f>
        <v>9550</v>
      </c>
    </row>
    <row r="12" spans="1:21" x14ac:dyDescent="0.25">
      <c r="A12" s="10">
        <v>46041</v>
      </c>
      <c r="B12" s="10" t="s">
        <v>58</v>
      </c>
      <c r="C12" s="1" t="s">
        <v>75</v>
      </c>
      <c r="D12" s="9">
        <v>0.33333333333333331</v>
      </c>
      <c r="E12" s="9">
        <v>0.35416666666666669</v>
      </c>
      <c r="F12" s="15">
        <f t="shared" si="1"/>
        <v>0.5</v>
      </c>
      <c r="G12" t="s">
        <v>57</v>
      </c>
      <c r="H12" s="3" t="s">
        <v>38</v>
      </c>
      <c r="I12" s="7" t="str">
        <f>IFERROR(INDEX(Tabla_control_serigrafia[PRODUCTO],MATCH(Tabla_producción_serigrafia[[#This Row],[LOTE]],Tabla_control_serigrafia[LOTE],0)),"-")</f>
        <v>-</v>
      </c>
      <c r="J12" t="str">
        <f>IFERROR(INDEX(Tabla_control_serigrafia[FORMATO DE FRASCO],MATCH(Tabla_producción_serigrafia[[#This Row],[LOTE]],Tabla_control_serigrafia[LOTE],0)),"-")</f>
        <v>-</v>
      </c>
      <c r="K12" t="str">
        <f>IFERROR(INDEX(Tabla_control_serigrafia[TIPO DE FRASCO],MATCH(Tabla_producción_serigrafia[[#This Row],[LOTE]],Tabla_control_serigrafia[LOTE],0)),"-")</f>
        <v>-</v>
      </c>
      <c r="L12" t="str">
        <f>IF(Tabla_producción_serigrafia[[#This Row],[ACCIÓN]]="PRODUCCIÓN",Tabla_producción_serigrafia[[#This Row],[FORMATO DE FRASCO]]&amp;" "&amp;Tabla_producción_serigrafia[[#This Row],[TIPO DE FRASCO]],"-")</f>
        <v>-</v>
      </c>
      <c r="M12" s="19" t="str">
        <f>IFERROR(INDEX(Tabla_control_serigrafia[CANTIDAD PEDIDA],MATCH(Tabla_producción_serigrafia[[#This Row],[LOTE]],Tabla_control_serigrafia[LOTE],0)),"-")</f>
        <v>-</v>
      </c>
      <c r="N12" s="3">
        <v>0</v>
      </c>
      <c r="O12" s="3">
        <v>0</v>
      </c>
      <c r="P12" s="3">
        <v>0</v>
      </c>
      <c r="Q12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2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2" t="s">
        <v>63</v>
      </c>
      <c r="T12" t="str">
        <f>UPPER(LEFT(TEXT(Tabla_producción_serigrafia[[#This Row],[FECHA]],"mmm"),3))</f>
        <v>ENE</v>
      </c>
      <c r="U12">
        <f>+Tabla_producción_serigrafia[[#This Row],[CANTIDAD PRODUCIDA]]+Tabla_producción_serigrafia[[#This Row],[CANTIDAD RECHAZADA]]</f>
        <v>0</v>
      </c>
    </row>
    <row r="13" spans="1:21" x14ac:dyDescent="0.25">
      <c r="A13" s="10">
        <v>46041</v>
      </c>
      <c r="B13" s="10" t="s">
        <v>58</v>
      </c>
      <c r="C13" s="1" t="s">
        <v>75</v>
      </c>
      <c r="D13" s="9">
        <v>0.35416666666666669</v>
      </c>
      <c r="E13" s="9">
        <v>0.70833333333333337</v>
      </c>
      <c r="F13" s="15">
        <f t="shared" si="1"/>
        <v>8.5</v>
      </c>
      <c r="G13" t="s">
        <v>56</v>
      </c>
      <c r="H13" s="3">
        <v>12666</v>
      </c>
      <c r="I13" s="7" t="str">
        <f>IFERROR(INDEX(Tabla_control_serigrafia[PRODUCTO],MATCH(Tabla_producción_serigrafia[[#This Row],[LOTE]],Tabla_control_serigrafia[LOTE],0)),"-")</f>
        <v>IFASAN 10% X 30 ML LOCION</v>
      </c>
      <c r="J13" t="str">
        <f>IFERROR(INDEX(Tabla_control_serigrafia[FORMATO DE FRASCO],MATCH(Tabla_producción_serigrafia[[#This Row],[LOTE]],Tabla_control_serigrafia[LOTE],0)),"-")</f>
        <v>30 ML</v>
      </c>
      <c r="K13" t="str">
        <f>IFERROR(INDEX(Tabla_control_serigrafia[TIPO DE FRASCO],MATCH(Tabla_producción_serigrafia[[#This Row],[LOTE]],Tabla_control_serigrafia[LOTE],0)),"-")</f>
        <v>FRASCO BLANCO</v>
      </c>
      <c r="L13" t="str">
        <f>IF(Tabla_producción_serigrafia[[#This Row],[ACCIÓN]]="PRODUCCIÓN",Tabla_producción_serigrafia[[#This Row],[FORMATO DE FRASCO]]&amp;" "&amp;Tabla_producción_serigrafia[[#This Row],[TIPO DE FRASCO]],"-")</f>
        <v>30 ML FRASCO BLANCO</v>
      </c>
      <c r="M13" s="19">
        <f>IFERROR(INDEX(Tabla_control_serigrafia[CANTIDAD PEDIDA],MATCH(Tabla_producción_serigrafia[[#This Row],[LOTE]],Tabla_control_serigrafia[LOTE],0)),"-")</f>
        <v>15000</v>
      </c>
      <c r="N13" s="3">
        <v>15200</v>
      </c>
      <c r="O13" s="3">
        <v>510</v>
      </c>
      <c r="P13" s="3" t="s">
        <v>62</v>
      </c>
      <c r="Q13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15200</v>
      </c>
      <c r="R13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17</v>
      </c>
      <c r="S13" t="s">
        <v>38</v>
      </c>
      <c r="T13" t="str">
        <f>UPPER(LEFT(TEXT(Tabla_producción_serigrafia[[#This Row],[FECHA]],"mmm"),3))</f>
        <v>ENE</v>
      </c>
      <c r="U13">
        <f>+Tabla_producción_serigrafia[[#This Row],[CANTIDAD PRODUCIDA]]+Tabla_producción_serigrafia[[#This Row],[CANTIDAD RECHAZADA]]</f>
        <v>15710</v>
      </c>
    </row>
    <row r="14" spans="1:21" x14ac:dyDescent="0.25">
      <c r="A14" s="10">
        <v>46041</v>
      </c>
      <c r="B14" s="10" t="s">
        <v>58</v>
      </c>
      <c r="C14" s="1" t="s">
        <v>65</v>
      </c>
      <c r="D14" s="9">
        <v>0.72916666666666663</v>
      </c>
      <c r="E14" s="9">
        <v>0.91666666666666663</v>
      </c>
      <c r="F14" s="15">
        <f t="shared" si="1"/>
        <v>4.5</v>
      </c>
      <c r="G14" t="s">
        <v>56</v>
      </c>
      <c r="H14" s="3">
        <v>12667</v>
      </c>
      <c r="I14" s="7" t="str">
        <f>IFERROR(INDEX(Tabla_control_serigrafia[PRODUCTO],MATCH(Tabla_producción_serigrafia[[#This Row],[LOTE]],Tabla_control_serigrafia[LOTE],0)),"-")</f>
        <v>IFASAN 10% X 30 ML LOCION</v>
      </c>
      <c r="J14" t="str">
        <f>IFERROR(INDEX(Tabla_control_serigrafia[FORMATO DE FRASCO],MATCH(Tabla_producción_serigrafia[[#This Row],[LOTE]],Tabla_control_serigrafia[LOTE],0)),"-")</f>
        <v>30 ML</v>
      </c>
      <c r="K14" t="str">
        <f>IFERROR(INDEX(Tabla_control_serigrafia[TIPO DE FRASCO],MATCH(Tabla_producción_serigrafia[[#This Row],[LOTE]],Tabla_control_serigrafia[LOTE],0)),"-")</f>
        <v>FRASCO BLANCO</v>
      </c>
      <c r="L14" t="str">
        <f>IF(Tabla_producción_serigrafia[[#This Row],[ACCIÓN]]="PRODUCCIÓN",Tabla_producción_serigrafia[[#This Row],[FORMATO DE FRASCO]]&amp;" "&amp;Tabla_producción_serigrafia[[#This Row],[TIPO DE FRASCO]],"-")</f>
        <v>30 ML FRASCO BLANCO</v>
      </c>
      <c r="M14" s="19">
        <f>IFERROR(INDEX(Tabla_control_serigrafia[CANTIDAD PEDIDA],MATCH(Tabla_producción_serigrafia[[#This Row],[LOTE]],Tabla_control_serigrafia[LOTE],0)),"-")</f>
        <v>15000</v>
      </c>
      <c r="N14" s="3">
        <v>6000</v>
      </c>
      <c r="O14" s="3">
        <v>0</v>
      </c>
      <c r="P14" s="3" t="s">
        <v>66</v>
      </c>
      <c r="Q14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6000</v>
      </c>
      <c r="R14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4" t="s">
        <v>38</v>
      </c>
      <c r="T14" t="str">
        <f>UPPER(LEFT(TEXT(Tabla_producción_serigrafia[[#This Row],[FECHA]],"mmm"),3))</f>
        <v>ENE</v>
      </c>
      <c r="U14">
        <f>+Tabla_producción_serigrafia[[#This Row],[CANTIDAD PRODUCIDA]]+Tabla_producción_serigrafia[[#This Row],[CANTIDAD RECHAZADA]]</f>
        <v>6000</v>
      </c>
    </row>
    <row r="15" spans="1:21" x14ac:dyDescent="0.25">
      <c r="A15" s="10">
        <v>46042</v>
      </c>
      <c r="B15" s="10" t="s">
        <v>58</v>
      </c>
      <c r="C15" s="1" t="s">
        <v>75</v>
      </c>
      <c r="D15" s="9">
        <v>0.33333333333333331</v>
      </c>
      <c r="E15" s="9">
        <v>0.34722222222222227</v>
      </c>
      <c r="F15" s="15">
        <f t="shared" si="1"/>
        <v>0.33</v>
      </c>
      <c r="G15" t="s">
        <v>57</v>
      </c>
      <c r="H15" s="3" t="s">
        <v>38</v>
      </c>
      <c r="I15" s="7" t="str">
        <f>IFERROR(INDEX(Tabla_control_serigrafia[PRODUCTO],MATCH(Tabla_producción_serigrafia[[#This Row],[LOTE]],Tabla_control_serigrafia[LOTE],0)),"-")</f>
        <v>-</v>
      </c>
      <c r="J15" t="str">
        <f>IFERROR(INDEX(Tabla_control_serigrafia[FORMATO DE FRASCO],MATCH(Tabla_producción_serigrafia[[#This Row],[LOTE]],Tabla_control_serigrafia[LOTE],0)),"-")</f>
        <v>-</v>
      </c>
      <c r="K15" t="str">
        <f>IFERROR(INDEX(Tabla_control_serigrafia[TIPO DE FRASCO],MATCH(Tabla_producción_serigrafia[[#This Row],[LOTE]],Tabla_control_serigrafia[LOTE],0)),"-")</f>
        <v>-</v>
      </c>
      <c r="L15" t="str">
        <f>IF(Tabla_producción_serigrafia[[#This Row],[ACCIÓN]]="PRODUCCIÓN",Tabla_producción_serigrafia[[#This Row],[FORMATO DE FRASCO]]&amp;" "&amp;Tabla_producción_serigrafia[[#This Row],[TIPO DE FRASCO]],"-")</f>
        <v>-</v>
      </c>
      <c r="M15" s="19" t="str">
        <f>IFERROR(INDEX(Tabla_control_serigrafia[CANTIDAD PEDIDA],MATCH(Tabla_producción_serigrafia[[#This Row],[LOTE]],Tabla_control_serigrafia[LOTE],0)),"-")</f>
        <v>-</v>
      </c>
      <c r="N15" s="3">
        <v>0</v>
      </c>
      <c r="O15" s="3">
        <v>0</v>
      </c>
      <c r="P15" s="3">
        <v>0</v>
      </c>
      <c r="Q15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5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5" t="s">
        <v>63</v>
      </c>
      <c r="T15" t="str">
        <f>UPPER(LEFT(TEXT(Tabla_producción_serigrafia[[#This Row],[FECHA]],"mmm"),3))</f>
        <v>ENE</v>
      </c>
      <c r="U15">
        <f>+Tabla_producción_serigrafia[[#This Row],[CANTIDAD PRODUCIDA]]+Tabla_producción_serigrafia[[#This Row],[CANTIDAD RECHAZADA]]</f>
        <v>0</v>
      </c>
    </row>
    <row r="16" spans="1:21" x14ac:dyDescent="0.25">
      <c r="A16" s="10">
        <v>46042</v>
      </c>
      <c r="B16" s="10" t="s">
        <v>58</v>
      </c>
      <c r="C16" s="1" t="s">
        <v>75</v>
      </c>
      <c r="D16" s="9">
        <v>0.34722222222222227</v>
      </c>
      <c r="E16" s="9">
        <v>0.41666666666666669</v>
      </c>
      <c r="F16" s="15">
        <f t="shared" si="1"/>
        <v>1.67</v>
      </c>
      <c r="G16" t="s">
        <v>56</v>
      </c>
      <c r="H16" s="3">
        <v>12667</v>
      </c>
      <c r="I16" s="7" t="str">
        <f>IFERROR(INDEX(Tabla_control_serigrafia[PRODUCTO],MATCH(Tabla_producción_serigrafia[[#This Row],[LOTE]],Tabla_control_serigrafia[LOTE],0)),"-")</f>
        <v>IFASAN 10% X 30 ML LOCION</v>
      </c>
      <c r="J16" t="str">
        <f>IFERROR(INDEX(Tabla_control_serigrafia[FORMATO DE FRASCO],MATCH(Tabla_producción_serigrafia[[#This Row],[LOTE]],Tabla_control_serigrafia[LOTE],0)),"-")</f>
        <v>30 ML</v>
      </c>
      <c r="K16" t="str">
        <f>IFERROR(INDEX(Tabla_control_serigrafia[TIPO DE FRASCO],MATCH(Tabla_producción_serigrafia[[#This Row],[LOTE]],Tabla_control_serigrafia[LOTE],0)),"-")</f>
        <v>FRASCO BLANCO</v>
      </c>
      <c r="L16" t="str">
        <f>IF(Tabla_producción_serigrafia[[#This Row],[ACCIÓN]]="PRODUCCIÓN",Tabla_producción_serigrafia[[#This Row],[FORMATO DE FRASCO]]&amp;" "&amp;Tabla_producción_serigrafia[[#This Row],[TIPO DE FRASCO]],"-")</f>
        <v>30 ML FRASCO BLANCO</v>
      </c>
      <c r="M16" s="19">
        <f>IFERROR(INDEX(Tabla_control_serigrafia[CANTIDAD PEDIDA],MATCH(Tabla_producción_serigrafia[[#This Row],[LOTE]],Tabla_control_serigrafia[LOTE],0)),"-")</f>
        <v>15000</v>
      </c>
      <c r="N16" s="3">
        <v>4200</v>
      </c>
      <c r="O16" s="3">
        <v>409</v>
      </c>
      <c r="P16" s="3" t="s">
        <v>62</v>
      </c>
      <c r="Q16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4200</v>
      </c>
      <c r="R16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18</v>
      </c>
      <c r="S16" t="s">
        <v>38</v>
      </c>
      <c r="T16" t="str">
        <f>UPPER(LEFT(TEXT(Tabla_producción_serigrafia[[#This Row],[FECHA]],"mmm"),3))</f>
        <v>ENE</v>
      </c>
      <c r="U16">
        <f>+Tabla_producción_serigrafia[[#This Row],[CANTIDAD PRODUCIDA]]+Tabla_producción_serigrafia[[#This Row],[CANTIDAD RECHAZADA]]</f>
        <v>4609</v>
      </c>
    </row>
    <row r="17" spans="1:21" x14ac:dyDescent="0.25">
      <c r="A17" s="10">
        <v>46042</v>
      </c>
      <c r="B17" s="10" t="s">
        <v>58</v>
      </c>
      <c r="C17" s="1" t="s">
        <v>75</v>
      </c>
      <c r="D17" s="9">
        <v>0.41666666666666669</v>
      </c>
      <c r="E17" s="9">
        <v>0.60416666666666663</v>
      </c>
      <c r="F17" s="15">
        <f t="shared" si="1"/>
        <v>4.5</v>
      </c>
      <c r="G17" t="s">
        <v>64</v>
      </c>
      <c r="H17" s="3" t="s">
        <v>38</v>
      </c>
      <c r="I17" s="7" t="str">
        <f>IFERROR(INDEX(Tabla_control_serigrafia[PRODUCTO],MATCH(Tabla_producción_serigrafia[[#This Row],[LOTE]],Tabla_control_serigrafia[LOTE],0)),"-")</f>
        <v>-</v>
      </c>
      <c r="J17" t="str">
        <f>IFERROR(INDEX(Tabla_control_serigrafia[FORMATO DE FRASCO],MATCH(Tabla_producción_serigrafia[[#This Row],[LOTE]],Tabla_control_serigrafia[LOTE],0)),"-")</f>
        <v>-</v>
      </c>
      <c r="K17" t="str">
        <f>IFERROR(INDEX(Tabla_control_serigrafia[TIPO DE FRASCO],MATCH(Tabla_producción_serigrafia[[#This Row],[LOTE]],Tabla_control_serigrafia[LOTE],0)),"-")</f>
        <v>-</v>
      </c>
      <c r="L17" t="str">
        <f>IF(Tabla_producción_serigrafia[[#This Row],[ACCIÓN]]="PRODUCCIÓN",Tabla_producción_serigrafia[[#This Row],[FORMATO DE FRASCO]]&amp;" "&amp;Tabla_producción_serigrafia[[#This Row],[TIPO DE FRASCO]],"-")</f>
        <v>-</v>
      </c>
      <c r="M17" s="19" t="str">
        <f>IFERROR(INDEX(Tabla_control_serigrafia[CANTIDAD PEDIDA],MATCH(Tabla_producción_serigrafia[[#This Row],[LOTE]],Tabla_control_serigrafia[LOTE],0)),"-")</f>
        <v>-</v>
      </c>
      <c r="N17" s="3">
        <v>0</v>
      </c>
      <c r="O17" s="3">
        <v>0</v>
      </c>
      <c r="P17" s="3">
        <v>0</v>
      </c>
      <c r="Q17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7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7" t="s">
        <v>78</v>
      </c>
      <c r="T17" t="str">
        <f>UPPER(LEFT(TEXT(Tabla_producción_serigrafia[[#This Row],[FECHA]],"mmm"),3))</f>
        <v>ENE</v>
      </c>
      <c r="U17">
        <f>+Tabla_producción_serigrafia[[#This Row],[CANTIDAD PRODUCIDA]]+Tabla_producción_serigrafia[[#This Row],[CANTIDAD RECHAZADA]]</f>
        <v>0</v>
      </c>
    </row>
    <row r="18" spans="1:21" x14ac:dyDescent="0.25">
      <c r="A18" s="10">
        <v>46042</v>
      </c>
      <c r="B18" s="10" t="s">
        <v>58</v>
      </c>
      <c r="C18" s="1" t="s">
        <v>75</v>
      </c>
      <c r="D18" s="9">
        <v>0.60416666666666663</v>
      </c>
      <c r="E18" s="9">
        <v>0.625</v>
      </c>
      <c r="F18" s="15">
        <f t="shared" si="1"/>
        <v>0.5</v>
      </c>
      <c r="G18" t="s">
        <v>57</v>
      </c>
      <c r="H18" s="3" t="s">
        <v>38</v>
      </c>
      <c r="I18" s="7" t="str">
        <f>IFERROR(INDEX(Tabla_control_serigrafia[PRODUCTO],MATCH(Tabla_producción_serigrafia[[#This Row],[LOTE]],Tabla_control_serigrafia[LOTE],0)),"-")</f>
        <v>-</v>
      </c>
      <c r="J18" t="str">
        <f>IFERROR(INDEX(Tabla_control_serigrafia[FORMATO DE FRASCO],MATCH(Tabla_producción_serigrafia[[#This Row],[LOTE]],Tabla_control_serigrafia[LOTE],0)),"-")</f>
        <v>-</v>
      </c>
      <c r="K18" t="str">
        <f>IFERROR(INDEX(Tabla_control_serigrafia[TIPO DE FRASCO],MATCH(Tabla_producción_serigrafia[[#This Row],[LOTE]],Tabla_control_serigrafia[LOTE],0)),"-")</f>
        <v>-</v>
      </c>
      <c r="L18" t="str">
        <f>IF(Tabla_producción_serigrafia[[#This Row],[ACCIÓN]]="PRODUCCIÓN",Tabla_producción_serigrafia[[#This Row],[FORMATO DE FRASCO]]&amp;" "&amp;Tabla_producción_serigrafia[[#This Row],[TIPO DE FRASCO]],"-")</f>
        <v>-</v>
      </c>
      <c r="M18" s="19" t="str">
        <f>IFERROR(INDEX(Tabla_control_serigrafia[CANTIDAD PEDIDA],MATCH(Tabla_producción_serigrafia[[#This Row],[LOTE]],Tabla_control_serigrafia[LOTE],0)),"-")</f>
        <v>-</v>
      </c>
      <c r="N18" s="3">
        <v>0</v>
      </c>
      <c r="O18" s="3">
        <v>0</v>
      </c>
      <c r="P18" s="3">
        <v>0</v>
      </c>
      <c r="Q18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8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" t="s">
        <v>38</v>
      </c>
      <c r="T18" t="str">
        <f>UPPER(LEFT(TEXT(Tabla_producción_serigrafia[[#This Row],[FECHA]],"mmm"),3))</f>
        <v>ENE</v>
      </c>
      <c r="U18">
        <f>+Tabla_producción_serigrafia[[#This Row],[CANTIDAD PRODUCIDA]]+Tabla_producción_serigrafia[[#This Row],[CANTIDAD RECHAZADA]]</f>
        <v>0</v>
      </c>
    </row>
    <row r="19" spans="1:21" x14ac:dyDescent="0.25">
      <c r="A19" s="10">
        <v>46042</v>
      </c>
      <c r="B19" s="10" t="s">
        <v>58</v>
      </c>
      <c r="C19" s="1" t="s">
        <v>65</v>
      </c>
      <c r="D19" s="9">
        <v>0.625</v>
      </c>
      <c r="E19" s="9">
        <v>0.91666666666666663</v>
      </c>
      <c r="F19" s="15">
        <f t="shared" si="1"/>
        <v>7</v>
      </c>
      <c r="G19" t="s">
        <v>56</v>
      </c>
      <c r="H19" s="3">
        <v>12683</v>
      </c>
      <c r="I19" s="7" t="str">
        <f>IFERROR(INDEX(Tabla_control_serigrafia[PRODUCTO],MATCH(Tabla_producción_serigrafia[[#This Row],[LOTE]],Tabla_control_serigrafia[LOTE],0)),"-")</f>
        <v>MEBENDAZOL 100 MG X 30 ML SUSP.</v>
      </c>
      <c r="J19" t="str">
        <f>IFERROR(INDEX(Tabla_control_serigrafia[FORMATO DE FRASCO],MATCH(Tabla_producción_serigrafia[[#This Row],[LOTE]],Tabla_control_serigrafia[LOTE],0)),"-")</f>
        <v>40 ML</v>
      </c>
      <c r="K19" t="str">
        <f>IFERROR(INDEX(Tabla_control_serigrafia[TIPO DE FRASCO],MATCH(Tabla_producción_serigrafia[[#This Row],[LOTE]],Tabla_control_serigrafia[LOTE],0)),"-")</f>
        <v>FRASCO BLANCO</v>
      </c>
      <c r="L19" t="str">
        <f>IF(Tabla_producción_serigrafia[[#This Row],[ACCIÓN]]="PRODUCCIÓN",Tabla_producción_serigrafia[[#This Row],[FORMATO DE FRASCO]]&amp;" "&amp;Tabla_producción_serigrafia[[#This Row],[TIPO DE FRASCO]],"-")</f>
        <v>40 ML FRASCO BLANCO</v>
      </c>
      <c r="M19" s="19">
        <f>IFERROR(INDEX(Tabla_control_serigrafia[CANTIDAD PEDIDA],MATCH(Tabla_producción_serigrafia[[#This Row],[LOTE]],Tabla_control_serigrafia[LOTE],0)),"-")</f>
        <v>11400</v>
      </c>
      <c r="N19" s="3">
        <v>10000</v>
      </c>
      <c r="O19" s="3">
        <v>409</v>
      </c>
      <c r="P19" s="3" t="s">
        <v>62</v>
      </c>
      <c r="Q19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10000</v>
      </c>
      <c r="R19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18</v>
      </c>
      <c r="S19" t="s">
        <v>38</v>
      </c>
      <c r="T19" t="str">
        <f>UPPER(LEFT(TEXT(Tabla_producción_serigrafia[[#This Row],[FECHA]],"mmm"),3))</f>
        <v>ENE</v>
      </c>
      <c r="U19">
        <f>+Tabla_producción_serigrafia[[#This Row],[CANTIDAD PRODUCIDA]]+Tabla_producción_serigrafia[[#This Row],[CANTIDAD RECHAZADA]]</f>
        <v>10409</v>
      </c>
    </row>
    <row r="20" spans="1:21" x14ac:dyDescent="0.25">
      <c r="A20" s="10">
        <v>46043</v>
      </c>
      <c r="B20" s="10" t="s">
        <v>58</v>
      </c>
      <c r="C20" s="1" t="s">
        <v>75</v>
      </c>
      <c r="D20" s="9">
        <v>0.33333333333333331</v>
      </c>
      <c r="E20" s="9">
        <v>0.54166666666666663</v>
      </c>
      <c r="F20" s="15">
        <f t="shared" si="1"/>
        <v>5</v>
      </c>
      <c r="G20" t="s">
        <v>64</v>
      </c>
      <c r="H20" s="3" t="s">
        <v>38</v>
      </c>
      <c r="I20" s="7" t="str">
        <f>IFERROR(INDEX(Tabla_control_serigrafia[PRODUCTO],MATCH(Tabla_producción_serigrafia[[#This Row],[LOTE]],Tabla_control_serigrafia[LOTE],0)),"-")</f>
        <v>-</v>
      </c>
      <c r="J20" t="str">
        <f>IFERROR(INDEX(Tabla_control_serigrafia[FORMATO DE FRASCO],MATCH(Tabla_producción_serigrafia[[#This Row],[LOTE]],Tabla_control_serigrafia[LOTE],0)),"-")</f>
        <v>-</v>
      </c>
      <c r="K20" t="str">
        <f>IFERROR(INDEX(Tabla_control_serigrafia[TIPO DE FRASCO],MATCH(Tabla_producción_serigrafia[[#This Row],[LOTE]],Tabla_control_serigrafia[LOTE],0)),"-")</f>
        <v>-</v>
      </c>
      <c r="L20" t="str">
        <f>IF(Tabla_producción_serigrafia[[#This Row],[ACCIÓN]]="PRODUCCIÓN",Tabla_producción_serigrafia[[#This Row],[FORMATO DE FRASCO]]&amp;" "&amp;Tabla_producción_serigrafia[[#This Row],[TIPO DE FRASCO]],"-")</f>
        <v>-</v>
      </c>
      <c r="M20" s="19" t="str">
        <f>IFERROR(INDEX(Tabla_control_serigrafia[CANTIDAD PEDIDA],MATCH(Tabla_producción_serigrafia[[#This Row],[LOTE]],Tabla_control_serigrafia[LOTE],0)),"-")</f>
        <v>-</v>
      </c>
      <c r="N20" s="3">
        <v>0</v>
      </c>
      <c r="O20" s="3">
        <v>0</v>
      </c>
      <c r="P20" s="3">
        <v>0</v>
      </c>
      <c r="Q20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20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20" t="s">
        <v>79</v>
      </c>
      <c r="T20" t="str">
        <f>UPPER(LEFT(TEXT(Tabla_producción_serigrafia[[#This Row],[FECHA]],"mmm"),3))</f>
        <v>ENE</v>
      </c>
      <c r="U20">
        <f>+Tabla_producción_serigrafia[[#This Row],[CANTIDAD PRODUCIDA]]+Tabla_producción_serigrafia[[#This Row],[CANTIDAD RECHAZADA]]</f>
        <v>0</v>
      </c>
    </row>
    <row r="21" spans="1:21" x14ac:dyDescent="0.25">
      <c r="A21" s="10">
        <v>46043</v>
      </c>
      <c r="B21" s="10" t="s">
        <v>58</v>
      </c>
      <c r="C21" s="1" t="s">
        <v>75</v>
      </c>
      <c r="D21" s="9">
        <v>0.54166666666666663</v>
      </c>
      <c r="E21" s="9">
        <v>0.5625</v>
      </c>
      <c r="F21" s="15">
        <f t="shared" si="1"/>
        <v>0.5</v>
      </c>
      <c r="G21" t="s">
        <v>57</v>
      </c>
      <c r="H21" s="3" t="s">
        <v>38</v>
      </c>
      <c r="I21" s="7" t="str">
        <f>IFERROR(INDEX(Tabla_control_serigrafia[PRODUCTO],MATCH(Tabla_producción_serigrafia[[#This Row],[LOTE]],Tabla_control_serigrafia[LOTE],0)),"-")</f>
        <v>-</v>
      </c>
      <c r="J21" t="str">
        <f>IFERROR(INDEX(Tabla_control_serigrafia[FORMATO DE FRASCO],MATCH(Tabla_producción_serigrafia[[#This Row],[LOTE]],Tabla_control_serigrafia[LOTE],0)),"-")</f>
        <v>-</v>
      </c>
      <c r="K21" t="str">
        <f>IFERROR(INDEX(Tabla_control_serigrafia[TIPO DE FRASCO],MATCH(Tabla_producción_serigrafia[[#This Row],[LOTE]],Tabla_control_serigrafia[LOTE],0)),"-")</f>
        <v>-</v>
      </c>
      <c r="L21" t="str">
        <f>IF(Tabla_producción_serigrafia[[#This Row],[ACCIÓN]]="PRODUCCIÓN",Tabla_producción_serigrafia[[#This Row],[FORMATO DE FRASCO]]&amp;" "&amp;Tabla_producción_serigrafia[[#This Row],[TIPO DE FRASCO]],"-")</f>
        <v>-</v>
      </c>
      <c r="M21" s="19" t="str">
        <f>IFERROR(INDEX(Tabla_control_serigrafia[CANTIDAD PEDIDA],MATCH(Tabla_producción_serigrafia[[#This Row],[LOTE]],Tabla_control_serigrafia[LOTE],0)),"-")</f>
        <v>-</v>
      </c>
      <c r="N21" s="3">
        <v>0</v>
      </c>
      <c r="O21" s="3">
        <v>0</v>
      </c>
      <c r="P21" s="3">
        <v>0</v>
      </c>
      <c r="Q21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21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21" t="s">
        <v>63</v>
      </c>
      <c r="T21" t="str">
        <f>UPPER(LEFT(TEXT(Tabla_producción_serigrafia[[#This Row],[FECHA]],"mmm"),3))</f>
        <v>ENE</v>
      </c>
      <c r="U21">
        <f>+Tabla_producción_serigrafia[[#This Row],[CANTIDAD PRODUCIDA]]+Tabla_producción_serigrafia[[#This Row],[CANTIDAD RECHAZADA]]</f>
        <v>0</v>
      </c>
    </row>
    <row r="22" spans="1:21" x14ac:dyDescent="0.25">
      <c r="A22" s="10">
        <v>46043</v>
      </c>
      <c r="B22" s="10" t="s">
        <v>58</v>
      </c>
      <c r="C22" s="1" t="s">
        <v>75</v>
      </c>
      <c r="D22" s="9">
        <v>0.58333333333333337</v>
      </c>
      <c r="E22" s="9">
        <v>0.625</v>
      </c>
      <c r="F22" s="15">
        <f t="shared" si="1"/>
        <v>1</v>
      </c>
      <c r="G22" t="s">
        <v>56</v>
      </c>
      <c r="H22" s="3">
        <v>4126</v>
      </c>
      <c r="I22" s="7" t="str">
        <f>IFERROR(INDEX(Tabla_control_serigrafia[PRODUCTO],MATCH(Tabla_producción_serigrafia[[#This Row],[LOTE]],Tabla_control_serigrafia[LOTE],0)),"-")</f>
        <v>AMOXICILINA 250 MG + ACIDO CLAVULANICO 62,5 MG. X 60 ML POLVO PARA SUSP. VETERINARIO</v>
      </c>
      <c r="J22" t="str">
        <f>IFERROR(INDEX(Tabla_control_serigrafia[FORMATO DE FRASCO],MATCH(Tabla_producción_serigrafia[[#This Row],[LOTE]],Tabla_control_serigrafia[LOTE],0)),"-")</f>
        <v>120 ML</v>
      </c>
      <c r="K22" t="str">
        <f>IFERROR(INDEX(Tabla_control_serigrafia[TIPO DE FRASCO],MATCH(Tabla_producción_serigrafia[[#This Row],[LOTE]],Tabla_control_serigrafia[LOTE],0)),"-")</f>
        <v>FRASCO NATURAL</v>
      </c>
      <c r="L22" t="str">
        <f>IF(Tabla_producción_serigrafia[[#This Row],[ACCIÓN]]="PRODUCCIÓN",Tabla_producción_serigrafia[[#This Row],[FORMATO DE FRASCO]]&amp;" "&amp;Tabla_producción_serigrafia[[#This Row],[TIPO DE FRASCO]],"-")</f>
        <v>120 ML FRASCO NATURAL</v>
      </c>
      <c r="M22" s="19">
        <f>IFERROR(INDEX(Tabla_control_serigrafia[CANTIDAD PEDIDA],MATCH(Tabla_producción_serigrafia[[#This Row],[LOTE]],Tabla_control_serigrafia[LOTE],0)),"-")</f>
        <v>1500</v>
      </c>
      <c r="N22" s="3">
        <v>1600</v>
      </c>
      <c r="O22" s="3">
        <v>160</v>
      </c>
      <c r="P22" s="3" t="s">
        <v>62</v>
      </c>
      <c r="Q22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1600</v>
      </c>
      <c r="R22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19</v>
      </c>
      <c r="S22" t="s">
        <v>38</v>
      </c>
      <c r="T22" t="str">
        <f>UPPER(LEFT(TEXT(Tabla_producción_serigrafia[[#This Row],[FECHA]],"mmm"),3))</f>
        <v>ENE</v>
      </c>
      <c r="U22">
        <f>+Tabla_producción_serigrafia[[#This Row],[CANTIDAD PRODUCIDA]]+Tabla_producción_serigrafia[[#This Row],[CANTIDAD RECHAZADA]]</f>
        <v>1760</v>
      </c>
    </row>
    <row r="23" spans="1:21" x14ac:dyDescent="0.25">
      <c r="A23" s="10">
        <v>46043</v>
      </c>
      <c r="B23" s="10" t="s">
        <v>58</v>
      </c>
      <c r="C23" s="1" t="s">
        <v>75</v>
      </c>
      <c r="D23" s="9">
        <v>0.625</v>
      </c>
      <c r="E23" s="9">
        <v>0.64583333333333337</v>
      </c>
      <c r="F23" s="15">
        <f t="shared" si="1"/>
        <v>0.5</v>
      </c>
      <c r="G23" t="s">
        <v>57</v>
      </c>
      <c r="H23" s="3" t="s">
        <v>38</v>
      </c>
      <c r="I23" s="7" t="str">
        <f>IFERROR(INDEX(Tabla_control_serigrafia[PRODUCTO],MATCH(Tabla_producción_serigrafia[[#This Row],[LOTE]],Tabla_control_serigrafia[LOTE],0)),"-")</f>
        <v>-</v>
      </c>
      <c r="J23" t="str">
        <f>IFERROR(INDEX(Tabla_control_serigrafia[FORMATO DE FRASCO],MATCH(Tabla_producción_serigrafia[[#This Row],[LOTE]],Tabla_control_serigrafia[LOTE],0)),"-")</f>
        <v>-</v>
      </c>
      <c r="K23" t="str">
        <f>IFERROR(INDEX(Tabla_control_serigrafia[TIPO DE FRASCO],MATCH(Tabla_producción_serigrafia[[#This Row],[LOTE]],Tabla_control_serigrafia[LOTE],0)),"-")</f>
        <v>-</v>
      </c>
      <c r="L23" t="str">
        <f>IF(Tabla_producción_serigrafia[[#This Row],[ACCIÓN]]="PRODUCCIÓN",Tabla_producción_serigrafia[[#This Row],[FORMATO DE FRASCO]]&amp;" "&amp;Tabla_producción_serigrafia[[#This Row],[TIPO DE FRASCO]],"-")</f>
        <v>-</v>
      </c>
      <c r="M23" s="19" t="str">
        <f>IFERROR(INDEX(Tabla_control_serigrafia[CANTIDAD PEDIDA],MATCH(Tabla_producción_serigrafia[[#This Row],[LOTE]],Tabla_control_serigrafia[LOTE],0)),"-")</f>
        <v>-</v>
      </c>
      <c r="N23" s="3">
        <v>0</v>
      </c>
      <c r="O23" s="3">
        <v>0</v>
      </c>
      <c r="P23" s="3">
        <v>0</v>
      </c>
      <c r="Q23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23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23" t="s">
        <v>63</v>
      </c>
      <c r="T23" t="str">
        <f>UPPER(LEFT(TEXT(Tabla_producción_serigrafia[[#This Row],[FECHA]],"mmm"),3))</f>
        <v>ENE</v>
      </c>
      <c r="U23">
        <f>+Tabla_producción_serigrafia[[#This Row],[CANTIDAD PRODUCIDA]]+Tabla_producción_serigrafia[[#This Row],[CANTIDAD RECHAZADA]]</f>
        <v>0</v>
      </c>
    </row>
    <row r="24" spans="1:21" x14ac:dyDescent="0.25">
      <c r="A24" s="10">
        <v>46043</v>
      </c>
      <c r="B24" s="10" t="s">
        <v>58</v>
      </c>
      <c r="C24" s="1" t="s">
        <v>75</v>
      </c>
      <c r="D24" s="9">
        <v>0.64583333333333337</v>
      </c>
      <c r="E24" s="9">
        <v>0.72916666666666663</v>
      </c>
      <c r="F24" s="15">
        <f t="shared" si="1"/>
        <v>2</v>
      </c>
      <c r="G24" t="s">
        <v>56</v>
      </c>
      <c r="H24" s="3">
        <v>5126</v>
      </c>
      <c r="I24" s="7" t="str">
        <f>IFERROR(INDEX(Tabla_control_serigrafia[PRODUCTO],MATCH(Tabla_producción_serigrafia[[#This Row],[LOTE]],Tabla_control_serigrafia[LOTE],0)),"-")</f>
        <v>SULTRIN FORTE 400/80 MG X 100 ML SUSP. VETERINARIO</v>
      </c>
      <c r="J24" t="str">
        <f>IFERROR(INDEX(Tabla_control_serigrafia[FORMATO DE FRASCO],MATCH(Tabla_producción_serigrafia[[#This Row],[LOTE]],Tabla_control_serigrafia[LOTE],0)),"-")</f>
        <v>120 ML</v>
      </c>
      <c r="K24" t="str">
        <f>IFERROR(INDEX(Tabla_control_serigrafia[TIPO DE FRASCO],MATCH(Tabla_producción_serigrafia[[#This Row],[LOTE]],Tabla_control_serigrafia[LOTE],0)),"-")</f>
        <v>FRASCO BLANCO</v>
      </c>
      <c r="L24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24" s="19">
        <f>IFERROR(INDEX(Tabla_control_serigrafia[CANTIDAD PEDIDA],MATCH(Tabla_producción_serigrafia[[#This Row],[LOTE]],Tabla_control_serigrafia[LOTE],0)),"-")</f>
        <v>4902</v>
      </c>
      <c r="N24" s="3">
        <v>5000</v>
      </c>
      <c r="O24" s="3">
        <v>290</v>
      </c>
      <c r="P24" s="3" t="s">
        <v>62</v>
      </c>
      <c r="Q24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5000</v>
      </c>
      <c r="R24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19</v>
      </c>
      <c r="S24" t="s">
        <v>38</v>
      </c>
      <c r="T24" t="str">
        <f>UPPER(LEFT(TEXT(Tabla_producción_serigrafia[[#This Row],[FECHA]],"mmm"),3))</f>
        <v>ENE</v>
      </c>
      <c r="U24">
        <f>+Tabla_producción_serigrafia[[#This Row],[CANTIDAD PRODUCIDA]]+Tabla_producción_serigrafia[[#This Row],[CANTIDAD RECHAZADA]]</f>
        <v>5290</v>
      </c>
    </row>
    <row r="25" spans="1:21" x14ac:dyDescent="0.25">
      <c r="A25" s="10">
        <v>46043</v>
      </c>
      <c r="B25" s="10" t="s">
        <v>58</v>
      </c>
      <c r="C25" s="1" t="s">
        <v>75</v>
      </c>
      <c r="D25" s="9">
        <v>0.72916666666666663</v>
      </c>
      <c r="E25" s="9">
        <v>0.75</v>
      </c>
      <c r="F25" s="15">
        <f t="shared" si="1"/>
        <v>0.5</v>
      </c>
      <c r="G25" t="s">
        <v>57</v>
      </c>
      <c r="H25" s="3" t="s">
        <v>38</v>
      </c>
      <c r="I25" s="7" t="str">
        <f>IFERROR(INDEX(Tabla_control_serigrafia[PRODUCTO],MATCH(Tabla_producción_serigrafia[[#This Row],[LOTE]],Tabla_control_serigrafia[LOTE],0)),"-")</f>
        <v>-</v>
      </c>
      <c r="J25" t="str">
        <f>IFERROR(INDEX(Tabla_control_serigrafia[FORMATO DE FRASCO],MATCH(Tabla_producción_serigrafia[[#This Row],[LOTE]],Tabla_control_serigrafia[LOTE],0)),"-")</f>
        <v>-</v>
      </c>
      <c r="K25" t="str">
        <f>IFERROR(INDEX(Tabla_control_serigrafia[TIPO DE FRASCO],MATCH(Tabla_producción_serigrafia[[#This Row],[LOTE]],Tabla_control_serigrafia[LOTE],0)),"-")</f>
        <v>-</v>
      </c>
      <c r="L25" t="str">
        <f>IF(Tabla_producción_serigrafia[[#This Row],[ACCIÓN]]="PRODUCCIÓN",Tabla_producción_serigrafia[[#This Row],[FORMATO DE FRASCO]]&amp;" "&amp;Tabla_producción_serigrafia[[#This Row],[TIPO DE FRASCO]],"-")</f>
        <v>-</v>
      </c>
      <c r="M25" s="19" t="str">
        <f>IFERROR(INDEX(Tabla_control_serigrafia[CANTIDAD PEDIDA],MATCH(Tabla_producción_serigrafia[[#This Row],[LOTE]],Tabla_control_serigrafia[LOTE],0)),"-")</f>
        <v>-</v>
      </c>
      <c r="N25" s="3">
        <v>0</v>
      </c>
      <c r="O25" s="3">
        <v>0</v>
      </c>
      <c r="P25" s="3">
        <v>0</v>
      </c>
      <c r="Q25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25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25" t="s">
        <v>63</v>
      </c>
      <c r="T25" t="str">
        <f>UPPER(LEFT(TEXT(Tabla_producción_serigrafia[[#This Row],[FECHA]],"mmm"),3))</f>
        <v>ENE</v>
      </c>
      <c r="U25">
        <f>+Tabla_producción_serigrafia[[#This Row],[CANTIDAD PRODUCIDA]]+Tabla_producción_serigrafia[[#This Row],[CANTIDAD RECHAZADA]]</f>
        <v>0</v>
      </c>
    </row>
    <row r="26" spans="1:21" x14ac:dyDescent="0.25">
      <c r="A26" s="10">
        <v>46043</v>
      </c>
      <c r="B26" s="10" t="s">
        <v>58</v>
      </c>
      <c r="C26" s="1" t="s">
        <v>65</v>
      </c>
      <c r="D26" s="9">
        <v>0.75</v>
      </c>
      <c r="E26" s="9">
        <v>0.91666666666666663</v>
      </c>
      <c r="F26" s="15">
        <f t="shared" si="1"/>
        <v>4</v>
      </c>
      <c r="G26" t="s">
        <v>56</v>
      </c>
      <c r="H26" s="3">
        <v>12676</v>
      </c>
      <c r="I26" s="7" t="str">
        <f>IFERROR(INDEX(Tabla_control_serigrafia[PRODUCTO],MATCH(Tabla_producción_serigrafia[[#This Row],[LOTE]],Tabla_control_serigrafia[LOTE],0)),"-")</f>
        <v>IBUPROFENO 100 MG X 100 ML SUSP.</v>
      </c>
      <c r="J26" t="str">
        <f>IFERROR(INDEX(Tabla_control_serigrafia[FORMATO DE FRASCO],MATCH(Tabla_producción_serigrafia[[#This Row],[LOTE]],Tabla_control_serigrafia[LOTE],0)),"-")</f>
        <v>120 ML</v>
      </c>
      <c r="K26" t="str">
        <f>IFERROR(INDEX(Tabla_control_serigrafia[TIPO DE FRASCO],MATCH(Tabla_producción_serigrafia[[#This Row],[LOTE]],Tabla_control_serigrafia[LOTE],0)),"-")</f>
        <v>FRASCO BLANCO</v>
      </c>
      <c r="L26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26" s="19">
        <f>IFERROR(INDEX(Tabla_control_serigrafia[CANTIDAD PEDIDA],MATCH(Tabla_producción_serigrafia[[#This Row],[LOTE]],Tabla_control_serigrafia[LOTE],0)),"-")</f>
        <v>23529</v>
      </c>
      <c r="N26" s="3">
        <v>10000</v>
      </c>
      <c r="O26" s="3">
        <v>0</v>
      </c>
      <c r="P26" s="3" t="s">
        <v>66</v>
      </c>
      <c r="Q26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10000</v>
      </c>
      <c r="R26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26" t="s">
        <v>38</v>
      </c>
      <c r="T26" t="str">
        <f>UPPER(LEFT(TEXT(Tabla_producción_serigrafia[[#This Row],[FECHA]],"mmm"),3))</f>
        <v>ENE</v>
      </c>
      <c r="U26">
        <f>+Tabla_producción_serigrafia[[#This Row],[CANTIDAD PRODUCIDA]]+Tabla_producción_serigrafia[[#This Row],[CANTIDAD RECHAZADA]]</f>
        <v>10000</v>
      </c>
    </row>
    <row r="27" spans="1:21" x14ac:dyDescent="0.25">
      <c r="A27" s="10">
        <v>46044</v>
      </c>
      <c r="B27" s="10" t="s">
        <v>58</v>
      </c>
      <c r="C27" s="1" t="s">
        <v>75</v>
      </c>
      <c r="D27" s="9">
        <v>0.33333333333333331</v>
      </c>
      <c r="E27" s="20">
        <v>0.35416666666666669</v>
      </c>
      <c r="F27" s="15">
        <f>ROUND((E27-D27)*24,2)</f>
        <v>0.5</v>
      </c>
      <c r="G27" s="7" t="s">
        <v>57</v>
      </c>
      <c r="H27" s="3" t="s">
        <v>38</v>
      </c>
      <c r="I27" s="7" t="str">
        <f>IFERROR(INDEX(Tabla_control_serigrafia[PRODUCTO],MATCH(Tabla_producción_serigrafia[[#This Row],[LOTE]],Tabla_control_serigrafia[LOTE],0)),"-")</f>
        <v>-</v>
      </c>
      <c r="J27" t="str">
        <f>IFERROR(INDEX(Tabla_control_serigrafia[FORMATO DE FRASCO],MATCH(Tabla_producción_serigrafia[[#This Row],[LOTE]],Tabla_control_serigrafia[LOTE],0)),"-")</f>
        <v>-</v>
      </c>
      <c r="K27" t="str">
        <f>IFERROR(INDEX(Tabla_control_serigrafia[TIPO DE FRASCO],MATCH(Tabla_producción_serigrafia[[#This Row],[LOTE]],Tabla_control_serigrafia[LOTE],0)),"-")</f>
        <v>-</v>
      </c>
      <c r="L27" t="str">
        <f>IF(Tabla_producción_serigrafia[[#This Row],[ACCIÓN]]="PRODUCCIÓN",Tabla_producción_serigrafia[[#This Row],[FORMATO DE FRASCO]]&amp;" "&amp;Tabla_producción_serigrafia[[#This Row],[TIPO DE FRASCO]],"-")</f>
        <v>-</v>
      </c>
      <c r="M27" s="3" t="str">
        <f>IFERROR(INDEX(Tabla_control_serigrafia[CANTIDAD PEDIDA],MATCH(Tabla_producción_serigrafia[[#This Row],[LOTE]],Tabla_control_serigrafia[LOTE],0)),"-")</f>
        <v>-</v>
      </c>
      <c r="N27" s="21">
        <v>0</v>
      </c>
      <c r="O27" s="3">
        <v>0</v>
      </c>
      <c r="P27" s="3">
        <v>0</v>
      </c>
      <c r="Q27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27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27" s="3" t="s">
        <v>38</v>
      </c>
      <c r="T27" t="str">
        <f>UPPER(LEFT(TEXT(Tabla_producción_serigrafia[[#This Row],[FECHA]],"mmm"),3))</f>
        <v>ENE</v>
      </c>
      <c r="U27">
        <f>+Tabla_producción_serigrafia[[#This Row],[CANTIDAD PRODUCIDA]]+Tabla_producción_serigrafia[[#This Row],[CANTIDAD RECHAZADA]]</f>
        <v>0</v>
      </c>
    </row>
    <row r="28" spans="1:21" x14ac:dyDescent="0.25">
      <c r="A28" s="10">
        <v>46044</v>
      </c>
      <c r="B28" s="10" t="s">
        <v>58</v>
      </c>
      <c r="C28" s="1" t="s">
        <v>75</v>
      </c>
      <c r="D28" s="9">
        <v>0.35416666666666669</v>
      </c>
      <c r="E28" s="20">
        <v>0.60416666666666663</v>
      </c>
      <c r="F28" s="15">
        <f t="shared" ref="F28:F30" si="2">ROUND((E28-D28)*24,2)</f>
        <v>6</v>
      </c>
      <c r="G28" s="7" t="s">
        <v>56</v>
      </c>
      <c r="H28" s="3">
        <v>12676</v>
      </c>
      <c r="I28" s="7" t="str">
        <f>IFERROR(INDEX(Tabla_control_serigrafia[PRODUCTO],MATCH(Tabla_producción_serigrafia[[#This Row],[LOTE]],Tabla_control_serigrafia[LOTE],0)),"-")</f>
        <v>IBUPROFENO 100 MG X 100 ML SUSP.</v>
      </c>
      <c r="J28" t="str">
        <f>IFERROR(INDEX(Tabla_control_serigrafia[FORMATO DE FRASCO],MATCH(Tabla_producción_serigrafia[[#This Row],[LOTE]],Tabla_control_serigrafia[LOTE],0)),"-")</f>
        <v>120 ML</v>
      </c>
      <c r="K28" t="str">
        <f>IFERROR(INDEX(Tabla_control_serigrafia[TIPO DE FRASCO],MATCH(Tabla_producción_serigrafia[[#This Row],[LOTE]],Tabla_control_serigrafia[LOTE],0)),"-")</f>
        <v>FRASCO BLANCO</v>
      </c>
      <c r="L28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28" s="3">
        <f>IFERROR(INDEX(Tabla_control_serigrafia[CANTIDAD PEDIDA],MATCH(Tabla_producción_serigrafia[[#This Row],[LOTE]],Tabla_control_serigrafia[LOTE],0)),"-")</f>
        <v>23529</v>
      </c>
      <c r="N28" s="21">
        <v>13700</v>
      </c>
      <c r="O28" s="3">
        <v>309</v>
      </c>
      <c r="P28" s="3" t="s">
        <v>62</v>
      </c>
      <c r="Q28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13700</v>
      </c>
      <c r="R28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20</v>
      </c>
      <c r="S28" t="s">
        <v>38</v>
      </c>
      <c r="T28" t="str">
        <f>UPPER(LEFT(TEXT(Tabla_producción_serigrafia[[#This Row],[FECHA]],"mmm"),3))</f>
        <v>ENE</v>
      </c>
      <c r="U28">
        <f>+Tabla_producción_serigrafia[[#This Row],[CANTIDAD PRODUCIDA]]+Tabla_producción_serigrafia[[#This Row],[CANTIDAD RECHAZADA]]</f>
        <v>14009</v>
      </c>
    </row>
    <row r="29" spans="1:21" x14ac:dyDescent="0.25">
      <c r="A29" s="10">
        <v>46044</v>
      </c>
      <c r="B29" s="10" t="s">
        <v>58</v>
      </c>
      <c r="C29" s="1" t="s">
        <v>75</v>
      </c>
      <c r="D29" s="9">
        <v>0.60416666666666663</v>
      </c>
      <c r="E29" s="20">
        <v>0.625</v>
      </c>
      <c r="F29" s="15">
        <f t="shared" si="2"/>
        <v>0.5</v>
      </c>
      <c r="G29" s="7" t="s">
        <v>57</v>
      </c>
      <c r="H29" s="3" t="s">
        <v>38</v>
      </c>
      <c r="I29" s="7" t="str">
        <f>IFERROR(INDEX(Tabla_control_serigrafia[PRODUCTO],MATCH(Tabla_producción_serigrafia[[#This Row],[LOTE]],Tabla_control_serigrafia[LOTE],0)),"-")</f>
        <v>-</v>
      </c>
      <c r="J29" t="str">
        <f>IFERROR(INDEX(Tabla_control_serigrafia[FORMATO DE FRASCO],MATCH(Tabla_producción_serigrafia[[#This Row],[LOTE]],Tabla_control_serigrafia[LOTE],0)),"-")</f>
        <v>-</v>
      </c>
      <c r="K29" t="str">
        <f>IFERROR(INDEX(Tabla_control_serigrafia[TIPO DE FRASCO],MATCH(Tabla_producción_serigrafia[[#This Row],[LOTE]],Tabla_control_serigrafia[LOTE],0)),"-")</f>
        <v>-</v>
      </c>
      <c r="L29" t="str">
        <f>IF(Tabla_producción_serigrafia[[#This Row],[ACCIÓN]]="PRODUCCIÓN",Tabla_producción_serigrafia[[#This Row],[FORMATO DE FRASCO]]&amp;" "&amp;Tabla_producción_serigrafia[[#This Row],[TIPO DE FRASCO]],"-")</f>
        <v>-</v>
      </c>
      <c r="M29" s="3" t="str">
        <f>IFERROR(INDEX(Tabla_control_serigrafia[CANTIDAD PEDIDA],MATCH(Tabla_producción_serigrafia[[#This Row],[LOTE]],Tabla_control_serigrafia[LOTE],0)),"-")</f>
        <v>-</v>
      </c>
      <c r="N29" s="21">
        <v>0</v>
      </c>
      <c r="O29" s="3">
        <v>0</v>
      </c>
      <c r="P29" s="3">
        <v>0</v>
      </c>
      <c r="Q29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29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29" t="s">
        <v>38</v>
      </c>
      <c r="T29" t="str">
        <f>UPPER(LEFT(TEXT(Tabla_producción_serigrafia[[#This Row],[FECHA]],"mmm"),3))</f>
        <v>ENE</v>
      </c>
      <c r="U29">
        <f>+Tabla_producción_serigrafia[[#This Row],[CANTIDAD PRODUCIDA]]+Tabla_producción_serigrafia[[#This Row],[CANTIDAD RECHAZADA]]</f>
        <v>0</v>
      </c>
    </row>
    <row r="30" spans="1:21" x14ac:dyDescent="0.25">
      <c r="A30" s="10">
        <v>46044</v>
      </c>
      <c r="B30" s="10" t="s">
        <v>58</v>
      </c>
      <c r="C30" s="1" t="s">
        <v>65</v>
      </c>
      <c r="D30" s="9">
        <v>0.625</v>
      </c>
      <c r="E30" s="20">
        <v>0.91666666666666663</v>
      </c>
      <c r="F30" s="15">
        <f t="shared" si="2"/>
        <v>7</v>
      </c>
      <c r="G30" s="7" t="s">
        <v>56</v>
      </c>
      <c r="H30" s="3">
        <v>12677</v>
      </c>
      <c r="I30" s="7" t="str">
        <f>IFERROR(INDEX(Tabla_control_serigrafia[PRODUCTO],MATCH(Tabla_producción_serigrafia[[#This Row],[LOTE]],Tabla_control_serigrafia[LOTE],0)),"-")</f>
        <v>IBUPROFENO 100 MG X 100 ML SUSP.</v>
      </c>
      <c r="J30" t="str">
        <f>IFERROR(INDEX(Tabla_control_serigrafia[FORMATO DE FRASCO],MATCH(Tabla_producción_serigrafia[[#This Row],[LOTE]],Tabla_control_serigrafia[LOTE],0)),"-")</f>
        <v>120 ML</v>
      </c>
      <c r="K30" t="str">
        <f>IFERROR(INDEX(Tabla_control_serigrafia[TIPO DE FRASCO],MATCH(Tabla_producción_serigrafia[[#This Row],[LOTE]],Tabla_control_serigrafia[LOTE],0)),"-")</f>
        <v>FRASCO BLANCO</v>
      </c>
      <c r="L30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30" s="3">
        <f>IFERROR(INDEX(Tabla_control_serigrafia[CANTIDAD PEDIDA],MATCH(Tabla_producción_serigrafia[[#This Row],[LOTE]],Tabla_control_serigrafia[LOTE],0)),"-")</f>
        <v>23529</v>
      </c>
      <c r="N30" s="21">
        <v>15000</v>
      </c>
      <c r="O30" s="3">
        <v>0</v>
      </c>
      <c r="P30" s="3" t="s">
        <v>66</v>
      </c>
      <c r="Q30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15000</v>
      </c>
      <c r="R30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30" t="s">
        <v>38</v>
      </c>
      <c r="T30" t="str">
        <f>UPPER(LEFT(TEXT(Tabla_producción_serigrafia[[#This Row],[FECHA]],"mmm"),3))</f>
        <v>ENE</v>
      </c>
      <c r="U30">
        <f>+Tabla_producción_serigrafia[[#This Row],[CANTIDAD PRODUCIDA]]+Tabla_producción_serigrafia[[#This Row],[CANTIDAD RECHAZADA]]</f>
        <v>15000</v>
      </c>
    </row>
    <row r="31" spans="1:21" x14ac:dyDescent="0.25">
      <c r="A31" s="10">
        <v>46048</v>
      </c>
      <c r="B31" s="10" t="s">
        <v>58</v>
      </c>
      <c r="C31" s="1" t="s">
        <v>75</v>
      </c>
      <c r="D31" s="9">
        <v>0.33333333333333331</v>
      </c>
      <c r="E31" s="20">
        <v>0.45833333333333331</v>
      </c>
      <c r="F31" s="15">
        <f>ROUND((E31-D31)*24,2)</f>
        <v>3</v>
      </c>
      <c r="G31" s="7" t="s">
        <v>64</v>
      </c>
      <c r="H31" s="3" t="s">
        <v>38</v>
      </c>
      <c r="I31" s="7" t="str">
        <f>IFERROR(INDEX(Tabla_control_serigrafia[PRODUCTO],MATCH(Tabla_producción_serigrafia[[#This Row],[LOTE]],Tabla_control_serigrafia[LOTE],0)),"-")</f>
        <v>-</v>
      </c>
      <c r="J31" t="str">
        <f>IFERROR(INDEX(Tabla_control_serigrafia[FORMATO DE FRASCO],MATCH(Tabla_producción_serigrafia[[#This Row],[LOTE]],Tabla_control_serigrafia[LOTE],0)),"-")</f>
        <v>-</v>
      </c>
      <c r="K31" t="str">
        <f>IFERROR(INDEX(Tabla_control_serigrafia[TIPO DE FRASCO],MATCH(Tabla_producción_serigrafia[[#This Row],[LOTE]],Tabla_control_serigrafia[LOTE],0)),"-")</f>
        <v>-</v>
      </c>
      <c r="L31" t="str">
        <f>IF(Tabla_producción_serigrafia[[#This Row],[ACCIÓN]]="PRODUCCIÓN",Tabla_producción_serigrafia[[#This Row],[FORMATO DE FRASCO]]&amp;" "&amp;Tabla_producción_serigrafia[[#This Row],[TIPO DE FRASCO]],"-")</f>
        <v>-</v>
      </c>
      <c r="M31" s="3" t="str">
        <f>IFERROR(INDEX(Tabla_control_serigrafia[CANTIDAD PEDIDA],MATCH(Tabla_producción_serigrafia[[#This Row],[LOTE]],Tabla_control_serigrafia[LOTE],0)),"-")</f>
        <v>-</v>
      </c>
      <c r="N31" s="21">
        <v>0</v>
      </c>
      <c r="O31" s="3">
        <v>0</v>
      </c>
      <c r="P31" s="3">
        <v>0</v>
      </c>
      <c r="Q31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31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31" t="s">
        <v>87</v>
      </c>
      <c r="T31" t="str">
        <f>UPPER(LEFT(TEXT(Tabla_producción_serigrafia[[#This Row],[FECHA]],"mmm"),3))</f>
        <v>ENE</v>
      </c>
      <c r="U31">
        <f>+Tabla_producción_serigrafia[[#This Row],[CANTIDAD PRODUCIDA]]+Tabla_producción_serigrafia[[#This Row],[CANTIDAD RECHAZADA]]</f>
        <v>0</v>
      </c>
    </row>
    <row r="32" spans="1:21" x14ac:dyDescent="0.25">
      <c r="A32" s="10">
        <v>46048</v>
      </c>
      <c r="B32" s="10" t="s">
        <v>58</v>
      </c>
      <c r="C32" s="1" t="s">
        <v>75</v>
      </c>
      <c r="D32" s="9">
        <v>0.45833333333333331</v>
      </c>
      <c r="E32" s="20">
        <v>0.47916666666666669</v>
      </c>
      <c r="F32" s="15">
        <f t="shared" ref="F32:F36" si="3">ROUND((E32-D32)*24,2)</f>
        <v>0.5</v>
      </c>
      <c r="G32" s="7" t="s">
        <v>57</v>
      </c>
      <c r="H32" s="3" t="s">
        <v>38</v>
      </c>
      <c r="I32" s="7" t="str">
        <f>IFERROR(INDEX(Tabla_control_serigrafia[PRODUCTO],MATCH(Tabla_producción_serigrafia[[#This Row],[LOTE]],Tabla_control_serigrafia[LOTE],0)),"-")</f>
        <v>-</v>
      </c>
      <c r="J32" t="str">
        <f>IFERROR(INDEX(Tabla_control_serigrafia[FORMATO DE FRASCO],MATCH(Tabla_producción_serigrafia[[#This Row],[LOTE]],Tabla_control_serigrafia[LOTE],0)),"-")</f>
        <v>-</v>
      </c>
      <c r="K32" t="str">
        <f>IFERROR(INDEX(Tabla_control_serigrafia[TIPO DE FRASCO],MATCH(Tabla_producción_serigrafia[[#This Row],[LOTE]],Tabla_control_serigrafia[LOTE],0)),"-")</f>
        <v>-</v>
      </c>
      <c r="L32" t="str">
        <f>IF(Tabla_producción_serigrafia[[#This Row],[ACCIÓN]]="PRODUCCIÓN",Tabla_producción_serigrafia[[#This Row],[FORMATO DE FRASCO]]&amp;" "&amp;Tabla_producción_serigrafia[[#This Row],[TIPO DE FRASCO]],"-")</f>
        <v>-</v>
      </c>
      <c r="M32" s="3" t="str">
        <f>IFERROR(INDEX(Tabla_control_serigrafia[CANTIDAD PEDIDA],MATCH(Tabla_producción_serigrafia[[#This Row],[LOTE]],Tabla_control_serigrafia[LOTE],0)),"-")</f>
        <v>-</v>
      </c>
      <c r="N32" s="21">
        <v>0</v>
      </c>
      <c r="O32" s="3">
        <v>0</v>
      </c>
      <c r="P32" s="3">
        <v>0</v>
      </c>
      <c r="Q32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32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32" t="s">
        <v>38</v>
      </c>
      <c r="T32" t="str">
        <f>UPPER(LEFT(TEXT(Tabla_producción_serigrafia[[#This Row],[FECHA]],"mmm"),3))</f>
        <v>ENE</v>
      </c>
      <c r="U32">
        <f>+Tabla_producción_serigrafia[[#This Row],[CANTIDAD PRODUCIDA]]+Tabla_producción_serigrafia[[#This Row],[CANTIDAD RECHAZADA]]</f>
        <v>0</v>
      </c>
    </row>
    <row r="33" spans="1:21" x14ac:dyDescent="0.25">
      <c r="A33" s="10">
        <v>46048</v>
      </c>
      <c r="B33" s="10" t="s">
        <v>58</v>
      </c>
      <c r="C33" s="1" t="s">
        <v>75</v>
      </c>
      <c r="D33" s="9">
        <v>0.47916666666666669</v>
      </c>
      <c r="E33" s="20">
        <v>0.51388888888888895</v>
      </c>
      <c r="F33" s="15">
        <f t="shared" si="3"/>
        <v>0.83</v>
      </c>
      <c r="G33" s="7" t="s">
        <v>56</v>
      </c>
      <c r="H33" s="3">
        <v>12670</v>
      </c>
      <c r="I33" s="7" t="str">
        <f>IFERROR(INDEX(Tabla_control_serigrafia[PRODUCTO],MATCH(Tabla_producción_serigrafia[[#This Row],[LOTE]],Tabla_control_serigrafia[LOTE],0)),"-")</f>
        <v>TALCO PARA EL PITAI X 70 G POLVO</v>
      </c>
      <c r="J33" t="str">
        <f>IFERROR(INDEX(Tabla_control_serigrafia[FORMATO DE FRASCO],MATCH(Tabla_producción_serigrafia[[#This Row],[LOTE]],Tabla_control_serigrafia[LOTE],0)),"-")</f>
        <v>100 GR</v>
      </c>
      <c r="K33" t="str">
        <f>IFERROR(INDEX(Tabla_control_serigrafia[TIPO DE FRASCO],MATCH(Tabla_producción_serigrafia[[#This Row],[LOTE]],Tabla_control_serigrafia[LOTE],0)),"-")</f>
        <v>FRASCO BLANCO</v>
      </c>
      <c r="L33" t="str">
        <f>IF(Tabla_producción_serigrafia[[#This Row],[ACCIÓN]]="PRODUCCIÓN",Tabla_producción_serigrafia[[#This Row],[FORMATO DE FRASCO]]&amp;" "&amp;Tabla_producción_serigrafia[[#This Row],[TIPO DE FRASCO]],"-")</f>
        <v>100 GR FRASCO BLANCO</v>
      </c>
      <c r="M33" s="3">
        <f>IFERROR(INDEX(Tabla_control_serigrafia[CANTIDAD PEDIDA],MATCH(Tabla_producción_serigrafia[[#This Row],[LOTE]],Tabla_control_serigrafia[LOTE],0)),"-")</f>
        <v>1000</v>
      </c>
      <c r="N33" s="21">
        <v>1060</v>
      </c>
      <c r="O33" s="3">
        <v>60</v>
      </c>
      <c r="P33" s="3" t="s">
        <v>62</v>
      </c>
      <c r="Q33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1060</v>
      </c>
      <c r="R33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24</v>
      </c>
      <c r="S33" t="s">
        <v>38</v>
      </c>
      <c r="T33" t="str">
        <f>UPPER(LEFT(TEXT(Tabla_producción_serigrafia[[#This Row],[FECHA]],"mmm"),3))</f>
        <v>ENE</v>
      </c>
      <c r="U33">
        <f>+Tabla_producción_serigrafia[[#This Row],[CANTIDAD PRODUCIDA]]+Tabla_producción_serigrafia[[#This Row],[CANTIDAD RECHAZADA]]</f>
        <v>1120</v>
      </c>
    </row>
    <row r="34" spans="1:21" x14ac:dyDescent="0.25">
      <c r="A34" s="10">
        <v>46048</v>
      </c>
      <c r="B34" s="10" t="s">
        <v>58</v>
      </c>
      <c r="C34" s="1" t="s">
        <v>75</v>
      </c>
      <c r="D34" s="9">
        <v>0.52083333333333337</v>
      </c>
      <c r="E34" s="20">
        <v>0.5625</v>
      </c>
      <c r="F34" s="15">
        <f t="shared" si="3"/>
        <v>1</v>
      </c>
      <c r="G34" s="7" t="s">
        <v>56</v>
      </c>
      <c r="H34" s="3">
        <v>12671</v>
      </c>
      <c r="I34" s="7" t="str">
        <f>IFERROR(INDEX(Tabla_control_serigrafia[PRODUCTO],MATCH(Tabla_producción_serigrafia[[#This Row],[LOTE]],Tabla_control_serigrafia[LOTE],0)),"-")</f>
        <v>TALCO PARA EL PITAI X 70 G POLVO</v>
      </c>
      <c r="J34" t="str">
        <f>IFERROR(INDEX(Tabla_control_serigrafia[FORMATO DE FRASCO],MATCH(Tabla_producción_serigrafia[[#This Row],[LOTE]],Tabla_control_serigrafia[LOTE],0)),"-")</f>
        <v>100 GR</v>
      </c>
      <c r="K34" t="str">
        <f>IFERROR(INDEX(Tabla_control_serigrafia[TIPO DE FRASCO],MATCH(Tabla_producción_serigrafia[[#This Row],[LOTE]],Tabla_control_serigrafia[LOTE],0)),"-")</f>
        <v>FRASCO BLANCO</v>
      </c>
      <c r="L34" t="str">
        <f>IF(Tabla_producción_serigrafia[[#This Row],[ACCIÓN]]="PRODUCCIÓN",Tabla_producción_serigrafia[[#This Row],[FORMATO DE FRASCO]]&amp;" "&amp;Tabla_producción_serigrafia[[#This Row],[TIPO DE FRASCO]],"-")</f>
        <v>100 GR FRASCO BLANCO</v>
      </c>
      <c r="M34" s="3">
        <f>IFERROR(INDEX(Tabla_control_serigrafia[CANTIDAD PEDIDA],MATCH(Tabla_producción_serigrafia[[#This Row],[LOTE]],Tabla_control_serigrafia[LOTE],0)),"-")</f>
        <v>2000</v>
      </c>
      <c r="N34" s="21">
        <v>2100</v>
      </c>
      <c r="O34" s="3">
        <v>70</v>
      </c>
      <c r="P34" s="3" t="s">
        <v>62</v>
      </c>
      <c r="Q34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2100</v>
      </c>
      <c r="R34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24</v>
      </c>
      <c r="S34" t="s">
        <v>38</v>
      </c>
      <c r="T34" t="str">
        <f>UPPER(LEFT(TEXT(Tabla_producción_serigrafia[[#This Row],[FECHA]],"mmm"),3))</f>
        <v>ENE</v>
      </c>
      <c r="U34">
        <f>+Tabla_producción_serigrafia[[#This Row],[CANTIDAD PRODUCIDA]]+Tabla_producción_serigrafia[[#This Row],[CANTIDAD RECHAZADA]]</f>
        <v>2170</v>
      </c>
    </row>
    <row r="35" spans="1:21" x14ac:dyDescent="0.25">
      <c r="A35" s="10">
        <v>46048</v>
      </c>
      <c r="B35" s="10" t="s">
        <v>58</v>
      </c>
      <c r="C35" s="1" t="s">
        <v>75</v>
      </c>
      <c r="D35" s="9">
        <v>0.59027777777777779</v>
      </c>
      <c r="E35" s="20">
        <v>0.63194444444444442</v>
      </c>
      <c r="F35" s="15">
        <f t="shared" si="3"/>
        <v>1</v>
      </c>
      <c r="G35" s="7" t="s">
        <v>56</v>
      </c>
      <c r="H35" s="3">
        <v>12672</v>
      </c>
      <c r="I35" s="7" t="str">
        <f>IFERROR(INDEX(Tabla_control_serigrafia[PRODUCTO],MATCH(Tabla_producción_serigrafia[[#This Row],[LOTE]],Tabla_control_serigrafia[LOTE],0)),"-")</f>
        <v>TALCO PARA EL PITAI X 70 G POLVO</v>
      </c>
      <c r="J35" t="str">
        <f>IFERROR(INDEX(Tabla_control_serigrafia[FORMATO DE FRASCO],MATCH(Tabla_producción_serigrafia[[#This Row],[LOTE]],Tabla_control_serigrafia[LOTE],0)),"-")</f>
        <v>100 GR</v>
      </c>
      <c r="K35" t="str">
        <f>IFERROR(INDEX(Tabla_control_serigrafia[TIPO DE FRASCO],MATCH(Tabla_producción_serigrafia[[#This Row],[LOTE]],Tabla_control_serigrafia[LOTE],0)),"-")</f>
        <v>FRASCO BLANCO</v>
      </c>
      <c r="L35" t="str">
        <f>IF(Tabla_producción_serigrafia[[#This Row],[ACCIÓN]]="PRODUCCIÓN",Tabla_producción_serigrafia[[#This Row],[FORMATO DE FRASCO]]&amp;" "&amp;Tabla_producción_serigrafia[[#This Row],[TIPO DE FRASCO]],"-")</f>
        <v>100 GR FRASCO BLANCO</v>
      </c>
      <c r="M35" s="3">
        <f>IFERROR(INDEX(Tabla_control_serigrafia[CANTIDAD PEDIDA],MATCH(Tabla_producción_serigrafia[[#This Row],[LOTE]],Tabla_control_serigrafia[LOTE],0)),"-")</f>
        <v>2000</v>
      </c>
      <c r="N35" s="21">
        <v>2100</v>
      </c>
      <c r="O35" s="3">
        <v>80</v>
      </c>
      <c r="P35" s="3" t="s">
        <v>62</v>
      </c>
      <c r="Q35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2100</v>
      </c>
      <c r="R35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24</v>
      </c>
      <c r="S35" t="s">
        <v>38</v>
      </c>
      <c r="T35" t="str">
        <f>UPPER(LEFT(TEXT(Tabla_producción_serigrafia[[#This Row],[FECHA]],"mmm"),3))</f>
        <v>ENE</v>
      </c>
      <c r="U35">
        <f>+Tabla_producción_serigrafia[[#This Row],[CANTIDAD PRODUCIDA]]+Tabla_producción_serigrafia[[#This Row],[CANTIDAD RECHAZADA]]</f>
        <v>2180</v>
      </c>
    </row>
    <row r="36" spans="1:21" x14ac:dyDescent="0.25">
      <c r="A36" s="10">
        <v>46048</v>
      </c>
      <c r="B36" s="10" t="s">
        <v>58</v>
      </c>
      <c r="C36" s="1" t="s">
        <v>75</v>
      </c>
      <c r="D36" s="9">
        <v>0.63888888888888895</v>
      </c>
      <c r="E36" s="20">
        <v>0.6875</v>
      </c>
      <c r="F36" s="15">
        <f t="shared" si="3"/>
        <v>1.17</v>
      </c>
      <c r="G36" s="7" t="s">
        <v>56</v>
      </c>
      <c r="H36" s="3">
        <v>12673</v>
      </c>
      <c r="I36" s="7" t="str">
        <f>IFERROR(INDEX(Tabla_control_serigrafia[PRODUCTO],MATCH(Tabla_producción_serigrafia[[#This Row],[LOTE]],Tabla_control_serigrafia[LOTE],0)),"-")</f>
        <v>TALCO PARA EL PITAI X 70 G POLVO</v>
      </c>
      <c r="J36" t="str">
        <f>IFERROR(INDEX(Tabla_control_serigrafia[FORMATO DE FRASCO],MATCH(Tabla_producción_serigrafia[[#This Row],[LOTE]],Tabla_control_serigrafia[LOTE],0)),"-")</f>
        <v>100 GR</v>
      </c>
      <c r="K36" t="str">
        <f>IFERROR(INDEX(Tabla_control_serigrafia[TIPO DE FRASCO],MATCH(Tabla_producción_serigrafia[[#This Row],[LOTE]],Tabla_control_serigrafia[LOTE],0)),"-")</f>
        <v>FRASCO BLANCO</v>
      </c>
      <c r="L36" t="str">
        <f>IF(Tabla_producción_serigrafia[[#This Row],[ACCIÓN]]="PRODUCCIÓN",Tabla_producción_serigrafia[[#This Row],[FORMATO DE FRASCO]]&amp;" "&amp;Tabla_producción_serigrafia[[#This Row],[TIPO DE FRASCO]],"-")</f>
        <v>100 GR FRASCO BLANCO</v>
      </c>
      <c r="M36" s="3">
        <f>IFERROR(INDEX(Tabla_control_serigrafia[CANTIDAD PEDIDA],MATCH(Tabla_producción_serigrafia[[#This Row],[LOTE]],Tabla_control_serigrafia[LOTE],0)),"-")</f>
        <v>2000</v>
      </c>
      <c r="N36" s="21">
        <v>2100</v>
      </c>
      <c r="O36" s="3">
        <v>72</v>
      </c>
      <c r="P36" s="3" t="s">
        <v>62</v>
      </c>
      <c r="Q36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2100</v>
      </c>
      <c r="R36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24</v>
      </c>
      <c r="S36" t="s">
        <v>38</v>
      </c>
      <c r="T36" t="str">
        <f>UPPER(LEFT(TEXT(Tabla_producción_serigrafia[[#This Row],[FECHA]],"mmm"),3))</f>
        <v>ENE</v>
      </c>
      <c r="U36">
        <f>+Tabla_producción_serigrafia[[#This Row],[CANTIDAD PRODUCIDA]]+Tabla_producción_serigrafia[[#This Row],[CANTIDAD RECHAZADA]]</f>
        <v>2172</v>
      </c>
    </row>
    <row r="37" spans="1:21" x14ac:dyDescent="0.25">
      <c r="A37" s="10">
        <v>46049</v>
      </c>
      <c r="B37" s="10" t="s">
        <v>58</v>
      </c>
      <c r="C37" s="1" t="s">
        <v>75</v>
      </c>
      <c r="D37" s="9">
        <v>0.33333333333333331</v>
      </c>
      <c r="E37" s="20">
        <v>0.45833333333333331</v>
      </c>
      <c r="F37" s="15">
        <f>ROUND((E37-D37)*24,2)</f>
        <v>3</v>
      </c>
      <c r="G37" s="7" t="s">
        <v>64</v>
      </c>
      <c r="H37" s="3" t="s">
        <v>38</v>
      </c>
      <c r="I37" s="7" t="str">
        <f>IFERROR(INDEX(Tabla_control_serigrafia[PRODUCTO],MATCH(Tabla_producción_serigrafia[[#This Row],[LOTE]],Tabla_control_serigrafia[LOTE],0)),"-")</f>
        <v>-</v>
      </c>
      <c r="J37" t="str">
        <f>IFERROR(INDEX(Tabla_control_serigrafia[FORMATO DE FRASCO],MATCH(Tabla_producción_serigrafia[[#This Row],[LOTE]],Tabla_control_serigrafia[LOTE],0)),"-")</f>
        <v>-</v>
      </c>
      <c r="K37" t="str">
        <f>IFERROR(INDEX(Tabla_control_serigrafia[TIPO DE FRASCO],MATCH(Tabla_producción_serigrafia[[#This Row],[LOTE]],Tabla_control_serigrafia[LOTE],0)),"-")</f>
        <v>-</v>
      </c>
      <c r="L37" t="str">
        <f>IF(Tabla_producción_serigrafia[[#This Row],[ACCIÓN]]="PRODUCCIÓN",Tabla_producción_serigrafia[[#This Row],[FORMATO DE FRASCO]]&amp;" "&amp;Tabla_producción_serigrafia[[#This Row],[TIPO DE FRASCO]],"-")</f>
        <v>-</v>
      </c>
      <c r="M37" s="3" t="str">
        <f>IFERROR(INDEX(Tabla_control_serigrafia[CANTIDAD PEDIDA],MATCH(Tabla_producción_serigrafia[[#This Row],[LOTE]],Tabla_control_serigrafia[LOTE],0)),"-")</f>
        <v>-</v>
      </c>
      <c r="N37" s="21">
        <v>0</v>
      </c>
      <c r="O37" s="3">
        <v>0</v>
      </c>
      <c r="P37" s="3">
        <v>0</v>
      </c>
      <c r="Q37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37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37" t="s">
        <v>86</v>
      </c>
      <c r="T37" t="str">
        <f>UPPER(LEFT(TEXT(Tabla_producción_serigrafia[[#This Row],[FECHA]],"mmm"),3))</f>
        <v>ENE</v>
      </c>
      <c r="U37">
        <f>+Tabla_producción_serigrafia[[#This Row],[CANTIDAD PRODUCIDA]]+Tabla_producción_serigrafia[[#This Row],[CANTIDAD RECHAZADA]]</f>
        <v>0</v>
      </c>
    </row>
    <row r="38" spans="1:21" x14ac:dyDescent="0.25">
      <c r="A38" s="10">
        <v>46049</v>
      </c>
      <c r="B38" s="10" t="s">
        <v>58</v>
      </c>
      <c r="C38" s="1" t="s">
        <v>75</v>
      </c>
      <c r="D38" s="9">
        <v>0.45833333333333331</v>
      </c>
      <c r="E38" s="20">
        <v>0.47916666666666669</v>
      </c>
      <c r="F38" s="15">
        <f t="shared" ref="F38:F41" si="4">ROUND((E38-D38)*24,2)</f>
        <v>0.5</v>
      </c>
      <c r="G38" s="7" t="s">
        <v>57</v>
      </c>
      <c r="H38" s="3" t="s">
        <v>38</v>
      </c>
      <c r="I38" s="7" t="str">
        <f>IFERROR(INDEX(Tabla_control_serigrafia[PRODUCTO],MATCH(Tabla_producción_serigrafia[[#This Row],[LOTE]],Tabla_control_serigrafia[LOTE],0)),"-")</f>
        <v>-</v>
      </c>
      <c r="J38" t="str">
        <f>IFERROR(INDEX(Tabla_control_serigrafia[FORMATO DE FRASCO],MATCH(Tabla_producción_serigrafia[[#This Row],[LOTE]],Tabla_control_serigrafia[LOTE],0)),"-")</f>
        <v>-</v>
      </c>
      <c r="K38" t="str">
        <f>IFERROR(INDEX(Tabla_control_serigrafia[TIPO DE FRASCO],MATCH(Tabla_producción_serigrafia[[#This Row],[LOTE]],Tabla_control_serigrafia[LOTE],0)),"-")</f>
        <v>-</v>
      </c>
      <c r="L38" t="str">
        <f>IF(Tabla_producción_serigrafia[[#This Row],[ACCIÓN]]="PRODUCCIÓN",Tabla_producción_serigrafia[[#This Row],[FORMATO DE FRASCO]]&amp;" "&amp;Tabla_producción_serigrafia[[#This Row],[TIPO DE FRASCO]],"-")</f>
        <v>-</v>
      </c>
      <c r="M38" s="3" t="str">
        <f>IFERROR(INDEX(Tabla_control_serigrafia[CANTIDAD PEDIDA],MATCH(Tabla_producción_serigrafia[[#This Row],[LOTE]],Tabla_control_serigrafia[LOTE],0)),"-")</f>
        <v>-</v>
      </c>
      <c r="N38" s="21">
        <v>0</v>
      </c>
      <c r="O38" s="3">
        <v>0</v>
      </c>
      <c r="P38" s="3">
        <v>0</v>
      </c>
      <c r="Q38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38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38" t="s">
        <v>38</v>
      </c>
      <c r="T38" t="str">
        <f>UPPER(LEFT(TEXT(Tabla_producción_serigrafia[[#This Row],[FECHA]],"mmm"),3))</f>
        <v>ENE</v>
      </c>
      <c r="U38">
        <f>+Tabla_producción_serigrafia[[#This Row],[CANTIDAD PRODUCIDA]]+Tabla_producción_serigrafia[[#This Row],[CANTIDAD RECHAZADA]]</f>
        <v>0</v>
      </c>
    </row>
    <row r="39" spans="1:21" x14ac:dyDescent="0.25">
      <c r="A39" s="10">
        <v>46049</v>
      </c>
      <c r="B39" s="10" t="s">
        <v>58</v>
      </c>
      <c r="C39" s="1" t="s">
        <v>75</v>
      </c>
      <c r="D39" s="9">
        <v>0.47916666666666669</v>
      </c>
      <c r="E39" s="20">
        <v>0.625</v>
      </c>
      <c r="F39" s="15">
        <f t="shared" si="4"/>
        <v>3.5</v>
      </c>
      <c r="G39" s="7" t="s">
        <v>56</v>
      </c>
      <c r="H39" s="3">
        <v>12677</v>
      </c>
      <c r="I39" s="7" t="str">
        <f>IFERROR(INDEX(Tabla_control_serigrafia[PRODUCTO],MATCH(Tabla_producción_serigrafia[[#This Row],[LOTE]],Tabla_control_serigrafia[LOTE],0)),"-")</f>
        <v>IBUPROFENO 100 MG X 100 ML SUSP.</v>
      </c>
      <c r="J39" t="str">
        <f>IFERROR(INDEX(Tabla_control_serigrafia[FORMATO DE FRASCO],MATCH(Tabla_producción_serigrafia[[#This Row],[LOTE]],Tabla_control_serigrafia[LOTE],0)),"-")</f>
        <v>120 ML</v>
      </c>
      <c r="K39" t="str">
        <f>IFERROR(INDEX(Tabla_control_serigrafia[TIPO DE FRASCO],MATCH(Tabla_producción_serigrafia[[#This Row],[LOTE]],Tabla_control_serigrafia[LOTE],0)),"-")</f>
        <v>FRASCO BLANCO</v>
      </c>
      <c r="L39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39" s="3">
        <f>IFERROR(INDEX(Tabla_control_serigrafia[CANTIDAD PEDIDA],MATCH(Tabla_producción_serigrafia[[#This Row],[LOTE]],Tabla_control_serigrafia[LOTE],0)),"-")</f>
        <v>23529</v>
      </c>
      <c r="N39" s="21">
        <v>8700</v>
      </c>
      <c r="O39" s="3">
        <v>309</v>
      </c>
      <c r="P39" s="3" t="s">
        <v>62</v>
      </c>
      <c r="Q39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8700</v>
      </c>
      <c r="R39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25</v>
      </c>
      <c r="S39" t="s">
        <v>38</v>
      </c>
      <c r="T39" t="str">
        <f>UPPER(LEFT(TEXT(Tabla_producción_serigrafia[[#This Row],[FECHA]],"mmm"),3))</f>
        <v>ENE</v>
      </c>
      <c r="U39">
        <f>+Tabla_producción_serigrafia[[#This Row],[CANTIDAD PRODUCIDA]]+Tabla_producción_serigrafia[[#This Row],[CANTIDAD RECHAZADA]]</f>
        <v>9009</v>
      </c>
    </row>
    <row r="40" spans="1:21" x14ac:dyDescent="0.25">
      <c r="A40" s="10">
        <v>46049</v>
      </c>
      <c r="B40" s="10" t="s">
        <v>58</v>
      </c>
      <c r="C40" s="1" t="s">
        <v>75</v>
      </c>
      <c r="D40" s="9">
        <v>0.625</v>
      </c>
      <c r="E40" s="20">
        <v>0.63888888888888895</v>
      </c>
      <c r="F40" s="15">
        <f t="shared" si="4"/>
        <v>0.33</v>
      </c>
      <c r="G40" s="7" t="s">
        <v>57</v>
      </c>
      <c r="H40" s="3" t="s">
        <v>38</v>
      </c>
      <c r="I40" s="7" t="str">
        <f>IFERROR(INDEX(Tabla_control_serigrafia[PRODUCTO],MATCH(Tabla_producción_serigrafia[[#This Row],[LOTE]],Tabla_control_serigrafia[LOTE],0)),"-")</f>
        <v>-</v>
      </c>
      <c r="J40" t="str">
        <f>IFERROR(INDEX(Tabla_control_serigrafia[FORMATO DE FRASCO],MATCH(Tabla_producción_serigrafia[[#This Row],[LOTE]],Tabla_control_serigrafia[LOTE],0)),"-")</f>
        <v>-</v>
      </c>
      <c r="K40" t="str">
        <f>IFERROR(INDEX(Tabla_control_serigrafia[TIPO DE FRASCO],MATCH(Tabla_producción_serigrafia[[#This Row],[LOTE]],Tabla_control_serigrafia[LOTE],0)),"-")</f>
        <v>-</v>
      </c>
      <c r="L40" t="str">
        <f>IF(Tabla_producción_serigrafia[[#This Row],[ACCIÓN]]="PRODUCCIÓN",Tabla_producción_serigrafia[[#This Row],[FORMATO DE FRASCO]]&amp;" "&amp;Tabla_producción_serigrafia[[#This Row],[TIPO DE FRASCO]],"-")</f>
        <v>-</v>
      </c>
      <c r="M40" s="3" t="str">
        <f>IFERROR(INDEX(Tabla_control_serigrafia[CANTIDAD PEDIDA],MATCH(Tabla_producción_serigrafia[[#This Row],[LOTE]],Tabla_control_serigrafia[LOTE],0)),"-")</f>
        <v>-</v>
      </c>
      <c r="N40" s="21">
        <v>0</v>
      </c>
      <c r="O40" s="3">
        <v>0</v>
      </c>
      <c r="P40" s="3">
        <v>0</v>
      </c>
      <c r="Q40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40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40" t="s">
        <v>38</v>
      </c>
      <c r="T40" t="str">
        <f>UPPER(LEFT(TEXT(Tabla_producción_serigrafia[[#This Row],[FECHA]],"mmm"),3))</f>
        <v>ENE</v>
      </c>
      <c r="U40">
        <f>+Tabla_producción_serigrafia[[#This Row],[CANTIDAD PRODUCIDA]]+Tabla_producción_serigrafia[[#This Row],[CANTIDAD RECHAZADA]]</f>
        <v>0</v>
      </c>
    </row>
    <row r="41" spans="1:21" x14ac:dyDescent="0.25">
      <c r="A41" s="10">
        <v>46049</v>
      </c>
      <c r="B41" s="10" t="s">
        <v>58</v>
      </c>
      <c r="C41" s="1" t="s">
        <v>75</v>
      </c>
      <c r="D41" s="9">
        <v>0.63888888888888895</v>
      </c>
      <c r="E41" s="20">
        <v>0.70833333333333337</v>
      </c>
      <c r="F41" s="15">
        <f t="shared" si="4"/>
        <v>1.67</v>
      </c>
      <c r="G41" s="7" t="s">
        <v>56</v>
      </c>
      <c r="H41" s="3">
        <v>12678</v>
      </c>
      <c r="I41" s="7" t="str">
        <f>IFERROR(INDEX(Tabla_control_serigrafia[PRODUCTO],MATCH(Tabla_producción_serigrafia[[#This Row],[LOTE]],Tabla_control_serigrafia[LOTE],0)),"-")</f>
        <v>IBUPROFENO 100 MG X 100 ML SUSP.</v>
      </c>
      <c r="J41" t="str">
        <f>IFERROR(INDEX(Tabla_control_serigrafia[FORMATO DE FRASCO],MATCH(Tabla_producción_serigrafia[[#This Row],[LOTE]],Tabla_control_serigrafia[LOTE],0)),"-")</f>
        <v>120 ML</v>
      </c>
      <c r="K41" t="str">
        <f>IFERROR(INDEX(Tabla_control_serigrafia[TIPO DE FRASCO],MATCH(Tabla_producción_serigrafia[[#This Row],[LOTE]],Tabla_control_serigrafia[LOTE],0)),"-")</f>
        <v>FRASCO BLANCO</v>
      </c>
      <c r="L41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41" s="3">
        <f>IFERROR(INDEX(Tabla_control_serigrafia[CANTIDAD PEDIDA],MATCH(Tabla_producción_serigrafia[[#This Row],[LOTE]],Tabla_control_serigrafia[LOTE],0)),"-")</f>
        <v>23529</v>
      </c>
      <c r="N41" s="21">
        <v>4000</v>
      </c>
      <c r="O41" s="3">
        <v>0</v>
      </c>
      <c r="P41" s="3" t="s">
        <v>66</v>
      </c>
      <c r="Q41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4000</v>
      </c>
      <c r="R41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41" t="s">
        <v>38</v>
      </c>
      <c r="T41" t="str">
        <f>UPPER(LEFT(TEXT(Tabla_producción_serigrafia[[#This Row],[FECHA]],"mmm"),3))</f>
        <v>ENE</v>
      </c>
      <c r="U41">
        <f>+Tabla_producción_serigrafia[[#This Row],[CANTIDAD PRODUCIDA]]+Tabla_producción_serigrafia[[#This Row],[CANTIDAD RECHAZADA]]</f>
        <v>4000</v>
      </c>
    </row>
    <row r="42" spans="1:21" x14ac:dyDescent="0.25">
      <c r="A42" s="10">
        <v>46050</v>
      </c>
      <c r="B42" s="10" t="s">
        <v>58</v>
      </c>
      <c r="C42" s="1" t="s">
        <v>75</v>
      </c>
      <c r="D42" s="9">
        <v>0.33333333333333331</v>
      </c>
      <c r="E42" s="20">
        <v>0.34722222222222227</v>
      </c>
      <c r="F42" s="15">
        <f t="shared" ref="F42:F49" si="5">ROUND((E42-D42)*24,2)</f>
        <v>0.33</v>
      </c>
      <c r="G42" s="7" t="s">
        <v>57</v>
      </c>
      <c r="H42" s="3" t="s">
        <v>38</v>
      </c>
      <c r="I42" s="7" t="str">
        <f>IFERROR(INDEX(Tabla_control_serigrafia[PRODUCTO],MATCH(Tabla_producción_serigrafia[[#This Row],[LOTE]],Tabla_control_serigrafia[LOTE],0)),"-")</f>
        <v>-</v>
      </c>
      <c r="J42" t="str">
        <f>IFERROR(INDEX(Tabla_control_serigrafia[FORMATO DE FRASCO],MATCH(Tabla_producción_serigrafia[[#This Row],[LOTE]],Tabla_control_serigrafia[LOTE],0)),"-")</f>
        <v>-</v>
      </c>
      <c r="K42" t="str">
        <f>IFERROR(INDEX(Tabla_control_serigrafia[TIPO DE FRASCO],MATCH(Tabla_producción_serigrafia[[#This Row],[LOTE]],Tabla_control_serigrafia[LOTE],0)),"-")</f>
        <v>-</v>
      </c>
      <c r="L42" t="str">
        <f>IF(Tabla_producción_serigrafia[[#This Row],[ACCIÓN]]="PRODUCCIÓN",Tabla_producción_serigrafia[[#This Row],[FORMATO DE FRASCO]]&amp;" "&amp;Tabla_producción_serigrafia[[#This Row],[TIPO DE FRASCO]],"-")</f>
        <v>-</v>
      </c>
      <c r="M42" s="3" t="str">
        <f>IFERROR(INDEX(Tabla_control_serigrafia[CANTIDAD PEDIDA],MATCH(Tabla_producción_serigrafia[[#This Row],[LOTE]],Tabla_control_serigrafia[LOTE],0)),"-")</f>
        <v>-</v>
      </c>
      <c r="N42" s="21">
        <v>0</v>
      </c>
      <c r="O42" s="3">
        <v>0</v>
      </c>
      <c r="P42" s="3">
        <v>0</v>
      </c>
      <c r="Q42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42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42" t="s">
        <v>38</v>
      </c>
      <c r="T42" t="str">
        <f>UPPER(LEFT(TEXT(Tabla_producción_serigrafia[[#This Row],[FECHA]],"mmm"),3))</f>
        <v>ENE</v>
      </c>
      <c r="U42">
        <f>+Tabla_producción_serigrafia[[#This Row],[CANTIDAD PRODUCIDA]]+Tabla_producción_serigrafia[[#This Row],[CANTIDAD RECHAZADA]]</f>
        <v>0</v>
      </c>
    </row>
    <row r="43" spans="1:21" x14ac:dyDescent="0.25">
      <c r="A43" s="10">
        <v>46050</v>
      </c>
      <c r="B43" s="10" t="s">
        <v>58</v>
      </c>
      <c r="C43" s="1" t="s">
        <v>75</v>
      </c>
      <c r="D43" s="9">
        <v>0.34722222222222227</v>
      </c>
      <c r="E43" s="20">
        <v>0.70833333333333337</v>
      </c>
      <c r="F43" s="15">
        <f t="shared" si="5"/>
        <v>8.67</v>
      </c>
      <c r="G43" s="7" t="s">
        <v>56</v>
      </c>
      <c r="H43" s="3">
        <v>12678</v>
      </c>
      <c r="I43" s="7" t="str">
        <f>IFERROR(INDEX(Tabla_control_serigrafia[PRODUCTO],MATCH(Tabla_producción_serigrafia[[#This Row],[LOTE]],Tabla_control_serigrafia[LOTE],0)),"-")</f>
        <v>IBUPROFENO 100 MG X 100 ML SUSP.</v>
      </c>
      <c r="J43" t="str">
        <f>IFERROR(INDEX(Tabla_control_serigrafia[FORMATO DE FRASCO],MATCH(Tabla_producción_serigrafia[[#This Row],[LOTE]],Tabla_control_serigrafia[LOTE],0)),"-")</f>
        <v>120 ML</v>
      </c>
      <c r="K43" t="str">
        <f>IFERROR(INDEX(Tabla_control_serigrafia[TIPO DE FRASCO],MATCH(Tabla_producción_serigrafia[[#This Row],[LOTE]],Tabla_control_serigrafia[LOTE],0)),"-")</f>
        <v>FRASCO BLANCO</v>
      </c>
      <c r="L43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43" s="3">
        <f>IFERROR(INDEX(Tabla_control_serigrafia[CANTIDAD PEDIDA],MATCH(Tabla_producción_serigrafia[[#This Row],[LOTE]],Tabla_control_serigrafia[LOTE],0)),"-")</f>
        <v>23529</v>
      </c>
      <c r="N43" s="21">
        <v>19700</v>
      </c>
      <c r="O43" s="3">
        <v>209</v>
      </c>
      <c r="P43" s="3" t="s">
        <v>62</v>
      </c>
      <c r="Q43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19700</v>
      </c>
      <c r="R43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26</v>
      </c>
      <c r="S43" t="s">
        <v>38</v>
      </c>
      <c r="T43" t="str">
        <f>UPPER(LEFT(TEXT(Tabla_producción_serigrafia[[#This Row],[FECHA]],"mmm"),3))</f>
        <v>ENE</v>
      </c>
      <c r="U43">
        <f>+Tabla_producción_serigrafia[[#This Row],[CANTIDAD PRODUCIDA]]+Tabla_producción_serigrafia[[#This Row],[CANTIDAD RECHAZADA]]</f>
        <v>19909</v>
      </c>
    </row>
    <row r="44" spans="1:21" x14ac:dyDescent="0.25">
      <c r="A44" s="10">
        <v>46051</v>
      </c>
      <c r="B44" s="10" t="s">
        <v>58</v>
      </c>
      <c r="C44" s="1" t="s">
        <v>75</v>
      </c>
      <c r="D44" s="9">
        <v>0.33333333333333331</v>
      </c>
      <c r="E44" s="20">
        <v>0.35416666666666669</v>
      </c>
      <c r="F44" s="15">
        <f t="shared" si="5"/>
        <v>0.5</v>
      </c>
      <c r="G44" s="7" t="s">
        <v>57</v>
      </c>
      <c r="H44" s="3" t="s">
        <v>38</v>
      </c>
      <c r="I44" s="7" t="str">
        <f>IFERROR(INDEX(Tabla_control_serigrafia[PRODUCTO],MATCH(Tabla_producción_serigrafia[[#This Row],[LOTE]],Tabla_control_serigrafia[LOTE],0)),"-")</f>
        <v>-</v>
      </c>
      <c r="J44" t="str">
        <f>IFERROR(INDEX(Tabla_control_serigrafia[FORMATO DE FRASCO],MATCH(Tabla_producción_serigrafia[[#This Row],[LOTE]],Tabla_control_serigrafia[LOTE],0)),"-")</f>
        <v>-</v>
      </c>
      <c r="K44" t="str">
        <f>IFERROR(INDEX(Tabla_control_serigrafia[TIPO DE FRASCO],MATCH(Tabla_producción_serigrafia[[#This Row],[LOTE]],Tabla_control_serigrafia[LOTE],0)),"-")</f>
        <v>-</v>
      </c>
      <c r="L44" t="str">
        <f>IF(Tabla_producción_serigrafia[[#This Row],[ACCIÓN]]="PRODUCCIÓN",Tabla_producción_serigrafia[[#This Row],[FORMATO DE FRASCO]]&amp;" "&amp;Tabla_producción_serigrafia[[#This Row],[TIPO DE FRASCO]],"-")</f>
        <v>-</v>
      </c>
      <c r="M44" s="3" t="str">
        <f>IFERROR(INDEX(Tabla_control_serigrafia[CANTIDAD PEDIDA],MATCH(Tabla_producción_serigrafia[[#This Row],[LOTE]],Tabla_control_serigrafia[LOTE],0)),"-")</f>
        <v>-</v>
      </c>
      <c r="N44" s="21">
        <v>0</v>
      </c>
      <c r="O44" s="3">
        <v>0</v>
      </c>
      <c r="P44" s="3">
        <v>0</v>
      </c>
      <c r="Q44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44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44" t="s">
        <v>38</v>
      </c>
      <c r="T44" t="str">
        <f>UPPER(LEFT(TEXT(Tabla_producción_serigrafia[[#This Row],[FECHA]],"mmm"),3))</f>
        <v>ENE</v>
      </c>
      <c r="U44">
        <f>+Tabla_producción_serigrafia[[#This Row],[CANTIDAD PRODUCIDA]]+Tabla_producción_serigrafia[[#This Row],[CANTIDAD RECHAZADA]]</f>
        <v>0</v>
      </c>
    </row>
    <row r="45" spans="1:21" x14ac:dyDescent="0.25">
      <c r="A45" s="10">
        <v>46051</v>
      </c>
      <c r="B45" s="10" t="s">
        <v>58</v>
      </c>
      <c r="C45" s="1" t="s">
        <v>75</v>
      </c>
      <c r="D45" s="9">
        <v>0.35416666666666669</v>
      </c>
      <c r="E45" s="20">
        <v>0.70833333333333337</v>
      </c>
      <c r="F45" s="15">
        <f t="shared" si="5"/>
        <v>8.5</v>
      </c>
      <c r="G45" s="7" t="s">
        <v>56</v>
      </c>
      <c r="H45" s="3">
        <v>12660</v>
      </c>
      <c r="I45" s="7" t="str">
        <f>IFERROR(INDEX(Tabla_control_serigrafia[PRODUCTO],MATCH(Tabla_producción_serigrafia[[#This Row],[LOTE]],Tabla_control_serigrafia[LOTE],0)),"-")</f>
        <v>CODEINA 10 MG X 100 ML JARABE</v>
      </c>
      <c r="J45" t="str">
        <f>IFERROR(INDEX(Tabla_control_serigrafia[FORMATO DE FRASCO],MATCH(Tabla_producción_serigrafia[[#This Row],[LOTE]],Tabla_control_serigrafia[LOTE],0)),"-")</f>
        <v>120 ML</v>
      </c>
      <c r="K45" t="str">
        <f>IFERROR(INDEX(Tabla_control_serigrafia[TIPO DE FRASCO],MATCH(Tabla_producción_serigrafia[[#This Row],[LOTE]],Tabla_control_serigrafia[LOTE],0)),"-")</f>
        <v>FRASCO BLANCO</v>
      </c>
      <c r="L45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45" s="3">
        <f>IFERROR(INDEX(Tabla_control_serigrafia[CANTIDAD PEDIDA],MATCH(Tabla_producción_serigrafia[[#This Row],[LOTE]],Tabla_control_serigrafia[LOTE],0)),"-")</f>
        <v>29703</v>
      </c>
      <c r="N45" s="21">
        <v>20000</v>
      </c>
      <c r="O45" s="3">
        <v>0</v>
      </c>
      <c r="P45" s="3" t="s">
        <v>66</v>
      </c>
      <c r="Q45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20000</v>
      </c>
      <c r="R45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45" t="s">
        <v>38</v>
      </c>
      <c r="T45" t="str">
        <f>UPPER(LEFT(TEXT(Tabla_producción_serigrafia[[#This Row],[FECHA]],"mmm"),3))</f>
        <v>ENE</v>
      </c>
      <c r="U45">
        <f>+Tabla_producción_serigrafia[[#This Row],[CANTIDAD PRODUCIDA]]+Tabla_producción_serigrafia[[#This Row],[CANTIDAD RECHAZADA]]</f>
        <v>20000</v>
      </c>
    </row>
    <row r="46" spans="1:21" x14ac:dyDescent="0.25">
      <c r="A46" s="10">
        <v>46052</v>
      </c>
      <c r="B46" s="10" t="s">
        <v>58</v>
      </c>
      <c r="C46" s="1" t="s">
        <v>75</v>
      </c>
      <c r="D46" s="9">
        <v>0.33333333333333331</v>
      </c>
      <c r="E46" s="20">
        <v>0.35069444444444442</v>
      </c>
      <c r="F46" s="15">
        <f t="shared" si="5"/>
        <v>0.42</v>
      </c>
      <c r="G46" s="7" t="s">
        <v>57</v>
      </c>
      <c r="H46" s="3" t="s">
        <v>38</v>
      </c>
      <c r="I46" s="7" t="str">
        <f>IFERROR(INDEX(Tabla_control_serigrafia[PRODUCTO],MATCH(Tabla_producción_serigrafia[[#This Row],[LOTE]],Tabla_control_serigrafia[LOTE],0)),"-")</f>
        <v>-</v>
      </c>
      <c r="J46" t="str">
        <f>IFERROR(INDEX(Tabla_control_serigrafia[FORMATO DE FRASCO],MATCH(Tabla_producción_serigrafia[[#This Row],[LOTE]],Tabla_control_serigrafia[LOTE],0)),"-")</f>
        <v>-</v>
      </c>
      <c r="K46" t="str">
        <f>IFERROR(INDEX(Tabla_control_serigrafia[TIPO DE FRASCO],MATCH(Tabla_producción_serigrafia[[#This Row],[LOTE]],Tabla_control_serigrafia[LOTE],0)),"-")</f>
        <v>-</v>
      </c>
      <c r="L46" t="str">
        <f>IF(Tabla_producción_serigrafia[[#This Row],[ACCIÓN]]="PRODUCCIÓN",Tabla_producción_serigrafia[[#This Row],[FORMATO DE FRASCO]]&amp;" "&amp;Tabla_producción_serigrafia[[#This Row],[TIPO DE FRASCO]],"-")</f>
        <v>-</v>
      </c>
      <c r="M46" s="3" t="str">
        <f>IFERROR(INDEX(Tabla_control_serigrafia[CANTIDAD PEDIDA],MATCH(Tabla_producción_serigrafia[[#This Row],[LOTE]],Tabla_control_serigrafia[LOTE],0)),"-")</f>
        <v>-</v>
      </c>
      <c r="N46" s="21">
        <v>0</v>
      </c>
      <c r="O46" s="3">
        <v>0</v>
      </c>
      <c r="P46" s="3">
        <v>0</v>
      </c>
      <c r="Q46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46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46" t="s">
        <v>38</v>
      </c>
      <c r="T46" t="str">
        <f>UPPER(LEFT(TEXT(Tabla_producción_serigrafia[[#This Row],[FECHA]],"mmm"),3))</f>
        <v>ENE</v>
      </c>
      <c r="U46">
        <f>+Tabla_producción_serigrafia[[#This Row],[CANTIDAD PRODUCIDA]]+Tabla_producción_serigrafia[[#This Row],[CANTIDAD RECHAZADA]]</f>
        <v>0</v>
      </c>
    </row>
    <row r="47" spans="1:21" x14ac:dyDescent="0.25">
      <c r="A47" s="10">
        <v>46052</v>
      </c>
      <c r="B47" s="10" t="s">
        <v>58</v>
      </c>
      <c r="C47" s="1" t="s">
        <v>75</v>
      </c>
      <c r="D47" s="9">
        <v>0.35069444444444442</v>
      </c>
      <c r="E47" s="20">
        <v>0.50694444444444442</v>
      </c>
      <c r="F47" s="15">
        <f t="shared" si="5"/>
        <v>3.75</v>
      </c>
      <c r="G47" s="7" t="s">
        <v>56</v>
      </c>
      <c r="H47" s="3">
        <v>12660</v>
      </c>
      <c r="I47" s="7" t="str">
        <f>IFERROR(INDEX(Tabla_control_serigrafia[PRODUCTO],MATCH(Tabla_producción_serigrafia[[#This Row],[LOTE]],Tabla_control_serigrafia[LOTE],0)),"-")</f>
        <v>CODEINA 10 MG X 100 ML JARABE</v>
      </c>
      <c r="J47" t="str">
        <f>IFERROR(INDEX(Tabla_control_serigrafia[FORMATO DE FRASCO],MATCH(Tabla_producción_serigrafia[[#This Row],[LOTE]],Tabla_control_serigrafia[LOTE],0)),"-")</f>
        <v>120 ML</v>
      </c>
      <c r="K47" t="str">
        <f>IFERROR(INDEX(Tabla_control_serigrafia[TIPO DE FRASCO],MATCH(Tabla_producción_serigrafia[[#This Row],[LOTE]],Tabla_control_serigrafia[LOTE],0)),"-")</f>
        <v>FRASCO BLANCO</v>
      </c>
      <c r="L47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47" s="3">
        <f>IFERROR(INDEX(Tabla_control_serigrafia[CANTIDAD PEDIDA],MATCH(Tabla_producción_serigrafia[[#This Row],[LOTE]],Tabla_control_serigrafia[LOTE],0)),"-")</f>
        <v>29703</v>
      </c>
      <c r="N47" s="21">
        <v>9903</v>
      </c>
      <c r="O47" s="3">
        <v>200</v>
      </c>
      <c r="P47" s="3" t="s">
        <v>62</v>
      </c>
      <c r="Q47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9903</v>
      </c>
      <c r="R47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28</v>
      </c>
      <c r="S47" t="s">
        <v>38</v>
      </c>
      <c r="T47" t="str">
        <f>UPPER(LEFT(TEXT(Tabla_producción_serigrafia[[#This Row],[FECHA]],"mmm"),3))</f>
        <v>ENE</v>
      </c>
      <c r="U47">
        <f>+Tabla_producción_serigrafia[[#This Row],[CANTIDAD PRODUCIDA]]+Tabla_producción_serigrafia[[#This Row],[CANTIDAD RECHAZADA]]</f>
        <v>10103</v>
      </c>
    </row>
    <row r="48" spans="1:21" x14ac:dyDescent="0.25">
      <c r="A48" s="10">
        <v>46052</v>
      </c>
      <c r="B48" s="10" t="s">
        <v>58</v>
      </c>
      <c r="C48" s="1" t="s">
        <v>75</v>
      </c>
      <c r="D48" s="9">
        <v>0.50694444444444442</v>
      </c>
      <c r="E48" s="20">
        <v>0.52083333333333337</v>
      </c>
      <c r="F48" s="15">
        <f t="shared" si="5"/>
        <v>0.33</v>
      </c>
      <c r="G48" s="7" t="s">
        <v>57</v>
      </c>
      <c r="H48" s="3" t="s">
        <v>38</v>
      </c>
      <c r="I48" s="7" t="str">
        <f>IFERROR(INDEX(Tabla_control_serigrafia[PRODUCTO],MATCH(Tabla_producción_serigrafia[[#This Row],[LOTE]],Tabla_control_serigrafia[LOTE],0)),"-")</f>
        <v>-</v>
      </c>
      <c r="J48" t="str">
        <f>IFERROR(INDEX(Tabla_control_serigrafia[FORMATO DE FRASCO],MATCH(Tabla_producción_serigrafia[[#This Row],[LOTE]],Tabla_control_serigrafia[LOTE],0)),"-")</f>
        <v>-</v>
      </c>
      <c r="K48" t="str">
        <f>IFERROR(INDEX(Tabla_control_serigrafia[TIPO DE FRASCO],MATCH(Tabla_producción_serigrafia[[#This Row],[LOTE]],Tabla_control_serigrafia[LOTE],0)),"-")</f>
        <v>-</v>
      </c>
      <c r="L48" t="str">
        <f>IF(Tabla_producción_serigrafia[[#This Row],[ACCIÓN]]="PRODUCCIÓN",Tabla_producción_serigrafia[[#This Row],[FORMATO DE FRASCO]]&amp;" "&amp;Tabla_producción_serigrafia[[#This Row],[TIPO DE FRASCO]],"-")</f>
        <v>-</v>
      </c>
      <c r="M48" s="3" t="str">
        <f>IFERROR(INDEX(Tabla_control_serigrafia[CANTIDAD PEDIDA],MATCH(Tabla_producción_serigrafia[[#This Row],[LOTE]],Tabla_control_serigrafia[LOTE],0)),"-")</f>
        <v>-</v>
      </c>
      <c r="N48" s="21">
        <v>0</v>
      </c>
      <c r="O48" s="3">
        <v>0</v>
      </c>
      <c r="P48" s="3">
        <v>0</v>
      </c>
      <c r="Q48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48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48" t="s">
        <v>38</v>
      </c>
      <c r="T48" t="str">
        <f>UPPER(LEFT(TEXT(Tabla_producción_serigrafia[[#This Row],[FECHA]],"mmm"),3))</f>
        <v>ENE</v>
      </c>
      <c r="U48">
        <f>+Tabla_producción_serigrafia[[#This Row],[CANTIDAD PRODUCIDA]]+Tabla_producción_serigrafia[[#This Row],[CANTIDAD RECHAZADA]]</f>
        <v>0</v>
      </c>
    </row>
    <row r="49" spans="1:21" x14ac:dyDescent="0.25">
      <c r="A49" s="10">
        <v>46052</v>
      </c>
      <c r="B49" s="10" t="s">
        <v>58</v>
      </c>
      <c r="C49" s="1" t="s">
        <v>75</v>
      </c>
      <c r="D49" s="9">
        <v>0.52083333333333337</v>
      </c>
      <c r="E49" s="20">
        <v>0.70833333333333337</v>
      </c>
      <c r="F49" s="15">
        <f t="shared" si="5"/>
        <v>4.5</v>
      </c>
      <c r="G49" s="7" t="s">
        <v>56</v>
      </c>
      <c r="H49" s="3">
        <v>12685</v>
      </c>
      <c r="I49" s="7" t="str">
        <f>IFERROR(INDEX(Tabla_control_serigrafia[PRODUCTO],MATCH(Tabla_producción_serigrafia[[#This Row],[LOTE]],Tabla_control_serigrafia[LOTE],0)),"-")</f>
        <v>METRONIDAZOL 250 MG X 100 ML SUSP.</v>
      </c>
      <c r="J49" t="str">
        <f>IFERROR(INDEX(Tabla_control_serigrafia[FORMATO DE FRASCO],MATCH(Tabla_producción_serigrafia[[#This Row],[LOTE]],Tabla_control_serigrafia[LOTE],0)),"-")</f>
        <v>120 ML</v>
      </c>
      <c r="K49" t="str">
        <f>IFERROR(INDEX(Tabla_control_serigrafia[TIPO DE FRASCO],MATCH(Tabla_producción_serigrafia[[#This Row],[LOTE]],Tabla_control_serigrafia[LOTE],0)),"-")</f>
        <v>FRASCO BLANCO</v>
      </c>
      <c r="L49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49" s="3">
        <f>IFERROR(INDEX(Tabla_control_serigrafia[CANTIDAD PEDIDA],MATCH(Tabla_producción_serigrafia[[#This Row],[LOTE]],Tabla_control_serigrafia[LOTE],0)),"-")</f>
        <v>14706</v>
      </c>
      <c r="N49" s="21">
        <v>10500</v>
      </c>
      <c r="O49" s="3">
        <v>0</v>
      </c>
      <c r="P49" s="3" t="s">
        <v>66</v>
      </c>
      <c r="Q49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10500</v>
      </c>
      <c r="R49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49" t="s">
        <v>38</v>
      </c>
      <c r="T49" t="str">
        <f>UPPER(LEFT(TEXT(Tabla_producción_serigrafia[[#This Row],[FECHA]],"mmm"),3))</f>
        <v>ENE</v>
      </c>
      <c r="U49">
        <f>+Tabla_producción_serigrafia[[#This Row],[CANTIDAD PRODUCIDA]]+Tabla_producción_serigrafia[[#This Row],[CANTIDAD RECHAZADA]]</f>
        <v>10500</v>
      </c>
    </row>
    <row r="50" spans="1:21" x14ac:dyDescent="0.25">
      <c r="A50" s="10">
        <v>46055</v>
      </c>
      <c r="B50" s="10" t="s">
        <v>58</v>
      </c>
      <c r="C50" s="1" t="s">
        <v>75</v>
      </c>
      <c r="D50" s="9">
        <v>0.33333333333333331</v>
      </c>
      <c r="E50" s="20">
        <v>0.35416666666666669</v>
      </c>
      <c r="F50" s="15">
        <f>ROUND((E50-D50)*24,2)</f>
        <v>0.5</v>
      </c>
      <c r="G50" s="7" t="s">
        <v>57</v>
      </c>
      <c r="H50" s="3" t="s">
        <v>38</v>
      </c>
      <c r="I50" s="7" t="str">
        <f>IFERROR(INDEX(Tabla_control_serigrafia[PRODUCTO],MATCH(Tabla_producción_serigrafia[[#This Row],[LOTE]],Tabla_control_serigrafia[LOTE],0)),"-")</f>
        <v>-</v>
      </c>
      <c r="J50" t="str">
        <f>IFERROR(INDEX(Tabla_control_serigrafia[FORMATO DE FRASCO],MATCH(Tabla_producción_serigrafia[[#This Row],[LOTE]],Tabla_control_serigrafia[LOTE],0)),"-")</f>
        <v>-</v>
      </c>
      <c r="K50" t="str">
        <f>IFERROR(INDEX(Tabla_control_serigrafia[TIPO DE FRASCO],MATCH(Tabla_producción_serigrafia[[#This Row],[LOTE]],Tabla_control_serigrafia[LOTE],0)),"-")</f>
        <v>-</v>
      </c>
      <c r="L50" t="str">
        <f>IF(Tabla_producción_serigrafia[[#This Row],[ACCIÓN]]="PRODUCCIÓN",Tabla_producción_serigrafia[[#This Row],[FORMATO DE FRASCO]]&amp;" "&amp;Tabla_producción_serigrafia[[#This Row],[TIPO DE FRASCO]],"-")</f>
        <v>-</v>
      </c>
      <c r="M50" s="3" t="str">
        <f>IFERROR(INDEX(Tabla_control_serigrafia[CANTIDAD PEDIDA],MATCH(Tabla_producción_serigrafia[[#This Row],[LOTE]],Tabla_control_serigrafia[LOTE],0)),"-")</f>
        <v>-</v>
      </c>
      <c r="N50" s="21">
        <v>0</v>
      </c>
      <c r="O50" s="3">
        <v>0</v>
      </c>
      <c r="P50" s="3">
        <v>0</v>
      </c>
      <c r="Q50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50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50" t="s">
        <v>38</v>
      </c>
      <c r="T50" t="str">
        <f>UPPER(LEFT(TEXT(Tabla_producción_serigrafia[[#This Row],[FECHA]],"mmm"),3))</f>
        <v>FEB</v>
      </c>
      <c r="U50">
        <f>+Tabla_producción_serigrafia[[#This Row],[CANTIDAD PRODUCIDA]]+Tabla_producción_serigrafia[[#This Row],[CANTIDAD RECHAZADA]]</f>
        <v>0</v>
      </c>
    </row>
    <row r="51" spans="1:21" x14ac:dyDescent="0.25">
      <c r="A51" s="10">
        <v>46055</v>
      </c>
      <c r="B51" s="10" t="s">
        <v>58</v>
      </c>
      <c r="C51" s="1" t="s">
        <v>75</v>
      </c>
      <c r="D51" s="9">
        <v>0.35416666666666669</v>
      </c>
      <c r="E51" s="20">
        <v>0.4375</v>
      </c>
      <c r="F51" s="15">
        <f t="shared" ref="F51:F56" si="6">ROUND((E51-D51)*24,2)</f>
        <v>2</v>
      </c>
      <c r="G51" s="7" t="s">
        <v>56</v>
      </c>
      <c r="H51" s="3">
        <v>12685</v>
      </c>
      <c r="I51" s="7" t="str">
        <f>IFERROR(INDEX(Tabla_control_serigrafia[PRODUCTO],MATCH(Tabla_producción_serigrafia[[#This Row],[LOTE]],Tabla_control_serigrafia[LOTE],0)),"-")</f>
        <v>METRONIDAZOL 250 MG X 100 ML SUSP.</v>
      </c>
      <c r="J51" t="str">
        <f>IFERROR(INDEX(Tabla_control_serigrafia[FORMATO DE FRASCO],MATCH(Tabla_producción_serigrafia[[#This Row],[LOTE]],Tabla_control_serigrafia[LOTE],0)),"-")</f>
        <v>120 ML</v>
      </c>
      <c r="K51" t="str">
        <f>IFERROR(INDEX(Tabla_control_serigrafia[TIPO DE FRASCO],MATCH(Tabla_producción_serigrafia[[#This Row],[LOTE]],Tabla_control_serigrafia[LOTE],0)),"-")</f>
        <v>FRASCO BLANCO</v>
      </c>
      <c r="L51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51" s="3">
        <f>IFERROR(INDEX(Tabla_control_serigrafia[CANTIDAD PEDIDA],MATCH(Tabla_producción_serigrafia[[#This Row],[LOTE]],Tabla_control_serigrafia[LOTE],0)),"-")</f>
        <v>14706</v>
      </c>
      <c r="N51" s="21">
        <v>4306</v>
      </c>
      <c r="O51" s="3">
        <v>133</v>
      </c>
      <c r="P51" s="3" t="s">
        <v>62</v>
      </c>
      <c r="Q51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4306</v>
      </c>
      <c r="R51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31</v>
      </c>
      <c r="S51" t="s">
        <v>38</v>
      </c>
      <c r="T51" t="str">
        <f>UPPER(LEFT(TEXT(Tabla_producción_serigrafia[[#This Row],[FECHA]],"mmm"),3))</f>
        <v>FEB</v>
      </c>
      <c r="U51">
        <f>+Tabla_producción_serigrafia[[#This Row],[CANTIDAD PRODUCIDA]]+Tabla_producción_serigrafia[[#This Row],[CANTIDAD RECHAZADA]]</f>
        <v>4439</v>
      </c>
    </row>
    <row r="52" spans="1:21" x14ac:dyDescent="0.25">
      <c r="A52" s="10">
        <v>46055</v>
      </c>
      <c r="B52" s="10" t="s">
        <v>58</v>
      </c>
      <c r="C52" s="1" t="s">
        <v>75</v>
      </c>
      <c r="D52" s="9">
        <v>0.4375</v>
      </c>
      <c r="E52" s="20">
        <v>0.45833333333333331</v>
      </c>
      <c r="F52" s="15">
        <f t="shared" si="6"/>
        <v>0.5</v>
      </c>
      <c r="G52" s="7" t="s">
        <v>57</v>
      </c>
      <c r="H52" s="3" t="s">
        <v>38</v>
      </c>
      <c r="I52" s="7" t="str">
        <f>IFERROR(INDEX(Tabla_control_serigrafia[PRODUCTO],MATCH(Tabla_producción_serigrafia[[#This Row],[LOTE]],Tabla_control_serigrafia[LOTE],0)),"-")</f>
        <v>-</v>
      </c>
      <c r="J52" t="str">
        <f>IFERROR(INDEX(Tabla_control_serigrafia[FORMATO DE FRASCO],MATCH(Tabla_producción_serigrafia[[#This Row],[LOTE]],Tabla_control_serigrafia[LOTE],0)),"-")</f>
        <v>-</v>
      </c>
      <c r="K52" t="str">
        <f>IFERROR(INDEX(Tabla_control_serigrafia[TIPO DE FRASCO],MATCH(Tabla_producción_serigrafia[[#This Row],[LOTE]],Tabla_control_serigrafia[LOTE],0)),"-")</f>
        <v>-</v>
      </c>
      <c r="L52" t="str">
        <f>IF(Tabla_producción_serigrafia[[#This Row],[ACCIÓN]]="PRODUCCIÓN",Tabla_producción_serigrafia[[#This Row],[FORMATO DE FRASCO]]&amp;" "&amp;Tabla_producción_serigrafia[[#This Row],[TIPO DE FRASCO]],"-")</f>
        <v>-</v>
      </c>
      <c r="M52" s="3" t="str">
        <f>IFERROR(INDEX(Tabla_control_serigrafia[CANTIDAD PEDIDA],MATCH(Tabla_producción_serigrafia[[#This Row],[LOTE]],Tabla_control_serigrafia[LOTE],0)),"-")</f>
        <v>-</v>
      </c>
      <c r="N52" s="21">
        <v>0</v>
      </c>
      <c r="O52" s="3">
        <v>0</v>
      </c>
      <c r="P52" s="3">
        <v>0</v>
      </c>
      <c r="Q52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52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52" t="s">
        <v>38</v>
      </c>
      <c r="T52" t="str">
        <f>UPPER(LEFT(TEXT(Tabla_producción_serigrafia[[#This Row],[FECHA]],"mmm"),3))</f>
        <v>FEB</v>
      </c>
      <c r="U52">
        <f>+Tabla_producción_serigrafia[[#This Row],[CANTIDAD PRODUCIDA]]+Tabla_producción_serigrafia[[#This Row],[CANTIDAD RECHAZADA]]</f>
        <v>0</v>
      </c>
    </row>
    <row r="53" spans="1:21" x14ac:dyDescent="0.25">
      <c r="A53" s="10">
        <v>46055</v>
      </c>
      <c r="B53" s="10" t="s">
        <v>58</v>
      </c>
      <c r="C53" s="1" t="s">
        <v>75</v>
      </c>
      <c r="D53" s="9">
        <v>0.45833333333333331</v>
      </c>
      <c r="E53" s="20">
        <v>0.5</v>
      </c>
      <c r="F53" s="15">
        <f t="shared" si="6"/>
        <v>1</v>
      </c>
      <c r="G53" s="7" t="s">
        <v>56</v>
      </c>
      <c r="H53" s="3">
        <v>12662</v>
      </c>
      <c r="I53" s="7" t="str">
        <f>IFERROR(INDEX(Tabla_control_serigrafia[PRODUCTO],MATCH(Tabla_producción_serigrafia[[#This Row],[LOTE]],Tabla_control_serigrafia[LOTE],0)),"-")</f>
        <v>SARNOL 20% X 100 ML LOCION</v>
      </c>
      <c r="J53" t="str">
        <f>IFERROR(INDEX(Tabla_control_serigrafia[FORMATO DE FRASCO],MATCH(Tabla_producción_serigrafia[[#This Row],[LOTE]],Tabla_control_serigrafia[LOTE],0)),"-")</f>
        <v>120 ML</v>
      </c>
      <c r="K53" t="str">
        <f>IFERROR(INDEX(Tabla_control_serigrafia[TIPO DE FRASCO],MATCH(Tabla_producción_serigrafia[[#This Row],[LOTE]],Tabla_control_serigrafia[LOTE],0)),"-")</f>
        <v>FRASCO NATURAL</v>
      </c>
      <c r="L53" t="str">
        <f>IF(Tabla_producción_serigrafia[[#This Row],[ACCIÓN]]="PRODUCCIÓN",Tabla_producción_serigrafia[[#This Row],[FORMATO DE FRASCO]]&amp;" "&amp;Tabla_producción_serigrafia[[#This Row],[TIPO DE FRASCO]],"-")</f>
        <v>120 ML FRASCO NATURAL</v>
      </c>
      <c r="M53" s="3">
        <f>IFERROR(INDEX(Tabla_control_serigrafia[CANTIDAD PEDIDA],MATCH(Tabla_producción_serigrafia[[#This Row],[LOTE]],Tabla_control_serigrafia[LOTE],0)),"-")</f>
        <v>2000</v>
      </c>
      <c r="N53" s="21">
        <v>2100</v>
      </c>
      <c r="O53" s="3">
        <v>60</v>
      </c>
      <c r="P53" s="3" t="s">
        <v>62</v>
      </c>
      <c r="Q53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2100</v>
      </c>
      <c r="R53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31</v>
      </c>
      <c r="S53" t="s">
        <v>38</v>
      </c>
      <c r="T53" t="str">
        <f>UPPER(LEFT(TEXT(Tabla_producción_serigrafia[[#This Row],[FECHA]],"mmm"),3))</f>
        <v>FEB</v>
      </c>
      <c r="U53">
        <f>+Tabla_producción_serigrafia[[#This Row],[CANTIDAD PRODUCIDA]]+Tabla_producción_serigrafia[[#This Row],[CANTIDAD RECHAZADA]]</f>
        <v>2160</v>
      </c>
    </row>
    <row r="54" spans="1:21" x14ac:dyDescent="0.25">
      <c r="A54" s="10">
        <v>46055</v>
      </c>
      <c r="B54" s="10" t="s">
        <v>58</v>
      </c>
      <c r="C54" s="1" t="s">
        <v>75</v>
      </c>
      <c r="D54" s="9">
        <v>0.5</v>
      </c>
      <c r="E54" s="20">
        <v>0.51388888888888895</v>
      </c>
      <c r="F54" s="15">
        <f t="shared" si="6"/>
        <v>0.33</v>
      </c>
      <c r="G54" s="7" t="s">
        <v>57</v>
      </c>
      <c r="H54" s="3" t="s">
        <v>38</v>
      </c>
      <c r="I54" s="7" t="str">
        <f>IFERROR(INDEX(Tabla_control_serigrafia[PRODUCTO],MATCH(Tabla_producción_serigrafia[[#This Row],[LOTE]],Tabla_control_serigrafia[LOTE],0)),"-")</f>
        <v>-</v>
      </c>
      <c r="J54" t="str">
        <f>IFERROR(INDEX(Tabla_control_serigrafia[FORMATO DE FRASCO],MATCH(Tabla_producción_serigrafia[[#This Row],[LOTE]],Tabla_control_serigrafia[LOTE],0)),"-")</f>
        <v>-</v>
      </c>
      <c r="K54" t="str">
        <f>IFERROR(INDEX(Tabla_control_serigrafia[TIPO DE FRASCO],MATCH(Tabla_producción_serigrafia[[#This Row],[LOTE]],Tabla_control_serigrafia[LOTE],0)),"-")</f>
        <v>-</v>
      </c>
      <c r="L54" t="str">
        <f>IF(Tabla_producción_serigrafia[[#This Row],[ACCIÓN]]="PRODUCCIÓN",Tabla_producción_serigrafia[[#This Row],[FORMATO DE FRASCO]]&amp;" "&amp;Tabla_producción_serigrafia[[#This Row],[TIPO DE FRASCO]],"-")</f>
        <v>-</v>
      </c>
      <c r="M54" s="3" t="str">
        <f>IFERROR(INDEX(Tabla_control_serigrafia[CANTIDAD PEDIDA],MATCH(Tabla_producción_serigrafia[[#This Row],[LOTE]],Tabla_control_serigrafia[LOTE],0)),"-")</f>
        <v>-</v>
      </c>
      <c r="N54" s="21">
        <v>0</v>
      </c>
      <c r="O54" s="3">
        <v>0</v>
      </c>
      <c r="P54" s="3">
        <v>0</v>
      </c>
      <c r="Q54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54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54" t="s">
        <v>38</v>
      </c>
      <c r="T54" t="str">
        <f>UPPER(LEFT(TEXT(Tabla_producción_serigrafia[[#This Row],[FECHA]],"mmm"),3))</f>
        <v>FEB</v>
      </c>
      <c r="U54">
        <f>+Tabla_producción_serigrafia[[#This Row],[CANTIDAD PRODUCIDA]]+Tabla_producción_serigrafia[[#This Row],[CANTIDAD RECHAZADA]]</f>
        <v>0</v>
      </c>
    </row>
    <row r="55" spans="1:21" x14ac:dyDescent="0.25">
      <c r="A55" s="10">
        <v>46055</v>
      </c>
      <c r="B55" s="10" t="s">
        <v>58</v>
      </c>
      <c r="C55" s="1" t="s">
        <v>75</v>
      </c>
      <c r="D55" s="9">
        <v>0.51388888888888895</v>
      </c>
      <c r="E55" s="20">
        <v>0.60416666666666663</v>
      </c>
      <c r="F55" s="15">
        <f t="shared" si="6"/>
        <v>2.17</v>
      </c>
      <c r="G55" s="7" t="s">
        <v>56</v>
      </c>
      <c r="H55" s="3">
        <v>12663</v>
      </c>
      <c r="I55" s="7" t="str">
        <f>IFERROR(INDEX(Tabla_control_serigrafia[PRODUCTO],MATCH(Tabla_producción_serigrafia[[#This Row],[LOTE]],Tabla_control_serigrafia[LOTE],0)),"-")</f>
        <v>SARNOL 20% X 100 ML LOCION</v>
      </c>
      <c r="J55" t="str">
        <f>IFERROR(INDEX(Tabla_control_serigrafia[FORMATO DE FRASCO],MATCH(Tabla_producción_serigrafia[[#This Row],[LOTE]],Tabla_control_serigrafia[LOTE],0)),"-")</f>
        <v>120 ML</v>
      </c>
      <c r="K55" t="str">
        <f>IFERROR(INDEX(Tabla_control_serigrafia[TIPO DE FRASCO],MATCH(Tabla_producción_serigrafia[[#This Row],[LOTE]],Tabla_control_serigrafia[LOTE],0)),"-")</f>
        <v>FRASCO NATURAL</v>
      </c>
      <c r="L55" t="str">
        <f>IF(Tabla_producción_serigrafia[[#This Row],[ACCIÓN]]="PRODUCCIÓN",Tabla_producción_serigrafia[[#This Row],[FORMATO DE FRASCO]]&amp;" "&amp;Tabla_producción_serigrafia[[#This Row],[TIPO DE FRASCO]],"-")</f>
        <v>120 ML FRASCO NATURAL</v>
      </c>
      <c r="M55" s="3">
        <f>IFERROR(INDEX(Tabla_control_serigrafia[CANTIDAD PEDIDA],MATCH(Tabla_producción_serigrafia[[#This Row],[LOTE]],Tabla_control_serigrafia[LOTE],0)),"-")</f>
        <v>6000</v>
      </c>
      <c r="N55" s="21">
        <v>6100</v>
      </c>
      <c r="O55" s="3">
        <v>70</v>
      </c>
      <c r="P55" s="3" t="s">
        <v>62</v>
      </c>
      <c r="Q55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6100</v>
      </c>
      <c r="R55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31</v>
      </c>
      <c r="S55" t="s">
        <v>38</v>
      </c>
      <c r="T55" t="str">
        <f>UPPER(LEFT(TEXT(Tabla_producción_serigrafia[[#This Row],[FECHA]],"mmm"),3))</f>
        <v>FEB</v>
      </c>
      <c r="U55">
        <f>+Tabla_producción_serigrafia[[#This Row],[CANTIDAD PRODUCIDA]]+Tabla_producción_serigrafia[[#This Row],[CANTIDAD RECHAZADA]]</f>
        <v>6170</v>
      </c>
    </row>
    <row r="56" spans="1:21" x14ac:dyDescent="0.25">
      <c r="A56" s="10">
        <v>46055</v>
      </c>
      <c r="B56" s="10" t="s">
        <v>58</v>
      </c>
      <c r="C56" s="1" t="s">
        <v>75</v>
      </c>
      <c r="D56" s="9">
        <v>0.61111111111111105</v>
      </c>
      <c r="E56" s="20">
        <v>0.71527777777777779</v>
      </c>
      <c r="F56" s="15">
        <f t="shared" si="6"/>
        <v>2.5</v>
      </c>
      <c r="G56" s="7" t="s">
        <v>56</v>
      </c>
      <c r="H56" s="3">
        <v>12664</v>
      </c>
      <c r="I56" s="7" t="str">
        <f>IFERROR(INDEX(Tabla_control_serigrafia[PRODUCTO],MATCH(Tabla_producción_serigrafia[[#This Row],[LOTE]],Tabla_control_serigrafia[LOTE],0)),"-")</f>
        <v>SARNOL 20% X 100 ML LOCION</v>
      </c>
      <c r="J56" t="str">
        <f>IFERROR(INDEX(Tabla_control_serigrafia[FORMATO DE FRASCO],MATCH(Tabla_producción_serigrafia[[#This Row],[LOTE]],Tabla_control_serigrafia[LOTE],0)),"-")</f>
        <v>120 ML</v>
      </c>
      <c r="K56" t="str">
        <f>IFERROR(INDEX(Tabla_control_serigrafia[TIPO DE FRASCO],MATCH(Tabla_producción_serigrafia[[#This Row],[LOTE]],Tabla_control_serigrafia[LOTE],0)),"-")</f>
        <v>FRASCO NATURAL</v>
      </c>
      <c r="L56" t="str">
        <f>IF(Tabla_producción_serigrafia[[#This Row],[ACCIÓN]]="PRODUCCIÓN",Tabla_producción_serigrafia[[#This Row],[FORMATO DE FRASCO]]&amp;" "&amp;Tabla_producción_serigrafia[[#This Row],[TIPO DE FRASCO]],"-")</f>
        <v>120 ML FRASCO NATURAL</v>
      </c>
      <c r="M56" s="3">
        <f>IFERROR(INDEX(Tabla_control_serigrafia[CANTIDAD PEDIDA],MATCH(Tabla_producción_serigrafia[[#This Row],[LOTE]],Tabla_control_serigrafia[LOTE],0)),"-")</f>
        <v>6000</v>
      </c>
      <c r="N56" s="21">
        <v>6100</v>
      </c>
      <c r="O56" s="3">
        <v>66</v>
      </c>
      <c r="P56" s="3" t="s">
        <v>62</v>
      </c>
      <c r="Q56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6100</v>
      </c>
      <c r="R56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31</v>
      </c>
      <c r="S56" t="s">
        <v>38</v>
      </c>
      <c r="T56" t="str">
        <f>UPPER(LEFT(TEXT(Tabla_producción_serigrafia[[#This Row],[FECHA]],"mmm"),3))</f>
        <v>FEB</v>
      </c>
      <c r="U56">
        <f>+Tabla_producción_serigrafia[[#This Row],[CANTIDAD PRODUCIDA]]+Tabla_producción_serigrafia[[#This Row],[CANTIDAD RECHAZADA]]</f>
        <v>6166</v>
      </c>
    </row>
    <row r="57" spans="1:21" x14ac:dyDescent="0.25">
      <c r="A57" s="10">
        <v>46056</v>
      </c>
      <c r="B57" s="10" t="s">
        <v>58</v>
      </c>
      <c r="C57" s="1" t="s">
        <v>75</v>
      </c>
      <c r="D57" s="9">
        <v>0.33333333333333331</v>
      </c>
      <c r="E57" s="20">
        <v>0.35416666666666669</v>
      </c>
      <c r="F57" s="15">
        <f>ROUND((E57-D57)*24,2)</f>
        <v>0.5</v>
      </c>
      <c r="G57" s="7" t="s">
        <v>57</v>
      </c>
      <c r="H57" s="3" t="s">
        <v>38</v>
      </c>
      <c r="I57" s="7" t="str">
        <f>IFERROR(INDEX(Tabla_control_serigrafia[PRODUCTO],MATCH(Tabla_producción_serigrafia[[#This Row],[LOTE]],Tabla_control_serigrafia[LOTE],0)),"-")</f>
        <v>-</v>
      </c>
      <c r="J57" t="str">
        <f>IFERROR(INDEX(Tabla_control_serigrafia[FORMATO DE FRASCO],MATCH(Tabla_producción_serigrafia[[#This Row],[LOTE]],Tabla_control_serigrafia[LOTE],0)),"-")</f>
        <v>-</v>
      </c>
      <c r="K57" t="str">
        <f>IFERROR(INDEX(Tabla_control_serigrafia[TIPO DE FRASCO],MATCH(Tabla_producción_serigrafia[[#This Row],[LOTE]],Tabla_control_serigrafia[LOTE],0)),"-")</f>
        <v>-</v>
      </c>
      <c r="L57" t="str">
        <f>IF(Tabla_producción_serigrafia[[#This Row],[ACCIÓN]]="PRODUCCIÓN",Tabla_producción_serigrafia[[#This Row],[FORMATO DE FRASCO]]&amp;" "&amp;Tabla_producción_serigrafia[[#This Row],[TIPO DE FRASCO]],"-")</f>
        <v>-</v>
      </c>
      <c r="M57" s="3" t="str">
        <f>IFERROR(INDEX(Tabla_control_serigrafia[CANTIDAD PEDIDA],MATCH(Tabla_producción_serigrafia[[#This Row],[LOTE]],Tabla_control_serigrafia[LOTE],0)),"-")</f>
        <v>-</v>
      </c>
      <c r="N57" s="21">
        <v>0</v>
      </c>
      <c r="O57" s="3">
        <v>0</v>
      </c>
      <c r="P57" s="3">
        <v>0</v>
      </c>
      <c r="Q57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57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57" t="s">
        <v>38</v>
      </c>
      <c r="T57" t="str">
        <f>UPPER(LEFT(TEXT(Tabla_producción_serigrafia[[#This Row],[FECHA]],"mmm"),3))</f>
        <v>FEB</v>
      </c>
      <c r="U57">
        <f>+Tabla_producción_serigrafia[[#This Row],[CANTIDAD PRODUCIDA]]+Tabla_producción_serigrafia[[#This Row],[CANTIDAD RECHAZADA]]</f>
        <v>0</v>
      </c>
    </row>
    <row r="58" spans="1:21" x14ac:dyDescent="0.25">
      <c r="A58" s="10">
        <v>46056</v>
      </c>
      <c r="B58" s="10" t="s">
        <v>58</v>
      </c>
      <c r="C58" s="1" t="s">
        <v>75</v>
      </c>
      <c r="D58" s="9">
        <v>0.35416666666666669</v>
      </c>
      <c r="E58" s="20">
        <v>0.47916666666666669</v>
      </c>
      <c r="F58" s="15">
        <f t="shared" ref="F58:F61" si="7">ROUND((E58-D58)*24,2)</f>
        <v>3</v>
      </c>
      <c r="G58" s="7" t="s">
        <v>56</v>
      </c>
      <c r="H58" s="3">
        <v>12665</v>
      </c>
      <c r="I58" s="7" t="str">
        <f>IFERROR(INDEX(Tabla_control_serigrafia[PRODUCTO],MATCH(Tabla_producción_serigrafia[[#This Row],[LOTE]],Tabla_control_serigrafia[LOTE],0)),"-")</f>
        <v>SARNOL 20% X 100 ML LOCION</v>
      </c>
      <c r="J58" t="str">
        <f>IFERROR(INDEX(Tabla_control_serigrafia[FORMATO DE FRASCO],MATCH(Tabla_producción_serigrafia[[#This Row],[LOTE]],Tabla_control_serigrafia[LOTE],0)),"-")</f>
        <v>120 ML</v>
      </c>
      <c r="K58" t="str">
        <f>IFERROR(INDEX(Tabla_control_serigrafia[TIPO DE FRASCO],MATCH(Tabla_producción_serigrafia[[#This Row],[LOTE]],Tabla_control_serigrafia[LOTE],0)),"-")</f>
        <v>FRASCO NATURAL</v>
      </c>
      <c r="L58" t="str">
        <f>IF(Tabla_producción_serigrafia[[#This Row],[ACCIÓN]]="PRODUCCIÓN",Tabla_producción_serigrafia[[#This Row],[FORMATO DE FRASCO]]&amp;" "&amp;Tabla_producción_serigrafia[[#This Row],[TIPO DE FRASCO]],"-")</f>
        <v>120 ML FRASCO NATURAL</v>
      </c>
      <c r="M58" s="3">
        <f>IFERROR(INDEX(Tabla_control_serigrafia[CANTIDAD PEDIDA],MATCH(Tabla_producción_serigrafia[[#This Row],[LOTE]],Tabla_control_serigrafia[LOTE],0)),"-")</f>
        <v>6000</v>
      </c>
      <c r="N58" s="21">
        <v>6100</v>
      </c>
      <c r="O58" s="3">
        <v>70</v>
      </c>
      <c r="P58" s="3" t="s">
        <v>62</v>
      </c>
      <c r="Q58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6100</v>
      </c>
      <c r="R58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32</v>
      </c>
      <c r="S58" t="s">
        <v>38</v>
      </c>
      <c r="T58" t="str">
        <f>UPPER(LEFT(TEXT(Tabla_producción_serigrafia[[#This Row],[FECHA]],"mmm"),3))</f>
        <v>FEB</v>
      </c>
      <c r="U58">
        <f>+Tabla_producción_serigrafia[[#This Row],[CANTIDAD PRODUCIDA]]+Tabla_producción_serigrafia[[#This Row],[CANTIDAD RECHAZADA]]</f>
        <v>6170</v>
      </c>
    </row>
    <row r="59" spans="1:21" x14ac:dyDescent="0.25">
      <c r="A59" s="10">
        <v>46056</v>
      </c>
      <c r="B59" s="10" t="s">
        <v>58</v>
      </c>
      <c r="C59" s="1" t="s">
        <v>75</v>
      </c>
      <c r="D59" s="9">
        <v>0.47916666666666669</v>
      </c>
      <c r="E59" s="20">
        <v>0.5625</v>
      </c>
      <c r="F59" s="15">
        <f t="shared" si="7"/>
        <v>2</v>
      </c>
      <c r="G59" s="7" t="s">
        <v>64</v>
      </c>
      <c r="H59" s="3" t="s">
        <v>38</v>
      </c>
      <c r="I59" s="7" t="str">
        <f>IFERROR(INDEX(Tabla_control_serigrafia[PRODUCTO],MATCH(Tabla_producción_serigrafia[[#This Row],[LOTE]],Tabla_control_serigrafia[LOTE],0)),"-")</f>
        <v>-</v>
      </c>
      <c r="J59" t="str">
        <f>IFERROR(INDEX(Tabla_control_serigrafia[FORMATO DE FRASCO],MATCH(Tabla_producción_serigrafia[[#This Row],[LOTE]],Tabla_control_serigrafia[LOTE],0)),"-")</f>
        <v>-</v>
      </c>
      <c r="K59" t="str">
        <f>IFERROR(INDEX(Tabla_control_serigrafia[TIPO DE FRASCO],MATCH(Tabla_producción_serigrafia[[#This Row],[LOTE]],Tabla_control_serigrafia[LOTE],0)),"-")</f>
        <v>-</v>
      </c>
      <c r="L59" t="str">
        <f>IF(Tabla_producción_serigrafia[[#This Row],[ACCIÓN]]="PRODUCCIÓN",Tabla_producción_serigrafia[[#This Row],[FORMATO DE FRASCO]]&amp;" "&amp;Tabla_producción_serigrafia[[#This Row],[TIPO DE FRASCO]],"-")</f>
        <v>-</v>
      </c>
      <c r="M59" s="3" t="str">
        <f>IFERROR(INDEX(Tabla_control_serigrafia[CANTIDAD PEDIDA],MATCH(Tabla_producción_serigrafia[[#This Row],[LOTE]],Tabla_control_serigrafia[LOTE],0)),"-")</f>
        <v>-</v>
      </c>
      <c r="N59" s="21">
        <v>0</v>
      </c>
      <c r="O59" s="3">
        <v>0</v>
      </c>
      <c r="P59" s="3">
        <v>0</v>
      </c>
      <c r="Q59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59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59" t="s">
        <v>100</v>
      </c>
      <c r="T59" t="str">
        <f>UPPER(LEFT(TEXT(Tabla_producción_serigrafia[[#This Row],[FECHA]],"mmm"),3))</f>
        <v>FEB</v>
      </c>
      <c r="U59">
        <f>+Tabla_producción_serigrafia[[#This Row],[CANTIDAD PRODUCIDA]]+Tabla_producción_serigrafia[[#This Row],[CANTIDAD RECHAZADA]]</f>
        <v>0</v>
      </c>
    </row>
    <row r="60" spans="1:21" x14ac:dyDescent="0.25">
      <c r="A60" s="10">
        <v>46056</v>
      </c>
      <c r="B60" s="10" t="s">
        <v>58</v>
      </c>
      <c r="C60" s="1" t="s">
        <v>75</v>
      </c>
      <c r="D60" s="9">
        <v>0.58333333333333337</v>
      </c>
      <c r="E60" s="20">
        <v>0.59722222222222221</v>
      </c>
      <c r="F60" s="15">
        <f t="shared" si="7"/>
        <v>0.33</v>
      </c>
      <c r="G60" s="7" t="s">
        <v>57</v>
      </c>
      <c r="H60" s="3" t="s">
        <v>38</v>
      </c>
      <c r="I60" s="7" t="str">
        <f>IFERROR(INDEX(Tabla_control_serigrafia[PRODUCTO],MATCH(Tabla_producción_serigrafia[[#This Row],[LOTE]],Tabla_control_serigrafia[LOTE],0)),"-")</f>
        <v>-</v>
      </c>
      <c r="J60" t="str">
        <f>IFERROR(INDEX(Tabla_control_serigrafia[FORMATO DE FRASCO],MATCH(Tabla_producción_serigrafia[[#This Row],[LOTE]],Tabla_control_serigrafia[LOTE],0)),"-")</f>
        <v>-</v>
      </c>
      <c r="K60" t="str">
        <f>IFERROR(INDEX(Tabla_control_serigrafia[TIPO DE FRASCO],MATCH(Tabla_producción_serigrafia[[#This Row],[LOTE]],Tabla_control_serigrafia[LOTE],0)),"-")</f>
        <v>-</v>
      </c>
      <c r="L60" t="str">
        <f>IF(Tabla_producción_serigrafia[[#This Row],[ACCIÓN]]="PRODUCCIÓN",Tabla_producción_serigrafia[[#This Row],[FORMATO DE FRASCO]]&amp;" "&amp;Tabla_producción_serigrafia[[#This Row],[TIPO DE FRASCO]],"-")</f>
        <v>-</v>
      </c>
      <c r="M60" s="3" t="str">
        <f>IFERROR(INDEX(Tabla_control_serigrafia[CANTIDAD PEDIDA],MATCH(Tabla_producción_serigrafia[[#This Row],[LOTE]],Tabla_control_serigrafia[LOTE],0)),"-")</f>
        <v>-</v>
      </c>
      <c r="N60" s="21">
        <v>0</v>
      </c>
      <c r="O60" s="3">
        <v>0</v>
      </c>
      <c r="P60" s="3">
        <v>0</v>
      </c>
      <c r="Q60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60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60" t="s">
        <v>38</v>
      </c>
      <c r="T60" t="str">
        <f>UPPER(LEFT(TEXT(Tabla_producción_serigrafia[[#This Row],[FECHA]],"mmm"),3))</f>
        <v>FEB</v>
      </c>
      <c r="U60">
        <f>+Tabla_producción_serigrafia[[#This Row],[CANTIDAD PRODUCIDA]]+Tabla_producción_serigrafia[[#This Row],[CANTIDAD RECHAZADA]]</f>
        <v>0</v>
      </c>
    </row>
    <row r="61" spans="1:21" x14ac:dyDescent="0.25">
      <c r="A61" s="10">
        <v>46056</v>
      </c>
      <c r="B61" s="10" t="s">
        <v>58</v>
      </c>
      <c r="C61" s="1" t="s">
        <v>75</v>
      </c>
      <c r="D61" s="9">
        <v>0.59722222222222221</v>
      </c>
      <c r="E61" s="20">
        <v>0.70833333333333337</v>
      </c>
      <c r="F61" s="15">
        <f t="shared" si="7"/>
        <v>2.67</v>
      </c>
      <c r="G61" s="7" t="s">
        <v>56</v>
      </c>
      <c r="H61" s="3">
        <v>12692</v>
      </c>
      <c r="I61" s="7" t="str">
        <f>IFERROR(INDEX(Tabla_control_serigrafia[PRODUCTO],MATCH(Tabla_producción_serigrafia[[#This Row],[LOTE]],Tabla_control_serigrafia[LOTE],0)),"-")</f>
        <v>AMOXICILINA-ACIDO CLAVULANICO 250/62,5 MG X 100 ML POLVO PARA SUSP.</v>
      </c>
      <c r="J61" t="str">
        <f>IFERROR(INDEX(Tabla_control_serigrafia[FORMATO DE FRASCO],MATCH(Tabla_producción_serigrafia[[#This Row],[LOTE]],Tabla_control_serigrafia[LOTE],0)),"-")</f>
        <v>170 ML</v>
      </c>
      <c r="K61" t="str">
        <f>IFERROR(INDEX(Tabla_control_serigrafia[TIPO DE FRASCO],MATCH(Tabla_producción_serigrafia[[#This Row],[LOTE]],Tabla_control_serigrafia[LOTE],0)),"-")</f>
        <v>FRASCO NATURAL</v>
      </c>
      <c r="L61" t="str">
        <f>IF(Tabla_producción_serigrafia[[#This Row],[ACCIÓN]]="PRODUCCIÓN",Tabla_producción_serigrafia[[#This Row],[FORMATO DE FRASCO]]&amp;" "&amp;Tabla_producción_serigrafia[[#This Row],[TIPO DE FRASCO]],"-")</f>
        <v>170 ML FRASCO NATURAL</v>
      </c>
      <c r="M61" s="3">
        <f>IFERROR(INDEX(Tabla_control_serigrafia[CANTIDAD PEDIDA],MATCH(Tabla_producción_serigrafia[[#This Row],[LOTE]],Tabla_control_serigrafia[LOTE],0)),"-")</f>
        <v>6000</v>
      </c>
      <c r="N61" s="21">
        <v>6100</v>
      </c>
      <c r="O61" s="3">
        <v>60</v>
      </c>
      <c r="P61" s="3" t="s">
        <v>62</v>
      </c>
      <c r="Q61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6100</v>
      </c>
      <c r="R61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18</v>
      </c>
      <c r="S61" t="s">
        <v>38</v>
      </c>
      <c r="T61" t="str">
        <f>UPPER(LEFT(TEXT(Tabla_producción_serigrafia[[#This Row],[FECHA]],"mmm"),3))</f>
        <v>FEB</v>
      </c>
      <c r="U61">
        <f>+Tabla_producción_serigrafia[[#This Row],[CANTIDAD PRODUCIDA]]+Tabla_producción_serigrafia[[#This Row],[CANTIDAD RECHAZADA]]</f>
        <v>6160</v>
      </c>
    </row>
    <row r="62" spans="1:21" x14ac:dyDescent="0.25">
      <c r="A62" s="10">
        <v>46057</v>
      </c>
      <c r="B62" s="10" t="s">
        <v>88</v>
      </c>
      <c r="C62" s="1" t="s">
        <v>65</v>
      </c>
      <c r="D62" s="9">
        <v>0.33333333333333331</v>
      </c>
      <c r="E62" s="20">
        <v>0.4375</v>
      </c>
      <c r="F62" s="15">
        <f t="shared" ref="F62:F67" si="8">ROUND((E62-D62)*24,2)</f>
        <v>2.5</v>
      </c>
      <c r="G62" s="7" t="s">
        <v>57</v>
      </c>
      <c r="H62" s="3" t="s">
        <v>38</v>
      </c>
      <c r="I62" s="7" t="str">
        <f>IFERROR(INDEX(Tabla_control_serigrafia[PRODUCTO],MATCH(Tabla_producción_serigrafia[[#This Row],[LOTE]],Tabla_control_serigrafia[LOTE],0)),"-")</f>
        <v>-</v>
      </c>
      <c r="J62" t="str">
        <f>IFERROR(INDEX(Tabla_control_serigrafia[FORMATO DE FRASCO],MATCH(Tabla_producción_serigrafia[[#This Row],[LOTE]],Tabla_control_serigrafia[LOTE],0)),"-")</f>
        <v>-</v>
      </c>
      <c r="K62" t="str">
        <f>IFERROR(INDEX(Tabla_control_serigrafia[TIPO DE FRASCO],MATCH(Tabla_producción_serigrafia[[#This Row],[LOTE]],Tabla_control_serigrafia[LOTE],0)),"-")</f>
        <v>-</v>
      </c>
      <c r="L62" t="str">
        <f>IF(Tabla_producción_serigrafia[[#This Row],[ACCIÓN]]="PRODUCCIÓN",Tabla_producción_serigrafia[[#This Row],[FORMATO DE FRASCO]]&amp;" "&amp;Tabla_producción_serigrafia[[#This Row],[TIPO DE FRASCO]],"-")</f>
        <v>-</v>
      </c>
      <c r="M62" s="3" t="str">
        <f>IFERROR(INDEX(Tabla_control_serigrafia[CANTIDAD PEDIDA],MATCH(Tabla_producción_serigrafia[[#This Row],[LOTE]],Tabla_control_serigrafia[LOTE],0)),"-")</f>
        <v>-</v>
      </c>
      <c r="N62" s="21">
        <v>0</v>
      </c>
      <c r="O62" s="3">
        <v>0</v>
      </c>
      <c r="P62" s="3">
        <v>0</v>
      </c>
      <c r="Q62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62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62" t="s">
        <v>38</v>
      </c>
      <c r="T62" t="str">
        <f>UPPER(LEFT(TEXT(Tabla_producción_serigrafia[[#This Row],[FECHA]],"mmm"),3))</f>
        <v>FEB</v>
      </c>
      <c r="U62">
        <f>+Tabla_producción_serigrafia[[#This Row],[CANTIDAD PRODUCIDA]]+Tabla_producción_serigrafia[[#This Row],[CANTIDAD RECHAZADA]]</f>
        <v>0</v>
      </c>
    </row>
    <row r="63" spans="1:21" x14ac:dyDescent="0.25">
      <c r="A63" s="10">
        <v>46057</v>
      </c>
      <c r="B63" s="10" t="s">
        <v>88</v>
      </c>
      <c r="C63" s="1" t="s">
        <v>65</v>
      </c>
      <c r="D63" s="9">
        <v>0.4375</v>
      </c>
      <c r="E63" s="20">
        <v>0.72916666666666663</v>
      </c>
      <c r="F63" s="15">
        <f t="shared" si="8"/>
        <v>7</v>
      </c>
      <c r="G63" s="7" t="s">
        <v>56</v>
      </c>
      <c r="H63" s="3">
        <v>122567</v>
      </c>
      <c r="I63" s="7" t="s">
        <v>98</v>
      </c>
      <c r="J63" t="s">
        <v>28</v>
      </c>
      <c r="K63" t="s">
        <v>39</v>
      </c>
      <c r="L63" t="s">
        <v>99</v>
      </c>
      <c r="M63" s="3">
        <v>10000</v>
      </c>
      <c r="N63" s="21">
        <v>3300</v>
      </c>
      <c r="O63" s="3">
        <v>200</v>
      </c>
      <c r="P63" s="3" t="s">
        <v>66</v>
      </c>
      <c r="Q63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1650</v>
      </c>
      <c r="R63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63" t="s">
        <v>103</v>
      </c>
      <c r="T63" t="str">
        <f>UPPER(LEFT(TEXT(Tabla_producción_serigrafia[[#This Row],[FECHA]],"mmm"),3))</f>
        <v>FEB</v>
      </c>
      <c r="U63">
        <f>+Tabla_producción_serigrafia[[#This Row],[CANTIDAD PRODUCIDA]]+Tabla_producción_serigrafia[[#This Row],[CANTIDAD RECHAZADA]]</f>
        <v>3500</v>
      </c>
    </row>
    <row r="64" spans="1:21" x14ac:dyDescent="0.25">
      <c r="A64" s="10">
        <v>46058</v>
      </c>
      <c r="B64" s="10" t="s">
        <v>88</v>
      </c>
      <c r="C64" s="1" t="s">
        <v>65</v>
      </c>
      <c r="D64" s="9">
        <v>0.375</v>
      </c>
      <c r="E64" s="20">
        <v>0.72916666666666663</v>
      </c>
      <c r="F64" s="15">
        <f t="shared" si="8"/>
        <v>8.5</v>
      </c>
      <c r="G64" s="7" t="s">
        <v>56</v>
      </c>
      <c r="H64" s="3">
        <v>122567</v>
      </c>
      <c r="I64" s="7" t="s">
        <v>98</v>
      </c>
      <c r="J64" t="s">
        <v>28</v>
      </c>
      <c r="K64" t="s">
        <v>39</v>
      </c>
      <c r="L64" t="s">
        <v>99</v>
      </c>
      <c r="M64" s="3">
        <v>10000</v>
      </c>
      <c r="N64" s="21">
        <v>4000</v>
      </c>
      <c r="O64" s="3">
        <v>375</v>
      </c>
      <c r="P64" s="3" t="s">
        <v>66</v>
      </c>
      <c r="Q64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2000</v>
      </c>
      <c r="R64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64" t="s">
        <v>103</v>
      </c>
      <c r="T64" t="str">
        <f>UPPER(LEFT(TEXT(Tabla_producción_serigrafia[[#This Row],[FECHA]],"mmm"),3))</f>
        <v>FEB</v>
      </c>
      <c r="U64">
        <f>+Tabla_producción_serigrafia[[#This Row],[CANTIDAD PRODUCIDA]]+Tabla_producción_serigrafia[[#This Row],[CANTIDAD RECHAZADA]]</f>
        <v>4375</v>
      </c>
    </row>
    <row r="65" spans="1:21" x14ac:dyDescent="0.25">
      <c r="A65" s="10">
        <v>46059</v>
      </c>
      <c r="B65" s="10" t="s">
        <v>88</v>
      </c>
      <c r="C65" s="1" t="s">
        <v>65</v>
      </c>
      <c r="D65" s="9">
        <v>0.375</v>
      </c>
      <c r="E65" s="20">
        <v>0.625</v>
      </c>
      <c r="F65" s="15">
        <f t="shared" si="8"/>
        <v>6</v>
      </c>
      <c r="G65" s="7" t="s">
        <v>56</v>
      </c>
      <c r="H65" s="3">
        <v>122567</v>
      </c>
      <c r="I65" s="7" t="s">
        <v>98</v>
      </c>
      <c r="J65" t="s">
        <v>28</v>
      </c>
      <c r="K65" t="s">
        <v>39</v>
      </c>
      <c r="L65" t="s">
        <v>99</v>
      </c>
      <c r="M65" s="3">
        <v>10000</v>
      </c>
      <c r="N65" s="21">
        <v>3200</v>
      </c>
      <c r="O65" s="3">
        <v>293</v>
      </c>
      <c r="P65" s="3" t="s">
        <v>66</v>
      </c>
      <c r="Q65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1600</v>
      </c>
      <c r="R65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65" t="s">
        <v>103</v>
      </c>
      <c r="T65" t="str">
        <f>UPPER(LEFT(TEXT(Tabla_producción_serigrafia[[#This Row],[FECHA]],"mmm"),3))</f>
        <v>FEB</v>
      </c>
      <c r="U65">
        <f>+Tabla_producción_serigrafia[[#This Row],[CANTIDAD PRODUCIDA]]+Tabla_producción_serigrafia[[#This Row],[CANTIDAD RECHAZADA]]</f>
        <v>3493</v>
      </c>
    </row>
    <row r="66" spans="1:21" x14ac:dyDescent="0.25">
      <c r="A66" s="10">
        <v>46059</v>
      </c>
      <c r="B66" s="10" t="s">
        <v>88</v>
      </c>
      <c r="C66" s="1" t="s">
        <v>65</v>
      </c>
      <c r="D66" s="9">
        <v>0.625</v>
      </c>
      <c r="E66" s="20">
        <v>0.72916666666666663</v>
      </c>
      <c r="F66" s="15">
        <f t="shared" si="8"/>
        <v>2.5</v>
      </c>
      <c r="G66" s="7" t="s">
        <v>56</v>
      </c>
      <c r="H66" s="3">
        <v>122567</v>
      </c>
      <c r="I66" s="7" t="s">
        <v>98</v>
      </c>
      <c r="J66" t="s">
        <v>28</v>
      </c>
      <c r="K66" t="s">
        <v>39</v>
      </c>
      <c r="L66" t="s">
        <v>99</v>
      </c>
      <c r="M66" s="3">
        <v>10000</v>
      </c>
      <c r="N66" s="21">
        <v>500</v>
      </c>
      <c r="O66" s="3">
        <v>70</v>
      </c>
      <c r="P66" s="3" t="s">
        <v>66</v>
      </c>
      <c r="Q66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250</v>
      </c>
      <c r="R66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66" t="s">
        <v>101</v>
      </c>
      <c r="T66" t="str">
        <f>UPPER(LEFT(TEXT(Tabla_producción_serigrafia[[#This Row],[FECHA]],"mmm"),3))</f>
        <v>FEB</v>
      </c>
      <c r="U66">
        <f>+Tabla_producción_serigrafia[[#This Row],[CANTIDAD PRODUCIDA]]+Tabla_producción_serigrafia[[#This Row],[CANTIDAD RECHAZADA]]</f>
        <v>570</v>
      </c>
    </row>
    <row r="67" spans="1:21" x14ac:dyDescent="0.25">
      <c r="A67" s="10">
        <v>46062</v>
      </c>
      <c r="B67" s="10" t="s">
        <v>88</v>
      </c>
      <c r="C67" s="1" t="s">
        <v>65</v>
      </c>
      <c r="D67" s="9">
        <v>0.375</v>
      </c>
      <c r="E67" s="20">
        <v>0.72916666666666663</v>
      </c>
      <c r="F67" s="15">
        <f t="shared" si="8"/>
        <v>8.5</v>
      </c>
      <c r="G67" s="7" t="s">
        <v>56</v>
      </c>
      <c r="H67" s="3">
        <v>122567</v>
      </c>
      <c r="I67" s="7" t="s">
        <v>98</v>
      </c>
      <c r="J67" t="s">
        <v>28</v>
      </c>
      <c r="K67" t="s">
        <v>39</v>
      </c>
      <c r="L67" t="s">
        <v>99</v>
      </c>
      <c r="M67" s="3">
        <v>10000</v>
      </c>
      <c r="N67" s="21">
        <v>3000</v>
      </c>
      <c r="O67" s="3">
        <v>102</v>
      </c>
      <c r="P67" s="3" t="s">
        <v>66</v>
      </c>
      <c r="Q67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1500</v>
      </c>
      <c r="R67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67" t="s">
        <v>101</v>
      </c>
      <c r="T67" t="str">
        <f>UPPER(LEFT(TEXT(Tabla_producción_serigrafia[[#This Row],[FECHA]],"mmm"),3))</f>
        <v>FEB</v>
      </c>
      <c r="U67">
        <f>+Tabla_producción_serigrafia[[#This Row],[CANTIDAD PRODUCIDA]]+Tabla_producción_serigrafia[[#This Row],[CANTIDAD RECHAZADA]]</f>
        <v>3102</v>
      </c>
    </row>
    <row r="68" spans="1:21" x14ac:dyDescent="0.25">
      <c r="A68" s="10">
        <v>46063</v>
      </c>
      <c r="B68" s="10" t="s">
        <v>88</v>
      </c>
      <c r="C68" s="1" t="s">
        <v>65</v>
      </c>
      <c r="D68" s="9">
        <v>0.375</v>
      </c>
      <c r="E68" s="20">
        <v>0.72916666666666663</v>
      </c>
      <c r="F68" s="15">
        <f>ROUND((E68-D68)*24,2)</f>
        <v>8.5</v>
      </c>
      <c r="G68" s="7" t="s">
        <v>56</v>
      </c>
      <c r="H68" s="3">
        <v>122567</v>
      </c>
      <c r="I68" s="7" t="s">
        <v>98</v>
      </c>
      <c r="J68" t="s">
        <v>28</v>
      </c>
      <c r="K68" t="s">
        <v>39</v>
      </c>
      <c r="L68" t="s">
        <v>99</v>
      </c>
      <c r="M68" s="3">
        <v>10000</v>
      </c>
      <c r="N68" s="21">
        <v>3500</v>
      </c>
      <c r="O68" s="3">
        <v>250</v>
      </c>
      <c r="P68" s="3" t="s">
        <v>66</v>
      </c>
      <c r="Q68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1750</v>
      </c>
      <c r="R68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68" t="s">
        <v>101</v>
      </c>
      <c r="T68" t="str">
        <f>UPPER(LEFT(TEXT(Tabla_producción_serigrafia[[#This Row],[FECHA]],"mmm"),3))</f>
        <v>FEB</v>
      </c>
      <c r="U68">
        <f>+Tabla_producción_serigrafia[[#This Row],[CANTIDAD PRODUCIDA]]+Tabla_producción_serigrafia[[#This Row],[CANTIDAD RECHAZADA]]</f>
        <v>3750</v>
      </c>
    </row>
    <row r="69" spans="1:21" x14ac:dyDescent="0.25">
      <c r="A69" s="10">
        <v>46064</v>
      </c>
      <c r="B69" s="10" t="s">
        <v>88</v>
      </c>
      <c r="C69" s="1" t="s">
        <v>65</v>
      </c>
      <c r="D69" s="9">
        <v>0.375</v>
      </c>
      <c r="E69" s="20">
        <v>0.70833333333333337</v>
      </c>
      <c r="F69" s="15">
        <f>ROUND((E69-D69)*24,2)</f>
        <v>8</v>
      </c>
      <c r="G69" s="7" t="s">
        <v>56</v>
      </c>
      <c r="H69" s="3">
        <v>122567</v>
      </c>
      <c r="I69" s="7" t="s">
        <v>98</v>
      </c>
      <c r="J69" t="s">
        <v>28</v>
      </c>
      <c r="K69" t="s">
        <v>39</v>
      </c>
      <c r="L69" t="s">
        <v>99</v>
      </c>
      <c r="M69" s="3">
        <v>10000</v>
      </c>
      <c r="N69" s="21">
        <v>3080</v>
      </c>
      <c r="O69" s="3">
        <v>230</v>
      </c>
      <c r="P69" s="3" t="s">
        <v>62</v>
      </c>
      <c r="Q69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1540</v>
      </c>
      <c r="R69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69" t="s">
        <v>101</v>
      </c>
      <c r="T69" t="str">
        <f>UPPER(LEFT(TEXT(Tabla_producción_serigrafia[[#This Row],[FECHA]],"mmm"),3))</f>
        <v>FEB</v>
      </c>
      <c r="U69">
        <f>+Tabla_producción_serigrafia[[#This Row],[CANTIDAD PRODUCIDA]]+Tabla_producción_serigrafia[[#This Row],[CANTIDAD RECHAZADA]]</f>
        <v>3310</v>
      </c>
    </row>
    <row r="70" spans="1:21" x14ac:dyDescent="0.25">
      <c r="A70" s="10">
        <v>46065</v>
      </c>
      <c r="B70" s="10" t="s">
        <v>88</v>
      </c>
      <c r="C70" s="1" t="s">
        <v>65</v>
      </c>
      <c r="D70" s="9">
        <v>0.33333333333333331</v>
      </c>
      <c r="E70" s="20">
        <v>0.4375</v>
      </c>
      <c r="F70" s="15">
        <f>ROUND((E70-D70)*24,2)</f>
        <v>2.5</v>
      </c>
      <c r="G70" s="7" t="s">
        <v>57</v>
      </c>
      <c r="H70" s="3" t="s">
        <v>38</v>
      </c>
      <c r="I70" s="7" t="str">
        <f>IFERROR(INDEX(Tabla_control_serigrafia[PRODUCTO],MATCH(Tabla_producción_serigrafia[[#This Row],[LOTE]],Tabla_control_serigrafia[LOTE],0)),"-")</f>
        <v>-</v>
      </c>
      <c r="J70" t="str">
        <f>IFERROR(INDEX(Tabla_control_serigrafia[FORMATO DE FRASCO],MATCH(Tabla_producción_serigrafia[[#This Row],[LOTE]],Tabla_control_serigrafia[LOTE],0)),"-")</f>
        <v>-</v>
      </c>
      <c r="K70" t="str">
        <f>IFERROR(INDEX(Tabla_control_serigrafia[TIPO DE FRASCO],MATCH(Tabla_producción_serigrafia[[#This Row],[LOTE]],Tabla_control_serigrafia[LOTE],0)),"-")</f>
        <v>-</v>
      </c>
      <c r="L70" t="str">
        <f>IF(Tabla_producción_serigrafia[[#This Row],[ACCIÓN]]="PRODUCCIÓN",Tabla_producción_serigrafia[[#This Row],[FORMATO DE FRASCO]]&amp;" "&amp;Tabla_producción_serigrafia[[#This Row],[TIPO DE FRASCO]],"-")</f>
        <v>-</v>
      </c>
      <c r="M70" s="3" t="str">
        <f>IFERROR(INDEX(Tabla_control_serigrafia[CANTIDAD PEDIDA],MATCH(Tabla_producción_serigrafia[[#This Row],[LOTE]],Tabla_control_serigrafia[LOTE],0)),"-")</f>
        <v>-</v>
      </c>
      <c r="N70" s="21">
        <v>0</v>
      </c>
      <c r="O70" s="3">
        <v>0</v>
      </c>
      <c r="P70" s="3">
        <v>0</v>
      </c>
      <c r="Q70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70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70" t="s">
        <v>38</v>
      </c>
      <c r="T70" t="str">
        <f>UPPER(LEFT(TEXT(Tabla_producción_serigrafia[[#This Row],[FECHA]],"mmm"),3))</f>
        <v>FEB</v>
      </c>
      <c r="U70">
        <f>+Tabla_producción_serigrafia[[#This Row],[CANTIDAD PRODUCIDA]]+Tabla_producción_serigrafia[[#This Row],[CANTIDAD RECHAZADA]]</f>
        <v>0</v>
      </c>
    </row>
    <row r="71" spans="1:21" x14ac:dyDescent="0.25">
      <c r="A71" s="10">
        <v>46065</v>
      </c>
      <c r="B71" s="10" t="s">
        <v>88</v>
      </c>
      <c r="C71" s="1" t="s">
        <v>65</v>
      </c>
      <c r="D71" s="9">
        <v>0.4375</v>
      </c>
      <c r="E71" s="20">
        <v>0.6875</v>
      </c>
      <c r="F71" s="15">
        <f t="shared" ref="F71:F72" si="9">ROUND((E71-D71)*24,2)</f>
        <v>6</v>
      </c>
      <c r="G71" s="7" t="s">
        <v>56</v>
      </c>
      <c r="H71" s="3">
        <v>12683</v>
      </c>
      <c r="I71" s="7" t="str">
        <f>IFERROR(INDEX(Tabla_control_serigrafia[PRODUCTO],MATCH(Tabla_producción_serigrafia[[#This Row],[LOTE]],Tabla_control_serigrafia[LOTE],0)),"-")</f>
        <v>MEBENDAZOL 100 MG X 30 ML SUSP.</v>
      </c>
      <c r="J71" t="str">
        <f>IFERROR(INDEX(Tabla_control_serigrafia[FORMATO DE FRASCO],MATCH(Tabla_producción_serigrafia[[#This Row],[LOTE]],Tabla_control_serigrafia[LOTE],0)),"-")</f>
        <v>40 ML</v>
      </c>
      <c r="K71" t="str">
        <f>IFERROR(INDEX(Tabla_control_serigrafia[TIPO DE FRASCO],MATCH(Tabla_producción_serigrafia[[#This Row],[LOTE]],Tabla_control_serigrafia[LOTE],0)),"-")</f>
        <v>FRASCO BLANCO</v>
      </c>
      <c r="L71" t="str">
        <f>IF(Tabla_producción_serigrafia[[#This Row],[ACCIÓN]]="PRODUCCIÓN",Tabla_producción_serigrafia[[#This Row],[FORMATO DE FRASCO]]&amp;" "&amp;Tabla_producción_serigrafia[[#This Row],[TIPO DE FRASCO]],"-")</f>
        <v>40 ML FRASCO BLANCO</v>
      </c>
      <c r="M71" s="3">
        <f>IFERROR(INDEX(Tabla_control_serigrafia[CANTIDAD PEDIDA],MATCH(Tabla_producción_serigrafia[[#This Row],[LOTE]],Tabla_control_serigrafia[LOTE],0)),"-")</f>
        <v>11400</v>
      </c>
      <c r="N71" s="21">
        <v>2000</v>
      </c>
      <c r="O71" s="3">
        <v>150</v>
      </c>
      <c r="P71" s="3" t="s">
        <v>66</v>
      </c>
      <c r="Q71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1000</v>
      </c>
      <c r="R71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71" t="s">
        <v>103</v>
      </c>
      <c r="T71" t="str">
        <f>UPPER(LEFT(TEXT(Tabla_producción_serigrafia[[#This Row],[FECHA]],"mmm"),3))</f>
        <v>FEB</v>
      </c>
      <c r="U71">
        <f>+Tabla_producción_serigrafia[[#This Row],[CANTIDAD PRODUCIDA]]+Tabla_producción_serigrafia[[#This Row],[CANTIDAD RECHAZADA]]</f>
        <v>2150</v>
      </c>
    </row>
    <row r="72" spans="1:21" x14ac:dyDescent="0.25">
      <c r="A72" s="10">
        <v>46065</v>
      </c>
      <c r="B72" s="10" t="s">
        <v>88</v>
      </c>
      <c r="C72" s="1" t="s">
        <v>65</v>
      </c>
      <c r="D72" s="9">
        <v>0.6875</v>
      </c>
      <c r="E72" s="20">
        <v>0.72916666666666663</v>
      </c>
      <c r="F72" s="15">
        <f t="shared" si="9"/>
        <v>1</v>
      </c>
      <c r="G72" s="7" t="s">
        <v>56</v>
      </c>
      <c r="H72" s="3">
        <v>12683</v>
      </c>
      <c r="I72" s="7" t="str">
        <f>IFERROR(INDEX(Tabla_control_serigrafia[PRODUCTO],MATCH(Tabla_producción_serigrafia[[#This Row],[LOTE]],Tabla_control_serigrafia[LOTE],0)),"-")</f>
        <v>MEBENDAZOL 100 MG X 30 ML SUSP.</v>
      </c>
      <c r="J72" t="str">
        <f>IFERROR(INDEX(Tabla_control_serigrafia[FORMATO DE FRASCO],MATCH(Tabla_producción_serigrafia[[#This Row],[LOTE]],Tabla_control_serigrafia[LOTE],0)),"-")</f>
        <v>40 ML</v>
      </c>
      <c r="K72" t="str">
        <f>IFERROR(INDEX(Tabla_control_serigrafia[TIPO DE FRASCO],MATCH(Tabla_producción_serigrafia[[#This Row],[LOTE]],Tabla_control_serigrafia[LOTE],0)),"-")</f>
        <v>FRASCO BLANCO</v>
      </c>
      <c r="L72" t="str">
        <f>IF(Tabla_producción_serigrafia[[#This Row],[ACCIÓN]]="PRODUCCIÓN",Tabla_producción_serigrafia[[#This Row],[FORMATO DE FRASCO]]&amp;" "&amp;Tabla_producción_serigrafia[[#This Row],[TIPO DE FRASCO]],"-")</f>
        <v>40 ML FRASCO BLANCO</v>
      </c>
      <c r="M72" s="3">
        <f>IFERROR(INDEX(Tabla_control_serigrafia[CANTIDAD PEDIDA],MATCH(Tabla_producción_serigrafia[[#This Row],[LOTE]],Tabla_control_serigrafia[LOTE],0)),"-")</f>
        <v>11400</v>
      </c>
      <c r="N72" s="21">
        <v>500</v>
      </c>
      <c r="O72" s="3">
        <v>40</v>
      </c>
      <c r="P72" s="3" t="s">
        <v>66</v>
      </c>
      <c r="Q72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250</v>
      </c>
      <c r="R72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72" t="s">
        <v>101</v>
      </c>
      <c r="T72" t="str">
        <f>UPPER(LEFT(TEXT(Tabla_producción_serigrafia[[#This Row],[FECHA]],"mmm"),3))</f>
        <v>FEB</v>
      </c>
      <c r="U72">
        <f>+Tabla_producción_serigrafia[[#This Row],[CANTIDAD PRODUCIDA]]+Tabla_producción_serigrafia[[#This Row],[CANTIDAD RECHAZADA]]</f>
        <v>540</v>
      </c>
    </row>
    <row r="73" spans="1:21" x14ac:dyDescent="0.25">
      <c r="A73" s="10">
        <v>46066</v>
      </c>
      <c r="B73" s="10" t="s">
        <v>88</v>
      </c>
      <c r="C73" s="1" t="s">
        <v>65</v>
      </c>
      <c r="D73" s="9">
        <v>0.35416666666666669</v>
      </c>
      <c r="E73" s="20">
        <v>0.45833333333333331</v>
      </c>
      <c r="F73" s="15">
        <f>ROUND((E73-D73)*24,2)</f>
        <v>2.5</v>
      </c>
      <c r="G73" s="7" t="s">
        <v>56</v>
      </c>
      <c r="H73" s="3">
        <v>12683</v>
      </c>
      <c r="I73" s="7" t="str">
        <f>IFERROR(INDEX(Tabla_control_serigrafia[PRODUCTO],MATCH(Tabla_producción_serigrafia[[#This Row],[LOTE]],Tabla_control_serigrafia[LOTE],0)),"-")</f>
        <v>MEBENDAZOL 100 MG X 30 ML SUSP.</v>
      </c>
      <c r="J73" t="str">
        <f>IFERROR(INDEX(Tabla_control_serigrafia[FORMATO DE FRASCO],MATCH(Tabla_producción_serigrafia[[#This Row],[LOTE]],Tabla_control_serigrafia[LOTE],0)),"-")</f>
        <v>40 ML</v>
      </c>
      <c r="K73" t="str">
        <f>IFERROR(INDEX(Tabla_control_serigrafia[TIPO DE FRASCO],MATCH(Tabla_producción_serigrafia[[#This Row],[LOTE]],Tabla_control_serigrafia[LOTE],0)),"-")</f>
        <v>FRASCO BLANCO</v>
      </c>
      <c r="L73" t="str">
        <f>IF(Tabla_producción_serigrafia[[#This Row],[ACCIÓN]]="PRODUCCIÓN",Tabla_producción_serigrafia[[#This Row],[FORMATO DE FRASCO]]&amp;" "&amp;Tabla_producción_serigrafia[[#This Row],[TIPO DE FRASCO]],"-")</f>
        <v>40 ML FRASCO BLANCO</v>
      </c>
      <c r="M73" s="3">
        <f>IFERROR(INDEX(Tabla_control_serigrafia[CANTIDAD PEDIDA],MATCH(Tabla_producción_serigrafia[[#This Row],[LOTE]],Tabla_control_serigrafia[LOTE],0)),"-")</f>
        <v>11400</v>
      </c>
      <c r="N73" s="21">
        <v>1135</v>
      </c>
      <c r="O73" s="3">
        <v>250</v>
      </c>
      <c r="P73" s="3" t="s">
        <v>62</v>
      </c>
      <c r="Q73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568</v>
      </c>
      <c r="R73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42</v>
      </c>
      <c r="S73" t="s">
        <v>108</v>
      </c>
      <c r="T73" t="str">
        <f>UPPER(LEFT(TEXT(Tabla_producción_serigrafia[[#This Row],[FECHA]],"mmm"),3))</f>
        <v>FEB</v>
      </c>
      <c r="U73">
        <f>+Tabla_producción_serigrafia[[#This Row],[CANTIDAD PRODUCIDA]]+Tabla_producción_serigrafia[[#This Row],[CANTIDAD RECHAZADA]]</f>
        <v>1385</v>
      </c>
    </row>
    <row r="74" spans="1:21" x14ac:dyDescent="0.25">
      <c r="A74" s="10">
        <v>46066</v>
      </c>
      <c r="B74" s="10" t="s">
        <v>88</v>
      </c>
      <c r="C74" s="1" t="s">
        <v>65</v>
      </c>
      <c r="D74" s="9">
        <v>0.45833333333333331</v>
      </c>
      <c r="E74" s="20">
        <v>0.625</v>
      </c>
      <c r="F74" s="15">
        <f>ROUND((E74-D74)*24,2)</f>
        <v>4</v>
      </c>
      <c r="G74" s="7" t="s">
        <v>64</v>
      </c>
      <c r="H74" s="3" t="s">
        <v>38</v>
      </c>
      <c r="I74" s="7" t="str">
        <f>IFERROR(INDEX(Tabla_control_serigrafia[PRODUCTO],MATCH(Tabla_producción_serigrafia[[#This Row],[LOTE]],Tabla_control_serigrafia[LOTE],0)),"-")</f>
        <v>-</v>
      </c>
      <c r="J74" t="str">
        <f>IFERROR(INDEX(Tabla_control_serigrafia[FORMATO DE FRASCO],MATCH(Tabla_producción_serigrafia[[#This Row],[LOTE]],Tabla_control_serigrafia[LOTE],0)),"-")</f>
        <v>-</v>
      </c>
      <c r="K74" t="str">
        <f>IFERROR(INDEX(Tabla_control_serigrafia[TIPO DE FRASCO],MATCH(Tabla_producción_serigrafia[[#This Row],[LOTE]],Tabla_control_serigrafia[LOTE],0)),"-")</f>
        <v>-</v>
      </c>
      <c r="L74" t="str">
        <f>IF(Tabla_producción_serigrafia[[#This Row],[ACCIÓN]]="PRODUCCIÓN",Tabla_producción_serigrafia[[#This Row],[FORMATO DE FRASCO]]&amp;" "&amp;Tabla_producción_serigrafia[[#This Row],[TIPO DE FRASCO]],"-")</f>
        <v>-</v>
      </c>
      <c r="M74" s="3" t="str">
        <f>IFERROR(INDEX(Tabla_control_serigrafia[CANTIDAD PEDIDA],MATCH(Tabla_producción_serigrafia[[#This Row],[LOTE]],Tabla_control_serigrafia[LOTE],0)),"-")</f>
        <v>-</v>
      </c>
      <c r="N74" s="21">
        <v>0</v>
      </c>
      <c r="O74" s="3">
        <v>0</v>
      </c>
      <c r="P74" s="3">
        <v>0</v>
      </c>
      <c r="Q74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74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74" t="s">
        <v>107</v>
      </c>
      <c r="T74" t="str">
        <f>UPPER(LEFT(TEXT(Tabla_producción_serigrafia[[#This Row],[FECHA]],"mmm"),3))</f>
        <v>FEB</v>
      </c>
      <c r="U74">
        <f>+Tabla_producción_serigrafia[[#This Row],[CANTIDAD PRODUCIDA]]+Tabla_producción_serigrafia[[#This Row],[CANTIDAD RECHAZADA]]</f>
        <v>0</v>
      </c>
    </row>
    <row r="75" spans="1:21" x14ac:dyDescent="0.25">
      <c r="A75" s="10">
        <v>46071</v>
      </c>
      <c r="B75" s="10" t="s">
        <v>58</v>
      </c>
      <c r="C75" s="1" t="s">
        <v>65</v>
      </c>
      <c r="D75" s="9">
        <v>0.35416666666666669</v>
      </c>
      <c r="E75" s="20">
        <v>0.5625</v>
      </c>
      <c r="F75" s="15">
        <f>ROUND((E75-D75)*24,2)</f>
        <v>5</v>
      </c>
      <c r="G75" s="7" t="s">
        <v>57</v>
      </c>
      <c r="H75" s="3" t="s">
        <v>38</v>
      </c>
      <c r="I75" s="7" t="str">
        <f>IFERROR(INDEX(Tabla_control_serigrafia[PRODUCTO],MATCH(Tabla_producción_serigrafia[[#This Row],[LOTE]],Tabla_control_serigrafia[LOTE],0)),"-")</f>
        <v>-</v>
      </c>
      <c r="J75" t="str">
        <f>IFERROR(INDEX(Tabla_control_serigrafia[FORMATO DE FRASCO],MATCH(Tabla_producción_serigrafia[[#This Row],[LOTE]],Tabla_control_serigrafia[LOTE],0)),"-")</f>
        <v>-</v>
      </c>
      <c r="K75" t="str">
        <f>IFERROR(INDEX(Tabla_control_serigrafia[TIPO DE FRASCO],MATCH(Tabla_producción_serigrafia[[#This Row],[LOTE]],Tabla_control_serigrafia[LOTE],0)),"-")</f>
        <v>-</v>
      </c>
      <c r="L75" t="str">
        <f>IF(Tabla_producción_serigrafia[[#This Row],[ACCIÓN]]="PRODUCCIÓN",Tabla_producción_serigrafia[[#This Row],[FORMATO DE FRASCO]]&amp;" "&amp;Tabla_producción_serigrafia[[#This Row],[TIPO DE FRASCO]],"-")</f>
        <v>-</v>
      </c>
      <c r="M75" s="3" t="str">
        <f>IFERROR(INDEX(Tabla_control_serigrafia[CANTIDAD PEDIDA],MATCH(Tabla_producción_serigrafia[[#This Row],[LOTE]],Tabla_control_serigrafia[LOTE],0)),"-")</f>
        <v>-</v>
      </c>
      <c r="N75" s="21">
        <v>0</v>
      </c>
      <c r="O75" s="3">
        <v>0</v>
      </c>
      <c r="P75" s="3">
        <v>0</v>
      </c>
      <c r="Q75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75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75" t="s">
        <v>38</v>
      </c>
      <c r="T75" t="str">
        <f>UPPER(LEFT(TEXT(Tabla_producción_serigrafia[[#This Row],[FECHA]],"mmm"),3))</f>
        <v>FEB</v>
      </c>
      <c r="U75">
        <f>+Tabla_producción_serigrafia[[#This Row],[CANTIDAD PRODUCIDA]]+Tabla_producción_serigrafia[[#This Row],[CANTIDAD RECHAZADA]]</f>
        <v>0</v>
      </c>
    </row>
    <row r="76" spans="1:21" x14ac:dyDescent="0.25">
      <c r="A76" s="10">
        <v>46071</v>
      </c>
      <c r="B76" s="10" t="s">
        <v>58</v>
      </c>
      <c r="C76" s="1" t="s">
        <v>65</v>
      </c>
      <c r="D76" s="9">
        <v>0.5625</v>
      </c>
      <c r="E76" s="20">
        <v>0.72916666666666663</v>
      </c>
      <c r="F76" s="15">
        <f t="shared" ref="F76" si="10">ROUND((E76-D76)*24,2)</f>
        <v>4</v>
      </c>
      <c r="G76" s="7" t="s">
        <v>56</v>
      </c>
      <c r="H76" s="3">
        <v>22612</v>
      </c>
      <c r="I76" s="7" t="str">
        <f>IFERROR(INDEX(Tabla_control_serigrafia[PRODUCTO],MATCH(Tabla_producción_serigrafia[[#This Row],[LOTE]],Tabla_control_serigrafia[LOTE],0)),"-")</f>
        <v>PARACETAMOL 120 MG X 60 ML JARABE</v>
      </c>
      <c r="J76" t="str">
        <f>IFERROR(INDEX(Tabla_control_serigrafia[FORMATO DE FRASCO],MATCH(Tabla_producción_serigrafia[[#This Row],[LOTE]],Tabla_control_serigrafia[LOTE],0)),"-")</f>
        <v>80 ML</v>
      </c>
      <c r="K76" t="str">
        <f>IFERROR(INDEX(Tabla_control_serigrafia[TIPO DE FRASCO],MATCH(Tabla_producción_serigrafia[[#This Row],[LOTE]],Tabla_control_serigrafia[LOTE],0)),"-")</f>
        <v>FRASCO BLANCO</v>
      </c>
      <c r="L76" t="str">
        <f>IF(Tabla_producción_serigrafia[[#This Row],[ACCIÓN]]="PRODUCCIÓN",Tabla_producción_serigrafia[[#This Row],[FORMATO DE FRASCO]]&amp;" "&amp;Tabla_producción_serigrafia[[#This Row],[TIPO DE FRASCO]],"-")</f>
        <v>80 ML FRASCO BLANCO</v>
      </c>
      <c r="M76" s="3">
        <f>IFERROR(INDEX(Tabla_control_serigrafia[CANTIDAD PEDIDA],MATCH(Tabla_producción_serigrafia[[#This Row],[LOTE]],Tabla_control_serigrafia[LOTE],0)),"-")</f>
        <v>44262</v>
      </c>
      <c r="N76" s="21">
        <v>5000</v>
      </c>
      <c r="O76" s="3">
        <v>230</v>
      </c>
      <c r="P76" s="3" t="s">
        <v>66</v>
      </c>
      <c r="Q76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5000</v>
      </c>
      <c r="R76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76" t="s">
        <v>38</v>
      </c>
      <c r="T76" t="str">
        <f>UPPER(LEFT(TEXT(Tabla_producción_serigrafia[[#This Row],[FECHA]],"mmm"),3))</f>
        <v>FEB</v>
      </c>
      <c r="U76">
        <f>+Tabla_producción_serigrafia[[#This Row],[CANTIDAD PRODUCIDA]]+Tabla_producción_serigrafia[[#This Row],[CANTIDAD RECHAZADA]]</f>
        <v>5230</v>
      </c>
    </row>
    <row r="77" spans="1:21" x14ac:dyDescent="0.25">
      <c r="A77" s="10">
        <v>46072</v>
      </c>
      <c r="B77" s="10" t="s">
        <v>58</v>
      </c>
      <c r="C77" s="1" t="s">
        <v>65</v>
      </c>
      <c r="D77" s="9">
        <v>0.35416666666666669</v>
      </c>
      <c r="E77" s="20">
        <v>0.72916666666666663</v>
      </c>
      <c r="F77" s="15">
        <f>ROUND((E77-D77)*24,2)</f>
        <v>9</v>
      </c>
      <c r="G77" s="7" t="s">
        <v>56</v>
      </c>
      <c r="H77" s="3">
        <v>22612</v>
      </c>
      <c r="I77" s="7" t="str">
        <f>IFERROR(INDEX(Tabla_control_serigrafia[PRODUCTO],MATCH(Tabla_producción_serigrafia[[#This Row],[LOTE]],Tabla_control_serigrafia[LOTE],0)),"-")</f>
        <v>PARACETAMOL 120 MG X 60 ML JARABE</v>
      </c>
      <c r="J77" t="str">
        <f>IFERROR(INDEX(Tabla_control_serigrafia[FORMATO DE FRASCO],MATCH(Tabla_producción_serigrafia[[#This Row],[LOTE]],Tabla_control_serigrafia[LOTE],0)),"-")</f>
        <v>80 ML</v>
      </c>
      <c r="K77" t="str">
        <f>IFERROR(INDEX(Tabla_control_serigrafia[TIPO DE FRASCO],MATCH(Tabla_producción_serigrafia[[#This Row],[LOTE]],Tabla_control_serigrafia[LOTE],0)),"-")</f>
        <v>FRASCO BLANCO</v>
      </c>
      <c r="L77" t="str">
        <f>IF(Tabla_producción_serigrafia[[#This Row],[ACCIÓN]]="PRODUCCIÓN",Tabla_producción_serigrafia[[#This Row],[FORMATO DE FRASCO]]&amp;" "&amp;Tabla_producción_serigrafia[[#This Row],[TIPO DE FRASCO]],"-")</f>
        <v>80 ML FRASCO BLANCO</v>
      </c>
      <c r="M77" s="3">
        <f>IFERROR(INDEX(Tabla_control_serigrafia[CANTIDAD PEDIDA],MATCH(Tabla_producción_serigrafia[[#This Row],[LOTE]],Tabla_control_serigrafia[LOTE],0)),"-")</f>
        <v>44262</v>
      </c>
      <c r="N77" s="21">
        <v>20000</v>
      </c>
      <c r="O77" s="3">
        <v>238</v>
      </c>
      <c r="P77" s="3" t="s">
        <v>66</v>
      </c>
      <c r="Q77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20000</v>
      </c>
      <c r="R77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77" t="s">
        <v>38</v>
      </c>
      <c r="T77" t="str">
        <f>UPPER(LEFT(TEXT(Tabla_producción_serigrafia[[#This Row],[FECHA]],"mmm"),3))</f>
        <v>FEB</v>
      </c>
      <c r="U77">
        <f>+Tabla_producción_serigrafia[[#This Row],[CANTIDAD PRODUCIDA]]+Tabla_producción_serigrafia[[#This Row],[CANTIDAD RECHAZADA]]</f>
        <v>20238</v>
      </c>
    </row>
    <row r="78" spans="1:21" x14ac:dyDescent="0.25">
      <c r="A78" s="10">
        <v>46073</v>
      </c>
      <c r="B78" s="10" t="s">
        <v>58</v>
      </c>
      <c r="C78" s="1" t="s">
        <v>65</v>
      </c>
      <c r="D78" s="9">
        <v>0.35416666666666669</v>
      </c>
      <c r="E78" s="20">
        <v>0.70833333333333337</v>
      </c>
      <c r="F78" s="15">
        <f>ROUND((E78-D78)*24,2)</f>
        <v>8.5</v>
      </c>
      <c r="G78" s="7" t="s">
        <v>56</v>
      </c>
      <c r="H78" s="3">
        <v>22612</v>
      </c>
      <c r="I78" s="7" t="str">
        <f>IFERROR(INDEX(Tabla_control_serigrafia[PRODUCTO],MATCH(Tabla_producción_serigrafia[[#This Row],[LOTE]],Tabla_control_serigrafia[LOTE],0)),"-")</f>
        <v>PARACETAMOL 120 MG X 60 ML JARABE</v>
      </c>
      <c r="J78" t="str">
        <f>IFERROR(INDEX(Tabla_control_serigrafia[FORMATO DE FRASCO],MATCH(Tabla_producción_serigrafia[[#This Row],[LOTE]],Tabla_control_serigrafia[LOTE],0)),"-")</f>
        <v>80 ML</v>
      </c>
      <c r="K78" t="str">
        <f>IFERROR(INDEX(Tabla_control_serigrafia[TIPO DE FRASCO],MATCH(Tabla_producción_serigrafia[[#This Row],[LOTE]],Tabla_control_serigrafia[LOTE],0)),"-")</f>
        <v>FRASCO BLANCO</v>
      </c>
      <c r="L78" t="str">
        <f>IF(Tabla_producción_serigrafia[[#This Row],[ACCIÓN]]="PRODUCCIÓN",Tabla_producción_serigrafia[[#This Row],[FORMATO DE FRASCO]]&amp;" "&amp;Tabla_producción_serigrafia[[#This Row],[TIPO DE FRASCO]],"-")</f>
        <v>80 ML FRASCO BLANCO</v>
      </c>
      <c r="M78" s="3">
        <f>IFERROR(INDEX(Tabla_control_serigrafia[CANTIDAD PEDIDA],MATCH(Tabla_producción_serigrafia[[#This Row],[LOTE]],Tabla_control_serigrafia[LOTE],0)),"-")</f>
        <v>44262</v>
      </c>
      <c r="N78" s="21">
        <v>19437</v>
      </c>
      <c r="O78" s="3">
        <v>320</v>
      </c>
      <c r="P78" s="3" t="s">
        <v>62</v>
      </c>
      <c r="Q78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19437</v>
      </c>
      <c r="R78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18</v>
      </c>
      <c r="S78" t="s">
        <v>38</v>
      </c>
      <c r="T78" t="str">
        <f>UPPER(LEFT(TEXT(Tabla_producción_serigrafia[[#This Row],[FECHA]],"mmm"),3))</f>
        <v>FEB</v>
      </c>
      <c r="U78">
        <f>+Tabla_producción_serigrafia[[#This Row],[CANTIDAD PRODUCIDA]]+Tabla_producción_serigrafia[[#This Row],[CANTIDAD RECHAZADA]]</f>
        <v>19757</v>
      </c>
    </row>
    <row r="79" spans="1:21" x14ac:dyDescent="0.25">
      <c r="A79" s="10">
        <v>46076</v>
      </c>
      <c r="B79" s="10" t="s">
        <v>58</v>
      </c>
      <c r="C79" s="1" t="s">
        <v>65</v>
      </c>
      <c r="D79" s="9">
        <v>0.33333333333333331</v>
      </c>
      <c r="E79" s="20">
        <v>0.39583333333333331</v>
      </c>
      <c r="F79" s="15">
        <f>ROUND((E79-D79)*24,2)</f>
        <v>1.5</v>
      </c>
      <c r="G79" s="7" t="s">
        <v>57</v>
      </c>
      <c r="H79" s="3" t="s">
        <v>38</v>
      </c>
      <c r="I79" s="7" t="str">
        <f>IFERROR(INDEX(Tabla_control_serigrafia[PRODUCTO],MATCH(Tabla_producción_serigrafia[[#This Row],[LOTE]],Tabla_control_serigrafia[LOTE],0)),"-")</f>
        <v>-</v>
      </c>
      <c r="J79" t="str">
        <f>IFERROR(INDEX(Tabla_control_serigrafia[FORMATO DE FRASCO],MATCH(Tabla_producción_serigrafia[[#This Row],[LOTE]],Tabla_control_serigrafia[LOTE],0)),"-")</f>
        <v>-</v>
      </c>
      <c r="K79" t="str">
        <f>IFERROR(INDEX(Tabla_control_serigrafia[TIPO DE FRASCO],MATCH(Tabla_producción_serigrafia[[#This Row],[LOTE]],Tabla_control_serigrafia[LOTE],0)),"-")</f>
        <v>-</v>
      </c>
      <c r="L79" t="str">
        <f>IF(Tabla_producción_serigrafia[[#This Row],[ACCIÓN]]="PRODUCCIÓN",Tabla_producción_serigrafia[[#This Row],[FORMATO DE FRASCO]]&amp;" "&amp;Tabla_producción_serigrafia[[#This Row],[TIPO DE FRASCO]],"-")</f>
        <v>-</v>
      </c>
      <c r="M79" s="3" t="str">
        <f>IFERROR(INDEX(Tabla_control_serigrafia[CANTIDAD PEDIDA],MATCH(Tabla_producción_serigrafia[[#This Row],[LOTE]],Tabla_control_serigrafia[LOTE],0)),"-")</f>
        <v>-</v>
      </c>
      <c r="N79" s="21">
        <v>0</v>
      </c>
      <c r="O79" s="3">
        <v>0</v>
      </c>
      <c r="P79" s="3">
        <v>0</v>
      </c>
      <c r="Q79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79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79" t="s">
        <v>38</v>
      </c>
      <c r="T79" t="str">
        <f>UPPER(LEFT(TEXT(Tabla_producción_serigrafia[[#This Row],[FECHA]],"mmm"),3))</f>
        <v>FEB</v>
      </c>
      <c r="U79">
        <f>+Tabla_producción_serigrafia[[#This Row],[CANTIDAD PRODUCIDA]]+Tabla_producción_serigrafia[[#This Row],[CANTIDAD RECHAZADA]]</f>
        <v>0</v>
      </c>
    </row>
    <row r="80" spans="1:21" x14ac:dyDescent="0.25">
      <c r="A80" s="10">
        <v>46076</v>
      </c>
      <c r="B80" s="10" t="s">
        <v>58</v>
      </c>
      <c r="C80" s="1" t="s">
        <v>65</v>
      </c>
      <c r="D80" s="9">
        <v>0.39583333333333331</v>
      </c>
      <c r="E80" s="20">
        <v>0.4375</v>
      </c>
      <c r="F80" s="15">
        <f t="shared" ref="F80:F83" si="11">ROUND((E80-D80)*24,2)</f>
        <v>1</v>
      </c>
      <c r="G80" s="7" t="s">
        <v>56</v>
      </c>
      <c r="H80" s="3">
        <v>22676</v>
      </c>
      <c r="I80" s="7" t="str">
        <f>IFERROR(INDEX(Tabla_control_serigrafia[PRODUCTO],MATCH(Tabla_producción_serigrafia[[#This Row],[LOTE]],Tabla_control_serigrafia[LOTE],0)),"-")</f>
        <v>CEFALEXINA 250 MG X 60 ML POLVO PARA SUSP.</v>
      </c>
      <c r="J80" t="str">
        <f>IFERROR(INDEX(Tabla_control_serigrafia[FORMATO DE FRASCO],MATCH(Tabla_producción_serigrafia[[#This Row],[LOTE]],Tabla_control_serigrafia[LOTE],0)),"-")</f>
        <v>80 ML</v>
      </c>
      <c r="K80" t="str">
        <f>IFERROR(INDEX(Tabla_control_serigrafia[TIPO DE FRASCO],MATCH(Tabla_producción_serigrafia[[#This Row],[LOTE]],Tabla_control_serigrafia[LOTE],0)),"-")</f>
        <v>FRASCO NATURAL</v>
      </c>
      <c r="L80" t="str">
        <f>IF(Tabla_producción_serigrafia[[#This Row],[ACCIÓN]]="PRODUCCIÓN",Tabla_producción_serigrafia[[#This Row],[FORMATO DE FRASCO]]&amp;" "&amp;Tabla_producción_serigrafia[[#This Row],[TIPO DE FRASCO]],"-")</f>
        <v>80 ML FRASCO NATURAL</v>
      </c>
      <c r="M80" s="3">
        <f>IFERROR(INDEX(Tabla_control_serigrafia[CANTIDAD PEDIDA],MATCH(Tabla_producción_serigrafia[[#This Row],[LOTE]],Tabla_control_serigrafia[LOTE],0)),"-")</f>
        <v>2200</v>
      </c>
      <c r="N80" s="21">
        <v>2250</v>
      </c>
      <c r="O80" s="3">
        <v>30</v>
      </c>
      <c r="P80" s="3" t="s">
        <v>62</v>
      </c>
      <c r="Q80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2250</v>
      </c>
      <c r="R80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21</v>
      </c>
      <c r="S80" t="s">
        <v>38</v>
      </c>
      <c r="T80" t="str">
        <f>UPPER(LEFT(TEXT(Tabla_producción_serigrafia[[#This Row],[FECHA]],"mmm"),3))</f>
        <v>FEB</v>
      </c>
      <c r="U80">
        <f>+Tabla_producción_serigrafia[[#This Row],[CANTIDAD PRODUCIDA]]+Tabla_producción_serigrafia[[#This Row],[CANTIDAD RECHAZADA]]</f>
        <v>2280</v>
      </c>
    </row>
    <row r="81" spans="1:21" x14ac:dyDescent="0.25">
      <c r="A81" s="10">
        <v>46076</v>
      </c>
      <c r="B81" s="10" t="s">
        <v>58</v>
      </c>
      <c r="C81" s="1" t="s">
        <v>65</v>
      </c>
      <c r="D81" s="9">
        <v>0.4375</v>
      </c>
      <c r="E81" s="20">
        <v>0.45833333333333331</v>
      </c>
      <c r="F81" s="15">
        <f t="shared" si="11"/>
        <v>0.5</v>
      </c>
      <c r="G81" s="7" t="s">
        <v>57</v>
      </c>
      <c r="H81" s="3" t="s">
        <v>38</v>
      </c>
      <c r="I81" s="7" t="str">
        <f>IFERROR(INDEX(Tabla_control_serigrafia[PRODUCTO],MATCH(Tabla_producción_serigrafia[[#This Row],[LOTE]],Tabla_control_serigrafia[LOTE],0)),"-")</f>
        <v>-</v>
      </c>
      <c r="J81" t="str">
        <f>IFERROR(INDEX(Tabla_control_serigrafia[FORMATO DE FRASCO],MATCH(Tabla_producción_serigrafia[[#This Row],[LOTE]],Tabla_control_serigrafia[LOTE],0)),"-")</f>
        <v>-</v>
      </c>
      <c r="K81" t="str">
        <f>IFERROR(INDEX(Tabla_control_serigrafia[TIPO DE FRASCO],MATCH(Tabla_producción_serigrafia[[#This Row],[LOTE]],Tabla_control_serigrafia[LOTE],0)),"-")</f>
        <v>-</v>
      </c>
      <c r="L81" t="str">
        <f>IF(Tabla_producción_serigrafia[[#This Row],[ACCIÓN]]="PRODUCCIÓN",Tabla_producción_serigrafia[[#This Row],[FORMATO DE FRASCO]]&amp;" "&amp;Tabla_producción_serigrafia[[#This Row],[TIPO DE FRASCO]],"-")</f>
        <v>-</v>
      </c>
      <c r="M81" s="3" t="str">
        <f>IFERROR(INDEX(Tabla_control_serigrafia[CANTIDAD PEDIDA],MATCH(Tabla_producción_serigrafia[[#This Row],[LOTE]],Tabla_control_serigrafia[LOTE],0)),"-")</f>
        <v>-</v>
      </c>
      <c r="N81" s="21">
        <v>0</v>
      </c>
      <c r="O81" s="3">
        <v>0</v>
      </c>
      <c r="P81" s="3">
        <v>0</v>
      </c>
      <c r="Q81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81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81" t="s">
        <v>38</v>
      </c>
      <c r="T81" t="str">
        <f>UPPER(LEFT(TEXT(Tabla_producción_serigrafia[[#This Row],[FECHA]],"mmm"),3))</f>
        <v>FEB</v>
      </c>
      <c r="U81">
        <f>+Tabla_producción_serigrafia[[#This Row],[CANTIDAD PRODUCIDA]]+Tabla_producción_serigrafia[[#This Row],[CANTIDAD RECHAZADA]]</f>
        <v>0</v>
      </c>
    </row>
    <row r="82" spans="1:21" x14ac:dyDescent="0.25">
      <c r="A82" s="10">
        <v>46076</v>
      </c>
      <c r="B82" s="10" t="s">
        <v>58</v>
      </c>
      <c r="C82" s="1" t="s">
        <v>65</v>
      </c>
      <c r="D82" s="9">
        <v>0.45833333333333331</v>
      </c>
      <c r="E82" s="20">
        <v>0.5625</v>
      </c>
      <c r="F82" s="15">
        <f t="shared" si="11"/>
        <v>2.5</v>
      </c>
      <c r="G82" s="7" t="s">
        <v>56</v>
      </c>
      <c r="H82" s="3">
        <v>22673</v>
      </c>
      <c r="I82" s="7" t="str">
        <f>IFERROR(INDEX(Tabla_control_serigrafia[PRODUCTO],MATCH(Tabla_producción_serigrafia[[#This Row],[LOTE]],Tabla_control_serigrafia[LOTE],0)),"-")</f>
        <v>DICLOXACILINA 250 MG X 60 ML POLVO PARA SUSP.</v>
      </c>
      <c r="J82" t="str">
        <f>IFERROR(INDEX(Tabla_control_serigrafia[FORMATO DE FRASCO],MATCH(Tabla_producción_serigrafia[[#This Row],[LOTE]],Tabla_control_serigrafia[LOTE],0)),"-")</f>
        <v>80 ML</v>
      </c>
      <c r="K82" t="str">
        <f>IFERROR(INDEX(Tabla_control_serigrafia[TIPO DE FRASCO],MATCH(Tabla_producción_serigrafia[[#This Row],[LOTE]],Tabla_control_serigrafia[LOTE],0)),"-")</f>
        <v>FRASCO NATURAL</v>
      </c>
      <c r="L82" t="str">
        <f>IF(Tabla_producción_serigrafia[[#This Row],[ACCIÓN]]="PRODUCCIÓN",Tabla_producción_serigrafia[[#This Row],[FORMATO DE FRASCO]]&amp;" "&amp;Tabla_producción_serigrafia[[#This Row],[TIPO DE FRASCO]],"-")</f>
        <v>80 ML FRASCO NATURAL</v>
      </c>
      <c r="M82" s="3">
        <f>IFERROR(INDEX(Tabla_control_serigrafia[CANTIDAD PEDIDA],MATCH(Tabla_producción_serigrafia[[#This Row],[LOTE]],Tabla_control_serigrafia[LOTE],0)),"-")</f>
        <v>2500</v>
      </c>
      <c r="N82" s="21">
        <v>2500</v>
      </c>
      <c r="O82" s="3">
        <v>0</v>
      </c>
      <c r="P82" s="3" t="s">
        <v>62</v>
      </c>
      <c r="Q82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2500</v>
      </c>
      <c r="R82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21</v>
      </c>
      <c r="S82" t="s">
        <v>38</v>
      </c>
      <c r="T82" t="str">
        <f>UPPER(LEFT(TEXT(Tabla_producción_serigrafia[[#This Row],[FECHA]],"mmm"),3))</f>
        <v>FEB</v>
      </c>
      <c r="U82">
        <f>+Tabla_producción_serigrafia[[#This Row],[CANTIDAD PRODUCIDA]]+Tabla_producción_serigrafia[[#This Row],[CANTIDAD RECHAZADA]]</f>
        <v>2500</v>
      </c>
    </row>
    <row r="83" spans="1:21" x14ac:dyDescent="0.25">
      <c r="A83" s="10">
        <v>46076</v>
      </c>
      <c r="B83" s="10" t="s">
        <v>58</v>
      </c>
      <c r="C83" s="1" t="s">
        <v>65</v>
      </c>
      <c r="D83" s="9">
        <v>0.58333333333333337</v>
      </c>
      <c r="E83" s="20">
        <v>0.72916666666666663</v>
      </c>
      <c r="F83" s="15">
        <f t="shared" si="11"/>
        <v>3.5</v>
      </c>
      <c r="G83" s="7" t="s">
        <v>56</v>
      </c>
      <c r="H83" s="3">
        <v>22685</v>
      </c>
      <c r="I83" s="7" t="str">
        <f>IFERROR(INDEX(Tabla_control_serigrafia[PRODUCTO],MATCH(Tabla_producción_serigrafia[[#This Row],[LOTE]],Tabla_control_serigrafia[LOTE],0)),"-")</f>
        <v>CLORFENAMINA 2 MG X 60 ML JARABE</v>
      </c>
      <c r="J83" t="str">
        <f>IFERROR(INDEX(Tabla_control_serigrafia[FORMATO DE FRASCO],MATCH(Tabla_producción_serigrafia[[#This Row],[LOTE]],Tabla_control_serigrafia[LOTE],0)),"-")</f>
        <v>80 ML</v>
      </c>
      <c r="K83" t="str">
        <f>IFERROR(INDEX(Tabla_control_serigrafia[TIPO DE FRASCO],MATCH(Tabla_producción_serigrafia[[#This Row],[LOTE]],Tabla_control_serigrafia[LOTE],0)),"-")</f>
        <v>FRASCO BLANCO</v>
      </c>
      <c r="L83" t="str">
        <f>IF(Tabla_producción_serigrafia[[#This Row],[ACCIÓN]]="PRODUCCIÓN",Tabla_producción_serigrafia[[#This Row],[FORMATO DE FRASCO]]&amp;" "&amp;Tabla_producción_serigrafia[[#This Row],[TIPO DE FRASCO]],"-")</f>
        <v>80 ML FRASCO BLANCO</v>
      </c>
      <c r="M83" s="3">
        <f>IFERROR(INDEX(Tabla_control_serigrafia[CANTIDAD PEDIDA],MATCH(Tabla_producción_serigrafia[[#This Row],[LOTE]],Tabla_control_serigrafia[LOTE],0)),"-")</f>
        <v>29508</v>
      </c>
      <c r="N83" s="21">
        <v>7500</v>
      </c>
      <c r="O83" s="3">
        <v>120</v>
      </c>
      <c r="P83" s="3" t="s">
        <v>66</v>
      </c>
      <c r="Q83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7500</v>
      </c>
      <c r="R83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83" t="s">
        <v>38</v>
      </c>
      <c r="T83" t="str">
        <f>UPPER(LEFT(TEXT(Tabla_producción_serigrafia[[#This Row],[FECHA]],"mmm"),3))</f>
        <v>FEB</v>
      </c>
      <c r="U83">
        <f>+Tabla_producción_serigrafia[[#This Row],[CANTIDAD PRODUCIDA]]+Tabla_producción_serigrafia[[#This Row],[CANTIDAD RECHAZADA]]</f>
        <v>7620</v>
      </c>
    </row>
    <row r="84" spans="1:21" x14ac:dyDescent="0.25">
      <c r="A84" s="10">
        <v>46077</v>
      </c>
      <c r="B84" s="10" t="s">
        <v>58</v>
      </c>
      <c r="C84" s="1" t="s">
        <v>65</v>
      </c>
      <c r="D84" s="9">
        <v>0.35416666666666669</v>
      </c>
      <c r="E84" s="20">
        <v>0.4861111111111111</v>
      </c>
      <c r="F84" s="15">
        <f t="shared" ref="F84:F89" si="12">ROUND((E84-D84)*24,2)</f>
        <v>3.17</v>
      </c>
      <c r="G84" s="7" t="s">
        <v>56</v>
      </c>
      <c r="H84" s="3">
        <v>22685</v>
      </c>
      <c r="I84" s="7" t="str">
        <f>IFERROR(INDEX(Tabla_control_serigrafia[PRODUCTO],MATCH(Tabla_producción_serigrafia[[#This Row],[LOTE]],Tabla_control_serigrafia[LOTE],0)),"-")</f>
        <v>CLORFENAMINA 2 MG X 60 ML JARABE</v>
      </c>
      <c r="J84" t="str">
        <f>IFERROR(INDEX(Tabla_control_serigrafia[FORMATO DE FRASCO],MATCH(Tabla_producción_serigrafia[[#This Row],[LOTE]],Tabla_control_serigrafia[LOTE],0)),"-")</f>
        <v>80 ML</v>
      </c>
      <c r="K84" t="str">
        <f>IFERROR(INDEX(Tabla_control_serigrafia[TIPO DE FRASCO],MATCH(Tabla_producción_serigrafia[[#This Row],[LOTE]],Tabla_control_serigrafia[LOTE],0)),"-")</f>
        <v>FRASCO BLANCO</v>
      </c>
      <c r="L84" t="str">
        <f>IF(Tabla_producción_serigrafia[[#This Row],[ACCIÓN]]="PRODUCCIÓN",Tabla_producción_serigrafia[[#This Row],[FORMATO DE FRASCO]]&amp;" "&amp;Tabla_producción_serigrafia[[#This Row],[TIPO DE FRASCO]],"-")</f>
        <v>80 ML FRASCO BLANCO</v>
      </c>
      <c r="M84" s="3">
        <f>IFERROR(INDEX(Tabla_control_serigrafia[CANTIDAD PEDIDA],MATCH(Tabla_producción_serigrafia[[#This Row],[LOTE]],Tabla_control_serigrafia[LOTE],0)),"-")</f>
        <v>29508</v>
      </c>
      <c r="N84" s="21">
        <v>7600</v>
      </c>
      <c r="O84" s="3">
        <v>310</v>
      </c>
      <c r="P84" s="3" t="s">
        <v>62</v>
      </c>
      <c r="Q84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7600</v>
      </c>
      <c r="R84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14</v>
      </c>
      <c r="S84" t="s">
        <v>109</v>
      </c>
      <c r="T84" t="str">
        <f>UPPER(LEFT(TEXT(Tabla_producción_serigrafia[[#This Row],[FECHA]],"mmm"),3))</f>
        <v>FEB</v>
      </c>
      <c r="U84">
        <f>+Tabla_producción_serigrafia[[#This Row],[CANTIDAD PRODUCIDA]]+Tabla_producción_serigrafia[[#This Row],[CANTIDAD RECHAZADA]]</f>
        <v>7910</v>
      </c>
    </row>
    <row r="85" spans="1:21" x14ac:dyDescent="0.25">
      <c r="A85" s="10">
        <v>46077</v>
      </c>
      <c r="B85" s="10" t="s">
        <v>58</v>
      </c>
      <c r="C85" s="1" t="s">
        <v>65</v>
      </c>
      <c r="D85" s="9">
        <v>0.4861111111111111</v>
      </c>
      <c r="E85" s="20">
        <v>0.70833333333333337</v>
      </c>
      <c r="F85" s="15">
        <f t="shared" si="12"/>
        <v>5.33</v>
      </c>
      <c r="G85" s="7" t="s">
        <v>64</v>
      </c>
      <c r="H85" s="3" t="s">
        <v>38</v>
      </c>
      <c r="I85" s="7" t="str">
        <f>IFERROR(INDEX(Tabla_control_serigrafia[PRODUCTO],MATCH(Tabla_producción_serigrafia[[#This Row],[LOTE]],Tabla_control_serigrafia[LOTE],0)),"-")</f>
        <v>-</v>
      </c>
      <c r="J85" t="str">
        <f>IFERROR(INDEX(Tabla_control_serigrafia[FORMATO DE FRASCO],MATCH(Tabla_producción_serigrafia[[#This Row],[LOTE]],Tabla_control_serigrafia[LOTE],0)),"-")</f>
        <v>-</v>
      </c>
      <c r="K85" t="str">
        <f>IFERROR(INDEX(Tabla_control_serigrafia[TIPO DE FRASCO],MATCH(Tabla_producción_serigrafia[[#This Row],[LOTE]],Tabla_control_serigrafia[LOTE],0)),"-")</f>
        <v>-</v>
      </c>
      <c r="L85" t="str">
        <f>IF(Tabla_producción_serigrafia[[#This Row],[ACCIÓN]]="PRODUCCIÓN",Tabla_producción_serigrafia[[#This Row],[FORMATO DE FRASCO]]&amp;" "&amp;Tabla_producción_serigrafia[[#This Row],[TIPO DE FRASCO]],"-")</f>
        <v>-</v>
      </c>
      <c r="M85" s="3" t="str">
        <f>IFERROR(INDEX(Tabla_control_serigrafia[CANTIDAD PEDIDA],MATCH(Tabla_producción_serigrafia[[#This Row],[LOTE]],Tabla_control_serigrafia[LOTE],0)),"-")</f>
        <v>-</v>
      </c>
      <c r="N85" s="21">
        <v>0</v>
      </c>
      <c r="O85" s="3">
        <v>0</v>
      </c>
      <c r="P85" s="3">
        <v>0</v>
      </c>
      <c r="Q85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85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85" t="s">
        <v>144</v>
      </c>
      <c r="T85" t="str">
        <f>UPPER(LEFT(TEXT(Tabla_producción_serigrafia[[#This Row],[FECHA]],"mmm"),3))</f>
        <v>FEB</v>
      </c>
      <c r="U85">
        <f>+Tabla_producción_serigrafia[[#This Row],[CANTIDAD PRODUCIDA]]+Tabla_producción_serigrafia[[#This Row],[CANTIDAD RECHAZADA]]</f>
        <v>0</v>
      </c>
    </row>
    <row r="86" spans="1:21" x14ac:dyDescent="0.25">
      <c r="A86" s="10">
        <v>46078</v>
      </c>
      <c r="B86" s="10" t="s">
        <v>58</v>
      </c>
      <c r="C86" s="1" t="s">
        <v>65</v>
      </c>
      <c r="D86" s="9">
        <v>0.33333333333333331</v>
      </c>
      <c r="E86" s="20">
        <v>0.41666666666666669</v>
      </c>
      <c r="F86" s="15">
        <f t="shared" si="12"/>
        <v>2</v>
      </c>
      <c r="G86" s="7" t="s">
        <v>64</v>
      </c>
      <c r="H86" s="3" t="s">
        <v>38</v>
      </c>
      <c r="I86" s="7" t="str">
        <f>IFERROR(INDEX(Tabla_control_serigrafia[PRODUCTO],MATCH(Tabla_producción_serigrafia[[#This Row],[LOTE]],Tabla_control_serigrafia[LOTE],0)),"-")</f>
        <v>-</v>
      </c>
      <c r="J86" t="str">
        <f>IFERROR(INDEX(Tabla_control_serigrafia[FORMATO DE FRASCO],MATCH(Tabla_producción_serigrafia[[#This Row],[LOTE]],Tabla_control_serigrafia[LOTE],0)),"-")</f>
        <v>-</v>
      </c>
      <c r="K86" t="str">
        <f>IFERROR(INDEX(Tabla_control_serigrafia[TIPO DE FRASCO],MATCH(Tabla_producción_serigrafia[[#This Row],[LOTE]],Tabla_control_serigrafia[LOTE],0)),"-")</f>
        <v>-</v>
      </c>
      <c r="L86" t="str">
        <f>IF(Tabla_producción_serigrafia[[#This Row],[ACCIÓN]]="PRODUCCIÓN",Tabla_producción_serigrafia[[#This Row],[FORMATO DE FRASCO]]&amp;" "&amp;Tabla_producción_serigrafia[[#This Row],[TIPO DE FRASCO]],"-")</f>
        <v>-</v>
      </c>
      <c r="M86" s="3" t="str">
        <f>IFERROR(INDEX(Tabla_control_serigrafia[CANTIDAD PEDIDA],MATCH(Tabla_producción_serigrafia[[#This Row],[LOTE]],Tabla_control_serigrafia[LOTE],0)),"-")</f>
        <v>-</v>
      </c>
      <c r="N86" s="21">
        <v>0</v>
      </c>
      <c r="O86" s="3">
        <v>0</v>
      </c>
      <c r="P86" s="3">
        <v>0</v>
      </c>
      <c r="Q86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86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86" t="s">
        <v>144</v>
      </c>
      <c r="T86" t="str">
        <f>UPPER(LEFT(TEXT(Tabla_producción_serigrafia[[#This Row],[FECHA]],"mmm"),3))</f>
        <v>FEB</v>
      </c>
      <c r="U86">
        <f>+Tabla_producción_serigrafia[[#This Row],[CANTIDAD PRODUCIDA]]+Tabla_producción_serigrafia[[#This Row],[CANTIDAD RECHAZADA]]</f>
        <v>0</v>
      </c>
    </row>
    <row r="87" spans="1:21" x14ac:dyDescent="0.25">
      <c r="A87" s="10">
        <v>46079</v>
      </c>
      <c r="B87" s="10" t="s">
        <v>58</v>
      </c>
      <c r="C87" s="1" t="s">
        <v>65</v>
      </c>
      <c r="D87" s="9">
        <v>0.35416666666666669</v>
      </c>
      <c r="E87" s="20">
        <v>0.5</v>
      </c>
      <c r="F87" s="15">
        <f t="shared" si="12"/>
        <v>3.5</v>
      </c>
      <c r="G87" s="7" t="s">
        <v>56</v>
      </c>
      <c r="H87" s="3">
        <v>22613</v>
      </c>
      <c r="I87" s="7" t="str">
        <f>IFERROR(INDEX(Tabla_control_serigrafia[PRODUCTO],MATCH(Tabla_producción_serigrafia[[#This Row],[LOTE]],Tabla_control_serigrafia[LOTE],0)),"-")</f>
        <v>TUSSINOL X 100 ML JARABE</v>
      </c>
      <c r="J87" t="str">
        <f>IFERROR(INDEX(Tabla_control_serigrafia[FORMATO DE FRASCO],MATCH(Tabla_producción_serigrafia[[#This Row],[LOTE]],Tabla_control_serigrafia[LOTE],0)),"-")</f>
        <v>120 ML</v>
      </c>
      <c r="K87" t="str">
        <f>IFERROR(INDEX(Tabla_control_serigrafia[TIPO DE FRASCO],MATCH(Tabla_producción_serigrafia[[#This Row],[LOTE]],Tabla_control_serigrafia[LOTE],0)),"-")</f>
        <v>FRASCO BLANCO</v>
      </c>
      <c r="L87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87" s="3">
        <f>IFERROR(INDEX(Tabla_control_serigrafia[CANTIDAD PEDIDA],MATCH(Tabla_producción_serigrafia[[#This Row],[LOTE]],Tabla_control_serigrafia[LOTE],0)),"-")</f>
        <v>7000</v>
      </c>
      <c r="N87" s="21">
        <v>2000</v>
      </c>
      <c r="O87" s="3">
        <v>100</v>
      </c>
      <c r="P87" s="3" t="s">
        <v>66</v>
      </c>
      <c r="Q87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2000</v>
      </c>
      <c r="R87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87" t="s">
        <v>38</v>
      </c>
      <c r="T87" t="str">
        <f>UPPER(LEFT(TEXT(Tabla_producción_serigrafia[[#This Row],[FECHA]],"mmm"),3))</f>
        <v>FEB</v>
      </c>
      <c r="U87">
        <f>+Tabla_producción_serigrafia[[#This Row],[CANTIDAD PRODUCIDA]]+Tabla_producción_serigrafia[[#This Row],[CANTIDAD RECHAZADA]]</f>
        <v>2100</v>
      </c>
    </row>
    <row r="88" spans="1:21" x14ac:dyDescent="0.25">
      <c r="A88" s="10">
        <v>46079</v>
      </c>
      <c r="B88" s="10" t="s">
        <v>58</v>
      </c>
      <c r="C88" s="1" t="s">
        <v>65</v>
      </c>
      <c r="D88" s="9">
        <v>0.68055555555555547</v>
      </c>
      <c r="E88" s="20">
        <v>0.72916666666666663</v>
      </c>
      <c r="F88" s="15">
        <f t="shared" si="12"/>
        <v>1.17</v>
      </c>
      <c r="G88" s="7" t="s">
        <v>56</v>
      </c>
      <c r="H88" s="3">
        <v>17226</v>
      </c>
      <c r="I88" s="7" t="str">
        <f>IFERROR(INDEX(Tabla_control_serigrafia[PRODUCTO],MATCH(Tabla_producción_serigrafia[[#This Row],[LOTE]],Tabla_control_serigrafia[LOTE],0)),"-")</f>
        <v>VITAVE AVIAR X 100 G POLVO VETERINARIO</v>
      </c>
      <c r="J88" t="str">
        <f>IFERROR(INDEX(Tabla_control_serigrafia[FORMATO DE FRASCO],MATCH(Tabla_producción_serigrafia[[#This Row],[LOTE]],Tabla_control_serigrafia[LOTE],0)),"-")</f>
        <v>100 GR</v>
      </c>
      <c r="K88" t="str">
        <f>IFERROR(INDEX(Tabla_control_serigrafia[TIPO DE FRASCO],MATCH(Tabla_producción_serigrafia[[#This Row],[LOTE]],Tabla_control_serigrafia[LOTE],0)),"-")</f>
        <v>FRASCO BLANCO</v>
      </c>
      <c r="L88" t="str">
        <f>IF(Tabla_producción_serigrafia[[#This Row],[ACCIÓN]]="PRODUCCIÓN",Tabla_producción_serigrafia[[#This Row],[FORMATO DE FRASCO]]&amp;" "&amp;Tabla_producción_serigrafia[[#This Row],[TIPO DE FRASCO]],"-")</f>
        <v>100 GR FRASCO BLANCO</v>
      </c>
      <c r="M88" s="3">
        <f>IFERROR(INDEX(Tabla_control_serigrafia[CANTIDAD PEDIDA],MATCH(Tabla_producción_serigrafia[[#This Row],[LOTE]],Tabla_control_serigrafia[LOTE],0)),"-")</f>
        <v>1980</v>
      </c>
      <c r="N88" s="21">
        <v>500</v>
      </c>
      <c r="O88" s="3">
        <v>30</v>
      </c>
      <c r="P88" s="3" t="s">
        <v>62</v>
      </c>
      <c r="Q88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500</v>
      </c>
      <c r="R88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24</v>
      </c>
      <c r="S88" t="s">
        <v>38</v>
      </c>
      <c r="T88" t="str">
        <f>UPPER(LEFT(TEXT(Tabla_producción_serigrafia[[#This Row],[FECHA]],"mmm"),3))</f>
        <v>FEB</v>
      </c>
      <c r="U88">
        <f>+Tabla_producción_serigrafia[[#This Row],[CANTIDAD PRODUCIDA]]+Tabla_producción_serigrafia[[#This Row],[CANTIDAD RECHAZADA]]</f>
        <v>530</v>
      </c>
    </row>
    <row r="89" spans="1:21" x14ac:dyDescent="0.25">
      <c r="A89" s="10">
        <v>46080</v>
      </c>
      <c r="B89" s="10" t="s">
        <v>58</v>
      </c>
      <c r="C89" s="1" t="s">
        <v>65</v>
      </c>
      <c r="D89" s="9">
        <v>0.35416666666666669</v>
      </c>
      <c r="E89" s="20">
        <v>0.52083333333333337</v>
      </c>
      <c r="F89" s="15">
        <f t="shared" si="12"/>
        <v>4</v>
      </c>
      <c r="G89" s="7" t="s">
        <v>56</v>
      </c>
      <c r="H89" s="3">
        <v>22613</v>
      </c>
      <c r="I89" s="7" t="str">
        <f>IFERROR(INDEX(Tabla_control_serigrafia[PRODUCTO],MATCH(Tabla_producción_serigrafia[[#This Row],[LOTE]],Tabla_control_serigrafia[LOTE],0)),"-")</f>
        <v>TUSSINOL X 100 ML JARABE</v>
      </c>
      <c r="J89" t="str">
        <f>IFERROR(INDEX(Tabla_control_serigrafia[FORMATO DE FRASCO],MATCH(Tabla_producción_serigrafia[[#This Row],[LOTE]],Tabla_control_serigrafia[LOTE],0)),"-")</f>
        <v>120 ML</v>
      </c>
      <c r="K89" t="str">
        <f>IFERROR(INDEX(Tabla_control_serigrafia[TIPO DE FRASCO],MATCH(Tabla_producción_serigrafia[[#This Row],[LOTE]],Tabla_control_serigrafia[LOTE],0)),"-")</f>
        <v>FRASCO BLANCO</v>
      </c>
      <c r="L89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89" s="3">
        <f>IFERROR(INDEX(Tabla_control_serigrafia[CANTIDAD PEDIDA],MATCH(Tabla_producción_serigrafia[[#This Row],[LOTE]],Tabla_control_serigrafia[LOTE],0)),"-")</f>
        <v>7000</v>
      </c>
      <c r="N89" s="21">
        <v>5100</v>
      </c>
      <c r="O89" s="3">
        <v>270</v>
      </c>
      <c r="P89" s="3" t="s">
        <v>62</v>
      </c>
      <c r="Q89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5100</v>
      </c>
      <c r="R89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25</v>
      </c>
      <c r="S89" t="s">
        <v>38</v>
      </c>
      <c r="T89" t="str">
        <f>UPPER(LEFT(TEXT(Tabla_producción_serigrafia[[#This Row],[FECHA]],"mmm"),3))</f>
        <v>FEB</v>
      </c>
      <c r="U89">
        <f>+Tabla_producción_serigrafia[[#This Row],[CANTIDAD PRODUCIDA]]+Tabla_producción_serigrafia[[#This Row],[CANTIDAD RECHAZADA]]</f>
        <v>5370</v>
      </c>
    </row>
    <row r="90" spans="1:21" x14ac:dyDescent="0.25">
      <c r="A90" s="10">
        <v>46080</v>
      </c>
      <c r="B90" s="10" t="s">
        <v>58</v>
      </c>
      <c r="C90" s="1" t="s">
        <v>65</v>
      </c>
      <c r="D90" s="9">
        <v>0.52083333333333337</v>
      </c>
      <c r="E90" s="20">
        <v>0.54166666666666663</v>
      </c>
      <c r="F90" s="15">
        <f t="shared" ref="F90:F91" si="13">ROUND((E90-D90)*24,2)</f>
        <v>0.5</v>
      </c>
      <c r="G90" s="7" t="s">
        <v>57</v>
      </c>
      <c r="H90" s="3" t="s">
        <v>38</v>
      </c>
      <c r="I90" s="7" t="str">
        <f>IFERROR(INDEX(Tabla_control_serigrafia[PRODUCTO],MATCH(Tabla_producción_serigrafia[[#This Row],[LOTE]],Tabla_control_serigrafia[LOTE],0)),"-")</f>
        <v>-</v>
      </c>
      <c r="J90" t="str">
        <f>IFERROR(INDEX(Tabla_control_serigrafia[FORMATO DE FRASCO],MATCH(Tabla_producción_serigrafia[[#This Row],[LOTE]],Tabla_control_serigrafia[LOTE],0)),"-")</f>
        <v>-</v>
      </c>
      <c r="K90" t="str">
        <f>IFERROR(INDEX(Tabla_control_serigrafia[TIPO DE FRASCO],MATCH(Tabla_producción_serigrafia[[#This Row],[LOTE]],Tabla_control_serigrafia[LOTE],0)),"-")</f>
        <v>-</v>
      </c>
      <c r="L90" t="str">
        <f>IF(Tabla_producción_serigrafia[[#This Row],[ACCIÓN]]="PRODUCCIÓN",Tabla_producción_serigrafia[[#This Row],[FORMATO DE FRASCO]]&amp;" "&amp;Tabla_producción_serigrafia[[#This Row],[TIPO DE FRASCO]],"-")</f>
        <v>-</v>
      </c>
      <c r="M90" s="3" t="str">
        <f>IFERROR(INDEX(Tabla_control_serigrafia[CANTIDAD PEDIDA],MATCH(Tabla_producción_serigrafia[[#This Row],[LOTE]],Tabla_control_serigrafia[LOTE],0)),"-")</f>
        <v>-</v>
      </c>
      <c r="N90" s="21">
        <v>0</v>
      </c>
      <c r="O90" s="3">
        <v>0</v>
      </c>
      <c r="P90" s="3">
        <v>0</v>
      </c>
      <c r="Q90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90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90" t="s">
        <v>38</v>
      </c>
      <c r="T90" t="str">
        <f>UPPER(LEFT(TEXT(Tabla_producción_serigrafia[[#This Row],[FECHA]],"mmm"),3))</f>
        <v>FEB</v>
      </c>
      <c r="U90">
        <f>+Tabla_producción_serigrafia[[#This Row],[CANTIDAD PRODUCIDA]]+Tabla_producción_serigrafia[[#This Row],[CANTIDAD RECHAZADA]]</f>
        <v>0</v>
      </c>
    </row>
    <row r="91" spans="1:21" x14ac:dyDescent="0.25">
      <c r="A91" s="10">
        <v>46080</v>
      </c>
      <c r="B91" s="10" t="s">
        <v>58</v>
      </c>
      <c r="C91" s="1" t="s">
        <v>65</v>
      </c>
      <c r="D91" s="9">
        <v>0.54166666666666663</v>
      </c>
      <c r="E91" s="20">
        <v>0.72916666666666663</v>
      </c>
      <c r="F91" s="15">
        <f t="shared" si="13"/>
        <v>4.5</v>
      </c>
      <c r="G91" s="7" t="s">
        <v>56</v>
      </c>
      <c r="H91" s="3">
        <v>22682</v>
      </c>
      <c r="I91" s="7" t="str">
        <f>IFERROR(INDEX(Tabla_control_serigrafia[PRODUCTO],MATCH(Tabla_producción_serigrafia[[#This Row],[LOTE]],Tabla_control_serigrafia[LOTE],0)),"-")</f>
        <v>IBUPROFENO 200 MG X 100 ML SUSP.</v>
      </c>
      <c r="J91" t="str">
        <f>IFERROR(INDEX(Tabla_control_serigrafia[FORMATO DE FRASCO],MATCH(Tabla_producción_serigrafia[[#This Row],[LOTE]],Tabla_control_serigrafia[LOTE],0)),"-")</f>
        <v>120 ML</v>
      </c>
      <c r="K91" t="str">
        <f>IFERROR(INDEX(Tabla_control_serigrafia[TIPO DE FRASCO],MATCH(Tabla_producción_serigrafia[[#This Row],[LOTE]],Tabla_control_serigrafia[LOTE],0)),"-")</f>
        <v>FRASCO BLANCO</v>
      </c>
      <c r="L91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91" s="3">
        <f>IFERROR(INDEX(Tabla_control_serigrafia[CANTIDAD PEDIDA],MATCH(Tabla_producción_serigrafia[[#This Row],[LOTE]],Tabla_control_serigrafia[LOTE],0)),"-")</f>
        <v>9804</v>
      </c>
      <c r="N91" s="21">
        <v>9950</v>
      </c>
      <c r="O91" s="3">
        <v>319</v>
      </c>
      <c r="P91" s="3" t="s">
        <v>62</v>
      </c>
      <c r="Q91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9950</v>
      </c>
      <c r="R91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25</v>
      </c>
      <c r="S91" t="s">
        <v>38</v>
      </c>
      <c r="T91" t="str">
        <f>UPPER(LEFT(TEXT(Tabla_producción_serigrafia[[#This Row],[FECHA]],"mmm"),3))</f>
        <v>FEB</v>
      </c>
      <c r="U91">
        <f>+Tabla_producción_serigrafia[[#This Row],[CANTIDAD PRODUCIDA]]+Tabla_producción_serigrafia[[#This Row],[CANTIDAD RECHAZADA]]</f>
        <v>10269</v>
      </c>
    </row>
    <row r="92" spans="1:21" x14ac:dyDescent="0.25">
      <c r="A92" s="10">
        <v>46083</v>
      </c>
      <c r="B92" s="10" t="s">
        <v>58</v>
      </c>
      <c r="C92" s="1" t="s">
        <v>65</v>
      </c>
      <c r="D92" s="9">
        <v>0.33333333333333331</v>
      </c>
      <c r="E92" s="20">
        <v>0.375</v>
      </c>
      <c r="F92" s="15">
        <f>ROUND((E92-D92)*24,2)</f>
        <v>1</v>
      </c>
      <c r="G92" s="7" t="s">
        <v>57</v>
      </c>
      <c r="H92" s="3" t="s">
        <v>38</v>
      </c>
      <c r="I92" s="7" t="str">
        <f>IFERROR(INDEX(Tabla_control_serigrafia[PRODUCTO],MATCH(Tabla_producción_serigrafia[[#This Row],[LOTE]],Tabla_control_serigrafia[LOTE],0)),"-")</f>
        <v>-</v>
      </c>
      <c r="J92" t="str">
        <f>IFERROR(INDEX(Tabla_control_serigrafia[FORMATO DE FRASCO],MATCH(Tabla_producción_serigrafia[[#This Row],[LOTE]],Tabla_control_serigrafia[LOTE],0)),"-")</f>
        <v>-</v>
      </c>
      <c r="K92" t="str">
        <f>IFERROR(INDEX(Tabla_control_serigrafia[TIPO DE FRASCO],MATCH(Tabla_producción_serigrafia[[#This Row],[LOTE]],Tabla_control_serigrafia[LOTE],0)),"-")</f>
        <v>-</v>
      </c>
      <c r="L92" t="str">
        <f>IF(Tabla_producción_serigrafia[[#This Row],[ACCIÓN]]="PRODUCCIÓN",Tabla_producción_serigrafia[[#This Row],[FORMATO DE FRASCO]]&amp;" "&amp;Tabla_producción_serigrafia[[#This Row],[TIPO DE FRASCO]],"-")</f>
        <v>-</v>
      </c>
      <c r="M92" s="3" t="str">
        <f>IFERROR(INDEX(Tabla_control_serigrafia[CANTIDAD PEDIDA],MATCH(Tabla_producción_serigrafia[[#This Row],[LOTE]],Tabla_control_serigrafia[LOTE],0)),"-")</f>
        <v>-</v>
      </c>
      <c r="N92" s="21">
        <v>0</v>
      </c>
      <c r="O92" s="3">
        <v>0</v>
      </c>
      <c r="P92" s="3">
        <v>0</v>
      </c>
      <c r="Q92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92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92" t="s">
        <v>38</v>
      </c>
      <c r="T92" t="str">
        <f>UPPER(LEFT(TEXT(Tabla_producción_serigrafia[[#This Row],[FECHA]],"mmm"),3))</f>
        <v>MAR</v>
      </c>
      <c r="U92">
        <f>+Tabla_producción_serigrafia[[#This Row],[CANTIDAD PRODUCIDA]]+Tabla_producción_serigrafia[[#This Row],[CANTIDAD RECHAZADA]]</f>
        <v>0</v>
      </c>
    </row>
    <row r="93" spans="1:21" x14ac:dyDescent="0.25">
      <c r="A93" s="10">
        <v>46083</v>
      </c>
      <c r="B93" s="10" t="s">
        <v>58</v>
      </c>
      <c r="C93" s="1" t="s">
        <v>65</v>
      </c>
      <c r="D93" s="9">
        <v>0.375</v>
      </c>
      <c r="E93" s="20">
        <v>0.5</v>
      </c>
      <c r="F93" s="15">
        <f t="shared" ref="F93:F96" si="14">ROUND((E93-D93)*24,2)</f>
        <v>3</v>
      </c>
      <c r="G93" s="7" t="s">
        <v>56</v>
      </c>
      <c r="H93" s="3">
        <v>22683</v>
      </c>
      <c r="I93" s="7" t="str">
        <f>IFERROR(INDEX(Tabla_control_serigrafia[PRODUCTO],MATCH(Tabla_producción_serigrafia[[#This Row],[LOTE]],Tabla_control_serigrafia[LOTE],0)),"-")</f>
        <v>IBUPROFENO 200 MG X 100 ML SUSP.</v>
      </c>
      <c r="J93" t="str">
        <f>IFERROR(INDEX(Tabla_control_serigrafia[FORMATO DE FRASCO],MATCH(Tabla_producción_serigrafia[[#This Row],[LOTE]],Tabla_control_serigrafia[LOTE],0)),"-")</f>
        <v>120 ML</v>
      </c>
      <c r="K93" t="str">
        <f>IFERROR(INDEX(Tabla_control_serigrafia[TIPO DE FRASCO],MATCH(Tabla_producción_serigrafia[[#This Row],[LOTE]],Tabla_control_serigrafia[LOTE],0)),"-")</f>
        <v>FRASCO BLANCO</v>
      </c>
      <c r="L93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93" s="3">
        <f>IFERROR(INDEX(Tabla_control_serigrafia[CANTIDAD PEDIDA],MATCH(Tabla_producción_serigrafia[[#This Row],[LOTE]],Tabla_control_serigrafia[LOTE],0)),"-")</f>
        <v>9804</v>
      </c>
      <c r="N93" s="21">
        <v>6000</v>
      </c>
      <c r="O93" s="3">
        <v>83</v>
      </c>
      <c r="P93" s="3" t="s">
        <v>66</v>
      </c>
      <c r="Q93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6000</v>
      </c>
      <c r="R93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93" t="s">
        <v>109</v>
      </c>
      <c r="T93" t="str">
        <f>UPPER(LEFT(TEXT(Tabla_producción_serigrafia[[#This Row],[FECHA]],"mmm"),3))</f>
        <v>MAR</v>
      </c>
      <c r="U93">
        <f>+Tabla_producción_serigrafia[[#This Row],[CANTIDAD PRODUCIDA]]+Tabla_producción_serigrafia[[#This Row],[CANTIDAD RECHAZADA]]</f>
        <v>6083</v>
      </c>
    </row>
    <row r="94" spans="1:21" x14ac:dyDescent="0.25">
      <c r="A94" s="10">
        <v>46083</v>
      </c>
      <c r="B94" s="10" t="s">
        <v>58</v>
      </c>
      <c r="C94" s="1" t="s">
        <v>65</v>
      </c>
      <c r="D94" s="9">
        <v>0.5</v>
      </c>
      <c r="E94" s="20">
        <v>0.52083333333333337</v>
      </c>
      <c r="F94" s="15">
        <f t="shared" si="14"/>
        <v>0.5</v>
      </c>
      <c r="G94" s="7" t="s">
        <v>57</v>
      </c>
      <c r="H94" s="3" t="s">
        <v>38</v>
      </c>
      <c r="I94" s="7" t="str">
        <f>IFERROR(INDEX(Tabla_control_serigrafia[PRODUCTO],MATCH(Tabla_producción_serigrafia[[#This Row],[LOTE]],Tabla_control_serigrafia[LOTE],0)),"-")</f>
        <v>-</v>
      </c>
      <c r="J94" t="str">
        <f>IFERROR(INDEX(Tabla_control_serigrafia[FORMATO DE FRASCO],MATCH(Tabla_producción_serigrafia[[#This Row],[LOTE]],Tabla_control_serigrafia[LOTE],0)),"-")</f>
        <v>-</v>
      </c>
      <c r="K94" t="str">
        <f>IFERROR(INDEX(Tabla_control_serigrafia[TIPO DE FRASCO],MATCH(Tabla_producción_serigrafia[[#This Row],[LOTE]],Tabla_control_serigrafia[LOTE],0)),"-")</f>
        <v>-</v>
      </c>
      <c r="L94" t="str">
        <f>IF(Tabla_producción_serigrafia[[#This Row],[ACCIÓN]]="PRODUCCIÓN",Tabla_producción_serigrafia[[#This Row],[FORMATO DE FRASCO]]&amp;" "&amp;Tabla_producción_serigrafia[[#This Row],[TIPO DE FRASCO]],"-")</f>
        <v>-</v>
      </c>
      <c r="M94" s="3" t="str">
        <f>IFERROR(INDEX(Tabla_control_serigrafia[CANTIDAD PEDIDA],MATCH(Tabla_producción_serigrafia[[#This Row],[LOTE]],Tabla_control_serigrafia[LOTE],0)),"-")</f>
        <v>-</v>
      </c>
      <c r="N94" s="21">
        <v>0</v>
      </c>
      <c r="O94" s="3">
        <v>0</v>
      </c>
      <c r="P94" s="3">
        <v>0</v>
      </c>
      <c r="Q94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94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94" t="s">
        <v>110</v>
      </c>
      <c r="T94" t="str">
        <f>UPPER(LEFT(TEXT(Tabla_producción_serigrafia[[#This Row],[FECHA]],"mmm"),3))</f>
        <v>MAR</v>
      </c>
      <c r="U94">
        <f>+Tabla_producción_serigrafia[[#This Row],[CANTIDAD PRODUCIDA]]+Tabla_producción_serigrafia[[#This Row],[CANTIDAD RECHAZADA]]</f>
        <v>0</v>
      </c>
    </row>
    <row r="95" spans="1:21" x14ac:dyDescent="0.25">
      <c r="A95" s="10">
        <v>46083</v>
      </c>
      <c r="B95" s="10" t="s">
        <v>58</v>
      </c>
      <c r="C95" s="1" t="s">
        <v>65</v>
      </c>
      <c r="D95" s="9">
        <v>0.52083333333333337</v>
      </c>
      <c r="E95" s="20">
        <v>0.60416666666666663</v>
      </c>
      <c r="F95" s="15">
        <f t="shared" si="14"/>
        <v>2</v>
      </c>
      <c r="G95" s="7" t="s">
        <v>56</v>
      </c>
      <c r="H95" s="3">
        <v>22683</v>
      </c>
      <c r="I95" s="7" t="str">
        <f>IFERROR(INDEX(Tabla_control_serigrafia[PRODUCTO],MATCH(Tabla_producción_serigrafia[[#This Row],[LOTE]],Tabla_control_serigrafia[LOTE],0)),"-")</f>
        <v>IBUPROFENO 200 MG X 100 ML SUSP.</v>
      </c>
      <c r="J95" t="str">
        <f>IFERROR(INDEX(Tabla_control_serigrafia[FORMATO DE FRASCO],MATCH(Tabla_producción_serigrafia[[#This Row],[LOTE]],Tabla_control_serigrafia[LOTE],0)),"-")</f>
        <v>120 ML</v>
      </c>
      <c r="K95" t="str">
        <f>IFERROR(INDEX(Tabla_control_serigrafia[TIPO DE FRASCO],MATCH(Tabla_producción_serigrafia[[#This Row],[LOTE]],Tabla_control_serigrafia[LOTE],0)),"-")</f>
        <v>FRASCO BLANCO</v>
      </c>
      <c r="L95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95" s="3">
        <f>IFERROR(INDEX(Tabla_control_serigrafia[CANTIDAD PEDIDA],MATCH(Tabla_producción_serigrafia[[#This Row],[LOTE]],Tabla_control_serigrafia[LOTE],0)),"-")</f>
        <v>9804</v>
      </c>
      <c r="N95" s="21">
        <v>3900</v>
      </c>
      <c r="O95" s="3">
        <v>127</v>
      </c>
      <c r="P95" s="3" t="s">
        <v>62</v>
      </c>
      <c r="Q95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3900</v>
      </c>
      <c r="R95" s="8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28</v>
      </c>
      <c r="S95" t="s">
        <v>38</v>
      </c>
      <c r="T95" t="str">
        <f>UPPER(LEFT(TEXT(Tabla_producción_serigrafia[[#This Row],[FECHA]],"mmm"),3))</f>
        <v>MAR</v>
      </c>
      <c r="U95">
        <f>+Tabla_producción_serigrafia[[#This Row],[CANTIDAD PRODUCIDA]]+Tabla_producción_serigrafia[[#This Row],[CANTIDAD RECHAZADA]]</f>
        <v>4027</v>
      </c>
    </row>
    <row r="96" spans="1:21" x14ac:dyDescent="0.25">
      <c r="A96" s="10">
        <v>46083</v>
      </c>
      <c r="B96" s="10" t="s">
        <v>58</v>
      </c>
      <c r="C96" s="1" t="s">
        <v>65</v>
      </c>
      <c r="D96" s="9">
        <v>0.61805555555555558</v>
      </c>
      <c r="E96" s="20">
        <v>0.72916666666666663</v>
      </c>
      <c r="F96" s="15">
        <f t="shared" si="14"/>
        <v>2.67</v>
      </c>
      <c r="G96" s="7" t="s">
        <v>56</v>
      </c>
      <c r="H96" s="3">
        <v>22668</v>
      </c>
      <c r="I96" s="7" t="str">
        <f>IFERROR(INDEX(Tabla_control_serigrafia[PRODUCTO],MATCH(Tabla_producción_serigrafia[[#This Row],[LOTE]],Tabla_control_serigrafia[LOTE],0)),"-")</f>
        <v>AMBROXOL 15 MG X 100 ML JARABE</v>
      </c>
      <c r="J96" t="str">
        <f>IFERROR(INDEX(Tabla_control_serigrafia[FORMATO DE FRASCO],MATCH(Tabla_producción_serigrafia[[#This Row],[LOTE]],Tabla_control_serigrafia[LOTE],0)),"-")</f>
        <v>120 ML</v>
      </c>
      <c r="K96" t="str">
        <f>IFERROR(INDEX(Tabla_control_serigrafia[TIPO DE FRASCO],MATCH(Tabla_producción_serigrafia[[#This Row],[LOTE]],Tabla_control_serigrafia[LOTE],0)),"-")</f>
        <v>FRASCO BLANCO</v>
      </c>
      <c r="L96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96" s="3">
        <f>IFERROR(INDEX(Tabla_control_serigrafia[CANTIDAD PEDIDA],MATCH(Tabla_producción_serigrafia[[#This Row],[LOTE]],Tabla_control_serigrafia[LOTE],0)),"-")</f>
        <v>9901</v>
      </c>
      <c r="N96" s="21">
        <v>8000</v>
      </c>
      <c r="O96" s="3">
        <v>203</v>
      </c>
      <c r="P96" s="3" t="s">
        <v>66</v>
      </c>
      <c r="Q96" s="33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8000</v>
      </c>
      <c r="R96" s="8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96" t="s">
        <v>38</v>
      </c>
      <c r="T96" t="str">
        <f>UPPER(LEFT(TEXT(Tabla_producción_serigrafia[[#This Row],[FECHA]],"mmm"),3))</f>
        <v>MAR</v>
      </c>
      <c r="U96">
        <f>+Tabla_producción_serigrafia[[#This Row],[CANTIDAD PRODUCIDA]]+Tabla_producción_serigrafia[[#This Row],[CANTIDAD RECHAZADA]]</f>
        <v>8203</v>
      </c>
    </row>
    <row r="97" spans="1:21" x14ac:dyDescent="0.25">
      <c r="A97" s="10">
        <v>46084</v>
      </c>
      <c r="B97" s="10" t="s">
        <v>58</v>
      </c>
      <c r="C97" s="1" t="s">
        <v>65</v>
      </c>
      <c r="D97" s="22">
        <v>0.35416666666666669</v>
      </c>
      <c r="E97" s="23">
        <v>0.4375</v>
      </c>
      <c r="F97" s="24">
        <f>ROUND((E97-D97)*24,2)</f>
        <v>2</v>
      </c>
      <c r="G97" s="7" t="s">
        <v>56</v>
      </c>
      <c r="H97" s="26">
        <v>22668</v>
      </c>
      <c r="I97" s="7" t="str">
        <f>IFERROR(INDEX(Tabla_control_serigrafia[PRODUCTO],MATCH(Tabla_producción_serigrafia[[#This Row],[LOTE]],Tabla_control_serigrafia[LOTE],0)),"-")</f>
        <v>AMBROXOL 15 MG X 100 ML JARABE</v>
      </c>
      <c r="J97" s="27" t="str">
        <f>IFERROR(INDEX(Tabla_control_serigrafia[FORMATO DE FRASCO],MATCH(Tabla_producción_serigrafia[[#This Row],[LOTE]],Tabla_control_serigrafia[LOTE],0)),"-")</f>
        <v>120 ML</v>
      </c>
      <c r="K97" s="27" t="str">
        <f>IFERROR(INDEX(Tabla_control_serigrafia[TIPO DE FRASCO],MATCH(Tabla_producción_serigrafia[[#This Row],[LOTE]],Tabla_control_serigrafia[LOTE],0)),"-")</f>
        <v>FRASCO BLANCO</v>
      </c>
      <c r="L97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97" s="28">
        <f>IFERROR(INDEX(Tabla_control_serigrafia[CANTIDAD PEDIDA],MATCH(Tabla_producción_serigrafia[[#This Row],[LOTE]],Tabla_control_serigrafia[LOTE],0)),"-")</f>
        <v>9901</v>
      </c>
      <c r="N97" s="29">
        <v>2000</v>
      </c>
      <c r="O97" s="26">
        <v>135</v>
      </c>
      <c r="P97" s="3" t="s">
        <v>62</v>
      </c>
      <c r="Q9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2000</v>
      </c>
      <c r="R97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29</v>
      </c>
      <c r="S97" s="32" t="s">
        <v>38</v>
      </c>
      <c r="T97" s="27" t="str">
        <f>UPPER(LEFT(TEXT(Tabla_producción_serigrafia[[#This Row],[FECHA]],"mmm"),3))</f>
        <v>MAR</v>
      </c>
      <c r="U97">
        <f>+Tabla_producción_serigrafia[[#This Row],[CANTIDAD PRODUCIDA]]+Tabla_producción_serigrafia[[#This Row],[CANTIDAD RECHAZADA]]</f>
        <v>2135</v>
      </c>
    </row>
    <row r="98" spans="1:21" x14ac:dyDescent="0.25">
      <c r="A98" s="10">
        <v>46084</v>
      </c>
      <c r="B98" s="10" t="s">
        <v>58</v>
      </c>
      <c r="C98" s="1" t="s">
        <v>65</v>
      </c>
      <c r="D98" s="22">
        <v>0.4375</v>
      </c>
      <c r="E98" s="23">
        <v>0.5625</v>
      </c>
      <c r="F98" s="24">
        <f t="shared" ref="F98:F101" si="15">ROUND((E98-D98)*24,2)</f>
        <v>3</v>
      </c>
      <c r="G98" s="7" t="s">
        <v>56</v>
      </c>
      <c r="H98" s="26">
        <v>22686</v>
      </c>
      <c r="I98" s="7" t="str">
        <f>IFERROR(INDEX(Tabla_control_serigrafia[PRODUCTO],MATCH(Tabla_producción_serigrafia[[#This Row],[LOTE]],Tabla_control_serigrafia[LOTE],0)),"-")</f>
        <v>COMPLEJO B X 100 ML JARABE</v>
      </c>
      <c r="J98" s="27" t="str">
        <f>IFERROR(INDEX(Tabla_control_serigrafia[FORMATO DE FRASCO],MATCH(Tabla_producción_serigrafia[[#This Row],[LOTE]],Tabla_control_serigrafia[LOTE],0)),"-")</f>
        <v>120 ML</v>
      </c>
      <c r="K98" s="27" t="str">
        <f>IFERROR(INDEX(Tabla_control_serigrafia[TIPO DE FRASCO],MATCH(Tabla_producción_serigrafia[[#This Row],[LOTE]],Tabla_control_serigrafia[LOTE],0)),"-")</f>
        <v>FRASCO BLANCO</v>
      </c>
      <c r="L98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98" s="28">
        <f>IFERROR(INDEX(Tabla_control_serigrafia[CANTIDAD PEDIDA],MATCH(Tabla_producción_serigrafia[[#This Row],[LOTE]],Tabla_control_serigrafia[LOTE],0)),"-")</f>
        <v>6000</v>
      </c>
      <c r="N98" s="29">
        <v>6100</v>
      </c>
      <c r="O98" s="26">
        <v>232</v>
      </c>
      <c r="P98" s="3" t="s">
        <v>62</v>
      </c>
      <c r="Q9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6100</v>
      </c>
      <c r="R98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21</v>
      </c>
      <c r="S98" s="32" t="s">
        <v>38</v>
      </c>
      <c r="T98" s="27" t="str">
        <f>UPPER(LEFT(TEXT(Tabla_producción_serigrafia[[#This Row],[FECHA]],"mmm"),3))</f>
        <v>MAR</v>
      </c>
      <c r="U98">
        <f>+Tabla_producción_serigrafia[[#This Row],[CANTIDAD PRODUCIDA]]+Tabla_producción_serigrafia[[#This Row],[CANTIDAD RECHAZADA]]</f>
        <v>6332</v>
      </c>
    </row>
    <row r="99" spans="1:21" x14ac:dyDescent="0.25">
      <c r="A99" s="10">
        <v>46084</v>
      </c>
      <c r="B99" s="10" t="s">
        <v>58</v>
      </c>
      <c r="C99" s="1" t="s">
        <v>65</v>
      </c>
      <c r="D99" s="22">
        <v>0.58333333333333337</v>
      </c>
      <c r="E99" s="23">
        <v>0.66666666666666663</v>
      </c>
      <c r="F99" s="24">
        <f t="shared" si="15"/>
        <v>2</v>
      </c>
      <c r="G99" s="7" t="s">
        <v>56</v>
      </c>
      <c r="H99" s="26">
        <v>15226</v>
      </c>
      <c r="I99" s="7" t="str">
        <f>IFERROR(INDEX(Tabla_control_serigrafia[PRODUCTO],MATCH(Tabla_producción_serigrafia[[#This Row],[LOTE]],Tabla_control_serigrafia[LOTE],0)),"-")</f>
        <v>HONGO-VET X 100 ML LOCION VETERINARIO</v>
      </c>
      <c r="J99" s="27" t="str">
        <f>IFERROR(INDEX(Tabla_control_serigrafia[FORMATO DE FRASCO],MATCH(Tabla_producción_serigrafia[[#This Row],[LOTE]],Tabla_control_serigrafia[LOTE],0)),"-")</f>
        <v>120 ML</v>
      </c>
      <c r="K99" s="27" t="str">
        <f>IFERROR(INDEX(Tabla_control_serigrafia[TIPO DE FRASCO],MATCH(Tabla_producción_serigrafia[[#This Row],[LOTE]],Tabla_control_serigrafia[LOTE],0)),"-")</f>
        <v>FRASCO BLANCO</v>
      </c>
      <c r="L99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99" s="28">
        <f>IFERROR(INDEX(Tabla_control_serigrafia[CANTIDAD PEDIDA],MATCH(Tabla_producción_serigrafia[[#This Row],[LOTE]],Tabla_control_serigrafia[LOTE],0)),"-")</f>
        <v>2500</v>
      </c>
      <c r="N99" s="29">
        <v>2550</v>
      </c>
      <c r="O99" s="26">
        <v>120</v>
      </c>
      <c r="P99" s="3" t="s">
        <v>62</v>
      </c>
      <c r="Q9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2550</v>
      </c>
      <c r="R99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29</v>
      </c>
      <c r="S99" s="32" t="s">
        <v>38</v>
      </c>
      <c r="T99" s="27" t="str">
        <f>UPPER(LEFT(TEXT(Tabla_producción_serigrafia[[#This Row],[FECHA]],"mmm"),3))</f>
        <v>MAR</v>
      </c>
      <c r="U99">
        <f>+Tabla_producción_serigrafia[[#This Row],[CANTIDAD PRODUCIDA]]+Tabla_producción_serigrafia[[#This Row],[CANTIDAD RECHAZADA]]</f>
        <v>2670</v>
      </c>
    </row>
    <row r="100" spans="1:21" x14ac:dyDescent="0.25">
      <c r="A100" s="10">
        <v>46084</v>
      </c>
      <c r="B100" s="10" t="s">
        <v>58</v>
      </c>
      <c r="C100" s="1" t="s">
        <v>65</v>
      </c>
      <c r="D100" s="22">
        <v>0.66666666666666663</v>
      </c>
      <c r="E100" s="23">
        <v>0.68055555555555547</v>
      </c>
      <c r="F100" s="24">
        <f t="shared" si="15"/>
        <v>0.33</v>
      </c>
      <c r="G100" s="25" t="s">
        <v>57</v>
      </c>
      <c r="H100" s="3" t="s">
        <v>38</v>
      </c>
      <c r="I100" s="7" t="str">
        <f>IFERROR(INDEX(Tabla_control_serigrafia[PRODUCTO],MATCH(Tabla_producción_serigrafia[[#This Row],[LOTE]],Tabla_control_serigrafia[LOTE],0)),"-")</f>
        <v>-</v>
      </c>
      <c r="J100" s="27" t="str">
        <f>IFERROR(INDEX(Tabla_control_serigrafia[FORMATO DE FRASCO],MATCH(Tabla_producción_serigrafia[[#This Row],[LOTE]],Tabla_control_serigrafia[LOTE],0)),"-")</f>
        <v>-</v>
      </c>
      <c r="K100" s="27" t="str">
        <f>IFERROR(INDEX(Tabla_control_serigrafia[TIPO DE FRASCO],MATCH(Tabla_producción_serigrafia[[#This Row],[LOTE]],Tabla_control_serigrafia[LOTE],0)),"-")</f>
        <v>-</v>
      </c>
      <c r="L100" t="str">
        <f>IF(Tabla_producción_serigrafia[[#This Row],[ACCIÓN]]="PRODUCCIÓN",Tabla_producción_serigrafia[[#This Row],[FORMATO DE FRASCO]]&amp;" "&amp;Tabla_producción_serigrafia[[#This Row],[TIPO DE FRASCO]],"-")</f>
        <v>-</v>
      </c>
      <c r="M100" s="28" t="str">
        <f>IFERROR(INDEX(Tabla_control_serigrafia[CANTIDAD PEDIDA],MATCH(Tabla_producción_serigrafia[[#This Row],[LOTE]],Tabla_control_serigrafia[LOTE],0)),"-")</f>
        <v>-</v>
      </c>
      <c r="N100" s="29">
        <v>0</v>
      </c>
      <c r="O100" s="26">
        <v>0</v>
      </c>
      <c r="P100" s="3">
        <v>0</v>
      </c>
      <c r="Q100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00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00" s="32" t="s">
        <v>38</v>
      </c>
      <c r="T100" s="27" t="str">
        <f>UPPER(LEFT(TEXT(Tabla_producción_serigrafia[[#This Row],[FECHA]],"mmm"),3))</f>
        <v>MAR</v>
      </c>
      <c r="U100">
        <f>+Tabla_producción_serigrafia[[#This Row],[CANTIDAD PRODUCIDA]]+Tabla_producción_serigrafia[[#This Row],[CANTIDAD RECHAZADA]]</f>
        <v>0</v>
      </c>
    </row>
    <row r="101" spans="1:21" x14ac:dyDescent="0.25">
      <c r="A101" s="10">
        <v>46084</v>
      </c>
      <c r="B101" s="10" t="s">
        <v>58</v>
      </c>
      <c r="C101" s="1" t="s">
        <v>65</v>
      </c>
      <c r="D101" s="22">
        <v>0.68055555555555547</v>
      </c>
      <c r="E101" s="23">
        <v>0.72916666666666663</v>
      </c>
      <c r="F101" s="24">
        <f t="shared" si="15"/>
        <v>1.17</v>
      </c>
      <c r="G101" s="7" t="s">
        <v>56</v>
      </c>
      <c r="H101" s="26">
        <v>1326</v>
      </c>
      <c r="I101" s="7" t="str">
        <f>IFERROR(INDEX(Tabla_control_serigrafia[PRODUCTO],MATCH(Tabla_producción_serigrafia[[#This Row],[LOTE]],Tabla_control_serigrafia[LOTE],0)),"-")</f>
        <v>METRONIDAZOL 125 MG X 100 ML SUSP. VETERINARIO</v>
      </c>
      <c r="J101" s="27" t="str">
        <f>IFERROR(INDEX(Tabla_control_serigrafia[FORMATO DE FRASCO],MATCH(Tabla_producción_serigrafia[[#This Row],[LOTE]],Tabla_control_serigrafia[LOTE],0)),"-")</f>
        <v>120 ML</v>
      </c>
      <c r="K101" s="27" t="str">
        <f>IFERROR(INDEX(Tabla_control_serigrafia[TIPO DE FRASCO],MATCH(Tabla_producción_serigrafia[[#This Row],[LOTE]],Tabla_control_serigrafia[LOTE],0)),"-")</f>
        <v>FRASCO BLANCO</v>
      </c>
      <c r="L101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01" s="28">
        <f>IFERROR(INDEX(Tabla_control_serigrafia[CANTIDAD PEDIDA],MATCH(Tabla_producción_serigrafia[[#This Row],[LOTE]],Tabla_control_serigrafia[LOTE],0)),"-")</f>
        <v>2941</v>
      </c>
      <c r="N101" s="29">
        <v>2000</v>
      </c>
      <c r="O101" s="26">
        <v>93</v>
      </c>
      <c r="P101" s="3" t="s">
        <v>66</v>
      </c>
      <c r="Q101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2000</v>
      </c>
      <c r="R101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01" s="32" t="s">
        <v>38</v>
      </c>
      <c r="T101" s="27" t="str">
        <f>UPPER(LEFT(TEXT(Tabla_producción_serigrafia[[#This Row],[FECHA]],"mmm"),3))</f>
        <v>MAR</v>
      </c>
      <c r="U101">
        <f>+Tabla_producción_serigrafia[[#This Row],[CANTIDAD PRODUCIDA]]+Tabla_producción_serigrafia[[#This Row],[CANTIDAD RECHAZADA]]</f>
        <v>2093</v>
      </c>
    </row>
    <row r="102" spans="1:21" x14ac:dyDescent="0.25">
      <c r="A102" s="10">
        <v>46085</v>
      </c>
      <c r="B102" s="10" t="s">
        <v>58</v>
      </c>
      <c r="C102" s="1" t="s">
        <v>65</v>
      </c>
      <c r="D102" s="22">
        <v>0.375</v>
      </c>
      <c r="E102" s="23">
        <v>0.41666666666666669</v>
      </c>
      <c r="F102" s="24">
        <f>ROUND((E102-D102)*24,2)</f>
        <v>1</v>
      </c>
      <c r="G102" s="7" t="s">
        <v>56</v>
      </c>
      <c r="H102" s="26">
        <v>1326</v>
      </c>
      <c r="I102" s="7" t="str">
        <f>IFERROR(INDEX(Tabla_control_serigrafia[PRODUCTO],MATCH(Tabla_producción_serigrafia[[#This Row],[LOTE]],Tabla_control_serigrafia[LOTE],0)),"-")</f>
        <v>METRONIDAZOL 125 MG X 100 ML SUSP. VETERINARIO</v>
      </c>
      <c r="J102" s="27" t="str">
        <f>IFERROR(INDEX(Tabla_control_serigrafia[FORMATO DE FRASCO],MATCH(Tabla_producción_serigrafia[[#This Row],[LOTE]],Tabla_control_serigrafia[LOTE],0)),"-")</f>
        <v>120 ML</v>
      </c>
      <c r="K102" s="27" t="str">
        <f>IFERROR(INDEX(Tabla_control_serigrafia[TIPO DE FRASCO],MATCH(Tabla_producción_serigrafia[[#This Row],[LOTE]],Tabla_control_serigrafia[LOTE],0)),"-")</f>
        <v>FRASCO BLANCO</v>
      </c>
      <c r="L102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02" s="28">
        <f>IFERROR(INDEX(Tabla_control_serigrafia[CANTIDAD PEDIDA],MATCH(Tabla_producción_serigrafia[[#This Row],[LOTE]],Tabla_control_serigrafia[LOTE],0)),"-")</f>
        <v>2941</v>
      </c>
      <c r="N102" s="29">
        <v>1000</v>
      </c>
      <c r="O102" s="26">
        <v>36</v>
      </c>
      <c r="P102" s="3" t="s">
        <v>62</v>
      </c>
      <c r="Q102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1000</v>
      </c>
      <c r="R102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</v>
      </c>
      <c r="S102" s="32" t="s">
        <v>38</v>
      </c>
      <c r="T102" s="27" t="str">
        <f>UPPER(LEFT(TEXT(Tabla_producción_serigrafia[[#This Row],[FECHA]],"mmm"),3))</f>
        <v>MAR</v>
      </c>
      <c r="U102">
        <f>+Tabla_producción_serigrafia[[#This Row],[CANTIDAD PRODUCIDA]]+Tabla_producción_serigrafia[[#This Row],[CANTIDAD RECHAZADA]]</f>
        <v>1036</v>
      </c>
    </row>
    <row r="103" spans="1:21" x14ac:dyDescent="0.25">
      <c r="A103" s="10">
        <v>46085</v>
      </c>
      <c r="B103" s="10" t="s">
        <v>58</v>
      </c>
      <c r="C103" s="1" t="s">
        <v>65</v>
      </c>
      <c r="D103" s="22">
        <v>0.41666666666666669</v>
      </c>
      <c r="E103" s="23">
        <v>0.43055555555555558</v>
      </c>
      <c r="F103" s="24">
        <f t="shared" ref="F103:F106" si="16">ROUND((E103-D103)*24,2)</f>
        <v>0.33</v>
      </c>
      <c r="G103" s="25" t="s">
        <v>57</v>
      </c>
      <c r="H103" s="26" t="s">
        <v>38</v>
      </c>
      <c r="I103" s="7" t="str">
        <f>IFERROR(INDEX(Tabla_control_serigrafia[PRODUCTO],MATCH(Tabla_producción_serigrafia[[#This Row],[LOTE]],Tabla_control_serigrafia[LOTE],0)),"-")</f>
        <v>-</v>
      </c>
      <c r="J103" s="27" t="str">
        <f>IFERROR(INDEX(Tabla_control_serigrafia[FORMATO DE FRASCO],MATCH(Tabla_producción_serigrafia[[#This Row],[LOTE]],Tabla_control_serigrafia[LOTE],0)),"-")</f>
        <v>-</v>
      </c>
      <c r="K103" s="27" t="str">
        <f>IFERROR(INDEX(Tabla_control_serigrafia[TIPO DE FRASCO],MATCH(Tabla_producción_serigrafia[[#This Row],[LOTE]],Tabla_control_serigrafia[LOTE],0)),"-")</f>
        <v>-</v>
      </c>
      <c r="L103" t="str">
        <f>IF(Tabla_producción_serigrafia[[#This Row],[ACCIÓN]]="PRODUCCIÓN",Tabla_producción_serigrafia[[#This Row],[FORMATO DE FRASCO]]&amp;" "&amp;Tabla_producción_serigrafia[[#This Row],[TIPO DE FRASCO]],"-")</f>
        <v>-</v>
      </c>
      <c r="M103" s="28" t="str">
        <f>IFERROR(INDEX(Tabla_control_serigrafia[CANTIDAD PEDIDA],MATCH(Tabla_producción_serigrafia[[#This Row],[LOTE]],Tabla_control_serigrafia[LOTE],0)),"-")</f>
        <v>-</v>
      </c>
      <c r="N103" s="29">
        <v>0</v>
      </c>
      <c r="O103" s="26">
        <v>0</v>
      </c>
      <c r="P103" s="3">
        <v>0</v>
      </c>
      <c r="Q103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03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03" s="32" t="s">
        <v>38</v>
      </c>
      <c r="T103" s="27" t="str">
        <f>UPPER(LEFT(TEXT(Tabla_producción_serigrafia[[#This Row],[FECHA]],"mmm"),3))</f>
        <v>MAR</v>
      </c>
      <c r="U103">
        <f>+Tabla_producción_serigrafia[[#This Row],[CANTIDAD PRODUCIDA]]+Tabla_producción_serigrafia[[#This Row],[CANTIDAD RECHAZADA]]</f>
        <v>0</v>
      </c>
    </row>
    <row r="104" spans="1:21" x14ac:dyDescent="0.25">
      <c r="A104" s="10">
        <v>46085</v>
      </c>
      <c r="B104" s="10" t="s">
        <v>58</v>
      </c>
      <c r="C104" s="1" t="s">
        <v>65</v>
      </c>
      <c r="D104" s="22">
        <v>0.43055555555555558</v>
      </c>
      <c r="E104" s="23">
        <v>0.54166666666666663</v>
      </c>
      <c r="F104" s="24">
        <f t="shared" si="16"/>
        <v>2.67</v>
      </c>
      <c r="G104" s="7" t="s">
        <v>56</v>
      </c>
      <c r="H104" s="26">
        <v>4326</v>
      </c>
      <c r="I104" s="7" t="str">
        <f>IFERROR(INDEX(Tabla_control_serigrafia[PRODUCTO],MATCH(Tabla_producción_serigrafia[[#This Row],[LOTE]],Tabla_control_serigrafia[LOTE],0)),"-")</f>
        <v>VETACEF 250 MG/5ML X 100 ML POLVO PARA SUSP. VETERINARIO</v>
      </c>
      <c r="J104" s="27" t="str">
        <f>IFERROR(INDEX(Tabla_control_serigrafia[FORMATO DE FRASCO],MATCH(Tabla_producción_serigrafia[[#This Row],[LOTE]],Tabla_control_serigrafia[LOTE],0)),"-")</f>
        <v>120 ML</v>
      </c>
      <c r="K104" s="27" t="str">
        <f>IFERROR(INDEX(Tabla_control_serigrafia[TIPO DE FRASCO],MATCH(Tabla_producción_serigrafia[[#This Row],[LOTE]],Tabla_control_serigrafia[LOTE],0)),"-")</f>
        <v>FRASCO NATURAL</v>
      </c>
      <c r="L104" t="str">
        <f>IF(Tabla_producción_serigrafia[[#This Row],[ACCIÓN]]="PRODUCCIÓN",Tabla_producción_serigrafia[[#This Row],[FORMATO DE FRASCO]]&amp;" "&amp;Tabla_producción_serigrafia[[#This Row],[TIPO DE FRASCO]],"-")</f>
        <v>120 ML FRASCO NATURAL</v>
      </c>
      <c r="M104" s="28">
        <f>IFERROR(INDEX(Tabla_control_serigrafia[CANTIDAD PEDIDA],MATCH(Tabla_producción_serigrafia[[#This Row],[LOTE]],Tabla_control_serigrafia[LOTE],0)),"-")</f>
        <v>4000</v>
      </c>
      <c r="N104" s="29">
        <v>4100</v>
      </c>
      <c r="O104" s="26">
        <v>192</v>
      </c>
      <c r="P104" s="3" t="s">
        <v>66</v>
      </c>
      <c r="Q104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4100</v>
      </c>
      <c r="R104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04" s="32" t="s">
        <v>38</v>
      </c>
      <c r="T104" s="27" t="str">
        <f>UPPER(LEFT(TEXT(Tabla_producción_serigrafia[[#This Row],[FECHA]],"mmm"),3))</f>
        <v>MAR</v>
      </c>
      <c r="U104">
        <f>+Tabla_producción_serigrafia[[#This Row],[CANTIDAD PRODUCIDA]]+Tabla_producción_serigrafia[[#This Row],[CANTIDAD RECHAZADA]]</f>
        <v>4292</v>
      </c>
    </row>
    <row r="105" spans="1:21" x14ac:dyDescent="0.25">
      <c r="A105" s="10">
        <v>46085</v>
      </c>
      <c r="B105" s="10" t="s">
        <v>58</v>
      </c>
      <c r="C105" s="1" t="s">
        <v>65</v>
      </c>
      <c r="D105" s="22">
        <v>0.54166666666666663</v>
      </c>
      <c r="E105" s="23">
        <v>0.5625</v>
      </c>
      <c r="F105" s="24">
        <f t="shared" si="16"/>
        <v>0.5</v>
      </c>
      <c r="G105" s="25" t="s">
        <v>57</v>
      </c>
      <c r="H105" s="26" t="s">
        <v>38</v>
      </c>
      <c r="I105" s="7" t="str">
        <f>IFERROR(INDEX(Tabla_control_serigrafia[PRODUCTO],MATCH(Tabla_producción_serigrafia[[#This Row],[LOTE]],Tabla_control_serigrafia[LOTE],0)),"-")</f>
        <v>-</v>
      </c>
      <c r="J105" s="27" t="str">
        <f>IFERROR(INDEX(Tabla_control_serigrafia[FORMATO DE FRASCO],MATCH(Tabla_producción_serigrafia[[#This Row],[LOTE]],Tabla_control_serigrafia[LOTE],0)),"-")</f>
        <v>-</v>
      </c>
      <c r="K105" s="27" t="str">
        <f>IFERROR(INDEX(Tabla_control_serigrafia[TIPO DE FRASCO],MATCH(Tabla_producción_serigrafia[[#This Row],[LOTE]],Tabla_control_serigrafia[LOTE],0)),"-")</f>
        <v>-</v>
      </c>
      <c r="L105" t="str">
        <f>IF(Tabla_producción_serigrafia[[#This Row],[ACCIÓN]]="PRODUCCIÓN",Tabla_producción_serigrafia[[#This Row],[FORMATO DE FRASCO]]&amp;" "&amp;Tabla_producción_serigrafia[[#This Row],[TIPO DE FRASCO]],"-")</f>
        <v>-</v>
      </c>
      <c r="M105" s="28" t="str">
        <f>IFERROR(INDEX(Tabla_control_serigrafia[CANTIDAD PEDIDA],MATCH(Tabla_producción_serigrafia[[#This Row],[LOTE]],Tabla_control_serigrafia[LOTE],0)),"-")</f>
        <v>-</v>
      </c>
      <c r="N105" s="29">
        <v>0</v>
      </c>
      <c r="O105" s="26">
        <v>0</v>
      </c>
      <c r="P105" s="3">
        <v>0</v>
      </c>
      <c r="Q105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05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05" s="32" t="s">
        <v>38</v>
      </c>
      <c r="T105" s="27" t="str">
        <f>UPPER(LEFT(TEXT(Tabla_producción_serigrafia[[#This Row],[FECHA]],"mmm"),3))</f>
        <v>MAR</v>
      </c>
      <c r="U105">
        <f>+Tabla_producción_serigrafia[[#This Row],[CANTIDAD PRODUCIDA]]+Tabla_producción_serigrafia[[#This Row],[CANTIDAD RECHAZADA]]</f>
        <v>0</v>
      </c>
    </row>
    <row r="106" spans="1:21" x14ac:dyDescent="0.25">
      <c r="A106" s="10">
        <v>46085</v>
      </c>
      <c r="B106" s="10" t="s">
        <v>58</v>
      </c>
      <c r="C106" s="1" t="s">
        <v>65</v>
      </c>
      <c r="D106" s="22">
        <v>0.58333333333333337</v>
      </c>
      <c r="E106" s="23">
        <v>0.72916666666666663</v>
      </c>
      <c r="F106" s="24">
        <f t="shared" si="16"/>
        <v>3.5</v>
      </c>
      <c r="G106" s="7" t="s">
        <v>56</v>
      </c>
      <c r="H106" s="26">
        <v>32604</v>
      </c>
      <c r="I106" s="7" t="str">
        <f>IFERROR(INDEX(Tabla_control_serigrafia[PRODUCTO],MATCH(Tabla_producción_serigrafia[[#This Row],[LOTE]],Tabla_control_serigrafia[LOTE],0)),"-")</f>
        <v>AMBROXOL FORTE 30 MG X 100 ML JARABE</v>
      </c>
      <c r="J106" s="27" t="str">
        <f>IFERROR(INDEX(Tabla_control_serigrafia[FORMATO DE FRASCO],MATCH(Tabla_producción_serigrafia[[#This Row],[LOTE]],Tabla_control_serigrafia[LOTE],0)),"-")</f>
        <v>120 ML</v>
      </c>
      <c r="K106" s="27" t="str">
        <f>IFERROR(INDEX(Tabla_control_serigrafia[TIPO DE FRASCO],MATCH(Tabla_producción_serigrafia[[#This Row],[LOTE]],Tabla_control_serigrafia[LOTE],0)),"-")</f>
        <v>FRASCO BLANCO</v>
      </c>
      <c r="L106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06" s="28">
        <f>IFERROR(INDEX(Tabla_control_serigrafia[CANTIDAD PEDIDA],MATCH(Tabla_producción_serigrafia[[#This Row],[LOTE]],Tabla_control_serigrafia[LOTE],0)),"-")</f>
        <v>19802</v>
      </c>
      <c r="N106" s="29">
        <v>8500</v>
      </c>
      <c r="O106" s="26">
        <v>200</v>
      </c>
      <c r="P106" s="3" t="s">
        <v>66</v>
      </c>
      <c r="Q106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8500</v>
      </c>
      <c r="R106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06" s="32" t="s">
        <v>38</v>
      </c>
      <c r="T106" s="27" t="str">
        <f>UPPER(LEFT(TEXT(Tabla_producción_serigrafia[[#This Row],[FECHA]],"mmm"),3))</f>
        <v>MAR</v>
      </c>
      <c r="U106">
        <f>+Tabla_producción_serigrafia[[#This Row],[CANTIDAD PRODUCIDA]]+Tabla_producción_serigrafia[[#This Row],[CANTIDAD RECHAZADA]]</f>
        <v>8700</v>
      </c>
    </row>
    <row r="107" spans="1:21" x14ac:dyDescent="0.25">
      <c r="A107" s="10">
        <v>46086</v>
      </c>
      <c r="B107" s="10" t="s">
        <v>58</v>
      </c>
      <c r="C107" s="1" t="s">
        <v>65</v>
      </c>
      <c r="D107" s="22">
        <v>0.33333333333333331</v>
      </c>
      <c r="E107" s="23">
        <v>0.70833333333333337</v>
      </c>
      <c r="F107" s="24">
        <f t="shared" ref="F107:F113" si="17">ROUND((E107-D107)*24,2)</f>
        <v>9</v>
      </c>
      <c r="G107" s="7" t="s">
        <v>56</v>
      </c>
      <c r="H107" s="26">
        <v>32604</v>
      </c>
      <c r="I107" s="7" t="str">
        <f>IFERROR(INDEX(Tabla_control_serigrafia[PRODUCTO],MATCH(Tabla_producción_serigrafia[[#This Row],[LOTE]],Tabla_control_serigrafia[LOTE],0)),"-")</f>
        <v>AMBROXOL FORTE 30 MG X 100 ML JARABE</v>
      </c>
      <c r="J107" s="27" t="str">
        <f>IFERROR(INDEX(Tabla_control_serigrafia[FORMATO DE FRASCO],MATCH(Tabla_producción_serigrafia[[#This Row],[LOTE]],Tabla_control_serigrafia[LOTE],0)),"-")</f>
        <v>120 ML</v>
      </c>
      <c r="K107" s="27" t="str">
        <f>IFERROR(INDEX(Tabla_control_serigrafia[TIPO DE FRASCO],MATCH(Tabla_producción_serigrafia[[#This Row],[LOTE]],Tabla_control_serigrafia[LOTE],0)),"-")</f>
        <v>FRASCO BLANCO</v>
      </c>
      <c r="L107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07" s="28">
        <f>IFERROR(INDEX(Tabla_control_serigrafia[CANTIDAD PEDIDA],MATCH(Tabla_producción_serigrafia[[#This Row],[LOTE]],Tabla_control_serigrafia[LOTE],0)),"-")</f>
        <v>19802</v>
      </c>
      <c r="N107" s="29">
        <v>11400</v>
      </c>
      <c r="O107" s="26">
        <v>263</v>
      </c>
      <c r="P107" s="3" t="s">
        <v>62</v>
      </c>
      <c r="Q10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11400</v>
      </c>
      <c r="R107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</v>
      </c>
      <c r="S107" s="32" t="s">
        <v>38</v>
      </c>
      <c r="T107" s="27" t="str">
        <f>UPPER(LEFT(TEXT(Tabla_producción_serigrafia[[#This Row],[FECHA]],"mmm"),3))</f>
        <v>MAR</v>
      </c>
      <c r="U107">
        <f>+Tabla_producción_serigrafia[[#This Row],[CANTIDAD PRODUCIDA]]+Tabla_producción_serigrafia[[#This Row],[CANTIDAD RECHAZADA]]</f>
        <v>11663</v>
      </c>
    </row>
    <row r="108" spans="1:21" x14ac:dyDescent="0.25">
      <c r="A108" s="10">
        <v>46087</v>
      </c>
      <c r="B108" s="10" t="s">
        <v>58</v>
      </c>
      <c r="C108" s="1" t="s">
        <v>65</v>
      </c>
      <c r="D108" s="22">
        <v>0.375</v>
      </c>
      <c r="E108" s="23">
        <v>0.45833333333333331</v>
      </c>
      <c r="F108" s="24">
        <f t="shared" si="17"/>
        <v>2</v>
      </c>
      <c r="G108" s="7" t="s">
        <v>56</v>
      </c>
      <c r="H108" s="26">
        <v>32646</v>
      </c>
      <c r="I108" s="7" t="str">
        <f>IFERROR(INDEX(Tabla_control_serigrafia[PRODUCTO],MATCH(Tabla_producción_serigrafia[[#This Row],[LOTE]],Tabla_control_serigrafia[LOTE],0)),"-")</f>
        <v>IBUPROFENO 100 MG X 100 ML SUSP.</v>
      </c>
      <c r="J108" s="27" t="str">
        <f>IFERROR(INDEX(Tabla_control_serigrafia[FORMATO DE FRASCO],MATCH(Tabla_producción_serigrafia[[#This Row],[LOTE]],Tabla_control_serigrafia[LOTE],0)),"-")</f>
        <v>120 ML</v>
      </c>
      <c r="K108" s="27" t="str">
        <f>IFERROR(INDEX(Tabla_control_serigrafia[TIPO DE FRASCO],MATCH(Tabla_producción_serigrafia[[#This Row],[LOTE]],Tabla_control_serigrafia[LOTE],0)),"-")</f>
        <v>FRASCO BLANCO</v>
      </c>
      <c r="L108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08" s="28">
        <f>IFERROR(INDEX(Tabla_control_serigrafia[CANTIDAD PEDIDA],MATCH(Tabla_producción_serigrafia[[#This Row],[LOTE]],Tabla_control_serigrafia[LOTE],0)),"-")</f>
        <v>23529</v>
      </c>
      <c r="N108" s="29">
        <v>1800</v>
      </c>
      <c r="O108" s="26">
        <v>93</v>
      </c>
      <c r="P108" s="30" t="s">
        <v>62</v>
      </c>
      <c r="Q10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1800</v>
      </c>
      <c r="R108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4</v>
      </c>
      <c r="S108" s="32" t="s">
        <v>38</v>
      </c>
      <c r="T108" s="27" t="str">
        <f>UPPER(LEFT(TEXT(Tabla_producción_serigrafia[[#This Row],[FECHA]],"mmm"),3))</f>
        <v>MAR</v>
      </c>
      <c r="U108" s="27">
        <f>+Tabla_producción_serigrafia[[#This Row],[CANTIDAD PRODUCIDA]]+Tabla_producción_serigrafia[[#This Row],[CANTIDAD RECHAZADA]]</f>
        <v>1893</v>
      </c>
    </row>
    <row r="109" spans="1:21" x14ac:dyDescent="0.25">
      <c r="A109" s="10">
        <v>46087</v>
      </c>
      <c r="B109" s="10" t="s">
        <v>58</v>
      </c>
      <c r="C109" s="1" t="s">
        <v>65</v>
      </c>
      <c r="D109" s="22">
        <v>0.5</v>
      </c>
      <c r="E109" s="23">
        <v>0.72916666666666663</v>
      </c>
      <c r="F109" s="24">
        <f t="shared" si="17"/>
        <v>5.5</v>
      </c>
      <c r="G109" s="7" t="s">
        <v>56</v>
      </c>
      <c r="H109" s="26">
        <v>32647</v>
      </c>
      <c r="I109" s="7" t="str">
        <f>IFERROR(INDEX(Tabla_control_serigrafia[PRODUCTO],MATCH(Tabla_producción_serigrafia[[#This Row],[LOTE]],Tabla_control_serigrafia[LOTE],0)),"-")</f>
        <v>COTRIMOXAZOL 200/40 MG X 100 ML SUSP.</v>
      </c>
      <c r="J109" s="27" t="str">
        <f>IFERROR(INDEX(Tabla_control_serigrafia[FORMATO DE FRASCO],MATCH(Tabla_producción_serigrafia[[#This Row],[LOTE]],Tabla_control_serigrafia[LOTE],0)),"-")</f>
        <v>120 ML</v>
      </c>
      <c r="K109" s="27" t="str">
        <f>IFERROR(INDEX(Tabla_control_serigrafia[TIPO DE FRASCO],MATCH(Tabla_producción_serigrafia[[#This Row],[LOTE]],Tabla_control_serigrafia[LOTE],0)),"-")</f>
        <v>FRASCO BLANCO</v>
      </c>
      <c r="L109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09" s="28">
        <f>IFERROR(INDEX(Tabla_control_serigrafia[CANTIDAD PEDIDA],MATCH(Tabla_producción_serigrafia[[#This Row],[LOTE]],Tabla_control_serigrafia[LOTE],0)),"-")</f>
        <v>15686</v>
      </c>
      <c r="N109" s="29">
        <v>8500</v>
      </c>
      <c r="O109" s="26">
        <v>230</v>
      </c>
      <c r="P109" s="30" t="s">
        <v>66</v>
      </c>
      <c r="Q10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8500</v>
      </c>
      <c r="R109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09" s="32" t="s">
        <v>38</v>
      </c>
      <c r="T109" s="27" t="str">
        <f>UPPER(LEFT(TEXT(Tabla_producción_serigrafia[[#This Row],[FECHA]],"mmm"),3))</f>
        <v>MAR</v>
      </c>
      <c r="U109" s="27">
        <f>+Tabla_producción_serigrafia[[#This Row],[CANTIDAD PRODUCIDA]]+Tabla_producción_serigrafia[[#This Row],[CANTIDAD RECHAZADA]]</f>
        <v>8730</v>
      </c>
    </row>
    <row r="110" spans="1:21" x14ac:dyDescent="0.25">
      <c r="A110" s="10">
        <v>46090</v>
      </c>
      <c r="B110" s="10" t="s">
        <v>58</v>
      </c>
      <c r="C110" s="1" t="s">
        <v>65</v>
      </c>
      <c r="D110" s="22">
        <v>0.35416666666666669</v>
      </c>
      <c r="E110" s="23">
        <v>0.52083333333333337</v>
      </c>
      <c r="F110" s="24">
        <f t="shared" si="17"/>
        <v>4</v>
      </c>
      <c r="G110" s="7" t="s">
        <v>56</v>
      </c>
      <c r="H110" s="26">
        <v>32647</v>
      </c>
      <c r="I110" s="7" t="str">
        <f>IFERROR(INDEX(Tabla_control_serigrafia[PRODUCTO],MATCH(Tabla_producción_serigrafia[[#This Row],[LOTE]],Tabla_control_serigrafia[LOTE],0)),"-")</f>
        <v>COTRIMOXAZOL 200/40 MG X 100 ML SUSP.</v>
      </c>
      <c r="J110" s="27" t="str">
        <f>IFERROR(INDEX(Tabla_control_serigrafia[FORMATO DE FRASCO],MATCH(Tabla_producción_serigrafia[[#This Row],[LOTE]],Tabla_control_serigrafia[LOTE],0)),"-")</f>
        <v>120 ML</v>
      </c>
      <c r="K110" s="27" t="str">
        <f>IFERROR(INDEX(Tabla_control_serigrafia[TIPO DE FRASCO],MATCH(Tabla_producción_serigrafia[[#This Row],[LOTE]],Tabla_control_serigrafia[LOTE],0)),"-")</f>
        <v>FRASCO BLANCO</v>
      </c>
      <c r="L110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10" s="28">
        <f>IFERROR(INDEX(Tabla_control_serigrafia[CANTIDAD PEDIDA],MATCH(Tabla_producción_serigrafia[[#This Row],[LOTE]],Tabla_control_serigrafia[LOTE],0)),"-")</f>
        <v>15686</v>
      </c>
      <c r="N110" s="29">
        <v>7300</v>
      </c>
      <c r="O110" s="26">
        <v>193</v>
      </c>
      <c r="P110" s="30" t="s">
        <v>62</v>
      </c>
      <c r="Q110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7300</v>
      </c>
      <c r="R110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7</v>
      </c>
      <c r="S110" s="32" t="s">
        <v>38</v>
      </c>
      <c r="T110" s="27" t="str">
        <f>UPPER(LEFT(TEXT(Tabla_producción_serigrafia[[#This Row],[FECHA]],"mmm"),3))</f>
        <v>MAR</v>
      </c>
      <c r="U110" s="27">
        <f>+Tabla_producción_serigrafia[[#This Row],[CANTIDAD PRODUCIDA]]+Tabla_producción_serigrafia[[#This Row],[CANTIDAD RECHAZADA]]</f>
        <v>7493</v>
      </c>
    </row>
    <row r="111" spans="1:21" x14ac:dyDescent="0.25">
      <c r="A111" s="10">
        <v>46090</v>
      </c>
      <c r="B111" s="10" t="s">
        <v>58</v>
      </c>
      <c r="C111" s="1" t="s">
        <v>65</v>
      </c>
      <c r="D111" s="22">
        <v>0.625</v>
      </c>
      <c r="E111" s="23">
        <v>0.72916666666666663</v>
      </c>
      <c r="F111" s="24">
        <f t="shared" si="17"/>
        <v>2.5</v>
      </c>
      <c r="G111" s="7" t="s">
        <v>56</v>
      </c>
      <c r="H111" s="26">
        <v>32648</v>
      </c>
      <c r="I111" s="7" t="str">
        <f>IFERROR(INDEX(Tabla_control_serigrafia[PRODUCTO],MATCH(Tabla_producción_serigrafia[[#This Row],[LOTE]],Tabla_control_serigrafia[LOTE],0)),"-")</f>
        <v>COTRIMOXAZOL 400/80 MG X 100 ML SUSP.</v>
      </c>
      <c r="J111" s="27" t="str">
        <f>IFERROR(INDEX(Tabla_control_serigrafia[FORMATO DE FRASCO],MATCH(Tabla_producción_serigrafia[[#This Row],[LOTE]],Tabla_control_serigrafia[LOTE],0)),"-")</f>
        <v>120 ML</v>
      </c>
      <c r="K111" s="27" t="str">
        <f>IFERROR(INDEX(Tabla_control_serigrafia[TIPO DE FRASCO],MATCH(Tabla_producción_serigrafia[[#This Row],[LOTE]],Tabla_control_serigrafia[LOTE],0)),"-")</f>
        <v>FRASCO BLANCO</v>
      </c>
      <c r="L111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11" s="28">
        <f>IFERROR(INDEX(Tabla_control_serigrafia[CANTIDAD PEDIDA],MATCH(Tabla_producción_serigrafia[[#This Row],[LOTE]],Tabla_control_serigrafia[LOTE],0)),"-")</f>
        <v>11764</v>
      </c>
      <c r="N111" s="29">
        <v>5000</v>
      </c>
      <c r="O111" s="26">
        <v>92</v>
      </c>
      <c r="P111" s="30" t="s">
        <v>66</v>
      </c>
      <c r="Q111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5000</v>
      </c>
      <c r="R111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11" s="32" t="s">
        <v>38</v>
      </c>
      <c r="T111" s="27" t="str">
        <f>UPPER(LEFT(TEXT(Tabla_producción_serigrafia[[#This Row],[FECHA]],"mmm"),3))</f>
        <v>MAR</v>
      </c>
      <c r="U111" s="27">
        <f>+Tabla_producción_serigrafia[[#This Row],[CANTIDAD PRODUCIDA]]+Tabla_producción_serigrafia[[#This Row],[CANTIDAD RECHAZADA]]</f>
        <v>5092</v>
      </c>
    </row>
    <row r="112" spans="1:21" x14ac:dyDescent="0.25">
      <c r="A112" s="10">
        <v>46091</v>
      </c>
      <c r="B112" s="10" t="s">
        <v>58</v>
      </c>
      <c r="C112" s="1" t="s">
        <v>65</v>
      </c>
      <c r="D112" s="22">
        <v>0.41666666666666669</v>
      </c>
      <c r="E112" s="23">
        <v>0.5625</v>
      </c>
      <c r="F112" s="24">
        <f t="shared" si="17"/>
        <v>3.5</v>
      </c>
      <c r="G112" s="7" t="s">
        <v>56</v>
      </c>
      <c r="H112" s="26">
        <v>32648</v>
      </c>
      <c r="I112" s="7" t="str">
        <f>IFERROR(INDEX(Tabla_control_serigrafia[PRODUCTO],MATCH(Tabla_producción_serigrafia[[#This Row],[LOTE]],Tabla_control_serigrafia[LOTE],0)),"-")</f>
        <v>COTRIMOXAZOL 400/80 MG X 100 ML SUSP.</v>
      </c>
      <c r="J112" s="27" t="str">
        <f>IFERROR(INDEX(Tabla_control_serigrafia[FORMATO DE FRASCO],MATCH(Tabla_producción_serigrafia[[#This Row],[LOTE]],Tabla_control_serigrafia[LOTE],0)),"-")</f>
        <v>120 ML</v>
      </c>
      <c r="K112" s="27" t="str">
        <f>IFERROR(INDEX(Tabla_control_serigrafia[TIPO DE FRASCO],MATCH(Tabla_producción_serigrafia[[#This Row],[LOTE]],Tabla_control_serigrafia[LOTE],0)),"-")</f>
        <v>FRASCO BLANCO</v>
      </c>
      <c r="L112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12" s="28">
        <f>IFERROR(INDEX(Tabla_control_serigrafia[CANTIDAD PEDIDA],MATCH(Tabla_producción_serigrafia[[#This Row],[LOTE]],Tabla_control_serigrafia[LOTE],0)),"-")</f>
        <v>11764</v>
      </c>
      <c r="N112" s="29">
        <v>6875</v>
      </c>
      <c r="O112" s="26">
        <v>232</v>
      </c>
      <c r="P112" s="30" t="s">
        <v>62</v>
      </c>
      <c r="Q112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6875</v>
      </c>
      <c r="R112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8</v>
      </c>
      <c r="S112" s="32" t="s">
        <v>38</v>
      </c>
      <c r="T112" s="27" t="str">
        <f>UPPER(LEFT(TEXT(Tabla_producción_serigrafia[[#This Row],[FECHA]],"mmm"),3))</f>
        <v>MAR</v>
      </c>
      <c r="U112" s="27">
        <f>+Tabla_producción_serigrafia[[#This Row],[CANTIDAD PRODUCIDA]]+Tabla_producción_serigrafia[[#This Row],[CANTIDAD RECHAZADA]]</f>
        <v>7107</v>
      </c>
    </row>
    <row r="113" spans="1:21" x14ac:dyDescent="0.25">
      <c r="A113" s="10">
        <v>46091</v>
      </c>
      <c r="B113" s="10" t="s">
        <v>58</v>
      </c>
      <c r="C113" s="1" t="s">
        <v>65</v>
      </c>
      <c r="D113" s="22">
        <v>0.5625</v>
      </c>
      <c r="E113" s="23">
        <v>0.72916666666666663</v>
      </c>
      <c r="F113" s="24">
        <f t="shared" si="17"/>
        <v>4</v>
      </c>
      <c r="G113" s="7" t="s">
        <v>64</v>
      </c>
      <c r="H113" s="26" t="s">
        <v>38</v>
      </c>
      <c r="I113" s="7" t="str">
        <f>IFERROR(INDEX(Tabla_control_serigrafia[PRODUCTO],MATCH(Tabla_producción_serigrafia[[#This Row],[LOTE]],Tabla_control_serigrafia[LOTE],0)),"-")</f>
        <v>-</v>
      </c>
      <c r="J113" s="27" t="str">
        <f>IFERROR(INDEX(Tabla_control_serigrafia[FORMATO DE FRASCO],MATCH(Tabla_producción_serigrafia[[#This Row],[LOTE]],Tabla_control_serigrafia[LOTE],0)),"-")</f>
        <v>-</v>
      </c>
      <c r="K113" s="27" t="str">
        <f>IFERROR(INDEX(Tabla_control_serigrafia[TIPO DE FRASCO],MATCH(Tabla_producción_serigrafia[[#This Row],[LOTE]],Tabla_control_serigrafia[LOTE],0)),"-")</f>
        <v>-</v>
      </c>
      <c r="L113" t="str">
        <f>IF(Tabla_producción_serigrafia[[#This Row],[ACCIÓN]]="PRODUCCIÓN",Tabla_producción_serigrafia[[#This Row],[FORMATO DE FRASCO]]&amp;" "&amp;Tabla_producción_serigrafia[[#This Row],[TIPO DE FRASCO]],"-")</f>
        <v>-</v>
      </c>
      <c r="M113" s="28" t="str">
        <f>IFERROR(INDEX(Tabla_control_serigrafia[CANTIDAD PEDIDA],MATCH(Tabla_producción_serigrafia[[#This Row],[LOTE]],Tabla_control_serigrafia[LOTE],0)),"-")</f>
        <v>-</v>
      </c>
      <c r="N113" s="29">
        <v>0</v>
      </c>
      <c r="O113" s="26">
        <v>0</v>
      </c>
      <c r="P113" s="3">
        <v>0</v>
      </c>
      <c r="Q113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13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13" s="32" t="s">
        <v>145</v>
      </c>
      <c r="T113" s="27" t="str">
        <f>UPPER(LEFT(TEXT(Tabla_producción_serigrafia[[#This Row],[FECHA]],"mmm"),3))</f>
        <v>MAR</v>
      </c>
      <c r="U113" s="27">
        <f>+Tabla_producción_serigrafia[[#This Row],[CANTIDAD PRODUCIDA]]+Tabla_producción_serigrafia[[#This Row],[CANTIDAD RECHAZADA]]</f>
        <v>0</v>
      </c>
    </row>
    <row r="114" spans="1:21" x14ac:dyDescent="0.25">
      <c r="A114" s="10">
        <v>46093</v>
      </c>
      <c r="B114" s="10" t="s">
        <v>88</v>
      </c>
      <c r="C114" s="1" t="s">
        <v>65</v>
      </c>
      <c r="D114" s="22">
        <v>0.41666666666666669</v>
      </c>
      <c r="E114" s="23">
        <v>0.60416666666666663</v>
      </c>
      <c r="F114" s="24">
        <f t="shared" ref="F114:F115" si="18">ROUND((E114-D114)*24,2)</f>
        <v>4.5</v>
      </c>
      <c r="G114" s="7" t="s">
        <v>56</v>
      </c>
      <c r="H114" s="26">
        <v>22695</v>
      </c>
      <c r="I114" s="7" t="str">
        <f>IFERROR(INDEX(Tabla_control_serigrafia[PRODUCTO],MATCH(Tabla_producción_serigrafia[[#This Row],[LOTE]],Tabla_control_serigrafia[LOTE],0)),"-")</f>
        <v>REMASOL X 30 ML LOCION</v>
      </c>
      <c r="J114" s="27" t="str">
        <f>IFERROR(INDEX(Tabla_control_serigrafia[FORMATO DE FRASCO],MATCH(Tabla_producción_serigrafia[[#This Row],[LOTE]],Tabla_control_serigrafia[LOTE],0)),"-")</f>
        <v>30 ML</v>
      </c>
      <c r="K114" s="27" t="str">
        <f>IFERROR(INDEX(Tabla_control_serigrafia[TIPO DE FRASCO],MATCH(Tabla_producción_serigrafia[[#This Row],[LOTE]],Tabla_control_serigrafia[LOTE],0)),"-")</f>
        <v>FRASCO BLANCO</v>
      </c>
      <c r="L114" t="str">
        <f>IF(Tabla_producción_serigrafia[[#This Row],[ACCIÓN]]="PRODUCCIÓN",Tabla_producción_serigrafia[[#This Row],[FORMATO DE FRASCO]]&amp;" "&amp;Tabla_producción_serigrafia[[#This Row],[TIPO DE FRASCO]],"-")</f>
        <v>30 ML FRASCO BLANCO</v>
      </c>
      <c r="M114" s="28">
        <f>IFERROR(INDEX(Tabla_control_serigrafia[CANTIDAD PEDIDA],MATCH(Tabla_producción_serigrafia[[#This Row],[LOTE]],Tabla_control_serigrafia[LOTE],0)),"-")</f>
        <v>2000</v>
      </c>
      <c r="N114" s="29">
        <v>2200</v>
      </c>
      <c r="O114" s="26">
        <v>137</v>
      </c>
      <c r="P114" s="30" t="s">
        <v>66</v>
      </c>
      <c r="Q114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1100</v>
      </c>
      <c r="R114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14" s="32" t="s">
        <v>139</v>
      </c>
      <c r="T114" s="27" t="str">
        <f>UPPER(LEFT(TEXT(Tabla_producción_serigrafia[[#This Row],[FECHA]],"mmm"),3))</f>
        <v>MAR</v>
      </c>
      <c r="U114" s="27">
        <f>+Tabla_producción_serigrafia[[#This Row],[CANTIDAD PRODUCIDA]]+Tabla_producción_serigrafia[[#This Row],[CANTIDAD RECHAZADA]]</f>
        <v>2337</v>
      </c>
    </row>
    <row r="115" spans="1:21" x14ac:dyDescent="0.25">
      <c r="A115" s="10">
        <v>46093</v>
      </c>
      <c r="B115" s="10" t="s">
        <v>88</v>
      </c>
      <c r="C115" s="1" t="s">
        <v>65</v>
      </c>
      <c r="D115" s="22">
        <v>0.625</v>
      </c>
      <c r="E115" s="23">
        <v>0.70833333333333337</v>
      </c>
      <c r="F115" s="24">
        <f t="shared" si="18"/>
        <v>2</v>
      </c>
      <c r="G115" s="7" t="s">
        <v>56</v>
      </c>
      <c r="H115" s="26">
        <v>22695</v>
      </c>
      <c r="I115" s="7" t="str">
        <f>IFERROR(INDEX(Tabla_control_serigrafia[PRODUCTO],MATCH(Tabla_producción_serigrafia[[#This Row],[LOTE]],Tabla_control_serigrafia[LOTE],0)),"-")</f>
        <v>REMASOL X 30 ML LOCION</v>
      </c>
      <c r="J115" s="27" t="str">
        <f>IFERROR(INDEX(Tabla_control_serigrafia[FORMATO DE FRASCO],MATCH(Tabla_producción_serigrafia[[#This Row],[LOTE]],Tabla_control_serigrafia[LOTE],0)),"-")</f>
        <v>30 ML</v>
      </c>
      <c r="K115" s="27" t="str">
        <f>IFERROR(INDEX(Tabla_control_serigrafia[TIPO DE FRASCO],MATCH(Tabla_producción_serigrafia[[#This Row],[LOTE]],Tabla_control_serigrafia[LOTE],0)),"-")</f>
        <v>FRASCO BLANCO</v>
      </c>
      <c r="L115" t="str">
        <f>IF(Tabla_producción_serigrafia[[#This Row],[ACCIÓN]]="PRODUCCIÓN",Tabla_producción_serigrafia[[#This Row],[FORMATO DE FRASCO]]&amp;" "&amp;Tabla_producción_serigrafia[[#This Row],[TIPO DE FRASCO]],"-")</f>
        <v>30 ML FRASCO BLANCO</v>
      </c>
      <c r="M115" s="28">
        <f>IFERROR(INDEX(Tabla_control_serigrafia[CANTIDAD PEDIDA],MATCH(Tabla_producción_serigrafia[[#This Row],[LOTE]],Tabla_control_serigrafia[LOTE],0)),"-")</f>
        <v>2000</v>
      </c>
      <c r="N115" s="29">
        <v>1000</v>
      </c>
      <c r="O115" s="26">
        <v>70</v>
      </c>
      <c r="P115" s="30" t="s">
        <v>66</v>
      </c>
      <c r="Q115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500</v>
      </c>
      <c r="R115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15" s="32" t="s">
        <v>140</v>
      </c>
      <c r="T115" s="27" t="str">
        <f>UPPER(LEFT(TEXT(Tabla_producción_serigrafia[[#This Row],[FECHA]],"mmm"),3))</f>
        <v>MAR</v>
      </c>
      <c r="U115" s="27">
        <f>+Tabla_producción_serigrafia[[#This Row],[CANTIDAD PRODUCIDA]]+Tabla_producción_serigrafia[[#This Row],[CANTIDAD RECHAZADA]]</f>
        <v>1070</v>
      </c>
    </row>
    <row r="116" spans="1:21" x14ac:dyDescent="0.25">
      <c r="A116" s="10">
        <v>46094</v>
      </c>
      <c r="B116" s="10" t="s">
        <v>88</v>
      </c>
      <c r="C116" s="1" t="s">
        <v>65</v>
      </c>
      <c r="D116" s="22">
        <v>0.35416666666666669</v>
      </c>
      <c r="E116" s="23">
        <v>0.5</v>
      </c>
      <c r="F116" s="24">
        <f>ROUND((E116-D116)*24,2)</f>
        <v>3.5</v>
      </c>
      <c r="G116" s="7" t="s">
        <v>56</v>
      </c>
      <c r="H116" s="26">
        <v>22695</v>
      </c>
      <c r="I116" s="7" t="str">
        <f>IFERROR(INDEX(Tabla_control_serigrafia[PRODUCTO],MATCH(Tabla_producción_serigrafia[[#This Row],[LOTE]],Tabla_control_serigrafia[LOTE],0)),"-")</f>
        <v>REMASOL X 30 ML LOCION</v>
      </c>
      <c r="J116" s="27" t="str">
        <f>IFERROR(INDEX(Tabla_control_serigrafia[FORMATO DE FRASCO],MATCH(Tabla_producción_serigrafia[[#This Row],[LOTE]],Tabla_control_serigrafia[LOTE],0)),"-")</f>
        <v>30 ML</v>
      </c>
      <c r="K116" s="27" t="str">
        <f>IFERROR(INDEX(Tabla_control_serigrafia[TIPO DE FRASCO],MATCH(Tabla_producción_serigrafia[[#This Row],[LOTE]],Tabla_control_serigrafia[LOTE],0)),"-")</f>
        <v>FRASCO BLANCO</v>
      </c>
      <c r="L116" t="str">
        <f>IF(Tabla_producción_serigrafia[[#This Row],[ACCIÓN]]="PRODUCCIÓN",Tabla_producción_serigrafia[[#This Row],[FORMATO DE FRASCO]]&amp;" "&amp;Tabla_producción_serigrafia[[#This Row],[TIPO DE FRASCO]],"-")</f>
        <v>30 ML FRASCO BLANCO</v>
      </c>
      <c r="M116" s="28">
        <f>IFERROR(INDEX(Tabla_control_serigrafia[CANTIDAD PEDIDA],MATCH(Tabla_producción_serigrafia[[#This Row],[LOTE]],Tabla_control_serigrafia[LOTE],0)),"-")</f>
        <v>2000</v>
      </c>
      <c r="N116" s="29">
        <v>1230</v>
      </c>
      <c r="O116" s="26">
        <v>130</v>
      </c>
      <c r="P116" s="30" t="s">
        <v>62</v>
      </c>
      <c r="Q116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615</v>
      </c>
      <c r="R116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30</v>
      </c>
      <c r="S116" s="32" t="s">
        <v>140</v>
      </c>
      <c r="T116" s="27" t="str">
        <f>UPPER(LEFT(TEXT(Tabla_producción_serigrafia[[#This Row],[FECHA]],"mmm"),3))</f>
        <v>MAR</v>
      </c>
      <c r="U116" s="27">
        <f>+Tabla_producción_serigrafia[[#This Row],[CANTIDAD PRODUCIDA]]+Tabla_producción_serigrafia[[#This Row],[CANTIDAD RECHAZADA]]</f>
        <v>1360</v>
      </c>
    </row>
    <row r="117" spans="1:21" x14ac:dyDescent="0.25">
      <c r="A117" s="10">
        <v>46113</v>
      </c>
      <c r="B117" s="10" t="s">
        <v>58</v>
      </c>
      <c r="C117" s="1" t="s">
        <v>75</v>
      </c>
      <c r="D117" s="22">
        <v>0.33333333333333331</v>
      </c>
      <c r="E117" s="23">
        <v>0.34722222222222227</v>
      </c>
      <c r="F117" s="24">
        <f t="shared" ref="F117:F118" si="19">ROUND((E117-D117)*24,2)</f>
        <v>0.33</v>
      </c>
      <c r="G117" s="25" t="s">
        <v>57</v>
      </c>
      <c r="H117" s="26" t="s">
        <v>38</v>
      </c>
      <c r="I117" s="7" t="str">
        <f>IFERROR(INDEX(Tabla_control_serigrafia[PRODUCTO],MATCH(Tabla_producción_serigrafia[[#This Row],[LOTE]],Tabla_control_serigrafia[LOTE],0)),"-")</f>
        <v>-</v>
      </c>
      <c r="J117" s="27" t="str">
        <f>IFERROR(INDEX(Tabla_control_serigrafia[FORMATO DE FRASCO],MATCH(Tabla_producción_serigrafia[[#This Row],[LOTE]],Tabla_control_serigrafia[LOTE],0)),"-")</f>
        <v>-</v>
      </c>
      <c r="K117" s="27" t="str">
        <f>IFERROR(INDEX(Tabla_control_serigrafia[TIPO DE FRASCO],MATCH(Tabla_producción_serigrafia[[#This Row],[LOTE]],Tabla_control_serigrafia[LOTE],0)),"-")</f>
        <v>-</v>
      </c>
      <c r="L117" t="str">
        <f>IF(Tabla_producción_serigrafia[[#This Row],[ACCIÓN]]="PRODUCCIÓN",Tabla_producción_serigrafia[[#This Row],[FORMATO DE FRASCO]]&amp;" "&amp;Tabla_producción_serigrafia[[#This Row],[TIPO DE FRASCO]],"-")</f>
        <v>-</v>
      </c>
      <c r="M117" s="28" t="str">
        <f>IFERROR(INDEX(Tabla_control_serigrafia[CANTIDAD PEDIDA],MATCH(Tabla_producción_serigrafia[[#This Row],[LOTE]],Tabla_control_serigrafia[LOTE],0)),"-")</f>
        <v>-</v>
      </c>
      <c r="N117" s="29">
        <v>0</v>
      </c>
      <c r="O117" s="26">
        <v>0</v>
      </c>
      <c r="P117" s="3">
        <v>0</v>
      </c>
      <c r="Q11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17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17" s="32" t="s">
        <v>63</v>
      </c>
      <c r="T117" s="27" t="str">
        <f>UPPER(LEFT(TEXT(Tabla_producción_serigrafia[[#This Row],[FECHA]],"mmm"),3))</f>
        <v>ABR</v>
      </c>
      <c r="U117" s="27">
        <f>+Tabla_producción_serigrafia[[#This Row],[CANTIDAD PRODUCIDA]]+Tabla_producción_serigrafia[[#This Row],[CANTIDAD RECHAZADA]]</f>
        <v>0</v>
      </c>
    </row>
    <row r="118" spans="1:21" x14ac:dyDescent="0.25">
      <c r="A118" s="10">
        <v>46113</v>
      </c>
      <c r="B118" s="10" t="s">
        <v>58</v>
      </c>
      <c r="C118" s="1" t="s">
        <v>75</v>
      </c>
      <c r="D118" s="22">
        <v>0.34722222222222227</v>
      </c>
      <c r="E118" s="23">
        <v>0.73263888888888884</v>
      </c>
      <c r="F118" s="24">
        <f t="shared" si="19"/>
        <v>9.25</v>
      </c>
      <c r="G118" s="25" t="s">
        <v>56</v>
      </c>
      <c r="H118" s="26">
        <v>32646</v>
      </c>
      <c r="I118" s="7" t="str">
        <f>IFERROR(INDEX(Tabla_control_serigrafia[PRODUCTO],MATCH(Tabla_producción_serigrafia[[#This Row],[LOTE]],Tabla_control_serigrafia[LOTE],0)),"-")</f>
        <v>IBUPROFENO 100 MG X 100 ML SUSP.</v>
      </c>
      <c r="J118" s="27" t="str">
        <f>IFERROR(INDEX(Tabla_control_serigrafia[FORMATO DE FRASCO],MATCH(Tabla_producción_serigrafia[[#This Row],[LOTE]],Tabla_control_serigrafia[LOTE],0)),"-")</f>
        <v>120 ML</v>
      </c>
      <c r="K118" s="27" t="str">
        <f>IFERROR(INDEX(Tabla_control_serigrafia[TIPO DE FRASCO],MATCH(Tabla_producción_serigrafia[[#This Row],[LOTE]],Tabla_control_serigrafia[LOTE],0)),"-")</f>
        <v>FRASCO BLANCO</v>
      </c>
      <c r="L118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18" s="28">
        <f>IFERROR(INDEX(Tabla_control_serigrafia[CANTIDAD PEDIDA],MATCH(Tabla_producción_serigrafia[[#This Row],[LOTE]],Tabla_control_serigrafia[LOTE],0)),"-")</f>
        <v>23529</v>
      </c>
      <c r="N118" s="29">
        <v>20000</v>
      </c>
      <c r="O118" s="26">
        <v>160</v>
      </c>
      <c r="P118" s="30" t="s">
        <v>62</v>
      </c>
      <c r="Q11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20000</v>
      </c>
      <c r="R118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30</v>
      </c>
      <c r="S118" s="32" t="s">
        <v>38</v>
      </c>
      <c r="T118" s="27" t="str">
        <f>UPPER(LEFT(TEXT(Tabla_producción_serigrafia[[#This Row],[FECHA]],"mmm"),3))</f>
        <v>ABR</v>
      </c>
      <c r="U118" s="27">
        <f>+Tabla_producción_serigrafia[[#This Row],[CANTIDAD PRODUCIDA]]+Tabla_producción_serigrafia[[#This Row],[CANTIDAD RECHAZADA]]</f>
        <v>20160</v>
      </c>
    </row>
    <row r="119" spans="1:21" x14ac:dyDescent="0.25">
      <c r="A119" s="10">
        <v>46114</v>
      </c>
      <c r="B119" s="10" t="s">
        <v>58</v>
      </c>
      <c r="C119" s="1" t="s">
        <v>75</v>
      </c>
      <c r="D119" s="22">
        <v>0.33333333333333331</v>
      </c>
      <c r="E119" s="23">
        <v>0.34722222222222227</v>
      </c>
      <c r="F119" s="24">
        <f>ROUND((E119-D119)*24,2)</f>
        <v>0.33</v>
      </c>
      <c r="G119" s="25" t="s">
        <v>57</v>
      </c>
      <c r="H119" s="26" t="s">
        <v>38</v>
      </c>
      <c r="I119" s="7" t="str">
        <f>IFERROR(INDEX(Tabla_control_serigrafia[PRODUCTO],MATCH(Tabla_producción_serigrafia[[#This Row],[LOTE]],Tabla_control_serigrafia[LOTE],0)),"-")</f>
        <v>-</v>
      </c>
      <c r="J119" s="27" t="str">
        <f>IFERROR(INDEX(Tabla_control_serigrafia[FORMATO DE FRASCO],MATCH(Tabla_producción_serigrafia[[#This Row],[LOTE]],Tabla_control_serigrafia[LOTE],0)),"-")</f>
        <v>-</v>
      </c>
      <c r="K119" s="27" t="str">
        <f>IFERROR(INDEX(Tabla_control_serigrafia[TIPO DE FRASCO],MATCH(Tabla_producción_serigrafia[[#This Row],[LOTE]],Tabla_control_serigrafia[LOTE],0)),"-")</f>
        <v>-</v>
      </c>
      <c r="L119" t="str">
        <f>IF(Tabla_producción_serigrafia[[#This Row],[ACCIÓN]]="PRODUCCIÓN",Tabla_producción_serigrafia[[#This Row],[FORMATO DE FRASCO]]&amp;" "&amp;Tabla_producción_serigrafia[[#This Row],[TIPO DE FRASCO]],"-")</f>
        <v>-</v>
      </c>
      <c r="M119" s="28" t="str">
        <f>IFERROR(INDEX(Tabla_control_serigrafia[CANTIDAD PEDIDA],MATCH(Tabla_producción_serigrafia[[#This Row],[LOTE]],Tabla_control_serigrafia[LOTE],0)),"-")</f>
        <v>-</v>
      </c>
      <c r="N119" s="29">
        <v>0</v>
      </c>
      <c r="O119" s="26">
        <v>0</v>
      </c>
      <c r="P119" s="3">
        <v>0</v>
      </c>
      <c r="Q11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19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19" s="32" t="s">
        <v>63</v>
      </c>
      <c r="T119" s="27" t="str">
        <f>UPPER(LEFT(TEXT(Tabla_producción_serigrafia[[#This Row],[FECHA]],"mmm"),3))</f>
        <v>ABR</v>
      </c>
      <c r="U119" s="27">
        <f>+Tabla_producción_serigrafia[[#This Row],[CANTIDAD PRODUCIDA]]+Tabla_producción_serigrafia[[#This Row],[CANTIDAD RECHAZADA]]</f>
        <v>0</v>
      </c>
    </row>
    <row r="120" spans="1:21" x14ac:dyDescent="0.25">
      <c r="A120" s="10">
        <v>46114</v>
      </c>
      <c r="B120" s="10" t="s">
        <v>58</v>
      </c>
      <c r="C120" s="1" t="s">
        <v>75</v>
      </c>
      <c r="D120" s="22">
        <v>0.34722222222222227</v>
      </c>
      <c r="E120" s="23">
        <v>0.66666666666666663</v>
      </c>
      <c r="F120" s="24">
        <f>ROUND((E120-D120)*24,2)</f>
        <v>7.67</v>
      </c>
      <c r="G120" s="25" t="s">
        <v>56</v>
      </c>
      <c r="H120" s="26">
        <v>32653</v>
      </c>
      <c r="I120" s="7" t="str">
        <f>IFERROR(INDEX(Tabla_control_serigrafia[PRODUCTO],MATCH(Tabla_producción_serigrafia[[#This Row],[LOTE]],Tabla_control_serigrafia[LOTE],0)),"-")</f>
        <v>IBUPROFENO 100 MG X 100 ML SUSP.</v>
      </c>
      <c r="J120" s="27" t="str">
        <f>IFERROR(INDEX(Tabla_control_serigrafia[FORMATO DE FRASCO],MATCH(Tabla_producción_serigrafia[[#This Row],[LOTE]],Tabla_control_serigrafia[LOTE],0)),"-")</f>
        <v>120 ML</v>
      </c>
      <c r="K120" s="27" t="str">
        <f>IFERROR(INDEX(Tabla_control_serigrafia[TIPO DE FRASCO],MATCH(Tabla_producción_serigrafia[[#This Row],[LOTE]],Tabla_control_serigrafia[LOTE],0)),"-")</f>
        <v>FRASCO BLANCO</v>
      </c>
      <c r="L120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20" s="28">
        <f>IFERROR(INDEX(Tabla_control_serigrafia[CANTIDAD PEDIDA],MATCH(Tabla_producción_serigrafia[[#This Row],[LOTE]],Tabla_control_serigrafia[LOTE],0)),"-")</f>
        <v>23529</v>
      </c>
      <c r="N120" s="29">
        <v>18000</v>
      </c>
      <c r="O120" s="26">
        <v>0</v>
      </c>
      <c r="P120" s="30" t="s">
        <v>62</v>
      </c>
      <c r="Q120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18000</v>
      </c>
      <c r="R120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31</v>
      </c>
      <c r="S120" s="32" t="s">
        <v>38</v>
      </c>
      <c r="T120" s="27" t="str">
        <f>UPPER(LEFT(TEXT(Tabla_producción_serigrafia[[#This Row],[FECHA]],"mmm"),3))</f>
        <v>ABR</v>
      </c>
      <c r="U120" s="27">
        <f>+Tabla_producción_serigrafia[[#This Row],[CANTIDAD PRODUCIDA]]+Tabla_producción_serigrafia[[#This Row],[CANTIDAD RECHAZADA]]</f>
        <v>18000</v>
      </c>
    </row>
    <row r="121" spans="1:21" x14ac:dyDescent="0.25">
      <c r="A121" s="10">
        <v>46118</v>
      </c>
      <c r="B121" s="10" t="s">
        <v>58</v>
      </c>
      <c r="C121" s="1" t="s">
        <v>75</v>
      </c>
      <c r="D121" s="22">
        <v>0.33333333333333331</v>
      </c>
      <c r="E121" s="23">
        <v>0.34722222222222227</v>
      </c>
      <c r="F121" s="24">
        <f t="shared" ref="F121:F124" si="20">ROUND((E121-D121)*24,2)</f>
        <v>0.33</v>
      </c>
      <c r="G121" s="25" t="s">
        <v>57</v>
      </c>
      <c r="H121" s="26" t="s">
        <v>38</v>
      </c>
      <c r="I121" s="7" t="str">
        <f>IFERROR(INDEX(Tabla_control_serigrafia[PRODUCTO],MATCH(Tabla_producción_serigrafia[[#This Row],[LOTE]],Tabla_control_serigrafia[LOTE],0)),"-")</f>
        <v>-</v>
      </c>
      <c r="J121" s="27" t="str">
        <f>IFERROR(INDEX(Tabla_control_serigrafia[FORMATO DE FRASCO],MATCH(Tabla_producción_serigrafia[[#This Row],[LOTE]],Tabla_control_serigrafia[LOTE],0)),"-")</f>
        <v>-</v>
      </c>
      <c r="K121" s="27" t="str">
        <f>IFERROR(INDEX(Tabla_control_serigrafia[TIPO DE FRASCO],MATCH(Tabla_producción_serigrafia[[#This Row],[LOTE]],Tabla_control_serigrafia[LOTE],0)),"-")</f>
        <v>-</v>
      </c>
      <c r="L121" t="str">
        <f>IF(Tabla_producción_serigrafia[[#This Row],[ACCIÓN]]="PRODUCCIÓN",Tabla_producción_serigrafia[[#This Row],[FORMATO DE FRASCO]]&amp;" "&amp;Tabla_producción_serigrafia[[#This Row],[TIPO DE FRASCO]],"-")</f>
        <v>-</v>
      </c>
      <c r="M121" s="28" t="str">
        <f>IFERROR(INDEX(Tabla_control_serigrafia[CANTIDAD PEDIDA],MATCH(Tabla_producción_serigrafia[[#This Row],[LOTE]],Tabla_control_serigrafia[LOTE],0)),"-")</f>
        <v>-</v>
      </c>
      <c r="N121" s="29">
        <v>0</v>
      </c>
      <c r="O121" s="26">
        <v>0</v>
      </c>
      <c r="P121" s="3">
        <v>0</v>
      </c>
      <c r="Q121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21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21" s="32" t="s">
        <v>63</v>
      </c>
      <c r="T121" s="27" t="str">
        <f>UPPER(LEFT(TEXT(Tabla_producción_serigrafia[[#This Row],[FECHA]],"mmm"),3))</f>
        <v>ABR</v>
      </c>
      <c r="U121" s="27">
        <f>+Tabla_producción_serigrafia[[#This Row],[CANTIDAD PRODUCIDA]]+Tabla_producción_serigrafia[[#This Row],[CANTIDAD RECHAZADA]]</f>
        <v>0</v>
      </c>
    </row>
    <row r="122" spans="1:21" x14ac:dyDescent="0.25">
      <c r="A122" s="10">
        <v>46118</v>
      </c>
      <c r="B122" s="10" t="s">
        <v>58</v>
      </c>
      <c r="C122" s="1" t="s">
        <v>75</v>
      </c>
      <c r="D122" s="22">
        <v>0.34722222222222227</v>
      </c>
      <c r="E122" s="23">
        <v>0.44444444444444442</v>
      </c>
      <c r="F122" s="24">
        <f t="shared" si="20"/>
        <v>2.33</v>
      </c>
      <c r="G122" s="25" t="s">
        <v>56</v>
      </c>
      <c r="H122" s="26">
        <v>32653</v>
      </c>
      <c r="I122" s="7" t="str">
        <f>IFERROR(INDEX(Tabla_control_serigrafia[PRODUCTO],MATCH(Tabla_producción_serigrafia[[#This Row],[LOTE]],Tabla_control_serigrafia[LOTE],0)),"-")</f>
        <v>IBUPROFENO 100 MG X 100 ML SUSP.</v>
      </c>
      <c r="J122" s="27" t="str">
        <f>IFERROR(INDEX(Tabla_control_serigrafia[FORMATO DE FRASCO],MATCH(Tabla_producción_serigrafia[[#This Row],[LOTE]],Tabla_control_serigrafia[LOTE],0)),"-")</f>
        <v>120 ML</v>
      </c>
      <c r="K122" s="27" t="str">
        <f>IFERROR(INDEX(Tabla_control_serigrafia[TIPO DE FRASCO],MATCH(Tabla_producción_serigrafia[[#This Row],[LOTE]],Tabla_control_serigrafia[LOTE],0)),"-")</f>
        <v>FRASCO BLANCO</v>
      </c>
      <c r="L122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22" s="28">
        <f>IFERROR(INDEX(Tabla_control_serigrafia[CANTIDAD PEDIDA],MATCH(Tabla_producción_serigrafia[[#This Row],[LOTE]],Tabla_control_serigrafia[LOTE],0)),"-")</f>
        <v>23529</v>
      </c>
      <c r="N122" s="29">
        <v>7650</v>
      </c>
      <c r="O122" s="26">
        <v>120</v>
      </c>
      <c r="P122" s="30" t="s">
        <v>62</v>
      </c>
      <c r="Q122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7650</v>
      </c>
      <c r="R122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35</v>
      </c>
      <c r="S122" s="32" t="s">
        <v>38</v>
      </c>
      <c r="T122" s="27" t="str">
        <f>UPPER(LEFT(TEXT(Tabla_producción_serigrafia[[#This Row],[FECHA]],"mmm"),3))</f>
        <v>ABR</v>
      </c>
      <c r="U122" s="27">
        <f>+Tabla_producción_serigrafia[[#This Row],[CANTIDAD PRODUCIDA]]+Tabla_producción_serigrafia[[#This Row],[CANTIDAD RECHAZADA]]</f>
        <v>7770</v>
      </c>
    </row>
    <row r="123" spans="1:21" x14ac:dyDescent="0.25">
      <c r="A123" s="10">
        <v>46118</v>
      </c>
      <c r="B123" s="10" t="s">
        <v>58</v>
      </c>
      <c r="C123" s="1" t="s">
        <v>75</v>
      </c>
      <c r="D123" s="22">
        <v>0.44444444444444442</v>
      </c>
      <c r="E123" s="23">
        <v>0.45833333333333331</v>
      </c>
      <c r="F123" s="24">
        <f t="shared" si="20"/>
        <v>0.33</v>
      </c>
      <c r="G123" s="25" t="s">
        <v>57</v>
      </c>
      <c r="H123" s="26" t="s">
        <v>38</v>
      </c>
      <c r="I123" s="7" t="str">
        <f>IFERROR(INDEX(Tabla_control_serigrafia[PRODUCTO],MATCH(Tabla_producción_serigrafia[[#This Row],[LOTE]],Tabla_control_serigrafia[LOTE],0)),"-")</f>
        <v>-</v>
      </c>
      <c r="J123" s="27" t="str">
        <f>IFERROR(INDEX(Tabla_control_serigrafia[FORMATO DE FRASCO],MATCH(Tabla_producción_serigrafia[[#This Row],[LOTE]],Tabla_control_serigrafia[LOTE],0)),"-")</f>
        <v>-</v>
      </c>
      <c r="K123" s="27" t="str">
        <f>IFERROR(INDEX(Tabla_control_serigrafia[TIPO DE FRASCO],MATCH(Tabla_producción_serigrafia[[#This Row],[LOTE]],Tabla_control_serigrafia[LOTE],0)),"-")</f>
        <v>-</v>
      </c>
      <c r="L123" t="str">
        <f>IF(Tabla_producción_serigrafia[[#This Row],[ACCIÓN]]="PRODUCCIÓN",Tabla_producción_serigrafia[[#This Row],[FORMATO DE FRASCO]]&amp;" "&amp;Tabla_producción_serigrafia[[#This Row],[TIPO DE FRASCO]],"-")</f>
        <v>-</v>
      </c>
      <c r="M123" s="28" t="str">
        <f>IFERROR(INDEX(Tabla_control_serigrafia[CANTIDAD PEDIDA],MATCH(Tabla_producción_serigrafia[[#This Row],[LOTE]],Tabla_control_serigrafia[LOTE],0)),"-")</f>
        <v>-</v>
      </c>
      <c r="N123" s="29">
        <v>0</v>
      </c>
      <c r="O123" s="26">
        <v>0</v>
      </c>
      <c r="P123" s="3">
        <v>0</v>
      </c>
      <c r="Q123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23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23" s="32" t="s">
        <v>63</v>
      </c>
      <c r="T123" s="27" t="str">
        <f>UPPER(LEFT(TEXT(Tabla_producción_serigrafia[[#This Row],[FECHA]],"mmm"),3))</f>
        <v>ABR</v>
      </c>
      <c r="U123" s="27">
        <f>+Tabla_producción_serigrafia[[#This Row],[CANTIDAD PRODUCIDA]]+Tabla_producción_serigrafia[[#This Row],[CANTIDAD RECHAZADA]]</f>
        <v>0</v>
      </c>
    </row>
    <row r="124" spans="1:21" x14ac:dyDescent="0.25">
      <c r="A124" s="10">
        <v>46118</v>
      </c>
      <c r="B124" s="10" t="s">
        <v>58</v>
      </c>
      <c r="C124" s="1" t="s">
        <v>75</v>
      </c>
      <c r="D124" s="22">
        <v>0.45833333333333331</v>
      </c>
      <c r="E124" s="23">
        <v>0.91666666666666663</v>
      </c>
      <c r="F124" s="24">
        <f t="shared" si="20"/>
        <v>11</v>
      </c>
      <c r="G124" s="25" t="s">
        <v>56</v>
      </c>
      <c r="H124" s="26">
        <v>32653</v>
      </c>
      <c r="I124" s="7" t="str">
        <f>IFERROR(INDEX(Tabla_control_serigrafia[PRODUCTO],MATCH(Tabla_producción_serigrafia[[#This Row],[LOTE]],Tabla_control_serigrafia[LOTE],0)),"-")</f>
        <v>IBUPROFENO 100 MG X 100 ML SUSP.</v>
      </c>
      <c r="J124" s="27" t="str">
        <f>IFERROR(INDEX(Tabla_control_serigrafia[FORMATO DE FRASCO],MATCH(Tabla_producción_serigrafia[[#This Row],[LOTE]],Tabla_control_serigrafia[LOTE],0)),"-")</f>
        <v>120 ML</v>
      </c>
      <c r="K124" s="27" t="str">
        <f>IFERROR(INDEX(Tabla_control_serigrafia[TIPO DE FRASCO],MATCH(Tabla_producción_serigrafia[[#This Row],[LOTE]],Tabla_control_serigrafia[LOTE],0)),"-")</f>
        <v>FRASCO BLANCO</v>
      </c>
      <c r="L124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24" s="28">
        <f>IFERROR(INDEX(Tabla_control_serigrafia[CANTIDAD PEDIDA],MATCH(Tabla_producción_serigrafia[[#This Row],[LOTE]],Tabla_control_serigrafia[LOTE],0)),"-")</f>
        <v>23529</v>
      </c>
      <c r="N124" s="29">
        <v>23650</v>
      </c>
      <c r="O124" s="26">
        <v>130</v>
      </c>
      <c r="P124" s="30" t="s">
        <v>62</v>
      </c>
      <c r="Q124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23650</v>
      </c>
      <c r="R124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35</v>
      </c>
      <c r="S124" s="32" t="s">
        <v>38</v>
      </c>
      <c r="T124" s="27" t="str">
        <f>UPPER(LEFT(TEXT(Tabla_producción_serigrafia[[#This Row],[FECHA]],"mmm"),3))</f>
        <v>ABR</v>
      </c>
      <c r="U124" s="27">
        <f>+Tabla_producción_serigrafia[[#This Row],[CANTIDAD PRODUCIDA]]+Tabla_producción_serigrafia[[#This Row],[CANTIDAD RECHAZADA]]</f>
        <v>23780</v>
      </c>
    </row>
    <row r="125" spans="1:21" x14ac:dyDescent="0.25">
      <c r="A125" s="10">
        <v>46119</v>
      </c>
      <c r="B125" s="10" t="s">
        <v>58</v>
      </c>
      <c r="C125" s="1" t="s">
        <v>75</v>
      </c>
      <c r="D125" s="22">
        <v>0.33333333333333331</v>
      </c>
      <c r="E125" s="23">
        <v>0.34722222222222227</v>
      </c>
      <c r="F125" s="24">
        <f t="shared" ref="F125:F126" si="21">ROUND((E125-D125)*24,2)</f>
        <v>0.33</v>
      </c>
      <c r="G125" s="25" t="s">
        <v>57</v>
      </c>
      <c r="H125" s="26" t="s">
        <v>38</v>
      </c>
      <c r="I125" s="7" t="str">
        <f>IFERROR(INDEX(Tabla_control_serigrafia[PRODUCTO],MATCH(Tabla_producción_serigrafia[[#This Row],[LOTE]],Tabla_control_serigrafia[LOTE],0)),"-")</f>
        <v>-</v>
      </c>
      <c r="J125" s="27" t="str">
        <f>IFERROR(INDEX(Tabla_control_serigrafia[FORMATO DE FRASCO],MATCH(Tabla_producción_serigrafia[[#This Row],[LOTE]],Tabla_control_serigrafia[LOTE],0)),"-")</f>
        <v>-</v>
      </c>
      <c r="K125" s="27" t="str">
        <f>IFERROR(INDEX(Tabla_control_serigrafia[TIPO DE FRASCO],MATCH(Tabla_producción_serigrafia[[#This Row],[LOTE]],Tabla_control_serigrafia[LOTE],0)),"-")</f>
        <v>-</v>
      </c>
      <c r="L125" t="str">
        <f>IF(Tabla_producción_serigrafia[[#This Row],[ACCIÓN]]="PRODUCCIÓN",Tabla_producción_serigrafia[[#This Row],[FORMATO DE FRASCO]]&amp;" "&amp;Tabla_producción_serigrafia[[#This Row],[TIPO DE FRASCO]],"-")</f>
        <v>-</v>
      </c>
      <c r="M125" s="28" t="str">
        <f>IFERROR(INDEX(Tabla_control_serigrafia[CANTIDAD PEDIDA],MATCH(Tabla_producción_serigrafia[[#This Row],[LOTE]],Tabla_control_serigrafia[LOTE],0)),"-")</f>
        <v>-</v>
      </c>
      <c r="N125" s="29">
        <v>0</v>
      </c>
      <c r="O125" s="26">
        <v>0</v>
      </c>
      <c r="P125" s="3">
        <v>0</v>
      </c>
      <c r="Q125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25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25" s="32" t="s">
        <v>63</v>
      </c>
      <c r="T125" s="27" t="str">
        <f>UPPER(LEFT(TEXT(Tabla_producción_serigrafia[[#This Row],[FECHA]],"mmm"),3))</f>
        <v>ABR</v>
      </c>
      <c r="U125" s="27">
        <f>+Tabla_producción_serigrafia[[#This Row],[CANTIDAD PRODUCIDA]]+Tabla_producción_serigrafia[[#This Row],[CANTIDAD RECHAZADA]]</f>
        <v>0</v>
      </c>
    </row>
    <row r="126" spans="1:21" x14ac:dyDescent="0.25">
      <c r="A126" s="10">
        <v>46119</v>
      </c>
      <c r="B126" s="10" t="s">
        <v>58</v>
      </c>
      <c r="C126" s="1" t="s">
        <v>75</v>
      </c>
      <c r="D126" s="22">
        <v>0.34722222222222227</v>
      </c>
      <c r="E126" s="23">
        <v>0.91666666666666663</v>
      </c>
      <c r="F126" s="24">
        <f t="shared" si="21"/>
        <v>13.67</v>
      </c>
      <c r="G126" s="25" t="s">
        <v>56</v>
      </c>
      <c r="H126" s="26">
        <v>42660</v>
      </c>
      <c r="I126" s="7" t="str">
        <f>IFERROR(INDEX(Tabla_control_serigrafia[PRODUCTO],MATCH(Tabla_producción_serigrafia[[#This Row],[LOTE]],Tabla_control_serigrafia[LOTE],0)),"-")</f>
        <v>ZINC 20 MG X 100 ML JARABE</v>
      </c>
      <c r="J126" s="27" t="str">
        <f>IFERROR(INDEX(Tabla_control_serigrafia[FORMATO DE FRASCO],MATCH(Tabla_producción_serigrafia[[#This Row],[LOTE]],Tabla_control_serigrafia[LOTE],0)),"-")</f>
        <v>120 ML</v>
      </c>
      <c r="K126" s="27" t="str">
        <f>IFERROR(INDEX(Tabla_control_serigrafia[TIPO DE FRASCO],MATCH(Tabla_producción_serigrafia[[#This Row],[LOTE]],Tabla_control_serigrafia[LOTE],0)),"-")</f>
        <v>FRASCO BLANCO</v>
      </c>
      <c r="L126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26" s="28">
        <f>IFERROR(INDEX(Tabla_control_serigrafia[CANTIDAD PEDIDA],MATCH(Tabla_producción_serigrafia[[#This Row],[LOTE]],Tabla_control_serigrafia[LOTE],0)),"-")</f>
        <v>29703</v>
      </c>
      <c r="N126" s="29">
        <v>29850</v>
      </c>
      <c r="O126" s="26">
        <v>146</v>
      </c>
      <c r="P126" s="30" t="s">
        <v>62</v>
      </c>
      <c r="Q126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29850</v>
      </c>
      <c r="R126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6</v>
      </c>
      <c r="S126" s="32" t="s">
        <v>38</v>
      </c>
      <c r="T126" s="27" t="str">
        <f>UPPER(LEFT(TEXT(Tabla_producción_serigrafia[[#This Row],[FECHA]],"mmm"),3))</f>
        <v>ABR</v>
      </c>
      <c r="U126" s="27">
        <f>+Tabla_producción_serigrafia[[#This Row],[CANTIDAD PRODUCIDA]]+Tabla_producción_serigrafia[[#This Row],[CANTIDAD RECHAZADA]]</f>
        <v>29996</v>
      </c>
    </row>
    <row r="127" spans="1:21" x14ac:dyDescent="0.25">
      <c r="A127" s="10">
        <v>46120</v>
      </c>
      <c r="B127" s="10" t="s">
        <v>58</v>
      </c>
      <c r="C127" s="1" t="s">
        <v>75</v>
      </c>
      <c r="D127" s="22">
        <v>0.33333333333333331</v>
      </c>
      <c r="E127" s="23">
        <v>0.54166666666666663</v>
      </c>
      <c r="F127" s="24">
        <f t="shared" ref="F127:F129" si="22">ROUND((E127-D127)*24,2)</f>
        <v>5</v>
      </c>
      <c r="G127" s="25" t="s">
        <v>64</v>
      </c>
      <c r="H127" s="26" t="s">
        <v>38</v>
      </c>
      <c r="I127" s="7" t="str">
        <f>IFERROR(INDEX(Tabla_control_serigrafia[PRODUCTO],MATCH(Tabla_producción_serigrafia[[#This Row],[LOTE]],Tabla_control_serigrafia[LOTE],0)),"-")</f>
        <v>-</v>
      </c>
      <c r="J127" s="27" t="str">
        <f>IFERROR(INDEX(Tabla_control_serigrafia[FORMATO DE FRASCO],MATCH(Tabla_producción_serigrafia[[#This Row],[LOTE]],Tabla_control_serigrafia[LOTE],0)),"-")</f>
        <v>-</v>
      </c>
      <c r="K127" s="27" t="str">
        <f>IFERROR(INDEX(Tabla_control_serigrafia[TIPO DE FRASCO],MATCH(Tabla_producción_serigrafia[[#This Row],[LOTE]],Tabla_control_serigrafia[LOTE],0)),"-")</f>
        <v>-</v>
      </c>
      <c r="L127" t="str">
        <f>IF(Tabla_producción_serigrafia[[#This Row],[ACCIÓN]]="PRODUCCIÓN",Tabla_producción_serigrafia[[#This Row],[FORMATO DE FRASCO]]&amp;" "&amp;Tabla_producción_serigrafia[[#This Row],[TIPO DE FRASCO]],"-")</f>
        <v>-</v>
      </c>
      <c r="M127" s="28" t="str">
        <f>IFERROR(INDEX(Tabla_control_serigrafia[CANTIDAD PEDIDA],MATCH(Tabla_producción_serigrafia[[#This Row],[LOTE]],Tabla_control_serigrafia[LOTE],0)),"-")</f>
        <v>-</v>
      </c>
      <c r="N127" s="29">
        <v>0</v>
      </c>
      <c r="O127" s="26">
        <v>0</v>
      </c>
      <c r="P127" s="3">
        <v>0</v>
      </c>
      <c r="Q12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27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27" s="32" t="s">
        <v>141</v>
      </c>
      <c r="T127" s="27" t="str">
        <f>UPPER(LEFT(TEXT(Tabla_producción_serigrafia[[#This Row],[FECHA]],"mmm"),3))</f>
        <v>ABR</v>
      </c>
      <c r="U127" s="27">
        <f>+Tabla_producción_serigrafia[[#This Row],[CANTIDAD PRODUCIDA]]+Tabla_producción_serigrafia[[#This Row],[CANTIDAD RECHAZADA]]</f>
        <v>0</v>
      </c>
    </row>
    <row r="128" spans="1:21" x14ac:dyDescent="0.25">
      <c r="A128" s="10">
        <v>46120</v>
      </c>
      <c r="B128" s="10" t="s">
        <v>58</v>
      </c>
      <c r="C128" s="1" t="s">
        <v>75</v>
      </c>
      <c r="D128" s="22">
        <v>0.54166666666666663</v>
      </c>
      <c r="E128" s="23">
        <v>0.5625</v>
      </c>
      <c r="F128" s="24">
        <f t="shared" si="22"/>
        <v>0.5</v>
      </c>
      <c r="G128" s="25" t="s">
        <v>57</v>
      </c>
      <c r="H128" s="26" t="s">
        <v>38</v>
      </c>
      <c r="I128" s="7" t="str">
        <f>IFERROR(INDEX(Tabla_control_serigrafia[PRODUCTO],MATCH(Tabla_producción_serigrafia[[#This Row],[LOTE]],Tabla_control_serigrafia[LOTE],0)),"-")</f>
        <v>-</v>
      </c>
      <c r="J128" s="27" t="str">
        <f>IFERROR(INDEX(Tabla_control_serigrafia[FORMATO DE FRASCO],MATCH(Tabla_producción_serigrafia[[#This Row],[LOTE]],Tabla_control_serigrafia[LOTE],0)),"-")</f>
        <v>-</v>
      </c>
      <c r="K128" s="27" t="str">
        <f>IFERROR(INDEX(Tabla_control_serigrafia[TIPO DE FRASCO],MATCH(Tabla_producción_serigrafia[[#This Row],[LOTE]],Tabla_control_serigrafia[LOTE],0)),"-")</f>
        <v>-</v>
      </c>
      <c r="L128" t="str">
        <f>IF(Tabla_producción_serigrafia[[#This Row],[ACCIÓN]]="PRODUCCIÓN",Tabla_producción_serigrafia[[#This Row],[FORMATO DE FRASCO]]&amp;" "&amp;Tabla_producción_serigrafia[[#This Row],[TIPO DE FRASCO]],"-")</f>
        <v>-</v>
      </c>
      <c r="M128" s="28" t="str">
        <f>IFERROR(INDEX(Tabla_control_serigrafia[CANTIDAD PEDIDA],MATCH(Tabla_producción_serigrafia[[#This Row],[LOTE]],Tabla_control_serigrafia[LOTE],0)),"-")</f>
        <v>-</v>
      </c>
      <c r="N128" s="29">
        <v>0</v>
      </c>
      <c r="O128" s="26">
        <v>0</v>
      </c>
      <c r="P128" s="3">
        <v>0</v>
      </c>
      <c r="Q12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28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28" s="32" t="s">
        <v>63</v>
      </c>
      <c r="T128" s="27" t="str">
        <f>UPPER(LEFT(TEXT(Tabla_producción_serigrafia[[#This Row],[FECHA]],"mmm"),3))</f>
        <v>ABR</v>
      </c>
      <c r="U128" s="27">
        <f>+Tabla_producción_serigrafia[[#This Row],[CANTIDAD PRODUCIDA]]+Tabla_producción_serigrafia[[#This Row],[CANTIDAD RECHAZADA]]</f>
        <v>0</v>
      </c>
    </row>
    <row r="129" spans="1:21" x14ac:dyDescent="0.25">
      <c r="A129" s="10">
        <v>46120</v>
      </c>
      <c r="B129" s="10" t="s">
        <v>58</v>
      </c>
      <c r="C129" s="1" t="s">
        <v>75</v>
      </c>
      <c r="D129" s="22">
        <v>0.5625</v>
      </c>
      <c r="E129" s="23">
        <v>0.91666666666666663</v>
      </c>
      <c r="F129" s="24">
        <f t="shared" si="22"/>
        <v>8.5</v>
      </c>
      <c r="G129" s="25" t="s">
        <v>56</v>
      </c>
      <c r="H129" s="26">
        <v>42669</v>
      </c>
      <c r="I129" s="7" t="str">
        <f>IFERROR(INDEX(Tabla_control_serigrafia[PRODUCTO],MATCH(Tabla_producción_serigrafia[[#This Row],[LOTE]],Tabla_control_serigrafia[LOTE],0)),"-")</f>
        <v>MEBENDAZOL 100 MG X 30 ML SUSP.</v>
      </c>
      <c r="J129" s="27" t="str">
        <f>IFERROR(INDEX(Tabla_control_serigrafia[FORMATO DE FRASCO],MATCH(Tabla_producción_serigrafia[[#This Row],[LOTE]],Tabla_control_serigrafia[LOTE],0)),"-")</f>
        <v>40 ML</v>
      </c>
      <c r="K129" s="27" t="str">
        <f>IFERROR(INDEX(Tabla_control_serigrafia[TIPO DE FRASCO],MATCH(Tabla_producción_serigrafia[[#This Row],[LOTE]],Tabla_control_serigrafia[LOTE],0)),"-")</f>
        <v>FRASCO BLANCO</v>
      </c>
      <c r="L129" t="str">
        <f>IF(Tabla_producción_serigrafia[[#This Row],[ACCIÓN]]="PRODUCCIÓN",Tabla_producción_serigrafia[[#This Row],[FORMATO DE FRASCO]]&amp;" "&amp;Tabla_producción_serigrafia[[#This Row],[TIPO DE FRASCO]],"-")</f>
        <v>40 ML FRASCO BLANCO</v>
      </c>
      <c r="M129" s="28">
        <f>IFERROR(INDEX(Tabla_control_serigrafia[CANTIDAD PEDIDA],MATCH(Tabla_producción_serigrafia[[#This Row],[LOTE]],Tabla_control_serigrafia[LOTE],0)),"-")</f>
        <v>14063</v>
      </c>
      <c r="N129" s="29">
        <v>14200</v>
      </c>
      <c r="O129" s="26">
        <v>160</v>
      </c>
      <c r="P129" s="30" t="s">
        <v>62</v>
      </c>
      <c r="Q12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14200</v>
      </c>
      <c r="R129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7</v>
      </c>
      <c r="S129" s="32" t="s">
        <v>38</v>
      </c>
      <c r="T129" s="27" t="str">
        <f>UPPER(LEFT(TEXT(Tabla_producción_serigrafia[[#This Row],[FECHA]],"mmm"),3))</f>
        <v>ABR</v>
      </c>
      <c r="U129" s="27">
        <f>+Tabla_producción_serigrafia[[#This Row],[CANTIDAD PRODUCIDA]]+Tabla_producción_serigrafia[[#This Row],[CANTIDAD RECHAZADA]]</f>
        <v>14360</v>
      </c>
    </row>
    <row r="130" spans="1:21" x14ac:dyDescent="0.25">
      <c r="A130" s="10">
        <v>46121</v>
      </c>
      <c r="B130" s="10" t="s">
        <v>58</v>
      </c>
      <c r="C130" s="1" t="s">
        <v>75</v>
      </c>
      <c r="D130" s="22">
        <v>0.33333333333333331</v>
      </c>
      <c r="E130" s="23">
        <v>0.35416666666666669</v>
      </c>
      <c r="F130" s="24">
        <f t="shared" ref="F130:F134" si="23">ROUND((E130-D130)*24,2)</f>
        <v>0.5</v>
      </c>
      <c r="G130" s="25" t="s">
        <v>57</v>
      </c>
      <c r="H130" s="26" t="s">
        <v>38</v>
      </c>
      <c r="I130" s="7" t="str">
        <f>IFERROR(INDEX(Tabla_control_serigrafia[PRODUCTO],MATCH(Tabla_producción_serigrafia[[#This Row],[LOTE]],Tabla_control_serigrafia[LOTE],0)),"-")</f>
        <v>-</v>
      </c>
      <c r="J130" s="27" t="str">
        <f>IFERROR(INDEX(Tabla_control_serigrafia[FORMATO DE FRASCO],MATCH(Tabla_producción_serigrafia[[#This Row],[LOTE]],Tabla_control_serigrafia[LOTE],0)),"-")</f>
        <v>-</v>
      </c>
      <c r="K130" s="27" t="str">
        <f>IFERROR(INDEX(Tabla_control_serigrafia[TIPO DE FRASCO],MATCH(Tabla_producción_serigrafia[[#This Row],[LOTE]],Tabla_control_serigrafia[LOTE],0)),"-")</f>
        <v>-</v>
      </c>
      <c r="L130" t="str">
        <f>IF(Tabla_producción_serigrafia[[#This Row],[ACCIÓN]]="PRODUCCIÓN",Tabla_producción_serigrafia[[#This Row],[FORMATO DE FRASCO]]&amp;" "&amp;Tabla_producción_serigrafia[[#This Row],[TIPO DE FRASCO]],"-")</f>
        <v>-</v>
      </c>
      <c r="M130" s="28" t="str">
        <f>IFERROR(INDEX(Tabla_control_serigrafia[CANTIDAD PEDIDA],MATCH(Tabla_producción_serigrafia[[#This Row],[LOTE]],Tabla_control_serigrafia[LOTE],0)),"-")</f>
        <v>-</v>
      </c>
      <c r="N130" s="29">
        <v>0</v>
      </c>
      <c r="O130" s="26">
        <v>0</v>
      </c>
      <c r="P130" s="3">
        <v>0</v>
      </c>
      <c r="Q130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30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30" s="32" t="s">
        <v>63</v>
      </c>
      <c r="T130" s="27" t="str">
        <f>UPPER(LEFT(TEXT(Tabla_producción_serigrafia[[#This Row],[FECHA]],"mmm"),3))</f>
        <v>ABR</v>
      </c>
      <c r="U130" s="27">
        <f>+Tabla_producción_serigrafia[[#This Row],[CANTIDAD PRODUCIDA]]+Tabla_producción_serigrafia[[#This Row],[CANTIDAD RECHAZADA]]</f>
        <v>0</v>
      </c>
    </row>
    <row r="131" spans="1:21" x14ac:dyDescent="0.25">
      <c r="A131" s="10">
        <v>46121</v>
      </c>
      <c r="B131" s="10" t="s">
        <v>58</v>
      </c>
      <c r="C131" s="1" t="s">
        <v>75</v>
      </c>
      <c r="D131" s="22">
        <v>0.35416666666666669</v>
      </c>
      <c r="E131" s="23">
        <v>0.4375</v>
      </c>
      <c r="F131" s="24">
        <f t="shared" si="23"/>
        <v>2</v>
      </c>
      <c r="G131" s="25" t="s">
        <v>56</v>
      </c>
      <c r="H131" s="26">
        <v>42672</v>
      </c>
      <c r="I131" s="7" t="str">
        <f>IFERROR(INDEX(Tabla_control_serigrafia[PRODUCTO],MATCH(Tabla_producción_serigrafia[[#This Row],[LOTE]],Tabla_control_serigrafia[LOTE],0)),"-")</f>
        <v>IFABENA 500 MG X 30 ML SUSP.</v>
      </c>
      <c r="J131" s="27" t="str">
        <f>IFERROR(INDEX(Tabla_control_serigrafia[FORMATO DE FRASCO],MATCH(Tabla_producción_serigrafia[[#This Row],[LOTE]],Tabla_control_serigrafia[LOTE],0)),"-")</f>
        <v>40 ML</v>
      </c>
      <c r="K131" s="27" t="str">
        <f>IFERROR(INDEX(Tabla_control_serigrafia[TIPO DE FRASCO],MATCH(Tabla_producción_serigrafia[[#This Row],[LOTE]],Tabla_control_serigrafia[LOTE],0)),"-")</f>
        <v>FRASCO BLANCO</v>
      </c>
      <c r="L131" t="str">
        <f>IF(Tabla_producción_serigrafia[[#This Row],[ACCIÓN]]="PRODUCCIÓN",Tabla_producción_serigrafia[[#This Row],[FORMATO DE FRASCO]]&amp;" "&amp;Tabla_producción_serigrafia[[#This Row],[TIPO DE FRASCO]],"-")</f>
        <v>40 ML FRASCO BLANCO</v>
      </c>
      <c r="M131" s="28">
        <f>IFERROR(INDEX(Tabla_control_serigrafia[CANTIDAD PEDIDA],MATCH(Tabla_producción_serigrafia[[#This Row],[LOTE]],Tabla_control_serigrafia[LOTE],0)),"-")</f>
        <v>3750</v>
      </c>
      <c r="N131" s="29">
        <v>3900</v>
      </c>
      <c r="O131" s="26">
        <v>69</v>
      </c>
      <c r="P131" s="30" t="s">
        <v>62</v>
      </c>
      <c r="Q131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3900</v>
      </c>
      <c r="R131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8</v>
      </c>
      <c r="S131" s="32" t="s">
        <v>38</v>
      </c>
      <c r="T131" s="27" t="str">
        <f>UPPER(LEFT(TEXT(Tabla_producción_serigrafia[[#This Row],[FECHA]],"mmm"),3))</f>
        <v>ABR</v>
      </c>
      <c r="U131" s="27">
        <f>+Tabla_producción_serigrafia[[#This Row],[CANTIDAD PRODUCIDA]]+Tabla_producción_serigrafia[[#This Row],[CANTIDAD RECHAZADA]]</f>
        <v>3969</v>
      </c>
    </row>
    <row r="132" spans="1:21" x14ac:dyDescent="0.25">
      <c r="A132" s="10">
        <v>46121</v>
      </c>
      <c r="B132" s="10" t="s">
        <v>58</v>
      </c>
      <c r="C132" s="1" t="s">
        <v>75</v>
      </c>
      <c r="D132" s="22">
        <v>0.4375</v>
      </c>
      <c r="E132" s="23">
        <v>0.60416666666666663</v>
      </c>
      <c r="F132" s="24">
        <f t="shared" si="23"/>
        <v>4</v>
      </c>
      <c r="G132" s="25" t="s">
        <v>64</v>
      </c>
      <c r="H132" s="26" t="s">
        <v>38</v>
      </c>
      <c r="I132" s="7" t="str">
        <f>IFERROR(INDEX(Tabla_control_serigrafia[PRODUCTO],MATCH(Tabla_producción_serigrafia[[#This Row],[LOTE]],Tabla_control_serigrafia[LOTE],0)),"-")</f>
        <v>-</v>
      </c>
      <c r="J132" s="27" t="str">
        <f>IFERROR(INDEX(Tabla_control_serigrafia[FORMATO DE FRASCO],MATCH(Tabla_producción_serigrafia[[#This Row],[LOTE]],Tabla_control_serigrafia[LOTE],0)),"-")</f>
        <v>-</v>
      </c>
      <c r="K132" s="27" t="str">
        <f>IFERROR(INDEX(Tabla_control_serigrafia[TIPO DE FRASCO],MATCH(Tabla_producción_serigrafia[[#This Row],[LOTE]],Tabla_control_serigrafia[LOTE],0)),"-")</f>
        <v>-</v>
      </c>
      <c r="L132" t="str">
        <f>IF(Tabla_producción_serigrafia[[#This Row],[ACCIÓN]]="PRODUCCIÓN",Tabla_producción_serigrafia[[#This Row],[FORMATO DE FRASCO]]&amp;" "&amp;Tabla_producción_serigrafia[[#This Row],[TIPO DE FRASCO]],"-")</f>
        <v>-</v>
      </c>
      <c r="M132" s="28" t="str">
        <f>IFERROR(INDEX(Tabla_control_serigrafia[CANTIDAD PEDIDA],MATCH(Tabla_producción_serigrafia[[#This Row],[LOTE]],Tabla_control_serigrafia[LOTE],0)),"-")</f>
        <v>-</v>
      </c>
      <c r="N132" s="29">
        <v>0</v>
      </c>
      <c r="O132" s="26">
        <v>0</v>
      </c>
      <c r="P132" s="3">
        <v>0</v>
      </c>
      <c r="Q132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32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32" s="32" t="s">
        <v>142</v>
      </c>
      <c r="T132" s="27" t="str">
        <f>UPPER(LEFT(TEXT(Tabla_producción_serigrafia[[#This Row],[FECHA]],"mmm"),3))</f>
        <v>ABR</v>
      </c>
      <c r="U132" s="27">
        <f>+Tabla_producción_serigrafia[[#This Row],[CANTIDAD PRODUCIDA]]+Tabla_producción_serigrafia[[#This Row],[CANTIDAD RECHAZADA]]</f>
        <v>0</v>
      </c>
    </row>
    <row r="133" spans="1:21" x14ac:dyDescent="0.25">
      <c r="A133" s="10">
        <v>46121</v>
      </c>
      <c r="B133" s="10" t="s">
        <v>58</v>
      </c>
      <c r="C133" s="1" t="s">
        <v>75</v>
      </c>
      <c r="D133" s="22">
        <v>0.60416666666666663</v>
      </c>
      <c r="E133" s="23">
        <v>0.625</v>
      </c>
      <c r="F133" s="24">
        <f t="shared" si="23"/>
        <v>0.5</v>
      </c>
      <c r="G133" s="25" t="s">
        <v>57</v>
      </c>
      <c r="H133" s="26" t="s">
        <v>38</v>
      </c>
      <c r="I133" s="7" t="str">
        <f>IFERROR(INDEX(Tabla_control_serigrafia[PRODUCTO],MATCH(Tabla_producción_serigrafia[[#This Row],[LOTE]],Tabla_control_serigrafia[LOTE],0)),"-")</f>
        <v>-</v>
      </c>
      <c r="J133" s="27" t="str">
        <f>IFERROR(INDEX(Tabla_control_serigrafia[FORMATO DE FRASCO],MATCH(Tabla_producción_serigrafia[[#This Row],[LOTE]],Tabla_control_serigrafia[LOTE],0)),"-")</f>
        <v>-</v>
      </c>
      <c r="K133" s="27" t="str">
        <f>IFERROR(INDEX(Tabla_control_serigrafia[TIPO DE FRASCO],MATCH(Tabla_producción_serigrafia[[#This Row],[LOTE]],Tabla_control_serigrafia[LOTE],0)),"-")</f>
        <v>-</v>
      </c>
      <c r="L133" t="str">
        <f>IF(Tabla_producción_serigrafia[[#This Row],[ACCIÓN]]="PRODUCCIÓN",Tabla_producción_serigrafia[[#This Row],[FORMATO DE FRASCO]]&amp;" "&amp;Tabla_producción_serigrafia[[#This Row],[TIPO DE FRASCO]],"-")</f>
        <v>-</v>
      </c>
      <c r="M133" s="28" t="str">
        <f>IFERROR(INDEX(Tabla_control_serigrafia[CANTIDAD PEDIDA],MATCH(Tabla_producción_serigrafia[[#This Row],[LOTE]],Tabla_control_serigrafia[LOTE],0)),"-")</f>
        <v>-</v>
      </c>
      <c r="N133" s="29">
        <v>0</v>
      </c>
      <c r="O133" s="26">
        <v>0</v>
      </c>
      <c r="P133" s="3">
        <v>0</v>
      </c>
      <c r="Q133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33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33" s="32" t="s">
        <v>63</v>
      </c>
      <c r="T133" s="27" t="str">
        <f>UPPER(LEFT(TEXT(Tabla_producción_serigrafia[[#This Row],[FECHA]],"mmm"),3))</f>
        <v>ABR</v>
      </c>
      <c r="U133" s="27">
        <f>+Tabla_producción_serigrafia[[#This Row],[CANTIDAD PRODUCIDA]]+Tabla_producción_serigrafia[[#This Row],[CANTIDAD RECHAZADA]]</f>
        <v>0</v>
      </c>
    </row>
    <row r="134" spans="1:21" x14ac:dyDescent="0.25">
      <c r="A134" s="10">
        <v>46121</v>
      </c>
      <c r="B134" s="10" t="s">
        <v>58</v>
      </c>
      <c r="C134" s="1" t="s">
        <v>75</v>
      </c>
      <c r="D134" s="22">
        <v>0.625</v>
      </c>
      <c r="E134" s="23">
        <v>0.91666666666666663</v>
      </c>
      <c r="F134" s="24">
        <f t="shared" si="23"/>
        <v>7</v>
      </c>
      <c r="G134" s="25" t="s">
        <v>56</v>
      </c>
      <c r="H134" s="26">
        <v>32606</v>
      </c>
      <c r="I134" s="7" t="str">
        <f>IFERROR(INDEX(Tabla_control_serigrafia[PRODUCTO],MATCH(Tabla_producción_serigrafia[[#This Row],[LOTE]],Tabla_control_serigrafia[LOTE],0)),"-")</f>
        <v>DOMPERIDONA 10 MG X 20 ML GOTAS</v>
      </c>
      <c r="J134" s="27" t="str">
        <f>IFERROR(INDEX(Tabla_control_serigrafia[FORMATO DE FRASCO],MATCH(Tabla_producción_serigrafia[[#This Row],[LOTE]],Tabla_control_serigrafia[LOTE],0)),"-")</f>
        <v>30 ML</v>
      </c>
      <c r="K134" s="27" t="str">
        <f>IFERROR(INDEX(Tabla_control_serigrafia[TIPO DE FRASCO],MATCH(Tabla_producción_serigrafia[[#This Row],[LOTE]],Tabla_control_serigrafia[LOTE],0)),"-")</f>
        <v>FRASCO BLANCO</v>
      </c>
      <c r="L134" t="str">
        <f>IF(Tabla_producción_serigrafia[[#This Row],[ACCIÓN]]="PRODUCCIÓN",Tabla_producción_serigrafia[[#This Row],[FORMATO DE FRASCO]]&amp;" "&amp;Tabla_producción_serigrafia[[#This Row],[TIPO DE FRASCO]],"-")</f>
        <v>30 ML FRASCO BLANCO</v>
      </c>
      <c r="M134" s="28">
        <f>IFERROR(INDEX(Tabla_control_serigrafia[CANTIDAD PEDIDA],MATCH(Tabla_producción_serigrafia[[#This Row],[LOTE]],Tabla_control_serigrafia[LOTE],0)),"-")</f>
        <v>28570</v>
      </c>
      <c r="N134" s="29">
        <v>7500</v>
      </c>
      <c r="O134" s="26">
        <v>0</v>
      </c>
      <c r="P134" s="30" t="s">
        <v>66</v>
      </c>
      <c r="Q134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7500</v>
      </c>
      <c r="R134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34" s="32" t="s">
        <v>38</v>
      </c>
      <c r="T134" s="27" t="str">
        <f>UPPER(LEFT(TEXT(Tabla_producción_serigrafia[[#This Row],[FECHA]],"mmm"),3))</f>
        <v>ABR</v>
      </c>
      <c r="U134" s="27">
        <f>+Tabla_producción_serigrafia[[#This Row],[CANTIDAD PRODUCIDA]]+Tabla_producción_serigrafia[[#This Row],[CANTIDAD RECHAZADA]]</f>
        <v>7500</v>
      </c>
    </row>
    <row r="135" spans="1:21" x14ac:dyDescent="0.25">
      <c r="A135" s="10">
        <v>46122</v>
      </c>
      <c r="B135" s="10" t="s">
        <v>58</v>
      </c>
      <c r="C135" s="1" t="s">
        <v>75</v>
      </c>
      <c r="D135" s="22">
        <v>0.33333333333333331</v>
      </c>
      <c r="E135" s="23">
        <v>0.35416666666666669</v>
      </c>
      <c r="F135" s="24">
        <f t="shared" ref="F135:F136" si="24">ROUND((E135-D135)*24,2)</f>
        <v>0.5</v>
      </c>
      <c r="G135" s="25" t="s">
        <v>57</v>
      </c>
      <c r="H135" s="26" t="s">
        <v>38</v>
      </c>
      <c r="I135" s="7" t="str">
        <f>IFERROR(INDEX(Tabla_control_serigrafia[PRODUCTO],MATCH(Tabla_producción_serigrafia[[#This Row],[LOTE]],Tabla_control_serigrafia[LOTE],0)),"-")</f>
        <v>-</v>
      </c>
      <c r="J135" s="27" t="str">
        <f>IFERROR(INDEX(Tabla_control_serigrafia[FORMATO DE FRASCO],MATCH(Tabla_producción_serigrafia[[#This Row],[LOTE]],Tabla_control_serigrafia[LOTE],0)),"-")</f>
        <v>-</v>
      </c>
      <c r="K135" s="27" t="str">
        <f>IFERROR(INDEX(Tabla_control_serigrafia[TIPO DE FRASCO],MATCH(Tabla_producción_serigrafia[[#This Row],[LOTE]],Tabla_control_serigrafia[LOTE],0)),"-")</f>
        <v>-</v>
      </c>
      <c r="L135" t="str">
        <f>IF(Tabla_producción_serigrafia[[#This Row],[ACCIÓN]]="PRODUCCIÓN",Tabla_producción_serigrafia[[#This Row],[FORMATO DE FRASCO]]&amp;" "&amp;Tabla_producción_serigrafia[[#This Row],[TIPO DE FRASCO]],"-")</f>
        <v>-</v>
      </c>
      <c r="M135" s="28" t="str">
        <f>IFERROR(INDEX(Tabla_control_serigrafia[CANTIDAD PEDIDA],MATCH(Tabla_producción_serigrafia[[#This Row],[LOTE]],Tabla_control_serigrafia[LOTE],0)),"-")</f>
        <v>-</v>
      </c>
      <c r="N135" s="29">
        <v>0</v>
      </c>
      <c r="O135" s="26">
        <v>0</v>
      </c>
      <c r="P135" s="3">
        <v>0</v>
      </c>
      <c r="Q135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35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35" s="32" t="s">
        <v>63</v>
      </c>
      <c r="T135" s="27" t="str">
        <f>UPPER(LEFT(TEXT(Tabla_producción_serigrafia[[#This Row],[FECHA]],"mmm"),3))</f>
        <v>ABR</v>
      </c>
      <c r="U135" s="27">
        <f>+Tabla_producción_serigrafia[[#This Row],[CANTIDAD PRODUCIDA]]+Tabla_producción_serigrafia[[#This Row],[CANTIDAD RECHAZADA]]</f>
        <v>0</v>
      </c>
    </row>
    <row r="136" spans="1:21" x14ac:dyDescent="0.25">
      <c r="A136" s="10">
        <v>46122</v>
      </c>
      <c r="B136" s="10" t="s">
        <v>58</v>
      </c>
      <c r="C136" s="1" t="s">
        <v>75</v>
      </c>
      <c r="D136" s="22">
        <v>0.35416666666666669</v>
      </c>
      <c r="E136" s="23">
        <v>0.91666666666666663</v>
      </c>
      <c r="F136" s="24">
        <f t="shared" si="24"/>
        <v>13.5</v>
      </c>
      <c r="G136" s="25" t="s">
        <v>56</v>
      </c>
      <c r="H136" s="26">
        <v>32606</v>
      </c>
      <c r="I136" s="7" t="str">
        <f>IFERROR(INDEX(Tabla_control_serigrafia[PRODUCTO],MATCH(Tabla_producción_serigrafia[[#This Row],[LOTE]],Tabla_control_serigrafia[LOTE],0)),"-")</f>
        <v>DOMPERIDONA 10 MG X 20 ML GOTAS</v>
      </c>
      <c r="J136" s="27" t="str">
        <f>IFERROR(INDEX(Tabla_control_serigrafia[FORMATO DE FRASCO],MATCH(Tabla_producción_serigrafia[[#This Row],[LOTE]],Tabla_control_serigrafia[LOTE],0)),"-")</f>
        <v>30 ML</v>
      </c>
      <c r="K136" s="27" t="str">
        <f>IFERROR(INDEX(Tabla_control_serigrafia[TIPO DE FRASCO],MATCH(Tabla_producción_serigrafia[[#This Row],[LOTE]],Tabla_control_serigrafia[LOTE],0)),"-")</f>
        <v>FRASCO BLANCO</v>
      </c>
      <c r="L136" t="str">
        <f>IF(Tabla_producción_serigrafia[[#This Row],[ACCIÓN]]="PRODUCCIÓN",Tabla_producción_serigrafia[[#This Row],[FORMATO DE FRASCO]]&amp;" "&amp;Tabla_producción_serigrafia[[#This Row],[TIPO DE FRASCO]],"-")</f>
        <v>30 ML FRASCO BLANCO</v>
      </c>
      <c r="M136" s="28">
        <f>IFERROR(INDEX(Tabla_control_serigrafia[CANTIDAD PEDIDA],MATCH(Tabla_producción_serigrafia[[#This Row],[LOTE]],Tabla_control_serigrafia[LOTE],0)),"-")</f>
        <v>28570</v>
      </c>
      <c r="N136" s="29">
        <v>24000</v>
      </c>
      <c r="O136" s="26">
        <v>186</v>
      </c>
      <c r="P136" s="30" t="s">
        <v>62</v>
      </c>
      <c r="Q136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24000</v>
      </c>
      <c r="R136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39</v>
      </c>
      <c r="S136" s="32" t="s">
        <v>38</v>
      </c>
      <c r="T136" s="27" t="str">
        <f>UPPER(LEFT(TEXT(Tabla_producción_serigrafia[[#This Row],[FECHA]],"mmm"),3))</f>
        <v>ABR</v>
      </c>
      <c r="U136" s="27">
        <f>+Tabla_producción_serigrafia[[#This Row],[CANTIDAD PRODUCIDA]]+Tabla_producción_serigrafia[[#This Row],[CANTIDAD RECHAZADA]]</f>
        <v>24186</v>
      </c>
    </row>
    <row r="137" spans="1:21" x14ac:dyDescent="0.25">
      <c r="A137" s="10">
        <v>46125</v>
      </c>
      <c r="B137" s="10" t="s">
        <v>58</v>
      </c>
      <c r="C137" s="1" t="s">
        <v>75</v>
      </c>
      <c r="D137" s="22">
        <v>0.33333333333333331</v>
      </c>
      <c r="E137" s="23">
        <v>0.35416666666666669</v>
      </c>
      <c r="F137" s="24">
        <f t="shared" ref="F137:F138" si="25">ROUND((E137-D137)*24,2)</f>
        <v>0.5</v>
      </c>
      <c r="G137" s="25" t="s">
        <v>57</v>
      </c>
      <c r="H137" s="26" t="s">
        <v>38</v>
      </c>
      <c r="I137" s="7" t="str">
        <f>IFERROR(INDEX(Tabla_control_serigrafia[PRODUCTO],MATCH(Tabla_producción_serigrafia[[#This Row],[LOTE]],Tabla_control_serigrafia[LOTE],0)),"-")</f>
        <v>-</v>
      </c>
      <c r="J137" s="27" t="str">
        <f>IFERROR(INDEX(Tabla_control_serigrafia[FORMATO DE FRASCO],MATCH(Tabla_producción_serigrafia[[#This Row],[LOTE]],Tabla_control_serigrafia[LOTE],0)),"-")</f>
        <v>-</v>
      </c>
      <c r="K137" s="27" t="str">
        <f>IFERROR(INDEX(Tabla_control_serigrafia[TIPO DE FRASCO],MATCH(Tabla_producción_serigrafia[[#This Row],[LOTE]],Tabla_control_serigrafia[LOTE],0)),"-")</f>
        <v>-</v>
      </c>
      <c r="L137" t="str">
        <f>IF(Tabla_producción_serigrafia[[#This Row],[ACCIÓN]]="PRODUCCIÓN",Tabla_producción_serigrafia[[#This Row],[FORMATO DE FRASCO]]&amp;" "&amp;Tabla_producción_serigrafia[[#This Row],[TIPO DE FRASCO]],"-")</f>
        <v>-</v>
      </c>
      <c r="M137" s="28" t="str">
        <f>IFERROR(INDEX(Tabla_control_serigrafia[CANTIDAD PEDIDA],MATCH(Tabla_producción_serigrafia[[#This Row],[LOTE]],Tabla_control_serigrafia[LOTE],0)),"-")</f>
        <v>-</v>
      </c>
      <c r="N137" s="29">
        <v>0</v>
      </c>
      <c r="O137" s="26">
        <v>0</v>
      </c>
      <c r="P137" s="3">
        <v>0</v>
      </c>
      <c r="Q13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37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37" s="32" t="s">
        <v>63</v>
      </c>
      <c r="T137" s="27" t="str">
        <f>UPPER(LEFT(TEXT(Tabla_producción_serigrafia[[#This Row],[FECHA]],"mmm"),3))</f>
        <v>ABR</v>
      </c>
      <c r="U137" s="27">
        <f>+Tabla_producción_serigrafia[[#This Row],[CANTIDAD PRODUCIDA]]+Tabla_producción_serigrafia[[#This Row],[CANTIDAD RECHAZADA]]</f>
        <v>0</v>
      </c>
    </row>
    <row r="138" spans="1:21" x14ac:dyDescent="0.25">
      <c r="A138" s="10">
        <v>46125</v>
      </c>
      <c r="B138" s="10" t="s">
        <v>58</v>
      </c>
      <c r="C138" s="1" t="s">
        <v>75</v>
      </c>
      <c r="D138" s="22">
        <v>0.35416666666666669</v>
      </c>
      <c r="E138" s="23">
        <v>0.45833333333333331</v>
      </c>
      <c r="F138" s="24">
        <f t="shared" si="25"/>
        <v>2.5</v>
      </c>
      <c r="G138" s="25" t="s">
        <v>56</v>
      </c>
      <c r="H138" s="26">
        <v>16426</v>
      </c>
      <c r="I138" s="7" t="str">
        <f>IFERROR(INDEX(Tabla_control_serigrafia[PRODUCTO],MATCH(Tabla_producción_serigrafia[[#This Row],[LOTE]],Tabla_control_serigrafia[LOTE],0)),"-")</f>
        <v>METOCLOPRAMIDA X 20 ML GOTAS VETERINARIO</v>
      </c>
      <c r="J138" s="27" t="str">
        <f>IFERROR(INDEX(Tabla_control_serigrafia[FORMATO DE FRASCO],MATCH(Tabla_producción_serigrafia[[#This Row],[LOTE]],Tabla_control_serigrafia[LOTE],0)),"-")</f>
        <v>30 ML</v>
      </c>
      <c r="K138" s="27" t="str">
        <f>IFERROR(INDEX(Tabla_control_serigrafia[TIPO DE FRASCO],MATCH(Tabla_producción_serigrafia[[#This Row],[LOTE]],Tabla_control_serigrafia[LOTE],0)),"-")</f>
        <v>FRASCO BLANCO</v>
      </c>
      <c r="L138" t="str">
        <f>IF(Tabla_producción_serigrafia[[#This Row],[ACCIÓN]]="PRODUCCIÓN",Tabla_producción_serigrafia[[#This Row],[FORMATO DE FRASCO]]&amp;" "&amp;Tabla_producción_serigrafia[[#This Row],[TIPO DE FRASCO]],"-")</f>
        <v>30 ML FRASCO BLANCO</v>
      </c>
      <c r="M138" s="28">
        <f>IFERROR(INDEX(Tabla_control_serigrafia[CANTIDAD PEDIDA],MATCH(Tabla_producción_serigrafia[[#This Row],[LOTE]],Tabla_control_serigrafia[LOTE],0)),"-")</f>
        <v>2000</v>
      </c>
      <c r="N138" s="29">
        <v>2100</v>
      </c>
      <c r="O138" s="26">
        <v>65</v>
      </c>
      <c r="P138" s="30" t="s">
        <v>62</v>
      </c>
      <c r="Q13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2100</v>
      </c>
      <c r="R138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12</v>
      </c>
      <c r="S138" s="32" t="s">
        <v>38</v>
      </c>
      <c r="T138" s="27" t="str">
        <f>UPPER(LEFT(TEXT(Tabla_producción_serigrafia[[#This Row],[FECHA]],"mmm"),3))</f>
        <v>ABR</v>
      </c>
      <c r="U138" s="27">
        <f>+Tabla_producción_serigrafia[[#This Row],[CANTIDAD PRODUCIDA]]+Tabla_producción_serigrafia[[#This Row],[CANTIDAD RECHAZADA]]</f>
        <v>2165</v>
      </c>
    </row>
    <row r="139" spans="1:21" x14ac:dyDescent="0.25">
      <c r="A139" s="10">
        <v>46125</v>
      </c>
      <c r="B139" s="10" t="s">
        <v>58</v>
      </c>
      <c r="C139" s="1" t="s">
        <v>75</v>
      </c>
      <c r="D139" s="22">
        <v>0.45833333333333331</v>
      </c>
      <c r="E139" s="23">
        <v>0.625</v>
      </c>
      <c r="F139" s="24">
        <f t="shared" ref="F139:F140" si="26">ROUND((E139-D139)*24,2)</f>
        <v>4</v>
      </c>
      <c r="G139" s="25" t="s">
        <v>64</v>
      </c>
      <c r="H139" s="26" t="s">
        <v>38</v>
      </c>
      <c r="I139" s="7" t="str">
        <f>IFERROR(INDEX(Tabla_control_serigrafia[PRODUCTO],MATCH(Tabla_producción_serigrafia[[#This Row],[LOTE]],Tabla_control_serigrafia[LOTE],0)),"-")</f>
        <v>-</v>
      </c>
      <c r="J139" s="27" t="str">
        <f>IFERROR(INDEX(Tabla_control_serigrafia[FORMATO DE FRASCO],MATCH(Tabla_producción_serigrafia[[#This Row],[LOTE]],Tabla_control_serigrafia[LOTE],0)),"-")</f>
        <v>-</v>
      </c>
      <c r="K139" s="27" t="str">
        <f>IFERROR(INDEX(Tabla_control_serigrafia[TIPO DE FRASCO],MATCH(Tabla_producción_serigrafia[[#This Row],[LOTE]],Tabla_control_serigrafia[LOTE],0)),"-")</f>
        <v>-</v>
      </c>
      <c r="L139" t="str">
        <f>IF(Tabla_producción_serigrafia[[#This Row],[ACCIÓN]]="PRODUCCIÓN",Tabla_producción_serigrafia[[#This Row],[FORMATO DE FRASCO]]&amp;" "&amp;Tabla_producción_serigrafia[[#This Row],[TIPO DE FRASCO]],"-")</f>
        <v>-</v>
      </c>
      <c r="M139" s="28" t="str">
        <f>IFERROR(INDEX(Tabla_control_serigrafia[CANTIDAD PEDIDA],MATCH(Tabla_producción_serigrafia[[#This Row],[LOTE]],Tabla_control_serigrafia[LOTE],0)),"-")</f>
        <v>-</v>
      </c>
      <c r="N139" s="29">
        <v>0</v>
      </c>
      <c r="O139" s="26">
        <v>0</v>
      </c>
      <c r="P139" s="3">
        <v>0</v>
      </c>
      <c r="Q13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39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39" s="32" t="s">
        <v>143</v>
      </c>
      <c r="T139" s="27" t="str">
        <f>UPPER(LEFT(TEXT(Tabla_producción_serigrafia[[#This Row],[FECHA]],"mmm"),3))</f>
        <v>ABR</v>
      </c>
      <c r="U139" s="27">
        <f>+Tabla_producción_serigrafia[[#This Row],[CANTIDAD PRODUCIDA]]+Tabla_producción_serigrafia[[#This Row],[CANTIDAD RECHAZADA]]</f>
        <v>0</v>
      </c>
    </row>
    <row r="140" spans="1:21" x14ac:dyDescent="0.25">
      <c r="A140" s="10">
        <v>46125</v>
      </c>
      <c r="B140" s="10" t="s">
        <v>58</v>
      </c>
      <c r="C140" s="1" t="s">
        <v>75</v>
      </c>
      <c r="D140" s="22">
        <v>0.625</v>
      </c>
      <c r="E140" s="23">
        <v>0.64583333333333337</v>
      </c>
      <c r="F140" s="24">
        <f t="shared" si="26"/>
        <v>0.5</v>
      </c>
      <c r="G140" s="25" t="s">
        <v>57</v>
      </c>
      <c r="H140" s="26" t="s">
        <v>38</v>
      </c>
      <c r="I140" s="7" t="str">
        <f>IFERROR(INDEX(Tabla_control_serigrafia[PRODUCTO],MATCH(Tabla_producción_serigrafia[[#This Row],[LOTE]],Tabla_control_serigrafia[LOTE],0)),"-")</f>
        <v>-</v>
      </c>
      <c r="J140" s="27" t="str">
        <f>IFERROR(INDEX(Tabla_control_serigrafia[FORMATO DE FRASCO],MATCH(Tabla_producción_serigrafia[[#This Row],[LOTE]],Tabla_control_serigrafia[LOTE],0)),"-")</f>
        <v>-</v>
      </c>
      <c r="K140" s="27" t="str">
        <f>IFERROR(INDEX(Tabla_control_serigrafia[TIPO DE FRASCO],MATCH(Tabla_producción_serigrafia[[#This Row],[LOTE]],Tabla_control_serigrafia[LOTE],0)),"-")</f>
        <v>-</v>
      </c>
      <c r="L140" t="str">
        <f>IF(Tabla_producción_serigrafia[[#This Row],[ACCIÓN]]="PRODUCCIÓN",Tabla_producción_serigrafia[[#This Row],[FORMATO DE FRASCO]]&amp;" "&amp;Tabla_producción_serigrafia[[#This Row],[TIPO DE FRASCO]],"-")</f>
        <v>-</v>
      </c>
      <c r="M140" s="28" t="str">
        <f>IFERROR(INDEX(Tabla_control_serigrafia[CANTIDAD PEDIDA],MATCH(Tabla_producción_serigrafia[[#This Row],[LOTE]],Tabla_control_serigrafia[LOTE],0)),"-")</f>
        <v>-</v>
      </c>
      <c r="N140" s="29">
        <v>0</v>
      </c>
      <c r="O140" s="26">
        <v>0</v>
      </c>
      <c r="P140" s="3">
        <v>0</v>
      </c>
      <c r="Q140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40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40" s="32" t="s">
        <v>63</v>
      </c>
      <c r="T140" s="27" t="str">
        <f>UPPER(LEFT(TEXT(Tabla_producción_serigrafia[[#This Row],[FECHA]],"mmm"),3))</f>
        <v>ABR</v>
      </c>
      <c r="U140" s="27">
        <f>+Tabla_producción_serigrafia[[#This Row],[CANTIDAD PRODUCIDA]]+Tabla_producción_serigrafia[[#This Row],[CANTIDAD RECHAZADA]]</f>
        <v>0</v>
      </c>
    </row>
    <row r="141" spans="1:21" x14ac:dyDescent="0.25">
      <c r="A141" s="10">
        <v>46125</v>
      </c>
      <c r="B141" s="10" t="s">
        <v>58</v>
      </c>
      <c r="C141" s="1" t="s">
        <v>75</v>
      </c>
      <c r="D141" s="22">
        <v>0.64583333333333337</v>
      </c>
      <c r="E141" s="23">
        <v>0.91666666666666663</v>
      </c>
      <c r="F141" s="24">
        <f>ROUND((E141-D141)*24,2)</f>
        <v>6.5</v>
      </c>
      <c r="G141" s="25" t="s">
        <v>56</v>
      </c>
      <c r="H141" s="26">
        <v>32637</v>
      </c>
      <c r="I141" s="7" t="str">
        <f>IFERROR(INDEX(Tabla_control_serigrafia[PRODUCTO],MATCH(Tabla_producción_serigrafia[[#This Row],[LOTE]],Tabla_control_serigrafia[LOTE],0)),"-")</f>
        <v>PARACETAMOL 100 MG X 15 ML GOTAS</v>
      </c>
      <c r="J141" s="27" t="str">
        <f>IFERROR(INDEX(Tabla_control_serigrafia[FORMATO DE FRASCO],MATCH(Tabla_producción_serigrafia[[#This Row],[LOTE]],Tabla_control_serigrafia[LOTE],0)),"-")</f>
        <v>15 ML</v>
      </c>
      <c r="K141" s="27" t="str">
        <f>IFERROR(INDEX(Tabla_control_serigrafia[TIPO DE FRASCO],MATCH(Tabla_producción_serigrafia[[#This Row],[LOTE]],Tabla_control_serigrafia[LOTE],0)),"-")</f>
        <v>FRASCO BLANCO</v>
      </c>
      <c r="L141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141" s="28">
        <f>IFERROR(INDEX(Tabla_control_serigrafia[CANTIDAD PEDIDA],MATCH(Tabla_producción_serigrafia[[#This Row],[LOTE]],Tabla_control_serigrafia[LOTE],0)),"-")</f>
        <v>37500</v>
      </c>
      <c r="N141" s="29">
        <v>6000</v>
      </c>
      <c r="O141" s="26">
        <v>0</v>
      </c>
      <c r="P141" s="30" t="s">
        <v>66</v>
      </c>
      <c r="Q141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6000</v>
      </c>
      <c r="R141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41" s="32" t="s">
        <v>38</v>
      </c>
      <c r="T141" s="27" t="str">
        <f>UPPER(LEFT(TEXT(Tabla_producción_serigrafia[[#This Row],[FECHA]],"mmm"),3))</f>
        <v>ABR</v>
      </c>
      <c r="U141" s="27">
        <f>+Tabla_producción_serigrafia[[#This Row],[CANTIDAD PRODUCIDA]]+Tabla_producción_serigrafia[[#This Row],[CANTIDAD RECHAZADA]]</f>
        <v>6000</v>
      </c>
    </row>
    <row r="142" spans="1:21" x14ac:dyDescent="0.25">
      <c r="A142" s="10">
        <v>46126</v>
      </c>
      <c r="B142" s="10" t="s">
        <v>58</v>
      </c>
      <c r="C142" s="1" t="s">
        <v>75</v>
      </c>
      <c r="D142" s="22">
        <v>0.33333333333333331</v>
      </c>
      <c r="E142" s="23">
        <v>0.35416666666666669</v>
      </c>
      <c r="F142" s="24">
        <f t="shared" ref="F142:F143" si="27">ROUND((E142-D142)*24,2)</f>
        <v>0.5</v>
      </c>
      <c r="G142" s="25" t="s">
        <v>57</v>
      </c>
      <c r="H142" s="26" t="s">
        <v>38</v>
      </c>
      <c r="I142" s="7" t="str">
        <f>IFERROR(INDEX(Tabla_control_serigrafia[PRODUCTO],MATCH(Tabla_producción_serigrafia[[#This Row],[LOTE]],Tabla_control_serigrafia[LOTE],0)),"-")</f>
        <v>-</v>
      </c>
      <c r="J142" s="27" t="str">
        <f>IFERROR(INDEX(Tabla_control_serigrafia[FORMATO DE FRASCO],MATCH(Tabla_producción_serigrafia[[#This Row],[LOTE]],Tabla_control_serigrafia[LOTE],0)),"-")</f>
        <v>-</v>
      </c>
      <c r="K142" s="27" t="str">
        <f>IFERROR(INDEX(Tabla_control_serigrafia[TIPO DE FRASCO],MATCH(Tabla_producción_serigrafia[[#This Row],[LOTE]],Tabla_control_serigrafia[LOTE],0)),"-")</f>
        <v>-</v>
      </c>
      <c r="L142" t="str">
        <f>IF(Tabla_producción_serigrafia[[#This Row],[ACCIÓN]]="PRODUCCIÓN",Tabla_producción_serigrafia[[#This Row],[FORMATO DE FRASCO]]&amp;" "&amp;Tabla_producción_serigrafia[[#This Row],[TIPO DE FRASCO]],"-")</f>
        <v>-</v>
      </c>
      <c r="M142" s="28" t="str">
        <f>IFERROR(INDEX(Tabla_control_serigrafia[CANTIDAD PEDIDA],MATCH(Tabla_producción_serigrafia[[#This Row],[LOTE]],Tabla_control_serigrafia[LOTE],0)),"-")</f>
        <v>-</v>
      </c>
      <c r="N142" s="29">
        <v>0</v>
      </c>
      <c r="O142" s="26">
        <v>0</v>
      </c>
      <c r="P142" s="3">
        <v>0</v>
      </c>
      <c r="Q142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42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42" s="32" t="s">
        <v>63</v>
      </c>
      <c r="T142" s="27" t="str">
        <f>UPPER(LEFT(TEXT(Tabla_producción_serigrafia[[#This Row],[FECHA]],"mmm"),3))</f>
        <v>ABR</v>
      </c>
      <c r="U142" s="27">
        <f>+Tabla_producción_serigrafia[[#This Row],[CANTIDAD PRODUCIDA]]+Tabla_producción_serigrafia[[#This Row],[CANTIDAD RECHAZADA]]</f>
        <v>0</v>
      </c>
    </row>
    <row r="143" spans="1:21" x14ac:dyDescent="0.25">
      <c r="A143" s="10">
        <v>46126</v>
      </c>
      <c r="B143" s="10" t="s">
        <v>58</v>
      </c>
      <c r="C143" s="1" t="s">
        <v>75</v>
      </c>
      <c r="D143" s="22">
        <v>0.35416666666666669</v>
      </c>
      <c r="E143" s="23">
        <v>0.91666666666666663</v>
      </c>
      <c r="F143" s="24">
        <f t="shared" si="27"/>
        <v>13.5</v>
      </c>
      <c r="G143" s="25" t="s">
        <v>56</v>
      </c>
      <c r="H143" s="26">
        <v>32637</v>
      </c>
      <c r="I143" s="7" t="str">
        <f>IFERROR(INDEX(Tabla_control_serigrafia[PRODUCTO],MATCH(Tabla_producción_serigrafia[[#This Row],[LOTE]],Tabla_control_serigrafia[LOTE],0)),"-")</f>
        <v>PARACETAMOL 100 MG X 15 ML GOTAS</v>
      </c>
      <c r="J143" s="27" t="str">
        <f>IFERROR(INDEX(Tabla_control_serigrafia[FORMATO DE FRASCO],MATCH(Tabla_producción_serigrafia[[#This Row],[LOTE]],Tabla_control_serigrafia[LOTE],0)),"-")</f>
        <v>15 ML</v>
      </c>
      <c r="K143" s="27" t="str">
        <f>IFERROR(INDEX(Tabla_control_serigrafia[TIPO DE FRASCO],MATCH(Tabla_producción_serigrafia[[#This Row],[LOTE]],Tabla_control_serigrafia[LOTE],0)),"-")</f>
        <v>FRASCO BLANCO</v>
      </c>
      <c r="L143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143" s="28">
        <f>IFERROR(INDEX(Tabla_control_serigrafia[CANTIDAD PEDIDA],MATCH(Tabla_producción_serigrafia[[#This Row],[LOTE]],Tabla_control_serigrafia[LOTE],0)),"-")</f>
        <v>37500</v>
      </c>
      <c r="N143" s="29">
        <v>23000</v>
      </c>
      <c r="O143" s="26">
        <v>0</v>
      </c>
      <c r="P143" s="30" t="s">
        <v>66</v>
      </c>
      <c r="Q143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23000</v>
      </c>
      <c r="R143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43" s="32" t="s">
        <v>38</v>
      </c>
      <c r="T143" s="27" t="str">
        <f>UPPER(LEFT(TEXT(Tabla_producción_serigrafia[[#This Row],[FECHA]],"mmm"),3))</f>
        <v>ABR</v>
      </c>
      <c r="U143" s="27">
        <f>+Tabla_producción_serigrafia[[#This Row],[CANTIDAD PRODUCIDA]]+Tabla_producción_serigrafia[[#This Row],[CANTIDAD RECHAZADA]]</f>
        <v>23000</v>
      </c>
    </row>
    <row r="144" spans="1:21" x14ac:dyDescent="0.25">
      <c r="A144" s="10">
        <v>46127</v>
      </c>
      <c r="B144" s="10" t="s">
        <v>58</v>
      </c>
      <c r="C144" s="1" t="s">
        <v>75</v>
      </c>
      <c r="D144" s="22">
        <v>0.33333333333333331</v>
      </c>
      <c r="E144" s="23">
        <v>0.35416666666666669</v>
      </c>
      <c r="F144" s="24">
        <f t="shared" ref="F144:F147" si="28">ROUND((E144-D144)*24,2)</f>
        <v>0.5</v>
      </c>
      <c r="G144" s="25" t="s">
        <v>57</v>
      </c>
      <c r="H144" s="26" t="s">
        <v>38</v>
      </c>
      <c r="I144" s="7" t="str">
        <f>IFERROR(INDEX(Tabla_control_serigrafia[PRODUCTO],MATCH(Tabla_producción_serigrafia[[#This Row],[LOTE]],Tabla_control_serigrafia[LOTE],0)),"-")</f>
        <v>-</v>
      </c>
      <c r="J144" s="27" t="str">
        <f>IFERROR(INDEX(Tabla_control_serigrafia[FORMATO DE FRASCO],MATCH(Tabla_producción_serigrafia[[#This Row],[LOTE]],Tabla_control_serigrafia[LOTE],0)),"-")</f>
        <v>-</v>
      </c>
      <c r="K144" s="27" t="str">
        <f>IFERROR(INDEX(Tabla_control_serigrafia[TIPO DE FRASCO],MATCH(Tabla_producción_serigrafia[[#This Row],[LOTE]],Tabla_control_serigrafia[LOTE],0)),"-")</f>
        <v>-</v>
      </c>
      <c r="L144" t="str">
        <f>IF(Tabla_producción_serigrafia[[#This Row],[ACCIÓN]]="PRODUCCIÓN",Tabla_producción_serigrafia[[#This Row],[FORMATO DE FRASCO]]&amp;" "&amp;Tabla_producción_serigrafia[[#This Row],[TIPO DE FRASCO]],"-")</f>
        <v>-</v>
      </c>
      <c r="M144" s="28" t="str">
        <f>IFERROR(INDEX(Tabla_control_serigrafia[CANTIDAD PEDIDA],MATCH(Tabla_producción_serigrafia[[#This Row],[LOTE]],Tabla_control_serigrafia[LOTE],0)),"-")</f>
        <v>-</v>
      </c>
      <c r="N144" s="29">
        <v>0</v>
      </c>
      <c r="O144" s="26">
        <v>0</v>
      </c>
      <c r="P144" s="30"/>
      <c r="Q144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44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44" s="32" t="s">
        <v>63</v>
      </c>
      <c r="T144" s="27" t="str">
        <f>UPPER(LEFT(TEXT(Tabla_producción_serigrafia[[#This Row],[FECHA]],"mmm"),3))</f>
        <v>ABR</v>
      </c>
      <c r="U144" s="27">
        <f>+Tabla_producción_serigrafia[[#This Row],[CANTIDAD PRODUCIDA]]+Tabla_producción_serigrafia[[#This Row],[CANTIDAD RECHAZADA]]</f>
        <v>0</v>
      </c>
    </row>
    <row r="145" spans="1:21" x14ac:dyDescent="0.25">
      <c r="A145" s="10">
        <v>46127</v>
      </c>
      <c r="B145" s="10" t="s">
        <v>58</v>
      </c>
      <c r="C145" s="1" t="s">
        <v>75</v>
      </c>
      <c r="D145" s="22">
        <v>0.35416666666666669</v>
      </c>
      <c r="E145" s="23">
        <v>0.5</v>
      </c>
      <c r="F145" s="24">
        <f t="shared" si="28"/>
        <v>3.5</v>
      </c>
      <c r="G145" s="25" t="s">
        <v>56</v>
      </c>
      <c r="H145" s="26">
        <v>32637</v>
      </c>
      <c r="I145" s="7" t="str">
        <f>IFERROR(INDEX(Tabla_control_serigrafia[PRODUCTO],MATCH(Tabla_producción_serigrafia[[#This Row],[LOTE]],Tabla_control_serigrafia[LOTE],0)),"-")</f>
        <v>PARACETAMOL 100 MG X 15 ML GOTAS</v>
      </c>
      <c r="J145" s="27" t="str">
        <f>IFERROR(INDEX(Tabla_control_serigrafia[FORMATO DE FRASCO],MATCH(Tabla_producción_serigrafia[[#This Row],[LOTE]],Tabla_control_serigrafia[LOTE],0)),"-")</f>
        <v>15 ML</v>
      </c>
      <c r="K145" s="27" t="str">
        <f>IFERROR(INDEX(Tabla_control_serigrafia[TIPO DE FRASCO],MATCH(Tabla_producción_serigrafia[[#This Row],[LOTE]],Tabla_control_serigrafia[LOTE],0)),"-")</f>
        <v>FRASCO BLANCO</v>
      </c>
      <c r="L145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145" s="28">
        <f>IFERROR(INDEX(Tabla_control_serigrafia[CANTIDAD PEDIDA],MATCH(Tabla_producción_serigrafia[[#This Row],[LOTE]],Tabla_control_serigrafia[LOTE],0)),"-")</f>
        <v>37500</v>
      </c>
      <c r="N145" s="29">
        <v>8800</v>
      </c>
      <c r="O145" s="26">
        <v>309</v>
      </c>
      <c r="P145" s="30" t="s">
        <v>62</v>
      </c>
      <c r="Q145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8800</v>
      </c>
      <c r="R145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44</v>
      </c>
      <c r="S145" s="32"/>
      <c r="T145" s="27" t="str">
        <f>UPPER(LEFT(TEXT(Tabla_producción_serigrafia[[#This Row],[FECHA]],"mmm"),3))</f>
        <v>ABR</v>
      </c>
      <c r="U145" s="27">
        <f>+Tabla_producción_serigrafia[[#This Row],[CANTIDAD PRODUCIDA]]+Tabla_producción_serigrafia[[#This Row],[CANTIDAD RECHAZADA]]</f>
        <v>9109</v>
      </c>
    </row>
    <row r="146" spans="1:21" x14ac:dyDescent="0.25">
      <c r="A146" s="10">
        <v>46127</v>
      </c>
      <c r="B146" s="10" t="s">
        <v>58</v>
      </c>
      <c r="C146" s="1" t="s">
        <v>75</v>
      </c>
      <c r="D146" s="22">
        <v>0.5</v>
      </c>
      <c r="E146" s="23">
        <v>0.52083333333333337</v>
      </c>
      <c r="F146" s="24">
        <f t="shared" si="28"/>
        <v>0.5</v>
      </c>
      <c r="G146" s="25" t="s">
        <v>57</v>
      </c>
      <c r="H146" s="26" t="s">
        <v>38</v>
      </c>
      <c r="I146" s="7" t="str">
        <f>IFERROR(INDEX(Tabla_control_serigrafia[PRODUCTO],MATCH(Tabla_producción_serigrafia[[#This Row],[LOTE]],Tabla_control_serigrafia[LOTE],0)),"-")</f>
        <v>-</v>
      </c>
      <c r="J146" s="27" t="str">
        <f>IFERROR(INDEX(Tabla_control_serigrafia[FORMATO DE FRASCO],MATCH(Tabla_producción_serigrafia[[#This Row],[LOTE]],Tabla_control_serigrafia[LOTE],0)),"-")</f>
        <v>-</v>
      </c>
      <c r="K146" s="27" t="str">
        <f>IFERROR(INDEX(Tabla_control_serigrafia[TIPO DE FRASCO],MATCH(Tabla_producción_serigrafia[[#This Row],[LOTE]],Tabla_control_serigrafia[LOTE],0)),"-")</f>
        <v>-</v>
      </c>
      <c r="L146" t="str">
        <f>IF(Tabla_producción_serigrafia[[#This Row],[ACCIÓN]]="PRODUCCIÓN",Tabla_producción_serigrafia[[#This Row],[FORMATO DE FRASCO]]&amp;" "&amp;Tabla_producción_serigrafia[[#This Row],[TIPO DE FRASCO]],"-")</f>
        <v>-</v>
      </c>
      <c r="M146" s="28" t="str">
        <f>IFERROR(INDEX(Tabla_control_serigrafia[CANTIDAD PEDIDA],MATCH(Tabla_producción_serigrafia[[#This Row],[LOTE]],Tabla_control_serigrafia[LOTE],0)),"-")</f>
        <v>-</v>
      </c>
      <c r="N146" s="29">
        <v>0</v>
      </c>
      <c r="O146" s="26">
        <v>0</v>
      </c>
      <c r="P146" s="30"/>
      <c r="Q146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46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46" s="32" t="s">
        <v>63</v>
      </c>
      <c r="T146" s="27" t="str">
        <f>UPPER(LEFT(TEXT(Tabla_producción_serigrafia[[#This Row],[FECHA]],"mmm"),3))</f>
        <v>ABR</v>
      </c>
      <c r="U146" s="27">
        <f>+Tabla_producción_serigrafia[[#This Row],[CANTIDAD PRODUCIDA]]+Tabla_producción_serigrafia[[#This Row],[CANTIDAD RECHAZADA]]</f>
        <v>0</v>
      </c>
    </row>
    <row r="147" spans="1:21" x14ac:dyDescent="0.25">
      <c r="A147" s="10">
        <v>46127</v>
      </c>
      <c r="B147" s="10" t="s">
        <v>58</v>
      </c>
      <c r="C147" s="1" t="s">
        <v>75</v>
      </c>
      <c r="D147" s="22">
        <v>0.52083333333333337</v>
      </c>
      <c r="E147" s="23">
        <v>0.91666666666666663</v>
      </c>
      <c r="F147" s="24">
        <f t="shared" si="28"/>
        <v>9.5</v>
      </c>
      <c r="G147" s="25" t="s">
        <v>56</v>
      </c>
      <c r="H147" s="26">
        <v>32638</v>
      </c>
      <c r="I147" s="7" t="str">
        <f>IFERROR(INDEX(Tabla_control_serigrafia[PRODUCTO],MATCH(Tabla_producción_serigrafia[[#This Row],[LOTE]],Tabla_control_serigrafia[LOTE],0)),"-")</f>
        <v>PARACETAMOL 100 MG X 15 ML GOTAS</v>
      </c>
      <c r="J147" s="27" t="str">
        <f>IFERROR(INDEX(Tabla_control_serigrafia[FORMATO DE FRASCO],MATCH(Tabla_producción_serigrafia[[#This Row],[LOTE]],Tabla_control_serigrafia[LOTE],0)),"-")</f>
        <v>15 ML</v>
      </c>
      <c r="K147" s="27" t="str">
        <f>IFERROR(INDEX(Tabla_control_serigrafia[TIPO DE FRASCO],MATCH(Tabla_producción_serigrafia[[#This Row],[LOTE]],Tabla_control_serigrafia[LOTE],0)),"-")</f>
        <v>FRASCO BLANCO</v>
      </c>
      <c r="L147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147" s="28">
        <f>IFERROR(INDEX(Tabla_control_serigrafia[CANTIDAD PEDIDA],MATCH(Tabla_producción_serigrafia[[#This Row],[LOTE]],Tabla_control_serigrafia[LOTE],0)),"-")</f>
        <v>56250</v>
      </c>
      <c r="N147" s="29">
        <v>16000</v>
      </c>
      <c r="O147" s="26">
        <v>0</v>
      </c>
      <c r="P147" s="30" t="s">
        <v>66</v>
      </c>
      <c r="Q14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16000</v>
      </c>
      <c r="R147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47" s="32"/>
      <c r="T147" s="27" t="str">
        <f>UPPER(LEFT(TEXT(Tabla_producción_serigrafia[[#This Row],[FECHA]],"mmm"),3))</f>
        <v>ABR</v>
      </c>
      <c r="U147" s="27">
        <f>+Tabla_producción_serigrafia[[#This Row],[CANTIDAD PRODUCIDA]]+Tabla_producción_serigrafia[[#This Row],[CANTIDAD RECHAZADA]]</f>
        <v>16000</v>
      </c>
    </row>
    <row r="148" spans="1:21" x14ac:dyDescent="0.25">
      <c r="A148" s="10">
        <v>46128</v>
      </c>
      <c r="B148" s="10" t="s">
        <v>58</v>
      </c>
      <c r="C148" s="1" t="s">
        <v>75</v>
      </c>
      <c r="D148" s="22">
        <v>0.33333333333333331</v>
      </c>
      <c r="E148" s="23">
        <v>0.35416666666666669</v>
      </c>
      <c r="F148" s="24">
        <f t="shared" ref="F148:F151" si="29">ROUND((E148-D148)*24,2)</f>
        <v>0.5</v>
      </c>
      <c r="G148" s="25" t="s">
        <v>57</v>
      </c>
      <c r="H148" s="26" t="s">
        <v>38</v>
      </c>
      <c r="I148" s="7" t="str">
        <f>IFERROR(INDEX(Tabla_control_serigrafia[PRODUCTO],MATCH(Tabla_producción_serigrafia[[#This Row],[LOTE]],Tabla_control_serigrafia[LOTE],0)),"-")</f>
        <v>-</v>
      </c>
      <c r="J148" s="27" t="str">
        <f>IFERROR(INDEX(Tabla_control_serigrafia[FORMATO DE FRASCO],MATCH(Tabla_producción_serigrafia[[#This Row],[LOTE]],Tabla_control_serigrafia[LOTE],0)),"-")</f>
        <v>-</v>
      </c>
      <c r="K148" s="27" t="str">
        <f>IFERROR(INDEX(Tabla_control_serigrafia[TIPO DE FRASCO],MATCH(Tabla_producción_serigrafia[[#This Row],[LOTE]],Tabla_control_serigrafia[LOTE],0)),"-")</f>
        <v>-</v>
      </c>
      <c r="L148" t="str">
        <f>IF(Tabla_producción_serigrafia[[#This Row],[ACCIÓN]]="PRODUCCIÓN",Tabla_producción_serigrafia[[#This Row],[FORMATO DE FRASCO]]&amp;" "&amp;Tabla_producción_serigrafia[[#This Row],[TIPO DE FRASCO]],"-")</f>
        <v>-</v>
      </c>
      <c r="M148" s="28" t="str">
        <f>IFERROR(INDEX(Tabla_control_serigrafia[CANTIDAD PEDIDA],MATCH(Tabla_producción_serigrafia[[#This Row],[LOTE]],Tabla_control_serigrafia[LOTE],0)),"-")</f>
        <v>-</v>
      </c>
      <c r="N148" s="29">
        <v>0</v>
      </c>
      <c r="O148" s="26">
        <v>0</v>
      </c>
      <c r="P148" s="30"/>
      <c r="Q14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48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48" s="32" t="s">
        <v>63</v>
      </c>
      <c r="T148" s="27" t="str">
        <f>UPPER(LEFT(TEXT(Tabla_producción_serigrafia[[#This Row],[FECHA]],"mmm"),3))</f>
        <v>ABR</v>
      </c>
      <c r="U148" s="27">
        <f>+Tabla_producción_serigrafia[[#This Row],[CANTIDAD PRODUCIDA]]+Tabla_producción_serigrafia[[#This Row],[CANTIDAD RECHAZADA]]</f>
        <v>0</v>
      </c>
    </row>
    <row r="149" spans="1:21" x14ac:dyDescent="0.25">
      <c r="A149" s="10">
        <v>46128</v>
      </c>
      <c r="B149" s="10" t="s">
        <v>58</v>
      </c>
      <c r="C149" s="1" t="s">
        <v>75</v>
      </c>
      <c r="D149" s="22">
        <v>0.35416666666666669</v>
      </c>
      <c r="E149" s="23">
        <v>0.52083333333333337</v>
      </c>
      <c r="F149" s="24">
        <f t="shared" si="29"/>
        <v>4</v>
      </c>
      <c r="G149" s="25" t="s">
        <v>56</v>
      </c>
      <c r="H149" s="26">
        <v>15426</v>
      </c>
      <c r="I149" s="7" t="str">
        <f>IFERROR(INDEX(Tabla_control_serigrafia[PRODUCTO],MATCH(Tabla_producción_serigrafia[[#This Row],[LOTE]],Tabla_control_serigrafia[LOTE],0)),"-")</f>
        <v>LEVOCAN X 15 ML GOTAS VETERINARIO</v>
      </c>
      <c r="J149" s="27" t="str">
        <f>IFERROR(INDEX(Tabla_control_serigrafia[FORMATO DE FRASCO],MATCH(Tabla_producción_serigrafia[[#This Row],[LOTE]],Tabla_control_serigrafia[LOTE],0)),"-")</f>
        <v>15 ML</v>
      </c>
      <c r="K149" s="27" t="str">
        <f>IFERROR(INDEX(Tabla_control_serigrafia[TIPO DE FRASCO],MATCH(Tabla_producción_serigrafia[[#This Row],[LOTE]],Tabla_control_serigrafia[LOTE],0)),"-")</f>
        <v>FRASCO BLANCO</v>
      </c>
      <c r="L149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149" s="28">
        <f>IFERROR(INDEX(Tabla_control_serigrafia[CANTIDAD PEDIDA],MATCH(Tabla_producción_serigrafia[[#This Row],[LOTE]],Tabla_control_serigrafia[LOTE],0)),"-")</f>
        <v>7500</v>
      </c>
      <c r="N149" s="29">
        <v>7800</v>
      </c>
      <c r="O149" s="26">
        <v>102</v>
      </c>
      <c r="P149" s="30" t="s">
        <v>62</v>
      </c>
      <c r="Q14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7800</v>
      </c>
      <c r="R149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15</v>
      </c>
      <c r="S149" s="32"/>
      <c r="T149" s="27" t="str">
        <f>UPPER(LEFT(TEXT(Tabla_producción_serigrafia[[#This Row],[FECHA]],"mmm"),3))</f>
        <v>ABR</v>
      </c>
      <c r="U149" s="27">
        <f>+Tabla_producción_serigrafia[[#This Row],[CANTIDAD PRODUCIDA]]+Tabla_producción_serigrafia[[#This Row],[CANTIDAD RECHAZADA]]</f>
        <v>7902</v>
      </c>
    </row>
    <row r="150" spans="1:21" x14ac:dyDescent="0.25">
      <c r="A150" s="10">
        <v>46128</v>
      </c>
      <c r="B150" s="10" t="s">
        <v>58</v>
      </c>
      <c r="C150" s="1" t="s">
        <v>75</v>
      </c>
      <c r="D150" s="22">
        <v>0.52083333333333337</v>
      </c>
      <c r="E150" s="23">
        <v>0.54166666666666663</v>
      </c>
      <c r="F150" s="24">
        <f t="shared" si="29"/>
        <v>0.5</v>
      </c>
      <c r="G150" s="25" t="s">
        <v>57</v>
      </c>
      <c r="H150" s="26" t="s">
        <v>38</v>
      </c>
      <c r="I150" s="7" t="str">
        <f>IFERROR(INDEX(Tabla_control_serigrafia[PRODUCTO],MATCH(Tabla_producción_serigrafia[[#This Row],[LOTE]],Tabla_control_serigrafia[LOTE],0)),"-")</f>
        <v>-</v>
      </c>
      <c r="J150" s="27" t="str">
        <f>IFERROR(INDEX(Tabla_control_serigrafia[FORMATO DE FRASCO],MATCH(Tabla_producción_serigrafia[[#This Row],[LOTE]],Tabla_control_serigrafia[LOTE],0)),"-")</f>
        <v>-</v>
      </c>
      <c r="K150" s="27" t="str">
        <f>IFERROR(INDEX(Tabla_control_serigrafia[TIPO DE FRASCO],MATCH(Tabla_producción_serigrafia[[#This Row],[LOTE]],Tabla_control_serigrafia[LOTE],0)),"-")</f>
        <v>-</v>
      </c>
      <c r="L150" t="str">
        <f>IF(Tabla_producción_serigrafia[[#This Row],[ACCIÓN]]="PRODUCCIÓN",Tabla_producción_serigrafia[[#This Row],[FORMATO DE FRASCO]]&amp;" "&amp;Tabla_producción_serigrafia[[#This Row],[TIPO DE FRASCO]],"-")</f>
        <v>-</v>
      </c>
      <c r="M150" s="28" t="str">
        <f>IFERROR(INDEX(Tabla_control_serigrafia[CANTIDAD PEDIDA],MATCH(Tabla_producción_serigrafia[[#This Row],[LOTE]],Tabla_control_serigrafia[LOTE],0)),"-")</f>
        <v>-</v>
      </c>
      <c r="N150" s="29">
        <v>0</v>
      </c>
      <c r="O150" s="26">
        <v>0</v>
      </c>
      <c r="P150" s="30"/>
      <c r="Q150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50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50" s="32" t="s">
        <v>63</v>
      </c>
      <c r="T150" s="27" t="str">
        <f>UPPER(LEFT(TEXT(Tabla_producción_serigrafia[[#This Row],[FECHA]],"mmm"),3))</f>
        <v>ABR</v>
      </c>
      <c r="U150" s="27">
        <f>+Tabla_producción_serigrafia[[#This Row],[CANTIDAD PRODUCIDA]]+Tabla_producción_serigrafia[[#This Row],[CANTIDAD RECHAZADA]]</f>
        <v>0</v>
      </c>
    </row>
    <row r="151" spans="1:21" x14ac:dyDescent="0.25">
      <c r="A151" s="10">
        <v>46128</v>
      </c>
      <c r="B151" s="10" t="s">
        <v>58</v>
      </c>
      <c r="C151" s="1" t="s">
        <v>75</v>
      </c>
      <c r="D151" s="22">
        <v>0.54166666666666663</v>
      </c>
      <c r="E151" s="23">
        <v>0.91666666666666663</v>
      </c>
      <c r="F151" s="24">
        <f t="shared" si="29"/>
        <v>9</v>
      </c>
      <c r="G151" s="25" t="s">
        <v>56</v>
      </c>
      <c r="H151" s="26">
        <v>32638</v>
      </c>
      <c r="I151" s="7" t="str">
        <f>IFERROR(INDEX(Tabla_control_serigrafia[PRODUCTO],MATCH(Tabla_producción_serigrafia[[#This Row],[LOTE]],Tabla_control_serigrafia[LOTE],0)),"-")</f>
        <v>PARACETAMOL 100 MG X 15 ML GOTAS</v>
      </c>
      <c r="J151" s="27" t="str">
        <f>IFERROR(INDEX(Tabla_control_serigrafia[FORMATO DE FRASCO],MATCH(Tabla_producción_serigrafia[[#This Row],[LOTE]],Tabla_control_serigrafia[LOTE],0)),"-")</f>
        <v>15 ML</v>
      </c>
      <c r="K151" s="27" t="str">
        <f>IFERROR(INDEX(Tabla_control_serigrafia[TIPO DE FRASCO],MATCH(Tabla_producción_serigrafia[[#This Row],[LOTE]],Tabla_control_serigrafia[LOTE],0)),"-")</f>
        <v>FRASCO BLANCO</v>
      </c>
      <c r="L151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151" s="28">
        <f>IFERROR(INDEX(Tabla_control_serigrafia[CANTIDAD PEDIDA],MATCH(Tabla_producción_serigrafia[[#This Row],[LOTE]],Tabla_control_serigrafia[LOTE],0)),"-")</f>
        <v>56250</v>
      </c>
      <c r="N151" s="29">
        <v>16000</v>
      </c>
      <c r="O151" s="26">
        <v>0</v>
      </c>
      <c r="P151" s="30" t="s">
        <v>66</v>
      </c>
      <c r="Q151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16000</v>
      </c>
      <c r="R151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51" s="32"/>
      <c r="T151" s="27" t="str">
        <f>UPPER(LEFT(TEXT(Tabla_producción_serigrafia[[#This Row],[FECHA]],"mmm"),3))</f>
        <v>ABR</v>
      </c>
      <c r="U151" s="27">
        <f>+Tabla_producción_serigrafia[[#This Row],[CANTIDAD PRODUCIDA]]+Tabla_producción_serigrafia[[#This Row],[CANTIDAD RECHAZADA]]</f>
        <v>16000</v>
      </c>
    </row>
    <row r="152" spans="1:21" x14ac:dyDescent="0.25">
      <c r="A152" s="10">
        <v>46129</v>
      </c>
      <c r="B152" s="10" t="s">
        <v>58</v>
      </c>
      <c r="C152" s="1" t="s">
        <v>75</v>
      </c>
      <c r="D152" s="22">
        <v>0.33333333333333331</v>
      </c>
      <c r="E152" s="23">
        <v>0.34722222222222227</v>
      </c>
      <c r="F152" s="24">
        <f t="shared" ref="F152:F153" si="30">ROUND((E152-D152)*24,2)</f>
        <v>0.33</v>
      </c>
      <c r="G152" s="25" t="s">
        <v>57</v>
      </c>
      <c r="H152" s="26" t="s">
        <v>38</v>
      </c>
      <c r="I152" s="7" t="str">
        <f>IFERROR(INDEX(Tabla_control_serigrafia[PRODUCTO],MATCH(Tabla_producción_serigrafia[[#This Row],[LOTE]],Tabla_control_serigrafia[LOTE],0)),"-")</f>
        <v>-</v>
      </c>
      <c r="J152" s="27" t="str">
        <f>IFERROR(INDEX(Tabla_control_serigrafia[FORMATO DE FRASCO],MATCH(Tabla_producción_serigrafia[[#This Row],[LOTE]],Tabla_control_serigrafia[LOTE],0)),"-")</f>
        <v>-</v>
      </c>
      <c r="K152" s="27" t="str">
        <f>IFERROR(INDEX(Tabla_control_serigrafia[TIPO DE FRASCO],MATCH(Tabla_producción_serigrafia[[#This Row],[LOTE]],Tabla_control_serigrafia[LOTE],0)),"-")</f>
        <v>-</v>
      </c>
      <c r="L152" t="str">
        <f>IF(Tabla_producción_serigrafia[[#This Row],[ACCIÓN]]="PRODUCCIÓN",Tabla_producción_serigrafia[[#This Row],[FORMATO DE FRASCO]]&amp;" "&amp;Tabla_producción_serigrafia[[#This Row],[TIPO DE FRASCO]],"-")</f>
        <v>-</v>
      </c>
      <c r="M152" s="28" t="str">
        <f>IFERROR(INDEX(Tabla_control_serigrafia[CANTIDAD PEDIDA],MATCH(Tabla_producción_serigrafia[[#This Row],[LOTE]],Tabla_control_serigrafia[LOTE],0)),"-")</f>
        <v>-</v>
      </c>
      <c r="N152" s="29">
        <v>0</v>
      </c>
      <c r="O152" s="26">
        <v>0</v>
      </c>
      <c r="P152" s="30"/>
      <c r="Q152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52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52" s="32" t="s">
        <v>63</v>
      </c>
      <c r="T152" s="27" t="str">
        <f>UPPER(LEFT(TEXT(Tabla_producción_serigrafia[[#This Row],[FECHA]],"mmm"),3))</f>
        <v>ABR</v>
      </c>
      <c r="U152" s="27">
        <f>+Tabla_producción_serigrafia[[#This Row],[CANTIDAD PRODUCIDA]]+Tabla_producción_serigrafia[[#This Row],[CANTIDAD RECHAZADA]]</f>
        <v>0</v>
      </c>
    </row>
    <row r="153" spans="1:21" x14ac:dyDescent="0.25">
      <c r="A153" s="10">
        <v>46129</v>
      </c>
      <c r="B153" s="10" t="s">
        <v>58</v>
      </c>
      <c r="C153" s="1" t="s">
        <v>75</v>
      </c>
      <c r="D153" s="22">
        <v>0.34722222222222227</v>
      </c>
      <c r="E153" s="23">
        <v>0.91666666666666663</v>
      </c>
      <c r="F153" s="24">
        <f t="shared" si="30"/>
        <v>13.67</v>
      </c>
      <c r="G153" s="25" t="s">
        <v>56</v>
      </c>
      <c r="H153" s="26">
        <v>32638</v>
      </c>
      <c r="I153" s="7" t="str">
        <f>IFERROR(INDEX(Tabla_control_serigrafia[PRODUCTO],MATCH(Tabla_producción_serigrafia[[#This Row],[LOTE]],Tabla_control_serigrafia[LOTE],0)),"-")</f>
        <v>PARACETAMOL 100 MG X 15 ML GOTAS</v>
      </c>
      <c r="J153" s="27" t="str">
        <f>IFERROR(INDEX(Tabla_control_serigrafia[FORMATO DE FRASCO],MATCH(Tabla_producción_serigrafia[[#This Row],[LOTE]],Tabla_control_serigrafia[LOTE],0)),"-")</f>
        <v>15 ML</v>
      </c>
      <c r="K153" s="27" t="str">
        <f>IFERROR(INDEX(Tabla_control_serigrafia[TIPO DE FRASCO],MATCH(Tabla_producción_serigrafia[[#This Row],[LOTE]],Tabla_control_serigrafia[LOTE],0)),"-")</f>
        <v>FRASCO BLANCO</v>
      </c>
      <c r="L153" t="str">
        <f>IF(Tabla_producción_serigrafia[[#This Row],[ACCIÓN]]="PRODUCCIÓN",Tabla_producción_serigrafia[[#This Row],[FORMATO DE FRASCO]]&amp;" "&amp;Tabla_producción_serigrafia[[#This Row],[TIPO DE FRASCO]],"-")</f>
        <v>15 ML FRASCO BLANCO</v>
      </c>
      <c r="M153" s="28">
        <f>IFERROR(INDEX(Tabla_control_serigrafia[CANTIDAD PEDIDA],MATCH(Tabla_producción_serigrafia[[#This Row],[LOTE]],Tabla_control_serigrafia[LOTE],0)),"-")</f>
        <v>56250</v>
      </c>
      <c r="N153" s="29">
        <v>24600</v>
      </c>
      <c r="O153" s="26">
        <v>450</v>
      </c>
      <c r="P153" s="30" t="s">
        <v>62</v>
      </c>
      <c r="Q153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24600</v>
      </c>
      <c r="R153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46</v>
      </c>
      <c r="S153" s="32"/>
      <c r="T153" s="27" t="str">
        <f>UPPER(LEFT(TEXT(Tabla_producción_serigrafia[[#This Row],[FECHA]],"mmm"),3))</f>
        <v>ABR</v>
      </c>
      <c r="U153" s="27">
        <f>+Tabla_producción_serigrafia[[#This Row],[CANTIDAD PRODUCIDA]]+Tabla_producción_serigrafia[[#This Row],[CANTIDAD RECHAZADA]]</f>
        <v>25050</v>
      </c>
    </row>
    <row r="154" spans="1:21" x14ac:dyDescent="0.25">
      <c r="A154" s="10">
        <v>46132</v>
      </c>
      <c r="B154" s="10" t="s">
        <v>58</v>
      </c>
      <c r="C154" s="1" t="s">
        <v>75</v>
      </c>
      <c r="D154" s="22">
        <v>0.33333333333333331</v>
      </c>
      <c r="E154" s="23">
        <v>0.52083333333333337</v>
      </c>
      <c r="F154" s="24">
        <f t="shared" ref="F154:F158" si="31">ROUND((E154-D154)*24,2)</f>
        <v>4.5</v>
      </c>
      <c r="G154" s="25" t="s">
        <v>64</v>
      </c>
      <c r="H154" s="26" t="s">
        <v>38</v>
      </c>
      <c r="I154" s="7" t="str">
        <f>IFERROR(INDEX(Tabla_control_serigrafia[PRODUCTO],MATCH(Tabla_producción_serigrafia[[#This Row],[LOTE]],Tabla_control_serigrafia[LOTE],0)),"-")</f>
        <v>-</v>
      </c>
      <c r="J154" s="27" t="str">
        <f>IFERROR(INDEX(Tabla_control_serigrafia[FORMATO DE FRASCO],MATCH(Tabla_producción_serigrafia[[#This Row],[LOTE]],Tabla_control_serigrafia[LOTE],0)),"-")</f>
        <v>-</v>
      </c>
      <c r="K154" s="27" t="str">
        <f>IFERROR(INDEX(Tabla_control_serigrafia[TIPO DE FRASCO],MATCH(Tabla_producción_serigrafia[[#This Row],[LOTE]],Tabla_control_serigrafia[LOTE],0)),"-")</f>
        <v>-</v>
      </c>
      <c r="L154" t="str">
        <f>IF(Tabla_producción_serigrafia[[#This Row],[ACCIÓN]]="PRODUCCIÓN",Tabla_producción_serigrafia[[#This Row],[FORMATO DE FRASCO]]&amp;" "&amp;Tabla_producción_serigrafia[[#This Row],[TIPO DE FRASCO]],"-")</f>
        <v>-</v>
      </c>
      <c r="M154" s="28" t="str">
        <f>IFERROR(INDEX(Tabla_control_serigrafia[CANTIDAD PEDIDA],MATCH(Tabla_producción_serigrafia[[#This Row],[LOTE]],Tabla_control_serigrafia[LOTE],0)),"-")</f>
        <v>-</v>
      </c>
      <c r="N154" s="29">
        <v>0</v>
      </c>
      <c r="O154" s="26">
        <v>0</v>
      </c>
      <c r="P154" s="30"/>
      <c r="Q154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54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54" s="32" t="s">
        <v>146</v>
      </c>
      <c r="T154" s="27" t="str">
        <f>UPPER(LEFT(TEXT(Tabla_producción_serigrafia[[#This Row],[FECHA]],"mmm"),3))</f>
        <v>ABR</v>
      </c>
      <c r="U154" s="27">
        <f>+Tabla_producción_serigrafia[[#This Row],[CANTIDAD PRODUCIDA]]+Tabla_producción_serigrafia[[#This Row],[CANTIDAD RECHAZADA]]</f>
        <v>0</v>
      </c>
    </row>
    <row r="155" spans="1:21" x14ac:dyDescent="0.25">
      <c r="A155" s="10">
        <v>46132</v>
      </c>
      <c r="B155" s="10" t="s">
        <v>58</v>
      </c>
      <c r="C155" s="1" t="s">
        <v>75</v>
      </c>
      <c r="D155" s="22">
        <v>0.52083333333333337</v>
      </c>
      <c r="E155" s="23">
        <v>0.54166666666666663</v>
      </c>
      <c r="F155" s="24">
        <f t="shared" si="31"/>
        <v>0.5</v>
      </c>
      <c r="G155" s="25" t="s">
        <v>57</v>
      </c>
      <c r="H155" s="26">
        <v>32655</v>
      </c>
      <c r="I155" s="7" t="str">
        <f>IFERROR(INDEX(Tabla_control_serigrafia[PRODUCTO],MATCH(Tabla_producción_serigrafia[[#This Row],[LOTE]],Tabla_control_serigrafia[LOTE],0)),"-")</f>
        <v>IBUPROFENO 100 MG X 100 ML SUSP.</v>
      </c>
      <c r="J155" s="27" t="str">
        <f>IFERROR(INDEX(Tabla_control_serigrafia[FORMATO DE FRASCO],MATCH(Tabla_producción_serigrafia[[#This Row],[LOTE]],Tabla_control_serigrafia[LOTE],0)),"-")</f>
        <v>120 ML</v>
      </c>
      <c r="K155" s="27" t="str">
        <f>IFERROR(INDEX(Tabla_control_serigrafia[TIPO DE FRASCO],MATCH(Tabla_producción_serigrafia[[#This Row],[LOTE]],Tabla_control_serigrafia[LOTE],0)),"-")</f>
        <v>FRASCO BLANCO</v>
      </c>
      <c r="L155" t="str">
        <f>IF(Tabla_producción_serigrafia[[#This Row],[ACCIÓN]]="PRODUCCIÓN",Tabla_producción_serigrafia[[#This Row],[FORMATO DE FRASCO]]&amp;" "&amp;Tabla_producción_serigrafia[[#This Row],[TIPO DE FRASCO]],"-")</f>
        <v>-</v>
      </c>
      <c r="M155" s="28">
        <f>IFERROR(INDEX(Tabla_control_serigrafia[CANTIDAD PEDIDA],MATCH(Tabla_producción_serigrafia[[#This Row],[LOTE]],Tabla_control_serigrafia[LOTE],0)),"-")</f>
        <v>23529</v>
      </c>
      <c r="N155" s="29">
        <v>0</v>
      </c>
      <c r="O155" s="26">
        <v>0</v>
      </c>
      <c r="P155" s="30"/>
      <c r="Q155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55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55" s="32" t="s">
        <v>63</v>
      </c>
      <c r="T155" s="27" t="str">
        <f>UPPER(LEFT(TEXT(Tabla_producción_serigrafia[[#This Row],[FECHA]],"mmm"),3))</f>
        <v>ABR</v>
      </c>
      <c r="U155" s="27">
        <f>+Tabla_producción_serigrafia[[#This Row],[CANTIDAD PRODUCIDA]]+Tabla_producción_serigrafia[[#This Row],[CANTIDAD RECHAZADA]]</f>
        <v>0</v>
      </c>
    </row>
    <row r="156" spans="1:21" x14ac:dyDescent="0.25">
      <c r="A156" s="10">
        <v>46132</v>
      </c>
      <c r="B156" s="10" t="s">
        <v>58</v>
      </c>
      <c r="C156" s="1" t="s">
        <v>75</v>
      </c>
      <c r="D156" s="22">
        <v>0.54166666666666663</v>
      </c>
      <c r="E156" s="23">
        <v>8.3333333333333329E-2</v>
      </c>
      <c r="F156" s="24">
        <f t="shared" si="31"/>
        <v>-11</v>
      </c>
      <c r="G156" s="25" t="s">
        <v>56</v>
      </c>
      <c r="H156" s="26">
        <v>32655</v>
      </c>
      <c r="I156" s="7" t="str">
        <f>IFERROR(INDEX(Tabla_control_serigrafia[PRODUCTO],MATCH(Tabla_producción_serigrafia[[#This Row],[LOTE]],Tabla_control_serigrafia[LOTE],0)),"-")</f>
        <v>IBUPROFENO 100 MG X 100 ML SUSP.</v>
      </c>
      <c r="J156" s="27" t="str">
        <f>IFERROR(INDEX(Tabla_control_serigrafia[FORMATO DE FRASCO],MATCH(Tabla_producción_serigrafia[[#This Row],[LOTE]],Tabla_control_serigrafia[LOTE],0)),"-")</f>
        <v>120 ML</v>
      </c>
      <c r="K156" s="27" t="str">
        <f>IFERROR(INDEX(Tabla_control_serigrafia[TIPO DE FRASCO],MATCH(Tabla_producción_serigrafia[[#This Row],[LOTE]],Tabla_control_serigrafia[LOTE],0)),"-")</f>
        <v>FRASCO BLANCO</v>
      </c>
      <c r="L156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56" s="28">
        <f>IFERROR(INDEX(Tabla_control_serigrafia[CANTIDAD PEDIDA],MATCH(Tabla_producción_serigrafia[[#This Row],[LOTE]],Tabla_control_serigrafia[LOTE],0)),"-")</f>
        <v>23529</v>
      </c>
      <c r="N156" s="29">
        <v>23700</v>
      </c>
      <c r="O156" s="26">
        <v>110</v>
      </c>
      <c r="P156" s="30"/>
      <c r="Q156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23700</v>
      </c>
      <c r="R156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56" s="32"/>
      <c r="T156" s="27" t="str">
        <f>UPPER(LEFT(TEXT(Tabla_producción_serigrafia[[#This Row],[FECHA]],"mmm"),3))</f>
        <v>ABR</v>
      </c>
      <c r="U156" s="27">
        <f>+Tabla_producción_serigrafia[[#This Row],[CANTIDAD PRODUCIDA]]+Tabla_producción_serigrafia[[#This Row],[CANTIDAD RECHAZADA]]</f>
        <v>23810</v>
      </c>
    </row>
    <row r="157" spans="1:21" x14ac:dyDescent="0.25">
      <c r="A157" s="10">
        <v>46132</v>
      </c>
      <c r="B157" s="10" t="s">
        <v>58</v>
      </c>
      <c r="C157" s="1" t="s">
        <v>75</v>
      </c>
      <c r="D157" s="22">
        <v>8.3333333333333329E-2</v>
      </c>
      <c r="E157" s="23">
        <v>0.10416666666666667</v>
      </c>
      <c r="F157" s="24">
        <f t="shared" si="31"/>
        <v>0.5</v>
      </c>
      <c r="G157" s="25" t="s">
        <v>57</v>
      </c>
      <c r="H157" s="26">
        <v>32656</v>
      </c>
      <c r="I157" s="7" t="str">
        <f>IFERROR(INDEX(Tabla_control_serigrafia[PRODUCTO],MATCH(Tabla_producción_serigrafia[[#This Row],[LOTE]],Tabla_control_serigrafia[LOTE],0)),"-")</f>
        <v>IBUPROFENO 100 MG X 100 ML SUSP.</v>
      </c>
      <c r="J157" s="27" t="str">
        <f>IFERROR(INDEX(Tabla_control_serigrafia[FORMATO DE FRASCO],MATCH(Tabla_producción_serigrafia[[#This Row],[LOTE]],Tabla_control_serigrafia[LOTE],0)),"-")</f>
        <v>120 ML</v>
      </c>
      <c r="K157" s="27" t="str">
        <f>IFERROR(INDEX(Tabla_control_serigrafia[TIPO DE FRASCO],MATCH(Tabla_producción_serigrafia[[#This Row],[LOTE]],Tabla_control_serigrafia[LOTE],0)),"-")</f>
        <v>FRASCO BLANCO</v>
      </c>
      <c r="L157" t="str">
        <f>IF(Tabla_producción_serigrafia[[#This Row],[ACCIÓN]]="PRODUCCIÓN",Tabla_producción_serigrafia[[#This Row],[FORMATO DE FRASCO]]&amp;" "&amp;Tabla_producción_serigrafia[[#This Row],[TIPO DE FRASCO]],"-")</f>
        <v>-</v>
      </c>
      <c r="M157" s="28">
        <f>IFERROR(INDEX(Tabla_control_serigrafia[CANTIDAD PEDIDA],MATCH(Tabla_producción_serigrafia[[#This Row],[LOTE]],Tabla_control_serigrafia[LOTE],0)),"-")</f>
        <v>23529</v>
      </c>
      <c r="N157" s="29">
        <v>0</v>
      </c>
      <c r="O157" s="26">
        <v>0</v>
      </c>
      <c r="P157" s="30"/>
      <c r="Q15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57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57" s="32" t="s">
        <v>63</v>
      </c>
      <c r="T157" s="27" t="str">
        <f>UPPER(LEFT(TEXT(Tabla_producción_serigrafia[[#This Row],[FECHA]],"mmm"),3))</f>
        <v>ABR</v>
      </c>
      <c r="U157" s="27">
        <f>+Tabla_producción_serigrafia[[#This Row],[CANTIDAD PRODUCIDA]]+Tabla_producción_serigrafia[[#This Row],[CANTIDAD RECHAZADA]]</f>
        <v>0</v>
      </c>
    </row>
    <row r="158" spans="1:21" x14ac:dyDescent="0.25">
      <c r="A158" s="10">
        <v>46132</v>
      </c>
      <c r="B158" s="10" t="s">
        <v>58</v>
      </c>
      <c r="C158" s="1" t="s">
        <v>75</v>
      </c>
      <c r="D158" s="22">
        <v>0.10416666666666667</v>
      </c>
      <c r="E158" s="23">
        <v>0.33333333333333331</v>
      </c>
      <c r="F158" s="24">
        <f t="shared" si="31"/>
        <v>5.5</v>
      </c>
      <c r="G158" s="25" t="s">
        <v>56</v>
      </c>
      <c r="H158" s="26">
        <v>32656</v>
      </c>
      <c r="I158" s="7" t="str">
        <f>IFERROR(INDEX(Tabla_control_serigrafia[PRODUCTO],MATCH(Tabla_producción_serigrafia[[#This Row],[LOTE]],Tabla_control_serigrafia[LOTE],0)),"-")</f>
        <v>IBUPROFENO 100 MG X 100 ML SUSP.</v>
      </c>
      <c r="J158" s="27" t="str">
        <f>IFERROR(INDEX(Tabla_control_serigrafia[FORMATO DE FRASCO],MATCH(Tabla_producción_serigrafia[[#This Row],[LOTE]],Tabla_control_serigrafia[LOTE],0)),"-")</f>
        <v>120 ML</v>
      </c>
      <c r="K158" s="27" t="str">
        <f>IFERROR(INDEX(Tabla_control_serigrafia[TIPO DE FRASCO],MATCH(Tabla_producción_serigrafia[[#This Row],[LOTE]],Tabla_control_serigrafia[LOTE],0)),"-")</f>
        <v>FRASCO BLANCO</v>
      </c>
      <c r="L158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58" s="28">
        <f>IFERROR(INDEX(Tabla_control_serigrafia[CANTIDAD PEDIDA],MATCH(Tabla_producción_serigrafia[[#This Row],[LOTE]],Tabla_control_serigrafia[LOTE],0)),"-")</f>
        <v>23529</v>
      </c>
      <c r="N158" s="29">
        <v>12000</v>
      </c>
      <c r="O158" s="26">
        <v>0</v>
      </c>
      <c r="P158" s="30"/>
      <c r="Q15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12000</v>
      </c>
      <c r="R158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58" s="32"/>
      <c r="T158" s="27" t="str">
        <f>UPPER(LEFT(TEXT(Tabla_producción_serigrafia[[#This Row],[FECHA]],"mmm"),3))</f>
        <v>ABR</v>
      </c>
      <c r="U158" s="27">
        <f>+Tabla_producción_serigrafia[[#This Row],[CANTIDAD PRODUCIDA]]+Tabla_producción_serigrafia[[#This Row],[CANTIDAD RECHAZADA]]</f>
        <v>12000</v>
      </c>
    </row>
    <row r="159" spans="1:21" x14ac:dyDescent="0.25">
      <c r="A159" s="10">
        <v>46133</v>
      </c>
      <c r="B159" s="10" t="s">
        <v>58</v>
      </c>
      <c r="C159" s="1" t="s">
        <v>75</v>
      </c>
      <c r="D159" s="22">
        <v>0.33333333333333331</v>
      </c>
      <c r="E159" s="23">
        <v>0.34722222222222227</v>
      </c>
      <c r="F159" s="24">
        <f t="shared" ref="F159:F164" si="32">ROUND((E159-D159)*24,2)</f>
        <v>0.33</v>
      </c>
      <c r="G159" s="25" t="s">
        <v>57</v>
      </c>
      <c r="H159" s="26">
        <v>32656</v>
      </c>
      <c r="I159" s="7" t="str">
        <f>IFERROR(INDEX(Tabla_control_serigrafia[PRODUCTO],MATCH(Tabla_producción_serigrafia[[#This Row],[LOTE]],Tabla_control_serigrafia[LOTE],0)),"-")</f>
        <v>IBUPROFENO 100 MG X 100 ML SUSP.</v>
      </c>
      <c r="J159" s="27" t="str">
        <f>IFERROR(INDEX(Tabla_control_serigrafia[FORMATO DE FRASCO],MATCH(Tabla_producción_serigrafia[[#This Row],[LOTE]],Tabla_control_serigrafia[LOTE],0)),"-")</f>
        <v>120 ML</v>
      </c>
      <c r="K159" s="27" t="str">
        <f>IFERROR(INDEX(Tabla_control_serigrafia[TIPO DE FRASCO],MATCH(Tabla_producción_serigrafia[[#This Row],[LOTE]],Tabla_control_serigrafia[LOTE],0)),"-")</f>
        <v>FRASCO BLANCO</v>
      </c>
      <c r="L159" t="str">
        <f>IF(Tabla_producción_serigrafia[[#This Row],[ACCIÓN]]="PRODUCCIÓN",Tabla_producción_serigrafia[[#This Row],[FORMATO DE FRASCO]]&amp;" "&amp;Tabla_producción_serigrafia[[#This Row],[TIPO DE FRASCO]],"-")</f>
        <v>-</v>
      </c>
      <c r="M159" s="28">
        <f>IFERROR(INDEX(Tabla_control_serigrafia[CANTIDAD PEDIDA],MATCH(Tabla_producción_serigrafia[[#This Row],[LOTE]],Tabla_control_serigrafia[LOTE],0)),"-")</f>
        <v>23529</v>
      </c>
      <c r="N159" s="29">
        <v>0</v>
      </c>
      <c r="O159" s="26">
        <v>0</v>
      </c>
      <c r="P159" s="30"/>
      <c r="Q15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59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59" s="32" t="s">
        <v>63</v>
      </c>
      <c r="T159" s="27" t="str">
        <f>UPPER(LEFT(TEXT(Tabla_producción_serigrafia[[#This Row],[FECHA]],"mmm"),3))</f>
        <v>ABR</v>
      </c>
      <c r="U159" s="27">
        <f>+Tabla_producción_serigrafia[[#This Row],[CANTIDAD PRODUCIDA]]+Tabla_producción_serigrafia[[#This Row],[CANTIDAD RECHAZADA]]</f>
        <v>0</v>
      </c>
    </row>
    <row r="160" spans="1:21" x14ac:dyDescent="0.25">
      <c r="A160" s="10">
        <v>46133</v>
      </c>
      <c r="B160" s="10" t="s">
        <v>58</v>
      </c>
      <c r="C160" s="1" t="s">
        <v>75</v>
      </c>
      <c r="D160" s="22">
        <v>0.34722222222222227</v>
      </c>
      <c r="E160" s="23">
        <v>0.54166666666666663</v>
      </c>
      <c r="F160" s="24">
        <f t="shared" si="32"/>
        <v>4.67</v>
      </c>
      <c r="G160" s="25" t="s">
        <v>56</v>
      </c>
      <c r="H160" s="26">
        <v>32656</v>
      </c>
      <c r="I160" s="7" t="str">
        <f>IFERROR(INDEX(Tabla_control_serigrafia[PRODUCTO],MATCH(Tabla_producción_serigrafia[[#This Row],[LOTE]],Tabla_control_serigrafia[LOTE],0)),"-")</f>
        <v>IBUPROFENO 100 MG X 100 ML SUSP.</v>
      </c>
      <c r="J160" s="27" t="str">
        <f>IFERROR(INDEX(Tabla_control_serigrafia[FORMATO DE FRASCO],MATCH(Tabla_producción_serigrafia[[#This Row],[LOTE]],Tabla_control_serigrafia[LOTE],0)),"-")</f>
        <v>120 ML</v>
      </c>
      <c r="K160" s="27" t="str">
        <f>IFERROR(INDEX(Tabla_control_serigrafia[TIPO DE FRASCO],MATCH(Tabla_producción_serigrafia[[#This Row],[LOTE]],Tabla_control_serigrafia[LOTE],0)),"-")</f>
        <v>FRASCO BLANCO</v>
      </c>
      <c r="L160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60" s="28">
        <f>IFERROR(INDEX(Tabla_control_serigrafia[CANTIDAD PEDIDA],MATCH(Tabla_producción_serigrafia[[#This Row],[LOTE]],Tabla_control_serigrafia[LOTE],0)),"-")</f>
        <v>23529</v>
      </c>
      <c r="N160" s="29">
        <v>11700</v>
      </c>
      <c r="O160" s="26">
        <v>110</v>
      </c>
      <c r="P160" s="30"/>
      <c r="Q160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11700</v>
      </c>
      <c r="R160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60" s="32"/>
      <c r="T160" s="27" t="str">
        <f>UPPER(LEFT(TEXT(Tabla_producción_serigrafia[[#This Row],[FECHA]],"mmm"),3))</f>
        <v>ABR</v>
      </c>
      <c r="U160" s="27">
        <f>+Tabla_producción_serigrafia[[#This Row],[CANTIDAD PRODUCIDA]]+Tabla_producción_serigrafia[[#This Row],[CANTIDAD RECHAZADA]]</f>
        <v>11810</v>
      </c>
    </row>
    <row r="161" spans="1:21" x14ac:dyDescent="0.25">
      <c r="A161" s="10">
        <v>46133</v>
      </c>
      <c r="B161" s="10" t="s">
        <v>58</v>
      </c>
      <c r="C161" s="1" t="s">
        <v>75</v>
      </c>
      <c r="D161" s="22">
        <v>0.54166666666666663</v>
      </c>
      <c r="E161" s="23">
        <v>0.5625</v>
      </c>
      <c r="F161" s="24">
        <f t="shared" si="32"/>
        <v>0.5</v>
      </c>
      <c r="G161" s="25" t="s">
        <v>57</v>
      </c>
      <c r="H161" s="26">
        <v>42659</v>
      </c>
      <c r="I161" s="7" t="str">
        <f>IFERROR(INDEX(Tabla_control_serigrafia[PRODUCTO],MATCH(Tabla_producción_serigrafia[[#This Row],[LOTE]],Tabla_control_serigrafia[LOTE],0)),"-")</f>
        <v>PARACETAMOL 120 MG X 100 ML JARABE</v>
      </c>
      <c r="J161" s="27" t="str">
        <f>IFERROR(INDEX(Tabla_control_serigrafia[FORMATO DE FRASCO],MATCH(Tabla_producción_serigrafia[[#This Row],[LOTE]],Tabla_control_serigrafia[LOTE],0)),"-")</f>
        <v>120 ML</v>
      </c>
      <c r="K161" s="27" t="str">
        <f>IFERROR(INDEX(Tabla_control_serigrafia[TIPO DE FRASCO],MATCH(Tabla_producción_serigrafia[[#This Row],[LOTE]],Tabla_control_serigrafia[LOTE],0)),"-")</f>
        <v>FRASCO BLANCO</v>
      </c>
      <c r="L161" t="str">
        <f>IF(Tabla_producción_serigrafia[[#This Row],[ACCIÓN]]="PRODUCCIÓN",Tabla_producción_serigrafia[[#This Row],[FORMATO DE FRASCO]]&amp;" "&amp;Tabla_producción_serigrafia[[#This Row],[TIPO DE FRASCO]],"-")</f>
        <v>-</v>
      </c>
      <c r="M161" s="28">
        <f>IFERROR(INDEX(Tabla_control_serigrafia[CANTIDAD PEDIDA],MATCH(Tabla_producción_serigrafia[[#This Row],[LOTE]],Tabla_control_serigrafia[LOTE],0)),"-")</f>
        <v>9901</v>
      </c>
      <c r="N161" s="29">
        <v>0</v>
      </c>
      <c r="O161" s="26">
        <v>0</v>
      </c>
      <c r="P161" s="30"/>
      <c r="Q161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61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61" s="32" t="s">
        <v>63</v>
      </c>
      <c r="T161" s="27" t="str">
        <f>UPPER(LEFT(TEXT(Tabla_producción_serigrafia[[#This Row],[FECHA]],"mmm"),3))</f>
        <v>ABR</v>
      </c>
      <c r="U161" s="27">
        <f>+Tabla_producción_serigrafia[[#This Row],[CANTIDAD PRODUCIDA]]+Tabla_producción_serigrafia[[#This Row],[CANTIDAD RECHAZADA]]</f>
        <v>0</v>
      </c>
    </row>
    <row r="162" spans="1:21" x14ac:dyDescent="0.25">
      <c r="A162" s="10">
        <v>46133</v>
      </c>
      <c r="B162" s="10" t="s">
        <v>58</v>
      </c>
      <c r="C162" s="1" t="s">
        <v>75</v>
      </c>
      <c r="D162" s="22">
        <v>0.5625</v>
      </c>
      <c r="E162" s="23">
        <v>0.72916666666666663</v>
      </c>
      <c r="F162" s="24">
        <f t="shared" si="32"/>
        <v>4</v>
      </c>
      <c r="G162" s="25" t="s">
        <v>56</v>
      </c>
      <c r="H162" s="26">
        <v>42659</v>
      </c>
      <c r="I162" s="7" t="str">
        <f>IFERROR(INDEX(Tabla_control_serigrafia[PRODUCTO],MATCH(Tabla_producción_serigrafia[[#This Row],[LOTE]],Tabla_control_serigrafia[LOTE],0)),"-")</f>
        <v>PARACETAMOL 120 MG X 100 ML JARABE</v>
      </c>
      <c r="J162" s="27" t="str">
        <f>IFERROR(INDEX(Tabla_control_serigrafia[FORMATO DE FRASCO],MATCH(Tabla_producción_serigrafia[[#This Row],[LOTE]],Tabla_control_serigrafia[LOTE],0)),"-")</f>
        <v>120 ML</v>
      </c>
      <c r="K162" s="27" t="str">
        <f>IFERROR(INDEX(Tabla_control_serigrafia[TIPO DE FRASCO],MATCH(Tabla_producción_serigrafia[[#This Row],[LOTE]],Tabla_control_serigrafia[LOTE],0)),"-")</f>
        <v>FRASCO BLANCO</v>
      </c>
      <c r="L162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62" s="28">
        <f>IFERROR(INDEX(Tabla_control_serigrafia[CANTIDAD PEDIDA],MATCH(Tabla_producción_serigrafia[[#This Row],[LOTE]],Tabla_control_serigrafia[LOTE],0)),"-")</f>
        <v>9901</v>
      </c>
      <c r="N162" s="29">
        <v>10000</v>
      </c>
      <c r="O162" s="26">
        <v>80</v>
      </c>
      <c r="P162" s="30"/>
      <c r="Q162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10000</v>
      </c>
      <c r="R162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62" s="32"/>
      <c r="T162" s="27" t="str">
        <f>UPPER(LEFT(TEXT(Tabla_producción_serigrafia[[#This Row],[FECHA]],"mmm"),3))</f>
        <v>ABR</v>
      </c>
      <c r="U162" s="27">
        <f>+Tabla_producción_serigrafia[[#This Row],[CANTIDAD PRODUCIDA]]+Tabla_producción_serigrafia[[#This Row],[CANTIDAD RECHAZADA]]</f>
        <v>10080</v>
      </c>
    </row>
    <row r="163" spans="1:21" x14ac:dyDescent="0.25">
      <c r="A163" s="10">
        <v>46133</v>
      </c>
      <c r="B163" s="10" t="s">
        <v>58</v>
      </c>
      <c r="C163" s="1" t="s">
        <v>75</v>
      </c>
      <c r="D163" s="22">
        <v>0.72916666666666663</v>
      </c>
      <c r="E163" s="23">
        <v>0.75</v>
      </c>
      <c r="F163" s="24">
        <f t="shared" si="32"/>
        <v>0.5</v>
      </c>
      <c r="G163" s="25" t="s">
        <v>57</v>
      </c>
      <c r="H163" s="26">
        <v>42647</v>
      </c>
      <c r="I163" s="7" t="str">
        <f>IFERROR(INDEX(Tabla_control_serigrafia[PRODUCTO],MATCH(Tabla_producción_serigrafia[[#This Row],[LOTE]],Tabla_control_serigrafia[LOTE],0)),"-")</f>
        <v>DEXTROMETORFANO 10 MG X 100 ML JARABE</v>
      </c>
      <c r="J163" s="27" t="str">
        <f>IFERROR(INDEX(Tabla_control_serigrafia[FORMATO DE FRASCO],MATCH(Tabla_producción_serigrafia[[#This Row],[LOTE]],Tabla_control_serigrafia[LOTE],0)),"-")</f>
        <v>120 ML</v>
      </c>
      <c r="K163" s="27" t="str">
        <f>IFERROR(INDEX(Tabla_control_serigrafia[TIPO DE FRASCO],MATCH(Tabla_producción_serigrafia[[#This Row],[LOTE]],Tabla_control_serigrafia[LOTE],0)),"-")</f>
        <v>FRASCO BLANCO</v>
      </c>
      <c r="L163" t="str">
        <f>IF(Tabla_producción_serigrafia[[#This Row],[ACCIÓN]]="PRODUCCIÓN",Tabla_producción_serigrafia[[#This Row],[FORMATO DE FRASCO]]&amp;" "&amp;Tabla_producción_serigrafia[[#This Row],[TIPO DE FRASCO]],"-")</f>
        <v>-</v>
      </c>
      <c r="M163" s="28">
        <f>IFERROR(INDEX(Tabla_control_serigrafia[CANTIDAD PEDIDA],MATCH(Tabla_producción_serigrafia[[#This Row],[LOTE]],Tabla_control_serigrafia[LOTE],0)),"-")</f>
        <v>29703</v>
      </c>
      <c r="N163" s="29">
        <v>0</v>
      </c>
      <c r="O163" s="26">
        <v>0</v>
      </c>
      <c r="P163" s="30"/>
      <c r="Q163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63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63" s="32" t="s">
        <v>63</v>
      </c>
      <c r="T163" s="27" t="str">
        <f>UPPER(LEFT(TEXT(Tabla_producción_serigrafia[[#This Row],[FECHA]],"mmm"),3))</f>
        <v>ABR</v>
      </c>
      <c r="U163" s="27">
        <f>+Tabla_producción_serigrafia[[#This Row],[CANTIDAD PRODUCIDA]]+Tabla_producción_serigrafia[[#This Row],[CANTIDAD RECHAZADA]]</f>
        <v>0</v>
      </c>
    </row>
    <row r="164" spans="1:21" x14ac:dyDescent="0.25">
      <c r="A164" s="10">
        <v>46133</v>
      </c>
      <c r="B164" s="10" t="s">
        <v>58</v>
      </c>
      <c r="C164" s="1" t="s">
        <v>75</v>
      </c>
      <c r="D164" s="22">
        <v>0.75</v>
      </c>
      <c r="E164" s="23">
        <v>0.33333333333333331</v>
      </c>
      <c r="F164" s="24">
        <f t="shared" si="32"/>
        <v>-10</v>
      </c>
      <c r="G164" s="25" t="s">
        <v>56</v>
      </c>
      <c r="H164" s="26">
        <v>42647</v>
      </c>
      <c r="I164" s="7" t="str">
        <f>IFERROR(INDEX(Tabla_control_serigrafia[PRODUCTO],MATCH(Tabla_producción_serigrafia[[#This Row],[LOTE]],Tabla_control_serigrafia[LOTE],0)),"-")</f>
        <v>DEXTROMETORFANO 10 MG X 100 ML JARABE</v>
      </c>
      <c r="J164" s="27" t="str">
        <f>IFERROR(INDEX(Tabla_control_serigrafia[FORMATO DE FRASCO],MATCH(Tabla_producción_serigrafia[[#This Row],[LOTE]],Tabla_control_serigrafia[LOTE],0)),"-")</f>
        <v>120 ML</v>
      </c>
      <c r="K164" s="27" t="str">
        <f>IFERROR(INDEX(Tabla_control_serigrafia[TIPO DE FRASCO],MATCH(Tabla_producción_serigrafia[[#This Row],[LOTE]],Tabla_control_serigrafia[LOTE],0)),"-")</f>
        <v>FRASCO BLANCO</v>
      </c>
      <c r="L164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64" s="28">
        <f>IFERROR(INDEX(Tabla_control_serigrafia[CANTIDAD PEDIDA],MATCH(Tabla_producción_serigrafia[[#This Row],[LOTE]],Tabla_control_serigrafia[LOTE],0)),"-")</f>
        <v>29703</v>
      </c>
      <c r="N164" s="29">
        <v>25000</v>
      </c>
      <c r="O164" s="26">
        <v>0</v>
      </c>
      <c r="P164" s="30" t="s">
        <v>66</v>
      </c>
      <c r="Q164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25000</v>
      </c>
      <c r="R164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64" s="32"/>
      <c r="T164" s="27" t="str">
        <f>UPPER(LEFT(TEXT(Tabla_producción_serigrafia[[#This Row],[FECHA]],"mmm"),3))</f>
        <v>ABR</v>
      </c>
      <c r="U164" s="27">
        <f>+Tabla_producción_serigrafia[[#This Row],[CANTIDAD PRODUCIDA]]+Tabla_producción_serigrafia[[#This Row],[CANTIDAD RECHAZADA]]</f>
        <v>25000</v>
      </c>
    </row>
    <row r="165" spans="1:21" x14ac:dyDescent="0.25">
      <c r="A165" s="10">
        <v>46134</v>
      </c>
      <c r="B165" s="10" t="s">
        <v>58</v>
      </c>
      <c r="C165" s="1" t="s">
        <v>75</v>
      </c>
      <c r="D165" s="22">
        <v>0.33333333333333331</v>
      </c>
      <c r="E165" s="23">
        <v>0.34722222222222227</v>
      </c>
      <c r="F165" s="24">
        <f t="shared" ref="F165:F170" si="33">ROUND((E165-D165)*24,2)</f>
        <v>0.33</v>
      </c>
      <c r="G165" s="25" t="s">
        <v>57</v>
      </c>
      <c r="H165" s="26">
        <v>42647</v>
      </c>
      <c r="I165" s="7" t="str">
        <f>IFERROR(INDEX(Tabla_control_serigrafia[PRODUCTO],MATCH(Tabla_producción_serigrafia[[#This Row],[LOTE]],Tabla_control_serigrafia[LOTE],0)),"-")</f>
        <v>DEXTROMETORFANO 10 MG X 100 ML JARABE</v>
      </c>
      <c r="J165" s="27" t="str">
        <f>IFERROR(INDEX(Tabla_control_serigrafia[FORMATO DE FRASCO],MATCH(Tabla_producción_serigrafia[[#This Row],[LOTE]],Tabla_control_serigrafia[LOTE],0)),"-")</f>
        <v>120 ML</v>
      </c>
      <c r="K165" s="27" t="str">
        <f>IFERROR(INDEX(Tabla_control_serigrafia[TIPO DE FRASCO],MATCH(Tabla_producción_serigrafia[[#This Row],[LOTE]],Tabla_control_serigrafia[LOTE],0)),"-")</f>
        <v>FRASCO BLANCO</v>
      </c>
      <c r="L165" t="str">
        <f>IF(Tabla_producción_serigrafia[[#This Row],[ACCIÓN]]="PRODUCCIÓN",Tabla_producción_serigrafia[[#This Row],[FORMATO DE FRASCO]]&amp;" "&amp;Tabla_producción_serigrafia[[#This Row],[TIPO DE FRASCO]],"-")</f>
        <v>-</v>
      </c>
      <c r="M165" s="28">
        <f>IFERROR(INDEX(Tabla_control_serigrafia[CANTIDAD PEDIDA],MATCH(Tabla_producción_serigrafia[[#This Row],[LOTE]],Tabla_control_serigrafia[LOTE],0)),"-")</f>
        <v>29703</v>
      </c>
      <c r="N165" s="29">
        <v>0</v>
      </c>
      <c r="O165" s="26">
        <v>0</v>
      </c>
      <c r="P165" s="30"/>
      <c r="Q165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65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65" s="32" t="s">
        <v>63</v>
      </c>
      <c r="T165" s="27" t="str">
        <f>UPPER(LEFT(TEXT(Tabla_producción_serigrafia[[#This Row],[FECHA]],"mmm"),3))</f>
        <v>ABR</v>
      </c>
      <c r="U165" s="27">
        <f>+Tabla_producción_serigrafia[[#This Row],[CANTIDAD PRODUCIDA]]+Tabla_producción_serigrafia[[#This Row],[CANTIDAD RECHAZADA]]</f>
        <v>0</v>
      </c>
    </row>
    <row r="166" spans="1:21" x14ac:dyDescent="0.25">
      <c r="A166" s="10">
        <v>46134</v>
      </c>
      <c r="B166" s="10" t="s">
        <v>58</v>
      </c>
      <c r="C166" s="1" t="s">
        <v>75</v>
      </c>
      <c r="D166" s="22">
        <v>0.34722222222222227</v>
      </c>
      <c r="E166" s="23">
        <v>0.45833333333333331</v>
      </c>
      <c r="F166" s="24">
        <f t="shared" si="33"/>
        <v>2.67</v>
      </c>
      <c r="G166" s="25" t="s">
        <v>56</v>
      </c>
      <c r="H166" s="26">
        <v>42647</v>
      </c>
      <c r="I166" s="7" t="str">
        <f>IFERROR(INDEX(Tabla_control_serigrafia[PRODUCTO],MATCH(Tabla_producción_serigrafia[[#This Row],[LOTE]],Tabla_control_serigrafia[LOTE],0)),"-")</f>
        <v>DEXTROMETORFANO 10 MG X 100 ML JARABE</v>
      </c>
      <c r="J166" s="27" t="str">
        <f>IFERROR(INDEX(Tabla_control_serigrafia[FORMATO DE FRASCO],MATCH(Tabla_producción_serigrafia[[#This Row],[LOTE]],Tabla_control_serigrafia[LOTE],0)),"-")</f>
        <v>120 ML</v>
      </c>
      <c r="K166" s="27" t="str">
        <f>IFERROR(INDEX(Tabla_control_serigrafia[TIPO DE FRASCO],MATCH(Tabla_producción_serigrafia[[#This Row],[LOTE]],Tabla_control_serigrafia[LOTE],0)),"-")</f>
        <v>FRASCO BLANCO</v>
      </c>
      <c r="L166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66" s="28">
        <f>IFERROR(INDEX(Tabla_control_serigrafia[CANTIDAD PEDIDA],MATCH(Tabla_producción_serigrafia[[#This Row],[LOTE]],Tabla_control_serigrafia[LOTE],0)),"-")</f>
        <v>29703</v>
      </c>
      <c r="N166" s="29">
        <v>4800</v>
      </c>
      <c r="O166" s="26">
        <v>209</v>
      </c>
      <c r="P166" s="30"/>
      <c r="Q166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4800</v>
      </c>
      <c r="R166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66" s="32"/>
      <c r="T166" s="27" t="str">
        <f>UPPER(LEFT(TEXT(Tabla_producción_serigrafia[[#This Row],[FECHA]],"mmm"),3))</f>
        <v>ABR</v>
      </c>
      <c r="U166" s="27">
        <f>+Tabla_producción_serigrafia[[#This Row],[CANTIDAD PRODUCIDA]]+Tabla_producción_serigrafia[[#This Row],[CANTIDAD RECHAZADA]]</f>
        <v>5009</v>
      </c>
    </row>
    <row r="167" spans="1:21" x14ac:dyDescent="0.25">
      <c r="A167" s="10">
        <v>46134</v>
      </c>
      <c r="B167" s="10" t="s">
        <v>58</v>
      </c>
      <c r="C167" s="1" t="s">
        <v>75</v>
      </c>
      <c r="D167" s="22">
        <v>0.45833333333333331</v>
      </c>
      <c r="E167" s="23">
        <v>0.47916666666666669</v>
      </c>
      <c r="F167" s="24">
        <f t="shared" si="33"/>
        <v>0.5</v>
      </c>
      <c r="G167" s="25" t="s">
        <v>57</v>
      </c>
      <c r="H167" s="26">
        <v>32669</v>
      </c>
      <c r="I167" s="7" t="str">
        <f>IFERROR(INDEX(Tabla_control_serigrafia[PRODUCTO],MATCH(Tabla_producción_serigrafia[[#This Row],[LOTE]],Tabla_control_serigrafia[LOTE],0)),"-")</f>
        <v>CETIRIZINA 5 MG X 100 ML JARABE</v>
      </c>
      <c r="J167" s="27" t="str">
        <f>IFERROR(INDEX(Tabla_control_serigrafia[FORMATO DE FRASCO],MATCH(Tabla_producción_serigrafia[[#This Row],[LOTE]],Tabla_control_serigrafia[LOTE],0)),"-")</f>
        <v>120 ML</v>
      </c>
      <c r="K167" s="27" t="str">
        <f>IFERROR(INDEX(Tabla_control_serigrafia[TIPO DE FRASCO],MATCH(Tabla_producción_serigrafia[[#This Row],[LOTE]],Tabla_control_serigrafia[LOTE],0)),"-")</f>
        <v>FRASCO BLANCO</v>
      </c>
      <c r="L167" t="str">
        <f>IF(Tabla_producción_serigrafia[[#This Row],[ACCIÓN]]="PRODUCCIÓN",Tabla_producción_serigrafia[[#This Row],[FORMATO DE FRASCO]]&amp;" "&amp;Tabla_producción_serigrafia[[#This Row],[TIPO DE FRASCO]],"-")</f>
        <v>-</v>
      </c>
      <c r="M167" s="28">
        <f>IFERROR(INDEX(Tabla_control_serigrafia[CANTIDAD PEDIDA],MATCH(Tabla_producción_serigrafia[[#This Row],[LOTE]],Tabla_control_serigrafia[LOTE],0)),"-")</f>
        <v>19802</v>
      </c>
      <c r="N167" s="29">
        <v>0</v>
      </c>
      <c r="O167" s="26">
        <v>0</v>
      </c>
      <c r="P167" s="30"/>
      <c r="Q16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67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67" s="32" t="s">
        <v>63</v>
      </c>
      <c r="T167" s="27" t="str">
        <f>UPPER(LEFT(TEXT(Tabla_producción_serigrafia[[#This Row],[FECHA]],"mmm"),3))</f>
        <v>ABR</v>
      </c>
      <c r="U167" s="27">
        <f>+Tabla_producción_serigrafia[[#This Row],[CANTIDAD PRODUCIDA]]+Tabla_producción_serigrafia[[#This Row],[CANTIDAD RECHAZADA]]</f>
        <v>0</v>
      </c>
    </row>
    <row r="168" spans="1:21" x14ac:dyDescent="0.25">
      <c r="A168" s="10">
        <v>46134</v>
      </c>
      <c r="B168" s="10" t="s">
        <v>58</v>
      </c>
      <c r="C168" s="1" t="s">
        <v>75</v>
      </c>
      <c r="D168" s="22">
        <v>0.47916666666666669</v>
      </c>
      <c r="E168" s="23">
        <v>0.83333333333333337</v>
      </c>
      <c r="F168" s="24">
        <f t="shared" si="33"/>
        <v>8.5</v>
      </c>
      <c r="G168" s="25" t="s">
        <v>56</v>
      </c>
      <c r="H168" s="26">
        <v>32669</v>
      </c>
      <c r="I168" s="7" t="str">
        <f>IFERROR(INDEX(Tabla_control_serigrafia[PRODUCTO],MATCH(Tabla_producción_serigrafia[[#This Row],[LOTE]],Tabla_control_serigrafia[LOTE],0)),"-")</f>
        <v>CETIRIZINA 5 MG X 100 ML JARABE</v>
      </c>
      <c r="J168" s="27" t="str">
        <f>IFERROR(INDEX(Tabla_control_serigrafia[FORMATO DE FRASCO],MATCH(Tabla_producción_serigrafia[[#This Row],[LOTE]],Tabla_control_serigrafia[LOTE],0)),"-")</f>
        <v>120 ML</v>
      </c>
      <c r="K168" s="27" t="str">
        <f>IFERROR(INDEX(Tabla_control_serigrafia[TIPO DE FRASCO],MATCH(Tabla_producción_serigrafia[[#This Row],[LOTE]],Tabla_control_serigrafia[LOTE],0)),"-")</f>
        <v>FRASCO BLANCO</v>
      </c>
      <c r="L168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68" s="28">
        <f>IFERROR(INDEX(Tabla_control_serigrafia[CANTIDAD PEDIDA],MATCH(Tabla_producción_serigrafia[[#This Row],[LOTE]],Tabla_control_serigrafia[LOTE],0)),"-")</f>
        <v>19802</v>
      </c>
      <c r="N168" s="29">
        <v>19900</v>
      </c>
      <c r="O168" s="26">
        <v>80</v>
      </c>
      <c r="P168" s="30"/>
      <c r="Q16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19900</v>
      </c>
      <c r="R168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68" s="32"/>
      <c r="T168" s="27" t="str">
        <f>UPPER(LEFT(TEXT(Tabla_producción_serigrafia[[#This Row],[FECHA]],"mmm"),3))</f>
        <v>ABR</v>
      </c>
      <c r="U168" s="27">
        <f>+Tabla_producción_serigrafia[[#This Row],[CANTIDAD PRODUCIDA]]+Tabla_producción_serigrafia[[#This Row],[CANTIDAD RECHAZADA]]</f>
        <v>19980</v>
      </c>
    </row>
    <row r="169" spans="1:21" x14ac:dyDescent="0.25">
      <c r="A169" s="10">
        <v>46134</v>
      </c>
      <c r="B169" s="10" t="s">
        <v>58</v>
      </c>
      <c r="C169" s="1" t="s">
        <v>75</v>
      </c>
      <c r="D169" s="22">
        <v>0.83333333333333337</v>
      </c>
      <c r="E169" s="23">
        <v>0.85416666666666663</v>
      </c>
      <c r="F169" s="24">
        <f t="shared" si="33"/>
        <v>0.5</v>
      </c>
      <c r="G169" s="25" t="s">
        <v>57</v>
      </c>
      <c r="H169" s="26">
        <v>42648</v>
      </c>
      <c r="I169" s="7" t="str">
        <f>IFERROR(INDEX(Tabla_control_serigrafia[PRODUCTO],MATCH(Tabla_producción_serigrafia[[#This Row],[LOTE]],Tabla_control_serigrafia[LOTE],0)),"-")</f>
        <v>DEXTROMETORFANO 10 MG X 100 ML JARABE</v>
      </c>
      <c r="J169" s="27" t="str">
        <f>IFERROR(INDEX(Tabla_control_serigrafia[FORMATO DE FRASCO],MATCH(Tabla_producción_serigrafia[[#This Row],[LOTE]],Tabla_control_serigrafia[LOTE],0)),"-")</f>
        <v>120 ML</v>
      </c>
      <c r="K169" s="27" t="str">
        <f>IFERROR(INDEX(Tabla_control_serigrafia[TIPO DE FRASCO],MATCH(Tabla_producción_serigrafia[[#This Row],[LOTE]],Tabla_control_serigrafia[LOTE],0)),"-")</f>
        <v>FRASCO BLANCO</v>
      </c>
      <c r="L169" t="str">
        <f>IF(Tabla_producción_serigrafia[[#This Row],[ACCIÓN]]="PRODUCCIÓN",Tabla_producción_serigrafia[[#This Row],[FORMATO DE FRASCO]]&amp;" "&amp;Tabla_producción_serigrafia[[#This Row],[TIPO DE FRASCO]],"-")</f>
        <v>-</v>
      </c>
      <c r="M169" s="28">
        <f>IFERROR(INDEX(Tabla_control_serigrafia[CANTIDAD PEDIDA],MATCH(Tabla_producción_serigrafia[[#This Row],[LOTE]],Tabla_control_serigrafia[LOTE],0)),"-")</f>
        <v>29703</v>
      </c>
      <c r="N169" s="29">
        <v>0</v>
      </c>
      <c r="O169" s="26">
        <v>0</v>
      </c>
      <c r="P169" s="30"/>
      <c r="Q16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69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69" s="32" t="s">
        <v>63</v>
      </c>
      <c r="T169" s="27" t="str">
        <f>UPPER(LEFT(TEXT(Tabla_producción_serigrafia[[#This Row],[FECHA]],"mmm"),3))</f>
        <v>ABR</v>
      </c>
      <c r="U169" s="27">
        <f>+Tabla_producción_serigrafia[[#This Row],[CANTIDAD PRODUCIDA]]+Tabla_producción_serigrafia[[#This Row],[CANTIDAD RECHAZADA]]</f>
        <v>0</v>
      </c>
    </row>
    <row r="170" spans="1:21" x14ac:dyDescent="0.25">
      <c r="A170" s="10">
        <v>46134</v>
      </c>
      <c r="B170" s="10" t="s">
        <v>58</v>
      </c>
      <c r="C170" s="1" t="s">
        <v>75</v>
      </c>
      <c r="D170" s="22">
        <v>0.85416666666666663</v>
      </c>
      <c r="E170" s="23">
        <v>0.33333333333333331</v>
      </c>
      <c r="F170" s="24">
        <f t="shared" si="33"/>
        <v>-12.5</v>
      </c>
      <c r="G170" s="25" t="s">
        <v>56</v>
      </c>
      <c r="H170" s="26">
        <v>42648</v>
      </c>
      <c r="I170" s="7" t="str">
        <f>IFERROR(INDEX(Tabla_control_serigrafia[PRODUCTO],MATCH(Tabla_producción_serigrafia[[#This Row],[LOTE]],Tabla_control_serigrafia[LOTE],0)),"-")</f>
        <v>DEXTROMETORFANO 10 MG X 100 ML JARABE</v>
      </c>
      <c r="J170" s="27" t="str">
        <f>IFERROR(INDEX(Tabla_control_serigrafia[FORMATO DE FRASCO],MATCH(Tabla_producción_serigrafia[[#This Row],[LOTE]],Tabla_control_serigrafia[LOTE],0)),"-")</f>
        <v>120 ML</v>
      </c>
      <c r="K170" s="27" t="str">
        <f>IFERROR(INDEX(Tabla_control_serigrafia[TIPO DE FRASCO],MATCH(Tabla_producción_serigrafia[[#This Row],[LOTE]],Tabla_control_serigrafia[LOTE],0)),"-")</f>
        <v>FRASCO BLANCO</v>
      </c>
      <c r="L170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70" s="28">
        <f>IFERROR(INDEX(Tabla_control_serigrafia[CANTIDAD PEDIDA],MATCH(Tabla_producción_serigrafia[[#This Row],[LOTE]],Tabla_control_serigrafia[LOTE],0)),"-")</f>
        <v>29703</v>
      </c>
      <c r="N170" s="29">
        <v>22500</v>
      </c>
      <c r="O170" s="26">
        <v>0</v>
      </c>
      <c r="P170" s="30"/>
      <c r="Q170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22500</v>
      </c>
      <c r="R170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70" s="32"/>
      <c r="T170" s="27" t="str">
        <f>UPPER(LEFT(TEXT(Tabla_producción_serigrafia[[#This Row],[FECHA]],"mmm"),3))</f>
        <v>ABR</v>
      </c>
      <c r="U170" s="27">
        <f>+Tabla_producción_serigrafia[[#This Row],[CANTIDAD PRODUCIDA]]+Tabla_producción_serigrafia[[#This Row],[CANTIDAD RECHAZADA]]</f>
        <v>22500</v>
      </c>
    </row>
    <row r="171" spans="1:21" x14ac:dyDescent="0.25">
      <c r="A171" s="10">
        <v>46135</v>
      </c>
      <c r="B171" s="10" t="s">
        <v>58</v>
      </c>
      <c r="C171" s="1" t="s">
        <v>75</v>
      </c>
      <c r="D171" s="22">
        <v>0.33333333333333331</v>
      </c>
      <c r="E171" s="23">
        <v>0.35416666666666669</v>
      </c>
      <c r="F171" s="24">
        <f t="shared" ref="F171:F176" si="34">ROUND((E171-D171)*24,2)</f>
        <v>0.5</v>
      </c>
      <c r="G171" s="25" t="s">
        <v>57</v>
      </c>
      <c r="H171" s="26">
        <v>42648</v>
      </c>
      <c r="I171" s="7" t="str">
        <f>IFERROR(INDEX(Tabla_control_serigrafia[PRODUCTO],MATCH(Tabla_producción_serigrafia[[#This Row],[LOTE]],Tabla_control_serigrafia[LOTE],0)),"-")</f>
        <v>DEXTROMETORFANO 10 MG X 100 ML JARABE</v>
      </c>
      <c r="J171" s="27" t="str">
        <f>IFERROR(INDEX(Tabla_control_serigrafia[FORMATO DE FRASCO],MATCH(Tabla_producción_serigrafia[[#This Row],[LOTE]],Tabla_control_serigrafia[LOTE],0)),"-")</f>
        <v>120 ML</v>
      </c>
      <c r="K171" s="27" t="str">
        <f>IFERROR(INDEX(Tabla_control_serigrafia[TIPO DE FRASCO],MATCH(Tabla_producción_serigrafia[[#This Row],[LOTE]],Tabla_control_serigrafia[LOTE],0)),"-")</f>
        <v>FRASCO BLANCO</v>
      </c>
      <c r="L171" t="str">
        <f>IF(Tabla_producción_serigrafia[[#This Row],[ACCIÓN]]="PRODUCCIÓN",Tabla_producción_serigrafia[[#This Row],[FORMATO DE FRASCO]]&amp;" "&amp;Tabla_producción_serigrafia[[#This Row],[TIPO DE FRASCO]],"-")</f>
        <v>-</v>
      </c>
      <c r="M171" s="28">
        <f>IFERROR(INDEX(Tabla_control_serigrafia[CANTIDAD PEDIDA],MATCH(Tabla_producción_serigrafia[[#This Row],[LOTE]],Tabla_control_serigrafia[LOTE],0)),"-")</f>
        <v>29703</v>
      </c>
      <c r="N171" s="29">
        <v>0</v>
      </c>
      <c r="O171" s="26">
        <v>0</v>
      </c>
      <c r="P171" s="30"/>
      <c r="Q171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71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71" s="32" t="s">
        <v>63</v>
      </c>
      <c r="T171" s="27" t="str">
        <f>UPPER(LEFT(TEXT(Tabla_producción_serigrafia[[#This Row],[FECHA]],"mmm"),3))</f>
        <v>ABR</v>
      </c>
      <c r="U171" s="27">
        <f>+Tabla_producción_serigrafia[[#This Row],[CANTIDAD PRODUCIDA]]+Tabla_producción_serigrafia[[#This Row],[CANTIDAD RECHAZADA]]</f>
        <v>0</v>
      </c>
    </row>
    <row r="172" spans="1:21" x14ac:dyDescent="0.25">
      <c r="A172" s="10">
        <v>46135</v>
      </c>
      <c r="B172" s="10" t="s">
        <v>58</v>
      </c>
      <c r="C172" s="1" t="s">
        <v>75</v>
      </c>
      <c r="D172" s="22">
        <v>0.35416666666666669</v>
      </c>
      <c r="E172" s="23">
        <v>0.45833333333333331</v>
      </c>
      <c r="F172" s="24">
        <f t="shared" si="34"/>
        <v>2.5</v>
      </c>
      <c r="G172" s="25" t="s">
        <v>56</v>
      </c>
      <c r="H172" s="26">
        <v>42648</v>
      </c>
      <c r="I172" s="7" t="str">
        <f>IFERROR(INDEX(Tabla_control_serigrafia[PRODUCTO],MATCH(Tabla_producción_serigrafia[[#This Row],[LOTE]],Tabla_control_serigrafia[LOTE],0)),"-")</f>
        <v>DEXTROMETORFANO 10 MG X 100 ML JARABE</v>
      </c>
      <c r="J172" s="27" t="str">
        <f>IFERROR(INDEX(Tabla_control_serigrafia[FORMATO DE FRASCO],MATCH(Tabla_producción_serigrafia[[#This Row],[LOTE]],Tabla_control_serigrafia[LOTE],0)),"-")</f>
        <v>120 ML</v>
      </c>
      <c r="K172" s="27" t="str">
        <f>IFERROR(INDEX(Tabla_control_serigrafia[TIPO DE FRASCO],MATCH(Tabla_producción_serigrafia[[#This Row],[LOTE]],Tabla_control_serigrafia[LOTE],0)),"-")</f>
        <v>FRASCO BLANCO</v>
      </c>
      <c r="L172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72" s="28">
        <f>IFERROR(INDEX(Tabla_control_serigrafia[CANTIDAD PEDIDA],MATCH(Tabla_producción_serigrafia[[#This Row],[LOTE]],Tabla_control_serigrafia[LOTE],0)),"-")</f>
        <v>29703</v>
      </c>
      <c r="N172" s="29">
        <v>7350</v>
      </c>
      <c r="O172" s="26">
        <v>158</v>
      </c>
      <c r="P172" s="30"/>
      <c r="Q172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7350</v>
      </c>
      <c r="R172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72" s="32"/>
      <c r="T172" s="27" t="str">
        <f>UPPER(LEFT(TEXT(Tabla_producción_serigrafia[[#This Row],[FECHA]],"mmm"),3))</f>
        <v>ABR</v>
      </c>
      <c r="U172" s="27">
        <f>+Tabla_producción_serigrafia[[#This Row],[CANTIDAD PRODUCIDA]]+Tabla_producción_serigrafia[[#This Row],[CANTIDAD RECHAZADA]]</f>
        <v>7508</v>
      </c>
    </row>
    <row r="173" spans="1:21" x14ac:dyDescent="0.25">
      <c r="A173" s="10">
        <v>46135</v>
      </c>
      <c r="B173" s="10" t="s">
        <v>58</v>
      </c>
      <c r="C173" s="1" t="s">
        <v>75</v>
      </c>
      <c r="D173" s="22">
        <v>0.45833333333333331</v>
      </c>
      <c r="E173" s="23">
        <v>0.47916666666666669</v>
      </c>
      <c r="F173" s="24">
        <f t="shared" si="34"/>
        <v>0.5</v>
      </c>
      <c r="G173" s="25" t="s">
        <v>57</v>
      </c>
      <c r="H173" s="26">
        <v>42649</v>
      </c>
      <c r="I173" s="7" t="str">
        <f>IFERROR(INDEX(Tabla_control_serigrafia[PRODUCTO],MATCH(Tabla_producción_serigrafia[[#This Row],[LOTE]],Tabla_control_serigrafia[LOTE],0)),"-")</f>
        <v>DEXTROMETORFANO 10 MG X 100 ML JARABE</v>
      </c>
      <c r="J173" s="27" t="str">
        <f>IFERROR(INDEX(Tabla_control_serigrafia[FORMATO DE FRASCO],MATCH(Tabla_producción_serigrafia[[#This Row],[LOTE]],Tabla_control_serigrafia[LOTE],0)),"-")</f>
        <v>120 ML</v>
      </c>
      <c r="K173" s="27" t="str">
        <f>IFERROR(INDEX(Tabla_control_serigrafia[TIPO DE FRASCO],MATCH(Tabla_producción_serigrafia[[#This Row],[LOTE]],Tabla_control_serigrafia[LOTE],0)),"-")</f>
        <v>FRASCO BLANCO</v>
      </c>
      <c r="L173" t="str">
        <f>IF(Tabla_producción_serigrafia[[#This Row],[ACCIÓN]]="PRODUCCIÓN",Tabla_producción_serigrafia[[#This Row],[FORMATO DE FRASCO]]&amp;" "&amp;Tabla_producción_serigrafia[[#This Row],[TIPO DE FRASCO]],"-")</f>
        <v>-</v>
      </c>
      <c r="M173" s="28">
        <f>IFERROR(INDEX(Tabla_control_serigrafia[CANTIDAD PEDIDA],MATCH(Tabla_producción_serigrafia[[#This Row],[LOTE]],Tabla_control_serigrafia[LOTE],0)),"-")</f>
        <v>29703</v>
      </c>
      <c r="N173" s="29">
        <v>0</v>
      </c>
      <c r="O173" s="26">
        <v>0</v>
      </c>
      <c r="P173" s="30"/>
      <c r="Q173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73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73" s="32" t="s">
        <v>63</v>
      </c>
      <c r="T173" s="27" t="str">
        <f>UPPER(LEFT(TEXT(Tabla_producción_serigrafia[[#This Row],[FECHA]],"mmm"),3))</f>
        <v>ABR</v>
      </c>
      <c r="U173" s="27">
        <f>+Tabla_producción_serigrafia[[#This Row],[CANTIDAD PRODUCIDA]]+Tabla_producción_serigrafia[[#This Row],[CANTIDAD RECHAZADA]]</f>
        <v>0</v>
      </c>
    </row>
    <row r="174" spans="1:21" x14ac:dyDescent="0.25">
      <c r="A174" s="10">
        <v>46135</v>
      </c>
      <c r="B174" s="10" t="s">
        <v>58</v>
      </c>
      <c r="C174" s="1" t="s">
        <v>75</v>
      </c>
      <c r="D174" s="22">
        <v>0.47916666666666669</v>
      </c>
      <c r="E174" s="23">
        <v>0.16666666666666666</v>
      </c>
      <c r="F174" s="24">
        <f t="shared" si="34"/>
        <v>-7.5</v>
      </c>
      <c r="G174" s="25" t="s">
        <v>56</v>
      </c>
      <c r="H174" s="26">
        <v>42649</v>
      </c>
      <c r="I174" s="7" t="str">
        <f>IFERROR(INDEX(Tabla_control_serigrafia[PRODUCTO],MATCH(Tabla_producción_serigrafia[[#This Row],[LOTE]],Tabla_control_serigrafia[LOTE],0)),"-")</f>
        <v>DEXTROMETORFANO 10 MG X 100 ML JARABE</v>
      </c>
      <c r="J174" s="27" t="str">
        <f>IFERROR(INDEX(Tabla_control_serigrafia[FORMATO DE FRASCO],MATCH(Tabla_producción_serigrafia[[#This Row],[LOTE]],Tabla_control_serigrafia[LOTE],0)),"-")</f>
        <v>120 ML</v>
      </c>
      <c r="K174" s="27" t="str">
        <f>IFERROR(INDEX(Tabla_control_serigrafia[TIPO DE FRASCO],MATCH(Tabla_producción_serigrafia[[#This Row],[LOTE]],Tabla_control_serigrafia[LOTE],0)),"-")</f>
        <v>FRASCO BLANCO</v>
      </c>
      <c r="L174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74" s="28">
        <f>IFERROR(INDEX(Tabla_control_serigrafia[CANTIDAD PEDIDA],MATCH(Tabla_producción_serigrafia[[#This Row],[LOTE]],Tabla_control_serigrafia[LOTE],0)),"-")</f>
        <v>29703</v>
      </c>
      <c r="N174" s="29">
        <v>29850</v>
      </c>
      <c r="O174" s="26">
        <v>185</v>
      </c>
      <c r="P174" s="30"/>
      <c r="Q174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29850</v>
      </c>
      <c r="R174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74" s="32"/>
      <c r="T174" s="27" t="str">
        <f>UPPER(LEFT(TEXT(Tabla_producción_serigrafia[[#This Row],[FECHA]],"mmm"),3))</f>
        <v>ABR</v>
      </c>
      <c r="U174" s="27">
        <f>+Tabla_producción_serigrafia[[#This Row],[CANTIDAD PRODUCIDA]]+Tabla_producción_serigrafia[[#This Row],[CANTIDAD RECHAZADA]]</f>
        <v>30035</v>
      </c>
    </row>
    <row r="175" spans="1:21" x14ac:dyDescent="0.25">
      <c r="A175" s="10">
        <v>46135</v>
      </c>
      <c r="B175" s="10" t="s">
        <v>58</v>
      </c>
      <c r="C175" s="1" t="s">
        <v>75</v>
      </c>
      <c r="D175" s="22">
        <v>0.16666666666666666</v>
      </c>
      <c r="E175" s="23">
        <v>0.1875</v>
      </c>
      <c r="F175" s="24">
        <f t="shared" si="34"/>
        <v>0.5</v>
      </c>
      <c r="G175" s="25" t="s">
        <v>57</v>
      </c>
      <c r="H175" s="26">
        <v>42650</v>
      </c>
      <c r="I175" s="7" t="str">
        <f>IFERROR(INDEX(Tabla_control_serigrafia[PRODUCTO],MATCH(Tabla_producción_serigrafia[[#This Row],[LOTE]],Tabla_control_serigrafia[LOTE],0)),"-")</f>
        <v>DEXTROMETORFANO 10 MG X 100 ML JARABE</v>
      </c>
      <c r="J175" s="27" t="str">
        <f>IFERROR(INDEX(Tabla_control_serigrafia[FORMATO DE FRASCO],MATCH(Tabla_producción_serigrafia[[#This Row],[LOTE]],Tabla_control_serigrafia[LOTE],0)),"-")</f>
        <v>120 ML</v>
      </c>
      <c r="K175" s="27" t="str">
        <f>IFERROR(INDEX(Tabla_control_serigrafia[TIPO DE FRASCO],MATCH(Tabla_producción_serigrafia[[#This Row],[LOTE]],Tabla_control_serigrafia[LOTE],0)),"-")</f>
        <v>FRASCO BLANCO</v>
      </c>
      <c r="L175" t="str">
        <f>IF(Tabla_producción_serigrafia[[#This Row],[ACCIÓN]]="PRODUCCIÓN",Tabla_producción_serigrafia[[#This Row],[FORMATO DE FRASCO]]&amp;" "&amp;Tabla_producción_serigrafia[[#This Row],[TIPO DE FRASCO]],"-")</f>
        <v>-</v>
      </c>
      <c r="M175" s="28">
        <f>IFERROR(INDEX(Tabla_control_serigrafia[CANTIDAD PEDIDA],MATCH(Tabla_producción_serigrafia[[#This Row],[LOTE]],Tabla_control_serigrafia[LOTE],0)),"-")</f>
        <v>29703</v>
      </c>
      <c r="N175" s="29">
        <v>0</v>
      </c>
      <c r="O175" s="26">
        <v>0</v>
      </c>
      <c r="P175" s="30"/>
      <c r="Q175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75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75" s="32" t="s">
        <v>63</v>
      </c>
      <c r="T175" s="27" t="str">
        <f>UPPER(LEFT(TEXT(Tabla_producción_serigrafia[[#This Row],[FECHA]],"mmm"),3))</f>
        <v>ABR</v>
      </c>
      <c r="U175" s="27">
        <f>+Tabla_producción_serigrafia[[#This Row],[CANTIDAD PRODUCIDA]]+Tabla_producción_serigrafia[[#This Row],[CANTIDAD RECHAZADA]]</f>
        <v>0</v>
      </c>
    </row>
    <row r="176" spans="1:21" x14ac:dyDescent="0.25">
      <c r="A176" s="10">
        <v>46135</v>
      </c>
      <c r="B176" s="10" t="s">
        <v>58</v>
      </c>
      <c r="C176" s="1" t="s">
        <v>75</v>
      </c>
      <c r="D176" s="22">
        <v>0.1875</v>
      </c>
      <c r="E176" s="23">
        <v>0.33333333333333331</v>
      </c>
      <c r="F176" s="24">
        <f t="shared" si="34"/>
        <v>3.5</v>
      </c>
      <c r="G176" s="25" t="s">
        <v>56</v>
      </c>
      <c r="H176" s="26">
        <v>42650</v>
      </c>
      <c r="I176" s="7" t="str">
        <f>IFERROR(INDEX(Tabla_control_serigrafia[PRODUCTO],MATCH(Tabla_producción_serigrafia[[#This Row],[LOTE]],Tabla_control_serigrafia[LOTE],0)),"-")</f>
        <v>DEXTROMETORFANO 10 MG X 100 ML JARABE</v>
      </c>
      <c r="J176" s="27" t="str">
        <f>IFERROR(INDEX(Tabla_control_serigrafia[FORMATO DE FRASCO],MATCH(Tabla_producción_serigrafia[[#This Row],[LOTE]],Tabla_control_serigrafia[LOTE],0)),"-")</f>
        <v>120 ML</v>
      </c>
      <c r="K176" s="27" t="str">
        <f>IFERROR(INDEX(Tabla_control_serigrafia[TIPO DE FRASCO],MATCH(Tabla_producción_serigrafia[[#This Row],[LOTE]],Tabla_control_serigrafia[LOTE],0)),"-")</f>
        <v>FRASCO BLANCO</v>
      </c>
      <c r="L176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76" s="28">
        <f>IFERROR(INDEX(Tabla_control_serigrafia[CANTIDAD PEDIDA],MATCH(Tabla_producción_serigrafia[[#This Row],[LOTE]],Tabla_control_serigrafia[LOTE],0)),"-")</f>
        <v>29703</v>
      </c>
      <c r="N176" s="29">
        <v>14000</v>
      </c>
      <c r="O176" s="26">
        <v>0</v>
      </c>
      <c r="P176" s="30" t="s">
        <v>66</v>
      </c>
      <c r="Q176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14000</v>
      </c>
      <c r="R176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76" s="32"/>
      <c r="T176" s="27" t="str">
        <f>UPPER(LEFT(TEXT(Tabla_producción_serigrafia[[#This Row],[FECHA]],"mmm"),3))</f>
        <v>ABR</v>
      </c>
      <c r="U176" s="27">
        <f>+Tabla_producción_serigrafia[[#This Row],[CANTIDAD PRODUCIDA]]+Tabla_producción_serigrafia[[#This Row],[CANTIDAD RECHAZADA]]</f>
        <v>14000</v>
      </c>
    </row>
    <row r="177" spans="1:21" x14ac:dyDescent="0.25">
      <c r="A177" s="10">
        <v>46136</v>
      </c>
      <c r="B177" s="10" t="s">
        <v>58</v>
      </c>
      <c r="C177" s="1" t="s">
        <v>75</v>
      </c>
      <c r="D177" s="22">
        <v>0.33333333333333331</v>
      </c>
      <c r="E177" s="23">
        <v>0.34722222222222227</v>
      </c>
      <c r="F177" s="24">
        <f t="shared" ref="F177:F180" si="35">ROUND((E177-D177)*24,2)</f>
        <v>0.33</v>
      </c>
      <c r="G177" s="25" t="s">
        <v>57</v>
      </c>
      <c r="H177" s="26">
        <v>42650</v>
      </c>
      <c r="I177" s="7" t="str">
        <f>IFERROR(INDEX(Tabla_control_serigrafia[PRODUCTO],MATCH(Tabla_producción_serigrafia[[#This Row],[LOTE]],Tabla_control_serigrafia[LOTE],0)),"-")</f>
        <v>DEXTROMETORFANO 10 MG X 100 ML JARABE</v>
      </c>
      <c r="J177" s="27" t="str">
        <f>IFERROR(INDEX(Tabla_control_serigrafia[FORMATO DE FRASCO],MATCH(Tabla_producción_serigrafia[[#This Row],[LOTE]],Tabla_control_serigrafia[LOTE],0)),"-")</f>
        <v>120 ML</v>
      </c>
      <c r="K177" s="27" t="str">
        <f>IFERROR(INDEX(Tabla_control_serigrafia[TIPO DE FRASCO],MATCH(Tabla_producción_serigrafia[[#This Row],[LOTE]],Tabla_control_serigrafia[LOTE],0)),"-")</f>
        <v>FRASCO BLANCO</v>
      </c>
      <c r="L177" t="str">
        <f>IF(Tabla_producción_serigrafia[[#This Row],[ACCIÓN]]="PRODUCCIÓN",Tabla_producción_serigrafia[[#This Row],[FORMATO DE FRASCO]]&amp;" "&amp;Tabla_producción_serigrafia[[#This Row],[TIPO DE FRASCO]],"-")</f>
        <v>-</v>
      </c>
      <c r="M177" s="28">
        <f>IFERROR(INDEX(Tabla_control_serigrafia[CANTIDAD PEDIDA],MATCH(Tabla_producción_serigrafia[[#This Row],[LOTE]],Tabla_control_serigrafia[LOTE],0)),"-")</f>
        <v>29703</v>
      </c>
      <c r="N177" s="29">
        <v>0</v>
      </c>
      <c r="O177" s="26">
        <v>0</v>
      </c>
      <c r="P177" s="30"/>
      <c r="Q17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77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77" s="32" t="s">
        <v>63</v>
      </c>
      <c r="T177" s="27" t="str">
        <f>UPPER(LEFT(TEXT(Tabla_producción_serigrafia[[#This Row],[FECHA]],"mmm"),3))</f>
        <v>ABR</v>
      </c>
      <c r="U177" s="27">
        <f>+Tabla_producción_serigrafia[[#This Row],[CANTIDAD PRODUCIDA]]+Tabla_producción_serigrafia[[#This Row],[CANTIDAD RECHAZADA]]</f>
        <v>0</v>
      </c>
    </row>
    <row r="178" spans="1:21" x14ac:dyDescent="0.25">
      <c r="A178" s="10">
        <v>46136</v>
      </c>
      <c r="B178" s="10" t="s">
        <v>58</v>
      </c>
      <c r="C178" s="1" t="s">
        <v>75</v>
      </c>
      <c r="D178" s="22">
        <v>0.34722222222222227</v>
      </c>
      <c r="E178" s="23">
        <v>0.64583333333333337</v>
      </c>
      <c r="F178" s="24">
        <f t="shared" si="35"/>
        <v>7.17</v>
      </c>
      <c r="G178" s="25" t="s">
        <v>56</v>
      </c>
      <c r="H178" s="26">
        <v>42650</v>
      </c>
      <c r="I178" s="7" t="str">
        <f>IFERROR(INDEX(Tabla_control_serigrafia[PRODUCTO],MATCH(Tabla_producción_serigrafia[[#This Row],[LOTE]],Tabla_control_serigrafia[LOTE],0)),"-")</f>
        <v>DEXTROMETORFANO 10 MG X 100 ML JARABE</v>
      </c>
      <c r="J178" s="27" t="str">
        <f>IFERROR(INDEX(Tabla_control_serigrafia[FORMATO DE FRASCO],MATCH(Tabla_producción_serigrafia[[#This Row],[LOTE]],Tabla_control_serigrafia[LOTE],0)),"-")</f>
        <v>120 ML</v>
      </c>
      <c r="K178" s="27" t="str">
        <f>IFERROR(INDEX(Tabla_control_serigrafia[TIPO DE FRASCO],MATCH(Tabla_producción_serigrafia[[#This Row],[LOTE]],Tabla_control_serigrafia[LOTE],0)),"-")</f>
        <v>FRASCO BLANCO</v>
      </c>
      <c r="L178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78" s="28">
        <f>IFERROR(INDEX(Tabla_control_serigrafia[CANTIDAD PEDIDA],MATCH(Tabla_producción_serigrafia[[#This Row],[LOTE]],Tabla_control_serigrafia[LOTE],0)),"-")</f>
        <v>29703</v>
      </c>
      <c r="N178" s="29">
        <v>15850</v>
      </c>
      <c r="O178" s="26">
        <v>140</v>
      </c>
      <c r="P178" s="30" t="s">
        <v>62</v>
      </c>
      <c r="Q17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15850</v>
      </c>
      <c r="R178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23</v>
      </c>
      <c r="S178" s="32"/>
      <c r="T178" s="27" t="str">
        <f>UPPER(LEFT(TEXT(Tabla_producción_serigrafia[[#This Row],[FECHA]],"mmm"),3))</f>
        <v>ABR</v>
      </c>
      <c r="U178" s="27">
        <f>+Tabla_producción_serigrafia[[#This Row],[CANTIDAD PRODUCIDA]]+Tabla_producción_serigrafia[[#This Row],[CANTIDAD RECHAZADA]]</f>
        <v>15990</v>
      </c>
    </row>
    <row r="179" spans="1:21" x14ac:dyDescent="0.25">
      <c r="A179" s="10">
        <v>46136</v>
      </c>
      <c r="B179" s="10" t="s">
        <v>58</v>
      </c>
      <c r="C179" s="1" t="s">
        <v>75</v>
      </c>
      <c r="D179" s="22">
        <v>0.64583333333333337</v>
      </c>
      <c r="E179" s="23">
        <v>0.66666666666666663</v>
      </c>
      <c r="F179" s="24">
        <f t="shared" si="35"/>
        <v>0.5</v>
      </c>
      <c r="G179" s="25" t="s">
        <v>57</v>
      </c>
      <c r="H179" s="26">
        <v>42651</v>
      </c>
      <c r="I179" s="7" t="str">
        <f>IFERROR(INDEX(Tabla_control_serigrafia[PRODUCTO],MATCH(Tabla_producción_serigrafia[[#This Row],[LOTE]],Tabla_control_serigrafia[LOTE],0)),"-")</f>
        <v>DEXTROMETORFANO 10 MG X 100 ML JARABE</v>
      </c>
      <c r="J179" s="27" t="str">
        <f>IFERROR(INDEX(Tabla_control_serigrafia[FORMATO DE FRASCO],MATCH(Tabla_producción_serigrafia[[#This Row],[LOTE]],Tabla_control_serigrafia[LOTE],0)),"-")</f>
        <v>120 ML</v>
      </c>
      <c r="K179" s="27" t="str">
        <f>IFERROR(INDEX(Tabla_control_serigrafia[TIPO DE FRASCO],MATCH(Tabla_producción_serigrafia[[#This Row],[LOTE]],Tabla_control_serigrafia[LOTE],0)),"-")</f>
        <v>FRASCO BLANCO</v>
      </c>
      <c r="L179" t="str">
        <f>IF(Tabla_producción_serigrafia[[#This Row],[ACCIÓN]]="PRODUCCIÓN",Tabla_producción_serigrafia[[#This Row],[FORMATO DE FRASCO]]&amp;" "&amp;Tabla_producción_serigrafia[[#This Row],[TIPO DE FRASCO]],"-")</f>
        <v>-</v>
      </c>
      <c r="M179" s="28">
        <f>IFERROR(INDEX(Tabla_control_serigrafia[CANTIDAD PEDIDA],MATCH(Tabla_producción_serigrafia[[#This Row],[LOTE]],Tabla_control_serigrafia[LOTE],0)),"-")</f>
        <v>29703</v>
      </c>
      <c r="N179" s="29">
        <v>0</v>
      </c>
      <c r="O179" s="26">
        <v>0</v>
      </c>
      <c r="P179" s="30"/>
      <c r="Q17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79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79" s="32" t="s">
        <v>63</v>
      </c>
      <c r="T179" s="27" t="str">
        <f>UPPER(LEFT(TEXT(Tabla_producción_serigrafia[[#This Row],[FECHA]],"mmm"),3))</f>
        <v>ABR</v>
      </c>
      <c r="U179" s="27">
        <f>+Tabla_producción_serigrafia[[#This Row],[CANTIDAD PRODUCIDA]]+Tabla_producción_serigrafia[[#This Row],[CANTIDAD RECHAZADA]]</f>
        <v>0</v>
      </c>
    </row>
    <row r="180" spans="1:21" x14ac:dyDescent="0.25">
      <c r="A180" s="10">
        <v>46136</v>
      </c>
      <c r="B180" s="10" t="s">
        <v>58</v>
      </c>
      <c r="C180" s="1" t="s">
        <v>75</v>
      </c>
      <c r="D180" s="22">
        <v>0.66666666666666663</v>
      </c>
      <c r="E180" s="23">
        <v>0.33333333333333331</v>
      </c>
      <c r="F180" s="24">
        <f t="shared" si="35"/>
        <v>-8</v>
      </c>
      <c r="G180" s="25" t="s">
        <v>56</v>
      </c>
      <c r="H180" s="26">
        <v>42651</v>
      </c>
      <c r="I180" s="7" t="str">
        <f>IFERROR(INDEX(Tabla_control_serigrafia[PRODUCTO],MATCH(Tabla_producción_serigrafia[[#This Row],[LOTE]],Tabla_control_serigrafia[LOTE],0)),"-")</f>
        <v>DEXTROMETORFANO 10 MG X 100 ML JARABE</v>
      </c>
      <c r="J180" s="27" t="str">
        <f>IFERROR(INDEX(Tabla_control_serigrafia[FORMATO DE FRASCO],MATCH(Tabla_producción_serigrafia[[#This Row],[LOTE]],Tabla_control_serigrafia[LOTE],0)),"-")</f>
        <v>120 ML</v>
      </c>
      <c r="K180" s="27" t="str">
        <f>IFERROR(INDEX(Tabla_control_serigrafia[TIPO DE FRASCO],MATCH(Tabla_producción_serigrafia[[#This Row],[LOTE]],Tabla_control_serigrafia[LOTE],0)),"-")</f>
        <v>FRASCO BLANCO</v>
      </c>
      <c r="L180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80" s="28">
        <f>IFERROR(INDEX(Tabla_control_serigrafia[CANTIDAD PEDIDA],MATCH(Tabla_producción_serigrafia[[#This Row],[LOTE]],Tabla_control_serigrafia[LOTE],0)),"-")</f>
        <v>29703</v>
      </c>
      <c r="N180" s="29">
        <v>29850</v>
      </c>
      <c r="O180" s="26">
        <v>161</v>
      </c>
      <c r="P180" s="30"/>
      <c r="Q180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29850</v>
      </c>
      <c r="R180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0" s="32"/>
      <c r="T180" s="27" t="str">
        <f>UPPER(LEFT(TEXT(Tabla_producción_serigrafia[[#This Row],[FECHA]],"mmm"),3))</f>
        <v>ABR</v>
      </c>
      <c r="U180" s="27">
        <f>+Tabla_producción_serigrafia[[#This Row],[CANTIDAD PRODUCIDA]]+Tabla_producción_serigrafia[[#This Row],[CANTIDAD RECHAZADA]]</f>
        <v>30011</v>
      </c>
    </row>
    <row r="181" spans="1:21" x14ac:dyDescent="0.25">
      <c r="A181" s="10">
        <v>46139</v>
      </c>
      <c r="B181" s="10" t="s">
        <v>58</v>
      </c>
      <c r="C181" s="1" t="s">
        <v>75</v>
      </c>
      <c r="D181" s="22">
        <v>0.33333333333333331</v>
      </c>
      <c r="E181" s="23">
        <v>0.35416666666666669</v>
      </c>
      <c r="F181" s="24">
        <f t="shared" ref="F181:F182" si="36">ROUND((E181-D181)*24,2)</f>
        <v>0.5</v>
      </c>
      <c r="G181" s="25" t="s">
        <v>57</v>
      </c>
      <c r="H181" s="26">
        <v>42652</v>
      </c>
      <c r="I181" s="7" t="str">
        <f>IFERROR(INDEX(Tabla_control_serigrafia[PRODUCTO],MATCH(Tabla_producción_serigrafia[[#This Row],[LOTE]],Tabla_control_serigrafia[LOTE],0)),"-")</f>
        <v>DEXTROMETORFANO 10 MG X 100 ML JARABE</v>
      </c>
      <c r="J181" s="27" t="str">
        <f>IFERROR(INDEX(Tabla_control_serigrafia[FORMATO DE FRASCO],MATCH(Tabla_producción_serigrafia[[#This Row],[LOTE]],Tabla_control_serigrafia[LOTE],0)),"-")</f>
        <v>120 ML</v>
      </c>
      <c r="K181" s="27" t="str">
        <f>IFERROR(INDEX(Tabla_control_serigrafia[TIPO DE FRASCO],MATCH(Tabla_producción_serigrafia[[#This Row],[LOTE]],Tabla_control_serigrafia[LOTE],0)),"-")</f>
        <v>FRASCO BLANCO</v>
      </c>
      <c r="L181" t="str">
        <f>IF(Tabla_producción_serigrafia[[#This Row],[ACCIÓN]]="PRODUCCIÓN",Tabla_producción_serigrafia[[#This Row],[FORMATO DE FRASCO]]&amp;" "&amp;Tabla_producción_serigrafia[[#This Row],[TIPO DE FRASCO]],"-")</f>
        <v>-</v>
      </c>
      <c r="M181" s="28">
        <f>IFERROR(INDEX(Tabla_control_serigrafia[CANTIDAD PEDIDA],MATCH(Tabla_producción_serigrafia[[#This Row],[LOTE]],Tabla_control_serigrafia[LOTE],0)),"-")</f>
        <v>29703</v>
      </c>
      <c r="N181" s="29">
        <v>0</v>
      </c>
      <c r="O181" s="26">
        <v>0</v>
      </c>
      <c r="P181" s="30"/>
      <c r="Q181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81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1" s="32" t="s">
        <v>63</v>
      </c>
      <c r="T181" s="27" t="str">
        <f>UPPER(LEFT(TEXT(Tabla_producción_serigrafia[[#This Row],[FECHA]],"mmm"),3))</f>
        <v>ABR</v>
      </c>
      <c r="U181" s="27">
        <f>+Tabla_producción_serigrafia[[#This Row],[CANTIDAD PRODUCIDA]]+Tabla_producción_serigrafia[[#This Row],[CANTIDAD RECHAZADA]]</f>
        <v>0</v>
      </c>
    </row>
    <row r="182" spans="1:21" x14ac:dyDescent="0.25">
      <c r="A182" s="10">
        <v>46139</v>
      </c>
      <c r="B182" s="10" t="s">
        <v>58</v>
      </c>
      <c r="C182" s="1" t="s">
        <v>75</v>
      </c>
      <c r="D182" s="22">
        <v>0.35416666666666669</v>
      </c>
      <c r="E182" s="23">
        <v>0.91666666666666663</v>
      </c>
      <c r="F182" s="24">
        <f t="shared" si="36"/>
        <v>13.5</v>
      </c>
      <c r="G182" s="25" t="s">
        <v>56</v>
      </c>
      <c r="H182" s="26">
        <v>42652</v>
      </c>
      <c r="I182" s="7" t="str">
        <f>IFERROR(INDEX(Tabla_control_serigrafia[PRODUCTO],MATCH(Tabla_producción_serigrafia[[#This Row],[LOTE]],Tabla_control_serigrafia[LOTE],0)),"-")</f>
        <v>DEXTROMETORFANO 10 MG X 100 ML JARABE</v>
      </c>
      <c r="J182" s="27" t="str">
        <f>IFERROR(INDEX(Tabla_control_serigrafia[FORMATO DE FRASCO],MATCH(Tabla_producción_serigrafia[[#This Row],[LOTE]],Tabla_control_serigrafia[LOTE],0)),"-")</f>
        <v>120 ML</v>
      </c>
      <c r="K182" s="27" t="str">
        <f>IFERROR(INDEX(Tabla_control_serigrafia[TIPO DE FRASCO],MATCH(Tabla_producción_serigrafia[[#This Row],[LOTE]],Tabla_control_serigrafia[LOTE],0)),"-")</f>
        <v>FRASCO BLANCO</v>
      </c>
      <c r="L182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82" s="28">
        <f>IFERROR(INDEX(Tabla_control_serigrafia[CANTIDAD PEDIDA],MATCH(Tabla_producción_serigrafia[[#This Row],[LOTE]],Tabla_control_serigrafia[LOTE],0)),"-")</f>
        <v>29703</v>
      </c>
      <c r="N182" s="29">
        <v>29850</v>
      </c>
      <c r="O182" s="26">
        <v>0</v>
      </c>
      <c r="P182" s="30"/>
      <c r="Q182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29850</v>
      </c>
      <c r="R182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2" s="32"/>
      <c r="T182" s="27" t="str">
        <f>UPPER(LEFT(TEXT(Tabla_producción_serigrafia[[#This Row],[FECHA]],"mmm"),3))</f>
        <v>ABR</v>
      </c>
      <c r="U182" s="27">
        <f>+Tabla_producción_serigrafia[[#This Row],[CANTIDAD PRODUCIDA]]+Tabla_producción_serigrafia[[#This Row],[CANTIDAD RECHAZADA]]</f>
        <v>29850</v>
      </c>
    </row>
    <row r="183" spans="1:21" x14ac:dyDescent="0.25">
      <c r="A183" s="10">
        <v>46140</v>
      </c>
      <c r="B183" s="10" t="s">
        <v>58</v>
      </c>
      <c r="C183" s="1" t="s">
        <v>75</v>
      </c>
      <c r="D183" s="22">
        <v>0.33333333333333331</v>
      </c>
      <c r="E183" s="23">
        <v>0.35416666666666669</v>
      </c>
      <c r="F183" s="24">
        <f t="shared" ref="F183:F189" si="37">ROUND((E183-D183)*24,2)</f>
        <v>0.5</v>
      </c>
      <c r="G183" s="25" t="s">
        <v>57</v>
      </c>
      <c r="H183" s="26">
        <v>42676</v>
      </c>
      <c r="I183" s="7" t="str">
        <f>IFERROR(INDEX(Tabla_control_serigrafia[PRODUCTO],MATCH(Tabla_producción_serigrafia[[#This Row],[LOTE]],Tabla_control_serigrafia[LOTE],0)),"-")</f>
        <v>DICLOXACILINA 250 MG X 100 ML POLVO PARA SUSP.</v>
      </c>
      <c r="J183" s="27" t="str">
        <f>IFERROR(INDEX(Tabla_control_serigrafia[FORMATO DE FRASCO],MATCH(Tabla_producción_serigrafia[[#This Row],[LOTE]],Tabla_control_serigrafia[LOTE],0)),"-")</f>
        <v>120 ML</v>
      </c>
      <c r="K183" s="27" t="str">
        <f>IFERROR(INDEX(Tabla_control_serigrafia[TIPO DE FRASCO],MATCH(Tabla_producción_serigrafia[[#This Row],[LOTE]],Tabla_control_serigrafia[LOTE],0)),"-")</f>
        <v>FRASCO NATURAL</v>
      </c>
      <c r="L183" t="str">
        <f>IF(Tabla_producción_serigrafia[[#This Row],[ACCIÓN]]="PRODUCCIÓN",Tabla_producción_serigrafia[[#This Row],[FORMATO DE FRASCO]]&amp;" "&amp;Tabla_producción_serigrafia[[#This Row],[TIPO DE FRASCO]],"-")</f>
        <v>-</v>
      </c>
      <c r="M183" s="28">
        <f>IFERROR(INDEX(Tabla_control_serigrafia[CANTIDAD PEDIDA],MATCH(Tabla_producción_serigrafia[[#This Row],[LOTE]],Tabla_control_serigrafia[LOTE],0)),"-")</f>
        <v>5100</v>
      </c>
      <c r="N183" s="29">
        <v>0</v>
      </c>
      <c r="O183" s="26">
        <v>0</v>
      </c>
      <c r="P183" s="30"/>
      <c r="Q183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83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3" s="32" t="s">
        <v>63</v>
      </c>
      <c r="T183" s="27" t="str">
        <f>UPPER(LEFT(TEXT(Tabla_producción_serigrafia[[#This Row],[FECHA]],"mmm"),3))</f>
        <v>ABR</v>
      </c>
      <c r="U183" s="27">
        <f>+Tabla_producción_serigrafia[[#This Row],[CANTIDAD PRODUCIDA]]+Tabla_producción_serigrafia[[#This Row],[CANTIDAD RECHAZADA]]</f>
        <v>0</v>
      </c>
    </row>
    <row r="184" spans="1:21" x14ac:dyDescent="0.25">
      <c r="A184" s="10">
        <v>46140</v>
      </c>
      <c r="B184" s="10" t="s">
        <v>58</v>
      </c>
      <c r="C184" s="1" t="s">
        <v>75</v>
      </c>
      <c r="D184" s="22">
        <v>0.35416666666666669</v>
      </c>
      <c r="E184" s="23">
        <v>0.45833333333333331</v>
      </c>
      <c r="F184" s="24">
        <f t="shared" si="37"/>
        <v>2.5</v>
      </c>
      <c r="G184" s="25" t="s">
        <v>56</v>
      </c>
      <c r="H184" s="26">
        <v>42676</v>
      </c>
      <c r="I184" s="7" t="str">
        <f>IFERROR(INDEX(Tabla_control_serigrafia[PRODUCTO],MATCH(Tabla_producción_serigrafia[[#This Row],[LOTE]],Tabla_control_serigrafia[LOTE],0)),"-")</f>
        <v>DICLOXACILINA 250 MG X 100 ML POLVO PARA SUSP.</v>
      </c>
      <c r="J184" s="27" t="str">
        <f>IFERROR(INDEX(Tabla_control_serigrafia[FORMATO DE FRASCO],MATCH(Tabla_producción_serigrafia[[#This Row],[LOTE]],Tabla_control_serigrafia[LOTE],0)),"-")</f>
        <v>120 ML</v>
      </c>
      <c r="K184" s="27" t="str">
        <f>IFERROR(INDEX(Tabla_control_serigrafia[TIPO DE FRASCO],MATCH(Tabla_producción_serigrafia[[#This Row],[LOTE]],Tabla_control_serigrafia[LOTE],0)),"-")</f>
        <v>FRASCO NATURAL</v>
      </c>
      <c r="L184" t="str">
        <f>IF(Tabla_producción_serigrafia[[#This Row],[ACCIÓN]]="PRODUCCIÓN",Tabla_producción_serigrafia[[#This Row],[FORMATO DE FRASCO]]&amp;" "&amp;Tabla_producción_serigrafia[[#This Row],[TIPO DE FRASCO]],"-")</f>
        <v>120 ML FRASCO NATURAL</v>
      </c>
      <c r="M184" s="28">
        <f>IFERROR(INDEX(Tabla_control_serigrafia[CANTIDAD PEDIDA],MATCH(Tabla_producción_serigrafia[[#This Row],[LOTE]],Tabla_control_serigrafia[LOTE],0)),"-")</f>
        <v>5100</v>
      </c>
      <c r="N184" s="29">
        <v>5200</v>
      </c>
      <c r="O184" s="26">
        <v>60</v>
      </c>
      <c r="P184" s="30"/>
      <c r="Q184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5200</v>
      </c>
      <c r="R184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4" s="32"/>
      <c r="T184" s="27" t="str">
        <f>UPPER(LEFT(TEXT(Tabla_producción_serigrafia[[#This Row],[FECHA]],"mmm"),3))</f>
        <v>ABR</v>
      </c>
      <c r="U184" s="27">
        <f>+Tabla_producción_serigrafia[[#This Row],[CANTIDAD PRODUCIDA]]+Tabla_producción_serigrafia[[#This Row],[CANTIDAD RECHAZADA]]</f>
        <v>5260</v>
      </c>
    </row>
    <row r="185" spans="1:21" x14ac:dyDescent="0.25">
      <c r="A185" s="10">
        <v>46140</v>
      </c>
      <c r="B185" s="10" t="s">
        <v>58</v>
      </c>
      <c r="C185" s="1" t="s">
        <v>75</v>
      </c>
      <c r="D185" s="22">
        <v>0.45833333333333331</v>
      </c>
      <c r="E185" s="23">
        <v>0.54166666666666663</v>
      </c>
      <c r="F185" s="24">
        <f t="shared" si="37"/>
        <v>2</v>
      </c>
      <c r="G185" s="25" t="s">
        <v>56</v>
      </c>
      <c r="H185" s="26">
        <v>42675</v>
      </c>
      <c r="I185" s="7" t="str">
        <f>IFERROR(INDEX(Tabla_control_serigrafia[PRODUCTO],MATCH(Tabla_producción_serigrafia[[#This Row],[LOTE]],Tabla_control_serigrafia[LOTE],0)),"-")</f>
        <v>DICLOXACILINA 250 MG X 100 ML POLVO PARA SUSP.</v>
      </c>
      <c r="J185" s="27" t="str">
        <f>IFERROR(INDEX(Tabla_control_serigrafia[FORMATO DE FRASCO],MATCH(Tabla_producción_serigrafia[[#This Row],[LOTE]],Tabla_control_serigrafia[LOTE],0)),"-")</f>
        <v>120 ML</v>
      </c>
      <c r="K185" s="27" t="str">
        <f>IFERROR(INDEX(Tabla_control_serigrafia[TIPO DE FRASCO],MATCH(Tabla_producción_serigrafia[[#This Row],[LOTE]],Tabla_control_serigrafia[LOTE],0)),"-")</f>
        <v>FRASCO NATURAL</v>
      </c>
      <c r="L185" t="str">
        <f>IF(Tabla_producción_serigrafia[[#This Row],[ACCIÓN]]="PRODUCCIÓN",Tabla_producción_serigrafia[[#This Row],[FORMATO DE FRASCO]]&amp;" "&amp;Tabla_producción_serigrafia[[#This Row],[TIPO DE FRASCO]],"-")</f>
        <v>120 ML FRASCO NATURAL</v>
      </c>
      <c r="M185" s="28">
        <f>IFERROR(INDEX(Tabla_control_serigrafia[CANTIDAD PEDIDA],MATCH(Tabla_producción_serigrafia[[#This Row],[LOTE]],Tabla_control_serigrafia[LOTE],0)),"-")</f>
        <v>5100</v>
      </c>
      <c r="N185" s="29">
        <v>5200</v>
      </c>
      <c r="O185" s="26">
        <v>50</v>
      </c>
      <c r="P185" s="30"/>
      <c r="Q185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5200</v>
      </c>
      <c r="R185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5" s="32"/>
      <c r="T185" s="27" t="str">
        <f>UPPER(LEFT(TEXT(Tabla_producción_serigrafia[[#This Row],[FECHA]],"mmm"),3))</f>
        <v>ABR</v>
      </c>
      <c r="U185" s="27">
        <f>+Tabla_producción_serigrafia[[#This Row],[CANTIDAD PRODUCIDA]]+Tabla_producción_serigrafia[[#This Row],[CANTIDAD RECHAZADA]]</f>
        <v>5250</v>
      </c>
    </row>
    <row r="186" spans="1:21" x14ac:dyDescent="0.25">
      <c r="A186" s="10">
        <v>46140</v>
      </c>
      <c r="B186" s="10" t="s">
        <v>58</v>
      </c>
      <c r="C186" s="1" t="s">
        <v>75</v>
      </c>
      <c r="D186" s="22">
        <v>0.54166666666666663</v>
      </c>
      <c r="E186" s="23">
        <v>0.58333333333333337</v>
      </c>
      <c r="F186" s="24">
        <f t="shared" si="37"/>
        <v>1</v>
      </c>
      <c r="G186" s="25" t="s">
        <v>56</v>
      </c>
      <c r="H186" s="26">
        <v>42674</v>
      </c>
      <c r="I186" s="7" t="str">
        <f>IFERROR(INDEX(Tabla_control_serigrafia[PRODUCTO],MATCH(Tabla_producción_serigrafia[[#This Row],[LOTE]],Tabla_control_serigrafia[LOTE],0)),"-")</f>
        <v>DICLOXACILINA 250 MG X 100 ML POLVO PARA SUSP.</v>
      </c>
      <c r="J186" s="27" t="str">
        <f>IFERROR(INDEX(Tabla_control_serigrafia[FORMATO DE FRASCO],MATCH(Tabla_producción_serigrafia[[#This Row],[LOTE]],Tabla_control_serigrafia[LOTE],0)),"-")</f>
        <v>120 ML</v>
      </c>
      <c r="K186" s="27" t="str">
        <f>IFERROR(INDEX(Tabla_control_serigrafia[TIPO DE FRASCO],MATCH(Tabla_producción_serigrafia[[#This Row],[LOTE]],Tabla_control_serigrafia[LOTE],0)),"-")</f>
        <v>FRASCO NATURAL</v>
      </c>
      <c r="L186" t="str">
        <f>IF(Tabla_producción_serigrafia[[#This Row],[ACCIÓN]]="PRODUCCIÓN",Tabla_producción_serigrafia[[#This Row],[FORMATO DE FRASCO]]&amp;" "&amp;Tabla_producción_serigrafia[[#This Row],[TIPO DE FRASCO]],"-")</f>
        <v>120 ML FRASCO NATURAL</v>
      </c>
      <c r="M186" s="28">
        <f>IFERROR(INDEX(Tabla_control_serigrafia[CANTIDAD PEDIDA],MATCH(Tabla_producción_serigrafia[[#This Row],[LOTE]],Tabla_control_serigrafia[LOTE],0)),"-")</f>
        <v>1700</v>
      </c>
      <c r="N186" s="29">
        <v>1800</v>
      </c>
      <c r="O186" s="26">
        <v>48</v>
      </c>
      <c r="P186" s="30"/>
      <c r="Q186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1800</v>
      </c>
      <c r="R186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6" s="32"/>
      <c r="T186" s="27" t="str">
        <f>UPPER(LEFT(TEXT(Tabla_producción_serigrafia[[#This Row],[FECHA]],"mmm"),3))</f>
        <v>ABR</v>
      </c>
      <c r="U186" s="27">
        <f>+Tabla_producción_serigrafia[[#This Row],[CANTIDAD PRODUCIDA]]+Tabla_producción_serigrafia[[#This Row],[CANTIDAD RECHAZADA]]</f>
        <v>1848</v>
      </c>
    </row>
    <row r="187" spans="1:21" x14ac:dyDescent="0.25">
      <c r="A187" s="10">
        <v>46140</v>
      </c>
      <c r="B187" s="10" t="s">
        <v>58</v>
      </c>
      <c r="C187" s="1" t="s">
        <v>75</v>
      </c>
      <c r="D187" s="22">
        <v>0.58333333333333337</v>
      </c>
      <c r="E187" s="23">
        <v>0.70833333333333337</v>
      </c>
      <c r="F187" s="24">
        <f t="shared" si="37"/>
        <v>3</v>
      </c>
      <c r="G187" s="25" t="s">
        <v>56</v>
      </c>
      <c r="H187" s="26">
        <v>42673</v>
      </c>
      <c r="I187" s="7" t="str">
        <f>IFERROR(INDEX(Tabla_control_serigrafia[PRODUCTO],MATCH(Tabla_producción_serigrafia[[#This Row],[LOTE]],Tabla_control_serigrafia[LOTE],0)),"-")</f>
        <v>AMOXICILINA 250 MG X 100 ML POLVO PARA SUSP.</v>
      </c>
      <c r="J187" s="27" t="str">
        <f>IFERROR(INDEX(Tabla_control_serigrafia[FORMATO DE FRASCO],MATCH(Tabla_producción_serigrafia[[#This Row],[LOTE]],Tabla_control_serigrafia[LOTE],0)),"-")</f>
        <v>120 ML</v>
      </c>
      <c r="K187" s="27" t="str">
        <f>IFERROR(INDEX(Tabla_control_serigrafia[TIPO DE FRASCO],MATCH(Tabla_producción_serigrafia[[#This Row],[LOTE]],Tabla_control_serigrafia[LOTE],0)),"-")</f>
        <v>FRASCO NATURAL</v>
      </c>
      <c r="L187" t="str">
        <f>IF(Tabla_producción_serigrafia[[#This Row],[ACCIÓN]]="PRODUCCIÓN",Tabla_producción_serigrafia[[#This Row],[FORMATO DE FRASCO]]&amp;" "&amp;Tabla_producción_serigrafia[[#This Row],[TIPO DE FRASCO]],"-")</f>
        <v>120 ML FRASCO NATURAL</v>
      </c>
      <c r="M187" s="28">
        <f>IFERROR(INDEX(Tabla_control_serigrafia[CANTIDAD PEDIDA],MATCH(Tabla_producción_serigrafia[[#This Row],[LOTE]],Tabla_control_serigrafia[LOTE],0)),"-")</f>
        <v>6000</v>
      </c>
      <c r="N187" s="29">
        <v>6100</v>
      </c>
      <c r="O187" s="26">
        <v>40</v>
      </c>
      <c r="P187" s="30"/>
      <c r="Q18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6100</v>
      </c>
      <c r="R187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7" s="32"/>
      <c r="T187" s="27" t="str">
        <f>UPPER(LEFT(TEXT(Tabla_producción_serigrafia[[#This Row],[FECHA]],"mmm"),3))</f>
        <v>ABR</v>
      </c>
      <c r="U187" s="27">
        <f>+Tabla_producción_serigrafia[[#This Row],[CANTIDAD PRODUCIDA]]+Tabla_producción_serigrafia[[#This Row],[CANTIDAD RECHAZADA]]</f>
        <v>6140</v>
      </c>
    </row>
    <row r="188" spans="1:21" x14ac:dyDescent="0.25">
      <c r="A188" s="10">
        <v>46140</v>
      </c>
      <c r="B188" s="10" t="s">
        <v>58</v>
      </c>
      <c r="C188" s="1" t="s">
        <v>75</v>
      </c>
      <c r="D188" s="22">
        <v>0.70833333333333337</v>
      </c>
      <c r="E188" s="23">
        <v>0.72916666666666663</v>
      </c>
      <c r="F188" s="24">
        <f t="shared" si="37"/>
        <v>0.5</v>
      </c>
      <c r="G188" s="25" t="s">
        <v>57</v>
      </c>
      <c r="H188" s="26">
        <v>42653</v>
      </c>
      <c r="I188" s="7" t="str">
        <f>IFERROR(INDEX(Tabla_control_serigrafia[PRODUCTO],MATCH(Tabla_producción_serigrafia[[#This Row],[LOTE]],Tabla_control_serigrafia[LOTE],0)),"-")</f>
        <v>DEXTROMETORFANO 10 MG X 100 ML JARABE</v>
      </c>
      <c r="J188" s="27" t="str">
        <f>IFERROR(INDEX(Tabla_control_serigrafia[FORMATO DE FRASCO],MATCH(Tabla_producción_serigrafia[[#This Row],[LOTE]],Tabla_control_serigrafia[LOTE],0)),"-")</f>
        <v>120 ML</v>
      </c>
      <c r="K188" s="27" t="str">
        <f>IFERROR(INDEX(Tabla_control_serigrafia[TIPO DE FRASCO],MATCH(Tabla_producción_serigrafia[[#This Row],[LOTE]],Tabla_control_serigrafia[LOTE],0)),"-")</f>
        <v>FRASCO BLANCO</v>
      </c>
      <c r="L188" t="str">
        <f>IF(Tabla_producción_serigrafia[[#This Row],[ACCIÓN]]="PRODUCCIÓN",Tabla_producción_serigrafia[[#This Row],[FORMATO DE FRASCO]]&amp;" "&amp;Tabla_producción_serigrafia[[#This Row],[TIPO DE FRASCO]],"-")</f>
        <v>-</v>
      </c>
      <c r="M188" s="28">
        <f>IFERROR(INDEX(Tabla_control_serigrafia[CANTIDAD PEDIDA],MATCH(Tabla_producción_serigrafia[[#This Row],[LOTE]],Tabla_control_serigrafia[LOTE],0)),"-")</f>
        <v>29703</v>
      </c>
      <c r="N188" s="29">
        <v>0</v>
      </c>
      <c r="O188" s="26">
        <v>0</v>
      </c>
      <c r="P188" s="30"/>
      <c r="Q18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88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8" s="32" t="s">
        <v>63</v>
      </c>
      <c r="T188" s="27" t="str">
        <f>UPPER(LEFT(TEXT(Tabla_producción_serigrafia[[#This Row],[FECHA]],"mmm"),3))</f>
        <v>ABR</v>
      </c>
      <c r="U188" s="27">
        <f>+Tabla_producción_serigrafia[[#This Row],[CANTIDAD PRODUCIDA]]+Tabla_producción_serigrafia[[#This Row],[CANTIDAD RECHAZADA]]</f>
        <v>0</v>
      </c>
    </row>
    <row r="189" spans="1:21" x14ac:dyDescent="0.25">
      <c r="A189" s="10">
        <v>46140</v>
      </c>
      <c r="B189" s="10" t="s">
        <v>58</v>
      </c>
      <c r="C189" s="1" t="s">
        <v>75</v>
      </c>
      <c r="D189" s="22">
        <v>0.72916666666666663</v>
      </c>
      <c r="E189" s="23">
        <v>0.91666666666666663</v>
      </c>
      <c r="F189" s="24">
        <f t="shared" si="37"/>
        <v>4.5</v>
      </c>
      <c r="G189" s="25" t="s">
        <v>56</v>
      </c>
      <c r="H189" s="26">
        <v>42653</v>
      </c>
      <c r="I189" s="7" t="str">
        <f>IFERROR(INDEX(Tabla_control_serigrafia[PRODUCTO],MATCH(Tabla_producción_serigrafia[[#This Row],[LOTE]],Tabla_control_serigrafia[LOTE],0)),"-")</f>
        <v>DEXTROMETORFANO 10 MG X 100 ML JARABE</v>
      </c>
      <c r="J189" s="27" t="str">
        <f>IFERROR(INDEX(Tabla_control_serigrafia[FORMATO DE FRASCO],MATCH(Tabla_producción_serigrafia[[#This Row],[LOTE]],Tabla_control_serigrafia[LOTE],0)),"-")</f>
        <v>120 ML</v>
      </c>
      <c r="K189" s="27" t="str">
        <f>IFERROR(INDEX(Tabla_control_serigrafia[TIPO DE FRASCO],MATCH(Tabla_producción_serigrafia[[#This Row],[LOTE]],Tabla_control_serigrafia[LOTE],0)),"-")</f>
        <v>FRASCO BLANCO</v>
      </c>
      <c r="L189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89" s="28">
        <f>IFERROR(INDEX(Tabla_control_serigrafia[CANTIDAD PEDIDA],MATCH(Tabla_producción_serigrafia[[#This Row],[LOTE]],Tabla_control_serigrafia[LOTE],0)),"-")</f>
        <v>29703</v>
      </c>
      <c r="N189" s="29">
        <v>12000</v>
      </c>
      <c r="O189" s="26">
        <v>0</v>
      </c>
      <c r="P189" s="30" t="s">
        <v>66</v>
      </c>
      <c r="Q18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12000</v>
      </c>
      <c r="R189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89" s="32"/>
      <c r="T189" s="27" t="str">
        <f>UPPER(LEFT(TEXT(Tabla_producción_serigrafia[[#This Row],[FECHA]],"mmm"),3))</f>
        <v>ABR</v>
      </c>
      <c r="U189" s="27">
        <f>+Tabla_producción_serigrafia[[#This Row],[CANTIDAD PRODUCIDA]]+Tabla_producción_serigrafia[[#This Row],[CANTIDAD RECHAZADA]]</f>
        <v>12000</v>
      </c>
    </row>
    <row r="190" spans="1:21" x14ac:dyDescent="0.25">
      <c r="A190" s="10">
        <v>46141</v>
      </c>
      <c r="B190" s="10" t="s">
        <v>58</v>
      </c>
      <c r="C190" s="1" t="s">
        <v>75</v>
      </c>
      <c r="D190" s="22">
        <v>0.33333333333333331</v>
      </c>
      <c r="E190" s="23">
        <v>0.35416666666666669</v>
      </c>
      <c r="F190" s="24">
        <f t="shared" ref="F190:F195" si="38">ROUND((E190-D190)*24,2)</f>
        <v>0.5</v>
      </c>
      <c r="G190" s="25" t="s">
        <v>57</v>
      </c>
      <c r="H190" s="26">
        <v>42680</v>
      </c>
      <c r="I190" s="7" t="str">
        <f>IFERROR(INDEX(Tabla_control_serigrafia[PRODUCTO],MATCH(Tabla_producción_serigrafia[[#This Row],[LOTE]],Tabla_control_serigrafia[LOTE],0)),"-")</f>
        <v>SARNOL 20% X 100 ML LOCION</v>
      </c>
      <c r="J190" s="27" t="str">
        <f>IFERROR(INDEX(Tabla_control_serigrafia[FORMATO DE FRASCO],MATCH(Tabla_producción_serigrafia[[#This Row],[LOTE]],Tabla_control_serigrafia[LOTE],0)),"-")</f>
        <v>120 ML</v>
      </c>
      <c r="K190" s="27" t="str">
        <f>IFERROR(INDEX(Tabla_control_serigrafia[TIPO DE FRASCO],MATCH(Tabla_producción_serigrafia[[#This Row],[LOTE]],Tabla_control_serigrafia[LOTE],0)),"-")</f>
        <v>FRASCO BLANCO</v>
      </c>
      <c r="L190" t="str">
        <f>IF(Tabla_producción_serigrafia[[#This Row],[ACCIÓN]]="PRODUCCIÓN",Tabla_producción_serigrafia[[#This Row],[FORMATO DE FRASCO]]&amp;" "&amp;Tabla_producción_serigrafia[[#This Row],[TIPO DE FRASCO]],"-")</f>
        <v>-</v>
      </c>
      <c r="M190" s="28">
        <f>IFERROR(INDEX(Tabla_control_serigrafia[CANTIDAD PEDIDA],MATCH(Tabla_producción_serigrafia[[#This Row],[LOTE]],Tabla_control_serigrafia[LOTE],0)),"-")</f>
        <v>6000</v>
      </c>
      <c r="N190" s="29">
        <v>0</v>
      </c>
      <c r="O190" s="26">
        <v>0</v>
      </c>
      <c r="P190" s="30"/>
      <c r="Q190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90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90" s="32" t="s">
        <v>63</v>
      </c>
      <c r="T190" s="27" t="str">
        <f>UPPER(LEFT(TEXT(Tabla_producción_serigrafia[[#This Row],[FECHA]],"mmm"),3))</f>
        <v>ABR</v>
      </c>
      <c r="U190" s="27">
        <f>+Tabla_producción_serigrafia[[#This Row],[CANTIDAD PRODUCIDA]]+Tabla_producción_serigrafia[[#This Row],[CANTIDAD RECHAZADA]]</f>
        <v>0</v>
      </c>
    </row>
    <row r="191" spans="1:21" x14ac:dyDescent="0.25">
      <c r="A191" s="10">
        <v>46141</v>
      </c>
      <c r="B191" s="10" t="s">
        <v>58</v>
      </c>
      <c r="C191" s="1" t="s">
        <v>75</v>
      </c>
      <c r="D191" s="22">
        <v>0.35416666666666669</v>
      </c>
      <c r="E191" s="23">
        <v>0.45833333333333331</v>
      </c>
      <c r="F191" s="24">
        <f t="shared" si="38"/>
        <v>2.5</v>
      </c>
      <c r="G191" s="25" t="s">
        <v>56</v>
      </c>
      <c r="H191" s="26">
        <v>42680</v>
      </c>
      <c r="I191" s="7" t="str">
        <f>IFERROR(INDEX(Tabla_control_serigrafia[PRODUCTO],MATCH(Tabla_producción_serigrafia[[#This Row],[LOTE]],Tabla_control_serigrafia[LOTE],0)),"-")</f>
        <v>SARNOL 20% X 100 ML LOCION</v>
      </c>
      <c r="J191" s="27" t="str">
        <f>IFERROR(INDEX(Tabla_control_serigrafia[FORMATO DE FRASCO],MATCH(Tabla_producción_serigrafia[[#This Row],[LOTE]],Tabla_control_serigrafia[LOTE],0)),"-")</f>
        <v>120 ML</v>
      </c>
      <c r="K191" s="27" t="str">
        <f>IFERROR(INDEX(Tabla_control_serigrafia[TIPO DE FRASCO],MATCH(Tabla_producción_serigrafia[[#This Row],[LOTE]],Tabla_control_serigrafia[LOTE],0)),"-")</f>
        <v>FRASCO BLANCO</v>
      </c>
      <c r="L191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91" s="28">
        <f>IFERROR(INDEX(Tabla_control_serigrafia[CANTIDAD PEDIDA],MATCH(Tabla_producción_serigrafia[[#This Row],[LOTE]],Tabla_control_serigrafia[LOTE],0)),"-")</f>
        <v>6000</v>
      </c>
      <c r="N191" s="29">
        <v>6100</v>
      </c>
      <c r="O191" s="26">
        <v>60</v>
      </c>
      <c r="P191" s="30"/>
      <c r="Q191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6100</v>
      </c>
      <c r="R191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91" s="32"/>
      <c r="T191" s="27" t="str">
        <f>UPPER(LEFT(TEXT(Tabla_producción_serigrafia[[#This Row],[FECHA]],"mmm"),3))</f>
        <v>ABR</v>
      </c>
      <c r="U191" s="27">
        <f>+Tabla_producción_serigrafia[[#This Row],[CANTIDAD PRODUCIDA]]+Tabla_producción_serigrafia[[#This Row],[CANTIDAD RECHAZADA]]</f>
        <v>6160</v>
      </c>
    </row>
    <row r="192" spans="1:21" x14ac:dyDescent="0.25">
      <c r="A192" s="10">
        <v>46141</v>
      </c>
      <c r="B192" s="10" t="s">
        <v>58</v>
      </c>
      <c r="C192" s="1" t="s">
        <v>75</v>
      </c>
      <c r="D192" s="22">
        <v>0.45833333333333331</v>
      </c>
      <c r="E192" s="23">
        <v>0.5625</v>
      </c>
      <c r="F192" s="24">
        <f t="shared" si="38"/>
        <v>2.5</v>
      </c>
      <c r="G192" s="25" t="s">
        <v>56</v>
      </c>
      <c r="H192" s="26">
        <v>42678</v>
      </c>
      <c r="I192" s="7" t="str">
        <f>IFERROR(INDEX(Tabla_control_serigrafia[PRODUCTO],MATCH(Tabla_producción_serigrafia[[#This Row],[LOTE]],Tabla_control_serigrafia[LOTE],0)),"-")</f>
        <v>SARNOL 20% X 100 ML LOCION</v>
      </c>
      <c r="J192" s="27" t="str">
        <f>IFERROR(INDEX(Tabla_control_serigrafia[FORMATO DE FRASCO],MATCH(Tabla_producción_serigrafia[[#This Row],[LOTE]],Tabla_control_serigrafia[LOTE],0)),"-")</f>
        <v>120 ML</v>
      </c>
      <c r="K192" s="27" t="str">
        <f>IFERROR(INDEX(Tabla_control_serigrafia[TIPO DE FRASCO],MATCH(Tabla_producción_serigrafia[[#This Row],[LOTE]],Tabla_control_serigrafia[LOTE],0)),"-")</f>
        <v>FRASCO BLANCO</v>
      </c>
      <c r="L192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92" s="28">
        <f>IFERROR(INDEX(Tabla_control_serigrafia[CANTIDAD PEDIDA],MATCH(Tabla_producción_serigrafia[[#This Row],[LOTE]],Tabla_control_serigrafia[LOTE],0)),"-")</f>
        <v>4000</v>
      </c>
      <c r="N192" s="29">
        <v>4100</v>
      </c>
      <c r="O192" s="26">
        <v>40</v>
      </c>
      <c r="P192" s="30"/>
      <c r="Q192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4100</v>
      </c>
      <c r="R192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92" s="32"/>
      <c r="T192" s="27" t="str">
        <f>UPPER(LEFT(TEXT(Tabla_producción_serigrafia[[#This Row],[FECHA]],"mmm"),3))</f>
        <v>ABR</v>
      </c>
      <c r="U192" s="27">
        <f>+Tabla_producción_serigrafia[[#This Row],[CANTIDAD PRODUCIDA]]+Tabla_producción_serigrafia[[#This Row],[CANTIDAD RECHAZADA]]</f>
        <v>4140</v>
      </c>
    </row>
    <row r="193" spans="1:21" x14ac:dyDescent="0.25">
      <c r="A193" s="10">
        <v>46141</v>
      </c>
      <c r="B193" s="10" t="s">
        <v>58</v>
      </c>
      <c r="C193" s="1" t="s">
        <v>75</v>
      </c>
      <c r="D193" s="22">
        <v>0.5625</v>
      </c>
      <c r="E193" s="23">
        <v>0.625</v>
      </c>
      <c r="F193" s="24">
        <f t="shared" si="38"/>
        <v>1.5</v>
      </c>
      <c r="G193" s="25" t="s">
        <v>56</v>
      </c>
      <c r="H193" s="26">
        <v>42679</v>
      </c>
      <c r="I193" s="7" t="str">
        <f>IFERROR(INDEX(Tabla_control_serigrafia[PRODUCTO],MATCH(Tabla_producción_serigrafia[[#This Row],[LOTE]],Tabla_control_serigrafia[LOTE],0)),"-")</f>
        <v>SARNOL 20% X 100 ML LOCION</v>
      </c>
      <c r="J193" s="27" t="str">
        <f>IFERROR(INDEX(Tabla_control_serigrafia[FORMATO DE FRASCO],MATCH(Tabla_producción_serigrafia[[#This Row],[LOTE]],Tabla_control_serigrafia[LOTE],0)),"-")</f>
        <v>120 ML</v>
      </c>
      <c r="K193" s="27" t="str">
        <f>IFERROR(INDEX(Tabla_control_serigrafia[TIPO DE FRASCO],MATCH(Tabla_producción_serigrafia[[#This Row],[LOTE]],Tabla_control_serigrafia[LOTE],0)),"-")</f>
        <v>FRASCO BLANCO</v>
      </c>
      <c r="L193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93" s="28">
        <f>IFERROR(INDEX(Tabla_control_serigrafia[CANTIDAD PEDIDA],MATCH(Tabla_producción_serigrafia[[#This Row],[LOTE]],Tabla_control_serigrafia[LOTE],0)),"-")</f>
        <v>4000</v>
      </c>
      <c r="N193" s="29">
        <v>4100</v>
      </c>
      <c r="O193" s="26">
        <v>50</v>
      </c>
      <c r="P193" s="30"/>
      <c r="Q193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4100</v>
      </c>
      <c r="R193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93" s="32"/>
      <c r="T193" s="27" t="str">
        <f>UPPER(LEFT(TEXT(Tabla_producción_serigrafia[[#This Row],[FECHA]],"mmm"),3))</f>
        <v>ABR</v>
      </c>
      <c r="U193" s="27">
        <f>+Tabla_producción_serigrafia[[#This Row],[CANTIDAD PRODUCIDA]]+Tabla_producción_serigrafia[[#This Row],[CANTIDAD RECHAZADA]]</f>
        <v>4150</v>
      </c>
    </row>
    <row r="194" spans="1:21" x14ac:dyDescent="0.25">
      <c r="A194" s="10">
        <v>46141</v>
      </c>
      <c r="B194" s="10" t="s">
        <v>58</v>
      </c>
      <c r="C194" s="1" t="s">
        <v>75</v>
      </c>
      <c r="D194" s="22">
        <v>0.625</v>
      </c>
      <c r="E194" s="23">
        <v>0.79166666666666663</v>
      </c>
      <c r="F194" s="24">
        <f t="shared" si="38"/>
        <v>4</v>
      </c>
      <c r="G194" s="25" t="s">
        <v>56</v>
      </c>
      <c r="H194" s="26">
        <v>42681</v>
      </c>
      <c r="I194" s="7" t="str">
        <f>IFERROR(INDEX(Tabla_control_serigrafia[PRODUCTO],MATCH(Tabla_producción_serigrafia[[#This Row],[LOTE]],Tabla_control_serigrafia[LOTE],0)),"-")</f>
        <v>SARNOL 20% X 100 ML LOCION</v>
      </c>
      <c r="J194" s="27" t="str">
        <f>IFERROR(INDEX(Tabla_control_serigrafia[FORMATO DE FRASCO],MATCH(Tabla_producción_serigrafia[[#This Row],[LOTE]],Tabla_control_serigrafia[LOTE],0)),"-")</f>
        <v>120 ML</v>
      </c>
      <c r="K194" s="27" t="str">
        <f>IFERROR(INDEX(Tabla_control_serigrafia[TIPO DE FRASCO],MATCH(Tabla_producción_serigrafia[[#This Row],[LOTE]],Tabla_control_serigrafia[LOTE],0)),"-")</f>
        <v>FRASCO BLANCO</v>
      </c>
      <c r="L194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94" s="28">
        <f>IFERROR(INDEX(Tabla_control_serigrafia[CANTIDAD PEDIDA],MATCH(Tabla_producción_serigrafia[[#This Row],[LOTE]],Tabla_control_serigrafia[LOTE],0)),"-")</f>
        <v>6000</v>
      </c>
      <c r="N194" s="29">
        <v>6100</v>
      </c>
      <c r="O194" s="26">
        <v>50</v>
      </c>
      <c r="P194" s="30"/>
      <c r="Q194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6100</v>
      </c>
      <c r="R194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94" s="32"/>
      <c r="T194" s="27" t="str">
        <f>UPPER(LEFT(TEXT(Tabla_producción_serigrafia[[#This Row],[FECHA]],"mmm"),3))</f>
        <v>ABR</v>
      </c>
      <c r="U194" s="27">
        <f>+Tabla_producción_serigrafia[[#This Row],[CANTIDAD PRODUCIDA]]+Tabla_producción_serigrafia[[#This Row],[CANTIDAD RECHAZADA]]</f>
        <v>6150</v>
      </c>
    </row>
    <row r="195" spans="1:21" x14ac:dyDescent="0.25">
      <c r="A195" s="10">
        <v>46141</v>
      </c>
      <c r="B195" s="10" t="s">
        <v>58</v>
      </c>
      <c r="C195" s="1" t="s">
        <v>75</v>
      </c>
      <c r="D195" s="22">
        <v>0.79166666666666663</v>
      </c>
      <c r="E195" s="23">
        <v>0.91666666666666663</v>
      </c>
      <c r="F195" s="24">
        <f t="shared" si="38"/>
        <v>3</v>
      </c>
      <c r="G195" s="25" t="s">
        <v>56</v>
      </c>
      <c r="H195" s="26">
        <v>42682</v>
      </c>
      <c r="I195" s="7" t="str">
        <f>IFERROR(INDEX(Tabla_control_serigrafia[PRODUCTO],MATCH(Tabla_producción_serigrafia[[#This Row],[LOTE]],Tabla_control_serigrafia[LOTE],0)),"-")</f>
        <v>SARNOL 20% X 100 ML LOCION</v>
      </c>
      <c r="J195" s="27" t="str">
        <f>IFERROR(INDEX(Tabla_control_serigrafia[FORMATO DE FRASCO],MATCH(Tabla_producción_serigrafia[[#This Row],[LOTE]],Tabla_control_serigrafia[LOTE],0)),"-")</f>
        <v>120 ML</v>
      </c>
      <c r="K195" s="27" t="str">
        <f>IFERROR(INDEX(Tabla_control_serigrafia[TIPO DE FRASCO],MATCH(Tabla_producción_serigrafia[[#This Row],[LOTE]],Tabla_control_serigrafia[LOTE],0)),"-")</f>
        <v>FRASCO BLANCO</v>
      </c>
      <c r="L195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95" s="28">
        <f>IFERROR(INDEX(Tabla_control_serigrafia[CANTIDAD PEDIDA],MATCH(Tabla_producción_serigrafia[[#This Row],[LOTE]],Tabla_control_serigrafia[LOTE],0)),"-")</f>
        <v>6000</v>
      </c>
      <c r="N195" s="29">
        <v>6100</v>
      </c>
      <c r="O195" s="26">
        <v>46</v>
      </c>
      <c r="P195" s="30"/>
      <c r="Q195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6100</v>
      </c>
      <c r="R195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95" s="32"/>
      <c r="T195" s="27" t="str">
        <f>UPPER(LEFT(TEXT(Tabla_producción_serigrafia[[#This Row],[FECHA]],"mmm"),3))</f>
        <v>ABR</v>
      </c>
      <c r="U195" s="27">
        <f>+Tabla_producción_serigrafia[[#This Row],[CANTIDAD PRODUCIDA]]+Tabla_producción_serigrafia[[#This Row],[CANTIDAD RECHAZADA]]</f>
        <v>6146</v>
      </c>
    </row>
    <row r="196" spans="1:21" x14ac:dyDescent="0.25">
      <c r="A196" s="10">
        <v>46142</v>
      </c>
      <c r="B196" s="10" t="s">
        <v>58</v>
      </c>
      <c r="C196" s="1" t="s">
        <v>75</v>
      </c>
      <c r="D196" s="22">
        <v>0.33333333333333331</v>
      </c>
      <c r="E196" s="23">
        <v>0.34722222222222227</v>
      </c>
      <c r="F196" s="24">
        <f t="shared" ref="F196:F199" si="39">ROUND((E196-D196)*24,2)</f>
        <v>0.33</v>
      </c>
      <c r="G196" s="25" t="s">
        <v>57</v>
      </c>
      <c r="H196" s="26">
        <v>42653</v>
      </c>
      <c r="I196" s="7" t="str">
        <f>IFERROR(INDEX(Tabla_control_serigrafia[PRODUCTO],MATCH(Tabla_producción_serigrafia[[#This Row],[LOTE]],Tabla_control_serigrafia[LOTE],0)),"-")</f>
        <v>DEXTROMETORFANO 10 MG X 100 ML JARABE</v>
      </c>
      <c r="J196" s="27" t="str">
        <f>IFERROR(INDEX(Tabla_control_serigrafia[FORMATO DE FRASCO],MATCH(Tabla_producción_serigrafia[[#This Row],[LOTE]],Tabla_control_serigrafia[LOTE],0)),"-")</f>
        <v>120 ML</v>
      </c>
      <c r="K196" s="27" t="str">
        <f>IFERROR(INDEX(Tabla_control_serigrafia[TIPO DE FRASCO],MATCH(Tabla_producción_serigrafia[[#This Row],[LOTE]],Tabla_control_serigrafia[LOTE],0)),"-")</f>
        <v>FRASCO BLANCO</v>
      </c>
      <c r="L196" t="str">
        <f>IF(Tabla_producción_serigrafia[[#This Row],[ACCIÓN]]="PRODUCCIÓN",Tabla_producción_serigrafia[[#This Row],[FORMATO DE FRASCO]]&amp;" "&amp;Tabla_producción_serigrafia[[#This Row],[TIPO DE FRASCO]],"-")</f>
        <v>-</v>
      </c>
      <c r="M196" s="28">
        <f>IFERROR(INDEX(Tabla_control_serigrafia[CANTIDAD PEDIDA],MATCH(Tabla_producción_serigrafia[[#This Row],[LOTE]],Tabla_control_serigrafia[LOTE],0)),"-")</f>
        <v>29703</v>
      </c>
      <c r="N196" s="29">
        <v>0</v>
      </c>
      <c r="O196" s="26">
        <v>0</v>
      </c>
      <c r="P196" s="30"/>
      <c r="Q196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96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96" s="32" t="s">
        <v>63</v>
      </c>
      <c r="T196" s="27" t="str">
        <f>UPPER(LEFT(TEXT(Tabla_producción_serigrafia[[#This Row],[FECHA]],"mmm"),3))</f>
        <v>ABR</v>
      </c>
      <c r="U196" s="27">
        <f>+Tabla_producción_serigrafia[[#This Row],[CANTIDAD PRODUCIDA]]+Tabla_producción_serigrafia[[#This Row],[CANTIDAD RECHAZADA]]</f>
        <v>0</v>
      </c>
    </row>
    <row r="197" spans="1:21" x14ac:dyDescent="0.25">
      <c r="A197" s="10">
        <v>46142</v>
      </c>
      <c r="B197" s="10" t="s">
        <v>58</v>
      </c>
      <c r="C197" s="1" t="s">
        <v>75</v>
      </c>
      <c r="D197" s="22">
        <v>0.34722222222222227</v>
      </c>
      <c r="E197" s="23">
        <v>0.64583333333333337</v>
      </c>
      <c r="F197" s="24">
        <f t="shared" si="39"/>
        <v>7.17</v>
      </c>
      <c r="G197" s="25" t="s">
        <v>56</v>
      </c>
      <c r="H197" s="26">
        <v>42653</v>
      </c>
      <c r="I197" s="7" t="str">
        <f>IFERROR(INDEX(Tabla_control_serigrafia[PRODUCTO],MATCH(Tabla_producción_serigrafia[[#This Row],[LOTE]],Tabla_control_serigrafia[LOTE],0)),"-")</f>
        <v>DEXTROMETORFANO 10 MG X 100 ML JARABE</v>
      </c>
      <c r="J197" s="27" t="str">
        <f>IFERROR(INDEX(Tabla_control_serigrafia[FORMATO DE FRASCO],MATCH(Tabla_producción_serigrafia[[#This Row],[LOTE]],Tabla_control_serigrafia[LOTE],0)),"-")</f>
        <v>120 ML</v>
      </c>
      <c r="K197" s="27" t="str">
        <f>IFERROR(INDEX(Tabla_control_serigrafia[TIPO DE FRASCO],MATCH(Tabla_producción_serigrafia[[#This Row],[LOTE]],Tabla_control_serigrafia[LOTE],0)),"-")</f>
        <v>FRASCO BLANCO</v>
      </c>
      <c r="L197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97" s="28">
        <f>IFERROR(INDEX(Tabla_control_serigrafia[CANTIDAD PEDIDA],MATCH(Tabla_producción_serigrafia[[#This Row],[LOTE]],Tabla_control_serigrafia[LOTE],0)),"-")</f>
        <v>29703</v>
      </c>
      <c r="N197" s="29">
        <v>17850</v>
      </c>
      <c r="O197" s="26">
        <v>286</v>
      </c>
      <c r="P197" s="30" t="s">
        <v>62</v>
      </c>
      <c r="Q197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17850</v>
      </c>
      <c r="R197" s="31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29</v>
      </c>
      <c r="S197" s="32"/>
      <c r="T197" s="27" t="str">
        <f>UPPER(LEFT(TEXT(Tabla_producción_serigrafia[[#This Row],[FECHA]],"mmm"),3))</f>
        <v>ABR</v>
      </c>
      <c r="U197" s="27">
        <f>+Tabla_producción_serigrafia[[#This Row],[CANTIDAD PRODUCIDA]]+Tabla_producción_serigrafia[[#This Row],[CANTIDAD RECHAZADA]]</f>
        <v>18136</v>
      </c>
    </row>
    <row r="198" spans="1:21" x14ac:dyDescent="0.25">
      <c r="A198" s="10">
        <v>46142</v>
      </c>
      <c r="B198" s="10" t="s">
        <v>58</v>
      </c>
      <c r="C198" s="1" t="s">
        <v>75</v>
      </c>
      <c r="D198" s="22">
        <v>0.64583333333333337</v>
      </c>
      <c r="E198" s="23">
        <v>0.65972222222222221</v>
      </c>
      <c r="F198" s="24">
        <f t="shared" si="39"/>
        <v>0.33</v>
      </c>
      <c r="G198" s="25" t="s">
        <v>57</v>
      </c>
      <c r="H198" s="26">
        <v>42654</v>
      </c>
      <c r="I198" s="7" t="str">
        <f>IFERROR(INDEX(Tabla_control_serigrafia[PRODUCTO],MATCH(Tabla_producción_serigrafia[[#This Row],[LOTE]],Tabla_control_serigrafia[LOTE],0)),"-")</f>
        <v>DEXTROMETORFANO 10 MG X 100 ML JARABE</v>
      </c>
      <c r="J198" s="27" t="str">
        <f>IFERROR(INDEX(Tabla_control_serigrafia[FORMATO DE FRASCO],MATCH(Tabla_producción_serigrafia[[#This Row],[LOTE]],Tabla_control_serigrafia[LOTE],0)),"-")</f>
        <v>120 ML</v>
      </c>
      <c r="K198" s="27" t="str">
        <f>IFERROR(INDEX(Tabla_control_serigrafia[TIPO DE FRASCO],MATCH(Tabla_producción_serigrafia[[#This Row],[LOTE]],Tabla_control_serigrafia[LOTE],0)),"-")</f>
        <v>FRASCO BLANCO</v>
      </c>
      <c r="L198" t="str">
        <f>IF(Tabla_producción_serigrafia[[#This Row],[ACCIÓN]]="PRODUCCIÓN",Tabla_producción_serigrafia[[#This Row],[FORMATO DE FRASCO]]&amp;" "&amp;Tabla_producción_serigrafia[[#This Row],[TIPO DE FRASCO]],"-")</f>
        <v>-</v>
      </c>
      <c r="M198" s="28">
        <f>IFERROR(INDEX(Tabla_control_serigrafia[CANTIDAD PEDIDA],MATCH(Tabla_producción_serigrafia[[#This Row],[LOTE]],Tabla_control_serigrafia[LOTE],0)),"-")</f>
        <v>29703</v>
      </c>
      <c r="N198" s="29">
        <v>0</v>
      </c>
      <c r="O198" s="26">
        <v>0</v>
      </c>
      <c r="P198" s="30"/>
      <c r="Q198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0</v>
      </c>
      <c r="R198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98" s="32" t="s">
        <v>63</v>
      </c>
      <c r="T198" s="27" t="str">
        <f>UPPER(LEFT(TEXT(Tabla_producción_serigrafia[[#This Row],[FECHA]],"mmm"),3))</f>
        <v>ABR</v>
      </c>
      <c r="U198" s="27">
        <f>+Tabla_producción_serigrafia[[#This Row],[CANTIDAD PRODUCIDA]]+Tabla_producción_serigrafia[[#This Row],[CANTIDAD RECHAZADA]]</f>
        <v>0</v>
      </c>
    </row>
    <row r="199" spans="1:21" x14ac:dyDescent="0.25">
      <c r="A199" s="10">
        <v>46142</v>
      </c>
      <c r="B199" s="10" t="s">
        <v>58</v>
      </c>
      <c r="C199" s="1" t="s">
        <v>75</v>
      </c>
      <c r="D199" s="22">
        <v>0.65972222222222221</v>
      </c>
      <c r="E199" s="23">
        <v>0.91666666666666663</v>
      </c>
      <c r="F199" s="24">
        <f t="shared" si="39"/>
        <v>6.17</v>
      </c>
      <c r="G199" s="25" t="s">
        <v>56</v>
      </c>
      <c r="H199" s="26">
        <v>42654</v>
      </c>
      <c r="I199" s="7" t="str">
        <f>IFERROR(INDEX(Tabla_control_serigrafia[PRODUCTO],MATCH(Tabla_producción_serigrafia[[#This Row],[LOTE]],Tabla_control_serigrafia[LOTE],0)),"-")</f>
        <v>DEXTROMETORFANO 10 MG X 100 ML JARABE</v>
      </c>
      <c r="J199" s="27" t="str">
        <f>IFERROR(INDEX(Tabla_control_serigrafia[FORMATO DE FRASCO],MATCH(Tabla_producción_serigrafia[[#This Row],[LOTE]],Tabla_control_serigrafia[LOTE],0)),"-")</f>
        <v>120 ML</v>
      </c>
      <c r="K199" s="27" t="str">
        <f>IFERROR(INDEX(Tabla_control_serigrafia[TIPO DE FRASCO],MATCH(Tabla_producción_serigrafia[[#This Row],[LOTE]],Tabla_control_serigrafia[LOTE],0)),"-")</f>
        <v>FRASCO BLANCO</v>
      </c>
      <c r="L199" t="str">
        <f>IF(Tabla_producción_serigrafia[[#This Row],[ACCIÓN]]="PRODUCCIÓN",Tabla_producción_serigrafia[[#This Row],[FORMATO DE FRASCO]]&amp;" "&amp;Tabla_producción_serigrafia[[#This Row],[TIPO DE FRASCO]],"-")</f>
        <v>120 ML FRASCO BLANCO</v>
      </c>
      <c r="M199" s="28">
        <f>IFERROR(INDEX(Tabla_control_serigrafia[CANTIDAD PEDIDA],MATCH(Tabla_producción_serigrafia[[#This Row],[LOTE]],Tabla_control_serigrafia[LOTE],0)),"-")</f>
        <v>29703</v>
      </c>
      <c r="N199" s="29">
        <v>14000</v>
      </c>
      <c r="O199" s="26">
        <v>156</v>
      </c>
      <c r="P199" s="30" t="s">
        <v>66</v>
      </c>
      <c r="Q199" s="34">
        <f>IFERROR(ROUNDUP(IF(Tabla_producción_serigrafia[[#This Row],[MÁQUINA]]="SF-ASP/3",Tabla_producción_serigrafia[[#This Row],[CANTIDAD PRODUCIDA]],IF(Tabla_producción_serigrafia[[#This Row],[MÁQUINA]]="DUBUIT/1",Tabla_producción_serigrafia[[#This Row],[CANTIDAD PRODUCIDA]]/2,"")),0),"0")</f>
        <v>14000</v>
      </c>
      <c r="R199" s="31" t="str">
        <f>IF(Tabla_producción_serigrafia[[#This Row],[ESTADO]]&lt;&gt;"COMPLETADO","-",IFERROR(Tabla_producción_serigrafia[[#This Row],[FECHA]] - _xlfn.XLOOKUP(Tabla_producción_serigrafia[[#This Row],[LOTE]], Tabla_control_serigrafia[LOTE], Tabla_control_serigrafia[FECHA EMISIÓN]),"-"))</f>
        <v>-</v>
      </c>
      <c r="S199" s="32"/>
      <c r="T199" s="27" t="str">
        <f>UPPER(LEFT(TEXT(Tabla_producción_serigrafia[[#This Row],[FECHA]],"mmm"),3))</f>
        <v>ABR</v>
      </c>
      <c r="U199" s="27">
        <f>+Tabla_producción_serigrafia[[#This Row],[CANTIDAD PRODUCIDA]]+Tabla_producción_serigrafia[[#This Row],[CANTIDAD RECHAZADA]]</f>
        <v>14156</v>
      </c>
    </row>
  </sheetData>
  <conditionalFormatting sqref="F2:F199 I2:M199 R2:R199">
    <cfRule type="cellIs" dxfId="55" priority="4" operator="greaterThanOr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AA5C-8519-4642-BEE8-4839CD672E1A}">
  <dimension ref="B2:D28"/>
  <sheetViews>
    <sheetView showGridLines="0" zoomScaleNormal="100" workbookViewId="0">
      <selection activeCell="C77" sqref="C77"/>
    </sheetView>
  </sheetViews>
  <sheetFormatPr baseColWidth="10" defaultRowHeight="15" x14ac:dyDescent="0.25"/>
  <cols>
    <col min="1" max="1" width="17.5703125" bestFit="1" customWidth="1"/>
    <col min="2" max="2" width="17.85546875" bestFit="1" customWidth="1"/>
    <col min="3" max="3" width="14.140625" bestFit="1" customWidth="1"/>
    <col min="4" max="4" width="18.42578125" bestFit="1" customWidth="1"/>
    <col min="5" max="10" width="10.42578125" bestFit="1" customWidth="1"/>
    <col min="11" max="11" width="12.5703125" bestFit="1" customWidth="1"/>
  </cols>
  <sheetData>
    <row r="2" spans="2:4" ht="18" x14ac:dyDescent="0.25">
      <c r="B2" s="16" t="s">
        <v>74</v>
      </c>
    </row>
    <row r="4" spans="2:4" x14ac:dyDescent="0.25">
      <c r="B4" s="11" t="s">
        <v>50</v>
      </c>
      <c r="C4" t="s">
        <v>56</v>
      </c>
    </row>
    <row r="6" spans="2:4" ht="44.25" customHeight="1" x14ac:dyDescent="0.25">
      <c r="B6" s="17" t="s">
        <v>67</v>
      </c>
      <c r="C6" s="18" t="s">
        <v>69</v>
      </c>
      <c r="D6" s="18" t="s">
        <v>73</v>
      </c>
    </row>
    <row r="7" spans="2:4" x14ac:dyDescent="0.25">
      <c r="B7" s="12" t="s">
        <v>20</v>
      </c>
      <c r="C7" s="14">
        <v>152710</v>
      </c>
      <c r="D7" s="14">
        <v>1876</v>
      </c>
    </row>
    <row r="8" spans="2:4" x14ac:dyDescent="0.25">
      <c r="B8" s="13" t="s">
        <v>21</v>
      </c>
      <c r="C8" s="14">
        <v>130710</v>
      </c>
      <c r="D8" s="14">
        <v>1450</v>
      </c>
    </row>
    <row r="9" spans="2:4" x14ac:dyDescent="0.25">
      <c r="B9" s="13" t="s">
        <v>39</v>
      </c>
      <c r="C9" s="14">
        <v>22000</v>
      </c>
      <c r="D9" s="14">
        <v>426</v>
      </c>
    </row>
    <row r="10" spans="2:4" x14ac:dyDescent="0.25">
      <c r="B10" s="12" t="s">
        <v>28</v>
      </c>
      <c r="C10" s="14">
        <v>78830</v>
      </c>
      <c r="D10" s="14">
        <v>2570</v>
      </c>
    </row>
    <row r="11" spans="2:4" x14ac:dyDescent="0.25">
      <c r="B11" s="13" t="s">
        <v>21</v>
      </c>
      <c r="C11" s="14">
        <v>58250</v>
      </c>
      <c r="D11" s="14">
        <v>1050</v>
      </c>
    </row>
    <row r="12" spans="2:4" x14ac:dyDescent="0.25">
      <c r="B12" s="13" t="s">
        <v>39</v>
      </c>
      <c r="C12" s="14">
        <v>20580</v>
      </c>
      <c r="D12" s="14">
        <v>1520</v>
      </c>
    </row>
    <row r="13" spans="2:4" x14ac:dyDescent="0.25">
      <c r="B13" s="12" t="s">
        <v>26</v>
      </c>
      <c r="C13" s="14">
        <v>34400</v>
      </c>
      <c r="D13" s="14">
        <v>1469</v>
      </c>
    </row>
    <row r="14" spans="2:4" x14ac:dyDescent="0.25">
      <c r="B14" s="13" t="s">
        <v>21</v>
      </c>
      <c r="C14" s="14">
        <v>34400</v>
      </c>
      <c r="D14" s="14">
        <v>1469</v>
      </c>
    </row>
    <row r="15" spans="2:4" x14ac:dyDescent="0.25">
      <c r="B15" s="12" t="s">
        <v>42</v>
      </c>
      <c r="C15" s="14">
        <v>13635</v>
      </c>
      <c r="D15" s="14">
        <v>849</v>
      </c>
    </row>
    <row r="16" spans="2:4" x14ac:dyDescent="0.25">
      <c r="B16" s="13" t="s">
        <v>21</v>
      </c>
      <c r="C16" s="14">
        <v>13635</v>
      </c>
      <c r="D16" s="14">
        <v>849</v>
      </c>
    </row>
    <row r="17" spans="2:4" x14ac:dyDescent="0.25">
      <c r="B17" s="12" t="s">
        <v>34</v>
      </c>
      <c r="C17" s="14">
        <v>7360</v>
      </c>
      <c r="D17" s="14">
        <v>282</v>
      </c>
    </row>
    <row r="18" spans="2:4" x14ac:dyDescent="0.25">
      <c r="B18" s="13" t="s">
        <v>21</v>
      </c>
      <c r="C18" s="14">
        <v>7360</v>
      </c>
      <c r="D18" s="14">
        <v>282</v>
      </c>
    </row>
    <row r="19" spans="2:4" x14ac:dyDescent="0.25">
      <c r="B19" s="12" t="s">
        <v>82</v>
      </c>
      <c r="C19" s="14">
        <v>6100</v>
      </c>
      <c r="D19" s="14">
        <v>60</v>
      </c>
    </row>
    <row r="20" spans="2:4" x14ac:dyDescent="0.25">
      <c r="B20" s="13" t="s">
        <v>39</v>
      </c>
      <c r="C20" s="14">
        <v>6100</v>
      </c>
      <c r="D20" s="14">
        <v>60</v>
      </c>
    </row>
    <row r="21" spans="2:4" x14ac:dyDescent="0.25">
      <c r="B21" s="12" t="s">
        <v>68</v>
      </c>
      <c r="C21" s="14">
        <v>293035</v>
      </c>
      <c r="D21" s="14">
        <v>7106</v>
      </c>
    </row>
    <row r="23" spans="2:4" x14ac:dyDescent="0.25">
      <c r="B23" s="12"/>
      <c r="C23" s="2"/>
    </row>
    <row r="24" spans="2:4" x14ac:dyDescent="0.25">
      <c r="B24" s="11" t="s">
        <v>67</v>
      </c>
      <c r="C24" t="s">
        <v>72</v>
      </c>
    </row>
    <row r="25" spans="2:4" x14ac:dyDescent="0.25">
      <c r="B25" s="12" t="s">
        <v>64</v>
      </c>
      <c r="C25" s="2">
        <v>32.1</v>
      </c>
    </row>
    <row r="26" spans="2:4" x14ac:dyDescent="0.25">
      <c r="B26" s="12" t="s">
        <v>56</v>
      </c>
      <c r="C26" s="2">
        <v>190.29999999999998</v>
      </c>
    </row>
    <row r="27" spans="2:4" x14ac:dyDescent="0.25">
      <c r="B27" s="12" t="s">
        <v>57</v>
      </c>
      <c r="C27" s="2">
        <v>17.899999999999999</v>
      </c>
    </row>
    <row r="28" spans="2:4" x14ac:dyDescent="0.25">
      <c r="B28" s="12" t="s">
        <v>68</v>
      </c>
      <c r="C28" s="2">
        <v>240.29999999999998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BF8EBE-27C4-4071-AD06-61A550E7C5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PRODUCCIÓN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IFA-IMPRENTA</dc:creator>
  <cp:lastModifiedBy>IFA-IMPRENTA</cp:lastModifiedBy>
  <dcterms:created xsi:type="dcterms:W3CDTF">2026-01-20T18:30:14Z</dcterms:created>
  <dcterms:modified xsi:type="dcterms:W3CDTF">2026-05-04T14:08:44Z</dcterms:modified>
</cp:coreProperties>
</file>