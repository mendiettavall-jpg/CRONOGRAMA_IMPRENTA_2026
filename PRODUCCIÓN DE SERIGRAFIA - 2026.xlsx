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11.246\Planificacion\aalba\2026\02 SERIGRAFIA 2026\"/>
    </mc:Choice>
  </mc:AlternateContent>
  <xr:revisionPtr revIDLastSave="0" documentId="13_ncr:1_{8A3F8033-6C54-48D8-9FC6-2952A0442866}" xr6:coauthVersionLast="47" xr6:coauthVersionMax="47" xr10:uidLastSave="{00000000-0000-0000-0000-000000000000}"/>
  <bookViews>
    <workbookView xWindow="-120" yWindow="-120" windowWidth="20730" windowHeight="11160" activeTab="3" xr2:uid="{820C96CD-A1A8-42CA-A3E8-2E229D63ECF7}"/>
  </bookViews>
  <sheets>
    <sheet name="REGISTRO" sheetId="1" r:id="rId1"/>
    <sheet name="PRODUCCIÓN" sheetId="5" r:id="rId2"/>
    <sheet name="Hoja1" sheetId="8" r:id="rId3"/>
    <sheet name="DATOSS" sheetId="7" r:id="rId4"/>
  </sheets>
  <definedNames>
    <definedName name="DatosExternos_1" localSheetId="0" hidden="1">REGISTRO!$A$1:$P$116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94" i="5" l="1"/>
  <c r="F295" i="5"/>
  <c r="F296" i="5"/>
  <c r="F297" i="5"/>
  <c r="F298" i="5"/>
  <c r="I294" i="5"/>
  <c r="I295" i="5"/>
  <c r="I296" i="5"/>
  <c r="I297" i="5"/>
  <c r="I298" i="5"/>
  <c r="J294" i="5"/>
  <c r="J295" i="5"/>
  <c r="J296" i="5"/>
  <c r="J297" i="5"/>
  <c r="J298" i="5"/>
  <c r="K294" i="5"/>
  <c r="K295" i="5"/>
  <c r="L295" i="5" s="1"/>
  <c r="K296" i="5"/>
  <c r="K297" i="5"/>
  <c r="K298" i="5"/>
  <c r="L294" i="5"/>
  <c r="L296" i="5"/>
  <c r="L297" i="5"/>
  <c r="L298" i="5"/>
  <c r="M294" i="5"/>
  <c r="M295" i="5"/>
  <c r="M296" i="5"/>
  <c r="M297" i="5"/>
  <c r="M298" i="5"/>
  <c r="Q294" i="5"/>
  <c r="Q295" i="5"/>
  <c r="Q296" i="5"/>
  <c r="Q297" i="5"/>
  <c r="Q298" i="5"/>
  <c r="R294" i="5"/>
  <c r="R295" i="5"/>
  <c r="R296" i="5"/>
  <c r="R297" i="5"/>
  <c r="R298" i="5"/>
  <c r="T294" i="5"/>
  <c r="T295" i="5"/>
  <c r="T296" i="5"/>
  <c r="T297" i="5"/>
  <c r="T298" i="5"/>
  <c r="U294" i="5"/>
  <c r="U295" i="5"/>
  <c r="U296" i="5"/>
  <c r="U297" i="5"/>
  <c r="U298" i="5"/>
  <c r="F291" i="5"/>
  <c r="F292" i="5"/>
  <c r="F293" i="5"/>
  <c r="I291" i="5"/>
  <c r="I292" i="5"/>
  <c r="I293" i="5"/>
  <c r="J291" i="5"/>
  <c r="J292" i="5"/>
  <c r="J293" i="5"/>
  <c r="K291" i="5"/>
  <c r="K292" i="5"/>
  <c r="K293" i="5"/>
  <c r="L291" i="5"/>
  <c r="L292" i="5"/>
  <c r="L293" i="5"/>
  <c r="M291" i="5"/>
  <c r="M292" i="5"/>
  <c r="M293" i="5"/>
  <c r="Q291" i="5"/>
  <c r="Q292" i="5"/>
  <c r="Q293" i="5"/>
  <c r="R291" i="5"/>
  <c r="R292" i="5"/>
  <c r="R293" i="5"/>
  <c r="T291" i="5"/>
  <c r="T292" i="5"/>
  <c r="T293" i="5"/>
  <c r="U291" i="5"/>
  <c r="U292" i="5"/>
  <c r="U293" i="5"/>
  <c r="F286" i="5"/>
  <c r="F287" i="5"/>
  <c r="F288" i="5"/>
  <c r="F289" i="5"/>
  <c r="F290" i="5"/>
  <c r="I286" i="5"/>
  <c r="I287" i="5"/>
  <c r="I288" i="5"/>
  <c r="I289" i="5"/>
  <c r="I290" i="5"/>
  <c r="J286" i="5"/>
  <c r="J287" i="5"/>
  <c r="J288" i="5"/>
  <c r="J289" i="5"/>
  <c r="J290" i="5"/>
  <c r="K286" i="5"/>
  <c r="K287" i="5"/>
  <c r="K288" i="5"/>
  <c r="K289" i="5"/>
  <c r="K290" i="5"/>
  <c r="L286" i="5"/>
  <c r="L287" i="5"/>
  <c r="L288" i="5"/>
  <c r="L289" i="5"/>
  <c r="L290" i="5"/>
  <c r="M286" i="5"/>
  <c r="M287" i="5"/>
  <c r="M288" i="5"/>
  <c r="M289" i="5"/>
  <c r="M290" i="5"/>
  <c r="Q286" i="5"/>
  <c r="Q287" i="5"/>
  <c r="Q288" i="5"/>
  <c r="Q289" i="5"/>
  <c r="Q290" i="5"/>
  <c r="R286" i="5"/>
  <c r="R287" i="5"/>
  <c r="R288" i="5"/>
  <c r="R289" i="5"/>
  <c r="R290" i="5"/>
  <c r="T286" i="5"/>
  <c r="T287" i="5"/>
  <c r="T288" i="5"/>
  <c r="T289" i="5"/>
  <c r="T290" i="5"/>
  <c r="U286" i="5"/>
  <c r="U287" i="5"/>
  <c r="U288" i="5"/>
  <c r="U289" i="5"/>
  <c r="U290" i="5"/>
  <c r="F284" i="5"/>
  <c r="F285" i="5"/>
  <c r="I284" i="5"/>
  <c r="I285" i="5"/>
  <c r="J284" i="5"/>
  <c r="J285" i="5"/>
  <c r="K284" i="5"/>
  <c r="K285" i="5"/>
  <c r="L284" i="5"/>
  <c r="L285" i="5"/>
  <c r="M284" i="5"/>
  <c r="M285" i="5"/>
  <c r="Q284" i="5"/>
  <c r="Q285" i="5"/>
  <c r="R284" i="5"/>
  <c r="R285" i="5"/>
  <c r="T284" i="5"/>
  <c r="T285" i="5"/>
  <c r="U284" i="5"/>
  <c r="U285" i="5"/>
  <c r="F282" i="5"/>
  <c r="F283" i="5"/>
  <c r="I282" i="5"/>
  <c r="I283" i="5"/>
  <c r="J282" i="5"/>
  <c r="J283" i="5"/>
  <c r="K282" i="5"/>
  <c r="K283" i="5"/>
  <c r="L282" i="5"/>
  <c r="L283" i="5"/>
  <c r="M282" i="5"/>
  <c r="M283" i="5"/>
  <c r="Q282" i="5"/>
  <c r="Q283" i="5"/>
  <c r="R282" i="5"/>
  <c r="R283" i="5"/>
  <c r="T282" i="5"/>
  <c r="T283" i="5"/>
  <c r="U282" i="5"/>
  <c r="U283" i="5"/>
  <c r="F280" i="5"/>
  <c r="F281" i="5"/>
  <c r="I280" i="5"/>
  <c r="I281" i="5"/>
  <c r="J280" i="5"/>
  <c r="J281" i="5"/>
  <c r="K280" i="5"/>
  <c r="K281" i="5"/>
  <c r="L280" i="5"/>
  <c r="L281" i="5"/>
  <c r="M280" i="5"/>
  <c r="M281" i="5"/>
  <c r="Q280" i="5"/>
  <c r="Q281" i="5"/>
  <c r="R280" i="5"/>
  <c r="R281" i="5"/>
  <c r="T280" i="5"/>
  <c r="T281" i="5"/>
  <c r="U280" i="5"/>
  <c r="U281" i="5"/>
  <c r="F276" i="5"/>
  <c r="F277" i="5"/>
  <c r="F278" i="5"/>
  <c r="F279" i="5"/>
  <c r="I276" i="5"/>
  <c r="I277" i="5"/>
  <c r="I278" i="5"/>
  <c r="I279" i="5"/>
  <c r="J276" i="5"/>
  <c r="J277" i="5"/>
  <c r="J278" i="5"/>
  <c r="J279" i="5"/>
  <c r="K276" i="5"/>
  <c r="K277" i="5"/>
  <c r="K278" i="5"/>
  <c r="K279" i="5"/>
  <c r="L276" i="5"/>
  <c r="L277" i="5"/>
  <c r="L278" i="5"/>
  <c r="L279" i="5"/>
  <c r="M276" i="5"/>
  <c r="M277" i="5"/>
  <c r="M278" i="5"/>
  <c r="M279" i="5"/>
  <c r="Q276" i="5"/>
  <c r="Q277" i="5"/>
  <c r="Q278" i="5"/>
  <c r="Q279" i="5"/>
  <c r="R276" i="5"/>
  <c r="R277" i="5"/>
  <c r="R278" i="5"/>
  <c r="R279" i="5"/>
  <c r="T276" i="5"/>
  <c r="T277" i="5"/>
  <c r="T278" i="5"/>
  <c r="T279" i="5"/>
  <c r="U276" i="5"/>
  <c r="U277" i="5"/>
  <c r="U278" i="5"/>
  <c r="U279" i="5"/>
  <c r="F272" i="5"/>
  <c r="F273" i="5"/>
  <c r="F274" i="5"/>
  <c r="F275" i="5"/>
  <c r="I272" i="5"/>
  <c r="I273" i="5"/>
  <c r="I274" i="5"/>
  <c r="I275" i="5"/>
  <c r="J272" i="5"/>
  <c r="J273" i="5"/>
  <c r="J274" i="5"/>
  <c r="J275" i="5"/>
  <c r="K272" i="5"/>
  <c r="K273" i="5"/>
  <c r="K274" i="5"/>
  <c r="K275" i="5"/>
  <c r="L272" i="5"/>
  <c r="L273" i="5"/>
  <c r="L274" i="5"/>
  <c r="L275" i="5"/>
  <c r="M272" i="5"/>
  <c r="M273" i="5"/>
  <c r="M274" i="5"/>
  <c r="M275" i="5"/>
  <c r="Q272" i="5"/>
  <c r="Q273" i="5"/>
  <c r="Q274" i="5"/>
  <c r="Q275" i="5"/>
  <c r="R272" i="5"/>
  <c r="R273" i="5"/>
  <c r="R274" i="5"/>
  <c r="R275" i="5"/>
  <c r="T272" i="5"/>
  <c r="T273" i="5"/>
  <c r="T274" i="5"/>
  <c r="T275" i="5"/>
  <c r="U272" i="5"/>
  <c r="U273" i="5"/>
  <c r="U274" i="5"/>
  <c r="U275" i="5"/>
  <c r="F266" i="5"/>
  <c r="F267" i="5"/>
  <c r="F268" i="5"/>
  <c r="F269" i="5"/>
  <c r="F270" i="5"/>
  <c r="F271" i="5"/>
  <c r="I266" i="5"/>
  <c r="I267" i="5"/>
  <c r="I268" i="5"/>
  <c r="I269" i="5"/>
  <c r="I270" i="5"/>
  <c r="I271" i="5"/>
  <c r="J266" i="5"/>
  <c r="J267" i="5"/>
  <c r="J268" i="5"/>
  <c r="J269" i="5"/>
  <c r="J270" i="5"/>
  <c r="J271" i="5"/>
  <c r="K266" i="5"/>
  <c r="K267" i="5"/>
  <c r="K268" i="5"/>
  <c r="K269" i="5"/>
  <c r="K270" i="5"/>
  <c r="K271" i="5"/>
  <c r="L266" i="5"/>
  <c r="L267" i="5"/>
  <c r="L268" i="5"/>
  <c r="L269" i="5"/>
  <c r="L270" i="5"/>
  <c r="L271" i="5"/>
  <c r="M266" i="5"/>
  <c r="M267" i="5"/>
  <c r="M268" i="5"/>
  <c r="M269" i="5"/>
  <c r="M270" i="5"/>
  <c r="M271" i="5"/>
  <c r="Q266" i="5"/>
  <c r="Q267" i="5"/>
  <c r="Q268" i="5"/>
  <c r="Q269" i="5"/>
  <c r="Q270" i="5"/>
  <c r="Q271" i="5"/>
  <c r="R266" i="5"/>
  <c r="R267" i="5"/>
  <c r="R268" i="5"/>
  <c r="R269" i="5"/>
  <c r="R270" i="5"/>
  <c r="R271" i="5"/>
  <c r="T266" i="5"/>
  <c r="T267" i="5"/>
  <c r="T268" i="5"/>
  <c r="T269" i="5"/>
  <c r="T270" i="5"/>
  <c r="T271" i="5"/>
  <c r="U266" i="5"/>
  <c r="U267" i="5"/>
  <c r="U268" i="5"/>
  <c r="U269" i="5"/>
  <c r="U270" i="5"/>
  <c r="U271" i="5"/>
  <c r="F260" i="5"/>
  <c r="F261" i="5"/>
  <c r="F262" i="5"/>
  <c r="F263" i="5"/>
  <c r="F264" i="5"/>
  <c r="F265" i="5"/>
  <c r="I260" i="5"/>
  <c r="I261" i="5"/>
  <c r="I262" i="5"/>
  <c r="I263" i="5"/>
  <c r="I264" i="5"/>
  <c r="I265" i="5"/>
  <c r="J260" i="5"/>
  <c r="J261" i="5"/>
  <c r="J262" i="5"/>
  <c r="J263" i="5"/>
  <c r="J264" i="5"/>
  <c r="J265" i="5"/>
  <c r="K260" i="5"/>
  <c r="K261" i="5"/>
  <c r="K262" i="5"/>
  <c r="K263" i="5"/>
  <c r="K264" i="5"/>
  <c r="K265" i="5"/>
  <c r="L260" i="5"/>
  <c r="L261" i="5"/>
  <c r="L262" i="5"/>
  <c r="L263" i="5"/>
  <c r="L264" i="5"/>
  <c r="L265" i="5"/>
  <c r="M260" i="5"/>
  <c r="M261" i="5"/>
  <c r="M262" i="5"/>
  <c r="M263" i="5"/>
  <c r="M264" i="5"/>
  <c r="M265" i="5"/>
  <c r="Q260" i="5"/>
  <c r="Q261" i="5"/>
  <c r="Q262" i="5"/>
  <c r="Q263" i="5"/>
  <c r="Q264" i="5"/>
  <c r="Q265" i="5"/>
  <c r="R260" i="5"/>
  <c r="R261" i="5"/>
  <c r="R262" i="5"/>
  <c r="R263" i="5"/>
  <c r="R264" i="5"/>
  <c r="R265" i="5"/>
  <c r="T260" i="5"/>
  <c r="T261" i="5"/>
  <c r="T262" i="5"/>
  <c r="T263" i="5"/>
  <c r="T264" i="5"/>
  <c r="T265" i="5"/>
  <c r="U260" i="5"/>
  <c r="U261" i="5"/>
  <c r="U262" i="5"/>
  <c r="U263" i="5"/>
  <c r="U264" i="5"/>
  <c r="U265" i="5"/>
  <c r="F258" i="5"/>
  <c r="F259" i="5"/>
  <c r="I258" i="5"/>
  <c r="I259" i="5"/>
  <c r="J258" i="5"/>
  <c r="J259" i="5"/>
  <c r="K258" i="5"/>
  <c r="K259" i="5"/>
  <c r="L258" i="5"/>
  <c r="L259" i="5"/>
  <c r="M258" i="5"/>
  <c r="M259" i="5"/>
  <c r="Q258" i="5"/>
  <c r="Q259" i="5"/>
  <c r="R258" i="5"/>
  <c r="R259" i="5"/>
  <c r="T258" i="5"/>
  <c r="T259" i="5"/>
  <c r="U258" i="5"/>
  <c r="U259" i="5"/>
  <c r="F255" i="5"/>
  <c r="F256" i="5"/>
  <c r="F257" i="5"/>
  <c r="I255" i="5"/>
  <c r="I256" i="5"/>
  <c r="I257" i="5"/>
  <c r="J255" i="5"/>
  <c r="J256" i="5"/>
  <c r="J257" i="5"/>
  <c r="K255" i="5"/>
  <c r="L255" i="5" s="1"/>
  <c r="K256" i="5"/>
  <c r="K257" i="5"/>
  <c r="L257" i="5" s="1"/>
  <c r="L256" i="5"/>
  <c r="M255" i="5"/>
  <c r="M256" i="5"/>
  <c r="M257" i="5"/>
  <c r="Q255" i="5"/>
  <c r="Q256" i="5"/>
  <c r="Q257" i="5"/>
  <c r="R255" i="5"/>
  <c r="R256" i="5"/>
  <c r="R257" i="5"/>
  <c r="T255" i="5"/>
  <c r="T256" i="5"/>
  <c r="T257" i="5"/>
  <c r="U255" i="5"/>
  <c r="U256" i="5"/>
  <c r="U257" i="5"/>
  <c r="F254" i="5"/>
  <c r="I254" i="5"/>
  <c r="J254" i="5"/>
  <c r="K254" i="5"/>
  <c r="L254" i="5"/>
  <c r="M254" i="5"/>
  <c r="Q254" i="5"/>
  <c r="R254" i="5"/>
  <c r="T254" i="5"/>
  <c r="U254" i="5"/>
  <c r="E41" i="7" l="1"/>
  <c r="K24" i="7"/>
  <c r="E45" i="7" l="1"/>
  <c r="F250" i="5"/>
  <c r="F251" i="5"/>
  <c r="F252" i="5"/>
  <c r="F253" i="5"/>
  <c r="I250" i="5"/>
  <c r="I251" i="5"/>
  <c r="I252" i="5"/>
  <c r="I253" i="5"/>
  <c r="J250" i="5"/>
  <c r="J251" i="5"/>
  <c r="J252" i="5"/>
  <c r="J253" i="5"/>
  <c r="K250" i="5"/>
  <c r="K251" i="5"/>
  <c r="K252" i="5"/>
  <c r="K253" i="5"/>
  <c r="L250" i="5"/>
  <c r="L251" i="5"/>
  <c r="L252" i="5"/>
  <c r="L253" i="5"/>
  <c r="M250" i="5"/>
  <c r="M251" i="5"/>
  <c r="M252" i="5"/>
  <c r="M253" i="5"/>
  <c r="Q250" i="5"/>
  <c r="Q251" i="5"/>
  <c r="Q252" i="5"/>
  <c r="Q253" i="5"/>
  <c r="R250" i="5"/>
  <c r="R251" i="5"/>
  <c r="R252" i="5"/>
  <c r="R253" i="5"/>
  <c r="T250" i="5"/>
  <c r="T251" i="5"/>
  <c r="T252" i="5"/>
  <c r="T253" i="5"/>
  <c r="U250" i="5"/>
  <c r="U251" i="5"/>
  <c r="U252" i="5"/>
  <c r="U253" i="5"/>
  <c r="F248" i="5"/>
  <c r="F249" i="5"/>
  <c r="I248" i="5"/>
  <c r="I249" i="5"/>
  <c r="J248" i="5"/>
  <c r="J249" i="5"/>
  <c r="K248" i="5"/>
  <c r="K249" i="5"/>
  <c r="L248" i="5"/>
  <c r="L249" i="5"/>
  <c r="M248" i="5"/>
  <c r="M249" i="5"/>
  <c r="Q248" i="5"/>
  <c r="Q249" i="5"/>
  <c r="R248" i="5"/>
  <c r="R249" i="5"/>
  <c r="T248" i="5"/>
  <c r="T249" i="5"/>
  <c r="U248" i="5"/>
  <c r="U249" i="5"/>
  <c r="F242" i="5"/>
  <c r="F243" i="5"/>
  <c r="F244" i="5"/>
  <c r="F245" i="5"/>
  <c r="F246" i="5"/>
  <c r="F247" i="5"/>
  <c r="I242" i="5"/>
  <c r="I243" i="5"/>
  <c r="I244" i="5"/>
  <c r="I245" i="5"/>
  <c r="I246" i="5"/>
  <c r="I247" i="5"/>
  <c r="J242" i="5"/>
  <c r="J243" i="5"/>
  <c r="J244" i="5"/>
  <c r="J245" i="5"/>
  <c r="J246" i="5"/>
  <c r="J247" i="5"/>
  <c r="K242" i="5"/>
  <c r="K243" i="5"/>
  <c r="K244" i="5"/>
  <c r="K245" i="5"/>
  <c r="K246" i="5"/>
  <c r="K247" i="5"/>
  <c r="L242" i="5"/>
  <c r="L243" i="5"/>
  <c r="L244" i="5"/>
  <c r="L245" i="5"/>
  <c r="L246" i="5"/>
  <c r="L247" i="5"/>
  <c r="M242" i="5"/>
  <c r="M243" i="5"/>
  <c r="M244" i="5"/>
  <c r="M245" i="5"/>
  <c r="M246" i="5"/>
  <c r="M247" i="5"/>
  <c r="Q242" i="5"/>
  <c r="Q243" i="5"/>
  <c r="Q244" i="5"/>
  <c r="Q245" i="5"/>
  <c r="Q246" i="5"/>
  <c r="Q247" i="5"/>
  <c r="R242" i="5"/>
  <c r="R243" i="5"/>
  <c r="R244" i="5"/>
  <c r="R245" i="5"/>
  <c r="R246" i="5"/>
  <c r="R247" i="5"/>
  <c r="T242" i="5"/>
  <c r="T243" i="5"/>
  <c r="T244" i="5"/>
  <c r="T245" i="5"/>
  <c r="T246" i="5"/>
  <c r="T247" i="5"/>
  <c r="U242" i="5"/>
  <c r="U243" i="5"/>
  <c r="U244" i="5"/>
  <c r="U245" i="5"/>
  <c r="U246" i="5"/>
  <c r="U247" i="5"/>
  <c r="K15" i="7"/>
  <c r="K16" i="7"/>
  <c r="K17" i="7"/>
  <c r="K18" i="7"/>
  <c r="K19" i="7"/>
  <c r="K20" i="7"/>
  <c r="K21" i="7"/>
  <c r="K22" i="7"/>
  <c r="K23" i="7"/>
  <c r="K25" i="7"/>
  <c r="K26" i="7"/>
  <c r="K27" i="7"/>
  <c r="K28" i="7"/>
  <c r="K29" i="7"/>
  <c r="F241" i="5"/>
  <c r="I241" i="5"/>
  <c r="J241" i="5"/>
  <c r="K241" i="5"/>
  <c r="L241" i="5"/>
  <c r="M241" i="5"/>
  <c r="Q241" i="5"/>
  <c r="R241" i="5"/>
  <c r="T241" i="5"/>
  <c r="U241" i="5"/>
  <c r="F237" i="5"/>
  <c r="F238" i="5"/>
  <c r="F239" i="5"/>
  <c r="F240" i="5"/>
  <c r="I237" i="5"/>
  <c r="I238" i="5"/>
  <c r="I239" i="5"/>
  <c r="I240" i="5"/>
  <c r="J237" i="5"/>
  <c r="J238" i="5"/>
  <c r="J239" i="5"/>
  <c r="J240" i="5"/>
  <c r="K237" i="5"/>
  <c r="K238" i="5"/>
  <c r="K239" i="5"/>
  <c r="K240" i="5"/>
  <c r="L237" i="5"/>
  <c r="L238" i="5"/>
  <c r="L239" i="5"/>
  <c r="L240" i="5"/>
  <c r="M237" i="5"/>
  <c r="M238" i="5"/>
  <c r="M239" i="5"/>
  <c r="M240" i="5"/>
  <c r="Q237" i="5"/>
  <c r="Q238" i="5"/>
  <c r="Q239" i="5"/>
  <c r="Q240" i="5"/>
  <c r="R237" i="5"/>
  <c r="R238" i="5"/>
  <c r="R239" i="5"/>
  <c r="R240" i="5"/>
  <c r="T237" i="5"/>
  <c r="T238" i="5"/>
  <c r="T239" i="5"/>
  <c r="T240" i="5"/>
  <c r="U237" i="5"/>
  <c r="U238" i="5"/>
  <c r="U239" i="5"/>
  <c r="U240" i="5"/>
  <c r="F234" i="5"/>
  <c r="F235" i="5"/>
  <c r="F236" i="5"/>
  <c r="I234" i="5"/>
  <c r="I235" i="5"/>
  <c r="I236" i="5"/>
  <c r="J234" i="5"/>
  <c r="J235" i="5"/>
  <c r="J236" i="5"/>
  <c r="K234" i="5"/>
  <c r="K235" i="5"/>
  <c r="K236" i="5"/>
  <c r="L235" i="5"/>
  <c r="M234" i="5"/>
  <c r="M235" i="5"/>
  <c r="M236" i="5"/>
  <c r="Q234" i="5"/>
  <c r="Q235" i="5"/>
  <c r="Q236" i="5"/>
  <c r="R234" i="5"/>
  <c r="R235" i="5"/>
  <c r="R236" i="5"/>
  <c r="T234" i="5"/>
  <c r="T235" i="5"/>
  <c r="T236" i="5"/>
  <c r="U234" i="5"/>
  <c r="U235" i="5"/>
  <c r="U236" i="5"/>
  <c r="F233" i="5"/>
  <c r="I233" i="5"/>
  <c r="J233" i="5"/>
  <c r="K233" i="5"/>
  <c r="L233" i="5"/>
  <c r="M233" i="5"/>
  <c r="Q233" i="5"/>
  <c r="R233" i="5"/>
  <c r="T233" i="5"/>
  <c r="U233" i="5"/>
  <c r="F228" i="5"/>
  <c r="F229" i="5"/>
  <c r="F230" i="5"/>
  <c r="F231" i="5"/>
  <c r="F232" i="5"/>
  <c r="I228" i="5"/>
  <c r="I229" i="5"/>
  <c r="I230" i="5"/>
  <c r="I231" i="5"/>
  <c r="I232" i="5"/>
  <c r="J228" i="5"/>
  <c r="J229" i="5"/>
  <c r="J230" i="5"/>
  <c r="J231" i="5"/>
  <c r="J232" i="5"/>
  <c r="K228" i="5"/>
  <c r="K229" i="5"/>
  <c r="K230" i="5"/>
  <c r="K231" i="5"/>
  <c r="K232" i="5"/>
  <c r="M228" i="5"/>
  <c r="M229" i="5"/>
  <c r="M230" i="5"/>
  <c r="M231" i="5"/>
  <c r="M232" i="5"/>
  <c r="Q228" i="5"/>
  <c r="Q229" i="5"/>
  <c r="Q230" i="5"/>
  <c r="Q231" i="5"/>
  <c r="Q232" i="5"/>
  <c r="R228" i="5"/>
  <c r="R229" i="5"/>
  <c r="R230" i="5"/>
  <c r="R231" i="5"/>
  <c r="R232" i="5"/>
  <c r="T228" i="5"/>
  <c r="T229" i="5"/>
  <c r="T230" i="5"/>
  <c r="T231" i="5"/>
  <c r="T232" i="5"/>
  <c r="U228" i="5"/>
  <c r="U229" i="5"/>
  <c r="U230" i="5"/>
  <c r="U231" i="5"/>
  <c r="U232" i="5"/>
  <c r="E8" i="8"/>
  <c r="E7" i="8"/>
  <c r="E6" i="8"/>
  <c r="E5" i="8"/>
  <c r="E4" i="8"/>
  <c r="E3" i="8"/>
  <c r="D8" i="8"/>
  <c r="D7" i="8"/>
  <c r="D6" i="8"/>
  <c r="D5" i="8"/>
  <c r="D4" i="8"/>
  <c r="D3" i="8"/>
  <c r="C8" i="8"/>
  <c r="C7" i="8"/>
  <c r="C6" i="8"/>
  <c r="C5" i="8"/>
  <c r="C4" i="8"/>
  <c r="C3" i="8"/>
  <c r="N16" i="5"/>
  <c r="N89" i="5"/>
  <c r="Q89" i="5" s="1"/>
  <c r="F89" i="5"/>
  <c r="I89" i="5"/>
  <c r="J89" i="5"/>
  <c r="K89" i="5"/>
  <c r="M89" i="5"/>
  <c r="R89" i="5"/>
  <c r="T89" i="5"/>
  <c r="U89" i="5"/>
  <c r="N83" i="5"/>
  <c r="Q83" i="5" s="1"/>
  <c r="F83" i="5"/>
  <c r="I83" i="5"/>
  <c r="J83" i="5"/>
  <c r="K83" i="5"/>
  <c r="M83" i="5"/>
  <c r="R83" i="5"/>
  <c r="T83" i="5"/>
  <c r="U83" i="5"/>
  <c r="U2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4" i="5"/>
  <c r="U85" i="5"/>
  <c r="U86" i="5"/>
  <c r="U87" i="5"/>
  <c r="U88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185" i="5"/>
  <c r="U186" i="5"/>
  <c r="U187" i="5"/>
  <c r="U188" i="5"/>
  <c r="U189" i="5"/>
  <c r="U190" i="5"/>
  <c r="U191" i="5"/>
  <c r="U192" i="5"/>
  <c r="U193" i="5"/>
  <c r="U194" i="5"/>
  <c r="U195" i="5"/>
  <c r="U196" i="5"/>
  <c r="U197" i="5"/>
  <c r="U198" i="5"/>
  <c r="U199" i="5"/>
  <c r="U200" i="5"/>
  <c r="U201" i="5"/>
  <c r="U202" i="5"/>
  <c r="U203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L223" i="5"/>
  <c r="F222" i="5"/>
  <c r="F223" i="5"/>
  <c r="F224" i="5"/>
  <c r="F225" i="5"/>
  <c r="F226" i="5"/>
  <c r="F227" i="5"/>
  <c r="I222" i="5"/>
  <c r="I223" i="5"/>
  <c r="I224" i="5"/>
  <c r="I225" i="5"/>
  <c r="I226" i="5"/>
  <c r="I227" i="5"/>
  <c r="J222" i="5"/>
  <c r="J223" i="5"/>
  <c r="J224" i="5"/>
  <c r="J225" i="5"/>
  <c r="J226" i="5"/>
  <c r="J227" i="5"/>
  <c r="K222" i="5"/>
  <c r="K223" i="5"/>
  <c r="K224" i="5"/>
  <c r="K225" i="5"/>
  <c r="K226" i="5"/>
  <c r="K227" i="5"/>
  <c r="L222" i="5"/>
  <c r="L225" i="5"/>
  <c r="M222" i="5"/>
  <c r="M223" i="5"/>
  <c r="M224" i="5"/>
  <c r="M225" i="5"/>
  <c r="M226" i="5"/>
  <c r="M227" i="5"/>
  <c r="Q222" i="5"/>
  <c r="Q223" i="5"/>
  <c r="Q224" i="5"/>
  <c r="Q225" i="5"/>
  <c r="Q226" i="5"/>
  <c r="Q227" i="5"/>
  <c r="R222" i="5"/>
  <c r="R223" i="5"/>
  <c r="R224" i="5"/>
  <c r="R225" i="5"/>
  <c r="R226" i="5"/>
  <c r="R227" i="5"/>
  <c r="T222" i="5"/>
  <c r="T223" i="5"/>
  <c r="T224" i="5"/>
  <c r="T225" i="5"/>
  <c r="T226" i="5"/>
  <c r="T227" i="5"/>
  <c r="F217" i="5"/>
  <c r="F218" i="5"/>
  <c r="F219" i="5"/>
  <c r="F220" i="5"/>
  <c r="F221" i="5"/>
  <c r="I217" i="5"/>
  <c r="I218" i="5"/>
  <c r="I219" i="5"/>
  <c r="I220" i="5"/>
  <c r="I221" i="5"/>
  <c r="J217" i="5"/>
  <c r="J218" i="5"/>
  <c r="J219" i="5"/>
  <c r="J220" i="5"/>
  <c r="J221" i="5"/>
  <c r="K217" i="5"/>
  <c r="K218" i="5"/>
  <c r="K219" i="5"/>
  <c r="K220" i="5"/>
  <c r="K221" i="5"/>
  <c r="L217" i="5"/>
  <c r="L219" i="5"/>
  <c r="M217" i="5"/>
  <c r="M218" i="5"/>
  <c r="M219" i="5"/>
  <c r="M220" i="5"/>
  <c r="M221" i="5"/>
  <c r="Q217" i="5"/>
  <c r="Q218" i="5"/>
  <c r="Q219" i="5"/>
  <c r="Q220" i="5"/>
  <c r="Q221" i="5"/>
  <c r="R217" i="5"/>
  <c r="R218" i="5"/>
  <c r="R219" i="5"/>
  <c r="R220" i="5"/>
  <c r="R221" i="5"/>
  <c r="T217" i="5"/>
  <c r="T218" i="5"/>
  <c r="T219" i="5"/>
  <c r="T220" i="5"/>
  <c r="T221" i="5"/>
  <c r="F213" i="5"/>
  <c r="F214" i="5"/>
  <c r="F215" i="5"/>
  <c r="F216" i="5"/>
  <c r="I213" i="5"/>
  <c r="I214" i="5"/>
  <c r="I215" i="5"/>
  <c r="I216" i="5"/>
  <c r="J213" i="5"/>
  <c r="J214" i="5"/>
  <c r="J215" i="5"/>
  <c r="J216" i="5"/>
  <c r="K213" i="5"/>
  <c r="K214" i="5"/>
  <c r="K215" i="5"/>
  <c r="K216" i="5"/>
  <c r="L213" i="5"/>
  <c r="L215" i="5"/>
  <c r="M213" i="5"/>
  <c r="M214" i="5"/>
  <c r="M215" i="5"/>
  <c r="M216" i="5"/>
  <c r="Q213" i="5"/>
  <c r="Q214" i="5"/>
  <c r="Q215" i="5"/>
  <c r="Q216" i="5"/>
  <c r="R213" i="5"/>
  <c r="R214" i="5"/>
  <c r="R215" i="5"/>
  <c r="R216" i="5"/>
  <c r="T213" i="5"/>
  <c r="T214" i="5"/>
  <c r="T215" i="5"/>
  <c r="T216" i="5"/>
  <c r="E44" i="7"/>
  <c r="E32" i="7"/>
  <c r="E33" i="7"/>
  <c r="E34" i="7"/>
  <c r="E35" i="7"/>
  <c r="E36" i="7"/>
  <c r="E37" i="7"/>
  <c r="E38" i="7"/>
  <c r="E39" i="7"/>
  <c r="E40" i="7"/>
  <c r="E42" i="7"/>
  <c r="E43" i="7"/>
  <c r="E31" i="7"/>
  <c r="E26" i="7"/>
  <c r="E27" i="7"/>
  <c r="E28" i="7"/>
  <c r="E21" i="7"/>
  <c r="E22" i="7"/>
  <c r="E23" i="7"/>
  <c r="E24" i="7"/>
  <c r="E25" i="7"/>
  <c r="E15" i="7"/>
  <c r="E16" i="7"/>
  <c r="E17" i="7"/>
  <c r="E18" i="7"/>
  <c r="E19" i="7"/>
  <c r="E20" i="7"/>
  <c r="L232" i="5" l="1"/>
  <c r="L230" i="5"/>
  <c r="L228" i="5"/>
  <c r="L231" i="5"/>
  <c r="L236" i="5"/>
  <c r="L234" i="5"/>
  <c r="L229" i="5"/>
  <c r="L89" i="5"/>
  <c r="L83" i="5"/>
  <c r="L227" i="5"/>
  <c r="L220" i="5"/>
  <c r="L214" i="5"/>
  <c r="L218" i="5"/>
  <c r="L221" i="5"/>
  <c r="L224" i="5"/>
  <c r="L216" i="5"/>
  <c r="L226" i="5"/>
  <c r="F209" i="5"/>
  <c r="F210" i="5"/>
  <c r="F211" i="5"/>
  <c r="F212" i="5"/>
  <c r="I209" i="5"/>
  <c r="I210" i="5"/>
  <c r="I211" i="5"/>
  <c r="I212" i="5"/>
  <c r="J209" i="5"/>
  <c r="J210" i="5"/>
  <c r="J211" i="5"/>
  <c r="J212" i="5"/>
  <c r="K209" i="5"/>
  <c r="K210" i="5"/>
  <c r="K211" i="5"/>
  <c r="K212" i="5"/>
  <c r="L209" i="5"/>
  <c r="L211" i="5"/>
  <c r="M209" i="5"/>
  <c r="M210" i="5"/>
  <c r="M211" i="5"/>
  <c r="M212" i="5"/>
  <c r="Q209" i="5"/>
  <c r="Q210" i="5"/>
  <c r="Q211" i="5"/>
  <c r="Q212" i="5"/>
  <c r="R209" i="5"/>
  <c r="R210" i="5"/>
  <c r="R211" i="5"/>
  <c r="R212" i="5"/>
  <c r="T209" i="5"/>
  <c r="T210" i="5"/>
  <c r="T211" i="5"/>
  <c r="T212" i="5"/>
  <c r="F206" i="5"/>
  <c r="F207" i="5"/>
  <c r="F208" i="5"/>
  <c r="I206" i="5"/>
  <c r="I207" i="5"/>
  <c r="I208" i="5"/>
  <c r="J206" i="5"/>
  <c r="J207" i="5"/>
  <c r="J208" i="5"/>
  <c r="K206" i="5"/>
  <c r="K207" i="5"/>
  <c r="K208" i="5"/>
  <c r="L206" i="5"/>
  <c r="L207" i="5"/>
  <c r="M206" i="5"/>
  <c r="M207" i="5"/>
  <c r="M208" i="5"/>
  <c r="Q206" i="5"/>
  <c r="Q207" i="5"/>
  <c r="Q208" i="5"/>
  <c r="R206" i="5"/>
  <c r="R207" i="5"/>
  <c r="R208" i="5"/>
  <c r="T206" i="5"/>
  <c r="T207" i="5"/>
  <c r="T208" i="5"/>
  <c r="F202" i="5"/>
  <c r="F203" i="5"/>
  <c r="F204" i="5"/>
  <c r="F205" i="5"/>
  <c r="I202" i="5"/>
  <c r="I203" i="5"/>
  <c r="I204" i="5"/>
  <c r="I205" i="5"/>
  <c r="J202" i="5"/>
  <c r="J203" i="5"/>
  <c r="J204" i="5"/>
  <c r="J205" i="5"/>
  <c r="K202" i="5"/>
  <c r="K203" i="5"/>
  <c r="K204" i="5"/>
  <c r="K205" i="5"/>
  <c r="L202" i="5"/>
  <c r="L204" i="5"/>
  <c r="M202" i="5"/>
  <c r="M203" i="5"/>
  <c r="M204" i="5"/>
  <c r="M205" i="5"/>
  <c r="Q202" i="5"/>
  <c r="Q203" i="5"/>
  <c r="Q204" i="5"/>
  <c r="Q205" i="5"/>
  <c r="R202" i="5"/>
  <c r="R203" i="5"/>
  <c r="R204" i="5"/>
  <c r="R205" i="5"/>
  <c r="T202" i="5"/>
  <c r="T203" i="5"/>
  <c r="T204" i="5"/>
  <c r="T20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4" i="5"/>
  <c r="F85" i="5"/>
  <c r="F86" i="5"/>
  <c r="F87" i="5"/>
  <c r="F88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I198" i="5"/>
  <c r="I199" i="5"/>
  <c r="I200" i="5"/>
  <c r="I201" i="5"/>
  <c r="J198" i="5"/>
  <c r="J199" i="5"/>
  <c r="J200" i="5"/>
  <c r="J201" i="5"/>
  <c r="K198" i="5"/>
  <c r="K199" i="5"/>
  <c r="K200" i="5"/>
  <c r="K201" i="5"/>
  <c r="L198" i="5"/>
  <c r="L200" i="5"/>
  <c r="M198" i="5"/>
  <c r="M199" i="5"/>
  <c r="M200" i="5"/>
  <c r="M201" i="5"/>
  <c r="Q198" i="5"/>
  <c r="Q199" i="5"/>
  <c r="Q200" i="5"/>
  <c r="Q201" i="5"/>
  <c r="R198" i="5"/>
  <c r="R199" i="5"/>
  <c r="R200" i="5"/>
  <c r="R201" i="5"/>
  <c r="T198" i="5"/>
  <c r="T199" i="5"/>
  <c r="T200" i="5"/>
  <c r="T201" i="5"/>
  <c r="I192" i="5"/>
  <c r="I193" i="5"/>
  <c r="I194" i="5"/>
  <c r="I195" i="5"/>
  <c r="I196" i="5"/>
  <c r="I197" i="5"/>
  <c r="J192" i="5"/>
  <c r="J193" i="5"/>
  <c r="J194" i="5"/>
  <c r="J195" i="5"/>
  <c r="J196" i="5"/>
  <c r="J197" i="5"/>
  <c r="K192" i="5"/>
  <c r="K193" i="5"/>
  <c r="K194" i="5"/>
  <c r="K195" i="5"/>
  <c r="K196" i="5"/>
  <c r="K197" i="5"/>
  <c r="L192" i="5"/>
  <c r="M192" i="5"/>
  <c r="M193" i="5"/>
  <c r="M194" i="5"/>
  <c r="M195" i="5"/>
  <c r="M196" i="5"/>
  <c r="M197" i="5"/>
  <c r="Q192" i="5"/>
  <c r="Q193" i="5"/>
  <c r="Q194" i="5"/>
  <c r="Q195" i="5"/>
  <c r="Q196" i="5"/>
  <c r="Q197" i="5"/>
  <c r="R192" i="5"/>
  <c r="R193" i="5"/>
  <c r="R194" i="5"/>
  <c r="R195" i="5"/>
  <c r="R196" i="5"/>
  <c r="R197" i="5"/>
  <c r="T192" i="5"/>
  <c r="T193" i="5"/>
  <c r="T194" i="5"/>
  <c r="T195" i="5"/>
  <c r="T196" i="5"/>
  <c r="T197" i="5"/>
  <c r="I185" i="5"/>
  <c r="I186" i="5"/>
  <c r="I187" i="5"/>
  <c r="I188" i="5"/>
  <c r="I189" i="5"/>
  <c r="I190" i="5"/>
  <c r="I191" i="5"/>
  <c r="J185" i="5"/>
  <c r="J186" i="5"/>
  <c r="J187" i="5"/>
  <c r="J188" i="5"/>
  <c r="J189" i="5"/>
  <c r="J190" i="5"/>
  <c r="J191" i="5"/>
  <c r="K185" i="5"/>
  <c r="K186" i="5"/>
  <c r="K187" i="5"/>
  <c r="K188" i="5"/>
  <c r="K189" i="5"/>
  <c r="K190" i="5"/>
  <c r="K191" i="5"/>
  <c r="L185" i="5"/>
  <c r="L190" i="5"/>
  <c r="M185" i="5"/>
  <c r="M186" i="5"/>
  <c r="M187" i="5"/>
  <c r="M188" i="5"/>
  <c r="M189" i="5"/>
  <c r="M190" i="5"/>
  <c r="M191" i="5"/>
  <c r="Q185" i="5"/>
  <c r="Q186" i="5"/>
  <c r="Q187" i="5"/>
  <c r="Q188" i="5"/>
  <c r="Q189" i="5"/>
  <c r="Q190" i="5"/>
  <c r="Q191" i="5"/>
  <c r="R185" i="5"/>
  <c r="R186" i="5"/>
  <c r="R187" i="5"/>
  <c r="R188" i="5"/>
  <c r="R189" i="5"/>
  <c r="R190" i="5"/>
  <c r="R191" i="5"/>
  <c r="T185" i="5"/>
  <c r="T186" i="5"/>
  <c r="T187" i="5"/>
  <c r="T188" i="5"/>
  <c r="T189" i="5"/>
  <c r="T190" i="5"/>
  <c r="T191" i="5"/>
  <c r="I183" i="5"/>
  <c r="I184" i="5"/>
  <c r="J183" i="5"/>
  <c r="J184" i="5"/>
  <c r="K183" i="5"/>
  <c r="K184" i="5"/>
  <c r="L183" i="5"/>
  <c r="M183" i="5"/>
  <c r="M184" i="5"/>
  <c r="Q183" i="5"/>
  <c r="Q184" i="5"/>
  <c r="R183" i="5"/>
  <c r="R184" i="5"/>
  <c r="T183" i="5"/>
  <c r="T184" i="5"/>
  <c r="I179" i="5"/>
  <c r="I180" i="5"/>
  <c r="I181" i="5"/>
  <c r="I182" i="5"/>
  <c r="J179" i="5"/>
  <c r="J180" i="5"/>
  <c r="J181" i="5"/>
  <c r="J182" i="5"/>
  <c r="K179" i="5"/>
  <c r="K180" i="5"/>
  <c r="K181" i="5"/>
  <c r="K182" i="5"/>
  <c r="L179" i="5"/>
  <c r="L181" i="5"/>
  <c r="M179" i="5"/>
  <c r="M180" i="5"/>
  <c r="M181" i="5"/>
  <c r="M182" i="5"/>
  <c r="Q179" i="5"/>
  <c r="Q180" i="5"/>
  <c r="Q181" i="5"/>
  <c r="Q182" i="5"/>
  <c r="R179" i="5"/>
  <c r="R180" i="5"/>
  <c r="R181" i="5"/>
  <c r="R182" i="5"/>
  <c r="T179" i="5"/>
  <c r="T180" i="5"/>
  <c r="T181" i="5"/>
  <c r="T182" i="5"/>
  <c r="I173" i="5"/>
  <c r="I174" i="5"/>
  <c r="I175" i="5"/>
  <c r="I176" i="5"/>
  <c r="I177" i="5"/>
  <c r="I178" i="5"/>
  <c r="J173" i="5"/>
  <c r="J174" i="5"/>
  <c r="J175" i="5"/>
  <c r="J176" i="5"/>
  <c r="J177" i="5"/>
  <c r="J178" i="5"/>
  <c r="K173" i="5"/>
  <c r="K174" i="5"/>
  <c r="K175" i="5"/>
  <c r="K176" i="5"/>
  <c r="K177" i="5"/>
  <c r="K178" i="5"/>
  <c r="L173" i="5"/>
  <c r="L175" i="5"/>
  <c r="L177" i="5"/>
  <c r="M173" i="5"/>
  <c r="M174" i="5"/>
  <c r="M175" i="5"/>
  <c r="M176" i="5"/>
  <c r="M177" i="5"/>
  <c r="M178" i="5"/>
  <c r="Q173" i="5"/>
  <c r="Q174" i="5"/>
  <c r="Q175" i="5"/>
  <c r="Q176" i="5"/>
  <c r="Q177" i="5"/>
  <c r="Q178" i="5"/>
  <c r="R173" i="5"/>
  <c r="R174" i="5"/>
  <c r="R175" i="5"/>
  <c r="R176" i="5"/>
  <c r="R177" i="5"/>
  <c r="R178" i="5"/>
  <c r="T173" i="5"/>
  <c r="T174" i="5"/>
  <c r="T175" i="5"/>
  <c r="T176" i="5"/>
  <c r="T177" i="5"/>
  <c r="T178" i="5"/>
  <c r="I167" i="5"/>
  <c r="I168" i="5"/>
  <c r="I169" i="5"/>
  <c r="I170" i="5"/>
  <c r="I171" i="5"/>
  <c r="I172" i="5"/>
  <c r="J167" i="5"/>
  <c r="J168" i="5"/>
  <c r="J169" i="5"/>
  <c r="J170" i="5"/>
  <c r="J171" i="5"/>
  <c r="J172" i="5"/>
  <c r="K167" i="5"/>
  <c r="K168" i="5"/>
  <c r="K169" i="5"/>
  <c r="K170" i="5"/>
  <c r="K171" i="5"/>
  <c r="K172" i="5"/>
  <c r="L167" i="5"/>
  <c r="L169" i="5"/>
  <c r="L171" i="5"/>
  <c r="M167" i="5"/>
  <c r="M168" i="5"/>
  <c r="M169" i="5"/>
  <c r="M170" i="5"/>
  <c r="M171" i="5"/>
  <c r="M172" i="5"/>
  <c r="Q167" i="5"/>
  <c r="Q168" i="5"/>
  <c r="Q169" i="5"/>
  <c r="Q170" i="5"/>
  <c r="Q171" i="5"/>
  <c r="Q172" i="5"/>
  <c r="R167" i="5"/>
  <c r="R168" i="5"/>
  <c r="R169" i="5"/>
  <c r="R170" i="5"/>
  <c r="R171" i="5"/>
  <c r="R172" i="5"/>
  <c r="T167" i="5"/>
  <c r="T168" i="5"/>
  <c r="T169" i="5"/>
  <c r="T170" i="5"/>
  <c r="T171" i="5"/>
  <c r="T172" i="5"/>
  <c r="I161" i="5"/>
  <c r="I162" i="5"/>
  <c r="I163" i="5"/>
  <c r="I164" i="5"/>
  <c r="I165" i="5"/>
  <c r="I166" i="5"/>
  <c r="J161" i="5"/>
  <c r="J162" i="5"/>
  <c r="J163" i="5"/>
  <c r="J164" i="5"/>
  <c r="J165" i="5"/>
  <c r="J166" i="5"/>
  <c r="K161" i="5"/>
  <c r="K162" i="5"/>
  <c r="K163" i="5"/>
  <c r="K164" i="5"/>
  <c r="K165" i="5"/>
  <c r="K166" i="5"/>
  <c r="L161" i="5"/>
  <c r="L163" i="5"/>
  <c r="L165" i="5"/>
  <c r="M161" i="5"/>
  <c r="M162" i="5"/>
  <c r="M163" i="5"/>
  <c r="M164" i="5"/>
  <c r="M165" i="5"/>
  <c r="M166" i="5"/>
  <c r="Q161" i="5"/>
  <c r="Q162" i="5"/>
  <c r="Q163" i="5"/>
  <c r="Q164" i="5"/>
  <c r="Q165" i="5"/>
  <c r="Q166" i="5"/>
  <c r="R161" i="5"/>
  <c r="R162" i="5"/>
  <c r="R163" i="5"/>
  <c r="R164" i="5"/>
  <c r="R165" i="5"/>
  <c r="R166" i="5"/>
  <c r="T161" i="5"/>
  <c r="T162" i="5"/>
  <c r="T163" i="5"/>
  <c r="T164" i="5"/>
  <c r="T165" i="5"/>
  <c r="T166" i="5"/>
  <c r="I156" i="5"/>
  <c r="I157" i="5"/>
  <c r="I158" i="5"/>
  <c r="I159" i="5"/>
  <c r="I160" i="5"/>
  <c r="J156" i="5"/>
  <c r="J157" i="5"/>
  <c r="J158" i="5"/>
  <c r="J159" i="5"/>
  <c r="J160" i="5"/>
  <c r="K156" i="5"/>
  <c r="K157" i="5"/>
  <c r="K158" i="5"/>
  <c r="K159" i="5"/>
  <c r="K160" i="5"/>
  <c r="L156" i="5"/>
  <c r="L157" i="5"/>
  <c r="L159" i="5"/>
  <c r="M156" i="5"/>
  <c r="M157" i="5"/>
  <c r="M158" i="5"/>
  <c r="M159" i="5"/>
  <c r="M160" i="5"/>
  <c r="Q156" i="5"/>
  <c r="Q157" i="5"/>
  <c r="Q158" i="5"/>
  <c r="Q159" i="5"/>
  <c r="Q160" i="5"/>
  <c r="R156" i="5"/>
  <c r="R157" i="5"/>
  <c r="R158" i="5"/>
  <c r="R159" i="5"/>
  <c r="R160" i="5"/>
  <c r="T156" i="5"/>
  <c r="T157" i="5"/>
  <c r="T158" i="5"/>
  <c r="T159" i="5"/>
  <c r="T160" i="5"/>
  <c r="I154" i="5"/>
  <c r="I155" i="5"/>
  <c r="J154" i="5"/>
  <c r="J155" i="5"/>
  <c r="K154" i="5"/>
  <c r="K155" i="5"/>
  <c r="L154" i="5"/>
  <c r="M154" i="5"/>
  <c r="M155" i="5"/>
  <c r="Q154" i="5"/>
  <c r="Q155" i="5"/>
  <c r="R154" i="5"/>
  <c r="R155" i="5"/>
  <c r="T154" i="5"/>
  <c r="T155" i="5"/>
  <c r="I150" i="5"/>
  <c r="I151" i="5"/>
  <c r="I152" i="5"/>
  <c r="I153" i="5"/>
  <c r="J150" i="5"/>
  <c r="J151" i="5"/>
  <c r="J152" i="5"/>
  <c r="J153" i="5"/>
  <c r="K150" i="5"/>
  <c r="K151" i="5"/>
  <c r="K152" i="5"/>
  <c r="K153" i="5"/>
  <c r="L150" i="5"/>
  <c r="L152" i="5"/>
  <c r="M150" i="5"/>
  <c r="M151" i="5"/>
  <c r="M152" i="5"/>
  <c r="M153" i="5"/>
  <c r="Q150" i="5"/>
  <c r="Q151" i="5"/>
  <c r="Q152" i="5"/>
  <c r="Q153" i="5"/>
  <c r="R150" i="5"/>
  <c r="R151" i="5"/>
  <c r="R152" i="5"/>
  <c r="R153" i="5"/>
  <c r="T150" i="5"/>
  <c r="T151" i="5"/>
  <c r="T152" i="5"/>
  <c r="T153" i="5"/>
  <c r="I146" i="5"/>
  <c r="I147" i="5"/>
  <c r="I148" i="5"/>
  <c r="I149" i="5"/>
  <c r="J146" i="5"/>
  <c r="J147" i="5"/>
  <c r="J148" i="5"/>
  <c r="J149" i="5"/>
  <c r="K146" i="5"/>
  <c r="K147" i="5"/>
  <c r="K148" i="5"/>
  <c r="K149" i="5"/>
  <c r="L146" i="5"/>
  <c r="L148" i="5"/>
  <c r="M146" i="5"/>
  <c r="M147" i="5"/>
  <c r="M148" i="5"/>
  <c r="M149" i="5"/>
  <c r="Q146" i="5"/>
  <c r="Q147" i="5"/>
  <c r="Q148" i="5"/>
  <c r="Q149" i="5"/>
  <c r="R146" i="5"/>
  <c r="R147" i="5"/>
  <c r="R148" i="5"/>
  <c r="R149" i="5"/>
  <c r="T146" i="5"/>
  <c r="T147" i="5"/>
  <c r="T148" i="5"/>
  <c r="T149" i="5"/>
  <c r="I90" i="5"/>
  <c r="J90" i="5"/>
  <c r="K90" i="5"/>
  <c r="M90" i="5"/>
  <c r="Q90" i="5"/>
  <c r="R90" i="5"/>
  <c r="T90" i="5"/>
  <c r="I144" i="5"/>
  <c r="I145" i="5"/>
  <c r="J144" i="5"/>
  <c r="J145" i="5"/>
  <c r="K144" i="5"/>
  <c r="K145" i="5"/>
  <c r="L144" i="5"/>
  <c r="M144" i="5"/>
  <c r="M145" i="5"/>
  <c r="Q144" i="5"/>
  <c r="Q145" i="5"/>
  <c r="R144" i="5"/>
  <c r="R145" i="5"/>
  <c r="T144" i="5"/>
  <c r="T145" i="5"/>
  <c r="I143" i="5"/>
  <c r="J143" i="5"/>
  <c r="K143" i="5"/>
  <c r="M143" i="5"/>
  <c r="Q143" i="5"/>
  <c r="R143" i="5"/>
  <c r="T143" i="5"/>
  <c r="I141" i="5"/>
  <c r="I142" i="5"/>
  <c r="J141" i="5"/>
  <c r="J142" i="5"/>
  <c r="K141" i="5"/>
  <c r="K142" i="5"/>
  <c r="L141" i="5"/>
  <c r="L142" i="5"/>
  <c r="M141" i="5"/>
  <c r="M142" i="5"/>
  <c r="Q141" i="5"/>
  <c r="Q142" i="5"/>
  <c r="R141" i="5"/>
  <c r="R142" i="5"/>
  <c r="T141" i="5"/>
  <c r="T142" i="5"/>
  <c r="I139" i="5"/>
  <c r="I140" i="5"/>
  <c r="J139" i="5"/>
  <c r="J140" i="5"/>
  <c r="K139" i="5"/>
  <c r="K140" i="5"/>
  <c r="L139" i="5"/>
  <c r="M139" i="5"/>
  <c r="M140" i="5"/>
  <c r="Q139" i="5"/>
  <c r="Q140" i="5"/>
  <c r="R139" i="5"/>
  <c r="R140" i="5"/>
  <c r="T139" i="5"/>
  <c r="T140" i="5"/>
  <c r="I137" i="5"/>
  <c r="I138" i="5"/>
  <c r="J137" i="5"/>
  <c r="J138" i="5"/>
  <c r="K137" i="5"/>
  <c r="K138" i="5"/>
  <c r="L137" i="5"/>
  <c r="M137" i="5"/>
  <c r="M138" i="5"/>
  <c r="Q137" i="5"/>
  <c r="Q138" i="5"/>
  <c r="R137" i="5"/>
  <c r="R138" i="5"/>
  <c r="T137" i="5"/>
  <c r="T138" i="5"/>
  <c r="I132" i="5"/>
  <c r="I133" i="5"/>
  <c r="I134" i="5"/>
  <c r="I135" i="5"/>
  <c r="I136" i="5"/>
  <c r="J132" i="5"/>
  <c r="J133" i="5"/>
  <c r="J134" i="5"/>
  <c r="J135" i="5"/>
  <c r="J136" i="5"/>
  <c r="K132" i="5"/>
  <c r="K133" i="5"/>
  <c r="K134" i="5"/>
  <c r="K135" i="5"/>
  <c r="K136" i="5"/>
  <c r="L132" i="5"/>
  <c r="L134" i="5"/>
  <c r="L135" i="5"/>
  <c r="M132" i="5"/>
  <c r="M133" i="5"/>
  <c r="M134" i="5"/>
  <c r="M135" i="5"/>
  <c r="M136" i="5"/>
  <c r="Q132" i="5"/>
  <c r="Q133" i="5"/>
  <c r="Q134" i="5"/>
  <c r="Q135" i="5"/>
  <c r="Q136" i="5"/>
  <c r="R132" i="5"/>
  <c r="R133" i="5"/>
  <c r="R134" i="5"/>
  <c r="R135" i="5"/>
  <c r="R136" i="5"/>
  <c r="T132" i="5"/>
  <c r="T133" i="5"/>
  <c r="T134" i="5"/>
  <c r="T135" i="5"/>
  <c r="T136" i="5"/>
  <c r="I129" i="5"/>
  <c r="I130" i="5"/>
  <c r="I131" i="5"/>
  <c r="J129" i="5"/>
  <c r="J130" i="5"/>
  <c r="J131" i="5"/>
  <c r="K129" i="5"/>
  <c r="K130" i="5"/>
  <c r="K131" i="5"/>
  <c r="L129" i="5"/>
  <c r="L130" i="5"/>
  <c r="M129" i="5"/>
  <c r="M130" i="5"/>
  <c r="M131" i="5"/>
  <c r="Q129" i="5"/>
  <c r="Q130" i="5"/>
  <c r="Q131" i="5"/>
  <c r="R129" i="5"/>
  <c r="R130" i="5"/>
  <c r="R131" i="5"/>
  <c r="T129" i="5"/>
  <c r="T130" i="5"/>
  <c r="T131" i="5"/>
  <c r="I127" i="5"/>
  <c r="I128" i="5"/>
  <c r="J127" i="5"/>
  <c r="J128" i="5"/>
  <c r="K127" i="5"/>
  <c r="K128" i="5"/>
  <c r="L127" i="5"/>
  <c r="M127" i="5"/>
  <c r="M128" i="5"/>
  <c r="Q127" i="5"/>
  <c r="Q128" i="5"/>
  <c r="R127" i="5"/>
  <c r="R128" i="5"/>
  <c r="T127" i="5"/>
  <c r="T128" i="5"/>
  <c r="I123" i="5"/>
  <c r="I124" i="5"/>
  <c r="I125" i="5"/>
  <c r="I126" i="5"/>
  <c r="J123" i="5"/>
  <c r="J124" i="5"/>
  <c r="J125" i="5"/>
  <c r="J126" i="5"/>
  <c r="K123" i="5"/>
  <c r="K124" i="5"/>
  <c r="K125" i="5"/>
  <c r="K126" i="5"/>
  <c r="L123" i="5"/>
  <c r="L125" i="5"/>
  <c r="M123" i="5"/>
  <c r="M124" i="5"/>
  <c r="M125" i="5"/>
  <c r="M126" i="5"/>
  <c r="Q123" i="5"/>
  <c r="Q124" i="5"/>
  <c r="Q125" i="5"/>
  <c r="Q126" i="5"/>
  <c r="R123" i="5"/>
  <c r="R124" i="5"/>
  <c r="R125" i="5"/>
  <c r="R126" i="5"/>
  <c r="T123" i="5"/>
  <c r="T124" i="5"/>
  <c r="T125" i="5"/>
  <c r="T126" i="5"/>
  <c r="I122" i="5"/>
  <c r="J122" i="5"/>
  <c r="K122" i="5"/>
  <c r="M122" i="5"/>
  <c r="Q122" i="5"/>
  <c r="R122" i="5"/>
  <c r="T122" i="5"/>
  <c r="I121" i="5"/>
  <c r="J121" i="5"/>
  <c r="K121" i="5"/>
  <c r="L121" i="5"/>
  <c r="M121" i="5"/>
  <c r="Q121" i="5"/>
  <c r="R121" i="5"/>
  <c r="T121" i="5"/>
  <c r="I119" i="5"/>
  <c r="I120" i="5"/>
  <c r="J119" i="5"/>
  <c r="J120" i="5"/>
  <c r="K119" i="5"/>
  <c r="K120" i="5"/>
  <c r="L119" i="5"/>
  <c r="M119" i="5"/>
  <c r="M120" i="5"/>
  <c r="Q119" i="5"/>
  <c r="Q120" i="5"/>
  <c r="R119" i="5"/>
  <c r="R120" i="5"/>
  <c r="T119" i="5"/>
  <c r="T120" i="5"/>
  <c r="I118" i="5"/>
  <c r="J118" i="5"/>
  <c r="K118" i="5"/>
  <c r="M118" i="5"/>
  <c r="Q118" i="5"/>
  <c r="R118" i="5"/>
  <c r="T118" i="5"/>
  <c r="I116" i="5"/>
  <c r="I117" i="5"/>
  <c r="J116" i="5"/>
  <c r="J117" i="5"/>
  <c r="K116" i="5"/>
  <c r="K117" i="5"/>
  <c r="M116" i="5"/>
  <c r="M117" i="5"/>
  <c r="Q116" i="5"/>
  <c r="Q117" i="5"/>
  <c r="R116" i="5"/>
  <c r="R117" i="5"/>
  <c r="T116" i="5"/>
  <c r="T117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4" i="5"/>
  <c r="Q85" i="5"/>
  <c r="Q86" i="5"/>
  <c r="Q87" i="5"/>
  <c r="Q88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I115" i="5"/>
  <c r="J115" i="5"/>
  <c r="K115" i="5"/>
  <c r="L115" i="5"/>
  <c r="M115" i="5"/>
  <c r="R115" i="5"/>
  <c r="T115" i="5"/>
  <c r="I114" i="5"/>
  <c r="J114" i="5"/>
  <c r="K114" i="5"/>
  <c r="M114" i="5"/>
  <c r="R114" i="5"/>
  <c r="T114" i="5"/>
  <c r="I113" i="5"/>
  <c r="J113" i="5"/>
  <c r="K113" i="5"/>
  <c r="M113" i="5"/>
  <c r="R113" i="5"/>
  <c r="T113" i="5"/>
  <c r="I112" i="5"/>
  <c r="J112" i="5"/>
  <c r="K112" i="5"/>
  <c r="M112" i="5"/>
  <c r="R112" i="5"/>
  <c r="T112" i="5"/>
  <c r="I111" i="5"/>
  <c r="J111" i="5"/>
  <c r="K111" i="5"/>
  <c r="M111" i="5"/>
  <c r="R111" i="5"/>
  <c r="T111" i="5"/>
  <c r="I110" i="5"/>
  <c r="J110" i="5"/>
  <c r="K110" i="5"/>
  <c r="M110" i="5"/>
  <c r="R110" i="5"/>
  <c r="T110" i="5"/>
  <c r="I109" i="5"/>
  <c r="J109" i="5"/>
  <c r="K109" i="5"/>
  <c r="M109" i="5"/>
  <c r="R109" i="5"/>
  <c r="T109" i="5"/>
  <c r="I105" i="5"/>
  <c r="I106" i="5"/>
  <c r="I107" i="5"/>
  <c r="I108" i="5"/>
  <c r="J105" i="5"/>
  <c r="J106" i="5"/>
  <c r="J107" i="5"/>
  <c r="J108" i="5"/>
  <c r="K105" i="5"/>
  <c r="K106" i="5"/>
  <c r="K107" i="5"/>
  <c r="K108" i="5"/>
  <c r="L105" i="5"/>
  <c r="L107" i="5"/>
  <c r="M105" i="5"/>
  <c r="M106" i="5"/>
  <c r="M107" i="5"/>
  <c r="M108" i="5"/>
  <c r="R105" i="5"/>
  <c r="R106" i="5"/>
  <c r="R107" i="5"/>
  <c r="R108" i="5"/>
  <c r="T105" i="5"/>
  <c r="T106" i="5"/>
  <c r="T107" i="5"/>
  <c r="T108" i="5"/>
  <c r="I104" i="5"/>
  <c r="J104" i="5"/>
  <c r="K104" i="5"/>
  <c r="M104" i="5"/>
  <c r="R104" i="5"/>
  <c r="T104" i="5"/>
  <c r="I100" i="5"/>
  <c r="I101" i="5"/>
  <c r="I102" i="5"/>
  <c r="I103" i="5"/>
  <c r="J100" i="5"/>
  <c r="J101" i="5"/>
  <c r="J102" i="5"/>
  <c r="J103" i="5"/>
  <c r="K100" i="5"/>
  <c r="K101" i="5"/>
  <c r="K102" i="5"/>
  <c r="K103" i="5"/>
  <c r="L102" i="5"/>
  <c r="M100" i="5"/>
  <c r="M101" i="5"/>
  <c r="M102" i="5"/>
  <c r="M103" i="5"/>
  <c r="R100" i="5"/>
  <c r="R101" i="5"/>
  <c r="R102" i="5"/>
  <c r="R103" i="5"/>
  <c r="T100" i="5"/>
  <c r="T101" i="5"/>
  <c r="T102" i="5"/>
  <c r="T103" i="5"/>
  <c r="I99" i="5"/>
  <c r="J99" i="5"/>
  <c r="K99" i="5"/>
  <c r="M99" i="5"/>
  <c r="R99" i="5"/>
  <c r="T99" i="5"/>
  <c r="R95" i="5"/>
  <c r="M95" i="5"/>
  <c r="K95" i="5"/>
  <c r="J95" i="5"/>
  <c r="I95" i="5"/>
  <c r="R94" i="5"/>
  <c r="M94" i="5"/>
  <c r="L94" i="5"/>
  <c r="K94" i="5"/>
  <c r="J94" i="5"/>
  <c r="I94" i="5"/>
  <c r="R93" i="5"/>
  <c r="M93" i="5"/>
  <c r="K93" i="5"/>
  <c r="J93" i="5"/>
  <c r="I93" i="5"/>
  <c r="R92" i="5"/>
  <c r="M92" i="5"/>
  <c r="L92" i="5"/>
  <c r="K92" i="5"/>
  <c r="J92" i="5"/>
  <c r="I92" i="5"/>
  <c r="R91" i="5"/>
  <c r="M91" i="5"/>
  <c r="K91" i="5"/>
  <c r="J91" i="5"/>
  <c r="I91" i="5"/>
  <c r="R88" i="5"/>
  <c r="M88" i="5"/>
  <c r="K88" i="5"/>
  <c r="J88" i="5"/>
  <c r="I88" i="5"/>
  <c r="I96" i="5"/>
  <c r="I97" i="5"/>
  <c r="I98" i="5"/>
  <c r="J96" i="5"/>
  <c r="J97" i="5"/>
  <c r="J98" i="5"/>
  <c r="K96" i="5"/>
  <c r="K97" i="5"/>
  <c r="K98" i="5"/>
  <c r="L96" i="5"/>
  <c r="M96" i="5"/>
  <c r="M97" i="5"/>
  <c r="M98" i="5"/>
  <c r="R96" i="5"/>
  <c r="R97" i="5"/>
  <c r="R98" i="5"/>
  <c r="T95" i="5"/>
  <c r="T96" i="5"/>
  <c r="T97" i="5"/>
  <c r="T98" i="5"/>
  <c r="T94" i="5"/>
  <c r="T92" i="5"/>
  <c r="T93" i="5"/>
  <c r="T91" i="5"/>
  <c r="T88" i="5"/>
  <c r="I87" i="5"/>
  <c r="J87" i="5"/>
  <c r="K87" i="5"/>
  <c r="L87" i="5"/>
  <c r="M87" i="5"/>
  <c r="R87" i="5"/>
  <c r="T87" i="5"/>
  <c r="I86" i="5"/>
  <c r="J86" i="5"/>
  <c r="K86" i="5"/>
  <c r="L86" i="5"/>
  <c r="M86" i="5"/>
  <c r="R86" i="5"/>
  <c r="T86" i="5"/>
  <c r="I85" i="5"/>
  <c r="J85" i="5"/>
  <c r="K85" i="5"/>
  <c r="M85" i="5"/>
  <c r="R85" i="5"/>
  <c r="T85" i="5"/>
  <c r="I80" i="5"/>
  <c r="I81" i="5"/>
  <c r="I82" i="5"/>
  <c r="I84" i="5"/>
  <c r="J80" i="5"/>
  <c r="J81" i="5"/>
  <c r="J82" i="5"/>
  <c r="J84" i="5"/>
  <c r="K80" i="5"/>
  <c r="K81" i="5"/>
  <c r="K82" i="5"/>
  <c r="K84" i="5"/>
  <c r="L81" i="5"/>
  <c r="M80" i="5"/>
  <c r="M81" i="5"/>
  <c r="M82" i="5"/>
  <c r="M84" i="5"/>
  <c r="R80" i="5"/>
  <c r="R81" i="5"/>
  <c r="R82" i="5"/>
  <c r="R84" i="5"/>
  <c r="T80" i="5"/>
  <c r="T81" i="5"/>
  <c r="T82" i="5"/>
  <c r="T84" i="5"/>
  <c r="I79" i="5"/>
  <c r="J79" i="5"/>
  <c r="K79" i="5"/>
  <c r="L79" i="5"/>
  <c r="M79" i="5"/>
  <c r="R79" i="5"/>
  <c r="T79" i="5"/>
  <c r="I78" i="5"/>
  <c r="J78" i="5"/>
  <c r="K78" i="5"/>
  <c r="M78" i="5"/>
  <c r="R78" i="5"/>
  <c r="T78" i="5"/>
  <c r="I77" i="5"/>
  <c r="J77" i="5"/>
  <c r="K77" i="5"/>
  <c r="M77" i="5"/>
  <c r="R77" i="5"/>
  <c r="T77" i="5"/>
  <c r="I76" i="5"/>
  <c r="J76" i="5"/>
  <c r="K76" i="5"/>
  <c r="M76" i="5"/>
  <c r="R76" i="5"/>
  <c r="T76" i="5"/>
  <c r="I75" i="5"/>
  <c r="J75" i="5"/>
  <c r="K75" i="5"/>
  <c r="L75" i="5"/>
  <c r="M75" i="5"/>
  <c r="R75" i="5"/>
  <c r="T75" i="5"/>
  <c r="M25" i="5"/>
  <c r="I74" i="5"/>
  <c r="J74" i="5"/>
  <c r="K74" i="5"/>
  <c r="L74" i="5"/>
  <c r="M74" i="5"/>
  <c r="R74" i="5"/>
  <c r="T74" i="5"/>
  <c r="I73" i="5"/>
  <c r="J73" i="5"/>
  <c r="K73" i="5"/>
  <c r="M73" i="5"/>
  <c r="R73" i="5"/>
  <c r="T73" i="5"/>
  <c r="I71" i="5"/>
  <c r="I72" i="5"/>
  <c r="J71" i="5"/>
  <c r="J72" i="5"/>
  <c r="K71" i="5"/>
  <c r="K72" i="5"/>
  <c r="M71" i="5"/>
  <c r="M72" i="5"/>
  <c r="R71" i="5"/>
  <c r="R72" i="5"/>
  <c r="T71" i="5"/>
  <c r="T72" i="5"/>
  <c r="I70" i="5"/>
  <c r="J70" i="5"/>
  <c r="K70" i="5"/>
  <c r="L70" i="5"/>
  <c r="M70" i="5"/>
  <c r="R70" i="5"/>
  <c r="T70" i="5"/>
  <c r="L212" i="5" l="1"/>
  <c r="L203" i="5"/>
  <c r="L208" i="5"/>
  <c r="L205" i="5"/>
  <c r="L210" i="5"/>
  <c r="L193" i="5"/>
  <c r="L187" i="5"/>
  <c r="L170" i="5"/>
  <c r="L174" i="5"/>
  <c r="L162" i="5"/>
  <c r="L155" i="5"/>
  <c r="L168" i="5"/>
  <c r="L194" i="5"/>
  <c r="L172" i="5"/>
  <c r="L189" i="5"/>
  <c r="L153" i="5"/>
  <c r="L178" i="5"/>
  <c r="L197" i="5"/>
  <c r="L199" i="5"/>
  <c r="L151" i="5"/>
  <c r="L164" i="5"/>
  <c r="L176" i="5"/>
  <c r="L195" i="5"/>
  <c r="L201" i="5"/>
  <c r="L196" i="5"/>
  <c r="L188" i="5"/>
  <c r="L166" i="5"/>
  <c r="L184" i="5"/>
  <c r="L182" i="5"/>
  <c r="L180" i="5"/>
  <c r="L149" i="5"/>
  <c r="L191" i="5"/>
  <c r="L147" i="5"/>
  <c r="L186" i="5"/>
  <c r="L160" i="5"/>
  <c r="L158" i="5"/>
  <c r="L90" i="5"/>
  <c r="L126" i="5"/>
  <c r="L108" i="5"/>
  <c r="L124" i="5"/>
  <c r="L140" i="5"/>
  <c r="L145" i="5"/>
  <c r="L80" i="5"/>
  <c r="L106" i="5"/>
  <c r="L101" i="5"/>
  <c r="L71" i="5"/>
  <c r="L100" i="5"/>
  <c r="L120" i="5"/>
  <c r="L133" i="5"/>
  <c r="L103" i="5"/>
  <c r="L117" i="5"/>
  <c r="L116" i="5"/>
  <c r="L128" i="5"/>
  <c r="L143" i="5"/>
  <c r="L72" i="5"/>
  <c r="L138" i="5"/>
  <c r="L136" i="5"/>
  <c r="L131" i="5"/>
  <c r="L122" i="5"/>
  <c r="L118" i="5"/>
  <c r="L111" i="5"/>
  <c r="L110" i="5"/>
  <c r="L113" i="5"/>
  <c r="L114" i="5"/>
  <c r="L112" i="5"/>
  <c r="L109" i="5"/>
  <c r="L99" i="5"/>
  <c r="L104" i="5"/>
  <c r="L97" i="5"/>
  <c r="L82" i="5"/>
  <c r="L98" i="5"/>
  <c r="L88" i="5"/>
  <c r="L95" i="5"/>
  <c r="L91" i="5"/>
  <c r="L84" i="5"/>
  <c r="L85" i="5"/>
  <c r="L93" i="5"/>
  <c r="L76" i="5"/>
  <c r="L77" i="5"/>
  <c r="L78" i="5"/>
  <c r="L73" i="5"/>
  <c r="R68" i="5"/>
  <c r="T68" i="5"/>
  <c r="R69" i="5"/>
  <c r="T69" i="5"/>
  <c r="R67" i="5"/>
  <c r="T67" i="5"/>
  <c r="R66" i="5"/>
  <c r="T66" i="5"/>
  <c r="R65" i="5"/>
  <c r="T65" i="5"/>
  <c r="R64" i="5"/>
  <c r="T64" i="5"/>
  <c r="R63" i="5"/>
  <c r="T63" i="5"/>
  <c r="I62" i="5"/>
  <c r="J62" i="5"/>
  <c r="K62" i="5"/>
  <c r="L62" i="5"/>
  <c r="M62" i="5"/>
  <c r="R62" i="5"/>
  <c r="T62" i="5"/>
  <c r="I58" i="5"/>
  <c r="I59" i="5"/>
  <c r="I60" i="5"/>
  <c r="I61" i="5"/>
  <c r="J58" i="5"/>
  <c r="J59" i="5"/>
  <c r="J60" i="5"/>
  <c r="J61" i="5"/>
  <c r="K58" i="5"/>
  <c r="K59" i="5"/>
  <c r="K60" i="5"/>
  <c r="K61" i="5"/>
  <c r="L59" i="5"/>
  <c r="L60" i="5"/>
  <c r="M58" i="5"/>
  <c r="M59" i="5"/>
  <c r="M60" i="5"/>
  <c r="M61" i="5"/>
  <c r="R58" i="5"/>
  <c r="R59" i="5"/>
  <c r="R60" i="5"/>
  <c r="R61" i="5"/>
  <c r="T58" i="5"/>
  <c r="T59" i="5"/>
  <c r="T60" i="5"/>
  <c r="T61" i="5"/>
  <c r="I57" i="5"/>
  <c r="J57" i="5"/>
  <c r="K57" i="5"/>
  <c r="L57" i="5"/>
  <c r="M57" i="5"/>
  <c r="R57" i="5"/>
  <c r="T57" i="5"/>
  <c r="I51" i="5"/>
  <c r="I52" i="5"/>
  <c r="I53" i="5"/>
  <c r="I54" i="5"/>
  <c r="I55" i="5"/>
  <c r="I56" i="5"/>
  <c r="J51" i="5"/>
  <c r="J52" i="5"/>
  <c r="J53" i="5"/>
  <c r="J54" i="5"/>
  <c r="J55" i="5"/>
  <c r="J56" i="5"/>
  <c r="K51" i="5"/>
  <c r="K52" i="5"/>
  <c r="K53" i="5"/>
  <c r="K54" i="5"/>
  <c r="K55" i="5"/>
  <c r="K56" i="5"/>
  <c r="L52" i="5"/>
  <c r="L54" i="5"/>
  <c r="M51" i="5"/>
  <c r="M52" i="5"/>
  <c r="M53" i="5"/>
  <c r="M54" i="5"/>
  <c r="M55" i="5"/>
  <c r="M56" i="5"/>
  <c r="R51" i="5"/>
  <c r="R52" i="5"/>
  <c r="R53" i="5"/>
  <c r="R54" i="5"/>
  <c r="R55" i="5"/>
  <c r="R56" i="5"/>
  <c r="T51" i="5"/>
  <c r="T52" i="5"/>
  <c r="T53" i="5"/>
  <c r="T54" i="5"/>
  <c r="T55" i="5"/>
  <c r="T56" i="5"/>
  <c r="I50" i="5"/>
  <c r="J50" i="5"/>
  <c r="K50" i="5"/>
  <c r="L50" i="5"/>
  <c r="M50" i="5"/>
  <c r="R50" i="5"/>
  <c r="T50" i="5"/>
  <c r="I49" i="5"/>
  <c r="J49" i="5"/>
  <c r="K49" i="5"/>
  <c r="M49" i="5"/>
  <c r="R49" i="5"/>
  <c r="T49" i="5"/>
  <c r="I48" i="5"/>
  <c r="J48" i="5"/>
  <c r="K48" i="5"/>
  <c r="L48" i="5"/>
  <c r="M48" i="5"/>
  <c r="R48" i="5"/>
  <c r="T48" i="5"/>
  <c r="I47" i="5"/>
  <c r="J47" i="5"/>
  <c r="K47" i="5"/>
  <c r="M47" i="5"/>
  <c r="R47" i="5"/>
  <c r="T47" i="5"/>
  <c r="I46" i="5"/>
  <c r="J46" i="5"/>
  <c r="K46" i="5"/>
  <c r="L46" i="5"/>
  <c r="M46" i="5"/>
  <c r="R46" i="5"/>
  <c r="T46" i="5"/>
  <c r="I45" i="5"/>
  <c r="J45" i="5"/>
  <c r="K45" i="5"/>
  <c r="M45" i="5"/>
  <c r="R45" i="5"/>
  <c r="T45" i="5"/>
  <c r="I44" i="5"/>
  <c r="J44" i="5"/>
  <c r="K44" i="5"/>
  <c r="L44" i="5"/>
  <c r="M44" i="5"/>
  <c r="R44" i="5"/>
  <c r="T44" i="5"/>
  <c r="I43" i="5"/>
  <c r="J43" i="5"/>
  <c r="K43" i="5"/>
  <c r="M43" i="5"/>
  <c r="R43" i="5"/>
  <c r="T43" i="5"/>
  <c r="I42" i="5"/>
  <c r="J42" i="5"/>
  <c r="K42" i="5"/>
  <c r="L42" i="5"/>
  <c r="M42" i="5"/>
  <c r="R42" i="5"/>
  <c r="T42" i="5"/>
  <c r="I38" i="5"/>
  <c r="I39" i="5"/>
  <c r="I40" i="5"/>
  <c r="I41" i="5"/>
  <c r="J38" i="5"/>
  <c r="J39" i="5"/>
  <c r="J40" i="5"/>
  <c r="J41" i="5"/>
  <c r="K38" i="5"/>
  <c r="K39" i="5"/>
  <c r="K40" i="5"/>
  <c r="K41" i="5"/>
  <c r="L38" i="5"/>
  <c r="L40" i="5"/>
  <c r="M38" i="5"/>
  <c r="M39" i="5"/>
  <c r="M40" i="5"/>
  <c r="M41" i="5"/>
  <c r="R38" i="5"/>
  <c r="R39" i="5"/>
  <c r="R40" i="5"/>
  <c r="R41" i="5"/>
  <c r="T38" i="5"/>
  <c r="T39" i="5"/>
  <c r="T40" i="5"/>
  <c r="T41" i="5"/>
  <c r="I37" i="5"/>
  <c r="J37" i="5"/>
  <c r="K37" i="5"/>
  <c r="L37" i="5"/>
  <c r="M37" i="5"/>
  <c r="R37" i="5"/>
  <c r="T37" i="5"/>
  <c r="I32" i="5"/>
  <c r="I33" i="5"/>
  <c r="I34" i="5"/>
  <c r="I35" i="5"/>
  <c r="I36" i="5"/>
  <c r="J32" i="5"/>
  <c r="J33" i="5"/>
  <c r="J34" i="5"/>
  <c r="J35" i="5"/>
  <c r="J36" i="5"/>
  <c r="K32" i="5"/>
  <c r="K33" i="5"/>
  <c r="K34" i="5"/>
  <c r="K35" i="5"/>
  <c r="K36" i="5"/>
  <c r="L32" i="5"/>
  <c r="M32" i="5"/>
  <c r="M33" i="5"/>
  <c r="M34" i="5"/>
  <c r="M35" i="5"/>
  <c r="M36" i="5"/>
  <c r="R32" i="5"/>
  <c r="R33" i="5"/>
  <c r="R34" i="5"/>
  <c r="R35" i="5"/>
  <c r="R36" i="5"/>
  <c r="T32" i="5"/>
  <c r="T33" i="5"/>
  <c r="T34" i="5"/>
  <c r="T35" i="5"/>
  <c r="T36" i="5"/>
  <c r="I31" i="5"/>
  <c r="J31" i="5"/>
  <c r="K31" i="5"/>
  <c r="L31" i="5"/>
  <c r="M31" i="5"/>
  <c r="R31" i="5"/>
  <c r="T31" i="5"/>
  <c r="I28" i="5"/>
  <c r="I29" i="5"/>
  <c r="I30" i="5"/>
  <c r="J28" i="5"/>
  <c r="J29" i="5"/>
  <c r="J30" i="5"/>
  <c r="K28" i="5"/>
  <c r="K29" i="5"/>
  <c r="K30" i="5"/>
  <c r="L29" i="5"/>
  <c r="M28" i="5"/>
  <c r="M29" i="5"/>
  <c r="M30" i="5"/>
  <c r="R28" i="5"/>
  <c r="R29" i="5"/>
  <c r="R30" i="5"/>
  <c r="T28" i="5"/>
  <c r="T29" i="5"/>
  <c r="T30" i="5"/>
  <c r="I27" i="5"/>
  <c r="J27" i="5"/>
  <c r="K27" i="5"/>
  <c r="L27" i="5"/>
  <c r="M27" i="5"/>
  <c r="R27" i="5"/>
  <c r="T27" i="5"/>
  <c r="I9" i="5"/>
  <c r="J9" i="5"/>
  <c r="K9" i="5"/>
  <c r="M9" i="5"/>
  <c r="R9" i="5"/>
  <c r="T9" i="5"/>
  <c r="I2" i="5"/>
  <c r="J2" i="5"/>
  <c r="K2" i="5"/>
  <c r="M2" i="5"/>
  <c r="R2" i="5"/>
  <c r="T2" i="5"/>
  <c r="I3" i="5"/>
  <c r="J3" i="5"/>
  <c r="K3" i="5"/>
  <c r="L3" i="5"/>
  <c r="M3" i="5"/>
  <c r="R3" i="5"/>
  <c r="T3" i="5"/>
  <c r="I4" i="5"/>
  <c r="J4" i="5"/>
  <c r="K4" i="5"/>
  <c r="L4" i="5"/>
  <c r="M4" i="5"/>
  <c r="R4" i="5"/>
  <c r="T4" i="5"/>
  <c r="I5" i="5"/>
  <c r="J5" i="5"/>
  <c r="K5" i="5"/>
  <c r="M5" i="5"/>
  <c r="R5" i="5"/>
  <c r="T5" i="5"/>
  <c r="I6" i="5"/>
  <c r="J6" i="5"/>
  <c r="K6" i="5"/>
  <c r="M6" i="5"/>
  <c r="R6" i="5"/>
  <c r="T6" i="5"/>
  <c r="I7" i="5"/>
  <c r="J7" i="5"/>
  <c r="K7" i="5"/>
  <c r="M7" i="5"/>
  <c r="R7" i="5"/>
  <c r="T7" i="5"/>
  <c r="I8" i="5"/>
  <c r="J8" i="5"/>
  <c r="K8" i="5"/>
  <c r="M8" i="5"/>
  <c r="R8" i="5"/>
  <c r="T8" i="5"/>
  <c r="I10" i="5"/>
  <c r="J10" i="5"/>
  <c r="K10" i="5"/>
  <c r="L10" i="5"/>
  <c r="M10" i="5"/>
  <c r="R10" i="5"/>
  <c r="T10" i="5"/>
  <c r="I11" i="5"/>
  <c r="J11" i="5"/>
  <c r="K11" i="5"/>
  <c r="M11" i="5"/>
  <c r="R11" i="5"/>
  <c r="T11" i="5"/>
  <c r="L39" i="5" l="1"/>
  <c r="L51" i="5"/>
  <c r="L58" i="5"/>
  <c r="L53" i="5"/>
  <c r="L55" i="5"/>
  <c r="L56" i="5"/>
  <c r="L61" i="5"/>
  <c r="L41" i="5"/>
  <c r="L49" i="5"/>
  <c r="L47" i="5"/>
  <c r="L35" i="5"/>
  <c r="L36" i="5"/>
  <c r="L43" i="5"/>
  <c r="L45" i="5"/>
  <c r="L7" i="5"/>
  <c r="L5" i="5"/>
  <c r="L9" i="5"/>
  <c r="L30" i="5"/>
  <c r="L28" i="5"/>
  <c r="L33" i="5"/>
  <c r="L34" i="5"/>
  <c r="L2" i="5"/>
  <c r="L8" i="5"/>
  <c r="L6" i="5"/>
  <c r="L11" i="5"/>
  <c r="T12" i="5" l="1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I21" i="5" l="1"/>
  <c r="I22" i="5"/>
  <c r="I23" i="5"/>
  <c r="I24" i="5"/>
  <c r="I25" i="5"/>
  <c r="I26" i="5"/>
  <c r="J21" i="5"/>
  <c r="J22" i="5"/>
  <c r="J23" i="5"/>
  <c r="J24" i="5"/>
  <c r="J25" i="5"/>
  <c r="J26" i="5"/>
  <c r="K21" i="5"/>
  <c r="K22" i="5"/>
  <c r="K23" i="5"/>
  <c r="K24" i="5"/>
  <c r="K25" i="5"/>
  <c r="K26" i="5"/>
  <c r="L21" i="5"/>
  <c r="L23" i="5"/>
  <c r="L25" i="5"/>
  <c r="M21" i="5"/>
  <c r="M22" i="5"/>
  <c r="M23" i="5"/>
  <c r="M24" i="5"/>
  <c r="M26" i="5"/>
  <c r="R21" i="5"/>
  <c r="R22" i="5"/>
  <c r="R23" i="5"/>
  <c r="R24" i="5"/>
  <c r="R25" i="5"/>
  <c r="R26" i="5"/>
  <c r="I20" i="5"/>
  <c r="J20" i="5"/>
  <c r="K20" i="5"/>
  <c r="L20" i="5"/>
  <c r="M20" i="5"/>
  <c r="R20" i="5"/>
  <c r="I16" i="5"/>
  <c r="I17" i="5"/>
  <c r="I18" i="5"/>
  <c r="I19" i="5"/>
  <c r="J16" i="5"/>
  <c r="J17" i="5"/>
  <c r="J18" i="5"/>
  <c r="J19" i="5"/>
  <c r="K16" i="5"/>
  <c r="K17" i="5"/>
  <c r="K18" i="5"/>
  <c r="K19" i="5"/>
  <c r="L17" i="5"/>
  <c r="L18" i="5"/>
  <c r="M16" i="5"/>
  <c r="M17" i="5"/>
  <c r="M18" i="5"/>
  <c r="M19" i="5"/>
  <c r="R16" i="5"/>
  <c r="R17" i="5"/>
  <c r="R18" i="5"/>
  <c r="R19" i="5"/>
  <c r="I15" i="5"/>
  <c r="J15" i="5"/>
  <c r="K15" i="5"/>
  <c r="L15" i="5"/>
  <c r="M15" i="5"/>
  <c r="R15" i="5"/>
  <c r="I13" i="5"/>
  <c r="I14" i="5"/>
  <c r="J13" i="5"/>
  <c r="J14" i="5"/>
  <c r="K13" i="5"/>
  <c r="K14" i="5"/>
  <c r="M13" i="5"/>
  <c r="M14" i="5"/>
  <c r="R13" i="5"/>
  <c r="R14" i="5"/>
  <c r="I12" i="5"/>
  <c r="J12" i="5"/>
  <c r="K12" i="5"/>
  <c r="L12" i="5"/>
  <c r="M12" i="5"/>
  <c r="R12" i="5"/>
  <c r="L22" i="5" l="1"/>
  <c r="L26" i="5"/>
  <c r="L16" i="5"/>
  <c r="L19" i="5"/>
  <c r="L13" i="5"/>
  <c r="L14" i="5"/>
  <c r="L2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IFA-PLANTA</author>
  </authors>
  <commentList>
    <comment ref="H205" authorId="0" shapeId="0" xr:uid="{34B57BE5-EDF8-4693-AAFB-C0089E864FE0}">
      <text>
        <r>
          <rPr>
            <b/>
            <sz val="9"/>
            <color indexed="81"/>
            <rFont val="Tahoma"/>
            <family val="2"/>
          </rPr>
          <t>TENIAN QUE  HACER 30000 POR QUE SOLO HICIERON LA MITADA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7311C1-F110-4B9D-9426-D04732488F45}" keepAlive="1" name="Consulta - Tabla_control_serigrafia" description="Conexión a la consulta 'Tabla_control_serigrafia' en el libro." type="5" refreshedVersion="7" background="1" saveData="1">
    <dbPr connection="Provider=Microsoft.Mashup.OleDb.1;Data Source=$Workbook$;Location=Tabla_control_serigrafia;Extended Properties=&quot;&quot;" command="SELECT * FROM [Tabla_control_serigrafia]"/>
  </connection>
</connections>
</file>

<file path=xl/sharedStrings.xml><?xml version="1.0" encoding="utf-8"?>
<sst xmlns="http://schemas.openxmlformats.org/spreadsheetml/2006/main" count="2592" uniqueCount="186">
  <si>
    <t>FECHA EMISIÓN</t>
  </si>
  <si>
    <t>CÓD. SOLICITUD</t>
  </si>
  <si>
    <t>PRODUCTO</t>
  </si>
  <si>
    <t>FORMA FARMACEUTICA</t>
  </si>
  <si>
    <t>INSTITUCIÓN</t>
  </si>
  <si>
    <t>LOTE</t>
  </si>
  <si>
    <t>FECHA VTO.</t>
  </si>
  <si>
    <t>CANTIDAD PEDIDA</t>
  </si>
  <si>
    <t>STOCK</t>
  </si>
  <si>
    <t>FECHA PRODUCCIÓN</t>
  </si>
  <si>
    <t>FECHA ENTREGA</t>
  </si>
  <si>
    <t>FECHA REGISTRO</t>
  </si>
  <si>
    <t>FORMATO DE FRASCO</t>
  </si>
  <si>
    <t>TIPO DE FRASCO</t>
  </si>
  <si>
    <t>ORDEN RECIBIDA</t>
  </si>
  <si>
    <t>ESTADO</t>
  </si>
  <si>
    <t>IBUPROFENO 100 MG X 100 ML SUSP.</t>
  </si>
  <si>
    <t>SUSPENSIÓN</t>
  </si>
  <si>
    <t>COMERCIO</t>
  </si>
  <si>
    <t/>
  </si>
  <si>
    <t>120 ML</t>
  </si>
  <si>
    <t>FRASCO BLANCO</t>
  </si>
  <si>
    <t>SI</t>
  </si>
  <si>
    <t>PENDIENTE</t>
  </si>
  <si>
    <t>FERRASOL FN X 30 ML GOTAS</t>
  </si>
  <si>
    <t>GOTAS</t>
  </si>
  <si>
    <t>30 ML</t>
  </si>
  <si>
    <t>PARACETAMOL 100 MG X 15 ML GOTAS</t>
  </si>
  <si>
    <t>15 ML</t>
  </si>
  <si>
    <t>CETIRIZINA 5 MG X 100 ML JARABE</t>
  </si>
  <si>
    <t>JARABE</t>
  </si>
  <si>
    <t>REALIZADO</t>
  </si>
  <si>
    <t>TALCO PARA EL PITAI X 70 G POLVO</t>
  </si>
  <si>
    <t>POLVO</t>
  </si>
  <si>
    <t>100 GR</t>
  </si>
  <si>
    <t>METRONIDAZOL 250 MG X 100 ML SUSP.</t>
  </si>
  <si>
    <t>AMOXICILINA 250 MG + ACIDO CLAVULANICO 62,5 MG. X 60 ML POLVO PARA SUSP. VETERINARIO</t>
  </si>
  <si>
    <t>POLVO PARA SUSPENSIÓN</t>
  </si>
  <si>
    <t>-</t>
  </si>
  <si>
    <t>FRASCO NATURAL</t>
  </si>
  <si>
    <t>CODEINA 10 MG X 100 ML JARABE</t>
  </si>
  <si>
    <t>MEBENDAZOL 100 MG X 30 ML SUSP.</t>
  </si>
  <si>
    <t>40 ML</t>
  </si>
  <si>
    <t>SULTRIN FORTE 400/80 MG X 100 ML SUSP. VETERINARIO</t>
  </si>
  <si>
    <t>SARNOL 20% X 100 ML LOCION</t>
  </si>
  <si>
    <t>LOCION</t>
  </si>
  <si>
    <t>IFASAN 10% X 30 ML LOCION</t>
  </si>
  <si>
    <t>FECHA</t>
  </si>
  <si>
    <t>MÁQUINA</t>
  </si>
  <si>
    <t>OPERADOR</t>
  </si>
  <si>
    <t>ACCIÓN</t>
  </si>
  <si>
    <t>INICIO</t>
  </si>
  <si>
    <t>FIN</t>
  </si>
  <si>
    <t>CANTIDAD PRODUCIDA</t>
  </si>
  <si>
    <t>CANTIDAD RECHAZADA</t>
  </si>
  <si>
    <t>OBSERVACIONES</t>
  </si>
  <si>
    <t>PRODUCCIÓN</t>
  </si>
  <si>
    <t>REGULADO</t>
  </si>
  <si>
    <t>SF-ASP/3</t>
  </si>
  <si>
    <t>FORMATO Y TIPO DE FRASCO</t>
  </si>
  <si>
    <t>CANTIDAD SOLICITADA</t>
  </si>
  <si>
    <t>TIEMPO DE LIBERACIÓN</t>
  </si>
  <si>
    <t>COMPLETADO</t>
  </si>
  <si>
    <t>REGULADO DE PLACAS</t>
  </si>
  <si>
    <t>CAMBIO FORMATO</t>
  </si>
  <si>
    <t>GARRIDO JORGE</t>
  </si>
  <si>
    <t>HORA</t>
  </si>
  <si>
    <t>MES</t>
  </si>
  <si>
    <t>MENDIETA DAVID</t>
  </si>
  <si>
    <t>120 ML A 15 ML</t>
  </si>
  <si>
    <t>15 ML A 30 ML</t>
  </si>
  <si>
    <t>30 M A 40 ML</t>
  </si>
  <si>
    <t>40 ML A 120 ML</t>
  </si>
  <si>
    <t>ENTREGADO</t>
  </si>
  <si>
    <t>AMOXICILINA-ACIDO CLAVULANICO 250/62,5 MG X 100 ML POLVO PARA SUSP.</t>
  </si>
  <si>
    <t>170 ML</t>
  </si>
  <si>
    <t>PARACETAMOL 120 MG X 60 ML JARABE</t>
  </si>
  <si>
    <t>80 ML</t>
  </si>
  <si>
    <t>TUSSINOL X 100 ML JARABE</t>
  </si>
  <si>
    <t>100 GR A 120 ML</t>
  </si>
  <si>
    <t>120 ML A 100 GR</t>
  </si>
  <si>
    <t>DUBUIT/1</t>
  </si>
  <si>
    <t>VITAVE AVIAR X 1000 G POLVO VETERINARIO</t>
  </si>
  <si>
    <t>POLVO SOLUBLE</t>
  </si>
  <si>
    <t>1 KG</t>
  </si>
  <si>
    <t>CEFALEXINA 250 MG X 60 ML POLVO PARA SUSP.</t>
  </si>
  <si>
    <t>VITAVE AVIAR X 100 G POLVO VETERINARIO</t>
  </si>
  <si>
    <t>IBUPROFENO 200 MG X 100 ML SUSP.</t>
  </si>
  <si>
    <t>AMBROXOL 15 MG X 100 ML JARABE</t>
  </si>
  <si>
    <t>DICLOXACILINA 250 MG X 60 ML POLVO PARA SUSP.</t>
  </si>
  <si>
    <t>HONGO-VET X 100 ML LOCION VETERINARIO</t>
  </si>
  <si>
    <t>ABENDAZOL 400 ML</t>
  </si>
  <si>
    <t>15 ML FRASCO BLANCO (P)</t>
  </si>
  <si>
    <t>120 ML A 170 ML</t>
  </si>
  <si>
    <t>2° CICLO VERDE</t>
  </si>
  <si>
    <t>UNIDADES PRODUCIDAS</t>
  </si>
  <si>
    <t>1° CICLO AZUL</t>
  </si>
  <si>
    <t>CLORFENAMINA 2 MG X 60 ML JARABE</t>
  </si>
  <si>
    <t>COMPLEJO B X 100 ML JARABE</t>
  </si>
  <si>
    <t>REMASOL X 30 ML LOCION</t>
  </si>
  <si>
    <t>40 ML A 1 KG</t>
  </si>
  <si>
    <t>2° CICLO VERDE, SE ENTREGO UNA PARTE, TODAVIA FALTA</t>
  </si>
  <si>
    <t>SE PELO LA PLACA DE COLOR AZUL</t>
  </si>
  <si>
    <t>CAMBIADO DE PLACA</t>
  </si>
  <si>
    <t>TUSSINOL X 30 ML JARABE MM</t>
  </si>
  <si>
    <t>MM-2026</t>
  </si>
  <si>
    <t>FERROCAN X 30 ML GOTAS VETERINARIO</t>
  </si>
  <si>
    <t>VETACEF 250 MG/5ML X 100 ML POLVO PARA SUSP. VETERINARIO</t>
  </si>
  <si>
    <t>AMBROXOL FORTE 30 MG X 100 ML JARABE</t>
  </si>
  <si>
    <t>DOMPERIDONA 10 MG X 20 ML GOTAS</t>
  </si>
  <si>
    <t>METRONIDAZOL 125 MG X 100 ML SUSP. VETERINARIO</t>
  </si>
  <si>
    <t>COTRIMOXAZOL 400/80 MG X 100 ML SUSP.</t>
  </si>
  <si>
    <t>COTRIMOXAZOL 200/40 MG X 100 ML SUSP.</t>
  </si>
  <si>
    <t>COTRIMOXAZOL 400/80 MG X 60 ML SUSP.</t>
  </si>
  <si>
    <t>PRODUCCION TOTAL</t>
  </si>
  <si>
    <t>ZINC 20 MG X 100 ML JARABE</t>
  </si>
  <si>
    <t>LEVOCAN X 15 ML GOTAS VETERINARIO</t>
  </si>
  <si>
    <t>METOCLOPRAMIDA X 20 ML GOTAS VETERINARIO</t>
  </si>
  <si>
    <t>METRONIDAZOL 250 MG X 100 ML SUSP. VETERINARIO</t>
  </si>
  <si>
    <t>PARACETAMOL 120 MG X 100 ML JARABE</t>
  </si>
  <si>
    <t>NISTATINA 500.000 UI X 60 ML SUSP.</t>
  </si>
  <si>
    <t>AMOXICILINA 250 MG X 100 ML POLVO PARA SUSP.</t>
  </si>
  <si>
    <t>DICLOXACILINA 250 MG X 100 ML POLVO PARA SUSP.</t>
  </si>
  <si>
    <t>DERMO VET X 100 ML LOCION VETERINARIO</t>
  </si>
  <si>
    <t>IFABENA 500 MG X 30 ML SUSP.</t>
  </si>
  <si>
    <t>AMOXICILINA 125 MG X 60 ML POLVO PARA SUSP. VETERINARIO</t>
  </si>
  <si>
    <t>COMPLEJO B POTENCIADO X 100 ML JARABE VETERINARIO</t>
  </si>
  <si>
    <t>AMOXICILINA 250 MG X 60 ML POLVO PARA SUSP.</t>
  </si>
  <si>
    <t>DEXTROMETORFANO 10 MG X 100 ML JARABE</t>
  </si>
  <si>
    <t>ALBENDAZOL 400 MG X 10 ML SUSP.</t>
  </si>
  <si>
    <t>10 ML</t>
  </si>
  <si>
    <t>FRASCO BLANCO (PARAGUAYO)</t>
  </si>
  <si>
    <t>COLOR ROJO</t>
  </si>
  <si>
    <t>COLOR NEGRO</t>
  </si>
  <si>
    <t>120ML A 40 ML</t>
  </si>
  <si>
    <t>40 ML A 30 ML</t>
  </si>
  <si>
    <t>30 ML A 15 ML</t>
  </si>
  <si>
    <t>80 ML A 120 ML</t>
  </si>
  <si>
    <t>120 ML A 40 ML</t>
  </si>
  <si>
    <t>15 ML A 120 ML</t>
  </si>
  <si>
    <t>DUBUIT</t>
  </si>
  <si>
    <t>120 LM</t>
  </si>
  <si>
    <t>NORMAL</t>
  </si>
  <si>
    <t>TARDE</t>
  </si>
  <si>
    <t>NOCHE</t>
  </si>
  <si>
    <t>Cambio de formato</t>
  </si>
  <si>
    <t>3.5 horas</t>
  </si>
  <si>
    <t>170 ml</t>
  </si>
  <si>
    <t>4 horas</t>
  </si>
  <si>
    <t>6 horas</t>
  </si>
  <si>
    <t>40 ml</t>
  </si>
  <si>
    <t>30 ml</t>
  </si>
  <si>
    <t>15 ml</t>
  </si>
  <si>
    <t>Criterio de prioridad</t>
  </si>
  <si>
    <t>formato</t>
  </si>
  <si>
    <t>stock</t>
  </si>
  <si>
    <t>linea</t>
  </si>
  <si>
    <t>lotes continuo</t>
  </si>
  <si>
    <t>EXTERNO</t>
  </si>
  <si>
    <t>AMOXICILINA 500 MG X 60 ML POLVO PARA SUSP.</t>
  </si>
  <si>
    <t>PIRANTEL 250 MG X 15 ML SUSP.</t>
  </si>
  <si>
    <t>TETRACICLINA POTENCIADA X 1000 G POLVO VETERINARIO</t>
  </si>
  <si>
    <t>VETODOLIC-K X 30 ML GOTAS VETERINARIO</t>
  </si>
  <si>
    <t xml:space="preserve"> FRASCO BLANCO</t>
  </si>
  <si>
    <t>TETRACICLINA X 1000 G POLVO VETERINARIO</t>
  </si>
  <si>
    <t>COTRIMOXAZOL 200/40 MG X 60 ML SUSP.</t>
  </si>
  <si>
    <t>TETRACICLINA X 100 G POLVO VETERINARIO</t>
  </si>
  <si>
    <t>METOCLOPRAMIDA 5 MG X 20 ML GOTAS</t>
  </si>
  <si>
    <t>CAMBIO DE FORMATO DE 120 ML A 80 ML</t>
  </si>
  <si>
    <t>80ML</t>
  </si>
  <si>
    <t>CANTIDAD</t>
  </si>
  <si>
    <t>HORAS</t>
  </si>
  <si>
    <t>TIPO DE FORMATO</t>
  </si>
  <si>
    <t>TOTAL</t>
  </si>
  <si>
    <t>HORA DEL DIA</t>
  </si>
  <si>
    <t>100GR</t>
  </si>
  <si>
    <t>120ML</t>
  </si>
  <si>
    <t>PROBLEMAS EN EL COMPRESOR</t>
  </si>
  <si>
    <t>FALTA</t>
  </si>
  <si>
    <t>PRODUCTO2</t>
  </si>
  <si>
    <t>MANTENIMIENTO</t>
  </si>
  <si>
    <t>no hay registro de estos lotes</t>
  </si>
  <si>
    <t>CAMBIO DE FORMATO DE 80 ML A 120 ML</t>
  </si>
  <si>
    <t>6 HORAS</t>
  </si>
  <si>
    <t>40ML</t>
  </si>
  <si>
    <t xml:space="preserve">100GR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</si>
</sst>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theme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88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0" borderId="2" xfId="0" applyBorder="1"/>
    <xf numFmtId="0" fontId="0" fillId="0" borderId="3" xfId="0" applyBorder="1" applyAlignment="1">
      <alignment horizontal="center"/>
    </xf>
    <xf numFmtId="2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0" borderId="0" xfId="0" applyNumberFormat="1" applyFill="1" applyAlignment="1">
      <alignment horizontal="center"/>
    </xf>
    <xf numFmtId="20" fontId="0" fillId="0" borderId="1" xfId="0" applyNumberFormat="1" applyFill="1" applyBorder="1" applyAlignment="1">
      <alignment horizontal="center"/>
    </xf>
    <xf numFmtId="2" fontId="0" fillId="0" borderId="3" xfId="0" applyNumberFormat="1" applyFill="1" applyBorder="1" applyAlignment="1">
      <alignment horizontal="center"/>
    </xf>
    <xf numFmtId="0" fontId="0" fillId="0" borderId="2" xfId="0" applyFill="1" applyBorder="1"/>
    <xf numFmtId="0" fontId="0" fillId="0" borderId="0" xfId="0" applyFill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0" xfId="0" applyFill="1"/>
    <xf numFmtId="0" fontId="0" fillId="3" borderId="2" xfId="0" applyFill="1" applyBorder="1" applyAlignment="1">
      <alignment horizontal="center"/>
    </xf>
    <xf numFmtId="0" fontId="0" fillId="3" borderId="2" xfId="0" applyNumberFormat="1" applyFill="1" applyBorder="1" applyAlignment="1">
      <alignment horizontal="center"/>
    </xf>
    <xf numFmtId="0" fontId="1" fillId="0" borderId="2" xfId="0" applyFont="1" applyBorder="1"/>
    <xf numFmtId="164" fontId="0" fillId="0" borderId="4" xfId="1" applyNumberFormat="1" applyFont="1" applyBorder="1"/>
    <xf numFmtId="0" fontId="0" fillId="0" borderId="6" xfId="0" applyBorder="1"/>
    <xf numFmtId="164" fontId="0" fillId="0" borderId="7" xfId="1" applyNumberFormat="1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0" fillId="0" borderId="11" xfId="1" applyFont="1" applyBorder="1"/>
    <xf numFmtId="43" fontId="0" fillId="0" borderId="12" xfId="1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43" fontId="0" fillId="0" borderId="16" xfId="1" applyFon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5" xfId="0" applyBorder="1"/>
    <xf numFmtId="0" fontId="0" fillId="0" borderId="20" xfId="0" applyFill="1" applyBorder="1"/>
    <xf numFmtId="0" fontId="0" fillId="0" borderId="23" xfId="0" applyBorder="1"/>
    <xf numFmtId="0" fontId="0" fillId="0" borderId="24" xfId="0" applyBorder="1"/>
    <xf numFmtId="0" fontId="0" fillId="0" borderId="26" xfId="0" applyBorder="1"/>
    <xf numFmtId="0" fontId="0" fillId="0" borderId="25" xfId="0" applyBorder="1"/>
    <xf numFmtId="0" fontId="0" fillId="0" borderId="28" xfId="0" applyBorder="1"/>
    <xf numFmtId="0" fontId="0" fillId="0" borderId="27" xfId="0" applyBorder="1"/>
    <xf numFmtId="0" fontId="0" fillId="0" borderId="20" xfId="0" applyBorder="1"/>
    <xf numFmtId="0" fontId="0" fillId="0" borderId="0" xfId="0" applyBorder="1"/>
    <xf numFmtId="43" fontId="0" fillId="0" borderId="0" xfId="1" applyFont="1" applyBorder="1"/>
    <xf numFmtId="20" fontId="0" fillId="0" borderId="0" xfId="0" applyNumberFormat="1"/>
    <xf numFmtId="0" fontId="0" fillId="0" borderId="4" xfId="0" applyBorder="1"/>
    <xf numFmtId="0" fontId="0" fillId="5" borderId="0" xfId="0" applyFill="1" applyAlignment="1">
      <alignment horizontal="center"/>
    </xf>
    <xf numFmtId="0" fontId="0" fillId="0" borderId="30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9" xfId="0" applyFont="1" applyBorder="1" applyAlignment="1">
      <alignment horizontal="center"/>
    </xf>
    <xf numFmtId="0" fontId="3" fillId="2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164" fontId="5" fillId="0" borderId="2" xfId="1" applyNumberFormat="1" applyFont="1" applyFill="1" applyBorder="1" applyAlignment="1">
      <alignment horizontal="left" wrapText="1"/>
    </xf>
    <xf numFmtId="0" fontId="0" fillId="0" borderId="34" xfId="0" applyBorder="1"/>
    <xf numFmtId="0" fontId="0" fillId="0" borderId="35" xfId="0" applyBorder="1"/>
    <xf numFmtId="0" fontId="0" fillId="0" borderId="33" xfId="0" applyFill="1" applyBorder="1"/>
    <xf numFmtId="0" fontId="0" fillId="0" borderId="32" xfId="0" applyFill="1" applyBorder="1"/>
    <xf numFmtId="0" fontId="5" fillId="0" borderId="4" xfId="0" applyFont="1" applyBorder="1" applyAlignment="1">
      <alignment horizontal="left" wrapText="1"/>
    </xf>
    <xf numFmtId="0" fontId="5" fillId="0" borderId="4" xfId="0" applyFont="1" applyBorder="1" applyAlignment="1">
      <alignment wrapText="1"/>
    </xf>
    <xf numFmtId="0" fontId="5" fillId="0" borderId="4" xfId="1" applyNumberFormat="1" applyFont="1" applyFill="1" applyBorder="1" applyAlignment="1">
      <alignment horizontal="left" wrapText="1"/>
    </xf>
    <xf numFmtId="164" fontId="5" fillId="0" borderId="4" xfId="1" applyNumberFormat="1" applyFont="1" applyFill="1" applyBorder="1" applyAlignment="1">
      <alignment horizontal="left" wrapText="1"/>
    </xf>
    <xf numFmtId="164" fontId="5" fillId="0" borderId="4" xfId="1" applyNumberFormat="1" applyFont="1" applyFill="1" applyBorder="1" applyAlignment="1">
      <alignment wrapText="1"/>
    </xf>
    <xf numFmtId="0" fontId="5" fillId="0" borderId="4" xfId="0" applyFont="1" applyFill="1" applyBorder="1" applyAlignment="1">
      <alignment wrapText="1"/>
    </xf>
    <xf numFmtId="0" fontId="0" fillId="0" borderId="4" xfId="0" applyFill="1" applyBorder="1"/>
    <xf numFmtId="0" fontId="7" fillId="7" borderId="34" xfId="0" applyFont="1" applyFill="1" applyBorder="1"/>
    <xf numFmtId="0" fontId="7" fillId="7" borderId="4" xfId="0" applyFont="1" applyFill="1" applyBorder="1"/>
    <xf numFmtId="0" fontId="7" fillId="7" borderId="35" xfId="0" applyFont="1" applyFill="1" applyBorder="1"/>
    <xf numFmtId="0" fontId="0" fillId="8" borderId="0" xfId="0" applyFill="1"/>
    <xf numFmtId="0" fontId="0" fillId="8" borderId="0" xfId="0" applyNumberFormat="1" applyFill="1"/>
    <xf numFmtId="0" fontId="0" fillId="7" borderId="0" xfId="0" applyFill="1"/>
    <xf numFmtId="0" fontId="0" fillId="7" borderId="0" xfId="0" applyNumberFormat="1" applyFill="1"/>
    <xf numFmtId="20" fontId="0" fillId="7" borderId="0" xfId="0" applyNumberFormat="1" applyFill="1"/>
    <xf numFmtId="0" fontId="0" fillId="0" borderId="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9" borderId="0" xfId="0" applyFill="1"/>
  </cellXfs>
  <cellStyles count="2">
    <cellStyle name="Millares" xfId="1" builtinId="3"/>
    <cellStyle name="Normal" xfId="0" builtinId="0"/>
  </cellStyles>
  <dxfs count="63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auto="1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top/>
        <bottom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thin">
          <color auto="1"/>
        </left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  <dxf>
      <numFmt numFmtId="19" formatCode="d/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center" textRotation="0" wrapText="1" indent="0" justifyLastLine="0" shrinkToFit="0" readingOrder="0"/>
    </dxf>
    <dxf>
      <fill>
        <patternFill>
          <bgColor theme="6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19" formatCode="d/m/yyyy"/>
    </dxf>
    <dxf>
      <numFmt numFmtId="19" formatCode="d/m/yyyy"/>
    </dxf>
    <dxf>
      <numFmt numFmtId="2" formatCode="0.00"/>
    </dxf>
    <dxf>
      <numFmt numFmtId="19" formatCode="d/m/yyyy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3470F37-18F1-4241-A9A4-2814D57F6D8A}" autoFormatId="16" applyNumberFormats="0" applyBorderFormats="0" applyFontFormats="0" applyPatternFormats="0" applyAlignmentFormats="0" applyWidthHeightFormats="0">
  <queryTableRefresh nextId="18" unboundColumnsRight="1">
    <queryTableFields count="17">
      <queryTableField id="1" name="FECHA EMISIÓN" tableColumnId="1"/>
      <queryTableField id="2" name="CÓD. SOLICITUD" tableColumnId="2"/>
      <queryTableField id="3" name="PRODUCTO" tableColumnId="3"/>
      <queryTableField id="4" name="FORMA FARMACEUTICA" tableColumnId="4"/>
      <queryTableField id="5" name="INSTITUCIÓN" tableColumnId="5"/>
      <queryTableField id="6" name="LOTE" tableColumnId="6"/>
      <queryTableField id="7" name="FECHA VTO." tableColumnId="7"/>
      <queryTableField id="8" name="CANTIDAD PEDIDA" tableColumnId="8"/>
      <queryTableField id="9" name="STOCK" tableColumnId="9"/>
      <queryTableField id="10" name="FECHA PRODUCCIÓN" tableColumnId="10"/>
      <queryTableField id="11" name="FECHA ENTREGA" tableColumnId="11"/>
      <queryTableField id="12" name="FECHA REGISTRO" tableColumnId="12"/>
      <queryTableField id="13" name="FORMATO DE FRASCO" tableColumnId="13"/>
      <queryTableField id="14" name="TIPO DE FRASCO" tableColumnId="14"/>
      <queryTableField id="15" name="ORDEN RECIBIDA" tableColumnId="15"/>
      <queryTableField id="16" name="ESTADO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40E0E4-40F4-43AA-B3A9-CFD01B9E630E}" name="Tabla_control_serigrafia" displayName="Tabla_control_serigrafia" ref="A1:Q116" tableType="queryTable" totalsRowShown="0" headerRowDxfId="62">
  <autoFilter ref="A1:Q116" xr:uid="{8640E0E4-40F4-43AA-B3A9-CFD01B9E630E}"/>
  <tableColumns count="17">
    <tableColumn id="1" xr3:uid="{AB9DBECA-DBEA-4F9D-B722-FC290A921469}" uniqueName="1" name="FECHA EMISIÓN" queryTableFieldId="1" dataDxfId="61"/>
    <tableColumn id="2" xr3:uid="{53A88D9A-82C4-4035-B761-5507A61949E6}" uniqueName="2" name="CÓD. SOLICITUD" queryTableFieldId="2"/>
    <tableColumn id="3" xr3:uid="{A7839BF1-108D-4FD2-BC75-F449988BEE16}" uniqueName="3" name="PRODUCTO" queryTableFieldId="3" dataDxfId="60"/>
    <tableColumn id="4" xr3:uid="{4D97DBE9-9B40-4881-9505-1CA69F63F73D}" uniqueName="4" name="FORMA FARMACEUTICA" queryTableFieldId="4" dataDxfId="59"/>
    <tableColumn id="5" xr3:uid="{0A0A8BFF-D534-4B30-BC8C-F099AA8D132C}" uniqueName="5" name="INSTITUCIÓN" queryTableFieldId="5" dataDxfId="58"/>
    <tableColumn id="6" xr3:uid="{73620A15-5747-4CAD-8532-D2AE1A47A8C1}" uniqueName="6" name="LOTE" queryTableFieldId="6" dataDxfId="57"/>
    <tableColumn id="7" xr3:uid="{24D7D558-88B9-4491-8877-F39B2AF73406}" uniqueName="7" name="FECHA VTO." queryTableFieldId="7" dataDxfId="56"/>
    <tableColumn id="8" xr3:uid="{F698A290-12DC-4FC3-9064-D5DB214C6175}" uniqueName="8" name="CANTIDAD PEDIDA" queryTableFieldId="8"/>
    <tableColumn id="9" xr3:uid="{35B3648B-49FF-4BEA-9632-9A019EE83598}" uniqueName="9" name="STOCK" queryTableFieldId="9" dataDxfId="55"/>
    <tableColumn id="10" xr3:uid="{67D651F3-B364-46F7-BBF3-BA29906818BD}" uniqueName="10" name="FECHA PRODUCCIÓN" queryTableFieldId="10" dataDxfId="54"/>
    <tableColumn id="11" xr3:uid="{B843EDED-A9F1-45FD-AC59-549E3D8BF566}" uniqueName="11" name="FECHA ENTREGA" queryTableFieldId="11" dataDxfId="53"/>
    <tableColumn id="12" xr3:uid="{4B0200C1-150B-4930-B0B0-E8B076947516}" uniqueName="12" name="FECHA REGISTRO" queryTableFieldId="12" dataDxfId="52"/>
    <tableColumn id="13" xr3:uid="{C549633D-1A9A-493E-A852-53607B55FE16}" uniqueName="13" name="FORMATO DE FRASCO" queryTableFieldId="13" dataDxfId="51"/>
    <tableColumn id="14" xr3:uid="{02F4A2C6-BA2F-469B-AD20-77645D5F9CAC}" uniqueName="14" name="TIPO DE FRASCO" queryTableFieldId="14" dataDxfId="50"/>
    <tableColumn id="15" xr3:uid="{E37446EB-70C5-4CFC-94DD-BC628C25F4A6}" uniqueName="15" name="ORDEN RECIBIDA" queryTableFieldId="15" dataDxfId="49"/>
    <tableColumn id="16" xr3:uid="{BDAEEDE5-5131-4944-8E03-7CA2A553B7A5}" uniqueName="16" name="ESTADO" queryTableFieldId="16" dataDxfId="48"/>
    <tableColumn id="17" xr3:uid="{DA683FB4-DCE5-4A64-8393-3076F0111CE5}" uniqueName="17" name="PRODUCTO2" queryTableFieldId="17" dataDxfId="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5B08AB-1FC2-487A-B182-676C9234887A}" name="Tabla_producción_serigrafia" displayName="Tabla_producción_serigrafia" ref="A1:U298" headerRowDxfId="45">
  <autoFilter ref="A1:U298" xr:uid="{A25B08AB-1FC2-487A-B182-676C9234887A}"/>
  <tableColumns count="21">
    <tableColumn id="1" xr3:uid="{94C707E8-9FC1-4E5C-B8E8-943D33823EAB}" name="FECHA" totalsRowLabel="Total" dataDxfId="44" totalsRowDxfId="43"/>
    <tableColumn id="15" xr3:uid="{1874CDA4-7E3B-45CD-AE33-A6C21E580ECB}" name="MÁQUINA" dataDxfId="42" totalsRowDxfId="41"/>
    <tableColumn id="13" xr3:uid="{CE0020D2-D503-47F9-8A4A-99B52583C8DB}" name="OPERADOR" dataDxfId="40"/>
    <tableColumn id="12" xr3:uid="{864F3B9E-F25C-4840-ABBA-F53210A401CB}" name="INICIO" dataDxfId="39" totalsRowDxfId="38"/>
    <tableColumn id="9" xr3:uid="{D8060278-D041-40C4-AD0C-5B9D3F734297}" name="FIN" dataDxfId="37" totalsRowDxfId="36"/>
    <tableColumn id="23" xr3:uid="{2E473B36-7E73-46D0-BEEA-407ADFE72A54}" name="HORA" dataDxfId="35" totalsRowDxfId="34">
      <calculatedColumnFormula>ROUND((Tabla_producción_serigrafia[[#This Row],[FIN]]-Tabla_producción_serigrafia[[#This Row],[INICIO]]+(Tabla_producción_serigrafia[[#This Row],[FIN]]&lt;Tabla_producción_serigrafia[[#This Row],[INICIO]]))*24,2)</calculatedColumnFormula>
    </tableColumn>
    <tableColumn id="10" xr3:uid="{7773C3E6-BC9C-4709-9D23-29D98116F839}" name="ACCIÓN" dataDxfId="33" totalsRowDxfId="32"/>
    <tableColumn id="8" xr3:uid="{FE331AAB-AA32-4CAA-A8E5-92312B4F932A}" name="LOTE" dataDxfId="31" totalsRowDxfId="30"/>
    <tableColumn id="11" xr3:uid="{DCBC7570-E0C3-4907-A5D2-CA96989DAB3A}" name="PRODUCTO" dataDxfId="29" totalsRowDxfId="28">
      <calculatedColumnFormula>IFERROR(INDEX(Tabla_control_serigrafia[PRODUCTO],MATCH(Tabla_producción_serigrafia[[#This Row],[LOTE]],Tabla_control_serigrafia[LOTE],0)),"-")</calculatedColumnFormula>
    </tableColumn>
    <tableColumn id="19" xr3:uid="{83CC0094-479C-4FC2-9672-A689001C97A1}" name="FORMATO DE FRASCO" dataDxfId="27">
      <calculatedColumnFormula>IFERROR(INDEX(Tabla_control_serigrafia[FORMATO DE FRASCO],MATCH(Tabla_producción_serigrafia[[#This Row],[LOTE]],Tabla_control_serigrafia[LOTE],0)),"-")</calculatedColumnFormula>
    </tableColumn>
    <tableColumn id="18" xr3:uid="{4C6F4C0B-E97A-4809-A95F-BD9A4E39D649}" name="TIPO DE FRASCO" dataDxfId="26">
      <calculatedColumnFormula>IFERROR(INDEX(Tabla_control_serigrafia[TIPO DE FRASCO],MATCH(Tabla_producción_serigrafia[[#This Row],[LOTE]],Tabla_control_serigrafia[LOTE],0)),"-")</calculatedColumnFormula>
    </tableColumn>
    <tableColumn id="4" xr3:uid="{288C4F2A-AAB8-4297-9FDA-38E4875DCDD3}" name="FORMATO Y TIPO DE FRASCO">
      <calculatedColumnFormula>IF(Tabla_producción_serigrafia[[#This Row],[ACCIÓN]]="PRODUCCIÓN",Tabla_producción_serigrafia[[#This Row],[FORMATO DE FRASCO]]&amp;" "&amp;Tabla_producción_serigrafia[[#This Row],[TIPO DE FRASCO]],"-")</calculatedColumnFormula>
    </tableColumn>
    <tableColumn id="20" xr3:uid="{510E4512-4D8F-4C6C-AC2F-3DB5D92B07B9}" name="CANTIDAD SOLICITADA" dataDxfId="25">
      <calculatedColumnFormula>IFERROR(INDEX(Tabla_control_serigrafia[CANTIDAD PEDIDA],MATCH(Tabla_producción_serigrafia[[#This Row],[LOTE]],Tabla_control_serigrafia[LOTE],0)),"-")</calculatedColumnFormula>
    </tableColumn>
    <tableColumn id="5" xr3:uid="{420AC285-990D-4962-830F-9CF93A23CDB3}" name="CANTIDAD PRODUCIDA" dataDxfId="24" totalsRowDxfId="23"/>
    <tableColumn id="6" xr3:uid="{243B0174-6A38-48AC-BE4C-7E7DA38E4BB2}" name="CANTIDAD RECHAZADA" dataDxfId="22" totalsRowDxfId="21"/>
    <tableColumn id="22" xr3:uid="{29F86B1A-5D33-40E6-8B0A-823A0E444749}" name="ESTADO" dataDxfId="20" totalsRowDxfId="19"/>
    <tableColumn id="2" xr3:uid="{0925C418-E193-4052-BE76-7B7596F133F2}" name="UNIDADES PRODUCIDAS" dataDxfId="18" totalsRowDxfId="17">
      <calculatedColumnFormula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calculatedColumnFormula>
    </tableColumn>
    <tableColumn id="21" xr3:uid="{49BEDF2E-46FA-497B-9DDE-DEB6186660AC}" name="TIEMPO DE LIBERACIÓN" dataDxfId="16" totalsRowDxfId="15">
      <calculatedColumnFormula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calculatedColumnFormula>
    </tableColumn>
    <tableColumn id="7" xr3:uid="{1AA23391-9924-40A3-B02A-8C970406DAEA}" name="OBSERVACIONES" totalsRowFunction="count" dataDxfId="14" totalsRowDxfId="13"/>
    <tableColumn id="24" xr3:uid="{36E70417-1A9E-426F-8C74-FA20E781F084}" name="MES" dataDxfId="12" totalsRowDxfId="11">
      <calculatedColumnFormula>UPPER(LEFT(TEXT(Tabla_producción_serigrafia[[#This Row],[FECHA]],"mmm"),3))</calculatedColumnFormula>
    </tableColumn>
    <tableColumn id="3" xr3:uid="{8D551DCC-400D-4335-9DF8-0743025772C5}" name="PRODUCCION TOTAL" dataDxfId="10" totalsRowDxfId="9">
      <calculatedColumnFormula>IFERROR(Tabla_producción_serigrafia[[#This Row],[CANTIDAD PRODUCIDA]]+Tabla_producción_serigrafia[[#This Row],[CANTIDAD RECHAZADA]],0)</calculatedColumnFormula>
    </tableColumn>
  </tableColumns>
  <tableStyleInfo name="TableStyleMedium16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34805F-16EE-4A0A-B61E-D6D6DF6A0F8C}" name="Tabla2" displayName="Tabla2" ref="A14:E28" totalsRowShown="0">
  <tableColumns count="5">
    <tableColumn id="1" xr3:uid="{B39429A0-0136-4AD1-B286-D538EAD67078}" name="TIPO DE FORMATO"/>
    <tableColumn id="2" xr3:uid="{4E124E51-E776-4168-8DBE-597D2B91604E}" name="CANTIDAD"/>
    <tableColumn id="3" xr3:uid="{D55B568F-959A-4909-A484-6C0F76878E3C}" name="HORAS"/>
    <tableColumn id="7" xr3:uid="{CD2641CA-50BA-40C9-8EF6-7B6250F8BA6D}" name="HORA DEL DIA"/>
    <tableColumn id="4" xr3:uid="{46B202FA-526C-47EC-9E37-470E202ADF50}" name="TOTAL" dataDxfId="8">
      <calculatedColumnFormula>+Tabla2[[#This Row],[CANTIDAD]]*Tabla2[[#This Row],[HORAS]]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E93658-34BD-4B47-B7F7-598843D962F0}" name="Tabla4" displayName="Tabla4" ref="A30:E45" totalsRowShown="0" headerRowBorderDxfId="7" tableBorderDxfId="6" totalsRowBorderDxfId="5">
  <tableColumns count="5">
    <tableColumn id="1" xr3:uid="{6AD7806F-7EC3-496F-97E8-0AC9936C104C}" name="TIPO DE FORMATO" dataDxfId="4"/>
    <tableColumn id="2" xr3:uid="{EDA5BBEF-6F43-41B6-8B31-95EF4D05C1E9}" name="CANTIDAD" dataDxfId="3"/>
    <tableColumn id="3" xr3:uid="{0E7EBBFA-3512-43BD-ADCD-3D14E742D975}" name="HORAS" dataDxfId="2"/>
    <tableColumn id="4" xr3:uid="{CF9C7CF4-2AA1-40E7-87D2-B18DC2FAD344}" name="HORA DEL DIA" dataDxfId="1"/>
    <tableColumn id="5" xr3:uid="{3820B315-3637-4660-997E-3A7EE892AD12}" name="TOTAL" dataDxfId="0">
      <calculatedColumnFormula>+B31*C31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D8DC8F-1E7C-4B1E-8E50-246D7665FFE4}" name="Tabla6" displayName="Tabla6" ref="G14:K29" totalsRowShown="0">
  <tableColumns count="5">
    <tableColumn id="1" xr3:uid="{84A57CBC-D287-4E5E-B924-4A3E832CB840}" name="TIPO DE FORMATO"/>
    <tableColumn id="2" xr3:uid="{61548B87-D196-4DAC-BB86-7AE65E598E43}" name="CANTIDAD"/>
    <tableColumn id="3" xr3:uid="{2875A5F1-14EC-434B-800D-72642FBA0E8D}" name="HORAS"/>
    <tableColumn id="4" xr3:uid="{1B2A977C-5E58-4C4F-A0B1-BA1E1FB9C700}" name="HORA DEL DIA"/>
    <tableColumn id="5" xr3:uid="{735CDF4C-6C50-424D-8FE8-96859455C1EB}" name="TOTAL">
      <calculatedColumnFormula>+H15*I15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2E165-C61D-4F44-8A61-FC3C791F5E61}">
  <dimension ref="A1:Q116"/>
  <sheetViews>
    <sheetView topLeftCell="D1" zoomScale="85" zoomScaleNormal="85" workbookViewId="0">
      <selection activeCell="G81" sqref="G81"/>
    </sheetView>
  </sheetViews>
  <sheetFormatPr baseColWidth="10" defaultRowHeight="15" x14ac:dyDescent="0.25"/>
  <cols>
    <col min="1" max="1" width="20" customWidth="1"/>
    <col min="2" max="2" width="20.140625" customWidth="1"/>
    <col min="3" max="3" width="81.140625" customWidth="1"/>
    <col min="4" max="4" width="27.140625" customWidth="1"/>
    <col min="5" max="5" width="17.42578125" customWidth="1"/>
    <col min="6" max="6" width="10.7109375" bestFit="1" customWidth="1"/>
    <col min="7" max="7" width="16.5703125" bestFit="1" customWidth="1"/>
    <col min="8" max="8" width="22.42578125" bestFit="1" customWidth="1"/>
    <col min="9" max="9" width="12.140625" bestFit="1" customWidth="1"/>
    <col min="10" max="10" width="24.140625" bestFit="1" customWidth="1"/>
    <col min="11" max="11" width="20.7109375" bestFit="1" customWidth="1"/>
    <col min="12" max="12" width="21.140625" bestFit="1" customWidth="1"/>
    <col min="13" max="13" width="25.5703125" bestFit="1" customWidth="1"/>
    <col min="14" max="14" width="29.140625" bestFit="1" customWidth="1"/>
    <col min="15" max="15" width="21.140625" bestFit="1" customWidth="1"/>
    <col min="16" max="16" width="13.42578125" bestFit="1" customWidth="1"/>
    <col min="17" max="17" width="81.140625" bestFit="1" customWidth="1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179</v>
      </c>
    </row>
    <row r="2" spans="1:17" x14ac:dyDescent="0.25">
      <c r="A2" s="1">
        <v>46024</v>
      </c>
      <c r="B2">
        <v>8095</v>
      </c>
      <c r="C2" s="20" t="s">
        <v>16</v>
      </c>
      <c r="D2" s="20" t="s">
        <v>17</v>
      </c>
      <c r="E2" s="20" t="s">
        <v>18</v>
      </c>
      <c r="F2" s="3">
        <v>12676</v>
      </c>
      <c r="G2" s="1">
        <v>46753</v>
      </c>
      <c r="H2">
        <v>23529</v>
      </c>
      <c r="I2" s="2" t="s">
        <v>38</v>
      </c>
      <c r="J2" s="1" t="s">
        <v>38</v>
      </c>
      <c r="K2" s="1"/>
      <c r="L2" s="1">
        <v>46027</v>
      </c>
      <c r="M2" s="20" t="s">
        <v>20</v>
      </c>
      <c r="N2" s="20" t="s">
        <v>21</v>
      </c>
      <c r="O2" s="20" t="s">
        <v>22</v>
      </c>
      <c r="P2" s="20" t="s">
        <v>31</v>
      </c>
      <c r="Q2" s="20" t="s">
        <v>16</v>
      </c>
    </row>
    <row r="3" spans="1:17" x14ac:dyDescent="0.25">
      <c r="A3" s="1">
        <v>46024</v>
      </c>
      <c r="B3">
        <v>8093</v>
      </c>
      <c r="C3" s="20" t="s">
        <v>24</v>
      </c>
      <c r="D3" s="20" t="s">
        <v>25</v>
      </c>
      <c r="E3" s="20" t="s">
        <v>18</v>
      </c>
      <c r="F3" s="3">
        <v>12655</v>
      </c>
      <c r="G3" s="1">
        <v>46753</v>
      </c>
      <c r="H3">
        <v>9000</v>
      </c>
      <c r="I3" s="2" t="s">
        <v>38</v>
      </c>
      <c r="J3" s="1" t="s">
        <v>38</v>
      </c>
      <c r="K3" s="1"/>
      <c r="L3" s="1">
        <v>46027</v>
      </c>
      <c r="M3" s="20" t="s">
        <v>26</v>
      </c>
      <c r="N3" s="20" t="s">
        <v>21</v>
      </c>
      <c r="O3" s="20" t="s">
        <v>22</v>
      </c>
      <c r="P3" s="20" t="s">
        <v>31</v>
      </c>
      <c r="Q3" s="20" t="s">
        <v>24</v>
      </c>
    </row>
    <row r="4" spans="1:17" x14ac:dyDescent="0.25">
      <c r="A4" s="1">
        <v>46024</v>
      </c>
      <c r="B4">
        <v>8167</v>
      </c>
      <c r="C4" s="20" t="s">
        <v>27</v>
      </c>
      <c r="D4" s="20" t="s">
        <v>25</v>
      </c>
      <c r="E4" s="20" t="s">
        <v>18</v>
      </c>
      <c r="F4" s="3">
        <v>12680</v>
      </c>
      <c r="G4" s="1">
        <v>47484</v>
      </c>
      <c r="H4">
        <v>56250</v>
      </c>
      <c r="I4" s="2" t="s">
        <v>38</v>
      </c>
      <c r="J4" s="1" t="s">
        <v>38</v>
      </c>
      <c r="K4" s="1"/>
      <c r="L4" s="1">
        <v>46027</v>
      </c>
      <c r="M4" s="20" t="s">
        <v>28</v>
      </c>
      <c r="N4" s="20" t="s">
        <v>21</v>
      </c>
      <c r="O4" s="20" t="s">
        <v>22</v>
      </c>
      <c r="P4" s="20" t="s">
        <v>31</v>
      </c>
      <c r="Q4" s="20" t="s">
        <v>27</v>
      </c>
    </row>
    <row r="5" spans="1:17" x14ac:dyDescent="0.25">
      <c r="A5" s="1">
        <v>46024</v>
      </c>
      <c r="B5">
        <v>8276</v>
      </c>
      <c r="C5" s="20" t="s">
        <v>16</v>
      </c>
      <c r="D5" s="20" t="s">
        <v>17</v>
      </c>
      <c r="E5" s="20" t="s">
        <v>18</v>
      </c>
      <c r="F5" s="3">
        <v>12678</v>
      </c>
      <c r="G5" s="1">
        <v>46753</v>
      </c>
      <c r="H5">
        <v>23529</v>
      </c>
      <c r="I5" s="2" t="s">
        <v>38</v>
      </c>
      <c r="J5" s="1" t="s">
        <v>38</v>
      </c>
      <c r="K5" s="1"/>
      <c r="L5" s="1">
        <v>46027</v>
      </c>
      <c r="M5" s="20" t="s">
        <v>20</v>
      </c>
      <c r="N5" s="20" t="s">
        <v>21</v>
      </c>
      <c r="O5" s="20" t="s">
        <v>22</v>
      </c>
      <c r="P5" s="20" t="s">
        <v>31</v>
      </c>
      <c r="Q5" s="20" t="s">
        <v>16</v>
      </c>
    </row>
    <row r="6" spans="1:17" x14ac:dyDescent="0.25">
      <c r="A6" s="1">
        <v>46024</v>
      </c>
      <c r="B6">
        <v>8275</v>
      </c>
      <c r="C6" s="20" t="s">
        <v>16</v>
      </c>
      <c r="D6" s="20" t="s">
        <v>17</v>
      </c>
      <c r="E6" s="20" t="s">
        <v>18</v>
      </c>
      <c r="F6" s="3">
        <v>12677</v>
      </c>
      <c r="G6" s="1">
        <v>46753</v>
      </c>
      <c r="H6">
        <v>23529</v>
      </c>
      <c r="I6" s="2" t="s">
        <v>38</v>
      </c>
      <c r="J6" s="1" t="s">
        <v>38</v>
      </c>
      <c r="K6" s="1"/>
      <c r="L6" s="1">
        <v>46027</v>
      </c>
      <c r="M6" s="20" t="s">
        <v>20</v>
      </c>
      <c r="N6" s="20" t="s">
        <v>21</v>
      </c>
      <c r="O6" s="20" t="s">
        <v>22</v>
      </c>
      <c r="P6" s="20" t="s">
        <v>31</v>
      </c>
      <c r="Q6" s="20" t="s">
        <v>16</v>
      </c>
    </row>
    <row r="7" spans="1:17" x14ac:dyDescent="0.25">
      <c r="A7" s="1">
        <v>46024</v>
      </c>
      <c r="B7">
        <v>8084</v>
      </c>
      <c r="C7" s="20" t="s">
        <v>29</v>
      </c>
      <c r="D7" s="20" t="s">
        <v>30</v>
      </c>
      <c r="E7" s="20" t="s">
        <v>18</v>
      </c>
      <c r="F7" s="3">
        <v>12659</v>
      </c>
      <c r="G7" s="1">
        <v>46753</v>
      </c>
      <c r="H7">
        <v>9901</v>
      </c>
      <c r="I7" s="2" t="s">
        <v>38</v>
      </c>
      <c r="J7" s="1" t="s">
        <v>38</v>
      </c>
      <c r="K7" s="1"/>
      <c r="L7" s="1">
        <v>46028</v>
      </c>
      <c r="M7" s="20" t="s">
        <v>20</v>
      </c>
      <c r="N7" s="20" t="s">
        <v>21</v>
      </c>
      <c r="O7" s="20" t="s">
        <v>22</v>
      </c>
      <c r="P7" s="20" t="s">
        <v>31</v>
      </c>
      <c r="Q7" s="20" t="s">
        <v>29</v>
      </c>
    </row>
    <row r="8" spans="1:17" x14ac:dyDescent="0.25">
      <c r="A8" s="1">
        <v>46024</v>
      </c>
      <c r="B8">
        <v>8182</v>
      </c>
      <c r="C8" s="20" t="s">
        <v>32</v>
      </c>
      <c r="D8" s="20" t="s">
        <v>33</v>
      </c>
      <c r="E8" s="20" t="s">
        <v>18</v>
      </c>
      <c r="F8" s="3">
        <v>12672</v>
      </c>
      <c r="G8" s="1">
        <v>46753</v>
      </c>
      <c r="H8">
        <v>2000</v>
      </c>
      <c r="I8" s="2" t="s">
        <v>38</v>
      </c>
      <c r="J8" s="1" t="s">
        <v>38</v>
      </c>
      <c r="K8" s="1"/>
      <c r="L8" s="1">
        <v>46028</v>
      </c>
      <c r="M8" s="20" t="s">
        <v>34</v>
      </c>
      <c r="N8" s="20" t="s">
        <v>21</v>
      </c>
      <c r="O8" s="20" t="s">
        <v>22</v>
      </c>
      <c r="P8" s="20" t="s">
        <v>31</v>
      </c>
      <c r="Q8" s="20" t="s">
        <v>32</v>
      </c>
    </row>
    <row r="9" spans="1:17" x14ac:dyDescent="0.25">
      <c r="A9" s="1">
        <v>46024</v>
      </c>
      <c r="B9">
        <v>8183</v>
      </c>
      <c r="C9" s="20" t="s">
        <v>32</v>
      </c>
      <c r="D9" s="20" t="s">
        <v>33</v>
      </c>
      <c r="E9" s="20" t="s">
        <v>18</v>
      </c>
      <c r="F9" s="3">
        <v>12673</v>
      </c>
      <c r="G9" s="1">
        <v>46753</v>
      </c>
      <c r="H9">
        <v>2000</v>
      </c>
      <c r="I9" s="2" t="s">
        <v>38</v>
      </c>
      <c r="J9" s="1" t="s">
        <v>38</v>
      </c>
      <c r="K9" s="1"/>
      <c r="L9" s="1">
        <v>46028</v>
      </c>
      <c r="M9" s="20" t="s">
        <v>34</v>
      </c>
      <c r="N9" s="20" t="s">
        <v>21</v>
      </c>
      <c r="O9" s="20" t="s">
        <v>22</v>
      </c>
      <c r="P9" s="20" t="s">
        <v>31</v>
      </c>
      <c r="Q9" s="20" t="s">
        <v>32</v>
      </c>
    </row>
    <row r="10" spans="1:17" x14ac:dyDescent="0.25">
      <c r="A10" s="1">
        <v>46024</v>
      </c>
      <c r="B10">
        <v>8181</v>
      </c>
      <c r="C10" s="20" t="s">
        <v>32</v>
      </c>
      <c r="D10" s="20" t="s">
        <v>33</v>
      </c>
      <c r="E10" s="20" t="s">
        <v>18</v>
      </c>
      <c r="F10" s="3">
        <v>12671</v>
      </c>
      <c r="G10" s="1">
        <v>46753</v>
      </c>
      <c r="H10">
        <v>2000</v>
      </c>
      <c r="I10" s="2" t="s">
        <v>38</v>
      </c>
      <c r="J10" s="1" t="s">
        <v>38</v>
      </c>
      <c r="K10" s="1"/>
      <c r="L10" s="1">
        <v>46028</v>
      </c>
      <c r="M10" s="20" t="s">
        <v>34</v>
      </c>
      <c r="N10" s="20" t="s">
        <v>21</v>
      </c>
      <c r="O10" s="20" t="s">
        <v>22</v>
      </c>
      <c r="P10" s="20" t="s">
        <v>31</v>
      </c>
      <c r="Q10" s="20" t="s">
        <v>32</v>
      </c>
    </row>
    <row r="11" spans="1:17" x14ac:dyDescent="0.25">
      <c r="A11" s="1">
        <v>46024</v>
      </c>
      <c r="B11">
        <v>7822</v>
      </c>
      <c r="C11" s="20" t="s">
        <v>35</v>
      </c>
      <c r="D11" s="20" t="s">
        <v>17</v>
      </c>
      <c r="E11" s="20" t="s">
        <v>18</v>
      </c>
      <c r="F11" s="3">
        <v>12685</v>
      </c>
      <c r="G11" s="1">
        <v>46753</v>
      </c>
      <c r="H11">
        <v>14706</v>
      </c>
      <c r="I11" s="2" t="s">
        <v>38</v>
      </c>
      <c r="J11" s="1" t="s">
        <v>38</v>
      </c>
      <c r="K11" s="1"/>
      <c r="L11" s="1">
        <v>46028</v>
      </c>
      <c r="M11" s="20" t="s">
        <v>20</v>
      </c>
      <c r="N11" s="20" t="s">
        <v>21</v>
      </c>
      <c r="O11" s="20" t="s">
        <v>22</v>
      </c>
      <c r="P11" s="20" t="s">
        <v>31</v>
      </c>
      <c r="Q11" s="20" t="s">
        <v>35</v>
      </c>
    </row>
    <row r="12" spans="1:17" x14ac:dyDescent="0.25">
      <c r="A12" s="1">
        <v>46024</v>
      </c>
      <c r="B12">
        <v>7836</v>
      </c>
      <c r="C12" s="20" t="s">
        <v>32</v>
      </c>
      <c r="D12" s="20" t="s">
        <v>33</v>
      </c>
      <c r="E12" s="20" t="s">
        <v>18</v>
      </c>
      <c r="F12" s="3">
        <v>12670</v>
      </c>
      <c r="G12" s="1">
        <v>46753</v>
      </c>
      <c r="H12">
        <v>1000</v>
      </c>
      <c r="I12" s="2" t="s">
        <v>38</v>
      </c>
      <c r="J12" s="1" t="s">
        <v>38</v>
      </c>
      <c r="K12" s="1"/>
      <c r="L12" s="1">
        <v>46028</v>
      </c>
      <c r="M12" s="20" t="s">
        <v>34</v>
      </c>
      <c r="N12" s="20" t="s">
        <v>21</v>
      </c>
      <c r="O12" s="20" t="s">
        <v>22</v>
      </c>
      <c r="P12" s="20" t="s">
        <v>31</v>
      </c>
      <c r="Q12" s="20" t="s">
        <v>32</v>
      </c>
    </row>
    <row r="13" spans="1:17" x14ac:dyDescent="0.25">
      <c r="A13" s="1">
        <v>46024</v>
      </c>
      <c r="B13">
        <v>7454</v>
      </c>
      <c r="C13" s="20" t="s">
        <v>36</v>
      </c>
      <c r="D13" s="20" t="s">
        <v>37</v>
      </c>
      <c r="E13" s="20" t="s">
        <v>18</v>
      </c>
      <c r="F13" s="3">
        <v>4126</v>
      </c>
      <c r="G13" s="1">
        <v>46753</v>
      </c>
      <c r="H13">
        <v>1500</v>
      </c>
      <c r="I13" s="2" t="s">
        <v>38</v>
      </c>
      <c r="J13" s="1" t="s">
        <v>38</v>
      </c>
      <c r="K13" s="1"/>
      <c r="L13" s="1">
        <v>46028</v>
      </c>
      <c r="M13" s="20" t="s">
        <v>20</v>
      </c>
      <c r="N13" s="20" t="s">
        <v>39</v>
      </c>
      <c r="O13" s="20" t="s">
        <v>22</v>
      </c>
      <c r="P13" s="20" t="s">
        <v>31</v>
      </c>
      <c r="Q13" s="20" t="s">
        <v>36</v>
      </c>
    </row>
    <row r="14" spans="1:17" x14ac:dyDescent="0.25">
      <c r="A14" s="1">
        <v>46024</v>
      </c>
      <c r="B14">
        <v>8039</v>
      </c>
      <c r="C14" s="20" t="s">
        <v>40</v>
      </c>
      <c r="D14" s="20" t="s">
        <v>30</v>
      </c>
      <c r="E14" s="20" t="s">
        <v>18</v>
      </c>
      <c r="F14" s="3">
        <v>12660</v>
      </c>
      <c r="G14" s="1">
        <v>46753</v>
      </c>
      <c r="H14">
        <v>29703</v>
      </c>
      <c r="I14" s="2" t="s">
        <v>38</v>
      </c>
      <c r="J14" s="1" t="s">
        <v>38</v>
      </c>
      <c r="K14" s="1"/>
      <c r="L14" s="1">
        <v>46028</v>
      </c>
      <c r="M14" s="20" t="s">
        <v>20</v>
      </c>
      <c r="N14" s="20" t="s">
        <v>21</v>
      </c>
      <c r="O14" s="20" t="s">
        <v>22</v>
      </c>
      <c r="P14" s="20" t="s">
        <v>31</v>
      </c>
      <c r="Q14" s="20" t="s">
        <v>40</v>
      </c>
    </row>
    <row r="15" spans="1:17" x14ac:dyDescent="0.25">
      <c r="A15" s="1">
        <v>46024</v>
      </c>
      <c r="B15">
        <v>7946</v>
      </c>
      <c r="C15" s="20" t="s">
        <v>41</v>
      </c>
      <c r="D15" s="20" t="s">
        <v>17</v>
      </c>
      <c r="E15" s="20" t="s">
        <v>18</v>
      </c>
      <c r="F15" s="3">
        <v>12683</v>
      </c>
      <c r="G15" s="1">
        <v>46753</v>
      </c>
      <c r="H15">
        <v>11400</v>
      </c>
      <c r="I15" s="2" t="s">
        <v>38</v>
      </c>
      <c r="J15" s="1" t="s">
        <v>38</v>
      </c>
      <c r="K15" s="1"/>
      <c r="L15" s="1">
        <v>46028</v>
      </c>
      <c r="M15" s="20" t="s">
        <v>42</v>
      </c>
      <c r="N15" s="20" t="s">
        <v>21</v>
      </c>
      <c r="O15" s="20" t="s">
        <v>22</v>
      </c>
      <c r="P15" s="20" t="s">
        <v>31</v>
      </c>
      <c r="Q15" s="20" t="s">
        <v>41</v>
      </c>
    </row>
    <row r="16" spans="1:17" x14ac:dyDescent="0.25">
      <c r="A16" s="1">
        <v>46024</v>
      </c>
      <c r="B16">
        <v>7953</v>
      </c>
      <c r="C16" s="20" t="s">
        <v>43</v>
      </c>
      <c r="D16" s="20" t="s">
        <v>17</v>
      </c>
      <c r="E16" s="20" t="s">
        <v>18</v>
      </c>
      <c r="F16" s="3">
        <v>5126</v>
      </c>
      <c r="G16" s="1">
        <v>46753</v>
      </c>
      <c r="H16">
        <v>4902</v>
      </c>
      <c r="I16" s="2" t="s">
        <v>38</v>
      </c>
      <c r="J16" s="1" t="s">
        <v>38</v>
      </c>
      <c r="K16" s="1"/>
      <c r="L16" s="1">
        <v>46028</v>
      </c>
      <c r="M16" s="20" t="s">
        <v>20</v>
      </c>
      <c r="N16" s="20" t="s">
        <v>21</v>
      </c>
      <c r="O16" s="20" t="s">
        <v>22</v>
      </c>
      <c r="P16" s="20" t="s">
        <v>31</v>
      </c>
      <c r="Q16" s="20" t="s">
        <v>43</v>
      </c>
    </row>
    <row r="17" spans="1:17" x14ac:dyDescent="0.25">
      <c r="A17" s="1">
        <v>46024</v>
      </c>
      <c r="B17">
        <v>8105</v>
      </c>
      <c r="C17" s="20" t="s">
        <v>44</v>
      </c>
      <c r="D17" s="20" t="s">
        <v>45</v>
      </c>
      <c r="E17" s="20" t="s">
        <v>18</v>
      </c>
      <c r="F17" s="3">
        <v>12663</v>
      </c>
      <c r="G17" s="1">
        <v>46753</v>
      </c>
      <c r="H17">
        <v>6000</v>
      </c>
      <c r="I17" s="2" t="s">
        <v>38</v>
      </c>
      <c r="J17" s="1" t="s">
        <v>38</v>
      </c>
      <c r="K17" s="1"/>
      <c r="L17" s="1">
        <v>46028</v>
      </c>
      <c r="M17" s="20" t="s">
        <v>20</v>
      </c>
      <c r="N17" s="20" t="s">
        <v>39</v>
      </c>
      <c r="O17" s="20" t="s">
        <v>22</v>
      </c>
      <c r="P17" s="20" t="s">
        <v>31</v>
      </c>
      <c r="Q17" s="20" t="s">
        <v>44</v>
      </c>
    </row>
    <row r="18" spans="1:17" x14ac:dyDescent="0.25">
      <c r="A18" s="1">
        <v>46024</v>
      </c>
      <c r="B18">
        <v>8098</v>
      </c>
      <c r="C18" s="20" t="s">
        <v>46</v>
      </c>
      <c r="D18" s="20" t="s">
        <v>45</v>
      </c>
      <c r="E18" s="20" t="s">
        <v>18</v>
      </c>
      <c r="F18" s="3">
        <v>12666</v>
      </c>
      <c r="G18" s="1">
        <v>47484</v>
      </c>
      <c r="H18">
        <v>15000</v>
      </c>
      <c r="I18" s="2" t="s">
        <v>38</v>
      </c>
      <c r="J18" s="1" t="s">
        <v>38</v>
      </c>
      <c r="K18" s="1"/>
      <c r="L18" s="1">
        <v>46028</v>
      </c>
      <c r="M18" s="20" t="s">
        <v>26</v>
      </c>
      <c r="N18" s="20" t="s">
        <v>21</v>
      </c>
      <c r="O18" s="20" t="s">
        <v>22</v>
      </c>
      <c r="P18" s="20" t="s">
        <v>31</v>
      </c>
      <c r="Q18" s="20" t="s">
        <v>46</v>
      </c>
    </row>
    <row r="19" spans="1:17" x14ac:dyDescent="0.25">
      <c r="A19" s="1">
        <v>46024</v>
      </c>
      <c r="B19">
        <v>8177</v>
      </c>
      <c r="C19" s="20" t="s">
        <v>44</v>
      </c>
      <c r="D19" s="20" t="s">
        <v>45</v>
      </c>
      <c r="E19" s="20" t="s">
        <v>18</v>
      </c>
      <c r="F19" s="3">
        <v>12664</v>
      </c>
      <c r="G19" s="1">
        <v>46753</v>
      </c>
      <c r="H19">
        <v>6000</v>
      </c>
      <c r="I19" s="2" t="s">
        <v>38</v>
      </c>
      <c r="J19" s="1" t="s">
        <v>38</v>
      </c>
      <c r="K19" s="1"/>
      <c r="L19" s="1">
        <v>46028</v>
      </c>
      <c r="M19" s="20" t="s">
        <v>20</v>
      </c>
      <c r="N19" s="20" t="s">
        <v>39</v>
      </c>
      <c r="O19" s="20" t="s">
        <v>22</v>
      </c>
      <c r="P19" s="20" t="s">
        <v>31</v>
      </c>
      <c r="Q19" s="20" t="s">
        <v>44</v>
      </c>
    </row>
    <row r="20" spans="1:17" x14ac:dyDescent="0.25">
      <c r="A20" s="1">
        <v>46024</v>
      </c>
      <c r="B20">
        <v>8178</v>
      </c>
      <c r="C20" s="20" t="s">
        <v>44</v>
      </c>
      <c r="D20" s="20" t="s">
        <v>45</v>
      </c>
      <c r="E20" s="20" t="s">
        <v>18</v>
      </c>
      <c r="F20" s="3">
        <v>12665</v>
      </c>
      <c r="G20" s="1">
        <v>46753</v>
      </c>
      <c r="H20">
        <v>6000</v>
      </c>
      <c r="I20" s="2" t="s">
        <v>38</v>
      </c>
      <c r="J20" s="1" t="s">
        <v>38</v>
      </c>
      <c r="K20" s="1"/>
      <c r="L20" s="1">
        <v>46028</v>
      </c>
      <c r="M20" s="20" t="s">
        <v>20</v>
      </c>
      <c r="N20" s="20" t="s">
        <v>39</v>
      </c>
      <c r="O20" s="20" t="s">
        <v>22</v>
      </c>
      <c r="P20" s="20" t="s">
        <v>31</v>
      </c>
      <c r="Q20" s="20" t="s">
        <v>44</v>
      </c>
    </row>
    <row r="21" spans="1:17" x14ac:dyDescent="0.25">
      <c r="A21" s="1">
        <v>46024</v>
      </c>
      <c r="B21">
        <v>8179</v>
      </c>
      <c r="C21" s="20" t="s">
        <v>44</v>
      </c>
      <c r="D21" s="20" t="s">
        <v>45</v>
      </c>
      <c r="E21" s="20" t="s">
        <v>18</v>
      </c>
      <c r="F21" s="3">
        <v>12662</v>
      </c>
      <c r="G21" s="1">
        <v>46753</v>
      </c>
      <c r="H21">
        <v>2000</v>
      </c>
      <c r="I21" s="2" t="s">
        <v>38</v>
      </c>
      <c r="J21" s="1" t="s">
        <v>38</v>
      </c>
      <c r="K21" s="1"/>
      <c r="L21" s="1">
        <v>46028</v>
      </c>
      <c r="M21" s="20" t="s">
        <v>20</v>
      </c>
      <c r="N21" s="20" t="s">
        <v>39</v>
      </c>
      <c r="O21" s="20" t="s">
        <v>22</v>
      </c>
      <c r="P21" s="20" t="s">
        <v>31</v>
      </c>
      <c r="Q21" s="20" t="s">
        <v>44</v>
      </c>
    </row>
    <row r="22" spans="1:17" x14ac:dyDescent="0.25">
      <c r="A22" s="1">
        <v>46024</v>
      </c>
      <c r="B22">
        <v>8180</v>
      </c>
      <c r="C22" s="20" t="s">
        <v>46</v>
      </c>
      <c r="D22" s="20" t="s">
        <v>45</v>
      </c>
      <c r="E22" s="20" t="s">
        <v>18</v>
      </c>
      <c r="F22" s="3">
        <v>12667</v>
      </c>
      <c r="G22" s="1">
        <v>47484</v>
      </c>
      <c r="H22">
        <v>15000</v>
      </c>
      <c r="I22" s="2" t="s">
        <v>38</v>
      </c>
      <c r="J22" s="1" t="s">
        <v>38</v>
      </c>
      <c r="K22" s="1"/>
      <c r="L22" s="1">
        <v>46028</v>
      </c>
      <c r="M22" s="20" t="s">
        <v>26</v>
      </c>
      <c r="N22" s="20" t="s">
        <v>21</v>
      </c>
      <c r="O22" s="20" t="s">
        <v>22</v>
      </c>
      <c r="P22" s="20" t="s">
        <v>31</v>
      </c>
      <c r="Q22" s="20" t="s">
        <v>46</v>
      </c>
    </row>
    <row r="23" spans="1:17" x14ac:dyDescent="0.25">
      <c r="A23" s="1">
        <v>46038</v>
      </c>
      <c r="B23">
        <v>7651</v>
      </c>
      <c r="C23" s="20" t="s">
        <v>74</v>
      </c>
      <c r="D23" s="20" t="s">
        <v>37</v>
      </c>
      <c r="E23" s="20" t="s">
        <v>18</v>
      </c>
      <c r="F23" s="3">
        <v>12692</v>
      </c>
      <c r="G23" s="1">
        <v>46753</v>
      </c>
      <c r="H23">
        <v>6000</v>
      </c>
      <c r="I23" s="2" t="s">
        <v>38</v>
      </c>
      <c r="J23" s="1" t="s">
        <v>38</v>
      </c>
      <c r="K23" s="1"/>
      <c r="L23" s="1">
        <v>46049</v>
      </c>
      <c r="M23" s="20" t="s">
        <v>75</v>
      </c>
      <c r="N23" s="20" t="s">
        <v>39</v>
      </c>
      <c r="O23" s="20" t="s">
        <v>22</v>
      </c>
      <c r="P23" s="20" t="s">
        <v>31</v>
      </c>
      <c r="Q23" s="20" t="s">
        <v>74</v>
      </c>
    </row>
    <row r="24" spans="1:17" x14ac:dyDescent="0.25">
      <c r="A24" s="1">
        <v>46055</v>
      </c>
      <c r="B24">
        <v>8219</v>
      </c>
      <c r="C24" s="20" t="s">
        <v>76</v>
      </c>
      <c r="D24" s="20" t="s">
        <v>30</v>
      </c>
      <c r="E24" s="20" t="s">
        <v>18</v>
      </c>
      <c r="F24" s="3">
        <v>22612</v>
      </c>
      <c r="G24" s="1">
        <v>46784</v>
      </c>
      <c r="H24">
        <v>44262</v>
      </c>
      <c r="I24" s="2" t="s">
        <v>38</v>
      </c>
      <c r="J24" s="1" t="s">
        <v>38</v>
      </c>
      <c r="K24" s="1"/>
      <c r="L24" s="1">
        <v>46049</v>
      </c>
      <c r="M24" s="20" t="s">
        <v>77</v>
      </c>
      <c r="N24" s="20" t="s">
        <v>21</v>
      </c>
      <c r="O24" s="20" t="s">
        <v>22</v>
      </c>
      <c r="P24" s="20" t="s">
        <v>31</v>
      </c>
      <c r="Q24" s="20" t="s">
        <v>76</v>
      </c>
    </row>
    <row r="25" spans="1:17" x14ac:dyDescent="0.25">
      <c r="A25" s="1">
        <v>46055</v>
      </c>
      <c r="B25">
        <v>8108</v>
      </c>
      <c r="C25" s="20" t="s">
        <v>78</v>
      </c>
      <c r="D25" s="20" t="s">
        <v>30</v>
      </c>
      <c r="E25" s="20" t="s">
        <v>18</v>
      </c>
      <c r="F25" s="3">
        <v>22613</v>
      </c>
      <c r="G25" s="1">
        <v>46784</v>
      </c>
      <c r="H25">
        <v>7000</v>
      </c>
      <c r="I25" s="2" t="s">
        <v>38</v>
      </c>
      <c r="J25" s="1" t="s">
        <v>38</v>
      </c>
      <c r="K25" s="1"/>
      <c r="L25" s="1">
        <v>46049</v>
      </c>
      <c r="M25" s="20" t="s">
        <v>20</v>
      </c>
      <c r="N25" s="20" t="s">
        <v>21</v>
      </c>
      <c r="O25" s="20" t="s">
        <v>22</v>
      </c>
      <c r="P25" s="20" t="s">
        <v>31</v>
      </c>
      <c r="Q25" s="20" t="s">
        <v>78</v>
      </c>
    </row>
    <row r="26" spans="1:17" x14ac:dyDescent="0.25">
      <c r="A26" s="1">
        <v>46055</v>
      </c>
      <c r="B26">
        <v>8175</v>
      </c>
      <c r="C26" s="20" t="s">
        <v>82</v>
      </c>
      <c r="D26" s="20" t="s">
        <v>83</v>
      </c>
      <c r="E26" s="20" t="s">
        <v>18</v>
      </c>
      <c r="F26" s="3">
        <v>16226</v>
      </c>
      <c r="G26" s="1">
        <v>47515</v>
      </c>
      <c r="H26">
        <v>300</v>
      </c>
      <c r="I26" s="2" t="s">
        <v>38</v>
      </c>
      <c r="J26" s="1" t="s">
        <v>38</v>
      </c>
      <c r="K26" s="1"/>
      <c r="L26" s="1">
        <v>46057</v>
      </c>
      <c r="M26" s="20" t="s">
        <v>84</v>
      </c>
      <c r="N26" s="20" t="s">
        <v>21</v>
      </c>
      <c r="O26" s="20" t="s">
        <v>22</v>
      </c>
      <c r="P26" s="20" t="s">
        <v>31</v>
      </c>
      <c r="Q26" s="20" t="s">
        <v>82</v>
      </c>
    </row>
    <row r="27" spans="1:17" x14ac:dyDescent="0.25">
      <c r="A27" s="1">
        <v>46055</v>
      </c>
      <c r="B27">
        <v>8210</v>
      </c>
      <c r="C27" s="20" t="s">
        <v>85</v>
      </c>
      <c r="D27" s="20" t="s">
        <v>37</v>
      </c>
      <c r="E27" s="20" t="s">
        <v>18</v>
      </c>
      <c r="F27" s="3">
        <v>22676</v>
      </c>
      <c r="G27" s="1">
        <v>46784</v>
      </c>
      <c r="H27">
        <v>2200</v>
      </c>
      <c r="I27" s="2" t="s">
        <v>38</v>
      </c>
      <c r="J27" s="1" t="s">
        <v>38</v>
      </c>
      <c r="K27" s="1"/>
      <c r="L27" s="1">
        <v>46057</v>
      </c>
      <c r="M27" s="20" t="s">
        <v>77</v>
      </c>
      <c r="N27" s="20" t="s">
        <v>39</v>
      </c>
      <c r="O27" s="20" t="s">
        <v>22</v>
      </c>
      <c r="P27" s="20" t="s">
        <v>31</v>
      </c>
      <c r="Q27" s="20" t="s">
        <v>85</v>
      </c>
    </row>
    <row r="28" spans="1:17" x14ac:dyDescent="0.25">
      <c r="A28" s="1">
        <v>46055</v>
      </c>
      <c r="B28">
        <v>7715</v>
      </c>
      <c r="C28" s="20" t="s">
        <v>86</v>
      </c>
      <c r="D28" s="20" t="s">
        <v>83</v>
      </c>
      <c r="E28" s="20" t="s">
        <v>18</v>
      </c>
      <c r="F28" s="3">
        <v>17226</v>
      </c>
      <c r="G28" s="1">
        <v>47515</v>
      </c>
      <c r="H28">
        <v>1980</v>
      </c>
      <c r="I28" s="2" t="s">
        <v>38</v>
      </c>
      <c r="J28" s="1" t="s">
        <v>38</v>
      </c>
      <c r="K28" s="1"/>
      <c r="L28" s="1">
        <v>46057</v>
      </c>
      <c r="M28" s="20" t="s">
        <v>34</v>
      </c>
      <c r="N28" s="20" t="s">
        <v>21</v>
      </c>
      <c r="O28" s="20" t="s">
        <v>22</v>
      </c>
      <c r="P28" s="20" t="s">
        <v>31</v>
      </c>
      <c r="Q28" s="20" t="s">
        <v>86</v>
      </c>
    </row>
    <row r="29" spans="1:17" x14ac:dyDescent="0.25">
      <c r="A29" s="1">
        <v>46055</v>
      </c>
      <c r="B29">
        <v>8096</v>
      </c>
      <c r="C29" s="20" t="s">
        <v>87</v>
      </c>
      <c r="D29" s="20" t="s">
        <v>17</v>
      </c>
      <c r="E29" s="20" t="s">
        <v>18</v>
      </c>
      <c r="F29" s="3">
        <v>22682</v>
      </c>
      <c r="G29" s="1">
        <v>46784</v>
      </c>
      <c r="H29">
        <v>9804</v>
      </c>
      <c r="I29" s="2" t="s">
        <v>38</v>
      </c>
      <c r="J29" s="1" t="s">
        <v>38</v>
      </c>
      <c r="K29" s="1"/>
      <c r="L29" s="1">
        <v>46057</v>
      </c>
      <c r="M29" s="20" t="s">
        <v>20</v>
      </c>
      <c r="N29" s="20" t="s">
        <v>21</v>
      </c>
      <c r="O29" s="20" t="s">
        <v>22</v>
      </c>
      <c r="P29" s="20" t="s">
        <v>31</v>
      </c>
      <c r="Q29" s="20" t="s">
        <v>87</v>
      </c>
    </row>
    <row r="30" spans="1:17" x14ac:dyDescent="0.25">
      <c r="A30" s="1">
        <v>46055</v>
      </c>
      <c r="B30">
        <v>8032</v>
      </c>
      <c r="C30" s="20" t="s">
        <v>88</v>
      </c>
      <c r="D30" s="20" t="s">
        <v>30</v>
      </c>
      <c r="E30" s="20" t="s">
        <v>18</v>
      </c>
      <c r="F30" s="3">
        <v>22668</v>
      </c>
      <c r="G30" s="1">
        <v>46784</v>
      </c>
      <c r="H30">
        <v>9901</v>
      </c>
      <c r="I30" s="2" t="s">
        <v>38</v>
      </c>
      <c r="J30" s="1" t="s">
        <v>38</v>
      </c>
      <c r="K30" s="1"/>
      <c r="L30" s="1">
        <v>46057</v>
      </c>
      <c r="M30" s="20" t="s">
        <v>20</v>
      </c>
      <c r="N30" s="20" t="s">
        <v>21</v>
      </c>
      <c r="O30" s="20" t="s">
        <v>22</v>
      </c>
      <c r="P30" s="20" t="s">
        <v>31</v>
      </c>
      <c r="Q30" s="20" t="s">
        <v>88</v>
      </c>
    </row>
    <row r="31" spans="1:17" x14ac:dyDescent="0.25">
      <c r="A31" s="1">
        <v>46055</v>
      </c>
      <c r="B31">
        <v>8310</v>
      </c>
      <c r="C31" s="20" t="s">
        <v>89</v>
      </c>
      <c r="D31" s="20" t="s">
        <v>37</v>
      </c>
      <c r="E31" s="20" t="s">
        <v>18</v>
      </c>
      <c r="F31" s="3">
        <v>22673</v>
      </c>
      <c r="G31" s="1">
        <v>46784</v>
      </c>
      <c r="H31">
        <v>2500</v>
      </c>
      <c r="I31" s="2" t="s">
        <v>38</v>
      </c>
      <c r="J31" s="1" t="s">
        <v>38</v>
      </c>
      <c r="K31" s="1"/>
      <c r="L31" s="1">
        <v>46057</v>
      </c>
      <c r="M31" s="20" t="s">
        <v>77</v>
      </c>
      <c r="N31" s="20" t="s">
        <v>39</v>
      </c>
      <c r="O31" s="20" t="s">
        <v>22</v>
      </c>
      <c r="P31" s="20" t="s">
        <v>31</v>
      </c>
      <c r="Q31" s="20" t="s">
        <v>89</v>
      </c>
    </row>
    <row r="32" spans="1:17" x14ac:dyDescent="0.25">
      <c r="A32" s="1">
        <v>46055</v>
      </c>
      <c r="B32">
        <v>8346</v>
      </c>
      <c r="C32" s="20" t="s">
        <v>87</v>
      </c>
      <c r="D32" s="20" t="s">
        <v>17</v>
      </c>
      <c r="E32" s="20" t="s">
        <v>18</v>
      </c>
      <c r="F32" s="3">
        <v>22683</v>
      </c>
      <c r="G32" s="1">
        <v>46784</v>
      </c>
      <c r="H32">
        <v>9804</v>
      </c>
      <c r="I32" s="2" t="s">
        <v>38</v>
      </c>
      <c r="J32" s="1" t="s">
        <v>38</v>
      </c>
      <c r="K32" s="1"/>
      <c r="L32" s="1">
        <v>46057</v>
      </c>
      <c r="M32" s="20" t="s">
        <v>20</v>
      </c>
      <c r="N32" s="20" t="s">
        <v>21</v>
      </c>
      <c r="O32" s="20" t="s">
        <v>22</v>
      </c>
      <c r="P32" s="20" t="s">
        <v>31</v>
      </c>
      <c r="Q32" s="20" t="s">
        <v>87</v>
      </c>
    </row>
    <row r="33" spans="1:17" x14ac:dyDescent="0.25">
      <c r="A33" s="1">
        <v>46055</v>
      </c>
      <c r="B33">
        <v>8247</v>
      </c>
      <c r="C33" s="20" t="s">
        <v>90</v>
      </c>
      <c r="D33" s="20" t="s">
        <v>45</v>
      </c>
      <c r="E33" s="20" t="s">
        <v>18</v>
      </c>
      <c r="F33" s="3">
        <v>15226</v>
      </c>
      <c r="G33" s="1">
        <v>46784</v>
      </c>
      <c r="H33">
        <v>2500</v>
      </c>
      <c r="I33" s="2" t="s">
        <v>38</v>
      </c>
      <c r="J33" s="1" t="s">
        <v>38</v>
      </c>
      <c r="K33" s="1"/>
      <c r="L33" s="1">
        <v>46057</v>
      </c>
      <c r="M33" s="20" t="s">
        <v>20</v>
      </c>
      <c r="N33" s="20" t="s">
        <v>21</v>
      </c>
      <c r="O33" s="20" t="s">
        <v>22</v>
      </c>
      <c r="P33" s="20" t="s">
        <v>31</v>
      </c>
      <c r="Q33" s="20" t="s">
        <v>90</v>
      </c>
    </row>
    <row r="34" spans="1:17" x14ac:dyDescent="0.25">
      <c r="A34" s="1">
        <v>46063</v>
      </c>
      <c r="B34">
        <v>8350</v>
      </c>
      <c r="C34" s="20" t="s">
        <v>97</v>
      </c>
      <c r="D34" s="20" t="s">
        <v>30</v>
      </c>
      <c r="E34" s="20" t="s">
        <v>18</v>
      </c>
      <c r="F34" s="3">
        <v>22685</v>
      </c>
      <c r="G34" s="1">
        <v>46784</v>
      </c>
      <c r="H34">
        <v>29508</v>
      </c>
      <c r="I34" s="2" t="s">
        <v>38</v>
      </c>
      <c r="J34" s="1" t="s">
        <v>38</v>
      </c>
      <c r="K34" s="1"/>
      <c r="L34" s="1">
        <v>46065</v>
      </c>
      <c r="M34" s="20" t="s">
        <v>77</v>
      </c>
      <c r="N34" s="20" t="s">
        <v>21</v>
      </c>
      <c r="O34" s="20" t="s">
        <v>22</v>
      </c>
      <c r="P34" s="20" t="s">
        <v>31</v>
      </c>
      <c r="Q34" s="20" t="s">
        <v>97</v>
      </c>
    </row>
    <row r="35" spans="1:17" x14ac:dyDescent="0.25">
      <c r="A35" s="1">
        <v>46063</v>
      </c>
      <c r="B35">
        <v>8157</v>
      </c>
      <c r="C35" s="20" t="s">
        <v>98</v>
      </c>
      <c r="D35" s="20" t="s">
        <v>30</v>
      </c>
      <c r="E35" s="20" t="s">
        <v>18</v>
      </c>
      <c r="F35" s="3">
        <v>22686</v>
      </c>
      <c r="G35" s="1">
        <v>46784</v>
      </c>
      <c r="H35">
        <v>6000</v>
      </c>
      <c r="I35" s="2" t="s">
        <v>38</v>
      </c>
      <c r="J35" s="1" t="s">
        <v>38</v>
      </c>
      <c r="K35" s="1"/>
      <c r="L35" s="1">
        <v>46065</v>
      </c>
      <c r="M35" s="20" t="s">
        <v>20</v>
      </c>
      <c r="N35" s="20" t="s">
        <v>21</v>
      </c>
      <c r="O35" s="20" t="s">
        <v>22</v>
      </c>
      <c r="P35" s="20" t="s">
        <v>31</v>
      </c>
      <c r="Q35" s="20" t="s">
        <v>98</v>
      </c>
    </row>
    <row r="36" spans="1:17" x14ac:dyDescent="0.25">
      <c r="A36" s="1">
        <v>46064</v>
      </c>
      <c r="B36">
        <v>8222</v>
      </c>
      <c r="C36" s="20" t="s">
        <v>99</v>
      </c>
      <c r="D36" s="20" t="s">
        <v>45</v>
      </c>
      <c r="E36" s="20" t="s">
        <v>18</v>
      </c>
      <c r="F36" s="59">
        <v>22695</v>
      </c>
      <c r="G36" s="1">
        <v>46784</v>
      </c>
      <c r="H36">
        <v>2000</v>
      </c>
      <c r="I36" s="2" t="s">
        <v>38</v>
      </c>
      <c r="J36" s="1" t="s">
        <v>38</v>
      </c>
      <c r="K36" s="1"/>
      <c r="L36" s="1">
        <v>46065</v>
      </c>
      <c r="M36" s="20" t="s">
        <v>26</v>
      </c>
      <c r="N36" s="20" t="s">
        <v>21</v>
      </c>
      <c r="O36" s="20" t="s">
        <v>22</v>
      </c>
      <c r="P36" s="20" t="s">
        <v>31</v>
      </c>
      <c r="Q36" s="20" t="s">
        <v>99</v>
      </c>
    </row>
    <row r="37" spans="1:17" x14ac:dyDescent="0.25">
      <c r="A37" s="1">
        <v>46083</v>
      </c>
      <c r="B37">
        <v>8240</v>
      </c>
      <c r="C37" s="20" t="s">
        <v>104</v>
      </c>
      <c r="D37" s="20" t="s">
        <v>30</v>
      </c>
      <c r="E37" s="20" t="s">
        <v>105</v>
      </c>
      <c r="F37" s="3">
        <v>32605</v>
      </c>
      <c r="G37" s="1">
        <v>46813</v>
      </c>
      <c r="H37">
        <v>15000</v>
      </c>
      <c r="I37" s="2">
        <v>2.7716193174667971</v>
      </c>
      <c r="J37" s="1" t="s">
        <v>73</v>
      </c>
      <c r="K37" s="1"/>
      <c r="L37" s="1">
        <v>46076</v>
      </c>
      <c r="M37" s="20" t="s">
        <v>42</v>
      </c>
      <c r="N37" s="20" t="s">
        <v>21</v>
      </c>
      <c r="O37" s="20" t="s">
        <v>22</v>
      </c>
      <c r="P37" s="20" t="s">
        <v>31</v>
      </c>
      <c r="Q37" s="20" t="s">
        <v>104</v>
      </c>
    </row>
    <row r="38" spans="1:17" x14ac:dyDescent="0.25">
      <c r="A38" s="1">
        <v>46083</v>
      </c>
      <c r="B38">
        <v>8353</v>
      </c>
      <c r="C38" s="20" t="s">
        <v>106</v>
      </c>
      <c r="D38" s="20" t="s">
        <v>25</v>
      </c>
      <c r="E38" s="20" t="s">
        <v>18</v>
      </c>
      <c r="F38" s="3">
        <v>5326</v>
      </c>
      <c r="G38" s="1">
        <v>47543</v>
      </c>
      <c r="H38">
        <v>4839</v>
      </c>
      <c r="I38" s="2" t="s">
        <v>38</v>
      </c>
      <c r="J38" s="1" t="s">
        <v>38</v>
      </c>
      <c r="K38" s="1"/>
      <c r="L38" s="1">
        <v>46076</v>
      </c>
      <c r="M38" s="20" t="s">
        <v>26</v>
      </c>
      <c r="N38" s="20" t="s">
        <v>21</v>
      </c>
      <c r="O38" s="20" t="s">
        <v>22</v>
      </c>
      <c r="P38" s="20" t="s">
        <v>31</v>
      </c>
      <c r="Q38" s="20" t="s">
        <v>106</v>
      </c>
    </row>
    <row r="39" spans="1:17" x14ac:dyDescent="0.25">
      <c r="A39" s="1">
        <v>46083</v>
      </c>
      <c r="B39">
        <v>8332</v>
      </c>
      <c r="C39" s="20" t="s">
        <v>107</v>
      </c>
      <c r="D39" s="20" t="s">
        <v>37</v>
      </c>
      <c r="E39" s="20" t="s">
        <v>18</v>
      </c>
      <c r="F39" s="3">
        <v>4326</v>
      </c>
      <c r="G39" s="1">
        <v>46813</v>
      </c>
      <c r="H39">
        <v>4000</v>
      </c>
      <c r="I39" s="2">
        <v>1.1780239967851198</v>
      </c>
      <c r="J39" s="1" t="s">
        <v>73</v>
      </c>
      <c r="K39" s="1"/>
      <c r="L39" s="1">
        <v>46076</v>
      </c>
      <c r="M39" s="20" t="s">
        <v>20</v>
      </c>
      <c r="N39" s="20" t="s">
        <v>39</v>
      </c>
      <c r="O39" s="20" t="s">
        <v>22</v>
      </c>
      <c r="P39" s="20" t="s">
        <v>31</v>
      </c>
      <c r="Q39" s="20" t="s">
        <v>107</v>
      </c>
    </row>
    <row r="40" spans="1:17" x14ac:dyDescent="0.25">
      <c r="A40" s="1">
        <v>46083</v>
      </c>
      <c r="B40">
        <v>8190</v>
      </c>
      <c r="C40" s="20" t="s">
        <v>108</v>
      </c>
      <c r="D40" s="20" t="s">
        <v>30</v>
      </c>
      <c r="E40" s="20" t="s">
        <v>18</v>
      </c>
      <c r="F40" s="3">
        <v>32604</v>
      </c>
      <c r="G40" s="1">
        <v>46813</v>
      </c>
      <c r="H40">
        <v>19802</v>
      </c>
      <c r="I40" s="2" t="s">
        <v>38</v>
      </c>
      <c r="J40" s="1" t="s">
        <v>38</v>
      </c>
      <c r="K40" s="1"/>
      <c r="L40" s="1">
        <v>46076</v>
      </c>
      <c r="M40" s="20" t="s">
        <v>20</v>
      </c>
      <c r="N40" s="20" t="s">
        <v>21</v>
      </c>
      <c r="O40" s="20" t="s">
        <v>22</v>
      </c>
      <c r="P40" s="20" t="s">
        <v>31</v>
      </c>
      <c r="Q40" s="20" t="s">
        <v>108</v>
      </c>
    </row>
    <row r="41" spans="1:17" x14ac:dyDescent="0.25">
      <c r="A41" s="1">
        <v>46083</v>
      </c>
      <c r="B41">
        <v>8312</v>
      </c>
      <c r="C41" s="20" t="s">
        <v>109</v>
      </c>
      <c r="D41" s="20" t="s">
        <v>25</v>
      </c>
      <c r="E41" s="20" t="s">
        <v>18</v>
      </c>
      <c r="F41" s="3">
        <v>32606</v>
      </c>
      <c r="G41" s="1">
        <v>47178</v>
      </c>
      <c r="H41">
        <v>28570</v>
      </c>
      <c r="I41" s="2">
        <v>1.4334931096464949</v>
      </c>
      <c r="J41" s="1" t="s">
        <v>73</v>
      </c>
      <c r="K41" s="1"/>
      <c r="L41" s="1">
        <v>46076</v>
      </c>
      <c r="M41" s="20" t="s">
        <v>26</v>
      </c>
      <c r="N41" s="20" t="s">
        <v>21</v>
      </c>
      <c r="O41" s="20" t="s">
        <v>22</v>
      </c>
      <c r="P41" s="20" t="s">
        <v>31</v>
      </c>
      <c r="Q41" s="20" t="s">
        <v>109</v>
      </c>
    </row>
    <row r="42" spans="1:17" x14ac:dyDescent="0.25">
      <c r="A42" s="1">
        <v>46083</v>
      </c>
      <c r="B42">
        <v>8322</v>
      </c>
      <c r="C42" s="20" t="s">
        <v>110</v>
      </c>
      <c r="D42" s="20" t="s">
        <v>17</v>
      </c>
      <c r="E42" s="20" t="s">
        <v>18</v>
      </c>
      <c r="F42" s="3">
        <v>1326</v>
      </c>
      <c r="G42" s="1">
        <v>47543</v>
      </c>
      <c r="H42">
        <v>2941</v>
      </c>
      <c r="I42" s="2" t="s">
        <v>38</v>
      </c>
      <c r="J42" s="1" t="s">
        <v>38</v>
      </c>
      <c r="K42" s="1"/>
      <c r="L42" s="1">
        <v>46076</v>
      </c>
      <c r="M42" s="20" t="s">
        <v>20</v>
      </c>
      <c r="N42" s="20" t="s">
        <v>21</v>
      </c>
      <c r="O42" s="20" t="s">
        <v>22</v>
      </c>
      <c r="P42" s="20" t="s">
        <v>31</v>
      </c>
      <c r="Q42" s="20" t="s">
        <v>110</v>
      </c>
    </row>
    <row r="43" spans="1:17" x14ac:dyDescent="0.25">
      <c r="A43" s="1">
        <v>46083</v>
      </c>
      <c r="B43">
        <v>8417</v>
      </c>
      <c r="C43" s="20" t="s">
        <v>27</v>
      </c>
      <c r="D43" s="20" t="s">
        <v>25</v>
      </c>
      <c r="E43" s="20" t="s">
        <v>18</v>
      </c>
      <c r="F43" s="3">
        <v>32637</v>
      </c>
      <c r="G43" s="1">
        <v>47543</v>
      </c>
      <c r="H43">
        <v>37500</v>
      </c>
      <c r="I43" s="2">
        <v>0.24479880484557176</v>
      </c>
      <c r="J43" s="1" t="s">
        <v>73</v>
      </c>
      <c r="K43" s="1"/>
      <c r="L43" s="1">
        <v>46084</v>
      </c>
      <c r="M43" s="20" t="s">
        <v>28</v>
      </c>
      <c r="N43" s="20" t="s">
        <v>21</v>
      </c>
      <c r="O43" s="20" t="s">
        <v>22</v>
      </c>
      <c r="P43" s="20" t="s">
        <v>31</v>
      </c>
      <c r="Q43" s="20" t="s">
        <v>27</v>
      </c>
    </row>
    <row r="44" spans="1:17" x14ac:dyDescent="0.25">
      <c r="A44" s="1">
        <v>46083</v>
      </c>
      <c r="B44">
        <v>8352</v>
      </c>
      <c r="C44" s="20" t="s">
        <v>24</v>
      </c>
      <c r="D44" s="20" t="s">
        <v>25</v>
      </c>
      <c r="E44" s="20" t="s">
        <v>18</v>
      </c>
      <c r="F44" s="3">
        <v>32636</v>
      </c>
      <c r="G44" s="1">
        <v>46813</v>
      </c>
      <c r="H44">
        <v>6500</v>
      </c>
      <c r="I44" s="2" t="s">
        <v>38</v>
      </c>
      <c r="J44" s="1" t="s">
        <v>38</v>
      </c>
      <c r="K44" s="1"/>
      <c r="L44" s="1">
        <v>46084</v>
      </c>
      <c r="M44" s="20" t="s">
        <v>26</v>
      </c>
      <c r="N44" s="20" t="s">
        <v>21</v>
      </c>
      <c r="O44" s="20" t="s">
        <v>22</v>
      </c>
      <c r="P44" s="20" t="s">
        <v>31</v>
      </c>
      <c r="Q44" s="20" t="s">
        <v>24</v>
      </c>
    </row>
    <row r="45" spans="1:17" x14ac:dyDescent="0.25">
      <c r="A45" s="1">
        <v>46083</v>
      </c>
      <c r="B45">
        <v>8199</v>
      </c>
      <c r="C45" s="20" t="s">
        <v>111</v>
      </c>
      <c r="D45" s="20" t="s">
        <v>17</v>
      </c>
      <c r="E45" s="20" t="s">
        <v>18</v>
      </c>
      <c r="F45" s="3">
        <v>32648</v>
      </c>
      <c r="G45" s="1">
        <v>46813</v>
      </c>
      <c r="H45">
        <v>11764</v>
      </c>
      <c r="I45" s="2" t="s">
        <v>38</v>
      </c>
      <c r="J45" s="1" t="s">
        <v>38</v>
      </c>
      <c r="K45" s="1"/>
      <c r="L45" s="1">
        <v>46084</v>
      </c>
      <c r="M45" s="20" t="s">
        <v>20</v>
      </c>
      <c r="N45" s="20" t="s">
        <v>21</v>
      </c>
      <c r="O45" s="20" t="s">
        <v>22</v>
      </c>
      <c r="P45" s="20" t="s">
        <v>31</v>
      </c>
      <c r="Q45" s="20" t="s">
        <v>111</v>
      </c>
    </row>
    <row r="46" spans="1:17" x14ac:dyDescent="0.25">
      <c r="A46" s="1">
        <v>46083</v>
      </c>
      <c r="B46">
        <v>8307</v>
      </c>
      <c r="C46" s="20" t="s">
        <v>112</v>
      </c>
      <c r="D46" s="20" t="s">
        <v>17</v>
      </c>
      <c r="E46" s="20" t="s">
        <v>18</v>
      </c>
      <c r="F46" s="3">
        <v>32647</v>
      </c>
      <c r="G46" s="1">
        <v>46813</v>
      </c>
      <c r="H46">
        <v>15686</v>
      </c>
      <c r="I46" s="2" t="s">
        <v>38</v>
      </c>
      <c r="J46" s="1" t="s">
        <v>38</v>
      </c>
      <c r="K46" s="1"/>
      <c r="L46" s="1">
        <v>46084</v>
      </c>
      <c r="M46" s="20" t="s">
        <v>20</v>
      </c>
      <c r="N46" s="20" t="s">
        <v>21</v>
      </c>
      <c r="O46" s="20" t="s">
        <v>22</v>
      </c>
      <c r="P46" s="20" t="s">
        <v>31</v>
      </c>
      <c r="Q46" s="20" t="s">
        <v>112</v>
      </c>
    </row>
    <row r="47" spans="1:17" x14ac:dyDescent="0.25">
      <c r="A47" s="1">
        <v>46083</v>
      </c>
      <c r="B47">
        <v>8200</v>
      </c>
      <c r="C47" s="20" t="s">
        <v>113</v>
      </c>
      <c r="D47" s="20" t="s">
        <v>17</v>
      </c>
      <c r="E47" s="20" t="s">
        <v>18</v>
      </c>
      <c r="F47" s="3">
        <v>32649</v>
      </c>
      <c r="G47" s="1">
        <v>46813</v>
      </c>
      <c r="H47">
        <v>2419</v>
      </c>
      <c r="I47" s="2" t="s">
        <v>38</v>
      </c>
      <c r="J47" s="1" t="s">
        <v>38</v>
      </c>
      <c r="K47" s="1"/>
      <c r="L47" s="1">
        <v>46084</v>
      </c>
      <c r="M47" s="20" t="s">
        <v>77</v>
      </c>
      <c r="N47" s="20" t="s">
        <v>21</v>
      </c>
      <c r="O47" s="20" t="s">
        <v>22</v>
      </c>
      <c r="P47" s="20" t="s">
        <v>31</v>
      </c>
      <c r="Q47" s="20" t="s">
        <v>113</v>
      </c>
    </row>
    <row r="48" spans="1:17" x14ac:dyDescent="0.25">
      <c r="A48" s="1">
        <v>46083</v>
      </c>
      <c r="B48">
        <v>8463</v>
      </c>
      <c r="C48" s="20" t="s">
        <v>27</v>
      </c>
      <c r="D48" s="20" t="s">
        <v>25</v>
      </c>
      <c r="E48" s="20" t="s">
        <v>18</v>
      </c>
      <c r="F48" s="3">
        <v>32638</v>
      </c>
      <c r="G48" s="1">
        <v>47543</v>
      </c>
      <c r="H48">
        <v>56250</v>
      </c>
      <c r="I48" s="2">
        <v>0.24479880484557176</v>
      </c>
      <c r="J48" s="1">
        <v>46147</v>
      </c>
      <c r="K48" s="1"/>
      <c r="L48" s="1">
        <v>46084</v>
      </c>
      <c r="M48" s="20" t="s">
        <v>28</v>
      </c>
      <c r="N48" s="20" t="s">
        <v>21</v>
      </c>
      <c r="O48" s="20" t="s">
        <v>22</v>
      </c>
      <c r="P48" s="20" t="s">
        <v>31</v>
      </c>
      <c r="Q48" s="20" t="s">
        <v>27</v>
      </c>
    </row>
    <row r="49" spans="1:17" x14ac:dyDescent="0.25">
      <c r="A49" s="1">
        <v>46083</v>
      </c>
      <c r="B49">
        <v>8467</v>
      </c>
      <c r="C49" s="20" t="s">
        <v>16</v>
      </c>
      <c r="D49" s="20" t="s">
        <v>17</v>
      </c>
      <c r="E49" s="20" t="s">
        <v>18</v>
      </c>
      <c r="F49" s="3">
        <v>32646</v>
      </c>
      <c r="G49" s="1">
        <v>46813</v>
      </c>
      <c r="H49">
        <v>23529</v>
      </c>
      <c r="I49" s="2" t="s">
        <v>38</v>
      </c>
      <c r="J49" s="1" t="s">
        <v>38</v>
      </c>
      <c r="K49" s="1"/>
      <c r="L49" s="1">
        <v>46084</v>
      </c>
      <c r="M49" s="20" t="s">
        <v>20</v>
      </c>
      <c r="N49" s="20" t="s">
        <v>21</v>
      </c>
      <c r="O49" s="20" t="s">
        <v>22</v>
      </c>
      <c r="P49" s="20" t="s">
        <v>31</v>
      </c>
      <c r="Q49" s="20" t="s">
        <v>16</v>
      </c>
    </row>
    <row r="50" spans="1:17" x14ac:dyDescent="0.25">
      <c r="A50" s="1">
        <v>46083</v>
      </c>
      <c r="B50">
        <v>8215</v>
      </c>
      <c r="C50" s="20" t="s">
        <v>16</v>
      </c>
      <c r="D50" s="20" t="s">
        <v>17</v>
      </c>
      <c r="E50" s="20" t="s">
        <v>18</v>
      </c>
      <c r="F50" s="3">
        <v>32656</v>
      </c>
      <c r="G50" s="1">
        <v>46813</v>
      </c>
      <c r="H50">
        <v>23529</v>
      </c>
      <c r="I50" s="2">
        <v>1.8067435276774169</v>
      </c>
      <c r="J50" s="1">
        <v>46142</v>
      </c>
      <c r="K50" s="1"/>
      <c r="L50" s="1">
        <v>46093</v>
      </c>
      <c r="M50" s="20" t="s">
        <v>20</v>
      </c>
      <c r="N50" s="20" t="s">
        <v>21</v>
      </c>
      <c r="O50" s="20" t="s">
        <v>22</v>
      </c>
      <c r="P50" s="20" t="s">
        <v>31</v>
      </c>
      <c r="Q50" s="20" t="s">
        <v>16</v>
      </c>
    </row>
    <row r="51" spans="1:17" x14ac:dyDescent="0.25">
      <c r="A51" s="1">
        <v>46083</v>
      </c>
      <c r="B51">
        <v>8446</v>
      </c>
      <c r="C51" s="20" t="s">
        <v>16</v>
      </c>
      <c r="D51" s="20" t="s">
        <v>17</v>
      </c>
      <c r="E51" s="20" t="s">
        <v>18</v>
      </c>
      <c r="F51" s="3">
        <v>32653</v>
      </c>
      <c r="G51" s="1">
        <v>46813</v>
      </c>
      <c r="H51">
        <v>23529</v>
      </c>
      <c r="I51" s="2" t="s">
        <v>38</v>
      </c>
      <c r="J51" s="1" t="s">
        <v>38</v>
      </c>
      <c r="K51" s="1"/>
      <c r="L51" s="1">
        <v>46093</v>
      </c>
      <c r="M51" s="20" t="s">
        <v>20</v>
      </c>
      <c r="N51" s="20" t="s">
        <v>21</v>
      </c>
      <c r="O51" s="20" t="s">
        <v>22</v>
      </c>
      <c r="P51" s="20" t="s">
        <v>31</v>
      </c>
      <c r="Q51" s="20" t="s">
        <v>16</v>
      </c>
    </row>
    <row r="52" spans="1:17" x14ac:dyDescent="0.25">
      <c r="A52" s="1">
        <v>46083</v>
      </c>
      <c r="B52">
        <v>8189</v>
      </c>
      <c r="C52" s="20" t="s">
        <v>16</v>
      </c>
      <c r="D52" s="20" t="s">
        <v>17</v>
      </c>
      <c r="E52" s="20" t="s">
        <v>18</v>
      </c>
      <c r="F52" s="3">
        <v>32654</v>
      </c>
      <c r="G52" s="1">
        <v>46813</v>
      </c>
      <c r="H52">
        <v>23529</v>
      </c>
      <c r="I52" s="2" t="s">
        <v>38</v>
      </c>
      <c r="J52" s="1" t="s">
        <v>38</v>
      </c>
      <c r="K52" s="1"/>
      <c r="L52" s="1">
        <v>46093</v>
      </c>
      <c r="M52" s="20" t="s">
        <v>20</v>
      </c>
      <c r="N52" s="20" t="s">
        <v>21</v>
      </c>
      <c r="O52" s="20" t="s">
        <v>22</v>
      </c>
      <c r="P52" s="20" t="s">
        <v>31</v>
      </c>
      <c r="Q52" s="20" t="s">
        <v>16</v>
      </c>
    </row>
    <row r="53" spans="1:17" x14ac:dyDescent="0.25">
      <c r="A53" s="1">
        <v>46083</v>
      </c>
      <c r="B53">
        <v>8451</v>
      </c>
      <c r="C53" s="20" t="s">
        <v>16</v>
      </c>
      <c r="D53" s="20" t="s">
        <v>17</v>
      </c>
      <c r="E53" s="20" t="s">
        <v>18</v>
      </c>
      <c r="F53" s="3">
        <v>32655</v>
      </c>
      <c r="G53" s="1">
        <v>46813</v>
      </c>
      <c r="H53">
        <v>23529</v>
      </c>
      <c r="I53" s="2">
        <v>1.8067435276774169</v>
      </c>
      <c r="J53" s="1">
        <v>46141</v>
      </c>
      <c r="K53" s="1"/>
      <c r="L53" s="1">
        <v>46093</v>
      </c>
      <c r="M53" s="20" t="s">
        <v>20</v>
      </c>
      <c r="N53" s="20" t="s">
        <v>21</v>
      </c>
      <c r="O53" s="20" t="s">
        <v>22</v>
      </c>
      <c r="P53" s="20" t="s">
        <v>31</v>
      </c>
      <c r="Q53" s="20" t="s">
        <v>16</v>
      </c>
    </row>
    <row r="54" spans="1:17" x14ac:dyDescent="0.25">
      <c r="A54" s="1">
        <v>46083</v>
      </c>
      <c r="B54">
        <v>8436</v>
      </c>
      <c r="C54" s="20" t="s">
        <v>29</v>
      </c>
      <c r="D54" s="20" t="s">
        <v>30</v>
      </c>
      <c r="E54" s="20" t="s">
        <v>18</v>
      </c>
      <c r="F54" s="3">
        <v>32669</v>
      </c>
      <c r="G54" s="1">
        <v>46813</v>
      </c>
      <c r="H54">
        <v>19802</v>
      </c>
      <c r="I54" s="2">
        <v>0.60959903837898166</v>
      </c>
      <c r="J54" s="1" t="s">
        <v>73</v>
      </c>
      <c r="K54" s="1"/>
      <c r="L54" s="1">
        <v>46093</v>
      </c>
      <c r="M54" s="20" t="s">
        <v>20</v>
      </c>
      <c r="N54" s="20" t="s">
        <v>21</v>
      </c>
      <c r="O54" s="20" t="s">
        <v>22</v>
      </c>
      <c r="P54" s="20" t="s">
        <v>31</v>
      </c>
      <c r="Q54" s="20" t="s">
        <v>29</v>
      </c>
    </row>
    <row r="55" spans="1:17" x14ac:dyDescent="0.25">
      <c r="A55" s="1">
        <v>46113</v>
      </c>
      <c r="B55">
        <v>8399</v>
      </c>
      <c r="C55" s="20" t="s">
        <v>115</v>
      </c>
      <c r="D55" s="20" t="s">
        <v>30</v>
      </c>
      <c r="E55" s="20" t="s">
        <v>18</v>
      </c>
      <c r="F55" s="3">
        <v>42660</v>
      </c>
      <c r="G55" s="1">
        <v>46844</v>
      </c>
      <c r="H55">
        <v>29703</v>
      </c>
      <c r="I55" s="2">
        <v>0.24440319649870068</v>
      </c>
      <c r="J55" s="1" t="s">
        <v>73</v>
      </c>
      <c r="K55" s="1"/>
      <c r="L55" s="1">
        <v>46107</v>
      </c>
      <c r="M55" s="20" t="s">
        <v>20</v>
      </c>
      <c r="N55" s="20" t="s">
        <v>21</v>
      </c>
      <c r="O55" s="20" t="s">
        <v>22</v>
      </c>
      <c r="P55" s="20" t="s">
        <v>31</v>
      </c>
      <c r="Q55" s="20" t="s">
        <v>115</v>
      </c>
    </row>
    <row r="56" spans="1:17" x14ac:dyDescent="0.25">
      <c r="A56" s="1">
        <v>46113</v>
      </c>
      <c r="B56">
        <v>8412</v>
      </c>
      <c r="C56" s="20" t="s">
        <v>116</v>
      </c>
      <c r="D56" s="20" t="s">
        <v>25</v>
      </c>
      <c r="E56" s="20" t="s">
        <v>18</v>
      </c>
      <c r="F56" s="3">
        <v>15426</v>
      </c>
      <c r="G56" s="1">
        <v>46844</v>
      </c>
      <c r="H56">
        <v>7500</v>
      </c>
      <c r="I56" s="2">
        <v>3.252960031399228</v>
      </c>
      <c r="J56" s="1" t="s">
        <v>73</v>
      </c>
      <c r="K56" s="1"/>
      <c r="L56" s="1">
        <v>46107</v>
      </c>
      <c r="M56" s="20" t="s">
        <v>28</v>
      </c>
      <c r="N56" s="20" t="s">
        <v>21</v>
      </c>
      <c r="O56" s="20" t="s">
        <v>22</v>
      </c>
      <c r="P56" s="20" t="s">
        <v>31</v>
      </c>
      <c r="Q56" s="20" t="s">
        <v>116</v>
      </c>
    </row>
    <row r="57" spans="1:17" x14ac:dyDescent="0.25">
      <c r="A57" s="1">
        <v>46113</v>
      </c>
      <c r="B57">
        <v>8414</v>
      </c>
      <c r="C57" s="20" t="s">
        <v>117</v>
      </c>
      <c r="D57" s="20" t="s">
        <v>25</v>
      </c>
      <c r="E57" s="20" t="s">
        <v>18</v>
      </c>
      <c r="F57" s="3">
        <v>16426</v>
      </c>
      <c r="G57" s="1">
        <v>47574</v>
      </c>
      <c r="H57">
        <v>2000</v>
      </c>
      <c r="I57" s="2">
        <v>3.0109890109890109</v>
      </c>
      <c r="J57" s="1" t="s">
        <v>73</v>
      </c>
      <c r="K57" s="1"/>
      <c r="L57" s="1">
        <v>46107</v>
      </c>
      <c r="M57" s="20" t="s">
        <v>26</v>
      </c>
      <c r="N57" s="20" t="s">
        <v>21</v>
      </c>
      <c r="O57" s="20" t="s">
        <v>22</v>
      </c>
      <c r="P57" s="20" t="s">
        <v>31</v>
      </c>
      <c r="Q57" s="20" t="s">
        <v>117</v>
      </c>
    </row>
    <row r="58" spans="1:17" x14ac:dyDescent="0.25">
      <c r="A58" s="1">
        <v>46113</v>
      </c>
      <c r="B58">
        <v>8452</v>
      </c>
      <c r="C58" s="20" t="s">
        <v>41</v>
      </c>
      <c r="D58" s="20" t="s">
        <v>17</v>
      </c>
      <c r="E58" s="20" t="s">
        <v>18</v>
      </c>
      <c r="F58" s="3">
        <v>42669</v>
      </c>
      <c r="G58" s="1">
        <v>46844</v>
      </c>
      <c r="H58">
        <v>14063</v>
      </c>
      <c r="I58" s="2">
        <v>1.4714790420224757</v>
      </c>
      <c r="J58" s="1">
        <v>46156</v>
      </c>
      <c r="K58" s="1"/>
      <c r="L58" s="1">
        <v>46107</v>
      </c>
      <c r="M58" s="20" t="s">
        <v>42</v>
      </c>
      <c r="N58" s="20" t="s">
        <v>21</v>
      </c>
      <c r="O58" s="20" t="s">
        <v>22</v>
      </c>
      <c r="P58" s="20" t="s">
        <v>31</v>
      </c>
      <c r="Q58" s="20" t="s">
        <v>41</v>
      </c>
    </row>
    <row r="59" spans="1:17" x14ac:dyDescent="0.25">
      <c r="A59" s="1">
        <v>46113</v>
      </c>
      <c r="B59">
        <v>8461</v>
      </c>
      <c r="C59" s="20" t="s">
        <v>118</v>
      </c>
      <c r="D59" s="20" t="s">
        <v>17</v>
      </c>
      <c r="E59" s="20" t="s">
        <v>18</v>
      </c>
      <c r="F59" s="3">
        <v>11426</v>
      </c>
      <c r="G59" s="1">
        <v>47574</v>
      </c>
      <c r="H59">
        <v>4902</v>
      </c>
      <c r="I59" s="2">
        <v>3.2628191375241364</v>
      </c>
      <c r="J59" s="1">
        <v>46162</v>
      </c>
      <c r="K59" s="1">
        <v>46164</v>
      </c>
      <c r="L59" s="1">
        <v>46107</v>
      </c>
      <c r="M59" s="20" t="s">
        <v>20</v>
      </c>
      <c r="N59" s="20" t="s">
        <v>21</v>
      </c>
      <c r="O59" s="20" t="s">
        <v>22</v>
      </c>
      <c r="P59" s="20" t="s">
        <v>23</v>
      </c>
      <c r="Q59" s="20" t="s">
        <v>118</v>
      </c>
    </row>
    <row r="60" spans="1:17" x14ac:dyDescent="0.25">
      <c r="A60" s="1">
        <v>46113</v>
      </c>
      <c r="B60">
        <v>8392</v>
      </c>
      <c r="C60" s="20" t="s">
        <v>119</v>
      </c>
      <c r="D60" s="20" t="s">
        <v>30</v>
      </c>
      <c r="E60" s="20" t="s">
        <v>18</v>
      </c>
      <c r="F60" s="3">
        <v>42659</v>
      </c>
      <c r="G60" s="1">
        <v>46844</v>
      </c>
      <c r="H60">
        <v>9901</v>
      </c>
      <c r="I60" s="2">
        <v>2.6622045911748667E-2</v>
      </c>
      <c r="J60" s="1" t="s">
        <v>73</v>
      </c>
      <c r="K60" s="1"/>
      <c r="L60" s="1">
        <v>46107</v>
      </c>
      <c r="M60" s="20" t="s">
        <v>20</v>
      </c>
      <c r="N60" s="20" t="s">
        <v>21</v>
      </c>
      <c r="O60" s="20" t="s">
        <v>22</v>
      </c>
      <c r="P60" s="20" t="s">
        <v>31</v>
      </c>
      <c r="Q60" s="20" t="s">
        <v>119</v>
      </c>
    </row>
    <row r="61" spans="1:17" x14ac:dyDescent="0.25">
      <c r="A61" s="1">
        <v>46113</v>
      </c>
      <c r="B61">
        <v>8391</v>
      </c>
      <c r="C61" s="20" t="s">
        <v>120</v>
      </c>
      <c r="D61" s="20" t="s">
        <v>17</v>
      </c>
      <c r="E61" s="20" t="s">
        <v>18</v>
      </c>
      <c r="F61" s="3">
        <v>42668</v>
      </c>
      <c r="G61" s="1">
        <v>46844</v>
      </c>
      <c r="H61">
        <v>19354</v>
      </c>
      <c r="I61" s="2">
        <v>1.9725045408678104</v>
      </c>
      <c r="J61" s="1">
        <v>46174</v>
      </c>
      <c r="K61" s="1">
        <v>46155</v>
      </c>
      <c r="L61" s="1">
        <v>46107</v>
      </c>
      <c r="M61" s="20" t="s">
        <v>77</v>
      </c>
      <c r="N61" s="20" t="s">
        <v>21</v>
      </c>
      <c r="O61" s="20" t="s">
        <v>22</v>
      </c>
      <c r="P61" s="20" t="s">
        <v>23</v>
      </c>
      <c r="Q61" s="20" t="s">
        <v>120</v>
      </c>
    </row>
    <row r="62" spans="1:17" x14ac:dyDescent="0.25">
      <c r="A62" s="1">
        <v>46113</v>
      </c>
      <c r="B62">
        <v>8347</v>
      </c>
      <c r="C62" s="20" t="s">
        <v>121</v>
      </c>
      <c r="D62" s="20" t="s">
        <v>37</v>
      </c>
      <c r="E62" s="20" t="s">
        <v>18</v>
      </c>
      <c r="F62" s="3">
        <v>42673</v>
      </c>
      <c r="G62" s="1">
        <v>46844</v>
      </c>
      <c r="H62">
        <v>6000</v>
      </c>
      <c r="I62" s="2">
        <v>0.3689414574083057</v>
      </c>
      <c r="J62" s="1">
        <v>46150</v>
      </c>
      <c r="K62" s="1">
        <v>46142</v>
      </c>
      <c r="L62" s="1">
        <v>46107</v>
      </c>
      <c r="M62" s="20" t="s">
        <v>20</v>
      </c>
      <c r="N62" s="20" t="s">
        <v>39</v>
      </c>
      <c r="O62" s="20" t="s">
        <v>22</v>
      </c>
      <c r="P62" s="20" t="s">
        <v>31</v>
      </c>
      <c r="Q62" s="20" t="s">
        <v>121</v>
      </c>
    </row>
    <row r="63" spans="1:17" x14ac:dyDescent="0.25">
      <c r="A63" s="1">
        <v>46113</v>
      </c>
      <c r="B63">
        <v>8351</v>
      </c>
      <c r="C63" s="20" t="s">
        <v>122</v>
      </c>
      <c r="D63" s="20" t="s">
        <v>37</v>
      </c>
      <c r="E63" s="20" t="s">
        <v>18</v>
      </c>
      <c r="F63" s="3">
        <v>42675</v>
      </c>
      <c r="G63" s="1">
        <v>46844</v>
      </c>
      <c r="H63">
        <v>5100</v>
      </c>
      <c r="I63" s="2">
        <v>0.7339419393926947</v>
      </c>
      <c r="J63" s="1">
        <v>46168</v>
      </c>
      <c r="K63" s="1">
        <v>46141</v>
      </c>
      <c r="L63" s="1">
        <v>46107</v>
      </c>
      <c r="M63" s="20" t="s">
        <v>20</v>
      </c>
      <c r="N63" s="20" t="s">
        <v>39</v>
      </c>
      <c r="O63" s="20" t="s">
        <v>22</v>
      </c>
      <c r="P63" s="20" t="s">
        <v>31</v>
      </c>
      <c r="Q63" s="20" t="s">
        <v>122</v>
      </c>
    </row>
    <row r="64" spans="1:17" x14ac:dyDescent="0.25">
      <c r="A64" s="1">
        <v>46113</v>
      </c>
      <c r="B64">
        <v>8241</v>
      </c>
      <c r="C64" s="20" t="s">
        <v>123</v>
      </c>
      <c r="D64" s="20" t="s">
        <v>45</v>
      </c>
      <c r="E64" s="20" t="s">
        <v>18</v>
      </c>
      <c r="F64" s="3">
        <v>14426</v>
      </c>
      <c r="G64" s="1">
        <v>46844</v>
      </c>
      <c r="H64">
        <v>1800</v>
      </c>
      <c r="I64" s="2">
        <v>1.2962160360060009</v>
      </c>
      <c r="J64" s="1" t="s">
        <v>19</v>
      </c>
      <c r="K64" s="1">
        <v>46164</v>
      </c>
      <c r="L64" s="1">
        <v>46107</v>
      </c>
      <c r="M64" s="20" t="s">
        <v>20</v>
      </c>
      <c r="N64" s="20" t="s">
        <v>21</v>
      </c>
      <c r="O64" s="20" t="s">
        <v>22</v>
      </c>
      <c r="P64" s="20" t="s">
        <v>23</v>
      </c>
      <c r="Q64" s="20" t="s">
        <v>123</v>
      </c>
    </row>
    <row r="65" spans="1:17" x14ac:dyDescent="0.25">
      <c r="A65" s="1">
        <v>46113</v>
      </c>
      <c r="B65">
        <v>8383</v>
      </c>
      <c r="C65" s="20" t="s">
        <v>124</v>
      </c>
      <c r="D65" s="20" t="s">
        <v>17</v>
      </c>
      <c r="E65" s="20" t="s">
        <v>18</v>
      </c>
      <c r="F65" s="3">
        <v>42672</v>
      </c>
      <c r="G65" s="1">
        <v>47209</v>
      </c>
      <c r="H65">
        <v>3750</v>
      </c>
      <c r="I65" s="2">
        <v>1.8184615384615384</v>
      </c>
      <c r="J65" s="1">
        <v>46154</v>
      </c>
      <c r="K65" s="1"/>
      <c r="L65" s="1">
        <v>46107</v>
      </c>
      <c r="M65" s="20" t="s">
        <v>42</v>
      </c>
      <c r="N65" s="20" t="s">
        <v>21</v>
      </c>
      <c r="O65" s="20" t="s">
        <v>22</v>
      </c>
      <c r="P65" s="20" t="s">
        <v>31</v>
      </c>
      <c r="Q65" s="20" t="s">
        <v>124</v>
      </c>
    </row>
    <row r="66" spans="1:17" x14ac:dyDescent="0.25">
      <c r="A66" s="1">
        <v>46113</v>
      </c>
      <c r="B66">
        <v>8370</v>
      </c>
      <c r="C66" s="20" t="s">
        <v>125</v>
      </c>
      <c r="D66" s="20" t="s">
        <v>37</v>
      </c>
      <c r="E66" s="20" t="s">
        <v>18</v>
      </c>
      <c r="F66" s="3">
        <v>13426</v>
      </c>
      <c r="G66" s="1">
        <v>47574</v>
      </c>
      <c r="H66">
        <v>10000</v>
      </c>
      <c r="I66" s="2">
        <v>2.0250866479617096</v>
      </c>
      <c r="J66" s="1">
        <v>46175</v>
      </c>
      <c r="K66" s="1">
        <v>46150</v>
      </c>
      <c r="L66" s="1">
        <v>46107</v>
      </c>
      <c r="M66" s="20" t="s">
        <v>77</v>
      </c>
      <c r="N66" s="20" t="s">
        <v>39</v>
      </c>
      <c r="O66" s="20" t="s">
        <v>22</v>
      </c>
      <c r="P66" s="20" t="s">
        <v>23</v>
      </c>
      <c r="Q66" s="20" t="s">
        <v>125</v>
      </c>
    </row>
    <row r="67" spans="1:17" x14ac:dyDescent="0.25">
      <c r="A67" s="1">
        <v>46113</v>
      </c>
      <c r="B67">
        <v>8306</v>
      </c>
      <c r="C67" s="20" t="s">
        <v>126</v>
      </c>
      <c r="D67" s="20" t="s">
        <v>30</v>
      </c>
      <c r="E67" s="20" t="s">
        <v>18</v>
      </c>
      <c r="F67" s="3">
        <v>6426</v>
      </c>
      <c r="G67" s="1">
        <v>47574</v>
      </c>
      <c r="H67">
        <v>9901</v>
      </c>
      <c r="I67" s="2">
        <v>1.6135497529992944</v>
      </c>
      <c r="J67" s="1" t="s">
        <v>19</v>
      </c>
      <c r="K67" s="1">
        <v>46163</v>
      </c>
      <c r="L67" s="1">
        <v>46107</v>
      </c>
      <c r="M67" s="20" t="s">
        <v>20</v>
      </c>
      <c r="N67" s="20" t="s">
        <v>21</v>
      </c>
      <c r="O67" s="20" t="s">
        <v>22</v>
      </c>
      <c r="P67" s="20" t="s">
        <v>23</v>
      </c>
      <c r="Q67" s="20" t="s">
        <v>126</v>
      </c>
    </row>
    <row r="68" spans="1:17" x14ac:dyDescent="0.25">
      <c r="A68" s="1">
        <v>46113</v>
      </c>
      <c r="B68">
        <v>8499</v>
      </c>
      <c r="C68" s="20" t="s">
        <v>127</v>
      </c>
      <c r="D68" s="20" t="s">
        <v>37</v>
      </c>
      <c r="E68" s="20" t="s">
        <v>18</v>
      </c>
      <c r="F68" s="3">
        <v>42677</v>
      </c>
      <c r="G68" s="1">
        <v>46844</v>
      </c>
      <c r="H68">
        <v>8000</v>
      </c>
      <c r="I68" s="2">
        <v>1.2363674496644297</v>
      </c>
      <c r="J68" s="1">
        <v>46181</v>
      </c>
      <c r="K68" s="1">
        <v>46153</v>
      </c>
      <c r="L68" s="1">
        <v>46107</v>
      </c>
      <c r="M68" s="20" t="s">
        <v>77</v>
      </c>
      <c r="N68" s="20" t="s">
        <v>39</v>
      </c>
      <c r="O68" s="20" t="s">
        <v>22</v>
      </c>
      <c r="P68" s="20" t="s">
        <v>23</v>
      </c>
      <c r="Q68" s="20" t="s">
        <v>127</v>
      </c>
    </row>
    <row r="69" spans="1:17" x14ac:dyDescent="0.25">
      <c r="A69" s="1">
        <v>46113</v>
      </c>
      <c r="B69">
        <v>8501</v>
      </c>
      <c r="C69" s="20" t="s">
        <v>98</v>
      </c>
      <c r="D69" s="20" t="s">
        <v>30</v>
      </c>
      <c r="E69" s="20" t="s">
        <v>18</v>
      </c>
      <c r="F69" s="3">
        <v>42662</v>
      </c>
      <c r="G69" s="1">
        <v>46844</v>
      </c>
      <c r="H69">
        <v>9901</v>
      </c>
      <c r="I69" s="2">
        <v>0.75048209626800788</v>
      </c>
      <c r="J69" s="1">
        <v>46157</v>
      </c>
      <c r="K69" s="1">
        <v>46156</v>
      </c>
      <c r="L69" s="1">
        <v>46107</v>
      </c>
      <c r="M69" s="20" t="s">
        <v>20</v>
      </c>
      <c r="N69" s="20" t="s">
        <v>21</v>
      </c>
      <c r="O69" s="20" t="s">
        <v>22</v>
      </c>
      <c r="P69" s="20" t="s">
        <v>23</v>
      </c>
      <c r="Q69" s="20" t="s">
        <v>98</v>
      </c>
    </row>
    <row r="70" spans="1:17" x14ac:dyDescent="0.25">
      <c r="A70" s="1">
        <v>46113</v>
      </c>
      <c r="B70">
        <v>8503</v>
      </c>
      <c r="C70" s="20" t="s">
        <v>128</v>
      </c>
      <c r="D70" s="20" t="s">
        <v>30</v>
      </c>
      <c r="E70" s="20" t="s">
        <v>18</v>
      </c>
      <c r="F70" s="3">
        <v>42647</v>
      </c>
      <c r="G70" s="1">
        <v>47574</v>
      </c>
      <c r="H70">
        <v>29703</v>
      </c>
      <c r="I70" s="2">
        <v>0.62332956480673185</v>
      </c>
      <c r="J70" s="1">
        <v>46141</v>
      </c>
      <c r="K70" s="1"/>
      <c r="L70" s="1">
        <v>46107</v>
      </c>
      <c r="M70" s="20" t="s">
        <v>20</v>
      </c>
      <c r="N70" s="20" t="s">
        <v>21</v>
      </c>
      <c r="O70" s="20" t="s">
        <v>22</v>
      </c>
      <c r="P70" s="20" t="s">
        <v>31</v>
      </c>
      <c r="Q70" s="20" t="s">
        <v>128</v>
      </c>
    </row>
    <row r="71" spans="1:17" x14ac:dyDescent="0.25">
      <c r="A71" s="1">
        <v>46113</v>
      </c>
      <c r="B71">
        <v>8518</v>
      </c>
      <c r="C71" s="20" t="s">
        <v>44</v>
      </c>
      <c r="D71" s="20" t="s">
        <v>45</v>
      </c>
      <c r="E71" s="20" t="s">
        <v>18</v>
      </c>
      <c r="F71" s="3">
        <v>42678</v>
      </c>
      <c r="G71" s="1">
        <v>46844</v>
      </c>
      <c r="H71">
        <v>4000</v>
      </c>
      <c r="I71" s="2">
        <v>1.3831037277147489</v>
      </c>
      <c r="J71" s="1">
        <v>46176</v>
      </c>
      <c r="K71" s="1">
        <v>46146</v>
      </c>
      <c r="L71" s="1">
        <v>46107</v>
      </c>
      <c r="M71" s="20" t="s">
        <v>20</v>
      </c>
      <c r="N71" s="20" t="s">
        <v>39</v>
      </c>
      <c r="O71" s="20" t="s">
        <v>22</v>
      </c>
      <c r="P71" s="20" t="s">
        <v>31</v>
      </c>
      <c r="Q71" s="20" t="s">
        <v>44</v>
      </c>
    </row>
    <row r="72" spans="1:17" x14ac:dyDescent="0.25">
      <c r="A72" s="1">
        <v>46113</v>
      </c>
      <c r="B72">
        <v>8522</v>
      </c>
      <c r="C72" s="20" t="s">
        <v>82</v>
      </c>
      <c r="D72" s="20" t="s">
        <v>83</v>
      </c>
      <c r="E72" s="20" t="s">
        <v>18</v>
      </c>
      <c r="F72" s="3">
        <v>17426</v>
      </c>
      <c r="G72" s="1">
        <v>47574</v>
      </c>
      <c r="H72">
        <v>200</v>
      </c>
      <c r="I72" s="2">
        <v>0.7155963302752294</v>
      </c>
      <c r="J72" s="1" t="s">
        <v>19</v>
      </c>
      <c r="K72" s="1">
        <v>46164</v>
      </c>
      <c r="L72" s="1">
        <v>46107</v>
      </c>
      <c r="M72" s="20" t="s">
        <v>84</v>
      </c>
      <c r="N72" s="20" t="s">
        <v>21</v>
      </c>
      <c r="O72" s="20" t="s">
        <v>22</v>
      </c>
      <c r="P72" s="20" t="s">
        <v>158</v>
      </c>
      <c r="Q72" s="20" t="s">
        <v>82</v>
      </c>
    </row>
    <row r="73" spans="1:17" x14ac:dyDescent="0.25">
      <c r="A73" s="1">
        <v>46113</v>
      </c>
      <c r="B73">
        <v>8561</v>
      </c>
      <c r="C73" s="20" t="s">
        <v>44</v>
      </c>
      <c r="D73" s="20" t="s">
        <v>45</v>
      </c>
      <c r="E73" s="20" t="s">
        <v>18</v>
      </c>
      <c r="F73" s="3">
        <v>42682</v>
      </c>
      <c r="G73" s="1">
        <v>46844</v>
      </c>
      <c r="H73">
        <v>6000</v>
      </c>
      <c r="I73" s="2">
        <v>1.3831037277147489</v>
      </c>
      <c r="J73" s="1">
        <v>46189</v>
      </c>
      <c r="K73" s="1">
        <v>46146</v>
      </c>
      <c r="L73" s="1">
        <v>46107</v>
      </c>
      <c r="M73" s="20" t="s">
        <v>20</v>
      </c>
      <c r="N73" s="20" t="s">
        <v>39</v>
      </c>
      <c r="O73" s="20" t="s">
        <v>22</v>
      </c>
      <c r="P73" s="20" t="s">
        <v>31</v>
      </c>
      <c r="Q73" s="20" t="s">
        <v>44</v>
      </c>
    </row>
    <row r="74" spans="1:17" x14ac:dyDescent="0.25">
      <c r="A74" s="1">
        <v>46113</v>
      </c>
      <c r="B74">
        <v>8560</v>
      </c>
      <c r="C74" s="20" t="s">
        <v>44</v>
      </c>
      <c r="D74" s="20" t="s">
        <v>45</v>
      </c>
      <c r="E74" s="20" t="s">
        <v>18</v>
      </c>
      <c r="F74" s="3">
        <v>42681</v>
      </c>
      <c r="G74" s="1">
        <v>46844</v>
      </c>
      <c r="H74">
        <v>6000</v>
      </c>
      <c r="I74" s="2">
        <v>1.3831037277147489</v>
      </c>
      <c r="J74" s="1">
        <v>46184</v>
      </c>
      <c r="K74" s="1">
        <v>46146</v>
      </c>
      <c r="L74" s="1">
        <v>46107</v>
      </c>
      <c r="M74" s="20" t="s">
        <v>20</v>
      </c>
      <c r="N74" s="20" t="s">
        <v>39</v>
      </c>
      <c r="O74" s="20" t="s">
        <v>22</v>
      </c>
      <c r="P74" s="20" t="s">
        <v>31</v>
      </c>
      <c r="Q74" s="20" t="s">
        <v>44</v>
      </c>
    </row>
    <row r="75" spans="1:17" x14ac:dyDescent="0.25">
      <c r="A75" s="1">
        <v>46113</v>
      </c>
      <c r="B75">
        <v>8559</v>
      </c>
      <c r="C75" s="20" t="s">
        <v>44</v>
      </c>
      <c r="D75" s="20" t="s">
        <v>45</v>
      </c>
      <c r="E75" s="20" t="s">
        <v>18</v>
      </c>
      <c r="F75" s="3">
        <v>42680</v>
      </c>
      <c r="G75" s="1">
        <v>46844</v>
      </c>
      <c r="H75">
        <v>6000</v>
      </c>
      <c r="I75" s="2">
        <v>1.3831037277147489</v>
      </c>
      <c r="J75" s="1">
        <v>46184</v>
      </c>
      <c r="K75" s="1">
        <v>46146</v>
      </c>
      <c r="L75" s="1">
        <v>46107</v>
      </c>
      <c r="M75" s="20" t="s">
        <v>20</v>
      </c>
      <c r="N75" s="20" t="s">
        <v>39</v>
      </c>
      <c r="O75" s="20" t="s">
        <v>22</v>
      </c>
      <c r="P75" s="20" t="s">
        <v>31</v>
      </c>
      <c r="Q75" s="20" t="s">
        <v>44</v>
      </c>
    </row>
    <row r="76" spans="1:17" x14ac:dyDescent="0.25">
      <c r="A76" s="1">
        <v>46113</v>
      </c>
      <c r="B76">
        <v>8558</v>
      </c>
      <c r="C76" s="20" t="s">
        <v>44</v>
      </c>
      <c r="D76" s="20" t="s">
        <v>45</v>
      </c>
      <c r="E76" s="20" t="s">
        <v>18</v>
      </c>
      <c r="F76" s="3">
        <v>42679</v>
      </c>
      <c r="G76" s="1">
        <v>46844</v>
      </c>
      <c r="H76">
        <v>4000</v>
      </c>
      <c r="I76" s="2">
        <v>1.3831037277147489</v>
      </c>
      <c r="J76" s="1">
        <v>46181</v>
      </c>
      <c r="K76" s="1">
        <v>46146</v>
      </c>
      <c r="L76" s="1">
        <v>46107</v>
      </c>
      <c r="M76" s="20" t="s">
        <v>20</v>
      </c>
      <c r="N76" s="20" t="s">
        <v>39</v>
      </c>
      <c r="O76" s="20" t="s">
        <v>22</v>
      </c>
      <c r="P76" s="20" t="s">
        <v>31</v>
      </c>
      <c r="Q76" s="20" t="s">
        <v>44</v>
      </c>
    </row>
    <row r="77" spans="1:17" x14ac:dyDescent="0.25">
      <c r="A77" s="1">
        <v>46113</v>
      </c>
      <c r="B77">
        <v>8557</v>
      </c>
      <c r="C77" s="20" t="s">
        <v>122</v>
      </c>
      <c r="D77" s="20" t="s">
        <v>37</v>
      </c>
      <c r="E77" s="20" t="s">
        <v>18</v>
      </c>
      <c r="F77" s="3">
        <v>42674</v>
      </c>
      <c r="G77" s="1">
        <v>46844</v>
      </c>
      <c r="H77">
        <v>1700</v>
      </c>
      <c r="I77" s="2">
        <v>0.7339419393926947</v>
      </c>
      <c r="J77" s="1">
        <v>46167</v>
      </c>
      <c r="K77" s="1">
        <v>46141</v>
      </c>
      <c r="L77" s="1">
        <v>46107</v>
      </c>
      <c r="M77" s="20" t="s">
        <v>20</v>
      </c>
      <c r="N77" s="20" t="s">
        <v>39</v>
      </c>
      <c r="O77" s="20" t="s">
        <v>22</v>
      </c>
      <c r="P77" s="20" t="s">
        <v>31</v>
      </c>
      <c r="Q77" s="20" t="s">
        <v>122</v>
      </c>
    </row>
    <row r="78" spans="1:17" x14ac:dyDescent="0.25">
      <c r="A78" s="1">
        <v>46113</v>
      </c>
      <c r="B78">
        <v>8556</v>
      </c>
      <c r="C78" s="20" t="s">
        <v>122</v>
      </c>
      <c r="D78" s="20" t="s">
        <v>37</v>
      </c>
      <c r="E78" s="20" t="s">
        <v>18</v>
      </c>
      <c r="F78" s="3">
        <v>42676</v>
      </c>
      <c r="G78" s="1">
        <v>46844</v>
      </c>
      <c r="H78">
        <v>5100</v>
      </c>
      <c r="I78" s="2">
        <v>0.7339419393926947</v>
      </c>
      <c r="J78" s="1">
        <v>46171</v>
      </c>
      <c r="K78" s="1">
        <v>46141</v>
      </c>
      <c r="L78" s="1">
        <v>46107</v>
      </c>
      <c r="M78" s="20" t="s">
        <v>20</v>
      </c>
      <c r="N78" s="20" t="s">
        <v>39</v>
      </c>
      <c r="O78" s="20" t="s">
        <v>22</v>
      </c>
      <c r="P78" s="20" t="s">
        <v>31</v>
      </c>
      <c r="Q78" s="20" t="s">
        <v>122</v>
      </c>
    </row>
    <row r="79" spans="1:17" x14ac:dyDescent="0.25">
      <c r="A79" s="1">
        <v>46113</v>
      </c>
      <c r="B79">
        <v>8554</v>
      </c>
      <c r="C79" s="20" t="s">
        <v>128</v>
      </c>
      <c r="D79" s="20" t="s">
        <v>30</v>
      </c>
      <c r="E79" s="20" t="s">
        <v>18</v>
      </c>
      <c r="F79" s="3">
        <v>42658</v>
      </c>
      <c r="G79" s="1">
        <v>47574</v>
      </c>
      <c r="H79">
        <v>29703</v>
      </c>
      <c r="I79" s="2">
        <v>0.62332956480673185</v>
      </c>
      <c r="J79" s="1">
        <v>46170</v>
      </c>
      <c r="K79" s="1">
        <v>46163</v>
      </c>
      <c r="L79" s="1">
        <v>46107</v>
      </c>
      <c r="M79" s="20" t="s">
        <v>20</v>
      </c>
      <c r="N79" s="20" t="s">
        <v>21</v>
      </c>
      <c r="O79" s="20" t="s">
        <v>22</v>
      </c>
      <c r="P79" s="20" t="s">
        <v>23</v>
      </c>
      <c r="Q79" s="20" t="s">
        <v>128</v>
      </c>
    </row>
    <row r="80" spans="1:17" x14ac:dyDescent="0.25">
      <c r="A80" s="1">
        <v>46113</v>
      </c>
      <c r="B80">
        <v>8553</v>
      </c>
      <c r="C80" s="20" t="s">
        <v>128</v>
      </c>
      <c r="D80" s="20" t="s">
        <v>30</v>
      </c>
      <c r="E80" s="20" t="s">
        <v>18</v>
      </c>
      <c r="F80" s="3">
        <v>42657</v>
      </c>
      <c r="G80" s="1">
        <v>47574</v>
      </c>
      <c r="H80">
        <v>29703</v>
      </c>
      <c r="I80" s="2">
        <v>0.62332956480673185</v>
      </c>
      <c r="J80" s="1">
        <v>46169</v>
      </c>
      <c r="K80" s="1">
        <v>46161</v>
      </c>
      <c r="L80" s="1">
        <v>46107</v>
      </c>
      <c r="M80" s="20" t="s">
        <v>20</v>
      </c>
      <c r="N80" s="20" t="s">
        <v>21</v>
      </c>
      <c r="O80" s="20" t="s">
        <v>22</v>
      </c>
      <c r="P80" s="20" t="s">
        <v>23</v>
      </c>
      <c r="Q80" s="20" t="s">
        <v>128</v>
      </c>
    </row>
    <row r="81" spans="1:17" x14ac:dyDescent="0.25">
      <c r="A81" s="1">
        <v>46113</v>
      </c>
      <c r="B81">
        <v>8551</v>
      </c>
      <c r="C81" s="20" t="s">
        <v>128</v>
      </c>
      <c r="D81" s="20" t="s">
        <v>30</v>
      </c>
      <c r="E81" s="20" t="s">
        <v>18</v>
      </c>
      <c r="F81" s="3">
        <v>42655</v>
      </c>
      <c r="G81" s="1">
        <v>47574</v>
      </c>
      <c r="H81">
        <v>29703</v>
      </c>
      <c r="I81" s="2">
        <v>0.62332956480673185</v>
      </c>
      <c r="J81" s="1">
        <v>46164</v>
      </c>
      <c r="K81" s="1">
        <v>46157</v>
      </c>
      <c r="L81" s="1">
        <v>46107</v>
      </c>
      <c r="M81" s="20" t="s">
        <v>20</v>
      </c>
      <c r="N81" s="20" t="s">
        <v>21</v>
      </c>
      <c r="O81" s="20" t="s">
        <v>22</v>
      </c>
      <c r="P81" s="20" t="s">
        <v>31</v>
      </c>
      <c r="Q81" s="20" t="s">
        <v>128</v>
      </c>
    </row>
    <row r="82" spans="1:17" x14ac:dyDescent="0.25">
      <c r="A82" s="1">
        <v>46113</v>
      </c>
      <c r="B82">
        <v>8550</v>
      </c>
      <c r="C82" s="20" t="s">
        <v>128</v>
      </c>
      <c r="D82" s="20" t="s">
        <v>30</v>
      </c>
      <c r="E82" s="20" t="s">
        <v>18</v>
      </c>
      <c r="F82" s="3">
        <v>42654</v>
      </c>
      <c r="G82" s="1">
        <v>47574</v>
      </c>
      <c r="H82">
        <v>29703</v>
      </c>
      <c r="I82" s="2">
        <v>0.62332956480673185</v>
      </c>
      <c r="J82" s="1">
        <v>46160</v>
      </c>
      <c r="K82" s="1">
        <v>46156</v>
      </c>
      <c r="L82" s="1">
        <v>46107</v>
      </c>
      <c r="M82" s="20" t="s">
        <v>20</v>
      </c>
      <c r="N82" s="20" t="s">
        <v>21</v>
      </c>
      <c r="O82" s="20" t="s">
        <v>22</v>
      </c>
      <c r="P82" s="20" t="s">
        <v>31</v>
      </c>
      <c r="Q82" s="20" t="s">
        <v>128</v>
      </c>
    </row>
    <row r="83" spans="1:17" x14ac:dyDescent="0.25">
      <c r="A83" s="1">
        <v>46113</v>
      </c>
      <c r="B83">
        <v>8552</v>
      </c>
      <c r="C83" s="20" t="s">
        <v>128</v>
      </c>
      <c r="D83" s="20" t="s">
        <v>30</v>
      </c>
      <c r="E83" s="20" t="s">
        <v>18</v>
      </c>
      <c r="F83" s="3">
        <v>42656</v>
      </c>
      <c r="G83" s="1">
        <v>47574</v>
      </c>
      <c r="H83">
        <v>29703</v>
      </c>
      <c r="I83" s="2">
        <v>0.62332956480673185</v>
      </c>
      <c r="J83" s="1">
        <v>46164</v>
      </c>
      <c r="K83" s="1">
        <v>46160</v>
      </c>
      <c r="L83" s="1">
        <v>46107</v>
      </c>
      <c r="M83" s="20" t="s">
        <v>20</v>
      </c>
      <c r="N83" s="20" t="s">
        <v>21</v>
      </c>
      <c r="O83" s="20" t="s">
        <v>22</v>
      </c>
      <c r="P83" s="20" t="s">
        <v>23</v>
      </c>
      <c r="Q83" s="20" t="s">
        <v>128</v>
      </c>
    </row>
    <row r="84" spans="1:17" x14ac:dyDescent="0.25">
      <c r="A84" s="1">
        <v>46113</v>
      </c>
      <c r="B84">
        <v>8549</v>
      </c>
      <c r="C84" s="20" t="s">
        <v>128</v>
      </c>
      <c r="D84" s="20" t="s">
        <v>30</v>
      </c>
      <c r="E84" s="20" t="s">
        <v>18</v>
      </c>
      <c r="F84" s="3">
        <v>42653</v>
      </c>
      <c r="G84" s="1">
        <v>47574</v>
      </c>
      <c r="H84">
        <v>29703</v>
      </c>
      <c r="I84" s="2">
        <v>0.62332956480673185</v>
      </c>
      <c r="J84" s="1">
        <v>46160</v>
      </c>
      <c r="K84" s="1">
        <v>46147</v>
      </c>
      <c r="L84" s="1">
        <v>46107</v>
      </c>
      <c r="M84" s="20" t="s">
        <v>20</v>
      </c>
      <c r="N84" s="20" t="s">
        <v>21</v>
      </c>
      <c r="O84" s="20" t="s">
        <v>22</v>
      </c>
      <c r="P84" s="20" t="s">
        <v>31</v>
      </c>
      <c r="Q84" s="20" t="s">
        <v>128</v>
      </c>
    </row>
    <row r="85" spans="1:17" x14ac:dyDescent="0.25">
      <c r="A85" s="1">
        <v>46113</v>
      </c>
      <c r="B85">
        <v>7750</v>
      </c>
      <c r="C85" s="20" t="s">
        <v>129</v>
      </c>
      <c r="D85" s="20" t="s">
        <v>17</v>
      </c>
      <c r="E85" s="20" t="s">
        <v>18</v>
      </c>
      <c r="F85" s="3">
        <v>42671</v>
      </c>
      <c r="G85" s="1">
        <v>46844</v>
      </c>
      <c r="H85">
        <v>12500</v>
      </c>
      <c r="I85" s="2">
        <v>1.8504204618282805</v>
      </c>
      <c r="J85" s="1">
        <v>46176</v>
      </c>
      <c r="K85" s="1">
        <v>46174</v>
      </c>
      <c r="L85" s="1">
        <v>46107</v>
      </c>
      <c r="M85" s="20" t="s">
        <v>130</v>
      </c>
      <c r="N85" s="20" t="s">
        <v>131</v>
      </c>
      <c r="O85" s="20" t="s">
        <v>22</v>
      </c>
      <c r="P85" s="20" t="s">
        <v>23</v>
      </c>
      <c r="Q85" s="20" t="s">
        <v>129</v>
      </c>
    </row>
    <row r="86" spans="1:17" x14ac:dyDescent="0.25">
      <c r="A86" s="1">
        <v>46113</v>
      </c>
      <c r="B86">
        <v>8545</v>
      </c>
      <c r="C86" s="20" t="s">
        <v>128</v>
      </c>
      <c r="D86" s="20" t="s">
        <v>30</v>
      </c>
      <c r="E86" s="20" t="s">
        <v>18</v>
      </c>
      <c r="F86" s="3">
        <v>42649</v>
      </c>
      <c r="G86" s="1">
        <v>47574</v>
      </c>
      <c r="H86">
        <v>29703</v>
      </c>
      <c r="I86" s="2">
        <v>0.62332956480673185</v>
      </c>
      <c r="J86" s="1">
        <v>46149</v>
      </c>
      <c r="K86" s="1"/>
      <c r="L86" s="1">
        <v>46107</v>
      </c>
      <c r="M86" s="20" t="s">
        <v>20</v>
      </c>
      <c r="N86" s="20" t="s">
        <v>21</v>
      </c>
      <c r="O86" s="20" t="s">
        <v>22</v>
      </c>
      <c r="P86" s="20" t="s">
        <v>31</v>
      </c>
      <c r="Q86" s="20" t="s">
        <v>128</v>
      </c>
    </row>
    <row r="87" spans="1:17" x14ac:dyDescent="0.25">
      <c r="A87" s="1">
        <v>46113</v>
      </c>
      <c r="B87">
        <v>8546</v>
      </c>
      <c r="C87" s="20" t="s">
        <v>128</v>
      </c>
      <c r="D87" s="20" t="s">
        <v>30</v>
      </c>
      <c r="E87" s="20" t="s">
        <v>18</v>
      </c>
      <c r="F87" s="3">
        <v>42650</v>
      </c>
      <c r="G87" s="1">
        <v>47574</v>
      </c>
      <c r="H87">
        <v>29703</v>
      </c>
      <c r="I87" s="2">
        <v>0.62332956480673185</v>
      </c>
      <c r="J87" s="1">
        <v>46149</v>
      </c>
      <c r="K87" s="1"/>
      <c r="L87" s="1">
        <v>46107</v>
      </c>
      <c r="M87" s="20" t="s">
        <v>20</v>
      </c>
      <c r="N87" s="20" t="s">
        <v>21</v>
      </c>
      <c r="O87" s="20" t="s">
        <v>22</v>
      </c>
      <c r="P87" s="20" t="s">
        <v>31</v>
      </c>
      <c r="Q87" s="20" t="s">
        <v>128</v>
      </c>
    </row>
    <row r="88" spans="1:17" x14ac:dyDescent="0.25">
      <c r="A88" s="1">
        <v>46113</v>
      </c>
      <c r="B88">
        <v>8544</v>
      </c>
      <c r="C88" s="20" t="s">
        <v>128</v>
      </c>
      <c r="D88" s="20" t="s">
        <v>30</v>
      </c>
      <c r="E88" s="20" t="s">
        <v>18</v>
      </c>
      <c r="F88" s="3">
        <v>42648</v>
      </c>
      <c r="G88" s="1">
        <v>47574</v>
      </c>
      <c r="H88">
        <v>29703</v>
      </c>
      <c r="I88" s="2">
        <v>0.62332956480673185</v>
      </c>
      <c r="J88" s="1">
        <v>46142</v>
      </c>
      <c r="K88" s="1"/>
      <c r="L88" s="1">
        <v>46107</v>
      </c>
      <c r="M88" s="20" t="s">
        <v>20</v>
      </c>
      <c r="N88" s="20" t="s">
        <v>21</v>
      </c>
      <c r="O88" s="20" t="s">
        <v>22</v>
      </c>
      <c r="P88" s="20" t="s">
        <v>31</v>
      </c>
      <c r="Q88" s="20" t="s">
        <v>128</v>
      </c>
    </row>
    <row r="89" spans="1:17" x14ac:dyDescent="0.25">
      <c r="A89" s="1">
        <v>46113</v>
      </c>
      <c r="B89">
        <v>8547</v>
      </c>
      <c r="C89" s="20" t="s">
        <v>128</v>
      </c>
      <c r="D89" s="20" t="s">
        <v>30</v>
      </c>
      <c r="E89" s="20" t="s">
        <v>18</v>
      </c>
      <c r="F89" s="3">
        <v>42651</v>
      </c>
      <c r="G89" s="1">
        <v>47574</v>
      </c>
      <c r="H89">
        <v>29703</v>
      </c>
      <c r="I89" s="2">
        <v>0.62332956480673185</v>
      </c>
      <c r="J89" s="1">
        <v>46155</v>
      </c>
      <c r="K89" s="1"/>
      <c r="L89" s="1">
        <v>46107</v>
      </c>
      <c r="M89" s="20" t="s">
        <v>20</v>
      </c>
      <c r="N89" s="20" t="s">
        <v>21</v>
      </c>
      <c r="O89" s="20" t="s">
        <v>22</v>
      </c>
      <c r="P89" s="20" t="s">
        <v>31</v>
      </c>
      <c r="Q89" s="20" t="s">
        <v>128</v>
      </c>
    </row>
    <row r="90" spans="1:17" x14ac:dyDescent="0.25">
      <c r="A90" s="1">
        <v>46113</v>
      </c>
      <c r="B90">
        <v>8548</v>
      </c>
      <c r="C90" s="20" t="s">
        <v>128</v>
      </c>
      <c r="D90" s="20" t="s">
        <v>30</v>
      </c>
      <c r="E90" s="20" t="s">
        <v>18</v>
      </c>
      <c r="F90" s="3">
        <v>42652</v>
      </c>
      <c r="G90" s="1">
        <v>47574</v>
      </c>
      <c r="H90">
        <v>29703</v>
      </c>
      <c r="I90" s="2">
        <v>0.62332956480673185</v>
      </c>
      <c r="J90" s="1">
        <v>46155</v>
      </c>
      <c r="K90" s="1">
        <v>46141</v>
      </c>
      <c r="L90" s="1">
        <v>46107</v>
      </c>
      <c r="M90" s="20" t="s">
        <v>20</v>
      </c>
      <c r="N90" s="20" t="s">
        <v>21</v>
      </c>
      <c r="O90" s="20" t="s">
        <v>22</v>
      </c>
      <c r="P90" s="20" t="s">
        <v>31</v>
      </c>
      <c r="Q90" s="20" t="s">
        <v>128</v>
      </c>
    </row>
    <row r="91" spans="1:17" x14ac:dyDescent="0.25">
      <c r="A91" s="1">
        <v>46143</v>
      </c>
      <c r="B91">
        <v>8669</v>
      </c>
      <c r="C91" s="20" t="s">
        <v>159</v>
      </c>
      <c r="D91" s="20" t="s">
        <v>37</v>
      </c>
      <c r="E91" s="20" t="s">
        <v>18</v>
      </c>
      <c r="F91" s="3">
        <v>52606</v>
      </c>
      <c r="G91" s="1">
        <v>47239</v>
      </c>
      <c r="H91">
        <v>24000</v>
      </c>
      <c r="I91" s="2">
        <v>4.0463535023541848</v>
      </c>
      <c r="J91" s="1">
        <v>46162</v>
      </c>
      <c r="K91" s="1">
        <v>46154</v>
      </c>
      <c r="L91" s="1">
        <v>46133</v>
      </c>
      <c r="M91" s="20" t="s">
        <v>77</v>
      </c>
      <c r="N91" s="20" t="s">
        <v>39</v>
      </c>
      <c r="O91" s="20" t="s">
        <v>22</v>
      </c>
      <c r="P91" s="20" t="s">
        <v>23</v>
      </c>
      <c r="Q91" s="20" t="s">
        <v>159</v>
      </c>
    </row>
    <row r="92" spans="1:17" x14ac:dyDescent="0.25">
      <c r="A92" s="1">
        <v>46143</v>
      </c>
      <c r="B92">
        <v>8667</v>
      </c>
      <c r="C92" s="20" t="s">
        <v>159</v>
      </c>
      <c r="D92" s="20" t="s">
        <v>37</v>
      </c>
      <c r="E92" s="20" t="s">
        <v>18</v>
      </c>
      <c r="F92" s="3">
        <v>52603</v>
      </c>
      <c r="G92" s="1">
        <v>47239</v>
      </c>
      <c r="H92">
        <v>24000</v>
      </c>
      <c r="I92" s="2">
        <v>4.0463535023541848</v>
      </c>
      <c r="J92" s="1">
        <v>46156</v>
      </c>
      <c r="K92" s="1">
        <v>46149</v>
      </c>
      <c r="L92" s="1">
        <v>46133</v>
      </c>
      <c r="M92" s="20" t="s">
        <v>77</v>
      </c>
      <c r="N92" s="20" t="s">
        <v>39</v>
      </c>
      <c r="O92" s="20" t="s">
        <v>22</v>
      </c>
      <c r="P92" s="20" t="s">
        <v>23</v>
      </c>
      <c r="Q92" s="20" t="s">
        <v>159</v>
      </c>
    </row>
    <row r="93" spans="1:17" x14ac:dyDescent="0.25">
      <c r="A93" s="1">
        <v>46143</v>
      </c>
      <c r="B93">
        <v>8663</v>
      </c>
      <c r="C93" s="20" t="s">
        <v>159</v>
      </c>
      <c r="D93" s="20" t="s">
        <v>37</v>
      </c>
      <c r="E93" s="20" t="s">
        <v>18</v>
      </c>
      <c r="F93" s="3">
        <v>52602</v>
      </c>
      <c r="G93" s="1">
        <v>47239</v>
      </c>
      <c r="H93">
        <v>24000</v>
      </c>
      <c r="I93" s="2">
        <v>4.0463535023541848</v>
      </c>
      <c r="J93" s="1">
        <v>46154</v>
      </c>
      <c r="K93" s="1">
        <v>46148</v>
      </c>
      <c r="L93" s="1">
        <v>46133</v>
      </c>
      <c r="M93" s="20" t="s">
        <v>77</v>
      </c>
      <c r="N93" s="20" t="s">
        <v>39</v>
      </c>
      <c r="O93" s="20" t="s">
        <v>22</v>
      </c>
      <c r="P93" s="20" t="s">
        <v>23</v>
      </c>
      <c r="Q93" s="20" t="s">
        <v>159</v>
      </c>
    </row>
    <row r="94" spans="1:17" x14ac:dyDescent="0.25">
      <c r="A94" s="1">
        <v>46143</v>
      </c>
      <c r="B94">
        <v>8668</v>
      </c>
      <c r="C94" s="20" t="s">
        <v>159</v>
      </c>
      <c r="D94" s="20" t="s">
        <v>37</v>
      </c>
      <c r="E94" s="20" t="s">
        <v>18</v>
      </c>
      <c r="F94" s="3">
        <v>52605</v>
      </c>
      <c r="G94" s="1">
        <v>47239</v>
      </c>
      <c r="H94">
        <v>24000</v>
      </c>
      <c r="I94" s="2">
        <v>4.0463535023541848</v>
      </c>
      <c r="J94" s="1">
        <v>46160</v>
      </c>
      <c r="K94" s="1">
        <v>46150</v>
      </c>
      <c r="L94" s="1">
        <v>46133</v>
      </c>
      <c r="M94" s="20" t="s">
        <v>77</v>
      </c>
      <c r="N94" s="20" t="s">
        <v>39</v>
      </c>
      <c r="O94" s="20" t="s">
        <v>22</v>
      </c>
      <c r="P94" s="20" t="s">
        <v>23</v>
      </c>
      <c r="Q94" s="20" t="s">
        <v>159</v>
      </c>
    </row>
    <row r="95" spans="1:17" x14ac:dyDescent="0.25">
      <c r="A95" s="1">
        <v>46143</v>
      </c>
      <c r="B95">
        <v>8393</v>
      </c>
      <c r="C95" s="20" t="s">
        <v>159</v>
      </c>
      <c r="D95" s="20" t="s">
        <v>37</v>
      </c>
      <c r="E95" s="20" t="s">
        <v>18</v>
      </c>
      <c r="F95" s="3">
        <v>52601</v>
      </c>
      <c r="G95" s="1">
        <v>47239</v>
      </c>
      <c r="H95">
        <v>24000</v>
      </c>
      <c r="I95" s="2">
        <v>4.0463535023541848</v>
      </c>
      <c r="J95" s="1" t="s">
        <v>19</v>
      </c>
      <c r="K95" s="1">
        <v>46147</v>
      </c>
      <c r="L95" s="1">
        <v>46133</v>
      </c>
      <c r="M95" s="20" t="s">
        <v>77</v>
      </c>
      <c r="N95" s="20" t="s">
        <v>39</v>
      </c>
      <c r="O95" s="20" t="s">
        <v>22</v>
      </c>
      <c r="P95" s="20" t="s">
        <v>31</v>
      </c>
      <c r="Q95" s="20" t="s">
        <v>159</v>
      </c>
    </row>
    <row r="96" spans="1:17" x14ac:dyDescent="0.25">
      <c r="A96" s="1">
        <v>46143</v>
      </c>
      <c r="B96">
        <v>8563</v>
      </c>
      <c r="C96" s="20" t="s">
        <v>159</v>
      </c>
      <c r="D96" s="20" t="s">
        <v>37</v>
      </c>
      <c r="E96" s="20" t="s">
        <v>18</v>
      </c>
      <c r="F96" s="3">
        <v>52604</v>
      </c>
      <c r="G96" s="1">
        <v>47239</v>
      </c>
      <c r="H96">
        <v>24000</v>
      </c>
      <c r="I96" s="2">
        <v>4.0463535023541848</v>
      </c>
      <c r="J96" s="1" t="s">
        <v>19</v>
      </c>
      <c r="K96" s="1">
        <v>46150</v>
      </c>
      <c r="L96" s="1">
        <v>46133</v>
      </c>
      <c r="M96" s="20" t="s">
        <v>77</v>
      </c>
      <c r="N96" s="20" t="s">
        <v>39</v>
      </c>
      <c r="O96" s="20" t="s">
        <v>22</v>
      </c>
      <c r="P96" s="20" t="s">
        <v>23</v>
      </c>
      <c r="Q96" s="20" t="s">
        <v>159</v>
      </c>
    </row>
    <row r="97" spans="1:17" x14ac:dyDescent="0.25">
      <c r="A97" s="1">
        <v>46143</v>
      </c>
      <c r="B97">
        <v>8514</v>
      </c>
      <c r="C97" s="20" t="s">
        <v>160</v>
      </c>
      <c r="D97" s="20" t="s">
        <v>17</v>
      </c>
      <c r="E97" s="20" t="s">
        <v>18</v>
      </c>
      <c r="F97" s="3">
        <v>52639</v>
      </c>
      <c r="G97" s="1">
        <v>46874</v>
      </c>
      <c r="H97">
        <v>8824</v>
      </c>
      <c r="I97" s="2">
        <v>1.4774128111102445</v>
      </c>
      <c r="J97" s="1" t="s">
        <v>19</v>
      </c>
      <c r="K97" s="1"/>
      <c r="L97" s="1">
        <v>46142</v>
      </c>
      <c r="M97" s="20" t="s">
        <v>42</v>
      </c>
      <c r="N97" s="20" t="s">
        <v>21</v>
      </c>
      <c r="O97" s="20" t="s">
        <v>22</v>
      </c>
      <c r="P97" s="20" t="s">
        <v>23</v>
      </c>
      <c r="Q97" s="20" t="s">
        <v>160</v>
      </c>
    </row>
    <row r="98" spans="1:17" x14ac:dyDescent="0.25">
      <c r="A98" s="1">
        <v>46143</v>
      </c>
      <c r="B98">
        <v>8692</v>
      </c>
      <c r="C98" s="20" t="s">
        <v>161</v>
      </c>
      <c r="D98" s="20" t="s">
        <v>83</v>
      </c>
      <c r="E98" s="20" t="s">
        <v>18</v>
      </c>
      <c r="F98" s="3">
        <v>11526</v>
      </c>
      <c r="G98" s="1">
        <v>47604</v>
      </c>
      <c r="H98">
        <v>300</v>
      </c>
      <c r="I98" s="2">
        <v>2.4819277108433737</v>
      </c>
      <c r="J98" s="1" t="s">
        <v>19</v>
      </c>
      <c r="K98" s="1"/>
      <c r="L98" s="1">
        <v>46142</v>
      </c>
      <c r="M98" s="20" t="s">
        <v>84</v>
      </c>
      <c r="N98" s="20" t="s">
        <v>21</v>
      </c>
      <c r="O98" s="20" t="s">
        <v>22</v>
      </c>
      <c r="P98" s="20" t="s">
        <v>158</v>
      </c>
      <c r="Q98" s="20" t="s">
        <v>161</v>
      </c>
    </row>
    <row r="99" spans="1:17" x14ac:dyDescent="0.25">
      <c r="A99" s="1">
        <v>46143</v>
      </c>
      <c r="B99">
        <v>8520</v>
      </c>
      <c r="C99" s="20" t="s">
        <v>162</v>
      </c>
      <c r="D99" s="20" t="s">
        <v>25</v>
      </c>
      <c r="E99" s="20" t="s">
        <v>18</v>
      </c>
      <c r="F99" s="3">
        <v>1526</v>
      </c>
      <c r="G99" s="1">
        <v>46874</v>
      </c>
      <c r="H99">
        <v>2700</v>
      </c>
      <c r="I99" s="2">
        <v>1.8475159862272503</v>
      </c>
      <c r="J99" s="1" t="s">
        <v>19</v>
      </c>
      <c r="K99" s="1"/>
      <c r="L99" s="1">
        <v>46142</v>
      </c>
      <c r="M99" s="20" t="s">
        <v>26</v>
      </c>
      <c r="N99" s="20" t="s">
        <v>163</v>
      </c>
      <c r="O99" s="20" t="s">
        <v>22</v>
      </c>
      <c r="P99" s="20" t="s">
        <v>23</v>
      </c>
      <c r="Q99" s="20" t="s">
        <v>162</v>
      </c>
    </row>
    <row r="100" spans="1:17" x14ac:dyDescent="0.25">
      <c r="A100" s="1">
        <v>46143</v>
      </c>
      <c r="B100">
        <v>8578</v>
      </c>
      <c r="C100" s="20" t="s">
        <v>87</v>
      </c>
      <c r="D100" s="20" t="s">
        <v>17</v>
      </c>
      <c r="E100" s="20" t="s">
        <v>18</v>
      </c>
      <c r="F100" s="3">
        <v>52688</v>
      </c>
      <c r="G100" s="1">
        <v>46874</v>
      </c>
      <c r="H100">
        <v>9804</v>
      </c>
      <c r="I100" s="2">
        <v>3.4769840967163721</v>
      </c>
      <c r="J100" s="1" t="s">
        <v>19</v>
      </c>
      <c r="K100" s="1"/>
      <c r="L100" s="1">
        <v>46142</v>
      </c>
      <c r="M100" s="20" t="s">
        <v>20</v>
      </c>
      <c r="N100" s="20" t="s">
        <v>21</v>
      </c>
      <c r="O100" s="20" t="s">
        <v>22</v>
      </c>
      <c r="P100" s="20" t="s">
        <v>23</v>
      </c>
      <c r="Q100" s="20" t="s">
        <v>87</v>
      </c>
    </row>
    <row r="101" spans="1:17" x14ac:dyDescent="0.25">
      <c r="A101" s="1">
        <v>46143</v>
      </c>
      <c r="B101">
        <v>8691</v>
      </c>
      <c r="C101" s="20" t="s">
        <v>164</v>
      </c>
      <c r="D101" s="20" t="s">
        <v>83</v>
      </c>
      <c r="E101" s="20" t="s">
        <v>18</v>
      </c>
      <c r="F101" s="3">
        <v>9526</v>
      </c>
      <c r="G101" s="1">
        <v>47604</v>
      </c>
      <c r="H101">
        <v>200</v>
      </c>
      <c r="I101" s="2">
        <v>4.6169154228855724</v>
      </c>
      <c r="J101" s="1" t="s">
        <v>19</v>
      </c>
      <c r="K101" s="1"/>
      <c r="L101" s="1">
        <v>46142</v>
      </c>
      <c r="M101" s="20" t="s">
        <v>84</v>
      </c>
      <c r="N101" s="20" t="s">
        <v>21</v>
      </c>
      <c r="O101" s="20" t="s">
        <v>22</v>
      </c>
      <c r="P101" s="20" t="s">
        <v>158</v>
      </c>
      <c r="Q101" s="20" t="s">
        <v>164</v>
      </c>
    </row>
    <row r="102" spans="1:17" x14ac:dyDescent="0.25">
      <c r="A102" s="1">
        <v>46143</v>
      </c>
      <c r="B102">
        <v>8471</v>
      </c>
      <c r="C102" s="20" t="s">
        <v>43</v>
      </c>
      <c r="D102" s="20" t="s">
        <v>17</v>
      </c>
      <c r="E102" s="20" t="s">
        <v>18</v>
      </c>
      <c r="F102" s="3">
        <v>4526</v>
      </c>
      <c r="G102" s="1">
        <v>46874</v>
      </c>
      <c r="H102">
        <v>4902</v>
      </c>
      <c r="I102" s="2">
        <v>3.5255691191026064</v>
      </c>
      <c r="J102" s="1" t="s">
        <v>19</v>
      </c>
      <c r="K102" s="1"/>
      <c r="L102" s="1">
        <v>46142</v>
      </c>
      <c r="M102" s="20" t="s">
        <v>20</v>
      </c>
      <c r="N102" s="20" t="s">
        <v>21</v>
      </c>
      <c r="O102" s="20" t="s">
        <v>22</v>
      </c>
      <c r="P102" s="20" t="s">
        <v>23</v>
      </c>
      <c r="Q102" s="20" t="s">
        <v>43</v>
      </c>
    </row>
    <row r="103" spans="1:17" x14ac:dyDescent="0.25">
      <c r="A103" s="1">
        <v>46143</v>
      </c>
      <c r="B103">
        <v>8472</v>
      </c>
      <c r="C103" s="20" t="s">
        <v>161</v>
      </c>
      <c r="D103" s="20" t="s">
        <v>83</v>
      </c>
      <c r="E103" s="20" t="s">
        <v>18</v>
      </c>
      <c r="F103" s="3">
        <v>10526</v>
      </c>
      <c r="G103" s="1">
        <v>47604</v>
      </c>
      <c r="H103">
        <v>200</v>
      </c>
      <c r="I103" s="2">
        <v>2.4819277108433737</v>
      </c>
      <c r="J103" s="1" t="s">
        <v>19</v>
      </c>
      <c r="K103" s="1"/>
      <c r="L103" s="1">
        <v>46142</v>
      </c>
      <c r="M103" s="20" t="s">
        <v>84</v>
      </c>
      <c r="N103" s="20" t="s">
        <v>21</v>
      </c>
      <c r="O103" s="20" t="s">
        <v>22</v>
      </c>
      <c r="P103" s="20" t="s">
        <v>158</v>
      </c>
      <c r="Q103" s="20" t="s">
        <v>161</v>
      </c>
    </row>
    <row r="104" spans="1:17" x14ac:dyDescent="0.25">
      <c r="A104" s="1">
        <v>46143</v>
      </c>
      <c r="B104">
        <v>8502</v>
      </c>
      <c r="C104" s="20" t="s">
        <v>165</v>
      </c>
      <c r="D104" s="20" t="s">
        <v>17</v>
      </c>
      <c r="E104" s="20" t="s">
        <v>18</v>
      </c>
      <c r="F104" s="3">
        <v>52690</v>
      </c>
      <c r="G104" s="1">
        <v>46874</v>
      </c>
      <c r="H104">
        <v>3225</v>
      </c>
      <c r="I104" s="2">
        <v>3.9210236420642319</v>
      </c>
      <c r="J104" s="1" t="s">
        <v>19</v>
      </c>
      <c r="K104" s="1"/>
      <c r="L104" s="1">
        <v>46142</v>
      </c>
      <c r="M104" s="20" t="s">
        <v>77</v>
      </c>
      <c r="N104" s="20" t="s">
        <v>21</v>
      </c>
      <c r="O104" s="20" t="s">
        <v>22</v>
      </c>
      <c r="P104" s="20" t="s">
        <v>23</v>
      </c>
      <c r="Q104" s="20" t="s">
        <v>165</v>
      </c>
    </row>
    <row r="105" spans="1:17" x14ac:dyDescent="0.25">
      <c r="A105" s="1">
        <v>46143</v>
      </c>
      <c r="B105">
        <v>8688</v>
      </c>
      <c r="C105" s="20" t="s">
        <v>35</v>
      </c>
      <c r="D105" s="20" t="s">
        <v>17</v>
      </c>
      <c r="E105" s="20" t="s">
        <v>18</v>
      </c>
      <c r="F105" s="3">
        <v>52687</v>
      </c>
      <c r="G105" s="1">
        <v>46874</v>
      </c>
      <c r="H105">
        <v>9804</v>
      </c>
      <c r="I105" s="2">
        <v>3.5048269241026184</v>
      </c>
      <c r="J105" s="1" t="s">
        <v>19</v>
      </c>
      <c r="K105" s="1"/>
      <c r="L105" s="1">
        <v>46142</v>
      </c>
      <c r="M105" s="20" t="s">
        <v>20</v>
      </c>
      <c r="N105" s="20" t="s">
        <v>21</v>
      </c>
      <c r="O105" s="20" t="s">
        <v>22</v>
      </c>
      <c r="P105" s="20" t="s">
        <v>23</v>
      </c>
      <c r="Q105" s="20" t="s">
        <v>35</v>
      </c>
    </row>
    <row r="106" spans="1:17" x14ac:dyDescent="0.25">
      <c r="A106" s="1">
        <v>46143</v>
      </c>
      <c r="B106">
        <v>8689</v>
      </c>
      <c r="C106" s="20" t="s">
        <v>87</v>
      </c>
      <c r="D106" s="20" t="s">
        <v>17</v>
      </c>
      <c r="E106" s="20" t="s">
        <v>18</v>
      </c>
      <c r="F106" s="3">
        <v>52689</v>
      </c>
      <c r="G106" s="1">
        <v>46874</v>
      </c>
      <c r="H106">
        <v>9804</v>
      </c>
      <c r="I106" s="2">
        <v>3.4769840967163721</v>
      </c>
      <c r="J106" s="1" t="s">
        <v>19</v>
      </c>
      <c r="K106" s="1"/>
      <c r="L106" s="1">
        <v>46142</v>
      </c>
      <c r="M106" s="20" t="s">
        <v>20</v>
      </c>
      <c r="N106" s="20" t="s">
        <v>21</v>
      </c>
      <c r="O106" s="20" t="s">
        <v>22</v>
      </c>
      <c r="P106" s="20" t="s">
        <v>23</v>
      </c>
      <c r="Q106" s="20" t="s">
        <v>87</v>
      </c>
    </row>
    <row r="107" spans="1:17" x14ac:dyDescent="0.25">
      <c r="A107" s="1">
        <v>46143</v>
      </c>
      <c r="B107">
        <v>8690</v>
      </c>
      <c r="C107" s="20" t="s">
        <v>166</v>
      </c>
      <c r="D107" s="20" t="s">
        <v>83</v>
      </c>
      <c r="E107" s="20" t="s">
        <v>18</v>
      </c>
      <c r="F107" s="3">
        <v>7526</v>
      </c>
      <c r="G107" s="1">
        <v>47604</v>
      </c>
      <c r="H107">
        <v>3000</v>
      </c>
      <c r="I107" s="2">
        <v>4.333333333333333</v>
      </c>
      <c r="J107" s="1" t="s">
        <v>19</v>
      </c>
      <c r="K107" s="1"/>
      <c r="L107" s="1">
        <v>46142</v>
      </c>
      <c r="M107" s="20" t="s">
        <v>34</v>
      </c>
      <c r="N107" s="20" t="s">
        <v>21</v>
      </c>
      <c r="O107" s="20" t="s">
        <v>22</v>
      </c>
      <c r="P107" s="20" t="s">
        <v>23</v>
      </c>
      <c r="Q107" s="20" t="s">
        <v>166</v>
      </c>
    </row>
    <row r="108" spans="1:17" x14ac:dyDescent="0.25">
      <c r="A108" s="1">
        <v>46143</v>
      </c>
      <c r="B108">
        <v>8632</v>
      </c>
      <c r="C108" s="20" t="s">
        <v>76</v>
      </c>
      <c r="D108" s="20" t="s">
        <v>30</v>
      </c>
      <c r="E108" s="20" t="s">
        <v>18</v>
      </c>
      <c r="F108" s="3">
        <v>52676</v>
      </c>
      <c r="G108" s="1">
        <v>46874</v>
      </c>
      <c r="H108">
        <v>29508</v>
      </c>
      <c r="I108" s="2">
        <v>2.1389390477366761</v>
      </c>
      <c r="J108" s="1" t="s">
        <v>19</v>
      </c>
      <c r="K108" s="1"/>
      <c r="L108" s="1">
        <v>46142</v>
      </c>
      <c r="M108" s="20" t="s">
        <v>77</v>
      </c>
      <c r="N108" s="20" t="s">
        <v>21</v>
      </c>
      <c r="O108" s="20" t="s">
        <v>22</v>
      </c>
      <c r="P108" s="20" t="s">
        <v>23</v>
      </c>
      <c r="Q108" s="20" t="s">
        <v>76</v>
      </c>
    </row>
    <row r="109" spans="1:17" x14ac:dyDescent="0.25">
      <c r="A109" s="1">
        <v>46143</v>
      </c>
      <c r="B109">
        <v>8625</v>
      </c>
      <c r="C109" s="20" t="s">
        <v>166</v>
      </c>
      <c r="D109" s="20" t="s">
        <v>83</v>
      </c>
      <c r="E109" s="20" t="s">
        <v>18</v>
      </c>
      <c r="F109" s="3">
        <v>6526</v>
      </c>
      <c r="G109" s="1">
        <v>47604</v>
      </c>
      <c r="H109">
        <v>3000</v>
      </c>
      <c r="I109" s="2">
        <v>4.333333333333333</v>
      </c>
      <c r="J109" s="1" t="s">
        <v>19</v>
      </c>
      <c r="K109" s="1"/>
      <c r="L109" s="1">
        <v>46142</v>
      </c>
      <c r="M109" s="20" t="s">
        <v>34</v>
      </c>
      <c r="N109" s="20" t="s">
        <v>21</v>
      </c>
      <c r="O109" s="20" t="s">
        <v>22</v>
      </c>
      <c r="P109" s="20" t="s">
        <v>23</v>
      </c>
      <c r="Q109" s="20" t="s">
        <v>166</v>
      </c>
    </row>
    <row r="110" spans="1:17" x14ac:dyDescent="0.25">
      <c r="A110" s="1">
        <v>46143</v>
      </c>
      <c r="B110">
        <v>8626</v>
      </c>
      <c r="C110" s="20" t="s">
        <v>164</v>
      </c>
      <c r="D110" s="20" t="s">
        <v>83</v>
      </c>
      <c r="E110" s="20" t="s">
        <v>18</v>
      </c>
      <c r="F110" s="3">
        <v>8526</v>
      </c>
      <c r="G110" s="1">
        <v>47604</v>
      </c>
      <c r="H110">
        <v>200</v>
      </c>
      <c r="I110" s="2">
        <v>4.6169154228855724</v>
      </c>
      <c r="J110" s="1" t="s">
        <v>19</v>
      </c>
      <c r="K110" s="1"/>
      <c r="L110" s="1">
        <v>46142</v>
      </c>
      <c r="M110" s="20" t="s">
        <v>84</v>
      </c>
      <c r="N110" s="20" t="s">
        <v>21</v>
      </c>
      <c r="O110" s="20" t="s">
        <v>22</v>
      </c>
      <c r="P110" s="20" t="s">
        <v>158</v>
      </c>
      <c r="Q110" s="20" t="s">
        <v>164</v>
      </c>
    </row>
    <row r="111" spans="1:17" x14ac:dyDescent="0.25">
      <c r="A111" s="1">
        <v>46143</v>
      </c>
      <c r="B111">
        <v>8628</v>
      </c>
      <c r="C111" s="20" t="s">
        <v>167</v>
      </c>
      <c r="D111" s="20" t="s">
        <v>25</v>
      </c>
      <c r="E111" s="20" t="s">
        <v>18</v>
      </c>
      <c r="F111" s="3">
        <v>52675</v>
      </c>
      <c r="G111" s="1">
        <v>47239</v>
      </c>
      <c r="H111">
        <v>14285</v>
      </c>
      <c r="I111" s="2">
        <v>4.7438982468202129</v>
      </c>
      <c r="J111" s="1" t="s">
        <v>19</v>
      </c>
      <c r="K111" s="1"/>
      <c r="L111" s="1">
        <v>46142</v>
      </c>
      <c r="M111" s="20" t="s">
        <v>26</v>
      </c>
      <c r="N111" s="20" t="s">
        <v>163</v>
      </c>
      <c r="O111" s="20" t="s">
        <v>22</v>
      </c>
      <c r="P111" s="20" t="s">
        <v>23</v>
      </c>
      <c r="Q111" s="20" t="s">
        <v>167</v>
      </c>
    </row>
    <row r="112" spans="1:17" x14ac:dyDescent="0.25">
      <c r="A112" s="1">
        <v>46143</v>
      </c>
      <c r="B112">
        <v>8629</v>
      </c>
      <c r="C112" s="20" t="s">
        <v>108</v>
      </c>
      <c r="D112" s="20" t="s">
        <v>30</v>
      </c>
      <c r="E112" s="20" t="s">
        <v>18</v>
      </c>
      <c r="F112" s="3">
        <v>52680</v>
      </c>
      <c r="G112" s="1">
        <v>46874</v>
      </c>
      <c r="H112">
        <v>19802</v>
      </c>
      <c r="I112" s="2">
        <v>3.7611053784008255</v>
      </c>
      <c r="J112" s="1" t="s">
        <v>19</v>
      </c>
      <c r="K112" s="1"/>
      <c r="L112" s="1">
        <v>46142</v>
      </c>
      <c r="M112" s="20" t="s">
        <v>20</v>
      </c>
      <c r="N112" s="20" t="s">
        <v>21</v>
      </c>
      <c r="O112" s="20" t="s">
        <v>22</v>
      </c>
      <c r="P112" s="20" t="s">
        <v>23</v>
      </c>
      <c r="Q112" s="20" t="s">
        <v>108</v>
      </c>
    </row>
    <row r="113" spans="1:17" x14ac:dyDescent="0.25">
      <c r="A113" s="1">
        <v>46143</v>
      </c>
      <c r="B113">
        <v>8630</v>
      </c>
      <c r="C113" s="20" t="s">
        <v>88</v>
      </c>
      <c r="D113" s="20" t="s">
        <v>30</v>
      </c>
      <c r="E113" s="20" t="s">
        <v>18</v>
      </c>
      <c r="F113" s="3">
        <v>52678</v>
      </c>
      <c r="G113" s="1">
        <v>46874</v>
      </c>
      <c r="H113">
        <v>19802</v>
      </c>
      <c r="I113" s="2">
        <v>2.3608179674513896</v>
      </c>
      <c r="J113" s="1" t="s">
        <v>19</v>
      </c>
      <c r="K113" s="1"/>
      <c r="L113" s="1">
        <v>46142</v>
      </c>
      <c r="M113" s="20" t="s">
        <v>20</v>
      </c>
      <c r="N113" s="20" t="s">
        <v>21</v>
      </c>
      <c r="O113" s="20" t="s">
        <v>22</v>
      </c>
      <c r="P113" s="20" t="s">
        <v>23</v>
      </c>
      <c r="Q113" s="20" t="s">
        <v>88</v>
      </c>
    </row>
    <row r="114" spans="1:17" x14ac:dyDescent="0.25">
      <c r="A114" s="1">
        <v>46143</v>
      </c>
      <c r="B114">
        <v>8631</v>
      </c>
      <c r="C114" s="20" t="s">
        <v>40</v>
      </c>
      <c r="D114" s="20" t="s">
        <v>30</v>
      </c>
      <c r="E114" s="20" t="s">
        <v>18</v>
      </c>
      <c r="F114" s="3">
        <v>52677</v>
      </c>
      <c r="G114" s="1">
        <v>46874</v>
      </c>
      <c r="H114">
        <v>29703</v>
      </c>
      <c r="I114" s="2">
        <v>2.230629681207422</v>
      </c>
      <c r="J114" s="1" t="s">
        <v>19</v>
      </c>
      <c r="K114" s="1"/>
      <c r="L114" s="1">
        <v>46142</v>
      </c>
      <c r="M114" s="20" t="s">
        <v>20</v>
      </c>
      <c r="N114" s="20" t="s">
        <v>21</v>
      </c>
      <c r="O114" s="20" t="s">
        <v>22</v>
      </c>
      <c r="P114" s="20" t="s">
        <v>23</v>
      </c>
      <c r="Q114" s="20" t="s">
        <v>40</v>
      </c>
    </row>
    <row r="115" spans="1:17" x14ac:dyDescent="0.25">
      <c r="A115" s="1">
        <v>46143</v>
      </c>
      <c r="B115">
        <v>8660</v>
      </c>
      <c r="C115" s="20" t="s">
        <v>85</v>
      </c>
      <c r="D115" s="20" t="s">
        <v>37</v>
      </c>
      <c r="E115" s="20" t="s">
        <v>18</v>
      </c>
      <c r="F115" s="3">
        <v>52693</v>
      </c>
      <c r="G115" s="1">
        <v>46874</v>
      </c>
      <c r="H115">
        <v>2000</v>
      </c>
      <c r="I115" s="2">
        <v>2.857933382994573</v>
      </c>
      <c r="J115" s="1" t="s">
        <v>19</v>
      </c>
      <c r="K115" s="1"/>
      <c r="L115" s="1">
        <v>46142</v>
      </c>
      <c r="M115" s="20" t="s">
        <v>77</v>
      </c>
      <c r="N115" s="20" t="s">
        <v>39</v>
      </c>
      <c r="O115" s="20" t="s">
        <v>22</v>
      </c>
      <c r="P115" s="20" t="s">
        <v>23</v>
      </c>
      <c r="Q115" s="20" t="s">
        <v>85</v>
      </c>
    </row>
    <row r="116" spans="1:17" x14ac:dyDescent="0.25">
      <c r="A116" s="1">
        <v>46143</v>
      </c>
      <c r="B116">
        <v>8658</v>
      </c>
      <c r="C116" s="20" t="s">
        <v>35</v>
      </c>
      <c r="D116" s="20" t="s">
        <v>17</v>
      </c>
      <c r="E116" s="20" t="s">
        <v>18</v>
      </c>
      <c r="F116" s="3">
        <v>52686</v>
      </c>
      <c r="G116" s="1">
        <v>46874</v>
      </c>
      <c r="H116">
        <v>9804</v>
      </c>
      <c r="I116" s="2">
        <v>3.5048269241026184</v>
      </c>
      <c r="J116" s="1" t="s">
        <v>19</v>
      </c>
      <c r="K116" s="1"/>
      <c r="L116" s="1">
        <v>46142</v>
      </c>
      <c r="M116" s="20" t="s">
        <v>20</v>
      </c>
      <c r="N116" s="20" t="s">
        <v>21</v>
      </c>
      <c r="O116" s="20" t="s">
        <v>22</v>
      </c>
      <c r="P116" s="20" t="s">
        <v>23</v>
      </c>
      <c r="Q116" s="20" t="s">
        <v>35</v>
      </c>
    </row>
  </sheetData>
  <conditionalFormatting sqref="I2:I11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03DDB-90F7-4D9C-B951-970F83C24858}">
  <dimension ref="A1:AC298"/>
  <sheetViews>
    <sheetView topLeftCell="I274" zoomScale="85" zoomScaleNormal="85" workbookViewId="0">
      <selection activeCell="R288" sqref="R288"/>
    </sheetView>
  </sheetViews>
  <sheetFormatPr baseColWidth="10" defaultRowHeight="15" x14ac:dyDescent="0.25"/>
  <cols>
    <col min="1" max="1" width="15.140625" customWidth="1"/>
    <col min="2" max="2" width="15.42578125" customWidth="1"/>
    <col min="3" max="3" width="20.28515625" customWidth="1"/>
    <col min="4" max="4" width="7.7109375" customWidth="1"/>
    <col min="5" max="5" width="9.7109375" customWidth="1"/>
    <col min="6" max="6" width="10.28515625" customWidth="1"/>
    <col min="7" max="7" width="14.85546875" customWidth="1"/>
    <col min="8" max="8" width="15.28515625" customWidth="1"/>
    <col min="9" max="9" width="48.140625" customWidth="1"/>
    <col min="10" max="10" width="21.5703125" customWidth="1"/>
    <col min="11" max="11" width="22.28515625" customWidth="1"/>
    <col min="12" max="12" width="28.28515625" customWidth="1"/>
    <col min="13" max="13" width="21.42578125" customWidth="1"/>
    <col min="16" max="17" width="16.42578125" customWidth="1"/>
    <col min="18" max="18" width="19.85546875" customWidth="1"/>
    <col min="19" max="19" width="36.85546875" customWidth="1"/>
    <col min="20" max="20" width="13.28515625" customWidth="1"/>
    <col min="21" max="21" width="16.7109375" customWidth="1"/>
  </cols>
  <sheetData>
    <row r="1" spans="1:29" ht="45.75" thickBot="1" x14ac:dyDescent="0.3">
      <c r="A1" s="6" t="s">
        <v>47</v>
      </c>
      <c r="B1" s="6" t="s">
        <v>48</v>
      </c>
      <c r="C1" s="6" t="s">
        <v>49</v>
      </c>
      <c r="D1" s="6" t="s">
        <v>51</v>
      </c>
      <c r="E1" s="6" t="s">
        <v>52</v>
      </c>
      <c r="F1" s="6" t="s">
        <v>66</v>
      </c>
      <c r="G1" s="6" t="s">
        <v>50</v>
      </c>
      <c r="H1" s="6" t="s">
        <v>5</v>
      </c>
      <c r="I1" s="6" t="s">
        <v>2</v>
      </c>
      <c r="J1" s="6" t="s">
        <v>12</v>
      </c>
      <c r="K1" s="6" t="s">
        <v>13</v>
      </c>
      <c r="L1" s="6" t="s">
        <v>59</v>
      </c>
      <c r="M1" s="6" t="s">
        <v>60</v>
      </c>
      <c r="N1" s="6" t="s">
        <v>53</v>
      </c>
      <c r="O1" s="6" t="s">
        <v>54</v>
      </c>
      <c r="P1" s="6" t="s">
        <v>15</v>
      </c>
      <c r="Q1" s="6" t="s">
        <v>95</v>
      </c>
      <c r="R1" s="6" t="s">
        <v>61</v>
      </c>
      <c r="S1" s="6" t="s">
        <v>55</v>
      </c>
      <c r="T1" s="6" t="s">
        <v>67</v>
      </c>
      <c r="U1" s="6" t="s">
        <v>114</v>
      </c>
      <c r="W1" t="s">
        <v>181</v>
      </c>
      <c r="X1" s="60">
        <v>22685</v>
      </c>
      <c r="Y1" s="58">
        <v>32649</v>
      </c>
      <c r="Z1" s="58">
        <v>32636</v>
      </c>
      <c r="AA1" s="58">
        <v>5326</v>
      </c>
      <c r="AB1" s="58">
        <v>32605</v>
      </c>
      <c r="AC1" s="58">
        <v>16226</v>
      </c>
    </row>
    <row r="2" spans="1:29" x14ac:dyDescent="0.25">
      <c r="A2" s="10">
        <v>46034</v>
      </c>
      <c r="B2" s="10" t="s">
        <v>58</v>
      </c>
      <c r="C2" s="1" t="s">
        <v>68</v>
      </c>
      <c r="D2" s="9">
        <v>0.33333333333333331</v>
      </c>
      <c r="E2" s="9">
        <v>0.5</v>
      </c>
      <c r="F2" s="11">
        <f>ROUND((Tabla_producción_serigrafia[[#This Row],[FIN]]-Tabla_producción_serigrafia[[#This Row],[INICIO]]+(Tabla_producción_serigrafia[[#This Row],[FIN]]&lt;Tabla_producción_serigrafia[[#This Row],[INICIO]]))*24,2)</f>
        <v>4</v>
      </c>
      <c r="G2" t="s">
        <v>56</v>
      </c>
      <c r="H2" s="3">
        <v>12659</v>
      </c>
      <c r="I2" s="7" t="str">
        <f>IFERROR(INDEX(Tabla_control_serigrafia[PRODUCTO],MATCH(Tabla_producción_serigrafia[[#This Row],[LOTE]],Tabla_control_serigrafia[LOTE],0)),"-")</f>
        <v>CETIRIZINA 5 MG X 100 ML JARABE</v>
      </c>
      <c r="J2" t="str">
        <f>IFERROR(INDEX(Tabla_control_serigrafia[FORMATO DE FRASCO],MATCH(Tabla_producción_serigrafia[[#This Row],[LOTE]],Tabla_control_serigrafia[LOTE],0)),"-")</f>
        <v>120 ML</v>
      </c>
      <c r="K2" t="str">
        <f>IFERROR(INDEX(Tabla_control_serigrafia[TIPO DE FRASCO],MATCH(Tabla_producción_serigrafia[[#This Row],[LOTE]],Tabla_control_serigrafia[LOTE],0)),"-")</f>
        <v>FRASCO BLANCO</v>
      </c>
      <c r="L2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" s="12">
        <f>IFERROR(INDEX(Tabla_control_serigrafia[CANTIDAD PEDIDA],MATCH(Tabla_producción_serigrafia[[#This Row],[LOTE]],Tabla_control_serigrafia[LOTE],0)),"-")</f>
        <v>9901</v>
      </c>
      <c r="N2" s="3">
        <v>9901</v>
      </c>
      <c r="O2" s="3">
        <v>90</v>
      </c>
      <c r="P2" s="3" t="s">
        <v>62</v>
      </c>
      <c r="Q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9901</v>
      </c>
      <c r="R2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10</v>
      </c>
      <c r="S2" t="s">
        <v>38</v>
      </c>
      <c r="T2" t="str">
        <f>UPPER(LEFT(TEXT(Tabla_producción_serigrafia[[#This Row],[FECHA]],"mmm"),3))</f>
        <v>ENE</v>
      </c>
      <c r="U2">
        <f>IFERROR(Tabla_producción_serigrafia[[#This Row],[CANTIDAD PRODUCIDA]]+Tabla_producción_serigrafia[[#This Row],[CANTIDAD RECHAZADA]],0)</f>
        <v>9991</v>
      </c>
    </row>
    <row r="3" spans="1:29" x14ac:dyDescent="0.25">
      <c r="A3" s="10">
        <v>46034</v>
      </c>
      <c r="B3" s="10" t="s">
        <v>58</v>
      </c>
      <c r="C3" s="1" t="s">
        <v>68</v>
      </c>
      <c r="D3" s="9">
        <v>0.5</v>
      </c>
      <c r="E3" s="9">
        <v>0.73333333333333339</v>
      </c>
      <c r="F3" s="11">
        <f>ROUND((Tabla_producción_serigrafia[[#This Row],[FIN]]-Tabla_producción_serigrafia[[#This Row],[INICIO]]+(Tabla_producción_serigrafia[[#This Row],[FIN]]&lt;Tabla_producción_serigrafia[[#This Row],[INICIO]]))*24,2)</f>
        <v>5.6</v>
      </c>
      <c r="G3" t="s">
        <v>64</v>
      </c>
      <c r="H3" s="3" t="s">
        <v>38</v>
      </c>
      <c r="I3" s="28" t="str">
        <f>IFERROR(INDEX(Tabla_control_serigrafia[PRODUCTO],MATCH(Tabla_producción_serigrafia[[#This Row],[LOTE]],Tabla_control_serigrafia[LOTE],0)),"-")</f>
        <v>-</v>
      </c>
      <c r="J3" t="str">
        <f>IFERROR(INDEX(Tabla_control_serigrafia[FORMATO DE FRASCO],MATCH(Tabla_producción_serigrafia[[#This Row],[LOTE]],Tabla_control_serigrafia[LOTE],0)),"-")</f>
        <v>-</v>
      </c>
      <c r="K3" t="str">
        <f>IFERROR(INDEX(Tabla_control_serigrafia[TIPO DE FRASCO],MATCH(Tabla_producción_serigrafia[[#This Row],[LOTE]],Tabla_control_serigrafia[LOTE],0)),"-")</f>
        <v>-</v>
      </c>
      <c r="L3" t="str">
        <f>IF(Tabla_producción_serigrafia[[#This Row],[ACCIÓN]]="PRODUCCIÓN",Tabla_producción_serigrafia[[#This Row],[FORMATO DE FRASCO]]&amp;" "&amp;Tabla_producción_serigrafia[[#This Row],[TIPO DE FRASCO]],"-")</f>
        <v>-</v>
      </c>
      <c r="M3" s="12" t="str">
        <f>IFERROR(INDEX(Tabla_control_serigrafia[CANTIDAD PEDIDA],MATCH(Tabla_producción_serigrafia[[#This Row],[LOTE]],Tabla_control_serigrafia[LOTE],0)),"-")</f>
        <v>-</v>
      </c>
      <c r="N3" s="3">
        <v>0</v>
      </c>
      <c r="O3" s="3">
        <v>0</v>
      </c>
      <c r="P3" s="3">
        <v>0</v>
      </c>
      <c r="Q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3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3" t="s">
        <v>69</v>
      </c>
      <c r="T3" t="str">
        <f>UPPER(LEFT(TEXT(Tabla_producción_serigrafia[[#This Row],[FECHA]],"mmm"),3))</f>
        <v>ENE</v>
      </c>
      <c r="U3">
        <f>IFERROR(Tabla_producción_serigrafia[[#This Row],[CANTIDAD PRODUCIDA]]+Tabla_producción_serigrafia[[#This Row],[CANTIDAD RECHAZADA]],0)</f>
        <v>0</v>
      </c>
    </row>
    <row r="4" spans="1:29" x14ac:dyDescent="0.25">
      <c r="A4" s="10">
        <v>46035</v>
      </c>
      <c r="B4" s="10" t="s">
        <v>58</v>
      </c>
      <c r="C4" s="1" t="s">
        <v>68</v>
      </c>
      <c r="D4" s="9">
        <v>0.33333333333333331</v>
      </c>
      <c r="E4" s="9">
        <v>0.5</v>
      </c>
      <c r="F4" s="11">
        <f>ROUND((Tabla_producción_serigrafia[[#This Row],[FIN]]-Tabla_producción_serigrafia[[#This Row],[INICIO]]+(Tabla_producción_serigrafia[[#This Row],[FIN]]&lt;Tabla_producción_serigrafia[[#This Row],[INICIO]]))*24,2)</f>
        <v>4</v>
      </c>
      <c r="G4" t="s">
        <v>64</v>
      </c>
      <c r="H4" s="3" t="s">
        <v>38</v>
      </c>
      <c r="I4" s="7" t="str">
        <f>IFERROR(INDEX(Tabla_control_serigrafia[PRODUCTO],MATCH(Tabla_producción_serigrafia[[#This Row],[LOTE]],Tabla_control_serigrafia[LOTE],0)),"-")</f>
        <v>-</v>
      </c>
      <c r="J4" t="str">
        <f>IFERROR(INDEX(Tabla_control_serigrafia[FORMATO DE FRASCO],MATCH(Tabla_producción_serigrafia[[#This Row],[LOTE]],Tabla_control_serigrafia[LOTE],0)),"-")</f>
        <v>-</v>
      </c>
      <c r="K4" t="str">
        <f>IFERROR(INDEX(Tabla_control_serigrafia[TIPO DE FRASCO],MATCH(Tabla_producción_serigrafia[[#This Row],[LOTE]],Tabla_control_serigrafia[LOTE],0)),"-")</f>
        <v>-</v>
      </c>
      <c r="L4" t="str">
        <f>IF(Tabla_producción_serigrafia[[#This Row],[ACCIÓN]]="PRODUCCIÓN",Tabla_producción_serigrafia[[#This Row],[FORMATO DE FRASCO]]&amp;" "&amp;Tabla_producción_serigrafia[[#This Row],[TIPO DE FRASCO]],"-")</f>
        <v>-</v>
      </c>
      <c r="M4" s="12" t="str">
        <f>IFERROR(INDEX(Tabla_control_serigrafia[CANTIDAD PEDIDA],MATCH(Tabla_producción_serigrafia[[#This Row],[LOTE]],Tabla_control_serigrafia[LOTE],0)),"-")</f>
        <v>-</v>
      </c>
      <c r="N4" s="3">
        <v>0</v>
      </c>
      <c r="O4" s="3">
        <v>0</v>
      </c>
      <c r="P4" s="3">
        <v>0</v>
      </c>
      <c r="Q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4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" t="s">
        <v>69</v>
      </c>
      <c r="T4" t="str">
        <f>UPPER(LEFT(TEXT(Tabla_producción_serigrafia[[#This Row],[FECHA]],"mmm"),3))</f>
        <v>ENE</v>
      </c>
      <c r="U4">
        <f>IFERROR(Tabla_producción_serigrafia[[#This Row],[CANTIDAD PRODUCIDA]]+Tabla_producción_serigrafia[[#This Row],[CANTIDAD RECHAZADA]],0)</f>
        <v>0</v>
      </c>
    </row>
    <row r="5" spans="1:29" x14ac:dyDescent="0.25">
      <c r="A5" s="10">
        <v>46035</v>
      </c>
      <c r="B5" s="10" t="s">
        <v>58</v>
      </c>
      <c r="C5" s="1" t="s">
        <v>68</v>
      </c>
      <c r="D5" s="9">
        <v>0.5</v>
      </c>
      <c r="E5" s="9">
        <v>0.73333333333333339</v>
      </c>
      <c r="F5" s="11">
        <f>ROUND((Tabla_producción_serigrafia[[#This Row],[FIN]]-Tabla_producción_serigrafia[[#This Row],[INICIO]]+(Tabla_producción_serigrafia[[#This Row],[FIN]]&lt;Tabla_producción_serigrafia[[#This Row],[INICIO]]))*24,2)</f>
        <v>5.6</v>
      </c>
      <c r="G5" t="s">
        <v>56</v>
      </c>
      <c r="H5" s="3">
        <v>12680</v>
      </c>
      <c r="I5" s="7" t="str">
        <f>IFERROR(INDEX(Tabla_control_serigrafia[PRODUCTO],MATCH(Tabla_producción_serigrafia[[#This Row],[LOTE]],Tabla_control_serigrafia[LOTE],0)),"-")</f>
        <v>PARACETAMOL 100 MG X 15 ML GOTAS</v>
      </c>
      <c r="J5" t="str">
        <f>IFERROR(INDEX(Tabla_control_serigrafia[FORMATO DE FRASCO],MATCH(Tabla_producción_serigrafia[[#This Row],[LOTE]],Tabla_control_serigrafia[LOTE],0)),"-")</f>
        <v>15 ML</v>
      </c>
      <c r="K5" t="str">
        <f>IFERROR(INDEX(Tabla_control_serigrafia[TIPO DE FRASCO],MATCH(Tabla_producción_serigrafia[[#This Row],[LOTE]],Tabla_control_serigrafia[LOTE],0)),"-")</f>
        <v>FRASCO BLANCO</v>
      </c>
      <c r="L5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5" s="12">
        <f>IFERROR(INDEX(Tabla_control_serigrafia[CANTIDAD PEDIDA],MATCH(Tabla_producción_serigrafia[[#This Row],[LOTE]],Tabla_control_serigrafia[LOTE],0)),"-")</f>
        <v>56250</v>
      </c>
      <c r="N5" s="3">
        <v>10000</v>
      </c>
      <c r="O5" s="3">
        <v>110</v>
      </c>
      <c r="P5" s="3" t="s">
        <v>178</v>
      </c>
      <c r="Q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5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5" t="s">
        <v>38</v>
      </c>
      <c r="T5" t="str">
        <f>UPPER(LEFT(TEXT(Tabla_producción_serigrafia[[#This Row],[FECHA]],"mmm"),3))</f>
        <v>ENE</v>
      </c>
      <c r="U5">
        <f>IFERROR(Tabla_producción_serigrafia[[#This Row],[CANTIDAD PRODUCIDA]]+Tabla_producción_serigrafia[[#This Row],[CANTIDAD RECHAZADA]],0)</f>
        <v>10110</v>
      </c>
    </row>
    <row r="6" spans="1:29" x14ac:dyDescent="0.25">
      <c r="A6" s="10">
        <v>46036</v>
      </c>
      <c r="B6" s="10" t="s">
        <v>58</v>
      </c>
      <c r="C6" s="1" t="s">
        <v>68</v>
      </c>
      <c r="D6" s="9">
        <v>0.33333333333333331</v>
      </c>
      <c r="E6" s="9">
        <v>0.73333333333333339</v>
      </c>
      <c r="F6" s="11">
        <f>ROUND((Tabla_producción_serigrafia[[#This Row],[FIN]]-Tabla_producción_serigrafia[[#This Row],[INICIO]]+(Tabla_producción_serigrafia[[#This Row],[FIN]]&lt;Tabla_producción_serigrafia[[#This Row],[INICIO]]))*24,2)</f>
        <v>9.6</v>
      </c>
      <c r="G6" t="s">
        <v>56</v>
      </c>
      <c r="H6" s="3">
        <v>12680</v>
      </c>
      <c r="I6" s="7" t="str">
        <f>IFERROR(INDEX(Tabla_control_serigrafia[PRODUCTO],MATCH(Tabla_producción_serigrafia[[#This Row],[LOTE]],Tabla_control_serigrafia[LOTE],0)),"-")</f>
        <v>PARACETAMOL 100 MG X 15 ML GOTAS</v>
      </c>
      <c r="J6" t="str">
        <f>IFERROR(INDEX(Tabla_control_serigrafia[FORMATO DE FRASCO],MATCH(Tabla_producción_serigrafia[[#This Row],[LOTE]],Tabla_control_serigrafia[LOTE],0)),"-")</f>
        <v>15 ML</v>
      </c>
      <c r="K6" t="str">
        <f>IFERROR(INDEX(Tabla_control_serigrafia[TIPO DE FRASCO],MATCH(Tabla_producción_serigrafia[[#This Row],[LOTE]],Tabla_control_serigrafia[LOTE],0)),"-")</f>
        <v>FRASCO BLANCO</v>
      </c>
      <c r="L6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6" s="12">
        <f>IFERROR(INDEX(Tabla_control_serigrafia[CANTIDAD PEDIDA],MATCH(Tabla_producción_serigrafia[[#This Row],[LOTE]],Tabla_control_serigrafia[LOTE],0)),"-")</f>
        <v>56250</v>
      </c>
      <c r="N6" s="3">
        <v>15000</v>
      </c>
      <c r="O6" s="3">
        <v>155</v>
      </c>
      <c r="P6" s="3" t="s">
        <v>178</v>
      </c>
      <c r="Q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15000</v>
      </c>
      <c r="R6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" t="s">
        <v>38</v>
      </c>
      <c r="T6" t="str">
        <f>UPPER(LEFT(TEXT(Tabla_producción_serigrafia[[#This Row],[FECHA]],"mmm"),3))</f>
        <v>ENE</v>
      </c>
      <c r="U6">
        <f>IFERROR(Tabla_producción_serigrafia[[#This Row],[CANTIDAD PRODUCIDA]]+Tabla_producción_serigrafia[[#This Row],[CANTIDAD RECHAZADA]],0)</f>
        <v>15155</v>
      </c>
    </row>
    <row r="7" spans="1:29" x14ac:dyDescent="0.25">
      <c r="A7" s="10">
        <v>46036</v>
      </c>
      <c r="B7" s="10" t="s">
        <v>58</v>
      </c>
      <c r="C7" s="1" t="s">
        <v>65</v>
      </c>
      <c r="D7" s="9">
        <v>0.73333333333333339</v>
      </c>
      <c r="E7" s="9">
        <v>0.91666666666666663</v>
      </c>
      <c r="F7" s="11">
        <f>ROUND((Tabla_producción_serigrafia[[#This Row],[FIN]]-Tabla_producción_serigrafia[[#This Row],[INICIO]]+(Tabla_producción_serigrafia[[#This Row],[FIN]]&lt;Tabla_producción_serigrafia[[#This Row],[INICIO]]))*24,2)</f>
        <v>4.4000000000000004</v>
      </c>
      <c r="G7" t="s">
        <v>56</v>
      </c>
      <c r="H7" s="3">
        <v>12680</v>
      </c>
      <c r="I7" s="7" t="str">
        <f>IFERROR(INDEX(Tabla_control_serigrafia[PRODUCTO],MATCH(Tabla_producción_serigrafia[[#This Row],[LOTE]],Tabla_control_serigrafia[LOTE],0)),"-")</f>
        <v>PARACETAMOL 100 MG X 15 ML GOTAS</v>
      </c>
      <c r="J7" t="str">
        <f>IFERROR(INDEX(Tabla_control_serigrafia[FORMATO DE FRASCO],MATCH(Tabla_producción_serigrafia[[#This Row],[LOTE]],Tabla_control_serigrafia[LOTE],0)),"-")</f>
        <v>15 ML</v>
      </c>
      <c r="K7" t="str">
        <f>IFERROR(INDEX(Tabla_control_serigrafia[TIPO DE FRASCO],MATCH(Tabla_producción_serigrafia[[#This Row],[LOTE]],Tabla_control_serigrafia[LOTE],0)),"-")</f>
        <v>FRASCO BLANCO</v>
      </c>
      <c r="L7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7" s="12">
        <f>IFERROR(INDEX(Tabla_control_serigrafia[CANTIDAD PEDIDA],MATCH(Tabla_producción_serigrafia[[#This Row],[LOTE]],Tabla_control_serigrafia[LOTE],0)),"-")</f>
        <v>56250</v>
      </c>
      <c r="N7" s="3">
        <v>6000</v>
      </c>
      <c r="O7" s="3">
        <v>51</v>
      </c>
      <c r="P7" s="3" t="s">
        <v>178</v>
      </c>
      <c r="Q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6000</v>
      </c>
      <c r="R7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" t="s">
        <v>38</v>
      </c>
      <c r="T7" t="str">
        <f>UPPER(LEFT(TEXT(Tabla_producción_serigrafia[[#This Row],[FECHA]],"mmm"),3))</f>
        <v>ENE</v>
      </c>
      <c r="U7">
        <f>IFERROR(Tabla_producción_serigrafia[[#This Row],[CANTIDAD PRODUCIDA]]+Tabla_producción_serigrafia[[#This Row],[CANTIDAD RECHAZADA]],0)</f>
        <v>6051</v>
      </c>
    </row>
    <row r="8" spans="1:29" x14ac:dyDescent="0.25">
      <c r="A8" s="10">
        <v>46037</v>
      </c>
      <c r="B8" s="10" t="s">
        <v>58</v>
      </c>
      <c r="C8" s="1" t="s">
        <v>68</v>
      </c>
      <c r="D8" s="9">
        <v>0.33333333333333331</v>
      </c>
      <c r="E8" s="9">
        <v>0.73333333333333339</v>
      </c>
      <c r="F8" s="11">
        <f>ROUND((Tabla_producción_serigrafia[[#This Row],[FIN]]-Tabla_producción_serigrafia[[#This Row],[INICIO]]+(Tabla_producción_serigrafia[[#This Row],[FIN]]&lt;Tabla_producción_serigrafia[[#This Row],[INICIO]]))*24,2)</f>
        <v>9.6</v>
      </c>
      <c r="G8" t="s">
        <v>56</v>
      </c>
      <c r="H8" s="3">
        <v>12680</v>
      </c>
      <c r="I8" s="7" t="str">
        <f>IFERROR(INDEX(Tabla_control_serigrafia[PRODUCTO],MATCH(Tabla_producción_serigrafia[[#This Row],[LOTE]],Tabla_control_serigrafia[LOTE],0)),"-")</f>
        <v>PARACETAMOL 100 MG X 15 ML GOTAS</v>
      </c>
      <c r="J8" t="str">
        <f>IFERROR(INDEX(Tabla_control_serigrafia[FORMATO DE FRASCO],MATCH(Tabla_producción_serigrafia[[#This Row],[LOTE]],Tabla_control_serigrafia[LOTE],0)),"-")</f>
        <v>15 ML</v>
      </c>
      <c r="K8" t="str">
        <f>IFERROR(INDEX(Tabla_control_serigrafia[TIPO DE FRASCO],MATCH(Tabla_producción_serigrafia[[#This Row],[LOTE]],Tabla_control_serigrafia[LOTE],0)),"-")</f>
        <v>FRASCO BLANCO</v>
      </c>
      <c r="L8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8" s="12">
        <f>IFERROR(INDEX(Tabla_control_serigrafia[CANTIDAD PEDIDA],MATCH(Tabla_producción_serigrafia[[#This Row],[LOTE]],Tabla_control_serigrafia[LOTE],0)),"-")</f>
        <v>56250</v>
      </c>
      <c r="N8" s="3">
        <v>21000</v>
      </c>
      <c r="O8" s="3">
        <v>200</v>
      </c>
      <c r="P8" s="3" t="s">
        <v>178</v>
      </c>
      <c r="Q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21000</v>
      </c>
      <c r="R8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8" t="s">
        <v>38</v>
      </c>
      <c r="T8" t="str">
        <f>UPPER(LEFT(TEXT(Tabla_producción_serigrafia[[#This Row],[FECHA]],"mmm"),3))</f>
        <v>ENE</v>
      </c>
      <c r="U8">
        <f>IFERROR(Tabla_producción_serigrafia[[#This Row],[CANTIDAD PRODUCIDA]]+Tabla_producción_serigrafia[[#This Row],[CANTIDAD RECHAZADA]],0)</f>
        <v>21200</v>
      </c>
    </row>
    <row r="9" spans="1:29" x14ac:dyDescent="0.25">
      <c r="A9" s="10">
        <v>46038</v>
      </c>
      <c r="B9" s="10" t="s">
        <v>58</v>
      </c>
      <c r="C9" s="1" t="s">
        <v>68</v>
      </c>
      <c r="D9" s="9">
        <v>0.33333333333333331</v>
      </c>
      <c r="E9" s="9">
        <v>0.45833333333333331</v>
      </c>
      <c r="F9" s="11">
        <f>ROUND((Tabla_producción_serigrafia[[#This Row],[FIN]]-Tabla_producción_serigrafia[[#This Row],[INICIO]]+(Tabla_producción_serigrafia[[#This Row],[FIN]]&lt;Tabla_producción_serigrafia[[#This Row],[INICIO]]))*24,2)</f>
        <v>3</v>
      </c>
      <c r="G9" t="s">
        <v>56</v>
      </c>
      <c r="H9" s="3">
        <v>12680</v>
      </c>
      <c r="I9" s="7" t="str">
        <f>IFERROR(INDEX(Tabla_control_serigrafia[PRODUCTO],MATCH(Tabla_producción_serigrafia[[#This Row],[LOTE]],Tabla_control_serigrafia[LOTE],0)),"-")</f>
        <v>PARACETAMOL 100 MG X 15 ML GOTAS</v>
      </c>
      <c r="J9" t="str">
        <f>IFERROR(INDEX(Tabla_control_serigrafia[FORMATO DE FRASCO],MATCH(Tabla_producción_serigrafia[[#This Row],[LOTE]],Tabla_control_serigrafia[LOTE],0)),"-")</f>
        <v>15 ML</v>
      </c>
      <c r="K9" t="str">
        <f>IFERROR(INDEX(Tabla_control_serigrafia[TIPO DE FRASCO],MATCH(Tabla_producción_serigrafia[[#This Row],[LOTE]],Tabla_control_serigrafia[LOTE],0)),"-")</f>
        <v>FRASCO BLANCO</v>
      </c>
      <c r="L9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9" s="12">
        <f>IFERROR(INDEX(Tabla_control_serigrafia[CANTIDAD PEDIDA],MATCH(Tabla_producción_serigrafia[[#This Row],[LOTE]],Tabla_control_serigrafia[LOTE],0)),"-")</f>
        <v>56250</v>
      </c>
      <c r="N9" s="3">
        <v>6250</v>
      </c>
      <c r="O9" s="3">
        <v>1050</v>
      </c>
      <c r="P9" s="3" t="s">
        <v>62</v>
      </c>
      <c r="Q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6250</v>
      </c>
      <c r="R9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14</v>
      </c>
      <c r="S9" t="s">
        <v>38</v>
      </c>
      <c r="T9" t="str">
        <f>UPPER(LEFT(TEXT(Tabla_producción_serigrafia[[#This Row],[FECHA]],"mmm"),3))</f>
        <v>ENE</v>
      </c>
      <c r="U9">
        <f>IFERROR(Tabla_producción_serigrafia[[#This Row],[CANTIDAD PRODUCIDA]]+Tabla_producción_serigrafia[[#This Row],[CANTIDAD RECHAZADA]],0)</f>
        <v>7300</v>
      </c>
    </row>
    <row r="10" spans="1:29" x14ac:dyDescent="0.25">
      <c r="A10" s="10">
        <v>46037</v>
      </c>
      <c r="B10" s="10" t="s">
        <v>58</v>
      </c>
      <c r="C10" s="1" t="s">
        <v>68</v>
      </c>
      <c r="D10" s="9">
        <v>0.45833333333333331</v>
      </c>
      <c r="E10" s="9">
        <v>0.66666666666666663</v>
      </c>
      <c r="F10" s="11">
        <f>ROUND((Tabla_producción_serigrafia[[#This Row],[FIN]]-Tabla_producción_serigrafia[[#This Row],[INICIO]]+(Tabla_producción_serigrafia[[#This Row],[FIN]]&lt;Tabla_producción_serigrafia[[#This Row],[INICIO]]))*24,2)</f>
        <v>5</v>
      </c>
      <c r="G10" t="s">
        <v>64</v>
      </c>
      <c r="H10" s="3" t="s">
        <v>38</v>
      </c>
      <c r="I10" s="7" t="str">
        <f>IFERROR(INDEX(Tabla_control_serigrafia[PRODUCTO],MATCH(Tabla_producción_serigrafia[[#This Row],[LOTE]],Tabla_control_serigrafia[LOTE],0)),"-")</f>
        <v>-</v>
      </c>
      <c r="J10" t="str">
        <f>IFERROR(INDEX(Tabla_control_serigrafia[FORMATO DE FRASCO],MATCH(Tabla_producción_serigrafia[[#This Row],[LOTE]],Tabla_control_serigrafia[LOTE],0)),"-")</f>
        <v>-</v>
      </c>
      <c r="K10" t="str">
        <f>IFERROR(INDEX(Tabla_control_serigrafia[TIPO DE FRASCO],MATCH(Tabla_producción_serigrafia[[#This Row],[LOTE]],Tabla_control_serigrafia[LOTE],0)),"-")</f>
        <v>-</v>
      </c>
      <c r="L10" t="str">
        <f>IF(Tabla_producción_serigrafia[[#This Row],[ACCIÓN]]="PRODUCCIÓN",Tabla_producción_serigrafia[[#This Row],[FORMATO DE FRASCO]]&amp;" "&amp;Tabla_producción_serigrafia[[#This Row],[TIPO DE FRASCO]],"-")</f>
        <v>-</v>
      </c>
      <c r="M10" s="12" t="str">
        <f>IFERROR(INDEX(Tabla_control_serigrafia[CANTIDAD PEDIDA],MATCH(Tabla_producción_serigrafia[[#This Row],[LOTE]],Tabla_control_serigrafia[LOTE],0)),"-")</f>
        <v>-</v>
      </c>
      <c r="N10" s="3">
        <v>0</v>
      </c>
      <c r="O10" s="3">
        <v>0</v>
      </c>
      <c r="P10" s="3">
        <v>0</v>
      </c>
      <c r="Q1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0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0" t="s">
        <v>70</v>
      </c>
      <c r="T10" t="str">
        <f>UPPER(LEFT(TEXT(Tabla_producción_serigrafia[[#This Row],[FECHA]],"mmm"),3))</f>
        <v>ENE</v>
      </c>
      <c r="U10">
        <f>IFERROR(Tabla_producción_serigrafia[[#This Row],[CANTIDAD PRODUCIDA]]+Tabla_producción_serigrafia[[#This Row],[CANTIDAD RECHAZADA]],0)</f>
        <v>0</v>
      </c>
    </row>
    <row r="11" spans="1:29" x14ac:dyDescent="0.25">
      <c r="A11" s="10">
        <v>46040</v>
      </c>
      <c r="B11" s="10" t="s">
        <v>58</v>
      </c>
      <c r="C11" s="1" t="s">
        <v>65</v>
      </c>
      <c r="D11" s="9">
        <v>0.66666666666666663</v>
      </c>
      <c r="E11" s="9">
        <v>0.91666666666666663</v>
      </c>
      <c r="F11" s="11">
        <f>ROUND((Tabla_producción_serigrafia[[#This Row],[FIN]]-Tabla_producción_serigrafia[[#This Row],[INICIO]]+(Tabla_producción_serigrafia[[#This Row],[FIN]]&lt;Tabla_producción_serigrafia[[#This Row],[INICIO]]))*24,2)</f>
        <v>6</v>
      </c>
      <c r="G11" t="s">
        <v>56</v>
      </c>
      <c r="H11" s="3">
        <v>12655</v>
      </c>
      <c r="I11" s="7" t="str">
        <f>IFERROR(INDEX(Tabla_control_serigrafia[PRODUCTO],MATCH(Tabla_producción_serigrafia[[#This Row],[LOTE]],Tabla_control_serigrafia[LOTE],0)),"-")</f>
        <v>FERRASOL FN X 30 ML GOTAS</v>
      </c>
      <c r="J11" t="str">
        <f>IFERROR(INDEX(Tabla_control_serigrafia[FORMATO DE FRASCO],MATCH(Tabla_producción_serigrafia[[#This Row],[LOTE]],Tabla_control_serigrafia[LOTE],0)),"-")</f>
        <v>30 ML</v>
      </c>
      <c r="K11" t="str">
        <f>IFERROR(INDEX(Tabla_control_serigrafia[TIPO DE FRASCO],MATCH(Tabla_producción_serigrafia[[#This Row],[LOTE]],Tabla_control_serigrafia[LOTE],0)),"-")</f>
        <v>FRASCO BLANCO</v>
      </c>
      <c r="L11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1" s="12">
        <f>IFERROR(INDEX(Tabla_control_serigrafia[CANTIDAD PEDIDA],MATCH(Tabla_producción_serigrafia[[#This Row],[LOTE]],Tabla_control_serigrafia[LOTE],0)),"-")</f>
        <v>9000</v>
      </c>
      <c r="N11" s="3">
        <v>9000</v>
      </c>
      <c r="O11" s="3">
        <v>550</v>
      </c>
      <c r="P11" s="3" t="s">
        <v>62</v>
      </c>
      <c r="Q1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9000</v>
      </c>
      <c r="R11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16</v>
      </c>
      <c r="S11" t="s">
        <v>38</v>
      </c>
      <c r="T11" t="str">
        <f>UPPER(LEFT(TEXT(Tabla_producción_serigrafia[[#This Row],[FECHA]],"mmm"),3))</f>
        <v>ENE</v>
      </c>
      <c r="U11">
        <f>IFERROR(Tabla_producción_serigrafia[[#This Row],[CANTIDAD PRODUCIDA]]+Tabla_producción_serigrafia[[#This Row],[CANTIDAD RECHAZADA]],0)</f>
        <v>9550</v>
      </c>
    </row>
    <row r="12" spans="1:29" x14ac:dyDescent="0.25">
      <c r="A12" s="10">
        <v>46041</v>
      </c>
      <c r="B12" s="10" t="s">
        <v>58</v>
      </c>
      <c r="C12" s="1" t="s">
        <v>68</v>
      </c>
      <c r="D12" s="9">
        <v>0.33333333333333331</v>
      </c>
      <c r="E12" s="9">
        <v>0.35416666666666669</v>
      </c>
      <c r="F12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12" t="s">
        <v>57</v>
      </c>
      <c r="H12" s="3" t="s">
        <v>38</v>
      </c>
      <c r="I12" s="7" t="str">
        <f>IFERROR(INDEX(Tabla_control_serigrafia[PRODUCTO],MATCH(Tabla_producción_serigrafia[[#This Row],[LOTE]],Tabla_control_serigrafia[LOTE],0)),"-")</f>
        <v>-</v>
      </c>
      <c r="J12" t="str">
        <f>IFERROR(INDEX(Tabla_control_serigrafia[FORMATO DE FRASCO],MATCH(Tabla_producción_serigrafia[[#This Row],[LOTE]],Tabla_control_serigrafia[LOTE],0)),"-")</f>
        <v>-</v>
      </c>
      <c r="K12" t="str">
        <f>IFERROR(INDEX(Tabla_control_serigrafia[TIPO DE FRASCO],MATCH(Tabla_producción_serigrafia[[#This Row],[LOTE]],Tabla_control_serigrafia[LOTE],0)),"-")</f>
        <v>-</v>
      </c>
      <c r="L12" t="str">
        <f>IF(Tabla_producción_serigrafia[[#This Row],[ACCIÓN]]="PRODUCCIÓN",Tabla_producción_serigrafia[[#This Row],[FORMATO DE FRASCO]]&amp;" "&amp;Tabla_producción_serigrafia[[#This Row],[TIPO DE FRASCO]],"-")</f>
        <v>-</v>
      </c>
      <c r="M12" s="12" t="str">
        <f>IFERROR(INDEX(Tabla_control_serigrafia[CANTIDAD PEDIDA],MATCH(Tabla_producción_serigrafia[[#This Row],[LOTE]],Tabla_control_serigrafia[LOTE],0)),"-")</f>
        <v>-</v>
      </c>
      <c r="N12" s="3">
        <v>0</v>
      </c>
      <c r="O12" s="3">
        <v>0</v>
      </c>
      <c r="P12" s="3">
        <v>0</v>
      </c>
      <c r="Q1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2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2" t="s">
        <v>63</v>
      </c>
      <c r="T12" t="str">
        <f>UPPER(LEFT(TEXT(Tabla_producción_serigrafia[[#This Row],[FECHA]],"mmm"),3))</f>
        <v>ENE</v>
      </c>
      <c r="U12">
        <f>IFERROR(Tabla_producción_serigrafia[[#This Row],[CANTIDAD PRODUCIDA]]+Tabla_producción_serigrafia[[#This Row],[CANTIDAD RECHAZADA]],0)</f>
        <v>0</v>
      </c>
    </row>
    <row r="13" spans="1:29" x14ac:dyDescent="0.25">
      <c r="A13" s="10">
        <v>46041</v>
      </c>
      <c r="B13" s="10" t="s">
        <v>58</v>
      </c>
      <c r="C13" s="1" t="s">
        <v>68</v>
      </c>
      <c r="D13" s="9">
        <v>0.35416666666666669</v>
      </c>
      <c r="E13" s="9">
        <v>0.70833333333333337</v>
      </c>
      <c r="F13" s="11">
        <f>ROUND((Tabla_producción_serigrafia[[#This Row],[FIN]]-Tabla_producción_serigrafia[[#This Row],[INICIO]]+(Tabla_producción_serigrafia[[#This Row],[FIN]]&lt;Tabla_producción_serigrafia[[#This Row],[INICIO]]))*24,2)</f>
        <v>8.5</v>
      </c>
      <c r="G13" t="s">
        <v>56</v>
      </c>
      <c r="H13" s="3">
        <v>12666</v>
      </c>
      <c r="I13" s="7" t="str">
        <f>IFERROR(INDEX(Tabla_control_serigrafia[PRODUCTO],MATCH(Tabla_producción_serigrafia[[#This Row],[LOTE]],Tabla_control_serigrafia[LOTE],0)),"-")</f>
        <v>IFASAN 10% X 30 ML LOCION</v>
      </c>
      <c r="J13" t="str">
        <f>IFERROR(INDEX(Tabla_control_serigrafia[FORMATO DE FRASCO],MATCH(Tabla_producción_serigrafia[[#This Row],[LOTE]],Tabla_control_serigrafia[LOTE],0)),"-")</f>
        <v>30 ML</v>
      </c>
      <c r="K13" t="str">
        <f>IFERROR(INDEX(Tabla_control_serigrafia[TIPO DE FRASCO],MATCH(Tabla_producción_serigrafia[[#This Row],[LOTE]],Tabla_control_serigrafia[LOTE],0)),"-")</f>
        <v>FRASCO BLANCO</v>
      </c>
      <c r="L13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3" s="12">
        <f>IFERROR(INDEX(Tabla_control_serigrafia[CANTIDAD PEDIDA],MATCH(Tabla_producción_serigrafia[[#This Row],[LOTE]],Tabla_control_serigrafia[LOTE],0)),"-")</f>
        <v>15000</v>
      </c>
      <c r="N13" s="3">
        <v>15200</v>
      </c>
      <c r="O13" s="3">
        <v>510</v>
      </c>
      <c r="P13" s="3" t="s">
        <v>62</v>
      </c>
      <c r="Q1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15200</v>
      </c>
      <c r="R13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17</v>
      </c>
      <c r="S13" t="s">
        <v>38</v>
      </c>
      <c r="T13" t="str">
        <f>UPPER(LEFT(TEXT(Tabla_producción_serigrafia[[#This Row],[FECHA]],"mmm"),3))</f>
        <v>ENE</v>
      </c>
      <c r="U13">
        <f>IFERROR(Tabla_producción_serigrafia[[#This Row],[CANTIDAD PRODUCIDA]]+Tabla_producción_serigrafia[[#This Row],[CANTIDAD RECHAZADA]],0)</f>
        <v>15710</v>
      </c>
    </row>
    <row r="14" spans="1:29" x14ac:dyDescent="0.25">
      <c r="A14" s="10">
        <v>46041</v>
      </c>
      <c r="B14" s="10" t="s">
        <v>58</v>
      </c>
      <c r="C14" s="1" t="s">
        <v>65</v>
      </c>
      <c r="D14" s="9">
        <v>0.72916666666666663</v>
      </c>
      <c r="E14" s="9">
        <v>0.91666666666666663</v>
      </c>
      <c r="F14" s="11">
        <f>ROUND((Tabla_producción_serigrafia[[#This Row],[FIN]]-Tabla_producción_serigrafia[[#This Row],[INICIO]]+(Tabla_producción_serigrafia[[#This Row],[FIN]]&lt;Tabla_producción_serigrafia[[#This Row],[INICIO]]))*24,2)</f>
        <v>4.5</v>
      </c>
      <c r="G14" t="s">
        <v>56</v>
      </c>
      <c r="H14" s="3">
        <v>12667</v>
      </c>
      <c r="I14" s="7" t="str">
        <f>IFERROR(INDEX(Tabla_control_serigrafia[PRODUCTO],MATCH(Tabla_producción_serigrafia[[#This Row],[LOTE]],Tabla_control_serigrafia[LOTE],0)),"-")</f>
        <v>IFASAN 10% X 30 ML LOCION</v>
      </c>
      <c r="J14" t="str">
        <f>IFERROR(INDEX(Tabla_control_serigrafia[FORMATO DE FRASCO],MATCH(Tabla_producción_serigrafia[[#This Row],[LOTE]],Tabla_control_serigrafia[LOTE],0)),"-")</f>
        <v>30 ML</v>
      </c>
      <c r="K14" t="str">
        <f>IFERROR(INDEX(Tabla_control_serigrafia[TIPO DE FRASCO],MATCH(Tabla_producción_serigrafia[[#This Row],[LOTE]],Tabla_control_serigrafia[LOTE],0)),"-")</f>
        <v>FRASCO BLANCO</v>
      </c>
      <c r="L14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4" s="12">
        <f>IFERROR(INDEX(Tabla_control_serigrafia[CANTIDAD PEDIDA],MATCH(Tabla_producción_serigrafia[[#This Row],[LOTE]],Tabla_control_serigrafia[LOTE],0)),"-")</f>
        <v>15000</v>
      </c>
      <c r="N14" s="3">
        <v>6000</v>
      </c>
      <c r="O14" s="3">
        <v>53</v>
      </c>
      <c r="P14" s="3" t="s">
        <v>178</v>
      </c>
      <c r="Q1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6000</v>
      </c>
      <c r="R14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" t="s">
        <v>38</v>
      </c>
      <c r="T14" t="str">
        <f>UPPER(LEFT(TEXT(Tabla_producción_serigrafia[[#This Row],[FECHA]],"mmm"),3))</f>
        <v>ENE</v>
      </c>
      <c r="U14">
        <f>IFERROR(Tabla_producción_serigrafia[[#This Row],[CANTIDAD PRODUCIDA]]+Tabla_producción_serigrafia[[#This Row],[CANTIDAD RECHAZADA]],0)</f>
        <v>6053</v>
      </c>
    </row>
    <row r="15" spans="1:29" x14ac:dyDescent="0.25">
      <c r="A15" s="10">
        <v>46042</v>
      </c>
      <c r="B15" s="10" t="s">
        <v>58</v>
      </c>
      <c r="C15" s="1" t="s">
        <v>68</v>
      </c>
      <c r="D15" s="9">
        <v>0.33333333333333331</v>
      </c>
      <c r="E15" s="9">
        <v>0.34722222222222227</v>
      </c>
      <c r="F15" s="11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5" t="s">
        <v>57</v>
      </c>
      <c r="H15" s="3" t="s">
        <v>38</v>
      </c>
      <c r="I15" s="7" t="str">
        <f>IFERROR(INDEX(Tabla_control_serigrafia[PRODUCTO],MATCH(Tabla_producción_serigrafia[[#This Row],[LOTE]],Tabla_control_serigrafia[LOTE],0)),"-")</f>
        <v>-</v>
      </c>
      <c r="J15" t="str">
        <f>IFERROR(INDEX(Tabla_control_serigrafia[FORMATO DE FRASCO],MATCH(Tabla_producción_serigrafia[[#This Row],[LOTE]],Tabla_control_serigrafia[LOTE],0)),"-")</f>
        <v>-</v>
      </c>
      <c r="K15" t="str">
        <f>IFERROR(INDEX(Tabla_control_serigrafia[TIPO DE FRASCO],MATCH(Tabla_producción_serigrafia[[#This Row],[LOTE]],Tabla_control_serigrafia[LOTE],0)),"-")</f>
        <v>-</v>
      </c>
      <c r="L15" t="str">
        <f>IF(Tabla_producción_serigrafia[[#This Row],[ACCIÓN]]="PRODUCCIÓN",Tabla_producción_serigrafia[[#This Row],[FORMATO DE FRASCO]]&amp;" "&amp;Tabla_producción_serigrafia[[#This Row],[TIPO DE FRASCO]],"-")</f>
        <v>-</v>
      </c>
      <c r="M15" s="12" t="str">
        <f>IFERROR(INDEX(Tabla_control_serigrafia[CANTIDAD PEDIDA],MATCH(Tabla_producción_serigrafia[[#This Row],[LOTE]],Tabla_control_serigrafia[LOTE],0)),"-")</f>
        <v>-</v>
      </c>
      <c r="N15" s="3">
        <v>0</v>
      </c>
      <c r="O15" s="3">
        <v>0</v>
      </c>
      <c r="P15" s="3">
        <v>0</v>
      </c>
      <c r="Q1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5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5" t="s">
        <v>63</v>
      </c>
      <c r="T15" t="str">
        <f>UPPER(LEFT(TEXT(Tabla_producción_serigrafia[[#This Row],[FECHA]],"mmm"),3))</f>
        <v>ENE</v>
      </c>
      <c r="U15">
        <f>IFERROR(Tabla_producción_serigrafia[[#This Row],[CANTIDAD PRODUCIDA]]+Tabla_producción_serigrafia[[#This Row],[CANTIDAD RECHAZADA]],0)</f>
        <v>0</v>
      </c>
    </row>
    <row r="16" spans="1:29" x14ac:dyDescent="0.25">
      <c r="A16" s="10">
        <v>46042</v>
      </c>
      <c r="B16" s="10" t="s">
        <v>58</v>
      </c>
      <c r="C16" s="1" t="s">
        <v>68</v>
      </c>
      <c r="D16" s="9">
        <v>0.34722222222222227</v>
      </c>
      <c r="E16" s="9">
        <v>0.5</v>
      </c>
      <c r="F16" s="11">
        <f>ROUND((Tabla_producción_serigrafia[[#This Row],[FIN]]-Tabla_producción_serigrafia[[#This Row],[INICIO]]+(Tabla_producción_serigrafia[[#This Row],[FIN]]&lt;Tabla_producción_serigrafia[[#This Row],[INICIO]]))*24,2)</f>
        <v>3.67</v>
      </c>
      <c r="G16" t="s">
        <v>56</v>
      </c>
      <c r="H16" s="3">
        <v>12667</v>
      </c>
      <c r="I16" s="7" t="str">
        <f>IFERROR(INDEX(Tabla_control_serigrafia[PRODUCTO],MATCH(Tabla_producción_serigrafia[[#This Row],[LOTE]],Tabla_control_serigrafia[LOTE],0)),"-")</f>
        <v>IFASAN 10% X 30 ML LOCION</v>
      </c>
      <c r="J16" t="str">
        <f>IFERROR(INDEX(Tabla_control_serigrafia[FORMATO DE FRASCO],MATCH(Tabla_producción_serigrafia[[#This Row],[LOTE]],Tabla_control_serigrafia[LOTE],0)),"-")</f>
        <v>30 ML</v>
      </c>
      <c r="K16" t="str">
        <f>IFERROR(INDEX(Tabla_control_serigrafia[TIPO DE FRASCO],MATCH(Tabla_producción_serigrafia[[#This Row],[LOTE]],Tabla_control_serigrafia[LOTE],0)),"-")</f>
        <v>FRASCO BLANCO</v>
      </c>
      <c r="L16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6" s="12">
        <f>IFERROR(INDEX(Tabla_control_serigrafia[CANTIDAD PEDIDA],MATCH(Tabla_producción_serigrafia[[#This Row],[LOTE]],Tabla_control_serigrafia[LOTE],0)),"-")</f>
        <v>15000</v>
      </c>
      <c r="N16" s="3">
        <f>15000-6000</f>
        <v>9000</v>
      </c>
      <c r="O16" s="3">
        <v>409</v>
      </c>
      <c r="P16" s="3" t="s">
        <v>62</v>
      </c>
      <c r="Q1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9000</v>
      </c>
      <c r="R16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18</v>
      </c>
      <c r="S16" t="s">
        <v>38</v>
      </c>
      <c r="T16" t="str">
        <f>UPPER(LEFT(TEXT(Tabla_producción_serigrafia[[#This Row],[FECHA]],"mmm"),3))</f>
        <v>ENE</v>
      </c>
      <c r="U16">
        <f>IFERROR(Tabla_producción_serigrafia[[#This Row],[CANTIDAD PRODUCIDA]]+Tabla_producción_serigrafia[[#This Row],[CANTIDAD RECHAZADA]],0)</f>
        <v>9409</v>
      </c>
    </row>
    <row r="17" spans="1:21" x14ac:dyDescent="0.25">
      <c r="A17" s="10">
        <v>46042</v>
      </c>
      <c r="B17" s="10" t="s">
        <v>58</v>
      </c>
      <c r="C17" s="1" t="s">
        <v>68</v>
      </c>
      <c r="D17" s="9">
        <v>0.5</v>
      </c>
      <c r="E17" s="9">
        <v>0.60416666666666663</v>
      </c>
      <c r="F17" s="11">
        <f>ROUND((Tabla_producción_serigrafia[[#This Row],[FIN]]-Tabla_producción_serigrafia[[#This Row],[INICIO]]+(Tabla_producción_serigrafia[[#This Row],[FIN]]&lt;Tabla_producción_serigrafia[[#This Row],[INICIO]]))*24,2)</f>
        <v>2.5</v>
      </c>
      <c r="G17" t="s">
        <v>64</v>
      </c>
      <c r="H17" s="3" t="s">
        <v>38</v>
      </c>
      <c r="I17" s="7" t="str">
        <f>IFERROR(INDEX(Tabla_control_serigrafia[PRODUCTO],MATCH(Tabla_producción_serigrafia[[#This Row],[LOTE]],Tabla_control_serigrafia[LOTE],0)),"-")</f>
        <v>-</v>
      </c>
      <c r="J17" t="str">
        <f>IFERROR(INDEX(Tabla_control_serigrafia[FORMATO DE FRASCO],MATCH(Tabla_producción_serigrafia[[#This Row],[LOTE]],Tabla_control_serigrafia[LOTE],0)),"-")</f>
        <v>-</v>
      </c>
      <c r="K17" t="str">
        <f>IFERROR(INDEX(Tabla_control_serigrafia[TIPO DE FRASCO],MATCH(Tabla_producción_serigrafia[[#This Row],[LOTE]],Tabla_control_serigrafia[LOTE],0)),"-")</f>
        <v>-</v>
      </c>
      <c r="L17" t="str">
        <f>IF(Tabla_producción_serigrafia[[#This Row],[ACCIÓN]]="PRODUCCIÓN",Tabla_producción_serigrafia[[#This Row],[FORMATO DE FRASCO]]&amp;" "&amp;Tabla_producción_serigrafia[[#This Row],[TIPO DE FRASCO]],"-")</f>
        <v>-</v>
      </c>
      <c r="M17" s="12" t="str">
        <f>IFERROR(INDEX(Tabla_control_serigrafia[CANTIDAD PEDIDA],MATCH(Tabla_producción_serigrafia[[#This Row],[LOTE]],Tabla_control_serigrafia[LOTE],0)),"-")</f>
        <v>-</v>
      </c>
      <c r="N17" s="3">
        <v>0</v>
      </c>
      <c r="O17" s="3">
        <v>0</v>
      </c>
      <c r="P17" s="3">
        <v>0</v>
      </c>
      <c r="Q1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7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7" t="s">
        <v>71</v>
      </c>
      <c r="T17" t="str">
        <f>UPPER(LEFT(TEXT(Tabla_producción_serigrafia[[#This Row],[FECHA]],"mmm"),3))</f>
        <v>ENE</v>
      </c>
      <c r="U17">
        <f>IFERROR(Tabla_producción_serigrafia[[#This Row],[CANTIDAD PRODUCIDA]]+Tabla_producción_serigrafia[[#This Row],[CANTIDAD RECHAZADA]],0)</f>
        <v>0</v>
      </c>
    </row>
    <row r="18" spans="1:21" x14ac:dyDescent="0.25">
      <c r="A18" s="10">
        <v>46042</v>
      </c>
      <c r="B18" s="10" t="s">
        <v>58</v>
      </c>
      <c r="C18" s="1" t="s">
        <v>68</v>
      </c>
      <c r="D18" s="9">
        <v>0.60416666666666663</v>
      </c>
      <c r="E18" s="9">
        <v>0.625</v>
      </c>
      <c r="F18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18" t="s">
        <v>57</v>
      </c>
      <c r="H18" s="3" t="s">
        <v>38</v>
      </c>
      <c r="I18" s="7" t="str">
        <f>IFERROR(INDEX(Tabla_control_serigrafia[PRODUCTO],MATCH(Tabla_producción_serigrafia[[#This Row],[LOTE]],Tabla_control_serigrafia[LOTE],0)),"-")</f>
        <v>-</v>
      </c>
      <c r="J18" t="str">
        <f>IFERROR(INDEX(Tabla_control_serigrafia[FORMATO DE FRASCO],MATCH(Tabla_producción_serigrafia[[#This Row],[LOTE]],Tabla_control_serigrafia[LOTE],0)),"-")</f>
        <v>-</v>
      </c>
      <c r="K18" t="str">
        <f>IFERROR(INDEX(Tabla_control_serigrafia[TIPO DE FRASCO],MATCH(Tabla_producción_serigrafia[[#This Row],[LOTE]],Tabla_control_serigrafia[LOTE],0)),"-")</f>
        <v>-</v>
      </c>
      <c r="L18" t="str">
        <f>IF(Tabla_producción_serigrafia[[#This Row],[ACCIÓN]]="PRODUCCIÓN",Tabla_producción_serigrafia[[#This Row],[FORMATO DE FRASCO]]&amp;" "&amp;Tabla_producción_serigrafia[[#This Row],[TIPO DE FRASCO]],"-")</f>
        <v>-</v>
      </c>
      <c r="M18" s="12" t="str">
        <f>IFERROR(INDEX(Tabla_control_serigrafia[CANTIDAD PEDIDA],MATCH(Tabla_producción_serigrafia[[#This Row],[LOTE]],Tabla_control_serigrafia[LOTE],0)),"-")</f>
        <v>-</v>
      </c>
      <c r="N18" s="3">
        <v>0</v>
      </c>
      <c r="O18" s="3">
        <v>0</v>
      </c>
      <c r="P18" s="3">
        <v>0</v>
      </c>
      <c r="Q1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8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8" t="s">
        <v>38</v>
      </c>
      <c r="T18" t="str">
        <f>UPPER(LEFT(TEXT(Tabla_producción_serigrafia[[#This Row],[FECHA]],"mmm"),3))</f>
        <v>ENE</v>
      </c>
      <c r="U18">
        <f>IFERROR(Tabla_producción_serigrafia[[#This Row],[CANTIDAD PRODUCIDA]]+Tabla_producción_serigrafia[[#This Row],[CANTIDAD RECHAZADA]],0)</f>
        <v>0</v>
      </c>
    </row>
    <row r="19" spans="1:21" x14ac:dyDescent="0.25">
      <c r="A19" s="10">
        <v>46042</v>
      </c>
      <c r="B19" s="10" t="s">
        <v>58</v>
      </c>
      <c r="C19" s="1" t="s">
        <v>65</v>
      </c>
      <c r="D19" s="9">
        <v>0.625</v>
      </c>
      <c r="E19" s="9">
        <v>0.91666666666666663</v>
      </c>
      <c r="F19" s="11">
        <f>ROUND((Tabla_producción_serigrafia[[#This Row],[FIN]]-Tabla_producción_serigrafia[[#This Row],[INICIO]]+(Tabla_producción_serigrafia[[#This Row],[FIN]]&lt;Tabla_producción_serigrafia[[#This Row],[INICIO]]))*24,2)</f>
        <v>7</v>
      </c>
      <c r="G19" t="s">
        <v>56</v>
      </c>
      <c r="H19" s="3">
        <v>12683</v>
      </c>
      <c r="I19" s="7" t="str">
        <f>IFERROR(INDEX(Tabla_control_serigrafia[PRODUCTO],MATCH(Tabla_producción_serigrafia[[#This Row],[LOTE]],Tabla_control_serigrafia[LOTE],0)),"-")</f>
        <v>MEBENDAZOL 100 MG X 30 ML SUSP.</v>
      </c>
      <c r="J19" t="str">
        <f>IFERROR(INDEX(Tabla_control_serigrafia[FORMATO DE FRASCO],MATCH(Tabla_producción_serigrafia[[#This Row],[LOTE]],Tabla_control_serigrafia[LOTE],0)),"-")</f>
        <v>40 ML</v>
      </c>
      <c r="K19" t="str">
        <f>IFERROR(INDEX(Tabla_control_serigrafia[TIPO DE FRASCO],MATCH(Tabla_producción_serigrafia[[#This Row],[LOTE]],Tabla_control_serigrafia[LOTE],0)),"-")</f>
        <v>FRASCO BLANCO</v>
      </c>
      <c r="L19" t="str">
        <f>IF(Tabla_producción_serigrafia[[#This Row],[ACCIÓN]]="PRODUCCIÓN",Tabla_producción_serigrafia[[#This Row],[FORMATO DE FRASCO]]&amp;" "&amp;Tabla_producción_serigrafia[[#This Row],[TIPO DE FRASCO]],"-")</f>
        <v>40 ML FRASCO BLANCO</v>
      </c>
      <c r="M19" s="12">
        <f>IFERROR(INDEX(Tabla_control_serigrafia[CANTIDAD PEDIDA],MATCH(Tabla_producción_serigrafia[[#This Row],[LOTE]],Tabla_control_serigrafia[LOTE],0)),"-")</f>
        <v>11400</v>
      </c>
      <c r="N19" s="3">
        <v>11500</v>
      </c>
      <c r="O19" s="3">
        <v>409</v>
      </c>
      <c r="P19" s="3" t="s">
        <v>62</v>
      </c>
      <c r="Q1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11500</v>
      </c>
      <c r="R19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18</v>
      </c>
      <c r="S19" t="s">
        <v>38</v>
      </c>
      <c r="T19" t="str">
        <f>UPPER(LEFT(TEXT(Tabla_producción_serigrafia[[#This Row],[FECHA]],"mmm"),3))</f>
        <v>ENE</v>
      </c>
      <c r="U19">
        <f>IFERROR(Tabla_producción_serigrafia[[#This Row],[CANTIDAD PRODUCIDA]]+Tabla_producción_serigrafia[[#This Row],[CANTIDAD RECHAZADA]],0)</f>
        <v>11909</v>
      </c>
    </row>
    <row r="20" spans="1:21" x14ac:dyDescent="0.25">
      <c r="A20" s="10">
        <v>46043</v>
      </c>
      <c r="B20" s="10" t="s">
        <v>58</v>
      </c>
      <c r="C20" s="1" t="s">
        <v>68</v>
      </c>
      <c r="D20" s="9">
        <v>0.33333333333333331</v>
      </c>
      <c r="E20" s="9">
        <v>0.54166666666666663</v>
      </c>
      <c r="F20" s="11">
        <f>ROUND((Tabla_producción_serigrafia[[#This Row],[FIN]]-Tabla_producción_serigrafia[[#This Row],[INICIO]]+(Tabla_producción_serigrafia[[#This Row],[FIN]]&lt;Tabla_producción_serigrafia[[#This Row],[INICIO]]))*24,2)</f>
        <v>5</v>
      </c>
      <c r="G20" t="s">
        <v>64</v>
      </c>
      <c r="H20" s="3" t="s">
        <v>38</v>
      </c>
      <c r="I20" s="7" t="str">
        <f>IFERROR(INDEX(Tabla_control_serigrafia[PRODUCTO],MATCH(Tabla_producción_serigrafia[[#This Row],[LOTE]],Tabla_control_serigrafia[LOTE],0)),"-")</f>
        <v>-</v>
      </c>
      <c r="J20" t="str">
        <f>IFERROR(INDEX(Tabla_control_serigrafia[FORMATO DE FRASCO],MATCH(Tabla_producción_serigrafia[[#This Row],[LOTE]],Tabla_control_serigrafia[LOTE],0)),"-")</f>
        <v>-</v>
      </c>
      <c r="K20" t="str">
        <f>IFERROR(INDEX(Tabla_control_serigrafia[TIPO DE FRASCO],MATCH(Tabla_producción_serigrafia[[#This Row],[LOTE]],Tabla_control_serigrafia[LOTE],0)),"-")</f>
        <v>-</v>
      </c>
      <c r="L20" t="str">
        <f>IF(Tabla_producción_serigrafia[[#This Row],[ACCIÓN]]="PRODUCCIÓN",Tabla_producción_serigrafia[[#This Row],[FORMATO DE FRASCO]]&amp;" "&amp;Tabla_producción_serigrafia[[#This Row],[TIPO DE FRASCO]],"-")</f>
        <v>-</v>
      </c>
      <c r="M20" s="12" t="str">
        <f>IFERROR(INDEX(Tabla_control_serigrafia[CANTIDAD PEDIDA],MATCH(Tabla_producción_serigrafia[[#This Row],[LOTE]],Tabla_control_serigrafia[LOTE],0)),"-")</f>
        <v>-</v>
      </c>
      <c r="N20" s="3">
        <v>0</v>
      </c>
      <c r="O20" s="3">
        <v>0</v>
      </c>
      <c r="P20" s="3">
        <v>0</v>
      </c>
      <c r="Q2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0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" t="s">
        <v>72</v>
      </c>
      <c r="T20" t="str">
        <f>UPPER(LEFT(TEXT(Tabla_producción_serigrafia[[#This Row],[FECHA]],"mmm"),3))</f>
        <v>ENE</v>
      </c>
      <c r="U20">
        <f>IFERROR(Tabla_producción_serigrafia[[#This Row],[CANTIDAD PRODUCIDA]]+Tabla_producción_serigrafia[[#This Row],[CANTIDAD RECHAZADA]],0)</f>
        <v>0</v>
      </c>
    </row>
    <row r="21" spans="1:21" x14ac:dyDescent="0.25">
      <c r="A21" s="10">
        <v>46043</v>
      </c>
      <c r="B21" s="10" t="s">
        <v>58</v>
      </c>
      <c r="C21" s="1" t="s">
        <v>68</v>
      </c>
      <c r="D21" s="9">
        <v>0.54166666666666663</v>
      </c>
      <c r="E21" s="9">
        <v>0.5625</v>
      </c>
      <c r="F21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21" t="s">
        <v>57</v>
      </c>
      <c r="H21" s="3" t="s">
        <v>38</v>
      </c>
      <c r="I21" s="7" t="str">
        <f>IFERROR(INDEX(Tabla_control_serigrafia[PRODUCTO],MATCH(Tabla_producción_serigrafia[[#This Row],[LOTE]],Tabla_control_serigrafia[LOTE],0)),"-")</f>
        <v>-</v>
      </c>
      <c r="J21" t="str">
        <f>IFERROR(INDEX(Tabla_control_serigrafia[FORMATO DE FRASCO],MATCH(Tabla_producción_serigrafia[[#This Row],[LOTE]],Tabla_control_serigrafia[LOTE],0)),"-")</f>
        <v>-</v>
      </c>
      <c r="K21" t="str">
        <f>IFERROR(INDEX(Tabla_control_serigrafia[TIPO DE FRASCO],MATCH(Tabla_producción_serigrafia[[#This Row],[LOTE]],Tabla_control_serigrafia[LOTE],0)),"-")</f>
        <v>-</v>
      </c>
      <c r="L21" t="str">
        <f>IF(Tabla_producción_serigrafia[[#This Row],[ACCIÓN]]="PRODUCCIÓN",Tabla_producción_serigrafia[[#This Row],[FORMATO DE FRASCO]]&amp;" "&amp;Tabla_producción_serigrafia[[#This Row],[TIPO DE FRASCO]],"-")</f>
        <v>-</v>
      </c>
      <c r="M21" s="12" t="str">
        <f>IFERROR(INDEX(Tabla_control_serigrafia[CANTIDAD PEDIDA],MATCH(Tabla_producción_serigrafia[[#This Row],[LOTE]],Tabla_control_serigrafia[LOTE],0)),"-")</f>
        <v>-</v>
      </c>
      <c r="N21" s="3">
        <v>0</v>
      </c>
      <c r="O21" s="3">
        <v>0</v>
      </c>
      <c r="P21" s="3">
        <v>0</v>
      </c>
      <c r="Q2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1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" t="s">
        <v>63</v>
      </c>
      <c r="T21" t="str">
        <f>UPPER(LEFT(TEXT(Tabla_producción_serigrafia[[#This Row],[FECHA]],"mmm"),3))</f>
        <v>ENE</v>
      </c>
      <c r="U21">
        <f>IFERROR(Tabla_producción_serigrafia[[#This Row],[CANTIDAD PRODUCIDA]]+Tabla_producción_serigrafia[[#This Row],[CANTIDAD RECHAZADA]],0)</f>
        <v>0</v>
      </c>
    </row>
    <row r="22" spans="1:21" x14ac:dyDescent="0.25">
      <c r="A22" s="10">
        <v>46043</v>
      </c>
      <c r="B22" s="10" t="s">
        <v>58</v>
      </c>
      <c r="C22" s="1" t="s">
        <v>68</v>
      </c>
      <c r="D22" s="9">
        <v>0.58333333333333337</v>
      </c>
      <c r="E22" s="9">
        <v>0.625</v>
      </c>
      <c r="F22" s="11">
        <f>ROUND((Tabla_producción_serigrafia[[#This Row],[FIN]]-Tabla_producción_serigrafia[[#This Row],[INICIO]]+(Tabla_producción_serigrafia[[#This Row],[FIN]]&lt;Tabla_producción_serigrafia[[#This Row],[INICIO]]))*24,2)</f>
        <v>1</v>
      </c>
      <c r="G22" t="s">
        <v>56</v>
      </c>
      <c r="H22" s="3">
        <v>4126</v>
      </c>
      <c r="I22" s="7" t="str">
        <f>IFERROR(INDEX(Tabla_control_serigrafia[PRODUCTO],MATCH(Tabla_producción_serigrafia[[#This Row],[LOTE]],Tabla_control_serigrafia[LOTE],0)),"-")</f>
        <v>AMOXICILINA 250 MG + ACIDO CLAVULANICO 62,5 MG. X 60 ML POLVO PARA SUSP. VETERINARIO</v>
      </c>
      <c r="J22" t="str">
        <f>IFERROR(INDEX(Tabla_control_serigrafia[FORMATO DE FRASCO],MATCH(Tabla_producción_serigrafia[[#This Row],[LOTE]],Tabla_control_serigrafia[LOTE],0)),"-")</f>
        <v>120 ML</v>
      </c>
      <c r="K22" t="str">
        <f>IFERROR(INDEX(Tabla_control_serigrafia[TIPO DE FRASCO],MATCH(Tabla_producción_serigrafia[[#This Row],[LOTE]],Tabla_control_serigrafia[LOTE],0)),"-")</f>
        <v>FRASCO NATURAL</v>
      </c>
      <c r="L22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22" s="12">
        <f>IFERROR(INDEX(Tabla_control_serigrafia[CANTIDAD PEDIDA],MATCH(Tabla_producción_serigrafia[[#This Row],[LOTE]],Tabla_control_serigrafia[LOTE],0)),"-")</f>
        <v>1500</v>
      </c>
      <c r="N22" s="3">
        <v>1600</v>
      </c>
      <c r="O22" s="3">
        <v>160</v>
      </c>
      <c r="P22" s="3" t="s">
        <v>62</v>
      </c>
      <c r="Q2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1600</v>
      </c>
      <c r="R22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19</v>
      </c>
      <c r="S22" t="s">
        <v>38</v>
      </c>
      <c r="T22" t="str">
        <f>UPPER(LEFT(TEXT(Tabla_producción_serigrafia[[#This Row],[FECHA]],"mmm"),3))</f>
        <v>ENE</v>
      </c>
      <c r="U22">
        <f>IFERROR(Tabla_producción_serigrafia[[#This Row],[CANTIDAD PRODUCIDA]]+Tabla_producción_serigrafia[[#This Row],[CANTIDAD RECHAZADA]],0)</f>
        <v>1760</v>
      </c>
    </row>
    <row r="23" spans="1:21" x14ac:dyDescent="0.25">
      <c r="A23" s="10">
        <v>46043</v>
      </c>
      <c r="B23" s="10" t="s">
        <v>58</v>
      </c>
      <c r="C23" s="1" t="s">
        <v>68</v>
      </c>
      <c r="D23" s="9">
        <v>0.625</v>
      </c>
      <c r="E23" s="9">
        <v>0.64583333333333337</v>
      </c>
      <c r="F23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23" t="s">
        <v>57</v>
      </c>
      <c r="H23" s="3" t="s">
        <v>38</v>
      </c>
      <c r="I23" s="7" t="str">
        <f>IFERROR(INDEX(Tabla_control_serigrafia[PRODUCTO],MATCH(Tabla_producción_serigrafia[[#This Row],[LOTE]],Tabla_control_serigrafia[LOTE],0)),"-")</f>
        <v>-</v>
      </c>
      <c r="J23" t="str">
        <f>IFERROR(INDEX(Tabla_control_serigrafia[FORMATO DE FRASCO],MATCH(Tabla_producción_serigrafia[[#This Row],[LOTE]],Tabla_control_serigrafia[LOTE],0)),"-")</f>
        <v>-</v>
      </c>
      <c r="K23" t="str">
        <f>IFERROR(INDEX(Tabla_control_serigrafia[TIPO DE FRASCO],MATCH(Tabla_producción_serigrafia[[#This Row],[LOTE]],Tabla_control_serigrafia[LOTE],0)),"-")</f>
        <v>-</v>
      </c>
      <c r="L23" t="str">
        <f>IF(Tabla_producción_serigrafia[[#This Row],[ACCIÓN]]="PRODUCCIÓN",Tabla_producción_serigrafia[[#This Row],[FORMATO DE FRASCO]]&amp;" "&amp;Tabla_producción_serigrafia[[#This Row],[TIPO DE FRASCO]],"-")</f>
        <v>-</v>
      </c>
      <c r="M23" s="12" t="str">
        <f>IFERROR(INDEX(Tabla_control_serigrafia[CANTIDAD PEDIDA],MATCH(Tabla_producción_serigrafia[[#This Row],[LOTE]],Tabla_control_serigrafia[LOTE],0)),"-")</f>
        <v>-</v>
      </c>
      <c r="N23" s="3">
        <v>0</v>
      </c>
      <c r="O23" s="3">
        <v>0</v>
      </c>
      <c r="P23" s="3">
        <v>0</v>
      </c>
      <c r="Q2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3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3" t="s">
        <v>63</v>
      </c>
      <c r="T23" t="str">
        <f>UPPER(LEFT(TEXT(Tabla_producción_serigrafia[[#This Row],[FECHA]],"mmm"),3))</f>
        <v>ENE</v>
      </c>
      <c r="U23">
        <f>IFERROR(Tabla_producción_serigrafia[[#This Row],[CANTIDAD PRODUCIDA]]+Tabla_producción_serigrafia[[#This Row],[CANTIDAD RECHAZADA]],0)</f>
        <v>0</v>
      </c>
    </row>
    <row r="24" spans="1:21" x14ac:dyDescent="0.25">
      <c r="A24" s="10">
        <v>46043</v>
      </c>
      <c r="B24" s="10" t="s">
        <v>58</v>
      </c>
      <c r="C24" s="1" t="s">
        <v>68</v>
      </c>
      <c r="D24" s="9">
        <v>0.64583333333333337</v>
      </c>
      <c r="E24" s="9">
        <v>0.72916666666666663</v>
      </c>
      <c r="F24" s="11">
        <f>ROUND((Tabla_producción_serigrafia[[#This Row],[FIN]]-Tabla_producción_serigrafia[[#This Row],[INICIO]]+(Tabla_producción_serigrafia[[#This Row],[FIN]]&lt;Tabla_producción_serigrafia[[#This Row],[INICIO]]))*24,2)</f>
        <v>2</v>
      </c>
      <c r="G24" t="s">
        <v>56</v>
      </c>
      <c r="H24" s="3">
        <v>5126</v>
      </c>
      <c r="I24" s="7" t="str">
        <f>IFERROR(INDEX(Tabla_control_serigrafia[PRODUCTO],MATCH(Tabla_producción_serigrafia[[#This Row],[LOTE]],Tabla_control_serigrafia[LOTE],0)),"-")</f>
        <v>SULTRIN FORTE 400/80 MG X 100 ML SUSP. VETERINARIO</v>
      </c>
      <c r="J24" t="str">
        <f>IFERROR(INDEX(Tabla_control_serigrafia[FORMATO DE FRASCO],MATCH(Tabla_producción_serigrafia[[#This Row],[LOTE]],Tabla_control_serigrafia[LOTE],0)),"-")</f>
        <v>120 ML</v>
      </c>
      <c r="K24" t="str">
        <f>IFERROR(INDEX(Tabla_control_serigrafia[TIPO DE FRASCO],MATCH(Tabla_producción_serigrafia[[#This Row],[LOTE]],Tabla_control_serigrafia[LOTE],0)),"-")</f>
        <v>FRASCO BLANCO</v>
      </c>
      <c r="L24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4" s="12">
        <f>IFERROR(INDEX(Tabla_control_serigrafia[CANTIDAD PEDIDA],MATCH(Tabla_producción_serigrafia[[#This Row],[LOTE]],Tabla_control_serigrafia[LOTE],0)),"-")</f>
        <v>4902</v>
      </c>
      <c r="N24" s="3">
        <v>5000</v>
      </c>
      <c r="O24" s="3">
        <v>290</v>
      </c>
      <c r="P24" s="3" t="s">
        <v>62</v>
      </c>
      <c r="Q2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5000</v>
      </c>
      <c r="R24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19</v>
      </c>
      <c r="S24" t="s">
        <v>38</v>
      </c>
      <c r="T24" t="str">
        <f>UPPER(LEFT(TEXT(Tabla_producción_serigrafia[[#This Row],[FECHA]],"mmm"),3))</f>
        <v>ENE</v>
      </c>
      <c r="U24">
        <f>IFERROR(Tabla_producción_serigrafia[[#This Row],[CANTIDAD PRODUCIDA]]+Tabla_producción_serigrafia[[#This Row],[CANTIDAD RECHAZADA]],0)</f>
        <v>5290</v>
      </c>
    </row>
    <row r="25" spans="1:21" x14ac:dyDescent="0.25">
      <c r="A25" s="10">
        <v>46043</v>
      </c>
      <c r="B25" s="10" t="s">
        <v>58</v>
      </c>
      <c r="C25" s="1" t="s">
        <v>68</v>
      </c>
      <c r="D25" s="9">
        <v>0.72916666666666663</v>
      </c>
      <c r="E25" s="9">
        <v>0.75</v>
      </c>
      <c r="F25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25" t="s">
        <v>57</v>
      </c>
      <c r="H25" s="3" t="s">
        <v>38</v>
      </c>
      <c r="I25" s="7" t="str">
        <f>IFERROR(INDEX(Tabla_control_serigrafia[PRODUCTO],MATCH(Tabla_producción_serigrafia[[#This Row],[LOTE]],Tabla_control_serigrafia[LOTE],0)),"-")</f>
        <v>-</v>
      </c>
      <c r="J25" t="str">
        <f>IFERROR(INDEX(Tabla_control_serigrafia[FORMATO DE FRASCO],MATCH(Tabla_producción_serigrafia[[#This Row],[LOTE]],Tabla_control_serigrafia[LOTE],0)),"-")</f>
        <v>-</v>
      </c>
      <c r="K25" t="str">
        <f>IFERROR(INDEX(Tabla_control_serigrafia[TIPO DE FRASCO],MATCH(Tabla_producción_serigrafia[[#This Row],[LOTE]],Tabla_control_serigrafia[LOTE],0)),"-")</f>
        <v>-</v>
      </c>
      <c r="L25" t="str">
        <f>IF(Tabla_producción_serigrafia[[#This Row],[ACCIÓN]]="PRODUCCIÓN",Tabla_producción_serigrafia[[#This Row],[FORMATO DE FRASCO]]&amp;" "&amp;Tabla_producción_serigrafia[[#This Row],[TIPO DE FRASCO]],"-")</f>
        <v>-</v>
      </c>
      <c r="M25" s="12" t="str">
        <f>IFERROR(INDEX(Tabla_control_serigrafia[CANTIDAD PEDIDA],MATCH(Tabla_producción_serigrafia[[#This Row],[LOTE]],Tabla_control_serigrafia[LOTE],0)),"-")</f>
        <v>-</v>
      </c>
      <c r="N25" s="3">
        <v>0</v>
      </c>
      <c r="O25" s="3">
        <v>0</v>
      </c>
      <c r="P25" s="3">
        <v>0</v>
      </c>
      <c r="Q2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5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" t="s">
        <v>63</v>
      </c>
      <c r="T25" t="str">
        <f>UPPER(LEFT(TEXT(Tabla_producción_serigrafia[[#This Row],[FECHA]],"mmm"),3))</f>
        <v>ENE</v>
      </c>
      <c r="U25">
        <f>IFERROR(Tabla_producción_serigrafia[[#This Row],[CANTIDAD PRODUCIDA]]+Tabla_producción_serigrafia[[#This Row],[CANTIDAD RECHAZADA]],0)</f>
        <v>0</v>
      </c>
    </row>
    <row r="26" spans="1:21" x14ac:dyDescent="0.25">
      <c r="A26" s="10">
        <v>46043</v>
      </c>
      <c r="B26" s="10" t="s">
        <v>58</v>
      </c>
      <c r="C26" s="1" t="s">
        <v>65</v>
      </c>
      <c r="D26" s="9">
        <v>0.75</v>
      </c>
      <c r="E26" s="9">
        <v>0.91666666666666663</v>
      </c>
      <c r="F26" s="11">
        <f>ROUND((Tabla_producción_serigrafia[[#This Row],[FIN]]-Tabla_producción_serigrafia[[#This Row],[INICIO]]+(Tabla_producción_serigrafia[[#This Row],[FIN]]&lt;Tabla_producción_serigrafia[[#This Row],[INICIO]]))*24,2)</f>
        <v>4</v>
      </c>
      <c r="G26" t="s">
        <v>56</v>
      </c>
      <c r="H26" s="3">
        <v>12676</v>
      </c>
      <c r="I26" s="7" t="str">
        <f>IFERROR(INDEX(Tabla_control_serigrafia[PRODUCTO],MATCH(Tabla_producción_serigrafia[[#This Row],[LOTE]],Tabla_control_serigrafia[LOTE],0)),"-")</f>
        <v>IBUPROFENO 100 MG X 100 ML SUSP.</v>
      </c>
      <c r="J26" t="str">
        <f>IFERROR(INDEX(Tabla_control_serigrafia[FORMATO DE FRASCO],MATCH(Tabla_producción_serigrafia[[#This Row],[LOTE]],Tabla_control_serigrafia[LOTE],0)),"-")</f>
        <v>120 ML</v>
      </c>
      <c r="K26" t="str">
        <f>IFERROR(INDEX(Tabla_control_serigrafia[TIPO DE FRASCO],MATCH(Tabla_producción_serigrafia[[#This Row],[LOTE]],Tabla_control_serigrafia[LOTE],0)),"-")</f>
        <v>FRASCO BLANCO</v>
      </c>
      <c r="L26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6" s="12">
        <f>IFERROR(INDEX(Tabla_control_serigrafia[CANTIDAD PEDIDA],MATCH(Tabla_producción_serigrafia[[#This Row],[LOTE]],Tabla_control_serigrafia[LOTE],0)),"-")</f>
        <v>23529</v>
      </c>
      <c r="N26" s="3">
        <v>10000</v>
      </c>
      <c r="O26" s="3">
        <v>100</v>
      </c>
      <c r="P26" s="3" t="s">
        <v>178</v>
      </c>
      <c r="Q2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26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6" t="s">
        <v>38</v>
      </c>
      <c r="T26" t="str">
        <f>UPPER(LEFT(TEXT(Tabla_producción_serigrafia[[#This Row],[FECHA]],"mmm"),3))</f>
        <v>ENE</v>
      </c>
      <c r="U26">
        <f>IFERROR(Tabla_producción_serigrafia[[#This Row],[CANTIDAD PRODUCIDA]]+Tabla_producción_serigrafia[[#This Row],[CANTIDAD RECHAZADA]],0)</f>
        <v>10100</v>
      </c>
    </row>
    <row r="27" spans="1:21" x14ac:dyDescent="0.25">
      <c r="A27" s="10">
        <v>46044</v>
      </c>
      <c r="B27" s="10" t="s">
        <v>58</v>
      </c>
      <c r="C27" s="1" t="s">
        <v>68</v>
      </c>
      <c r="D27" s="9">
        <v>0.33333333333333331</v>
      </c>
      <c r="E27" s="13">
        <v>0.35416666666666669</v>
      </c>
      <c r="F27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27" s="7" t="s">
        <v>57</v>
      </c>
      <c r="H27" s="3" t="s">
        <v>38</v>
      </c>
      <c r="I27" s="7" t="str">
        <f>IFERROR(INDEX(Tabla_control_serigrafia[PRODUCTO],MATCH(Tabla_producción_serigrafia[[#This Row],[LOTE]],Tabla_control_serigrafia[LOTE],0)),"-")</f>
        <v>-</v>
      </c>
      <c r="J27" t="str">
        <f>IFERROR(INDEX(Tabla_control_serigrafia[FORMATO DE FRASCO],MATCH(Tabla_producción_serigrafia[[#This Row],[LOTE]],Tabla_control_serigrafia[LOTE],0)),"-")</f>
        <v>-</v>
      </c>
      <c r="K27" t="str">
        <f>IFERROR(INDEX(Tabla_control_serigrafia[TIPO DE FRASCO],MATCH(Tabla_producción_serigrafia[[#This Row],[LOTE]],Tabla_control_serigrafia[LOTE],0)),"-")</f>
        <v>-</v>
      </c>
      <c r="L27" t="str">
        <f>IF(Tabla_producción_serigrafia[[#This Row],[ACCIÓN]]="PRODUCCIÓN",Tabla_producción_serigrafia[[#This Row],[FORMATO DE FRASCO]]&amp;" "&amp;Tabla_producción_serigrafia[[#This Row],[TIPO DE FRASCO]],"-")</f>
        <v>-</v>
      </c>
      <c r="M27" s="3" t="str">
        <f>IFERROR(INDEX(Tabla_control_serigrafia[CANTIDAD PEDIDA],MATCH(Tabla_producción_serigrafia[[#This Row],[LOTE]],Tabla_control_serigrafia[LOTE],0)),"-")</f>
        <v>-</v>
      </c>
      <c r="N27" s="14">
        <v>0</v>
      </c>
      <c r="O27" s="3">
        <v>0</v>
      </c>
      <c r="P27" s="3">
        <v>0</v>
      </c>
      <c r="Q2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7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7" s="3" t="s">
        <v>38</v>
      </c>
      <c r="T27" t="str">
        <f>UPPER(LEFT(TEXT(Tabla_producción_serigrafia[[#This Row],[FECHA]],"mmm"),3))</f>
        <v>ENE</v>
      </c>
      <c r="U27">
        <f>IFERROR(Tabla_producción_serigrafia[[#This Row],[CANTIDAD PRODUCIDA]]+Tabla_producción_serigrafia[[#This Row],[CANTIDAD RECHAZADA]],0)</f>
        <v>0</v>
      </c>
    </row>
    <row r="28" spans="1:21" x14ac:dyDescent="0.25">
      <c r="A28" s="10">
        <v>46044</v>
      </c>
      <c r="B28" s="10" t="s">
        <v>58</v>
      </c>
      <c r="C28" s="1" t="s">
        <v>68</v>
      </c>
      <c r="D28" s="9">
        <v>0.35416666666666669</v>
      </c>
      <c r="E28" s="13">
        <v>0.60416666666666663</v>
      </c>
      <c r="F28" s="11">
        <f>ROUND((Tabla_producción_serigrafia[[#This Row],[FIN]]-Tabla_producción_serigrafia[[#This Row],[INICIO]]+(Tabla_producción_serigrafia[[#This Row],[FIN]]&lt;Tabla_producción_serigrafia[[#This Row],[INICIO]]))*24,2)</f>
        <v>6</v>
      </c>
      <c r="G28" s="7" t="s">
        <v>56</v>
      </c>
      <c r="H28" s="3">
        <v>12676</v>
      </c>
      <c r="I28" s="7" t="str">
        <f>IFERROR(INDEX(Tabla_control_serigrafia[PRODUCTO],MATCH(Tabla_producción_serigrafia[[#This Row],[LOTE]],Tabla_control_serigrafia[LOTE],0)),"-")</f>
        <v>IBUPROFENO 100 MG X 100 ML SUSP.</v>
      </c>
      <c r="J28" t="str">
        <f>IFERROR(INDEX(Tabla_control_serigrafia[FORMATO DE FRASCO],MATCH(Tabla_producción_serigrafia[[#This Row],[LOTE]],Tabla_control_serigrafia[LOTE],0)),"-")</f>
        <v>120 ML</v>
      </c>
      <c r="K28" t="str">
        <f>IFERROR(INDEX(Tabla_control_serigrafia[TIPO DE FRASCO],MATCH(Tabla_producción_serigrafia[[#This Row],[LOTE]],Tabla_control_serigrafia[LOTE],0)),"-")</f>
        <v>FRASCO BLANCO</v>
      </c>
      <c r="L28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8" s="3">
        <f>IFERROR(INDEX(Tabla_control_serigrafia[CANTIDAD PEDIDA],MATCH(Tabla_producción_serigrafia[[#This Row],[LOTE]],Tabla_control_serigrafia[LOTE],0)),"-")</f>
        <v>23529</v>
      </c>
      <c r="N28" s="14">
        <v>13700</v>
      </c>
      <c r="O28" s="3">
        <v>309</v>
      </c>
      <c r="P28" s="3" t="s">
        <v>62</v>
      </c>
      <c r="Q2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13700</v>
      </c>
      <c r="R28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20</v>
      </c>
      <c r="S28" t="s">
        <v>38</v>
      </c>
      <c r="T28" t="str">
        <f>UPPER(LEFT(TEXT(Tabla_producción_serigrafia[[#This Row],[FECHA]],"mmm"),3))</f>
        <v>ENE</v>
      </c>
      <c r="U28">
        <f>IFERROR(Tabla_producción_serigrafia[[#This Row],[CANTIDAD PRODUCIDA]]+Tabla_producción_serigrafia[[#This Row],[CANTIDAD RECHAZADA]],0)</f>
        <v>14009</v>
      </c>
    </row>
    <row r="29" spans="1:21" x14ac:dyDescent="0.25">
      <c r="A29" s="10">
        <v>46044</v>
      </c>
      <c r="B29" s="10" t="s">
        <v>58</v>
      </c>
      <c r="C29" s="1" t="s">
        <v>68</v>
      </c>
      <c r="D29" s="9">
        <v>0.60416666666666663</v>
      </c>
      <c r="E29" s="13">
        <v>0.625</v>
      </c>
      <c r="F29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29" s="7" t="s">
        <v>57</v>
      </c>
      <c r="H29" s="3" t="s">
        <v>38</v>
      </c>
      <c r="I29" s="7" t="str">
        <f>IFERROR(INDEX(Tabla_control_serigrafia[PRODUCTO],MATCH(Tabla_producción_serigrafia[[#This Row],[LOTE]],Tabla_control_serigrafia[LOTE],0)),"-")</f>
        <v>-</v>
      </c>
      <c r="J29" t="str">
        <f>IFERROR(INDEX(Tabla_control_serigrafia[FORMATO DE FRASCO],MATCH(Tabla_producción_serigrafia[[#This Row],[LOTE]],Tabla_control_serigrafia[LOTE],0)),"-")</f>
        <v>-</v>
      </c>
      <c r="K29" t="str">
        <f>IFERROR(INDEX(Tabla_control_serigrafia[TIPO DE FRASCO],MATCH(Tabla_producción_serigrafia[[#This Row],[LOTE]],Tabla_control_serigrafia[LOTE],0)),"-")</f>
        <v>-</v>
      </c>
      <c r="L29" t="str">
        <f>IF(Tabla_producción_serigrafia[[#This Row],[ACCIÓN]]="PRODUCCIÓN",Tabla_producción_serigrafia[[#This Row],[FORMATO DE FRASCO]]&amp;" "&amp;Tabla_producción_serigrafia[[#This Row],[TIPO DE FRASCO]],"-")</f>
        <v>-</v>
      </c>
      <c r="M29" s="3" t="str">
        <f>IFERROR(INDEX(Tabla_control_serigrafia[CANTIDAD PEDIDA],MATCH(Tabla_producción_serigrafia[[#This Row],[LOTE]],Tabla_control_serigrafia[LOTE],0)),"-")</f>
        <v>-</v>
      </c>
      <c r="N29" s="14">
        <v>0</v>
      </c>
      <c r="O29" s="3">
        <v>0</v>
      </c>
      <c r="P29" s="3">
        <v>0</v>
      </c>
      <c r="Q2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9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9" t="s">
        <v>38</v>
      </c>
      <c r="T29" t="str">
        <f>UPPER(LEFT(TEXT(Tabla_producción_serigrafia[[#This Row],[FECHA]],"mmm"),3))</f>
        <v>ENE</v>
      </c>
      <c r="U29">
        <f>IFERROR(Tabla_producción_serigrafia[[#This Row],[CANTIDAD PRODUCIDA]]+Tabla_producción_serigrafia[[#This Row],[CANTIDAD RECHAZADA]],0)</f>
        <v>0</v>
      </c>
    </row>
    <row r="30" spans="1:21" x14ac:dyDescent="0.25">
      <c r="A30" s="10">
        <v>46044</v>
      </c>
      <c r="B30" s="10" t="s">
        <v>58</v>
      </c>
      <c r="C30" s="1" t="s">
        <v>65</v>
      </c>
      <c r="D30" s="9">
        <v>0.625</v>
      </c>
      <c r="E30" s="13">
        <v>0.91666666666666663</v>
      </c>
      <c r="F30" s="11">
        <f>ROUND((Tabla_producción_serigrafia[[#This Row],[FIN]]-Tabla_producción_serigrafia[[#This Row],[INICIO]]+(Tabla_producción_serigrafia[[#This Row],[FIN]]&lt;Tabla_producción_serigrafia[[#This Row],[INICIO]]))*24,2)</f>
        <v>7</v>
      </c>
      <c r="G30" s="7" t="s">
        <v>56</v>
      </c>
      <c r="H30" s="3">
        <v>12677</v>
      </c>
      <c r="I30" s="7" t="str">
        <f>IFERROR(INDEX(Tabla_control_serigrafia[PRODUCTO],MATCH(Tabla_producción_serigrafia[[#This Row],[LOTE]],Tabla_control_serigrafia[LOTE],0)),"-")</f>
        <v>IBUPROFENO 100 MG X 100 ML SUSP.</v>
      </c>
      <c r="J30" t="str">
        <f>IFERROR(INDEX(Tabla_control_serigrafia[FORMATO DE FRASCO],MATCH(Tabla_producción_serigrafia[[#This Row],[LOTE]],Tabla_control_serigrafia[LOTE],0)),"-")</f>
        <v>120 ML</v>
      </c>
      <c r="K30" t="str">
        <f>IFERROR(INDEX(Tabla_control_serigrafia[TIPO DE FRASCO],MATCH(Tabla_producción_serigrafia[[#This Row],[LOTE]],Tabla_control_serigrafia[LOTE],0)),"-")</f>
        <v>FRASCO BLANCO</v>
      </c>
      <c r="L30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30" s="3">
        <f>IFERROR(INDEX(Tabla_control_serigrafia[CANTIDAD PEDIDA],MATCH(Tabla_producción_serigrafia[[#This Row],[LOTE]],Tabla_control_serigrafia[LOTE],0)),"-")</f>
        <v>23529</v>
      </c>
      <c r="N30" s="14">
        <v>15000</v>
      </c>
      <c r="O30" s="3">
        <v>150</v>
      </c>
      <c r="P30" s="3" t="s">
        <v>178</v>
      </c>
      <c r="Q3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15000</v>
      </c>
      <c r="R30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30" t="s">
        <v>38</v>
      </c>
      <c r="T30" t="str">
        <f>UPPER(LEFT(TEXT(Tabla_producción_serigrafia[[#This Row],[FECHA]],"mmm"),3))</f>
        <v>ENE</v>
      </c>
      <c r="U30">
        <f>IFERROR(Tabla_producción_serigrafia[[#This Row],[CANTIDAD PRODUCIDA]]+Tabla_producción_serigrafia[[#This Row],[CANTIDAD RECHAZADA]],0)</f>
        <v>15150</v>
      </c>
    </row>
    <row r="31" spans="1:21" x14ac:dyDescent="0.25">
      <c r="A31" s="10">
        <v>46048</v>
      </c>
      <c r="B31" s="10" t="s">
        <v>58</v>
      </c>
      <c r="C31" s="1" t="s">
        <v>68</v>
      </c>
      <c r="D31" s="9">
        <v>0.33333333333333331</v>
      </c>
      <c r="E31" s="13">
        <v>0.45833333333333331</v>
      </c>
      <c r="F31" s="11">
        <f>ROUND((Tabla_producción_serigrafia[[#This Row],[FIN]]-Tabla_producción_serigrafia[[#This Row],[INICIO]]+(Tabla_producción_serigrafia[[#This Row],[FIN]]&lt;Tabla_producción_serigrafia[[#This Row],[INICIO]]))*24,2)</f>
        <v>3</v>
      </c>
      <c r="G31" s="7" t="s">
        <v>64</v>
      </c>
      <c r="H31" s="3" t="s">
        <v>38</v>
      </c>
      <c r="I31" s="7" t="str">
        <f>IFERROR(INDEX(Tabla_control_serigrafia[PRODUCTO],MATCH(Tabla_producción_serigrafia[[#This Row],[LOTE]],Tabla_control_serigrafia[LOTE],0)),"-")</f>
        <v>-</v>
      </c>
      <c r="J31" t="str">
        <f>IFERROR(INDEX(Tabla_control_serigrafia[FORMATO DE FRASCO],MATCH(Tabla_producción_serigrafia[[#This Row],[LOTE]],Tabla_control_serigrafia[LOTE],0)),"-")</f>
        <v>-</v>
      </c>
      <c r="K31" t="str">
        <f>IFERROR(INDEX(Tabla_control_serigrafia[TIPO DE FRASCO],MATCH(Tabla_producción_serigrafia[[#This Row],[LOTE]],Tabla_control_serigrafia[LOTE],0)),"-")</f>
        <v>-</v>
      </c>
      <c r="L31" t="str">
        <f>IF(Tabla_producción_serigrafia[[#This Row],[ACCIÓN]]="PRODUCCIÓN",Tabla_producción_serigrafia[[#This Row],[FORMATO DE FRASCO]]&amp;" "&amp;Tabla_producción_serigrafia[[#This Row],[TIPO DE FRASCO]],"-")</f>
        <v>-</v>
      </c>
      <c r="M31" s="3" t="str">
        <f>IFERROR(INDEX(Tabla_control_serigrafia[CANTIDAD PEDIDA],MATCH(Tabla_producción_serigrafia[[#This Row],[LOTE]],Tabla_control_serigrafia[LOTE],0)),"-")</f>
        <v>-</v>
      </c>
      <c r="N31" s="14">
        <v>0</v>
      </c>
      <c r="O31" s="3">
        <v>0</v>
      </c>
      <c r="P31" s="3">
        <v>0</v>
      </c>
      <c r="Q3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31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31" t="s">
        <v>80</v>
      </c>
      <c r="T31" t="str">
        <f>UPPER(LEFT(TEXT(Tabla_producción_serigrafia[[#This Row],[FECHA]],"mmm"),3))</f>
        <v>ENE</v>
      </c>
      <c r="U31">
        <f>IFERROR(Tabla_producción_serigrafia[[#This Row],[CANTIDAD PRODUCIDA]]+Tabla_producción_serigrafia[[#This Row],[CANTIDAD RECHAZADA]],0)</f>
        <v>0</v>
      </c>
    </row>
    <row r="32" spans="1:21" x14ac:dyDescent="0.25">
      <c r="A32" s="10">
        <v>46048</v>
      </c>
      <c r="B32" s="10" t="s">
        <v>58</v>
      </c>
      <c r="C32" s="1" t="s">
        <v>68</v>
      </c>
      <c r="D32" s="9">
        <v>0.45833333333333331</v>
      </c>
      <c r="E32" s="13">
        <v>0.47916666666666669</v>
      </c>
      <c r="F32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32" s="7" t="s">
        <v>57</v>
      </c>
      <c r="H32" s="3" t="s">
        <v>38</v>
      </c>
      <c r="I32" s="7" t="str">
        <f>IFERROR(INDEX(Tabla_control_serigrafia[PRODUCTO],MATCH(Tabla_producción_serigrafia[[#This Row],[LOTE]],Tabla_control_serigrafia[LOTE],0)),"-")</f>
        <v>-</v>
      </c>
      <c r="J32" t="str">
        <f>IFERROR(INDEX(Tabla_control_serigrafia[FORMATO DE FRASCO],MATCH(Tabla_producción_serigrafia[[#This Row],[LOTE]],Tabla_control_serigrafia[LOTE],0)),"-")</f>
        <v>-</v>
      </c>
      <c r="K32" t="str">
        <f>IFERROR(INDEX(Tabla_control_serigrafia[TIPO DE FRASCO],MATCH(Tabla_producción_serigrafia[[#This Row],[LOTE]],Tabla_control_serigrafia[LOTE],0)),"-")</f>
        <v>-</v>
      </c>
      <c r="L32" t="str">
        <f>IF(Tabla_producción_serigrafia[[#This Row],[ACCIÓN]]="PRODUCCIÓN",Tabla_producción_serigrafia[[#This Row],[FORMATO DE FRASCO]]&amp;" "&amp;Tabla_producción_serigrafia[[#This Row],[TIPO DE FRASCO]],"-")</f>
        <v>-</v>
      </c>
      <c r="M32" s="3" t="str">
        <f>IFERROR(INDEX(Tabla_control_serigrafia[CANTIDAD PEDIDA],MATCH(Tabla_producción_serigrafia[[#This Row],[LOTE]],Tabla_control_serigrafia[LOTE],0)),"-")</f>
        <v>-</v>
      </c>
      <c r="N32" s="14">
        <v>0</v>
      </c>
      <c r="O32" s="3">
        <v>0</v>
      </c>
      <c r="P32" s="3">
        <v>0</v>
      </c>
      <c r="Q3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32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32" t="s">
        <v>38</v>
      </c>
      <c r="T32" t="str">
        <f>UPPER(LEFT(TEXT(Tabla_producción_serigrafia[[#This Row],[FECHA]],"mmm"),3))</f>
        <v>ENE</v>
      </c>
      <c r="U32">
        <f>IFERROR(Tabla_producción_serigrafia[[#This Row],[CANTIDAD PRODUCIDA]]+Tabla_producción_serigrafia[[#This Row],[CANTIDAD RECHAZADA]],0)</f>
        <v>0</v>
      </c>
    </row>
    <row r="33" spans="1:21" x14ac:dyDescent="0.25">
      <c r="A33" s="10">
        <v>46048</v>
      </c>
      <c r="B33" s="10" t="s">
        <v>58</v>
      </c>
      <c r="C33" s="1" t="s">
        <v>68</v>
      </c>
      <c r="D33" s="9">
        <v>0.47916666666666669</v>
      </c>
      <c r="E33" s="13">
        <v>0.51388888888888895</v>
      </c>
      <c r="F33" s="11">
        <f>ROUND((Tabla_producción_serigrafia[[#This Row],[FIN]]-Tabla_producción_serigrafia[[#This Row],[INICIO]]+(Tabla_producción_serigrafia[[#This Row],[FIN]]&lt;Tabla_producción_serigrafia[[#This Row],[INICIO]]))*24,2)</f>
        <v>0.83</v>
      </c>
      <c r="G33" s="7" t="s">
        <v>56</v>
      </c>
      <c r="H33" s="3">
        <v>12670</v>
      </c>
      <c r="I33" s="7" t="str">
        <f>IFERROR(INDEX(Tabla_control_serigrafia[PRODUCTO],MATCH(Tabla_producción_serigrafia[[#This Row],[LOTE]],Tabla_control_serigrafia[LOTE],0)),"-")</f>
        <v>TALCO PARA EL PITAI X 70 G POLVO</v>
      </c>
      <c r="J33" t="str">
        <f>IFERROR(INDEX(Tabla_control_serigrafia[FORMATO DE FRASCO],MATCH(Tabla_producción_serigrafia[[#This Row],[LOTE]],Tabla_control_serigrafia[LOTE],0)),"-")</f>
        <v>100 GR</v>
      </c>
      <c r="K33" t="str">
        <f>IFERROR(INDEX(Tabla_control_serigrafia[TIPO DE FRASCO],MATCH(Tabla_producción_serigrafia[[#This Row],[LOTE]],Tabla_control_serigrafia[LOTE],0)),"-")</f>
        <v>FRASCO BLANCO</v>
      </c>
      <c r="L33" t="str">
        <f>IF(Tabla_producción_serigrafia[[#This Row],[ACCIÓN]]="PRODUCCIÓN",Tabla_producción_serigrafia[[#This Row],[FORMATO DE FRASCO]]&amp;" "&amp;Tabla_producción_serigrafia[[#This Row],[TIPO DE FRASCO]],"-")</f>
        <v>100 GR FRASCO BLANCO</v>
      </c>
      <c r="M33" s="3">
        <f>IFERROR(INDEX(Tabla_control_serigrafia[CANTIDAD PEDIDA],MATCH(Tabla_producción_serigrafia[[#This Row],[LOTE]],Tabla_control_serigrafia[LOTE],0)),"-")</f>
        <v>1000</v>
      </c>
      <c r="N33" s="14">
        <v>1060</v>
      </c>
      <c r="O33" s="3">
        <v>60</v>
      </c>
      <c r="P33" s="3" t="s">
        <v>62</v>
      </c>
      <c r="Q3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1060</v>
      </c>
      <c r="R33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24</v>
      </c>
      <c r="S33" t="s">
        <v>38</v>
      </c>
      <c r="T33" t="str">
        <f>UPPER(LEFT(TEXT(Tabla_producción_serigrafia[[#This Row],[FECHA]],"mmm"),3))</f>
        <v>ENE</v>
      </c>
      <c r="U33">
        <f>IFERROR(Tabla_producción_serigrafia[[#This Row],[CANTIDAD PRODUCIDA]]+Tabla_producción_serigrafia[[#This Row],[CANTIDAD RECHAZADA]],0)</f>
        <v>1120</v>
      </c>
    </row>
    <row r="34" spans="1:21" x14ac:dyDescent="0.25">
      <c r="A34" s="10">
        <v>46048</v>
      </c>
      <c r="B34" s="10" t="s">
        <v>58</v>
      </c>
      <c r="C34" s="1" t="s">
        <v>68</v>
      </c>
      <c r="D34" s="9">
        <v>0.52083333333333337</v>
      </c>
      <c r="E34" s="13">
        <v>0.5625</v>
      </c>
      <c r="F34" s="11">
        <f>ROUND((Tabla_producción_serigrafia[[#This Row],[FIN]]-Tabla_producción_serigrafia[[#This Row],[INICIO]]+(Tabla_producción_serigrafia[[#This Row],[FIN]]&lt;Tabla_producción_serigrafia[[#This Row],[INICIO]]))*24,2)</f>
        <v>1</v>
      </c>
      <c r="G34" s="7" t="s">
        <v>56</v>
      </c>
      <c r="H34" s="3">
        <v>12671</v>
      </c>
      <c r="I34" s="7" t="str">
        <f>IFERROR(INDEX(Tabla_control_serigrafia[PRODUCTO],MATCH(Tabla_producción_serigrafia[[#This Row],[LOTE]],Tabla_control_serigrafia[LOTE],0)),"-")</f>
        <v>TALCO PARA EL PITAI X 70 G POLVO</v>
      </c>
      <c r="J34" t="str">
        <f>IFERROR(INDEX(Tabla_control_serigrafia[FORMATO DE FRASCO],MATCH(Tabla_producción_serigrafia[[#This Row],[LOTE]],Tabla_control_serigrafia[LOTE],0)),"-")</f>
        <v>100 GR</v>
      </c>
      <c r="K34" t="str">
        <f>IFERROR(INDEX(Tabla_control_serigrafia[TIPO DE FRASCO],MATCH(Tabla_producción_serigrafia[[#This Row],[LOTE]],Tabla_control_serigrafia[LOTE],0)),"-")</f>
        <v>FRASCO BLANCO</v>
      </c>
      <c r="L34" t="str">
        <f>IF(Tabla_producción_serigrafia[[#This Row],[ACCIÓN]]="PRODUCCIÓN",Tabla_producción_serigrafia[[#This Row],[FORMATO DE FRASCO]]&amp;" "&amp;Tabla_producción_serigrafia[[#This Row],[TIPO DE FRASCO]],"-")</f>
        <v>100 GR FRASCO BLANCO</v>
      </c>
      <c r="M34" s="3">
        <f>IFERROR(INDEX(Tabla_control_serigrafia[CANTIDAD PEDIDA],MATCH(Tabla_producción_serigrafia[[#This Row],[LOTE]],Tabla_control_serigrafia[LOTE],0)),"-")</f>
        <v>2000</v>
      </c>
      <c r="N34" s="14">
        <v>2100</v>
      </c>
      <c r="O34" s="3">
        <v>70</v>
      </c>
      <c r="P34" s="3" t="s">
        <v>62</v>
      </c>
      <c r="Q3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2100</v>
      </c>
      <c r="R34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24</v>
      </c>
      <c r="S34" t="s">
        <v>38</v>
      </c>
      <c r="T34" t="str">
        <f>UPPER(LEFT(TEXT(Tabla_producción_serigrafia[[#This Row],[FECHA]],"mmm"),3))</f>
        <v>ENE</v>
      </c>
      <c r="U34">
        <f>IFERROR(Tabla_producción_serigrafia[[#This Row],[CANTIDAD PRODUCIDA]]+Tabla_producción_serigrafia[[#This Row],[CANTIDAD RECHAZADA]],0)</f>
        <v>2170</v>
      </c>
    </row>
    <row r="35" spans="1:21" x14ac:dyDescent="0.25">
      <c r="A35" s="10">
        <v>46048</v>
      </c>
      <c r="B35" s="10" t="s">
        <v>58</v>
      </c>
      <c r="C35" s="1" t="s">
        <v>68</v>
      </c>
      <c r="D35" s="9">
        <v>0.59027777777777779</v>
      </c>
      <c r="E35" s="13">
        <v>0.63194444444444442</v>
      </c>
      <c r="F35" s="11">
        <f>ROUND((Tabla_producción_serigrafia[[#This Row],[FIN]]-Tabla_producción_serigrafia[[#This Row],[INICIO]]+(Tabla_producción_serigrafia[[#This Row],[FIN]]&lt;Tabla_producción_serigrafia[[#This Row],[INICIO]]))*24,2)</f>
        <v>1</v>
      </c>
      <c r="G35" s="7" t="s">
        <v>56</v>
      </c>
      <c r="H35" s="3">
        <v>12672</v>
      </c>
      <c r="I35" s="7" t="str">
        <f>IFERROR(INDEX(Tabla_control_serigrafia[PRODUCTO],MATCH(Tabla_producción_serigrafia[[#This Row],[LOTE]],Tabla_control_serigrafia[LOTE],0)),"-")</f>
        <v>TALCO PARA EL PITAI X 70 G POLVO</v>
      </c>
      <c r="J35" t="str">
        <f>IFERROR(INDEX(Tabla_control_serigrafia[FORMATO DE FRASCO],MATCH(Tabla_producción_serigrafia[[#This Row],[LOTE]],Tabla_control_serigrafia[LOTE],0)),"-")</f>
        <v>100 GR</v>
      </c>
      <c r="K35" t="str">
        <f>IFERROR(INDEX(Tabla_control_serigrafia[TIPO DE FRASCO],MATCH(Tabla_producción_serigrafia[[#This Row],[LOTE]],Tabla_control_serigrafia[LOTE],0)),"-")</f>
        <v>FRASCO BLANCO</v>
      </c>
      <c r="L35" t="str">
        <f>IF(Tabla_producción_serigrafia[[#This Row],[ACCIÓN]]="PRODUCCIÓN",Tabla_producción_serigrafia[[#This Row],[FORMATO DE FRASCO]]&amp;" "&amp;Tabla_producción_serigrafia[[#This Row],[TIPO DE FRASCO]],"-")</f>
        <v>100 GR FRASCO BLANCO</v>
      </c>
      <c r="M35" s="3">
        <f>IFERROR(INDEX(Tabla_control_serigrafia[CANTIDAD PEDIDA],MATCH(Tabla_producción_serigrafia[[#This Row],[LOTE]],Tabla_control_serigrafia[LOTE],0)),"-")</f>
        <v>2000</v>
      </c>
      <c r="N35" s="14">
        <v>2100</v>
      </c>
      <c r="O35" s="3">
        <v>80</v>
      </c>
      <c r="P35" s="3" t="s">
        <v>62</v>
      </c>
      <c r="Q3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2100</v>
      </c>
      <c r="R35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24</v>
      </c>
      <c r="S35" t="s">
        <v>38</v>
      </c>
      <c r="T35" t="str">
        <f>UPPER(LEFT(TEXT(Tabla_producción_serigrafia[[#This Row],[FECHA]],"mmm"),3))</f>
        <v>ENE</v>
      </c>
      <c r="U35">
        <f>IFERROR(Tabla_producción_serigrafia[[#This Row],[CANTIDAD PRODUCIDA]]+Tabla_producción_serigrafia[[#This Row],[CANTIDAD RECHAZADA]],0)</f>
        <v>2180</v>
      </c>
    </row>
    <row r="36" spans="1:21" x14ac:dyDescent="0.25">
      <c r="A36" s="10">
        <v>46048</v>
      </c>
      <c r="B36" s="10" t="s">
        <v>58</v>
      </c>
      <c r="C36" s="1" t="s">
        <v>68</v>
      </c>
      <c r="D36" s="9">
        <v>0.63888888888888895</v>
      </c>
      <c r="E36" s="13">
        <v>0.6875</v>
      </c>
      <c r="F36" s="11">
        <f>ROUND((Tabla_producción_serigrafia[[#This Row],[FIN]]-Tabla_producción_serigrafia[[#This Row],[INICIO]]+(Tabla_producción_serigrafia[[#This Row],[FIN]]&lt;Tabla_producción_serigrafia[[#This Row],[INICIO]]))*24,2)</f>
        <v>1.17</v>
      </c>
      <c r="G36" s="7" t="s">
        <v>56</v>
      </c>
      <c r="H36" s="3">
        <v>12673</v>
      </c>
      <c r="I36" s="7" t="str">
        <f>IFERROR(INDEX(Tabla_control_serigrafia[PRODUCTO],MATCH(Tabla_producción_serigrafia[[#This Row],[LOTE]],Tabla_control_serigrafia[LOTE],0)),"-")</f>
        <v>TALCO PARA EL PITAI X 70 G POLVO</v>
      </c>
      <c r="J36" t="str">
        <f>IFERROR(INDEX(Tabla_control_serigrafia[FORMATO DE FRASCO],MATCH(Tabla_producción_serigrafia[[#This Row],[LOTE]],Tabla_control_serigrafia[LOTE],0)),"-")</f>
        <v>100 GR</v>
      </c>
      <c r="K36" t="str">
        <f>IFERROR(INDEX(Tabla_control_serigrafia[TIPO DE FRASCO],MATCH(Tabla_producción_serigrafia[[#This Row],[LOTE]],Tabla_control_serigrafia[LOTE],0)),"-")</f>
        <v>FRASCO BLANCO</v>
      </c>
      <c r="L36" t="str">
        <f>IF(Tabla_producción_serigrafia[[#This Row],[ACCIÓN]]="PRODUCCIÓN",Tabla_producción_serigrafia[[#This Row],[FORMATO DE FRASCO]]&amp;" "&amp;Tabla_producción_serigrafia[[#This Row],[TIPO DE FRASCO]],"-")</f>
        <v>100 GR FRASCO BLANCO</v>
      </c>
      <c r="M36" s="3">
        <f>IFERROR(INDEX(Tabla_control_serigrafia[CANTIDAD PEDIDA],MATCH(Tabla_producción_serigrafia[[#This Row],[LOTE]],Tabla_control_serigrafia[LOTE],0)),"-")</f>
        <v>2000</v>
      </c>
      <c r="N36" s="14">
        <v>2100</v>
      </c>
      <c r="O36" s="3">
        <v>72</v>
      </c>
      <c r="P36" s="3" t="s">
        <v>62</v>
      </c>
      <c r="Q3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2100</v>
      </c>
      <c r="R36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24</v>
      </c>
      <c r="S36" t="s">
        <v>38</v>
      </c>
      <c r="T36" t="str">
        <f>UPPER(LEFT(TEXT(Tabla_producción_serigrafia[[#This Row],[FECHA]],"mmm"),3))</f>
        <v>ENE</v>
      </c>
      <c r="U36">
        <f>IFERROR(Tabla_producción_serigrafia[[#This Row],[CANTIDAD PRODUCIDA]]+Tabla_producción_serigrafia[[#This Row],[CANTIDAD RECHAZADA]],0)</f>
        <v>2172</v>
      </c>
    </row>
    <row r="37" spans="1:21" x14ac:dyDescent="0.25">
      <c r="A37" s="10">
        <v>46049</v>
      </c>
      <c r="B37" s="10" t="s">
        <v>58</v>
      </c>
      <c r="C37" s="1" t="s">
        <v>68</v>
      </c>
      <c r="D37" s="9">
        <v>0.33333333333333331</v>
      </c>
      <c r="E37" s="13">
        <v>0.45833333333333331</v>
      </c>
      <c r="F37" s="11">
        <f>ROUND((Tabla_producción_serigrafia[[#This Row],[FIN]]-Tabla_producción_serigrafia[[#This Row],[INICIO]]+(Tabla_producción_serigrafia[[#This Row],[FIN]]&lt;Tabla_producción_serigrafia[[#This Row],[INICIO]]))*24,2)</f>
        <v>3</v>
      </c>
      <c r="G37" s="7" t="s">
        <v>64</v>
      </c>
      <c r="H37" s="3" t="s">
        <v>38</v>
      </c>
      <c r="I37" s="7" t="str">
        <f>IFERROR(INDEX(Tabla_control_serigrafia[PRODUCTO],MATCH(Tabla_producción_serigrafia[[#This Row],[LOTE]],Tabla_control_serigrafia[LOTE],0)),"-")</f>
        <v>-</v>
      </c>
      <c r="J37" t="str">
        <f>IFERROR(INDEX(Tabla_control_serigrafia[FORMATO DE FRASCO],MATCH(Tabla_producción_serigrafia[[#This Row],[LOTE]],Tabla_control_serigrafia[LOTE],0)),"-")</f>
        <v>-</v>
      </c>
      <c r="K37" t="str">
        <f>IFERROR(INDEX(Tabla_control_serigrafia[TIPO DE FRASCO],MATCH(Tabla_producción_serigrafia[[#This Row],[LOTE]],Tabla_control_serigrafia[LOTE],0)),"-")</f>
        <v>-</v>
      </c>
      <c r="L37" t="str">
        <f>IF(Tabla_producción_serigrafia[[#This Row],[ACCIÓN]]="PRODUCCIÓN",Tabla_producción_serigrafia[[#This Row],[FORMATO DE FRASCO]]&amp;" "&amp;Tabla_producción_serigrafia[[#This Row],[TIPO DE FRASCO]],"-")</f>
        <v>-</v>
      </c>
      <c r="M37" s="3" t="str">
        <f>IFERROR(INDEX(Tabla_control_serigrafia[CANTIDAD PEDIDA],MATCH(Tabla_producción_serigrafia[[#This Row],[LOTE]],Tabla_control_serigrafia[LOTE],0)),"-")</f>
        <v>-</v>
      </c>
      <c r="N37" s="14">
        <v>0</v>
      </c>
      <c r="O37" s="3">
        <v>0</v>
      </c>
      <c r="P37" s="3">
        <v>0</v>
      </c>
      <c r="Q3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37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37" t="s">
        <v>79</v>
      </c>
      <c r="T37" t="str">
        <f>UPPER(LEFT(TEXT(Tabla_producción_serigrafia[[#This Row],[FECHA]],"mmm"),3))</f>
        <v>ENE</v>
      </c>
      <c r="U37">
        <f>IFERROR(Tabla_producción_serigrafia[[#This Row],[CANTIDAD PRODUCIDA]]+Tabla_producción_serigrafia[[#This Row],[CANTIDAD RECHAZADA]],0)</f>
        <v>0</v>
      </c>
    </row>
    <row r="38" spans="1:21" x14ac:dyDescent="0.25">
      <c r="A38" s="10">
        <v>46049</v>
      </c>
      <c r="B38" s="10" t="s">
        <v>58</v>
      </c>
      <c r="C38" s="1" t="s">
        <v>68</v>
      </c>
      <c r="D38" s="9">
        <v>0.45833333333333331</v>
      </c>
      <c r="E38" s="13">
        <v>0.47916666666666669</v>
      </c>
      <c r="F38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38" s="7" t="s">
        <v>57</v>
      </c>
      <c r="H38" s="3" t="s">
        <v>38</v>
      </c>
      <c r="I38" s="7" t="str">
        <f>IFERROR(INDEX(Tabla_control_serigrafia[PRODUCTO],MATCH(Tabla_producción_serigrafia[[#This Row],[LOTE]],Tabla_control_serigrafia[LOTE],0)),"-")</f>
        <v>-</v>
      </c>
      <c r="J38" t="str">
        <f>IFERROR(INDEX(Tabla_control_serigrafia[FORMATO DE FRASCO],MATCH(Tabla_producción_serigrafia[[#This Row],[LOTE]],Tabla_control_serigrafia[LOTE],0)),"-")</f>
        <v>-</v>
      </c>
      <c r="K38" t="str">
        <f>IFERROR(INDEX(Tabla_control_serigrafia[TIPO DE FRASCO],MATCH(Tabla_producción_serigrafia[[#This Row],[LOTE]],Tabla_control_serigrafia[LOTE],0)),"-")</f>
        <v>-</v>
      </c>
      <c r="L38" t="str">
        <f>IF(Tabla_producción_serigrafia[[#This Row],[ACCIÓN]]="PRODUCCIÓN",Tabla_producción_serigrafia[[#This Row],[FORMATO DE FRASCO]]&amp;" "&amp;Tabla_producción_serigrafia[[#This Row],[TIPO DE FRASCO]],"-")</f>
        <v>-</v>
      </c>
      <c r="M38" s="3" t="str">
        <f>IFERROR(INDEX(Tabla_control_serigrafia[CANTIDAD PEDIDA],MATCH(Tabla_producción_serigrafia[[#This Row],[LOTE]],Tabla_control_serigrafia[LOTE],0)),"-")</f>
        <v>-</v>
      </c>
      <c r="N38" s="14">
        <v>0</v>
      </c>
      <c r="O38" s="3">
        <v>0</v>
      </c>
      <c r="P38" s="3">
        <v>0</v>
      </c>
      <c r="Q3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38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38" t="s">
        <v>38</v>
      </c>
      <c r="T38" t="str">
        <f>UPPER(LEFT(TEXT(Tabla_producción_serigrafia[[#This Row],[FECHA]],"mmm"),3))</f>
        <v>ENE</v>
      </c>
      <c r="U38">
        <f>IFERROR(Tabla_producción_serigrafia[[#This Row],[CANTIDAD PRODUCIDA]]+Tabla_producción_serigrafia[[#This Row],[CANTIDAD RECHAZADA]],0)</f>
        <v>0</v>
      </c>
    </row>
    <row r="39" spans="1:21" x14ac:dyDescent="0.25">
      <c r="A39" s="10">
        <v>46049</v>
      </c>
      <c r="B39" s="10" t="s">
        <v>58</v>
      </c>
      <c r="C39" s="1" t="s">
        <v>68</v>
      </c>
      <c r="D39" s="9">
        <v>0.47916666666666669</v>
      </c>
      <c r="E39" s="13">
        <v>0.625</v>
      </c>
      <c r="F39" s="11">
        <f>ROUND((Tabla_producción_serigrafia[[#This Row],[FIN]]-Tabla_producción_serigrafia[[#This Row],[INICIO]]+(Tabla_producción_serigrafia[[#This Row],[FIN]]&lt;Tabla_producción_serigrafia[[#This Row],[INICIO]]))*24,2)</f>
        <v>3.5</v>
      </c>
      <c r="G39" s="7" t="s">
        <v>56</v>
      </c>
      <c r="H39" s="3">
        <v>12677</v>
      </c>
      <c r="I39" s="7" t="str">
        <f>IFERROR(INDEX(Tabla_control_serigrafia[PRODUCTO],MATCH(Tabla_producción_serigrafia[[#This Row],[LOTE]],Tabla_control_serigrafia[LOTE],0)),"-")</f>
        <v>IBUPROFENO 100 MG X 100 ML SUSP.</v>
      </c>
      <c r="J39" t="str">
        <f>IFERROR(INDEX(Tabla_control_serigrafia[FORMATO DE FRASCO],MATCH(Tabla_producción_serigrafia[[#This Row],[LOTE]],Tabla_control_serigrafia[LOTE],0)),"-")</f>
        <v>120 ML</v>
      </c>
      <c r="K39" t="str">
        <f>IFERROR(INDEX(Tabla_control_serigrafia[TIPO DE FRASCO],MATCH(Tabla_producción_serigrafia[[#This Row],[LOTE]],Tabla_control_serigrafia[LOTE],0)),"-")</f>
        <v>FRASCO BLANCO</v>
      </c>
      <c r="L3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39" s="3">
        <f>IFERROR(INDEX(Tabla_control_serigrafia[CANTIDAD PEDIDA],MATCH(Tabla_producción_serigrafia[[#This Row],[LOTE]],Tabla_control_serigrafia[LOTE],0)),"-")</f>
        <v>23529</v>
      </c>
      <c r="N39" s="14">
        <v>8700</v>
      </c>
      <c r="O39" s="3">
        <v>309</v>
      </c>
      <c r="P39" s="3" t="s">
        <v>62</v>
      </c>
      <c r="Q3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8700</v>
      </c>
      <c r="R39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25</v>
      </c>
      <c r="S39" t="s">
        <v>38</v>
      </c>
      <c r="T39" t="str">
        <f>UPPER(LEFT(TEXT(Tabla_producción_serigrafia[[#This Row],[FECHA]],"mmm"),3))</f>
        <v>ENE</v>
      </c>
      <c r="U39">
        <f>IFERROR(Tabla_producción_serigrafia[[#This Row],[CANTIDAD PRODUCIDA]]+Tabla_producción_serigrafia[[#This Row],[CANTIDAD RECHAZADA]],0)</f>
        <v>9009</v>
      </c>
    </row>
    <row r="40" spans="1:21" x14ac:dyDescent="0.25">
      <c r="A40" s="10">
        <v>46049</v>
      </c>
      <c r="B40" s="10" t="s">
        <v>58</v>
      </c>
      <c r="C40" s="1" t="s">
        <v>68</v>
      </c>
      <c r="D40" s="9">
        <v>0.625</v>
      </c>
      <c r="E40" s="13">
        <v>0.63888888888888895</v>
      </c>
      <c r="F40" s="11">
        <f>ROUND((Tabla_producción_serigrafia[[#This Row],[FIN]]-Tabla_producción_serigrafia[[#This Row],[INICIO]]+(Tabla_producción_serigrafia[[#This Row],[FIN]]&lt;Tabla_producción_serigrafia[[#This Row],[INICIO]]))*24,2)</f>
        <v>0.33</v>
      </c>
      <c r="G40" s="7" t="s">
        <v>57</v>
      </c>
      <c r="H40" s="3" t="s">
        <v>38</v>
      </c>
      <c r="I40" s="7" t="str">
        <f>IFERROR(INDEX(Tabla_control_serigrafia[PRODUCTO],MATCH(Tabla_producción_serigrafia[[#This Row],[LOTE]],Tabla_control_serigrafia[LOTE],0)),"-")</f>
        <v>-</v>
      </c>
      <c r="J40" t="str">
        <f>IFERROR(INDEX(Tabla_control_serigrafia[FORMATO DE FRASCO],MATCH(Tabla_producción_serigrafia[[#This Row],[LOTE]],Tabla_control_serigrafia[LOTE],0)),"-")</f>
        <v>-</v>
      </c>
      <c r="K40" t="str">
        <f>IFERROR(INDEX(Tabla_control_serigrafia[TIPO DE FRASCO],MATCH(Tabla_producción_serigrafia[[#This Row],[LOTE]],Tabla_control_serigrafia[LOTE],0)),"-")</f>
        <v>-</v>
      </c>
      <c r="L40" t="str">
        <f>IF(Tabla_producción_serigrafia[[#This Row],[ACCIÓN]]="PRODUCCIÓN",Tabla_producción_serigrafia[[#This Row],[FORMATO DE FRASCO]]&amp;" "&amp;Tabla_producción_serigrafia[[#This Row],[TIPO DE FRASCO]],"-")</f>
        <v>-</v>
      </c>
      <c r="M40" s="3" t="str">
        <f>IFERROR(INDEX(Tabla_control_serigrafia[CANTIDAD PEDIDA],MATCH(Tabla_producción_serigrafia[[#This Row],[LOTE]],Tabla_control_serigrafia[LOTE],0)),"-")</f>
        <v>-</v>
      </c>
      <c r="N40" s="14">
        <v>0</v>
      </c>
      <c r="O40" s="3">
        <v>0</v>
      </c>
      <c r="P40" s="3">
        <v>0</v>
      </c>
      <c r="Q4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40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0" t="s">
        <v>38</v>
      </c>
      <c r="T40" t="str">
        <f>UPPER(LEFT(TEXT(Tabla_producción_serigrafia[[#This Row],[FECHA]],"mmm"),3))</f>
        <v>ENE</v>
      </c>
      <c r="U40">
        <f>IFERROR(Tabla_producción_serigrafia[[#This Row],[CANTIDAD PRODUCIDA]]+Tabla_producción_serigrafia[[#This Row],[CANTIDAD RECHAZADA]],0)</f>
        <v>0</v>
      </c>
    </row>
    <row r="41" spans="1:21" x14ac:dyDescent="0.25">
      <c r="A41" s="10">
        <v>46049</v>
      </c>
      <c r="B41" s="10" t="s">
        <v>58</v>
      </c>
      <c r="C41" s="1" t="s">
        <v>68</v>
      </c>
      <c r="D41" s="9">
        <v>0.63888888888888895</v>
      </c>
      <c r="E41" s="13">
        <v>0.70833333333333337</v>
      </c>
      <c r="F41" s="11">
        <f>ROUND((Tabla_producción_serigrafia[[#This Row],[FIN]]-Tabla_producción_serigrafia[[#This Row],[INICIO]]+(Tabla_producción_serigrafia[[#This Row],[FIN]]&lt;Tabla_producción_serigrafia[[#This Row],[INICIO]]))*24,2)</f>
        <v>1.67</v>
      </c>
      <c r="G41" s="7" t="s">
        <v>56</v>
      </c>
      <c r="H41" s="3">
        <v>12678</v>
      </c>
      <c r="I41" s="7" t="str">
        <f>IFERROR(INDEX(Tabla_control_serigrafia[PRODUCTO],MATCH(Tabla_producción_serigrafia[[#This Row],[LOTE]],Tabla_control_serigrafia[LOTE],0)),"-")</f>
        <v>IBUPROFENO 100 MG X 100 ML SUSP.</v>
      </c>
      <c r="J41" t="str">
        <f>IFERROR(INDEX(Tabla_control_serigrafia[FORMATO DE FRASCO],MATCH(Tabla_producción_serigrafia[[#This Row],[LOTE]],Tabla_control_serigrafia[LOTE],0)),"-")</f>
        <v>120 ML</v>
      </c>
      <c r="K41" t="str">
        <f>IFERROR(INDEX(Tabla_control_serigrafia[TIPO DE FRASCO],MATCH(Tabla_producción_serigrafia[[#This Row],[LOTE]],Tabla_control_serigrafia[LOTE],0)),"-")</f>
        <v>FRASCO BLANCO</v>
      </c>
      <c r="L4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41" s="3">
        <f>IFERROR(INDEX(Tabla_control_serigrafia[CANTIDAD PEDIDA],MATCH(Tabla_producción_serigrafia[[#This Row],[LOTE]],Tabla_control_serigrafia[LOTE],0)),"-")</f>
        <v>23529</v>
      </c>
      <c r="N41" s="14">
        <v>4000</v>
      </c>
      <c r="O41" s="3">
        <v>40</v>
      </c>
      <c r="P41" s="3" t="s">
        <v>178</v>
      </c>
      <c r="Q4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4000</v>
      </c>
      <c r="R41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1" t="s">
        <v>38</v>
      </c>
      <c r="T41" t="str">
        <f>UPPER(LEFT(TEXT(Tabla_producción_serigrafia[[#This Row],[FECHA]],"mmm"),3))</f>
        <v>ENE</v>
      </c>
      <c r="U41">
        <f>IFERROR(Tabla_producción_serigrafia[[#This Row],[CANTIDAD PRODUCIDA]]+Tabla_producción_serigrafia[[#This Row],[CANTIDAD RECHAZADA]],0)</f>
        <v>4040</v>
      </c>
    </row>
    <row r="42" spans="1:21" x14ac:dyDescent="0.25">
      <c r="A42" s="10">
        <v>46050</v>
      </c>
      <c r="B42" s="10" t="s">
        <v>58</v>
      </c>
      <c r="C42" s="1" t="s">
        <v>68</v>
      </c>
      <c r="D42" s="9">
        <v>0.33333333333333331</v>
      </c>
      <c r="E42" s="13">
        <v>0.34722222222222227</v>
      </c>
      <c r="F42" s="11">
        <f>ROUND((Tabla_producción_serigrafia[[#This Row],[FIN]]-Tabla_producción_serigrafia[[#This Row],[INICIO]]+(Tabla_producción_serigrafia[[#This Row],[FIN]]&lt;Tabla_producción_serigrafia[[#This Row],[INICIO]]))*24,2)</f>
        <v>0.33</v>
      </c>
      <c r="G42" s="7" t="s">
        <v>57</v>
      </c>
      <c r="H42" s="3" t="s">
        <v>38</v>
      </c>
      <c r="I42" s="7" t="str">
        <f>IFERROR(INDEX(Tabla_control_serigrafia[PRODUCTO],MATCH(Tabla_producción_serigrafia[[#This Row],[LOTE]],Tabla_control_serigrafia[LOTE],0)),"-")</f>
        <v>-</v>
      </c>
      <c r="J42" t="str">
        <f>IFERROR(INDEX(Tabla_control_serigrafia[FORMATO DE FRASCO],MATCH(Tabla_producción_serigrafia[[#This Row],[LOTE]],Tabla_control_serigrafia[LOTE],0)),"-")</f>
        <v>-</v>
      </c>
      <c r="K42" t="str">
        <f>IFERROR(INDEX(Tabla_control_serigrafia[TIPO DE FRASCO],MATCH(Tabla_producción_serigrafia[[#This Row],[LOTE]],Tabla_control_serigrafia[LOTE],0)),"-")</f>
        <v>-</v>
      </c>
      <c r="L42" t="str">
        <f>IF(Tabla_producción_serigrafia[[#This Row],[ACCIÓN]]="PRODUCCIÓN",Tabla_producción_serigrafia[[#This Row],[FORMATO DE FRASCO]]&amp;" "&amp;Tabla_producción_serigrafia[[#This Row],[TIPO DE FRASCO]],"-")</f>
        <v>-</v>
      </c>
      <c r="M42" s="3" t="str">
        <f>IFERROR(INDEX(Tabla_control_serigrafia[CANTIDAD PEDIDA],MATCH(Tabla_producción_serigrafia[[#This Row],[LOTE]],Tabla_control_serigrafia[LOTE],0)),"-")</f>
        <v>-</v>
      </c>
      <c r="N42" s="14">
        <v>0</v>
      </c>
      <c r="O42" s="3">
        <v>0</v>
      </c>
      <c r="P42" s="3">
        <v>0</v>
      </c>
      <c r="Q4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42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2" t="s">
        <v>38</v>
      </c>
      <c r="T42" t="str">
        <f>UPPER(LEFT(TEXT(Tabla_producción_serigrafia[[#This Row],[FECHA]],"mmm"),3))</f>
        <v>ENE</v>
      </c>
      <c r="U42">
        <f>IFERROR(Tabla_producción_serigrafia[[#This Row],[CANTIDAD PRODUCIDA]]+Tabla_producción_serigrafia[[#This Row],[CANTIDAD RECHAZADA]],0)</f>
        <v>0</v>
      </c>
    </row>
    <row r="43" spans="1:21" x14ac:dyDescent="0.25">
      <c r="A43" s="10">
        <v>46050</v>
      </c>
      <c r="B43" s="10" t="s">
        <v>58</v>
      </c>
      <c r="C43" s="1" t="s">
        <v>68</v>
      </c>
      <c r="D43" s="9">
        <v>0.34722222222222227</v>
      </c>
      <c r="E43" s="13">
        <v>0.70833333333333337</v>
      </c>
      <c r="F43" s="11">
        <f>ROUND((Tabla_producción_serigrafia[[#This Row],[FIN]]-Tabla_producción_serigrafia[[#This Row],[INICIO]]+(Tabla_producción_serigrafia[[#This Row],[FIN]]&lt;Tabla_producción_serigrafia[[#This Row],[INICIO]]))*24,2)</f>
        <v>8.67</v>
      </c>
      <c r="G43" s="7" t="s">
        <v>56</v>
      </c>
      <c r="H43" s="3">
        <v>12678</v>
      </c>
      <c r="I43" s="7" t="str">
        <f>IFERROR(INDEX(Tabla_control_serigrafia[PRODUCTO],MATCH(Tabla_producción_serigrafia[[#This Row],[LOTE]],Tabla_control_serigrafia[LOTE],0)),"-")</f>
        <v>IBUPROFENO 100 MG X 100 ML SUSP.</v>
      </c>
      <c r="J43" t="str">
        <f>IFERROR(INDEX(Tabla_control_serigrafia[FORMATO DE FRASCO],MATCH(Tabla_producción_serigrafia[[#This Row],[LOTE]],Tabla_control_serigrafia[LOTE],0)),"-")</f>
        <v>120 ML</v>
      </c>
      <c r="K43" t="str">
        <f>IFERROR(INDEX(Tabla_control_serigrafia[TIPO DE FRASCO],MATCH(Tabla_producción_serigrafia[[#This Row],[LOTE]],Tabla_control_serigrafia[LOTE],0)),"-")</f>
        <v>FRASCO BLANCO</v>
      </c>
      <c r="L4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43" s="3">
        <f>IFERROR(INDEX(Tabla_control_serigrafia[CANTIDAD PEDIDA],MATCH(Tabla_producción_serigrafia[[#This Row],[LOTE]],Tabla_control_serigrafia[LOTE],0)),"-")</f>
        <v>23529</v>
      </c>
      <c r="N43" s="14">
        <v>19700</v>
      </c>
      <c r="O43" s="3">
        <v>209</v>
      </c>
      <c r="P43" s="3" t="s">
        <v>62</v>
      </c>
      <c r="Q4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19700</v>
      </c>
      <c r="R43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26</v>
      </c>
      <c r="S43" t="s">
        <v>38</v>
      </c>
      <c r="T43" t="str">
        <f>UPPER(LEFT(TEXT(Tabla_producción_serigrafia[[#This Row],[FECHA]],"mmm"),3))</f>
        <v>ENE</v>
      </c>
      <c r="U43">
        <f>IFERROR(Tabla_producción_serigrafia[[#This Row],[CANTIDAD PRODUCIDA]]+Tabla_producción_serigrafia[[#This Row],[CANTIDAD RECHAZADA]],0)</f>
        <v>19909</v>
      </c>
    </row>
    <row r="44" spans="1:21" x14ac:dyDescent="0.25">
      <c r="A44" s="10">
        <v>46051</v>
      </c>
      <c r="B44" s="10" t="s">
        <v>58</v>
      </c>
      <c r="C44" s="1" t="s">
        <v>68</v>
      </c>
      <c r="D44" s="9">
        <v>0.33333333333333331</v>
      </c>
      <c r="E44" s="13">
        <v>0.35416666666666669</v>
      </c>
      <c r="F44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44" s="7" t="s">
        <v>57</v>
      </c>
      <c r="H44" s="3" t="s">
        <v>38</v>
      </c>
      <c r="I44" s="7" t="str">
        <f>IFERROR(INDEX(Tabla_control_serigrafia[PRODUCTO],MATCH(Tabla_producción_serigrafia[[#This Row],[LOTE]],Tabla_control_serigrafia[LOTE],0)),"-")</f>
        <v>-</v>
      </c>
      <c r="J44" t="str">
        <f>IFERROR(INDEX(Tabla_control_serigrafia[FORMATO DE FRASCO],MATCH(Tabla_producción_serigrafia[[#This Row],[LOTE]],Tabla_control_serigrafia[LOTE],0)),"-")</f>
        <v>-</v>
      </c>
      <c r="K44" t="str">
        <f>IFERROR(INDEX(Tabla_control_serigrafia[TIPO DE FRASCO],MATCH(Tabla_producción_serigrafia[[#This Row],[LOTE]],Tabla_control_serigrafia[LOTE],0)),"-")</f>
        <v>-</v>
      </c>
      <c r="L44" t="str">
        <f>IF(Tabla_producción_serigrafia[[#This Row],[ACCIÓN]]="PRODUCCIÓN",Tabla_producción_serigrafia[[#This Row],[FORMATO DE FRASCO]]&amp;" "&amp;Tabla_producción_serigrafia[[#This Row],[TIPO DE FRASCO]],"-")</f>
        <v>-</v>
      </c>
      <c r="M44" s="3" t="str">
        <f>IFERROR(INDEX(Tabla_control_serigrafia[CANTIDAD PEDIDA],MATCH(Tabla_producción_serigrafia[[#This Row],[LOTE]],Tabla_control_serigrafia[LOTE],0)),"-")</f>
        <v>-</v>
      </c>
      <c r="N44" s="14">
        <v>0</v>
      </c>
      <c r="O44" s="3">
        <v>0</v>
      </c>
      <c r="P44" s="3">
        <v>0</v>
      </c>
      <c r="Q4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44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4" t="s">
        <v>38</v>
      </c>
      <c r="T44" t="str">
        <f>UPPER(LEFT(TEXT(Tabla_producción_serigrafia[[#This Row],[FECHA]],"mmm"),3))</f>
        <v>ENE</v>
      </c>
      <c r="U44">
        <f>IFERROR(Tabla_producción_serigrafia[[#This Row],[CANTIDAD PRODUCIDA]]+Tabla_producción_serigrafia[[#This Row],[CANTIDAD RECHAZADA]],0)</f>
        <v>0</v>
      </c>
    </row>
    <row r="45" spans="1:21" x14ac:dyDescent="0.25">
      <c r="A45" s="10">
        <v>46051</v>
      </c>
      <c r="B45" s="10" t="s">
        <v>58</v>
      </c>
      <c r="C45" s="1" t="s">
        <v>68</v>
      </c>
      <c r="D45" s="9">
        <v>0.35416666666666669</v>
      </c>
      <c r="E45" s="13">
        <v>0.70833333333333337</v>
      </c>
      <c r="F45" s="11">
        <f>ROUND((Tabla_producción_serigrafia[[#This Row],[FIN]]-Tabla_producción_serigrafia[[#This Row],[INICIO]]+(Tabla_producción_serigrafia[[#This Row],[FIN]]&lt;Tabla_producción_serigrafia[[#This Row],[INICIO]]))*24,2)</f>
        <v>8.5</v>
      </c>
      <c r="G45" s="7" t="s">
        <v>56</v>
      </c>
      <c r="H45" s="3">
        <v>12660</v>
      </c>
      <c r="I45" s="7" t="str">
        <f>IFERROR(INDEX(Tabla_control_serigrafia[PRODUCTO],MATCH(Tabla_producción_serigrafia[[#This Row],[LOTE]],Tabla_control_serigrafia[LOTE],0)),"-")</f>
        <v>CODEINA 10 MG X 100 ML JARABE</v>
      </c>
      <c r="J45" t="str">
        <f>IFERROR(INDEX(Tabla_control_serigrafia[FORMATO DE FRASCO],MATCH(Tabla_producción_serigrafia[[#This Row],[LOTE]],Tabla_control_serigrafia[LOTE],0)),"-")</f>
        <v>120 ML</v>
      </c>
      <c r="K45" t="str">
        <f>IFERROR(INDEX(Tabla_control_serigrafia[TIPO DE FRASCO],MATCH(Tabla_producción_serigrafia[[#This Row],[LOTE]],Tabla_control_serigrafia[LOTE],0)),"-")</f>
        <v>FRASCO BLANCO</v>
      </c>
      <c r="L45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45" s="3">
        <f>IFERROR(INDEX(Tabla_control_serigrafia[CANTIDAD PEDIDA],MATCH(Tabla_producción_serigrafia[[#This Row],[LOTE]],Tabla_control_serigrafia[LOTE],0)),"-")</f>
        <v>29703</v>
      </c>
      <c r="N45" s="14">
        <v>20000</v>
      </c>
      <c r="O45" s="3">
        <v>200</v>
      </c>
      <c r="P45" s="3" t="s">
        <v>178</v>
      </c>
      <c r="Q4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20000</v>
      </c>
      <c r="R45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5" t="s">
        <v>38</v>
      </c>
      <c r="T45" t="str">
        <f>UPPER(LEFT(TEXT(Tabla_producción_serigrafia[[#This Row],[FECHA]],"mmm"),3))</f>
        <v>ENE</v>
      </c>
      <c r="U45">
        <f>IFERROR(Tabla_producción_serigrafia[[#This Row],[CANTIDAD PRODUCIDA]]+Tabla_producción_serigrafia[[#This Row],[CANTIDAD RECHAZADA]],0)</f>
        <v>20200</v>
      </c>
    </row>
    <row r="46" spans="1:21" x14ac:dyDescent="0.25">
      <c r="A46" s="10">
        <v>46052</v>
      </c>
      <c r="B46" s="10" t="s">
        <v>58</v>
      </c>
      <c r="C46" s="1" t="s">
        <v>68</v>
      </c>
      <c r="D46" s="9">
        <v>0.33333333333333331</v>
      </c>
      <c r="E46" s="13">
        <v>0.35069444444444442</v>
      </c>
      <c r="F46" s="11">
        <f>ROUND((Tabla_producción_serigrafia[[#This Row],[FIN]]-Tabla_producción_serigrafia[[#This Row],[INICIO]]+(Tabla_producción_serigrafia[[#This Row],[FIN]]&lt;Tabla_producción_serigrafia[[#This Row],[INICIO]]))*24,2)</f>
        <v>0.42</v>
      </c>
      <c r="G46" s="7" t="s">
        <v>57</v>
      </c>
      <c r="H46" s="3" t="s">
        <v>38</v>
      </c>
      <c r="I46" s="7" t="str">
        <f>IFERROR(INDEX(Tabla_control_serigrafia[PRODUCTO],MATCH(Tabla_producción_serigrafia[[#This Row],[LOTE]],Tabla_control_serigrafia[LOTE],0)),"-")</f>
        <v>-</v>
      </c>
      <c r="J46" t="str">
        <f>IFERROR(INDEX(Tabla_control_serigrafia[FORMATO DE FRASCO],MATCH(Tabla_producción_serigrafia[[#This Row],[LOTE]],Tabla_control_serigrafia[LOTE],0)),"-")</f>
        <v>-</v>
      </c>
      <c r="K46" t="str">
        <f>IFERROR(INDEX(Tabla_control_serigrafia[TIPO DE FRASCO],MATCH(Tabla_producción_serigrafia[[#This Row],[LOTE]],Tabla_control_serigrafia[LOTE],0)),"-")</f>
        <v>-</v>
      </c>
      <c r="L46" t="str">
        <f>IF(Tabla_producción_serigrafia[[#This Row],[ACCIÓN]]="PRODUCCIÓN",Tabla_producción_serigrafia[[#This Row],[FORMATO DE FRASCO]]&amp;" "&amp;Tabla_producción_serigrafia[[#This Row],[TIPO DE FRASCO]],"-")</f>
        <v>-</v>
      </c>
      <c r="M46" s="3" t="str">
        <f>IFERROR(INDEX(Tabla_control_serigrafia[CANTIDAD PEDIDA],MATCH(Tabla_producción_serigrafia[[#This Row],[LOTE]],Tabla_control_serigrafia[LOTE],0)),"-")</f>
        <v>-</v>
      </c>
      <c r="N46" s="14">
        <v>0</v>
      </c>
      <c r="O46" s="3">
        <v>0</v>
      </c>
      <c r="P46" s="3">
        <v>0</v>
      </c>
      <c r="Q4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46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6" t="s">
        <v>38</v>
      </c>
      <c r="T46" t="str">
        <f>UPPER(LEFT(TEXT(Tabla_producción_serigrafia[[#This Row],[FECHA]],"mmm"),3))</f>
        <v>ENE</v>
      </c>
      <c r="U46">
        <f>IFERROR(Tabla_producción_serigrafia[[#This Row],[CANTIDAD PRODUCIDA]]+Tabla_producción_serigrafia[[#This Row],[CANTIDAD RECHAZADA]],0)</f>
        <v>0</v>
      </c>
    </row>
    <row r="47" spans="1:21" x14ac:dyDescent="0.25">
      <c r="A47" s="10">
        <v>46052</v>
      </c>
      <c r="B47" s="10" t="s">
        <v>58</v>
      </c>
      <c r="C47" s="1" t="s">
        <v>68</v>
      </c>
      <c r="D47" s="9">
        <v>0.35069444444444442</v>
      </c>
      <c r="E47" s="13">
        <v>0.50694444444444442</v>
      </c>
      <c r="F47" s="11">
        <f>ROUND((Tabla_producción_serigrafia[[#This Row],[FIN]]-Tabla_producción_serigrafia[[#This Row],[INICIO]]+(Tabla_producción_serigrafia[[#This Row],[FIN]]&lt;Tabla_producción_serigrafia[[#This Row],[INICIO]]))*24,2)</f>
        <v>3.75</v>
      </c>
      <c r="G47" s="7" t="s">
        <v>56</v>
      </c>
      <c r="H47" s="3">
        <v>12660</v>
      </c>
      <c r="I47" s="7" t="str">
        <f>IFERROR(INDEX(Tabla_control_serigrafia[PRODUCTO],MATCH(Tabla_producción_serigrafia[[#This Row],[LOTE]],Tabla_control_serigrafia[LOTE],0)),"-")</f>
        <v>CODEINA 10 MG X 100 ML JARABE</v>
      </c>
      <c r="J47" t="str">
        <f>IFERROR(INDEX(Tabla_control_serigrafia[FORMATO DE FRASCO],MATCH(Tabla_producción_serigrafia[[#This Row],[LOTE]],Tabla_control_serigrafia[LOTE],0)),"-")</f>
        <v>120 ML</v>
      </c>
      <c r="K47" t="str">
        <f>IFERROR(INDEX(Tabla_control_serigrafia[TIPO DE FRASCO],MATCH(Tabla_producción_serigrafia[[#This Row],[LOTE]],Tabla_control_serigrafia[LOTE],0)),"-")</f>
        <v>FRASCO BLANCO</v>
      </c>
      <c r="L47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47" s="3">
        <f>IFERROR(INDEX(Tabla_control_serigrafia[CANTIDAD PEDIDA],MATCH(Tabla_producción_serigrafia[[#This Row],[LOTE]],Tabla_control_serigrafia[LOTE],0)),"-")</f>
        <v>29703</v>
      </c>
      <c r="N47" s="14">
        <v>9903</v>
      </c>
      <c r="O47" s="3">
        <v>200</v>
      </c>
      <c r="P47" s="3" t="s">
        <v>62</v>
      </c>
      <c r="Q4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9903</v>
      </c>
      <c r="R47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28</v>
      </c>
      <c r="S47" t="s">
        <v>38</v>
      </c>
      <c r="T47" t="str">
        <f>UPPER(LEFT(TEXT(Tabla_producción_serigrafia[[#This Row],[FECHA]],"mmm"),3))</f>
        <v>ENE</v>
      </c>
      <c r="U47">
        <f>IFERROR(Tabla_producción_serigrafia[[#This Row],[CANTIDAD PRODUCIDA]]+Tabla_producción_serigrafia[[#This Row],[CANTIDAD RECHAZADA]],0)</f>
        <v>10103</v>
      </c>
    </row>
    <row r="48" spans="1:21" x14ac:dyDescent="0.25">
      <c r="A48" s="10">
        <v>46052</v>
      </c>
      <c r="B48" s="10" t="s">
        <v>58</v>
      </c>
      <c r="C48" s="1" t="s">
        <v>68</v>
      </c>
      <c r="D48" s="9">
        <v>0.50694444444444442</v>
      </c>
      <c r="E48" s="13">
        <v>0.52083333333333337</v>
      </c>
      <c r="F48" s="11">
        <f>ROUND((Tabla_producción_serigrafia[[#This Row],[FIN]]-Tabla_producción_serigrafia[[#This Row],[INICIO]]+(Tabla_producción_serigrafia[[#This Row],[FIN]]&lt;Tabla_producción_serigrafia[[#This Row],[INICIO]]))*24,2)</f>
        <v>0.33</v>
      </c>
      <c r="G48" s="7" t="s">
        <v>57</v>
      </c>
      <c r="H48" s="3" t="s">
        <v>38</v>
      </c>
      <c r="I48" s="7" t="str">
        <f>IFERROR(INDEX(Tabla_control_serigrafia[PRODUCTO],MATCH(Tabla_producción_serigrafia[[#This Row],[LOTE]],Tabla_control_serigrafia[LOTE],0)),"-")</f>
        <v>-</v>
      </c>
      <c r="J48" t="str">
        <f>IFERROR(INDEX(Tabla_control_serigrafia[FORMATO DE FRASCO],MATCH(Tabla_producción_serigrafia[[#This Row],[LOTE]],Tabla_control_serigrafia[LOTE],0)),"-")</f>
        <v>-</v>
      </c>
      <c r="K48" t="str">
        <f>IFERROR(INDEX(Tabla_control_serigrafia[TIPO DE FRASCO],MATCH(Tabla_producción_serigrafia[[#This Row],[LOTE]],Tabla_control_serigrafia[LOTE],0)),"-")</f>
        <v>-</v>
      </c>
      <c r="L48" t="str">
        <f>IF(Tabla_producción_serigrafia[[#This Row],[ACCIÓN]]="PRODUCCIÓN",Tabla_producción_serigrafia[[#This Row],[FORMATO DE FRASCO]]&amp;" "&amp;Tabla_producción_serigrafia[[#This Row],[TIPO DE FRASCO]],"-")</f>
        <v>-</v>
      </c>
      <c r="M48" s="3" t="str">
        <f>IFERROR(INDEX(Tabla_control_serigrafia[CANTIDAD PEDIDA],MATCH(Tabla_producción_serigrafia[[#This Row],[LOTE]],Tabla_control_serigrafia[LOTE],0)),"-")</f>
        <v>-</v>
      </c>
      <c r="N48" s="14">
        <v>0</v>
      </c>
      <c r="O48" s="3">
        <v>0</v>
      </c>
      <c r="P48" s="3">
        <v>0</v>
      </c>
      <c r="Q4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48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8" t="s">
        <v>38</v>
      </c>
      <c r="T48" t="str">
        <f>UPPER(LEFT(TEXT(Tabla_producción_serigrafia[[#This Row],[FECHA]],"mmm"),3))</f>
        <v>ENE</v>
      </c>
      <c r="U48">
        <f>IFERROR(Tabla_producción_serigrafia[[#This Row],[CANTIDAD PRODUCIDA]]+Tabla_producción_serigrafia[[#This Row],[CANTIDAD RECHAZADA]],0)</f>
        <v>0</v>
      </c>
    </row>
    <row r="49" spans="1:21" x14ac:dyDescent="0.25">
      <c r="A49" s="10">
        <v>46052</v>
      </c>
      <c r="B49" s="10" t="s">
        <v>58</v>
      </c>
      <c r="C49" s="1" t="s">
        <v>68</v>
      </c>
      <c r="D49" s="9">
        <v>0.52083333333333337</v>
      </c>
      <c r="E49" s="13">
        <v>0.70833333333333337</v>
      </c>
      <c r="F49" s="11">
        <f>ROUND((Tabla_producción_serigrafia[[#This Row],[FIN]]-Tabla_producción_serigrafia[[#This Row],[INICIO]]+(Tabla_producción_serigrafia[[#This Row],[FIN]]&lt;Tabla_producción_serigrafia[[#This Row],[INICIO]]))*24,2)</f>
        <v>4.5</v>
      </c>
      <c r="G49" s="7" t="s">
        <v>56</v>
      </c>
      <c r="H49" s="3">
        <v>12685</v>
      </c>
      <c r="I49" s="7" t="str">
        <f>IFERROR(INDEX(Tabla_control_serigrafia[PRODUCTO],MATCH(Tabla_producción_serigrafia[[#This Row],[LOTE]],Tabla_control_serigrafia[LOTE],0)),"-")</f>
        <v>METRONIDAZOL 250 MG X 100 ML SUSP.</v>
      </c>
      <c r="J49" t="str">
        <f>IFERROR(INDEX(Tabla_control_serigrafia[FORMATO DE FRASCO],MATCH(Tabla_producción_serigrafia[[#This Row],[LOTE]],Tabla_control_serigrafia[LOTE],0)),"-")</f>
        <v>120 ML</v>
      </c>
      <c r="K49" t="str">
        <f>IFERROR(INDEX(Tabla_control_serigrafia[TIPO DE FRASCO],MATCH(Tabla_producción_serigrafia[[#This Row],[LOTE]],Tabla_control_serigrafia[LOTE],0)),"-")</f>
        <v>FRASCO BLANCO</v>
      </c>
      <c r="L4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49" s="3">
        <f>IFERROR(INDEX(Tabla_control_serigrafia[CANTIDAD PEDIDA],MATCH(Tabla_producción_serigrafia[[#This Row],[LOTE]],Tabla_control_serigrafia[LOTE],0)),"-")</f>
        <v>14706</v>
      </c>
      <c r="N49" s="14">
        <v>10500</v>
      </c>
      <c r="O49" s="3">
        <v>100</v>
      </c>
      <c r="P49" s="3" t="s">
        <v>178</v>
      </c>
      <c r="Q4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10500</v>
      </c>
      <c r="R49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49" t="s">
        <v>38</v>
      </c>
      <c r="T49" t="str">
        <f>UPPER(LEFT(TEXT(Tabla_producción_serigrafia[[#This Row],[FECHA]],"mmm"),3))</f>
        <v>ENE</v>
      </c>
      <c r="U49">
        <f>IFERROR(Tabla_producción_serigrafia[[#This Row],[CANTIDAD PRODUCIDA]]+Tabla_producción_serigrafia[[#This Row],[CANTIDAD RECHAZADA]],0)</f>
        <v>10600</v>
      </c>
    </row>
    <row r="50" spans="1:21" x14ac:dyDescent="0.25">
      <c r="A50" s="10">
        <v>46055</v>
      </c>
      <c r="B50" s="10" t="s">
        <v>58</v>
      </c>
      <c r="C50" s="1" t="s">
        <v>68</v>
      </c>
      <c r="D50" s="9">
        <v>0.33333333333333331</v>
      </c>
      <c r="E50" s="13">
        <v>0.35416666666666669</v>
      </c>
      <c r="F50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50" s="7" t="s">
        <v>57</v>
      </c>
      <c r="H50" s="3" t="s">
        <v>38</v>
      </c>
      <c r="I50" s="7" t="str">
        <f>IFERROR(INDEX(Tabla_control_serigrafia[PRODUCTO],MATCH(Tabla_producción_serigrafia[[#This Row],[LOTE]],Tabla_control_serigrafia[LOTE],0)),"-")</f>
        <v>-</v>
      </c>
      <c r="J50" t="str">
        <f>IFERROR(INDEX(Tabla_control_serigrafia[FORMATO DE FRASCO],MATCH(Tabla_producción_serigrafia[[#This Row],[LOTE]],Tabla_control_serigrafia[LOTE],0)),"-")</f>
        <v>-</v>
      </c>
      <c r="K50" t="str">
        <f>IFERROR(INDEX(Tabla_control_serigrafia[TIPO DE FRASCO],MATCH(Tabla_producción_serigrafia[[#This Row],[LOTE]],Tabla_control_serigrafia[LOTE],0)),"-")</f>
        <v>-</v>
      </c>
      <c r="L50" t="str">
        <f>IF(Tabla_producción_serigrafia[[#This Row],[ACCIÓN]]="PRODUCCIÓN",Tabla_producción_serigrafia[[#This Row],[FORMATO DE FRASCO]]&amp;" "&amp;Tabla_producción_serigrafia[[#This Row],[TIPO DE FRASCO]],"-")</f>
        <v>-</v>
      </c>
      <c r="M50" s="3" t="str">
        <f>IFERROR(INDEX(Tabla_control_serigrafia[CANTIDAD PEDIDA],MATCH(Tabla_producción_serigrafia[[#This Row],[LOTE]],Tabla_control_serigrafia[LOTE],0)),"-")</f>
        <v>-</v>
      </c>
      <c r="N50" s="14">
        <v>0</v>
      </c>
      <c r="O50" s="3">
        <v>0</v>
      </c>
      <c r="P50" s="3">
        <v>0</v>
      </c>
      <c r="Q5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50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50" t="s">
        <v>38</v>
      </c>
      <c r="T50" t="str">
        <f>UPPER(LEFT(TEXT(Tabla_producción_serigrafia[[#This Row],[FECHA]],"mmm"),3))</f>
        <v>FEB</v>
      </c>
      <c r="U50">
        <f>IFERROR(Tabla_producción_serigrafia[[#This Row],[CANTIDAD PRODUCIDA]]+Tabla_producción_serigrafia[[#This Row],[CANTIDAD RECHAZADA]],0)</f>
        <v>0</v>
      </c>
    </row>
    <row r="51" spans="1:21" x14ac:dyDescent="0.25">
      <c r="A51" s="10">
        <v>46055</v>
      </c>
      <c r="B51" s="10" t="s">
        <v>58</v>
      </c>
      <c r="C51" s="1" t="s">
        <v>68</v>
      </c>
      <c r="D51" s="9">
        <v>0.35416666666666669</v>
      </c>
      <c r="E51" s="13">
        <v>0.4375</v>
      </c>
      <c r="F51" s="11">
        <f>ROUND((Tabla_producción_serigrafia[[#This Row],[FIN]]-Tabla_producción_serigrafia[[#This Row],[INICIO]]+(Tabla_producción_serigrafia[[#This Row],[FIN]]&lt;Tabla_producción_serigrafia[[#This Row],[INICIO]]))*24,2)</f>
        <v>2</v>
      </c>
      <c r="G51" s="7" t="s">
        <v>56</v>
      </c>
      <c r="H51" s="3">
        <v>12685</v>
      </c>
      <c r="I51" s="7" t="str">
        <f>IFERROR(INDEX(Tabla_control_serigrafia[PRODUCTO],MATCH(Tabla_producción_serigrafia[[#This Row],[LOTE]],Tabla_control_serigrafia[LOTE],0)),"-")</f>
        <v>METRONIDAZOL 250 MG X 100 ML SUSP.</v>
      </c>
      <c r="J51" t="str">
        <f>IFERROR(INDEX(Tabla_control_serigrafia[FORMATO DE FRASCO],MATCH(Tabla_producción_serigrafia[[#This Row],[LOTE]],Tabla_control_serigrafia[LOTE],0)),"-")</f>
        <v>120 ML</v>
      </c>
      <c r="K51" t="str">
        <f>IFERROR(INDEX(Tabla_control_serigrafia[TIPO DE FRASCO],MATCH(Tabla_producción_serigrafia[[#This Row],[LOTE]],Tabla_control_serigrafia[LOTE],0)),"-")</f>
        <v>FRASCO BLANCO</v>
      </c>
      <c r="L5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51" s="3">
        <f>IFERROR(INDEX(Tabla_control_serigrafia[CANTIDAD PEDIDA],MATCH(Tabla_producción_serigrafia[[#This Row],[LOTE]],Tabla_control_serigrafia[LOTE],0)),"-")</f>
        <v>14706</v>
      </c>
      <c r="N51" s="14">
        <v>4306</v>
      </c>
      <c r="O51" s="3">
        <v>133</v>
      </c>
      <c r="P51" s="3" t="s">
        <v>62</v>
      </c>
      <c r="Q5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4306</v>
      </c>
      <c r="R51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31</v>
      </c>
      <c r="S51" t="s">
        <v>38</v>
      </c>
      <c r="T51" t="str">
        <f>UPPER(LEFT(TEXT(Tabla_producción_serigrafia[[#This Row],[FECHA]],"mmm"),3))</f>
        <v>FEB</v>
      </c>
      <c r="U51">
        <f>IFERROR(Tabla_producción_serigrafia[[#This Row],[CANTIDAD PRODUCIDA]]+Tabla_producción_serigrafia[[#This Row],[CANTIDAD RECHAZADA]],0)</f>
        <v>4439</v>
      </c>
    </row>
    <row r="52" spans="1:21" x14ac:dyDescent="0.25">
      <c r="A52" s="10">
        <v>46055</v>
      </c>
      <c r="B52" s="10" t="s">
        <v>58</v>
      </c>
      <c r="C52" s="1" t="s">
        <v>68</v>
      </c>
      <c r="D52" s="9">
        <v>0.4375</v>
      </c>
      <c r="E52" s="13">
        <v>0.45833333333333331</v>
      </c>
      <c r="F52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52" s="7" t="s">
        <v>57</v>
      </c>
      <c r="H52" s="3" t="s">
        <v>38</v>
      </c>
      <c r="I52" s="7" t="str">
        <f>IFERROR(INDEX(Tabla_control_serigrafia[PRODUCTO],MATCH(Tabla_producción_serigrafia[[#This Row],[LOTE]],Tabla_control_serigrafia[LOTE],0)),"-")</f>
        <v>-</v>
      </c>
      <c r="J52" t="str">
        <f>IFERROR(INDEX(Tabla_control_serigrafia[FORMATO DE FRASCO],MATCH(Tabla_producción_serigrafia[[#This Row],[LOTE]],Tabla_control_serigrafia[LOTE],0)),"-")</f>
        <v>-</v>
      </c>
      <c r="K52" t="str">
        <f>IFERROR(INDEX(Tabla_control_serigrafia[TIPO DE FRASCO],MATCH(Tabla_producción_serigrafia[[#This Row],[LOTE]],Tabla_control_serigrafia[LOTE],0)),"-")</f>
        <v>-</v>
      </c>
      <c r="L52" t="str">
        <f>IF(Tabla_producción_serigrafia[[#This Row],[ACCIÓN]]="PRODUCCIÓN",Tabla_producción_serigrafia[[#This Row],[FORMATO DE FRASCO]]&amp;" "&amp;Tabla_producción_serigrafia[[#This Row],[TIPO DE FRASCO]],"-")</f>
        <v>-</v>
      </c>
      <c r="M52" s="3" t="str">
        <f>IFERROR(INDEX(Tabla_control_serigrafia[CANTIDAD PEDIDA],MATCH(Tabla_producción_serigrafia[[#This Row],[LOTE]],Tabla_control_serigrafia[LOTE],0)),"-")</f>
        <v>-</v>
      </c>
      <c r="N52" s="14">
        <v>0</v>
      </c>
      <c r="O52" s="3">
        <v>0</v>
      </c>
      <c r="P52" s="3">
        <v>0</v>
      </c>
      <c r="Q5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52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52" t="s">
        <v>38</v>
      </c>
      <c r="T52" t="str">
        <f>UPPER(LEFT(TEXT(Tabla_producción_serigrafia[[#This Row],[FECHA]],"mmm"),3))</f>
        <v>FEB</v>
      </c>
      <c r="U52">
        <f>IFERROR(Tabla_producción_serigrafia[[#This Row],[CANTIDAD PRODUCIDA]]+Tabla_producción_serigrafia[[#This Row],[CANTIDAD RECHAZADA]],0)</f>
        <v>0</v>
      </c>
    </row>
    <row r="53" spans="1:21" x14ac:dyDescent="0.25">
      <c r="A53" s="10">
        <v>46055</v>
      </c>
      <c r="B53" s="10" t="s">
        <v>58</v>
      </c>
      <c r="C53" s="1" t="s">
        <v>68</v>
      </c>
      <c r="D53" s="9">
        <v>0.45833333333333331</v>
      </c>
      <c r="E53" s="13">
        <v>0.5</v>
      </c>
      <c r="F53" s="11">
        <f>ROUND((Tabla_producción_serigrafia[[#This Row],[FIN]]-Tabla_producción_serigrafia[[#This Row],[INICIO]]+(Tabla_producción_serigrafia[[#This Row],[FIN]]&lt;Tabla_producción_serigrafia[[#This Row],[INICIO]]))*24,2)</f>
        <v>1</v>
      </c>
      <c r="G53" s="7" t="s">
        <v>56</v>
      </c>
      <c r="H53" s="3">
        <v>12662</v>
      </c>
      <c r="I53" s="7" t="str">
        <f>IFERROR(INDEX(Tabla_control_serigrafia[PRODUCTO],MATCH(Tabla_producción_serigrafia[[#This Row],[LOTE]],Tabla_control_serigrafia[LOTE],0)),"-")</f>
        <v>SARNOL 20% X 100 ML LOCION</v>
      </c>
      <c r="J53" t="str">
        <f>IFERROR(INDEX(Tabla_control_serigrafia[FORMATO DE FRASCO],MATCH(Tabla_producción_serigrafia[[#This Row],[LOTE]],Tabla_control_serigrafia[LOTE],0)),"-")</f>
        <v>120 ML</v>
      </c>
      <c r="K53" t="str">
        <f>IFERROR(INDEX(Tabla_control_serigrafia[TIPO DE FRASCO],MATCH(Tabla_producción_serigrafia[[#This Row],[LOTE]],Tabla_control_serigrafia[LOTE],0)),"-")</f>
        <v>FRASCO NATURAL</v>
      </c>
      <c r="L53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53" s="3">
        <f>IFERROR(INDEX(Tabla_control_serigrafia[CANTIDAD PEDIDA],MATCH(Tabla_producción_serigrafia[[#This Row],[LOTE]],Tabla_control_serigrafia[LOTE],0)),"-")</f>
        <v>2000</v>
      </c>
      <c r="N53" s="14">
        <v>2100</v>
      </c>
      <c r="O53" s="3">
        <v>60</v>
      </c>
      <c r="P53" s="3" t="s">
        <v>62</v>
      </c>
      <c r="Q5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2100</v>
      </c>
      <c r="R53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31</v>
      </c>
      <c r="S53" t="s">
        <v>38</v>
      </c>
      <c r="T53" t="str">
        <f>UPPER(LEFT(TEXT(Tabla_producción_serigrafia[[#This Row],[FECHA]],"mmm"),3))</f>
        <v>FEB</v>
      </c>
      <c r="U53">
        <f>IFERROR(Tabla_producción_serigrafia[[#This Row],[CANTIDAD PRODUCIDA]]+Tabla_producción_serigrafia[[#This Row],[CANTIDAD RECHAZADA]],0)</f>
        <v>2160</v>
      </c>
    </row>
    <row r="54" spans="1:21" x14ac:dyDescent="0.25">
      <c r="A54" s="10">
        <v>46055</v>
      </c>
      <c r="B54" s="10" t="s">
        <v>58</v>
      </c>
      <c r="C54" s="1" t="s">
        <v>68</v>
      </c>
      <c r="D54" s="9">
        <v>0.5</v>
      </c>
      <c r="E54" s="13">
        <v>0.51388888888888895</v>
      </c>
      <c r="F54" s="11">
        <f>ROUND((Tabla_producción_serigrafia[[#This Row],[FIN]]-Tabla_producción_serigrafia[[#This Row],[INICIO]]+(Tabla_producción_serigrafia[[#This Row],[FIN]]&lt;Tabla_producción_serigrafia[[#This Row],[INICIO]]))*24,2)</f>
        <v>0.33</v>
      </c>
      <c r="G54" s="7" t="s">
        <v>57</v>
      </c>
      <c r="H54" s="3" t="s">
        <v>38</v>
      </c>
      <c r="I54" s="7" t="str">
        <f>IFERROR(INDEX(Tabla_control_serigrafia[PRODUCTO],MATCH(Tabla_producción_serigrafia[[#This Row],[LOTE]],Tabla_control_serigrafia[LOTE],0)),"-")</f>
        <v>-</v>
      </c>
      <c r="J54" t="str">
        <f>IFERROR(INDEX(Tabla_control_serigrafia[FORMATO DE FRASCO],MATCH(Tabla_producción_serigrafia[[#This Row],[LOTE]],Tabla_control_serigrafia[LOTE],0)),"-")</f>
        <v>-</v>
      </c>
      <c r="K54" t="str">
        <f>IFERROR(INDEX(Tabla_control_serigrafia[TIPO DE FRASCO],MATCH(Tabla_producción_serigrafia[[#This Row],[LOTE]],Tabla_control_serigrafia[LOTE],0)),"-")</f>
        <v>-</v>
      </c>
      <c r="L54" t="str">
        <f>IF(Tabla_producción_serigrafia[[#This Row],[ACCIÓN]]="PRODUCCIÓN",Tabla_producción_serigrafia[[#This Row],[FORMATO DE FRASCO]]&amp;" "&amp;Tabla_producción_serigrafia[[#This Row],[TIPO DE FRASCO]],"-")</f>
        <v>-</v>
      </c>
      <c r="M54" s="3" t="str">
        <f>IFERROR(INDEX(Tabla_control_serigrafia[CANTIDAD PEDIDA],MATCH(Tabla_producción_serigrafia[[#This Row],[LOTE]],Tabla_control_serigrafia[LOTE],0)),"-")</f>
        <v>-</v>
      </c>
      <c r="N54" s="14">
        <v>0</v>
      </c>
      <c r="O54" s="3">
        <v>0</v>
      </c>
      <c r="P54" s="3">
        <v>0</v>
      </c>
      <c r="Q5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54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54" t="s">
        <v>38</v>
      </c>
      <c r="T54" t="str">
        <f>UPPER(LEFT(TEXT(Tabla_producción_serigrafia[[#This Row],[FECHA]],"mmm"),3))</f>
        <v>FEB</v>
      </c>
      <c r="U54">
        <f>IFERROR(Tabla_producción_serigrafia[[#This Row],[CANTIDAD PRODUCIDA]]+Tabla_producción_serigrafia[[#This Row],[CANTIDAD RECHAZADA]],0)</f>
        <v>0</v>
      </c>
    </row>
    <row r="55" spans="1:21" x14ac:dyDescent="0.25">
      <c r="A55" s="10">
        <v>46055</v>
      </c>
      <c r="B55" s="10" t="s">
        <v>58</v>
      </c>
      <c r="C55" s="1" t="s">
        <v>68</v>
      </c>
      <c r="D55" s="9">
        <v>0.51388888888888895</v>
      </c>
      <c r="E55" s="13">
        <v>0.60416666666666663</v>
      </c>
      <c r="F55" s="11">
        <f>ROUND((Tabla_producción_serigrafia[[#This Row],[FIN]]-Tabla_producción_serigrafia[[#This Row],[INICIO]]+(Tabla_producción_serigrafia[[#This Row],[FIN]]&lt;Tabla_producción_serigrafia[[#This Row],[INICIO]]))*24,2)</f>
        <v>2.17</v>
      </c>
      <c r="G55" s="7" t="s">
        <v>56</v>
      </c>
      <c r="H55" s="3">
        <v>12663</v>
      </c>
      <c r="I55" s="7" t="str">
        <f>IFERROR(INDEX(Tabla_control_serigrafia[PRODUCTO],MATCH(Tabla_producción_serigrafia[[#This Row],[LOTE]],Tabla_control_serigrafia[LOTE],0)),"-")</f>
        <v>SARNOL 20% X 100 ML LOCION</v>
      </c>
      <c r="J55" t="str">
        <f>IFERROR(INDEX(Tabla_control_serigrafia[FORMATO DE FRASCO],MATCH(Tabla_producción_serigrafia[[#This Row],[LOTE]],Tabla_control_serigrafia[LOTE],0)),"-")</f>
        <v>120 ML</v>
      </c>
      <c r="K55" t="str">
        <f>IFERROR(INDEX(Tabla_control_serigrafia[TIPO DE FRASCO],MATCH(Tabla_producción_serigrafia[[#This Row],[LOTE]],Tabla_control_serigrafia[LOTE],0)),"-")</f>
        <v>FRASCO NATURAL</v>
      </c>
      <c r="L55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55" s="3">
        <f>IFERROR(INDEX(Tabla_control_serigrafia[CANTIDAD PEDIDA],MATCH(Tabla_producción_serigrafia[[#This Row],[LOTE]],Tabla_control_serigrafia[LOTE],0)),"-")</f>
        <v>6000</v>
      </c>
      <c r="N55" s="14">
        <v>6100</v>
      </c>
      <c r="O55" s="3">
        <v>70</v>
      </c>
      <c r="P55" s="3" t="s">
        <v>62</v>
      </c>
      <c r="Q5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55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31</v>
      </c>
      <c r="S55" t="s">
        <v>38</v>
      </c>
      <c r="T55" t="str">
        <f>UPPER(LEFT(TEXT(Tabla_producción_serigrafia[[#This Row],[FECHA]],"mmm"),3))</f>
        <v>FEB</v>
      </c>
      <c r="U55">
        <f>IFERROR(Tabla_producción_serigrafia[[#This Row],[CANTIDAD PRODUCIDA]]+Tabla_producción_serigrafia[[#This Row],[CANTIDAD RECHAZADA]],0)</f>
        <v>6170</v>
      </c>
    </row>
    <row r="56" spans="1:21" x14ac:dyDescent="0.25">
      <c r="A56" s="10">
        <v>46055</v>
      </c>
      <c r="B56" s="10" t="s">
        <v>58</v>
      </c>
      <c r="C56" s="1" t="s">
        <v>68</v>
      </c>
      <c r="D56" s="9">
        <v>0.61111111111111105</v>
      </c>
      <c r="E56" s="13">
        <v>0.71527777777777779</v>
      </c>
      <c r="F56" s="11">
        <f>ROUND((Tabla_producción_serigrafia[[#This Row],[FIN]]-Tabla_producción_serigrafia[[#This Row],[INICIO]]+(Tabla_producción_serigrafia[[#This Row],[FIN]]&lt;Tabla_producción_serigrafia[[#This Row],[INICIO]]))*24,2)</f>
        <v>2.5</v>
      </c>
      <c r="G56" s="7" t="s">
        <v>56</v>
      </c>
      <c r="H56" s="3">
        <v>12664</v>
      </c>
      <c r="I56" s="7" t="str">
        <f>IFERROR(INDEX(Tabla_control_serigrafia[PRODUCTO],MATCH(Tabla_producción_serigrafia[[#This Row],[LOTE]],Tabla_control_serigrafia[LOTE],0)),"-")</f>
        <v>SARNOL 20% X 100 ML LOCION</v>
      </c>
      <c r="J56" t="str">
        <f>IFERROR(INDEX(Tabla_control_serigrafia[FORMATO DE FRASCO],MATCH(Tabla_producción_serigrafia[[#This Row],[LOTE]],Tabla_control_serigrafia[LOTE],0)),"-")</f>
        <v>120 ML</v>
      </c>
      <c r="K56" t="str">
        <f>IFERROR(INDEX(Tabla_control_serigrafia[TIPO DE FRASCO],MATCH(Tabla_producción_serigrafia[[#This Row],[LOTE]],Tabla_control_serigrafia[LOTE],0)),"-")</f>
        <v>FRASCO NATURAL</v>
      </c>
      <c r="L56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56" s="3">
        <f>IFERROR(INDEX(Tabla_control_serigrafia[CANTIDAD PEDIDA],MATCH(Tabla_producción_serigrafia[[#This Row],[LOTE]],Tabla_control_serigrafia[LOTE],0)),"-")</f>
        <v>6000</v>
      </c>
      <c r="N56" s="14">
        <v>6100</v>
      </c>
      <c r="O56" s="3">
        <v>66</v>
      </c>
      <c r="P56" s="3" t="s">
        <v>62</v>
      </c>
      <c r="Q5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56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31</v>
      </c>
      <c r="S56" t="s">
        <v>38</v>
      </c>
      <c r="T56" t="str">
        <f>UPPER(LEFT(TEXT(Tabla_producción_serigrafia[[#This Row],[FECHA]],"mmm"),3))</f>
        <v>FEB</v>
      </c>
      <c r="U56">
        <f>IFERROR(Tabla_producción_serigrafia[[#This Row],[CANTIDAD PRODUCIDA]]+Tabla_producción_serigrafia[[#This Row],[CANTIDAD RECHAZADA]],0)</f>
        <v>6166</v>
      </c>
    </row>
    <row r="57" spans="1:21" x14ac:dyDescent="0.25">
      <c r="A57" s="10">
        <v>46056</v>
      </c>
      <c r="B57" s="10" t="s">
        <v>58</v>
      </c>
      <c r="C57" s="1" t="s">
        <v>68</v>
      </c>
      <c r="D57" s="9">
        <v>0.33333333333333331</v>
      </c>
      <c r="E57" s="13">
        <v>0.35416666666666669</v>
      </c>
      <c r="F57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57" s="7" t="s">
        <v>57</v>
      </c>
      <c r="H57" s="3" t="s">
        <v>38</v>
      </c>
      <c r="I57" s="7" t="str">
        <f>IFERROR(INDEX(Tabla_control_serigrafia[PRODUCTO],MATCH(Tabla_producción_serigrafia[[#This Row],[LOTE]],Tabla_control_serigrafia[LOTE],0)),"-")</f>
        <v>-</v>
      </c>
      <c r="J57" t="str">
        <f>IFERROR(INDEX(Tabla_control_serigrafia[FORMATO DE FRASCO],MATCH(Tabla_producción_serigrafia[[#This Row],[LOTE]],Tabla_control_serigrafia[LOTE],0)),"-")</f>
        <v>-</v>
      </c>
      <c r="K57" t="str">
        <f>IFERROR(INDEX(Tabla_control_serigrafia[TIPO DE FRASCO],MATCH(Tabla_producción_serigrafia[[#This Row],[LOTE]],Tabla_control_serigrafia[LOTE],0)),"-")</f>
        <v>-</v>
      </c>
      <c r="L57" t="str">
        <f>IF(Tabla_producción_serigrafia[[#This Row],[ACCIÓN]]="PRODUCCIÓN",Tabla_producción_serigrafia[[#This Row],[FORMATO DE FRASCO]]&amp;" "&amp;Tabla_producción_serigrafia[[#This Row],[TIPO DE FRASCO]],"-")</f>
        <v>-</v>
      </c>
      <c r="M57" s="3" t="str">
        <f>IFERROR(INDEX(Tabla_control_serigrafia[CANTIDAD PEDIDA],MATCH(Tabla_producción_serigrafia[[#This Row],[LOTE]],Tabla_control_serigrafia[LOTE],0)),"-")</f>
        <v>-</v>
      </c>
      <c r="N57" s="14">
        <v>0</v>
      </c>
      <c r="O57" s="3">
        <v>0</v>
      </c>
      <c r="P57" s="3">
        <v>0</v>
      </c>
      <c r="Q5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57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57" t="s">
        <v>38</v>
      </c>
      <c r="T57" t="str">
        <f>UPPER(LEFT(TEXT(Tabla_producción_serigrafia[[#This Row],[FECHA]],"mmm"),3))</f>
        <v>FEB</v>
      </c>
      <c r="U57">
        <f>IFERROR(Tabla_producción_serigrafia[[#This Row],[CANTIDAD PRODUCIDA]]+Tabla_producción_serigrafia[[#This Row],[CANTIDAD RECHAZADA]],0)</f>
        <v>0</v>
      </c>
    </row>
    <row r="58" spans="1:21" x14ac:dyDescent="0.25">
      <c r="A58" s="10">
        <v>46056</v>
      </c>
      <c r="B58" s="10" t="s">
        <v>58</v>
      </c>
      <c r="C58" s="1" t="s">
        <v>68</v>
      </c>
      <c r="D58" s="9">
        <v>0.35416666666666669</v>
      </c>
      <c r="E58" s="13">
        <v>0.47916666666666669</v>
      </c>
      <c r="F58" s="11">
        <f>ROUND((Tabla_producción_serigrafia[[#This Row],[FIN]]-Tabla_producción_serigrafia[[#This Row],[INICIO]]+(Tabla_producción_serigrafia[[#This Row],[FIN]]&lt;Tabla_producción_serigrafia[[#This Row],[INICIO]]))*24,2)</f>
        <v>3</v>
      </c>
      <c r="G58" s="7" t="s">
        <v>56</v>
      </c>
      <c r="H58" s="3">
        <v>12665</v>
      </c>
      <c r="I58" s="7" t="str">
        <f>IFERROR(INDEX(Tabla_control_serigrafia[PRODUCTO],MATCH(Tabla_producción_serigrafia[[#This Row],[LOTE]],Tabla_control_serigrafia[LOTE],0)),"-")</f>
        <v>SARNOL 20% X 100 ML LOCION</v>
      </c>
      <c r="J58" t="str">
        <f>IFERROR(INDEX(Tabla_control_serigrafia[FORMATO DE FRASCO],MATCH(Tabla_producción_serigrafia[[#This Row],[LOTE]],Tabla_control_serigrafia[LOTE],0)),"-")</f>
        <v>120 ML</v>
      </c>
      <c r="K58" t="str">
        <f>IFERROR(INDEX(Tabla_control_serigrafia[TIPO DE FRASCO],MATCH(Tabla_producción_serigrafia[[#This Row],[LOTE]],Tabla_control_serigrafia[LOTE],0)),"-")</f>
        <v>FRASCO NATURAL</v>
      </c>
      <c r="L58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58" s="3">
        <f>IFERROR(INDEX(Tabla_control_serigrafia[CANTIDAD PEDIDA],MATCH(Tabla_producción_serigrafia[[#This Row],[LOTE]],Tabla_control_serigrafia[LOTE],0)),"-")</f>
        <v>6000</v>
      </c>
      <c r="N58" s="14">
        <v>6100</v>
      </c>
      <c r="O58" s="3">
        <v>70</v>
      </c>
      <c r="P58" s="3" t="s">
        <v>62</v>
      </c>
      <c r="Q5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58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32</v>
      </c>
      <c r="S58" t="s">
        <v>38</v>
      </c>
      <c r="T58" t="str">
        <f>UPPER(LEFT(TEXT(Tabla_producción_serigrafia[[#This Row],[FECHA]],"mmm"),3))</f>
        <v>FEB</v>
      </c>
      <c r="U58">
        <f>IFERROR(Tabla_producción_serigrafia[[#This Row],[CANTIDAD PRODUCIDA]]+Tabla_producción_serigrafia[[#This Row],[CANTIDAD RECHAZADA]],0)</f>
        <v>6170</v>
      </c>
    </row>
    <row r="59" spans="1:21" x14ac:dyDescent="0.25">
      <c r="A59" s="10">
        <v>46056</v>
      </c>
      <c r="B59" s="10" t="s">
        <v>58</v>
      </c>
      <c r="C59" s="1" t="s">
        <v>68</v>
      </c>
      <c r="D59" s="9">
        <v>0.47916666666666669</v>
      </c>
      <c r="E59" s="13">
        <v>0.5625</v>
      </c>
      <c r="F59" s="11">
        <f>ROUND((Tabla_producción_serigrafia[[#This Row],[FIN]]-Tabla_producción_serigrafia[[#This Row],[INICIO]]+(Tabla_producción_serigrafia[[#This Row],[FIN]]&lt;Tabla_producción_serigrafia[[#This Row],[INICIO]]))*24,2)</f>
        <v>2</v>
      </c>
      <c r="G59" s="7" t="s">
        <v>64</v>
      </c>
      <c r="H59" s="3" t="s">
        <v>38</v>
      </c>
      <c r="I59" s="7" t="str">
        <f>IFERROR(INDEX(Tabla_control_serigrafia[PRODUCTO],MATCH(Tabla_producción_serigrafia[[#This Row],[LOTE]],Tabla_control_serigrafia[LOTE],0)),"-")</f>
        <v>-</v>
      </c>
      <c r="J59" t="str">
        <f>IFERROR(INDEX(Tabla_control_serigrafia[FORMATO DE FRASCO],MATCH(Tabla_producción_serigrafia[[#This Row],[LOTE]],Tabla_control_serigrafia[LOTE],0)),"-")</f>
        <v>-</v>
      </c>
      <c r="K59" t="str">
        <f>IFERROR(INDEX(Tabla_control_serigrafia[TIPO DE FRASCO],MATCH(Tabla_producción_serigrafia[[#This Row],[LOTE]],Tabla_control_serigrafia[LOTE],0)),"-")</f>
        <v>-</v>
      </c>
      <c r="L59" t="str">
        <f>IF(Tabla_producción_serigrafia[[#This Row],[ACCIÓN]]="PRODUCCIÓN",Tabla_producción_serigrafia[[#This Row],[FORMATO DE FRASCO]]&amp;" "&amp;Tabla_producción_serigrafia[[#This Row],[TIPO DE FRASCO]],"-")</f>
        <v>-</v>
      </c>
      <c r="M59" s="3" t="str">
        <f>IFERROR(INDEX(Tabla_control_serigrafia[CANTIDAD PEDIDA],MATCH(Tabla_producción_serigrafia[[#This Row],[LOTE]],Tabla_control_serigrafia[LOTE],0)),"-")</f>
        <v>-</v>
      </c>
      <c r="N59" s="14">
        <v>0</v>
      </c>
      <c r="O59" s="3">
        <v>0</v>
      </c>
      <c r="P59" s="3">
        <v>0</v>
      </c>
      <c r="Q5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59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59" t="s">
        <v>93</v>
      </c>
      <c r="T59" t="str">
        <f>UPPER(LEFT(TEXT(Tabla_producción_serigrafia[[#This Row],[FECHA]],"mmm"),3))</f>
        <v>FEB</v>
      </c>
      <c r="U59">
        <f>IFERROR(Tabla_producción_serigrafia[[#This Row],[CANTIDAD PRODUCIDA]]+Tabla_producción_serigrafia[[#This Row],[CANTIDAD RECHAZADA]],0)</f>
        <v>0</v>
      </c>
    </row>
    <row r="60" spans="1:21" x14ac:dyDescent="0.25">
      <c r="A60" s="10">
        <v>46056</v>
      </c>
      <c r="B60" s="10" t="s">
        <v>58</v>
      </c>
      <c r="C60" s="1" t="s">
        <v>68</v>
      </c>
      <c r="D60" s="9">
        <v>0.58333333333333337</v>
      </c>
      <c r="E60" s="13">
        <v>0.59722222222222221</v>
      </c>
      <c r="F60" s="11">
        <f>ROUND((Tabla_producción_serigrafia[[#This Row],[FIN]]-Tabla_producción_serigrafia[[#This Row],[INICIO]]+(Tabla_producción_serigrafia[[#This Row],[FIN]]&lt;Tabla_producción_serigrafia[[#This Row],[INICIO]]))*24,2)</f>
        <v>0.33</v>
      </c>
      <c r="G60" s="7" t="s">
        <v>57</v>
      </c>
      <c r="H60" s="3" t="s">
        <v>38</v>
      </c>
      <c r="I60" s="7" t="str">
        <f>IFERROR(INDEX(Tabla_control_serigrafia[PRODUCTO],MATCH(Tabla_producción_serigrafia[[#This Row],[LOTE]],Tabla_control_serigrafia[LOTE],0)),"-")</f>
        <v>-</v>
      </c>
      <c r="J60" t="str">
        <f>IFERROR(INDEX(Tabla_control_serigrafia[FORMATO DE FRASCO],MATCH(Tabla_producción_serigrafia[[#This Row],[LOTE]],Tabla_control_serigrafia[LOTE],0)),"-")</f>
        <v>-</v>
      </c>
      <c r="K60" t="str">
        <f>IFERROR(INDEX(Tabla_control_serigrafia[TIPO DE FRASCO],MATCH(Tabla_producción_serigrafia[[#This Row],[LOTE]],Tabla_control_serigrafia[LOTE],0)),"-")</f>
        <v>-</v>
      </c>
      <c r="L60" t="str">
        <f>IF(Tabla_producción_serigrafia[[#This Row],[ACCIÓN]]="PRODUCCIÓN",Tabla_producción_serigrafia[[#This Row],[FORMATO DE FRASCO]]&amp;" "&amp;Tabla_producción_serigrafia[[#This Row],[TIPO DE FRASCO]],"-")</f>
        <v>-</v>
      </c>
      <c r="M60" s="3" t="str">
        <f>IFERROR(INDEX(Tabla_control_serigrafia[CANTIDAD PEDIDA],MATCH(Tabla_producción_serigrafia[[#This Row],[LOTE]],Tabla_control_serigrafia[LOTE],0)),"-")</f>
        <v>-</v>
      </c>
      <c r="N60" s="14">
        <v>0</v>
      </c>
      <c r="O60" s="3">
        <v>0</v>
      </c>
      <c r="P60" s="3">
        <v>0</v>
      </c>
      <c r="Q6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60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0" t="s">
        <v>38</v>
      </c>
      <c r="T60" t="str">
        <f>UPPER(LEFT(TEXT(Tabla_producción_serigrafia[[#This Row],[FECHA]],"mmm"),3))</f>
        <v>FEB</v>
      </c>
      <c r="U60">
        <f>IFERROR(Tabla_producción_serigrafia[[#This Row],[CANTIDAD PRODUCIDA]]+Tabla_producción_serigrafia[[#This Row],[CANTIDAD RECHAZADA]],0)</f>
        <v>0</v>
      </c>
    </row>
    <row r="61" spans="1:21" x14ac:dyDescent="0.25">
      <c r="A61" s="10">
        <v>46056</v>
      </c>
      <c r="B61" s="10" t="s">
        <v>58</v>
      </c>
      <c r="C61" s="1" t="s">
        <v>68</v>
      </c>
      <c r="D61" s="9">
        <v>0.59722222222222221</v>
      </c>
      <c r="E61" s="13">
        <v>0.70833333333333337</v>
      </c>
      <c r="F61" s="11">
        <f>ROUND((Tabla_producción_serigrafia[[#This Row],[FIN]]-Tabla_producción_serigrafia[[#This Row],[INICIO]]+(Tabla_producción_serigrafia[[#This Row],[FIN]]&lt;Tabla_producción_serigrafia[[#This Row],[INICIO]]))*24,2)</f>
        <v>2.67</v>
      </c>
      <c r="G61" s="7" t="s">
        <v>56</v>
      </c>
      <c r="H61" s="3">
        <v>12692</v>
      </c>
      <c r="I61" s="7" t="str">
        <f>IFERROR(INDEX(Tabla_control_serigrafia[PRODUCTO],MATCH(Tabla_producción_serigrafia[[#This Row],[LOTE]],Tabla_control_serigrafia[LOTE],0)),"-")</f>
        <v>AMOXICILINA-ACIDO CLAVULANICO 250/62,5 MG X 100 ML POLVO PARA SUSP.</v>
      </c>
      <c r="J61" t="str">
        <f>IFERROR(INDEX(Tabla_control_serigrafia[FORMATO DE FRASCO],MATCH(Tabla_producción_serigrafia[[#This Row],[LOTE]],Tabla_control_serigrafia[LOTE],0)),"-")</f>
        <v>170 ML</v>
      </c>
      <c r="K61" t="str">
        <f>IFERROR(INDEX(Tabla_control_serigrafia[TIPO DE FRASCO],MATCH(Tabla_producción_serigrafia[[#This Row],[LOTE]],Tabla_control_serigrafia[LOTE],0)),"-")</f>
        <v>FRASCO NATURAL</v>
      </c>
      <c r="L61" t="str">
        <f>IF(Tabla_producción_serigrafia[[#This Row],[ACCIÓN]]="PRODUCCIÓN",Tabla_producción_serigrafia[[#This Row],[FORMATO DE FRASCO]]&amp;" "&amp;Tabla_producción_serigrafia[[#This Row],[TIPO DE FRASCO]],"-")</f>
        <v>170 ML FRASCO NATURAL</v>
      </c>
      <c r="M61" s="3">
        <f>IFERROR(INDEX(Tabla_control_serigrafia[CANTIDAD PEDIDA],MATCH(Tabla_producción_serigrafia[[#This Row],[LOTE]],Tabla_control_serigrafia[LOTE],0)),"-")</f>
        <v>6000</v>
      </c>
      <c r="N61" s="14">
        <v>6100</v>
      </c>
      <c r="O61" s="3">
        <v>60</v>
      </c>
      <c r="P61" s="3" t="s">
        <v>62</v>
      </c>
      <c r="Q6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61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18</v>
      </c>
      <c r="S61" t="s">
        <v>38</v>
      </c>
      <c r="T61" t="str">
        <f>UPPER(LEFT(TEXT(Tabla_producción_serigrafia[[#This Row],[FECHA]],"mmm"),3))</f>
        <v>FEB</v>
      </c>
      <c r="U61">
        <f>IFERROR(Tabla_producción_serigrafia[[#This Row],[CANTIDAD PRODUCIDA]]+Tabla_producción_serigrafia[[#This Row],[CANTIDAD RECHAZADA]],0)</f>
        <v>6160</v>
      </c>
    </row>
    <row r="62" spans="1:21" x14ac:dyDescent="0.25">
      <c r="A62" s="10">
        <v>46057</v>
      </c>
      <c r="B62" s="10" t="s">
        <v>81</v>
      </c>
      <c r="C62" s="1" t="s">
        <v>65</v>
      </c>
      <c r="D62" s="9">
        <v>0.33333333333333331</v>
      </c>
      <c r="E62" s="13">
        <v>0.4375</v>
      </c>
      <c r="F62" s="11">
        <f>ROUND((Tabla_producción_serigrafia[[#This Row],[FIN]]-Tabla_producción_serigrafia[[#This Row],[INICIO]]+(Tabla_producción_serigrafia[[#This Row],[FIN]]&lt;Tabla_producción_serigrafia[[#This Row],[INICIO]]))*24,2)</f>
        <v>2.5</v>
      </c>
      <c r="G62" s="7" t="s">
        <v>57</v>
      </c>
      <c r="H62" s="3" t="s">
        <v>38</v>
      </c>
      <c r="I62" s="7" t="str">
        <f>IFERROR(INDEX(Tabla_control_serigrafia[PRODUCTO],MATCH(Tabla_producción_serigrafia[[#This Row],[LOTE]],Tabla_control_serigrafia[LOTE],0)),"-")</f>
        <v>-</v>
      </c>
      <c r="J62" t="str">
        <f>IFERROR(INDEX(Tabla_control_serigrafia[FORMATO DE FRASCO],MATCH(Tabla_producción_serigrafia[[#This Row],[LOTE]],Tabla_control_serigrafia[LOTE],0)),"-")</f>
        <v>-</v>
      </c>
      <c r="K62" t="str">
        <f>IFERROR(INDEX(Tabla_control_serigrafia[TIPO DE FRASCO],MATCH(Tabla_producción_serigrafia[[#This Row],[LOTE]],Tabla_control_serigrafia[LOTE],0)),"-")</f>
        <v>-</v>
      </c>
      <c r="L62" t="str">
        <f>IF(Tabla_producción_serigrafia[[#This Row],[ACCIÓN]]="PRODUCCIÓN",Tabla_producción_serigrafia[[#This Row],[FORMATO DE FRASCO]]&amp;" "&amp;Tabla_producción_serigrafia[[#This Row],[TIPO DE FRASCO]],"-")</f>
        <v>-</v>
      </c>
      <c r="M62" s="3" t="str">
        <f>IFERROR(INDEX(Tabla_control_serigrafia[CANTIDAD PEDIDA],MATCH(Tabla_producción_serigrafia[[#This Row],[LOTE]],Tabla_control_serigrafia[LOTE],0)),"-")</f>
        <v>-</v>
      </c>
      <c r="N62" s="14">
        <v>0</v>
      </c>
      <c r="O62" s="3">
        <v>0</v>
      </c>
      <c r="P62" s="3">
        <v>0</v>
      </c>
      <c r="Q6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62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2" t="s">
        <v>38</v>
      </c>
      <c r="T62" t="str">
        <f>UPPER(LEFT(TEXT(Tabla_producción_serigrafia[[#This Row],[FECHA]],"mmm"),3))</f>
        <v>FEB</v>
      </c>
      <c r="U62">
        <f>IFERROR(Tabla_producción_serigrafia[[#This Row],[CANTIDAD PRODUCIDA]]+Tabla_producción_serigrafia[[#This Row],[CANTIDAD RECHAZADA]],0)</f>
        <v>0</v>
      </c>
    </row>
    <row r="63" spans="1:21" x14ac:dyDescent="0.25">
      <c r="A63" s="10">
        <v>46057</v>
      </c>
      <c r="B63" s="10" t="s">
        <v>81</v>
      </c>
      <c r="C63" s="1" t="s">
        <v>65</v>
      </c>
      <c r="D63" s="9">
        <v>0.4375</v>
      </c>
      <c r="E63" s="13">
        <v>0.72916666666666663</v>
      </c>
      <c r="F63" s="11">
        <f>ROUND((Tabla_producción_serigrafia[[#This Row],[FIN]]-Tabla_producción_serigrafia[[#This Row],[INICIO]]+(Tabla_producción_serigrafia[[#This Row],[FIN]]&lt;Tabla_producción_serigrafia[[#This Row],[INICIO]]))*24,2)</f>
        <v>7</v>
      </c>
      <c r="G63" s="7" t="s">
        <v>56</v>
      </c>
      <c r="H63" s="3">
        <v>122567</v>
      </c>
      <c r="I63" s="7" t="s">
        <v>91</v>
      </c>
      <c r="J63" t="s">
        <v>28</v>
      </c>
      <c r="K63" t="s">
        <v>39</v>
      </c>
      <c r="L63" t="s">
        <v>92</v>
      </c>
      <c r="M63" s="3">
        <v>10000</v>
      </c>
      <c r="N63" s="14">
        <v>3300</v>
      </c>
      <c r="O63" s="3">
        <v>200</v>
      </c>
      <c r="P63" s="3" t="s">
        <v>178</v>
      </c>
      <c r="Q6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1650</v>
      </c>
      <c r="R63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3" t="s">
        <v>96</v>
      </c>
      <c r="T63" t="str">
        <f>UPPER(LEFT(TEXT(Tabla_producción_serigrafia[[#This Row],[FECHA]],"mmm"),3))</f>
        <v>FEB</v>
      </c>
      <c r="U63">
        <f>IFERROR(Tabla_producción_serigrafia[[#This Row],[CANTIDAD PRODUCIDA]]+Tabla_producción_serigrafia[[#This Row],[CANTIDAD RECHAZADA]],0)</f>
        <v>3500</v>
      </c>
    </row>
    <row r="64" spans="1:21" x14ac:dyDescent="0.25">
      <c r="A64" s="10">
        <v>46058</v>
      </c>
      <c r="B64" s="10" t="s">
        <v>81</v>
      </c>
      <c r="C64" s="1" t="s">
        <v>65</v>
      </c>
      <c r="D64" s="9">
        <v>0.375</v>
      </c>
      <c r="E64" s="13">
        <v>0.72916666666666663</v>
      </c>
      <c r="F64" s="11">
        <f>ROUND((Tabla_producción_serigrafia[[#This Row],[FIN]]-Tabla_producción_serigrafia[[#This Row],[INICIO]]+(Tabla_producción_serigrafia[[#This Row],[FIN]]&lt;Tabla_producción_serigrafia[[#This Row],[INICIO]]))*24,2)</f>
        <v>8.5</v>
      </c>
      <c r="G64" s="7" t="s">
        <v>56</v>
      </c>
      <c r="H64" s="3">
        <v>122567</v>
      </c>
      <c r="I64" s="7" t="s">
        <v>91</v>
      </c>
      <c r="J64" t="s">
        <v>28</v>
      </c>
      <c r="K64" t="s">
        <v>39</v>
      </c>
      <c r="L64" t="s">
        <v>92</v>
      </c>
      <c r="M64" s="3">
        <v>10000</v>
      </c>
      <c r="N64" s="14">
        <v>4000</v>
      </c>
      <c r="O64" s="3">
        <v>375</v>
      </c>
      <c r="P64" s="3" t="s">
        <v>178</v>
      </c>
      <c r="Q6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</v>
      </c>
      <c r="R64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4" t="s">
        <v>96</v>
      </c>
      <c r="T64" t="str">
        <f>UPPER(LEFT(TEXT(Tabla_producción_serigrafia[[#This Row],[FECHA]],"mmm"),3))</f>
        <v>FEB</v>
      </c>
      <c r="U64">
        <f>IFERROR(Tabla_producción_serigrafia[[#This Row],[CANTIDAD PRODUCIDA]]+Tabla_producción_serigrafia[[#This Row],[CANTIDAD RECHAZADA]],0)</f>
        <v>4375</v>
      </c>
    </row>
    <row r="65" spans="1:21" x14ac:dyDescent="0.25">
      <c r="A65" s="10">
        <v>46059</v>
      </c>
      <c r="B65" s="10" t="s">
        <v>81</v>
      </c>
      <c r="C65" s="1" t="s">
        <v>65</v>
      </c>
      <c r="D65" s="9">
        <v>0.375</v>
      </c>
      <c r="E65" s="13">
        <v>0.625</v>
      </c>
      <c r="F65" s="11">
        <f>ROUND((Tabla_producción_serigrafia[[#This Row],[FIN]]-Tabla_producción_serigrafia[[#This Row],[INICIO]]+(Tabla_producción_serigrafia[[#This Row],[FIN]]&lt;Tabla_producción_serigrafia[[#This Row],[INICIO]]))*24,2)</f>
        <v>6</v>
      </c>
      <c r="G65" s="7" t="s">
        <v>56</v>
      </c>
      <c r="H65" s="3">
        <v>122567</v>
      </c>
      <c r="I65" s="7" t="s">
        <v>91</v>
      </c>
      <c r="J65" t="s">
        <v>28</v>
      </c>
      <c r="K65" t="s">
        <v>39</v>
      </c>
      <c r="L65" t="s">
        <v>92</v>
      </c>
      <c r="M65" s="3">
        <v>10000</v>
      </c>
      <c r="N65" s="14">
        <v>3200</v>
      </c>
      <c r="O65" s="3">
        <v>293</v>
      </c>
      <c r="P65" s="3" t="s">
        <v>178</v>
      </c>
      <c r="Q6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1600</v>
      </c>
      <c r="R65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5" t="s">
        <v>96</v>
      </c>
      <c r="T65" t="str">
        <f>UPPER(LEFT(TEXT(Tabla_producción_serigrafia[[#This Row],[FECHA]],"mmm"),3))</f>
        <v>FEB</v>
      </c>
      <c r="U65">
        <f>IFERROR(Tabla_producción_serigrafia[[#This Row],[CANTIDAD PRODUCIDA]]+Tabla_producción_serigrafia[[#This Row],[CANTIDAD RECHAZADA]],0)</f>
        <v>3493</v>
      </c>
    </row>
    <row r="66" spans="1:21" x14ac:dyDescent="0.25">
      <c r="A66" s="10">
        <v>46059</v>
      </c>
      <c r="B66" s="10" t="s">
        <v>81</v>
      </c>
      <c r="C66" s="1" t="s">
        <v>65</v>
      </c>
      <c r="D66" s="9">
        <v>0.625</v>
      </c>
      <c r="E66" s="13">
        <v>0.72916666666666663</v>
      </c>
      <c r="F66" s="11">
        <f>ROUND((Tabla_producción_serigrafia[[#This Row],[FIN]]-Tabla_producción_serigrafia[[#This Row],[INICIO]]+(Tabla_producción_serigrafia[[#This Row],[FIN]]&lt;Tabla_producción_serigrafia[[#This Row],[INICIO]]))*24,2)</f>
        <v>2.5</v>
      </c>
      <c r="G66" s="7" t="s">
        <v>56</v>
      </c>
      <c r="H66" s="3">
        <v>122567</v>
      </c>
      <c r="I66" s="7" t="s">
        <v>91</v>
      </c>
      <c r="J66" t="s">
        <v>28</v>
      </c>
      <c r="K66" t="s">
        <v>39</v>
      </c>
      <c r="L66" t="s">
        <v>92</v>
      </c>
      <c r="M66" s="3">
        <v>10000</v>
      </c>
      <c r="N66" s="14">
        <v>500</v>
      </c>
      <c r="O66" s="3">
        <v>70</v>
      </c>
      <c r="P66" s="3" t="s">
        <v>178</v>
      </c>
      <c r="Q6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250</v>
      </c>
      <c r="R66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6" t="s">
        <v>94</v>
      </c>
      <c r="T66" t="str">
        <f>UPPER(LEFT(TEXT(Tabla_producción_serigrafia[[#This Row],[FECHA]],"mmm"),3))</f>
        <v>FEB</v>
      </c>
      <c r="U66">
        <f>IFERROR(Tabla_producción_serigrafia[[#This Row],[CANTIDAD PRODUCIDA]]+Tabla_producción_serigrafia[[#This Row],[CANTIDAD RECHAZADA]],0)</f>
        <v>570</v>
      </c>
    </row>
    <row r="67" spans="1:21" x14ac:dyDescent="0.25">
      <c r="A67" s="10">
        <v>46062</v>
      </c>
      <c r="B67" s="10" t="s">
        <v>81</v>
      </c>
      <c r="C67" s="1" t="s">
        <v>65</v>
      </c>
      <c r="D67" s="9">
        <v>0.375</v>
      </c>
      <c r="E67" s="13">
        <v>0.72916666666666663</v>
      </c>
      <c r="F67" s="11">
        <f>ROUND((Tabla_producción_serigrafia[[#This Row],[FIN]]-Tabla_producción_serigrafia[[#This Row],[INICIO]]+(Tabla_producción_serigrafia[[#This Row],[FIN]]&lt;Tabla_producción_serigrafia[[#This Row],[INICIO]]))*24,2)</f>
        <v>8.5</v>
      </c>
      <c r="G67" s="7" t="s">
        <v>56</v>
      </c>
      <c r="H67" s="3">
        <v>122567</v>
      </c>
      <c r="I67" s="7" t="s">
        <v>91</v>
      </c>
      <c r="J67" t="s">
        <v>28</v>
      </c>
      <c r="K67" t="s">
        <v>39</v>
      </c>
      <c r="L67" t="s">
        <v>92</v>
      </c>
      <c r="M67" s="3">
        <v>10000</v>
      </c>
      <c r="N67" s="14">
        <v>3000</v>
      </c>
      <c r="O67" s="3">
        <v>102</v>
      </c>
      <c r="P67" s="3" t="s">
        <v>178</v>
      </c>
      <c r="Q6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1500</v>
      </c>
      <c r="R67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7" t="s">
        <v>94</v>
      </c>
      <c r="T67" t="str">
        <f>UPPER(LEFT(TEXT(Tabla_producción_serigrafia[[#This Row],[FECHA]],"mmm"),3))</f>
        <v>FEB</v>
      </c>
      <c r="U67">
        <f>IFERROR(Tabla_producción_serigrafia[[#This Row],[CANTIDAD PRODUCIDA]]+Tabla_producción_serigrafia[[#This Row],[CANTIDAD RECHAZADA]],0)</f>
        <v>3102</v>
      </c>
    </row>
    <row r="68" spans="1:21" x14ac:dyDescent="0.25">
      <c r="A68" s="10">
        <v>46063</v>
      </c>
      <c r="B68" s="10" t="s">
        <v>81</v>
      </c>
      <c r="C68" s="1" t="s">
        <v>65</v>
      </c>
      <c r="D68" s="9">
        <v>0.375</v>
      </c>
      <c r="E68" s="13">
        <v>0.72916666666666663</v>
      </c>
      <c r="F68" s="11">
        <f>ROUND((Tabla_producción_serigrafia[[#This Row],[FIN]]-Tabla_producción_serigrafia[[#This Row],[INICIO]]+(Tabla_producción_serigrafia[[#This Row],[FIN]]&lt;Tabla_producción_serigrafia[[#This Row],[INICIO]]))*24,2)</f>
        <v>8.5</v>
      </c>
      <c r="G68" s="7" t="s">
        <v>56</v>
      </c>
      <c r="H68" s="3">
        <v>122567</v>
      </c>
      <c r="I68" s="7" t="s">
        <v>91</v>
      </c>
      <c r="J68" t="s">
        <v>28</v>
      </c>
      <c r="K68" t="s">
        <v>39</v>
      </c>
      <c r="L68" t="s">
        <v>92</v>
      </c>
      <c r="M68" s="3">
        <v>10000</v>
      </c>
      <c r="N68" s="14">
        <v>3500</v>
      </c>
      <c r="O68" s="3">
        <v>250</v>
      </c>
      <c r="P68" s="3" t="s">
        <v>178</v>
      </c>
      <c r="Q6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1750</v>
      </c>
      <c r="R68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8" t="s">
        <v>94</v>
      </c>
      <c r="T68" t="str">
        <f>UPPER(LEFT(TEXT(Tabla_producción_serigrafia[[#This Row],[FECHA]],"mmm"),3))</f>
        <v>FEB</v>
      </c>
      <c r="U68">
        <f>IFERROR(Tabla_producción_serigrafia[[#This Row],[CANTIDAD PRODUCIDA]]+Tabla_producción_serigrafia[[#This Row],[CANTIDAD RECHAZADA]],0)</f>
        <v>3750</v>
      </c>
    </row>
    <row r="69" spans="1:21" x14ac:dyDescent="0.25">
      <c r="A69" s="10">
        <v>46064</v>
      </c>
      <c r="B69" s="10" t="s">
        <v>81</v>
      </c>
      <c r="C69" s="1" t="s">
        <v>65</v>
      </c>
      <c r="D69" s="9">
        <v>0.375</v>
      </c>
      <c r="E69" s="13">
        <v>0.70833333333333337</v>
      </c>
      <c r="F69" s="11">
        <f>ROUND((Tabla_producción_serigrafia[[#This Row],[FIN]]-Tabla_producción_serigrafia[[#This Row],[INICIO]]+(Tabla_producción_serigrafia[[#This Row],[FIN]]&lt;Tabla_producción_serigrafia[[#This Row],[INICIO]]))*24,2)</f>
        <v>8</v>
      </c>
      <c r="G69" s="7" t="s">
        <v>56</v>
      </c>
      <c r="H69" s="3">
        <v>122567</v>
      </c>
      <c r="I69" s="7" t="s">
        <v>91</v>
      </c>
      <c r="J69" t="s">
        <v>28</v>
      </c>
      <c r="K69" t="s">
        <v>39</v>
      </c>
      <c r="L69" t="s">
        <v>92</v>
      </c>
      <c r="M69" s="3">
        <v>10000</v>
      </c>
      <c r="N69" s="14">
        <v>3080</v>
      </c>
      <c r="O69" s="3">
        <v>230</v>
      </c>
      <c r="P69" s="3" t="s">
        <v>62</v>
      </c>
      <c r="Q6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1540</v>
      </c>
      <c r="R69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69" t="s">
        <v>94</v>
      </c>
      <c r="T69" t="str">
        <f>UPPER(LEFT(TEXT(Tabla_producción_serigrafia[[#This Row],[FECHA]],"mmm"),3))</f>
        <v>FEB</v>
      </c>
      <c r="U69">
        <f>IFERROR(Tabla_producción_serigrafia[[#This Row],[CANTIDAD PRODUCIDA]]+Tabla_producción_serigrafia[[#This Row],[CANTIDAD RECHAZADA]],0)</f>
        <v>3310</v>
      </c>
    </row>
    <row r="70" spans="1:21" x14ac:dyDescent="0.25">
      <c r="A70" s="10">
        <v>46065</v>
      </c>
      <c r="B70" s="10" t="s">
        <v>81</v>
      </c>
      <c r="C70" s="1" t="s">
        <v>65</v>
      </c>
      <c r="D70" s="9">
        <v>0.33333333333333331</v>
      </c>
      <c r="E70" s="13">
        <v>0.4375</v>
      </c>
      <c r="F70" s="11">
        <f>ROUND((Tabla_producción_serigrafia[[#This Row],[FIN]]-Tabla_producción_serigrafia[[#This Row],[INICIO]]+(Tabla_producción_serigrafia[[#This Row],[FIN]]&lt;Tabla_producción_serigrafia[[#This Row],[INICIO]]))*24,2)</f>
        <v>2.5</v>
      </c>
      <c r="G70" s="7" t="s">
        <v>57</v>
      </c>
      <c r="H70" s="3" t="s">
        <v>38</v>
      </c>
      <c r="I70" s="7" t="str">
        <f>IFERROR(INDEX(Tabla_control_serigrafia[PRODUCTO],MATCH(Tabla_producción_serigrafia[[#This Row],[LOTE]],Tabla_control_serigrafia[LOTE],0)),"-")</f>
        <v>-</v>
      </c>
      <c r="J70" t="str">
        <f>IFERROR(INDEX(Tabla_control_serigrafia[FORMATO DE FRASCO],MATCH(Tabla_producción_serigrafia[[#This Row],[LOTE]],Tabla_control_serigrafia[LOTE],0)),"-")</f>
        <v>-</v>
      </c>
      <c r="K70" t="str">
        <f>IFERROR(INDEX(Tabla_control_serigrafia[TIPO DE FRASCO],MATCH(Tabla_producción_serigrafia[[#This Row],[LOTE]],Tabla_control_serigrafia[LOTE],0)),"-")</f>
        <v>-</v>
      </c>
      <c r="L70" t="str">
        <f>IF(Tabla_producción_serigrafia[[#This Row],[ACCIÓN]]="PRODUCCIÓN",Tabla_producción_serigrafia[[#This Row],[FORMATO DE FRASCO]]&amp;" "&amp;Tabla_producción_serigrafia[[#This Row],[TIPO DE FRASCO]],"-")</f>
        <v>-</v>
      </c>
      <c r="M70" s="3" t="str">
        <f>IFERROR(INDEX(Tabla_control_serigrafia[CANTIDAD PEDIDA],MATCH(Tabla_producción_serigrafia[[#This Row],[LOTE]],Tabla_control_serigrafia[LOTE],0)),"-")</f>
        <v>-</v>
      </c>
      <c r="N70" s="14">
        <v>0</v>
      </c>
      <c r="O70" s="3">
        <v>0</v>
      </c>
      <c r="P70" s="3">
        <v>0</v>
      </c>
      <c r="Q7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70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0" t="s">
        <v>38</v>
      </c>
      <c r="T70" t="str">
        <f>UPPER(LEFT(TEXT(Tabla_producción_serigrafia[[#This Row],[FECHA]],"mmm"),3))</f>
        <v>FEB</v>
      </c>
      <c r="U70">
        <f>IFERROR(Tabla_producción_serigrafia[[#This Row],[CANTIDAD PRODUCIDA]]+Tabla_producción_serigrafia[[#This Row],[CANTIDAD RECHAZADA]],0)</f>
        <v>0</v>
      </c>
    </row>
    <row r="71" spans="1:21" x14ac:dyDescent="0.25">
      <c r="A71" s="10">
        <v>46065</v>
      </c>
      <c r="B71" s="10" t="s">
        <v>81</v>
      </c>
      <c r="C71" s="1" t="s">
        <v>65</v>
      </c>
      <c r="D71" s="9">
        <v>0.4375</v>
      </c>
      <c r="E71" s="13">
        <v>0.6875</v>
      </c>
      <c r="F71" s="11">
        <f>ROUND((Tabla_producción_serigrafia[[#This Row],[FIN]]-Tabla_producción_serigrafia[[#This Row],[INICIO]]+(Tabla_producción_serigrafia[[#This Row],[FIN]]&lt;Tabla_producción_serigrafia[[#This Row],[INICIO]]))*24,2)</f>
        <v>6</v>
      </c>
      <c r="G71" s="7" t="s">
        <v>56</v>
      </c>
      <c r="H71" s="57">
        <v>12683</v>
      </c>
      <c r="I71" s="7" t="str">
        <f>IFERROR(INDEX(Tabla_control_serigrafia[PRODUCTO],MATCH(Tabla_producción_serigrafia[[#This Row],[LOTE]],Tabla_control_serigrafia[LOTE],0)),"-")</f>
        <v>MEBENDAZOL 100 MG X 30 ML SUSP.</v>
      </c>
      <c r="J71" t="str">
        <f>IFERROR(INDEX(Tabla_control_serigrafia[FORMATO DE FRASCO],MATCH(Tabla_producción_serigrafia[[#This Row],[LOTE]],Tabla_control_serigrafia[LOTE],0)),"-")</f>
        <v>40 ML</v>
      </c>
      <c r="K71" t="str">
        <f>IFERROR(INDEX(Tabla_control_serigrafia[TIPO DE FRASCO],MATCH(Tabla_producción_serigrafia[[#This Row],[LOTE]],Tabla_control_serigrafia[LOTE],0)),"-")</f>
        <v>FRASCO BLANCO</v>
      </c>
      <c r="L71" t="str">
        <f>IF(Tabla_producción_serigrafia[[#This Row],[ACCIÓN]]="PRODUCCIÓN",Tabla_producción_serigrafia[[#This Row],[FORMATO DE FRASCO]]&amp;" "&amp;Tabla_producción_serigrafia[[#This Row],[TIPO DE FRASCO]],"-")</f>
        <v>40 ML FRASCO BLANCO</v>
      </c>
      <c r="M71" s="3">
        <f>IFERROR(INDEX(Tabla_control_serigrafia[CANTIDAD PEDIDA],MATCH(Tabla_producción_serigrafia[[#This Row],[LOTE]],Tabla_control_serigrafia[LOTE],0)),"-")</f>
        <v>11400</v>
      </c>
      <c r="N71" s="14">
        <v>2000</v>
      </c>
      <c r="O71" s="3">
        <v>150</v>
      </c>
      <c r="P71" s="3" t="s">
        <v>178</v>
      </c>
      <c r="Q7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</v>
      </c>
      <c r="R71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1" t="s">
        <v>96</v>
      </c>
      <c r="T71" t="str">
        <f>UPPER(LEFT(TEXT(Tabla_producción_serigrafia[[#This Row],[FECHA]],"mmm"),3))</f>
        <v>FEB</v>
      </c>
      <c r="U71">
        <f>IFERROR(Tabla_producción_serigrafia[[#This Row],[CANTIDAD PRODUCIDA]]+Tabla_producción_serigrafia[[#This Row],[CANTIDAD RECHAZADA]],0)</f>
        <v>2150</v>
      </c>
    </row>
    <row r="72" spans="1:21" x14ac:dyDescent="0.25">
      <c r="A72" s="10">
        <v>46065</v>
      </c>
      <c r="B72" s="10" t="s">
        <v>81</v>
      </c>
      <c r="C72" s="1" t="s">
        <v>65</v>
      </c>
      <c r="D72" s="9">
        <v>0.6875</v>
      </c>
      <c r="E72" s="13">
        <v>0.72916666666666663</v>
      </c>
      <c r="F72" s="11">
        <f>ROUND((Tabla_producción_serigrafia[[#This Row],[FIN]]-Tabla_producción_serigrafia[[#This Row],[INICIO]]+(Tabla_producción_serigrafia[[#This Row],[FIN]]&lt;Tabla_producción_serigrafia[[#This Row],[INICIO]]))*24,2)</f>
        <v>1</v>
      </c>
      <c r="G72" s="7" t="s">
        <v>56</v>
      </c>
      <c r="H72" s="57">
        <v>12683</v>
      </c>
      <c r="I72" s="7" t="str">
        <f>IFERROR(INDEX(Tabla_control_serigrafia[PRODUCTO],MATCH(Tabla_producción_serigrafia[[#This Row],[LOTE]],Tabla_control_serigrafia[LOTE],0)),"-")</f>
        <v>MEBENDAZOL 100 MG X 30 ML SUSP.</v>
      </c>
      <c r="J72" t="str">
        <f>IFERROR(INDEX(Tabla_control_serigrafia[FORMATO DE FRASCO],MATCH(Tabla_producción_serigrafia[[#This Row],[LOTE]],Tabla_control_serigrafia[LOTE],0)),"-")</f>
        <v>40 ML</v>
      </c>
      <c r="K72" t="str">
        <f>IFERROR(INDEX(Tabla_control_serigrafia[TIPO DE FRASCO],MATCH(Tabla_producción_serigrafia[[#This Row],[LOTE]],Tabla_control_serigrafia[LOTE],0)),"-")</f>
        <v>FRASCO BLANCO</v>
      </c>
      <c r="L72" t="str">
        <f>IF(Tabla_producción_serigrafia[[#This Row],[ACCIÓN]]="PRODUCCIÓN",Tabla_producción_serigrafia[[#This Row],[FORMATO DE FRASCO]]&amp;" "&amp;Tabla_producción_serigrafia[[#This Row],[TIPO DE FRASCO]],"-")</f>
        <v>40 ML FRASCO BLANCO</v>
      </c>
      <c r="M72" s="3">
        <f>IFERROR(INDEX(Tabla_control_serigrafia[CANTIDAD PEDIDA],MATCH(Tabla_producción_serigrafia[[#This Row],[LOTE]],Tabla_control_serigrafia[LOTE],0)),"-")</f>
        <v>11400</v>
      </c>
      <c r="N72" s="14">
        <v>500</v>
      </c>
      <c r="O72" s="3">
        <v>40</v>
      </c>
      <c r="P72" s="3" t="s">
        <v>178</v>
      </c>
      <c r="Q7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250</v>
      </c>
      <c r="R72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2" t="s">
        <v>94</v>
      </c>
      <c r="T72" t="str">
        <f>UPPER(LEFT(TEXT(Tabla_producción_serigrafia[[#This Row],[FECHA]],"mmm"),3))</f>
        <v>FEB</v>
      </c>
      <c r="U72">
        <f>IFERROR(Tabla_producción_serigrafia[[#This Row],[CANTIDAD PRODUCIDA]]+Tabla_producción_serigrafia[[#This Row],[CANTIDAD RECHAZADA]],0)</f>
        <v>540</v>
      </c>
    </row>
    <row r="73" spans="1:21" x14ac:dyDescent="0.25">
      <c r="A73" s="10">
        <v>46066</v>
      </c>
      <c r="B73" s="10" t="s">
        <v>81</v>
      </c>
      <c r="C73" s="1" t="s">
        <v>65</v>
      </c>
      <c r="D73" s="9">
        <v>0.35416666666666669</v>
      </c>
      <c r="E73" s="13">
        <v>0.45833333333333331</v>
      </c>
      <c r="F73" s="11">
        <f>ROUND((Tabla_producción_serigrafia[[#This Row],[FIN]]-Tabla_producción_serigrafia[[#This Row],[INICIO]]+(Tabla_producción_serigrafia[[#This Row],[FIN]]&lt;Tabla_producción_serigrafia[[#This Row],[INICIO]]))*24,2)</f>
        <v>2.5</v>
      </c>
      <c r="G73" s="7" t="s">
        <v>56</v>
      </c>
      <c r="H73" s="57">
        <v>12683</v>
      </c>
      <c r="I73" s="7" t="str">
        <f>IFERROR(INDEX(Tabla_control_serigrafia[PRODUCTO],MATCH(Tabla_producción_serigrafia[[#This Row],[LOTE]],Tabla_control_serigrafia[LOTE],0)),"-")</f>
        <v>MEBENDAZOL 100 MG X 30 ML SUSP.</v>
      </c>
      <c r="J73" t="str">
        <f>IFERROR(INDEX(Tabla_control_serigrafia[FORMATO DE FRASCO],MATCH(Tabla_producción_serigrafia[[#This Row],[LOTE]],Tabla_control_serigrafia[LOTE],0)),"-")</f>
        <v>40 ML</v>
      </c>
      <c r="K73" t="str">
        <f>IFERROR(INDEX(Tabla_control_serigrafia[TIPO DE FRASCO],MATCH(Tabla_producción_serigrafia[[#This Row],[LOTE]],Tabla_control_serigrafia[LOTE],0)),"-")</f>
        <v>FRASCO BLANCO</v>
      </c>
      <c r="L73" t="str">
        <f>IF(Tabla_producción_serigrafia[[#This Row],[ACCIÓN]]="PRODUCCIÓN",Tabla_producción_serigrafia[[#This Row],[FORMATO DE FRASCO]]&amp;" "&amp;Tabla_producción_serigrafia[[#This Row],[TIPO DE FRASCO]],"-")</f>
        <v>40 ML FRASCO BLANCO</v>
      </c>
      <c r="M73" s="3">
        <f>IFERROR(INDEX(Tabla_control_serigrafia[CANTIDAD PEDIDA],MATCH(Tabla_producción_serigrafia[[#This Row],[LOTE]],Tabla_control_serigrafia[LOTE],0)),"-")</f>
        <v>11400</v>
      </c>
      <c r="N73" s="14">
        <v>1135</v>
      </c>
      <c r="O73" s="3">
        <v>250</v>
      </c>
      <c r="P73" s="3" t="s">
        <v>62</v>
      </c>
      <c r="Q7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568</v>
      </c>
      <c r="R73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42</v>
      </c>
      <c r="S73" t="s">
        <v>101</v>
      </c>
      <c r="T73" t="str">
        <f>UPPER(LEFT(TEXT(Tabla_producción_serigrafia[[#This Row],[FECHA]],"mmm"),3))</f>
        <v>FEB</v>
      </c>
      <c r="U73">
        <f>IFERROR(Tabla_producción_serigrafia[[#This Row],[CANTIDAD PRODUCIDA]]+Tabla_producción_serigrafia[[#This Row],[CANTIDAD RECHAZADA]],0)</f>
        <v>1385</v>
      </c>
    </row>
    <row r="74" spans="1:21" x14ac:dyDescent="0.25">
      <c r="A74" s="10">
        <v>46066</v>
      </c>
      <c r="B74" s="10" t="s">
        <v>81</v>
      </c>
      <c r="C74" s="1" t="s">
        <v>65</v>
      </c>
      <c r="D74" s="9">
        <v>0.45833333333333331</v>
      </c>
      <c r="E74" s="13">
        <v>0.625</v>
      </c>
      <c r="F74" s="11">
        <f>ROUND((Tabla_producción_serigrafia[[#This Row],[FIN]]-Tabla_producción_serigrafia[[#This Row],[INICIO]]+(Tabla_producción_serigrafia[[#This Row],[FIN]]&lt;Tabla_producción_serigrafia[[#This Row],[INICIO]]))*24,2)</f>
        <v>4</v>
      </c>
      <c r="G74" s="7" t="s">
        <v>64</v>
      </c>
      <c r="H74" s="3" t="s">
        <v>38</v>
      </c>
      <c r="I74" s="7" t="str">
        <f>IFERROR(INDEX(Tabla_control_serigrafia[PRODUCTO],MATCH(Tabla_producción_serigrafia[[#This Row],[LOTE]],Tabla_control_serigrafia[LOTE],0)),"-")</f>
        <v>-</v>
      </c>
      <c r="J74" t="str">
        <f>IFERROR(INDEX(Tabla_control_serigrafia[FORMATO DE FRASCO],MATCH(Tabla_producción_serigrafia[[#This Row],[LOTE]],Tabla_control_serigrafia[LOTE],0)),"-")</f>
        <v>-</v>
      </c>
      <c r="K74" t="str">
        <f>IFERROR(INDEX(Tabla_control_serigrafia[TIPO DE FRASCO],MATCH(Tabla_producción_serigrafia[[#This Row],[LOTE]],Tabla_control_serigrafia[LOTE],0)),"-")</f>
        <v>-</v>
      </c>
      <c r="L74" t="str">
        <f>IF(Tabla_producción_serigrafia[[#This Row],[ACCIÓN]]="PRODUCCIÓN",Tabla_producción_serigrafia[[#This Row],[FORMATO DE FRASCO]]&amp;" "&amp;Tabla_producción_serigrafia[[#This Row],[TIPO DE FRASCO]],"-")</f>
        <v>-</v>
      </c>
      <c r="M74" s="3" t="str">
        <f>IFERROR(INDEX(Tabla_control_serigrafia[CANTIDAD PEDIDA],MATCH(Tabla_producción_serigrafia[[#This Row],[LOTE]],Tabla_control_serigrafia[LOTE],0)),"-")</f>
        <v>-</v>
      </c>
      <c r="N74" s="14">
        <v>0</v>
      </c>
      <c r="O74" s="3">
        <v>0</v>
      </c>
      <c r="P74" s="3">
        <v>0</v>
      </c>
      <c r="Q7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74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4" t="s">
        <v>100</v>
      </c>
      <c r="T74" t="str">
        <f>UPPER(LEFT(TEXT(Tabla_producción_serigrafia[[#This Row],[FECHA]],"mmm"),3))</f>
        <v>FEB</v>
      </c>
      <c r="U74">
        <f>IFERROR(Tabla_producción_serigrafia[[#This Row],[CANTIDAD PRODUCIDA]]+Tabla_producción_serigrafia[[#This Row],[CANTIDAD RECHAZADA]],0)</f>
        <v>0</v>
      </c>
    </row>
    <row r="75" spans="1:21" x14ac:dyDescent="0.25">
      <c r="A75" s="10">
        <v>46071</v>
      </c>
      <c r="B75" s="10" t="s">
        <v>58</v>
      </c>
      <c r="C75" s="1" t="s">
        <v>65</v>
      </c>
      <c r="D75" s="9">
        <v>0.35416666666666669</v>
      </c>
      <c r="E75" s="13">
        <v>0.5625</v>
      </c>
      <c r="F75" s="11">
        <f>ROUND((Tabla_producción_serigrafia[[#This Row],[FIN]]-Tabla_producción_serigrafia[[#This Row],[INICIO]]+(Tabla_producción_serigrafia[[#This Row],[FIN]]&lt;Tabla_producción_serigrafia[[#This Row],[INICIO]]))*24,2)</f>
        <v>5</v>
      </c>
      <c r="G75" s="7" t="s">
        <v>57</v>
      </c>
      <c r="H75" s="3" t="s">
        <v>38</v>
      </c>
      <c r="I75" s="7" t="str">
        <f>IFERROR(INDEX(Tabla_control_serigrafia[PRODUCTO],MATCH(Tabla_producción_serigrafia[[#This Row],[LOTE]],Tabla_control_serigrafia[LOTE],0)),"-")</f>
        <v>-</v>
      </c>
      <c r="J75" t="str">
        <f>IFERROR(INDEX(Tabla_control_serigrafia[FORMATO DE FRASCO],MATCH(Tabla_producción_serigrafia[[#This Row],[LOTE]],Tabla_control_serigrafia[LOTE],0)),"-")</f>
        <v>-</v>
      </c>
      <c r="K75" t="str">
        <f>IFERROR(INDEX(Tabla_control_serigrafia[TIPO DE FRASCO],MATCH(Tabla_producción_serigrafia[[#This Row],[LOTE]],Tabla_control_serigrafia[LOTE],0)),"-")</f>
        <v>-</v>
      </c>
      <c r="L75" t="str">
        <f>IF(Tabla_producción_serigrafia[[#This Row],[ACCIÓN]]="PRODUCCIÓN",Tabla_producción_serigrafia[[#This Row],[FORMATO DE FRASCO]]&amp;" "&amp;Tabla_producción_serigrafia[[#This Row],[TIPO DE FRASCO]],"-")</f>
        <v>-</v>
      </c>
      <c r="M75" s="3" t="str">
        <f>IFERROR(INDEX(Tabla_control_serigrafia[CANTIDAD PEDIDA],MATCH(Tabla_producción_serigrafia[[#This Row],[LOTE]],Tabla_control_serigrafia[LOTE],0)),"-")</f>
        <v>-</v>
      </c>
      <c r="N75" s="14">
        <v>0</v>
      </c>
      <c r="O75" s="3">
        <v>0</v>
      </c>
      <c r="P75" s="3">
        <v>0</v>
      </c>
      <c r="Q7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75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5" t="s">
        <v>38</v>
      </c>
      <c r="T75" t="str">
        <f>UPPER(LEFT(TEXT(Tabla_producción_serigrafia[[#This Row],[FECHA]],"mmm"),3))</f>
        <v>FEB</v>
      </c>
      <c r="U75">
        <f>IFERROR(Tabla_producción_serigrafia[[#This Row],[CANTIDAD PRODUCIDA]]+Tabla_producción_serigrafia[[#This Row],[CANTIDAD RECHAZADA]],0)</f>
        <v>0</v>
      </c>
    </row>
    <row r="76" spans="1:21" x14ac:dyDescent="0.25">
      <c r="A76" s="10">
        <v>46071</v>
      </c>
      <c r="B76" s="10" t="s">
        <v>58</v>
      </c>
      <c r="C76" s="1" t="s">
        <v>65</v>
      </c>
      <c r="D76" s="9">
        <v>0.5625</v>
      </c>
      <c r="E76" s="13">
        <v>0.72916666666666663</v>
      </c>
      <c r="F76" s="11">
        <f>ROUND((Tabla_producción_serigrafia[[#This Row],[FIN]]-Tabla_producción_serigrafia[[#This Row],[INICIO]]+(Tabla_producción_serigrafia[[#This Row],[FIN]]&lt;Tabla_producción_serigrafia[[#This Row],[INICIO]]))*24,2)</f>
        <v>4</v>
      </c>
      <c r="G76" s="7" t="s">
        <v>56</v>
      </c>
      <c r="H76" s="3">
        <v>22612</v>
      </c>
      <c r="I76" s="7" t="str">
        <f>IFERROR(INDEX(Tabla_control_serigrafia[PRODUCTO],MATCH(Tabla_producción_serigrafia[[#This Row],[LOTE]],Tabla_control_serigrafia[LOTE],0)),"-")</f>
        <v>PARACETAMOL 120 MG X 60 ML JARABE</v>
      </c>
      <c r="J76" t="str">
        <f>IFERROR(INDEX(Tabla_control_serigrafia[FORMATO DE FRASCO],MATCH(Tabla_producción_serigrafia[[#This Row],[LOTE]],Tabla_control_serigrafia[LOTE],0)),"-")</f>
        <v>80 ML</v>
      </c>
      <c r="K76" t="str">
        <f>IFERROR(INDEX(Tabla_control_serigrafia[TIPO DE FRASCO],MATCH(Tabla_producción_serigrafia[[#This Row],[LOTE]],Tabla_control_serigrafia[LOTE],0)),"-")</f>
        <v>FRASCO BLANCO</v>
      </c>
      <c r="L76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76" s="3">
        <f>IFERROR(INDEX(Tabla_control_serigrafia[CANTIDAD PEDIDA],MATCH(Tabla_producción_serigrafia[[#This Row],[LOTE]],Tabla_control_serigrafia[LOTE],0)),"-")</f>
        <v>44262</v>
      </c>
      <c r="N76" s="14">
        <v>5000</v>
      </c>
      <c r="O76" s="3">
        <v>230</v>
      </c>
      <c r="P76" s="3" t="s">
        <v>178</v>
      </c>
      <c r="Q7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5000</v>
      </c>
      <c r="R76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6" t="s">
        <v>38</v>
      </c>
      <c r="T76" t="str">
        <f>UPPER(LEFT(TEXT(Tabla_producción_serigrafia[[#This Row],[FECHA]],"mmm"),3))</f>
        <v>FEB</v>
      </c>
      <c r="U76">
        <f>IFERROR(Tabla_producción_serigrafia[[#This Row],[CANTIDAD PRODUCIDA]]+Tabla_producción_serigrafia[[#This Row],[CANTIDAD RECHAZADA]],0)</f>
        <v>5230</v>
      </c>
    </row>
    <row r="77" spans="1:21" x14ac:dyDescent="0.25">
      <c r="A77" s="10">
        <v>46072</v>
      </c>
      <c r="B77" s="10" t="s">
        <v>58</v>
      </c>
      <c r="C77" s="1" t="s">
        <v>65</v>
      </c>
      <c r="D77" s="9">
        <v>0.35416666666666669</v>
      </c>
      <c r="E77" s="13">
        <v>0.72916666666666663</v>
      </c>
      <c r="F77" s="11">
        <f>ROUND((Tabla_producción_serigrafia[[#This Row],[FIN]]-Tabla_producción_serigrafia[[#This Row],[INICIO]]+(Tabla_producción_serigrafia[[#This Row],[FIN]]&lt;Tabla_producción_serigrafia[[#This Row],[INICIO]]))*24,2)</f>
        <v>9</v>
      </c>
      <c r="G77" s="7" t="s">
        <v>56</v>
      </c>
      <c r="H77" s="3">
        <v>22612</v>
      </c>
      <c r="I77" s="7" t="str">
        <f>IFERROR(INDEX(Tabla_control_serigrafia[PRODUCTO],MATCH(Tabla_producción_serigrafia[[#This Row],[LOTE]],Tabla_control_serigrafia[LOTE],0)),"-")</f>
        <v>PARACETAMOL 120 MG X 60 ML JARABE</v>
      </c>
      <c r="J77" t="str">
        <f>IFERROR(INDEX(Tabla_control_serigrafia[FORMATO DE FRASCO],MATCH(Tabla_producción_serigrafia[[#This Row],[LOTE]],Tabla_control_serigrafia[LOTE],0)),"-")</f>
        <v>80 ML</v>
      </c>
      <c r="K77" t="str">
        <f>IFERROR(INDEX(Tabla_control_serigrafia[TIPO DE FRASCO],MATCH(Tabla_producción_serigrafia[[#This Row],[LOTE]],Tabla_control_serigrafia[LOTE],0)),"-")</f>
        <v>FRASCO BLANCO</v>
      </c>
      <c r="L77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77" s="3">
        <f>IFERROR(INDEX(Tabla_control_serigrafia[CANTIDAD PEDIDA],MATCH(Tabla_producción_serigrafia[[#This Row],[LOTE]],Tabla_control_serigrafia[LOTE],0)),"-")</f>
        <v>44262</v>
      </c>
      <c r="N77" s="14">
        <v>20000</v>
      </c>
      <c r="O77" s="3">
        <v>238</v>
      </c>
      <c r="P77" s="3" t="s">
        <v>178</v>
      </c>
      <c r="Q7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20000</v>
      </c>
      <c r="R77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7" t="s">
        <v>38</v>
      </c>
      <c r="T77" t="str">
        <f>UPPER(LEFT(TEXT(Tabla_producción_serigrafia[[#This Row],[FECHA]],"mmm"),3))</f>
        <v>FEB</v>
      </c>
      <c r="U77">
        <f>IFERROR(Tabla_producción_serigrafia[[#This Row],[CANTIDAD PRODUCIDA]]+Tabla_producción_serigrafia[[#This Row],[CANTIDAD RECHAZADA]],0)</f>
        <v>20238</v>
      </c>
    </row>
    <row r="78" spans="1:21" x14ac:dyDescent="0.25">
      <c r="A78" s="10">
        <v>46073</v>
      </c>
      <c r="B78" s="10" t="s">
        <v>58</v>
      </c>
      <c r="C78" s="1" t="s">
        <v>65</v>
      </c>
      <c r="D78" s="9">
        <v>0.35416666666666669</v>
      </c>
      <c r="E78" s="13">
        <v>0.70833333333333337</v>
      </c>
      <c r="F78" s="11">
        <f>ROUND((Tabla_producción_serigrafia[[#This Row],[FIN]]-Tabla_producción_serigrafia[[#This Row],[INICIO]]+(Tabla_producción_serigrafia[[#This Row],[FIN]]&lt;Tabla_producción_serigrafia[[#This Row],[INICIO]]))*24,2)</f>
        <v>8.5</v>
      </c>
      <c r="G78" s="7" t="s">
        <v>56</v>
      </c>
      <c r="H78" s="3">
        <v>22612</v>
      </c>
      <c r="I78" s="7" t="str">
        <f>IFERROR(INDEX(Tabla_control_serigrafia[PRODUCTO],MATCH(Tabla_producción_serigrafia[[#This Row],[LOTE]],Tabla_control_serigrafia[LOTE],0)),"-")</f>
        <v>PARACETAMOL 120 MG X 60 ML JARABE</v>
      </c>
      <c r="J78" t="str">
        <f>IFERROR(INDEX(Tabla_control_serigrafia[FORMATO DE FRASCO],MATCH(Tabla_producción_serigrafia[[#This Row],[LOTE]],Tabla_control_serigrafia[LOTE],0)),"-")</f>
        <v>80 ML</v>
      </c>
      <c r="K78" t="str">
        <f>IFERROR(INDEX(Tabla_control_serigrafia[TIPO DE FRASCO],MATCH(Tabla_producción_serigrafia[[#This Row],[LOTE]],Tabla_control_serigrafia[LOTE],0)),"-")</f>
        <v>FRASCO BLANCO</v>
      </c>
      <c r="L78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78" s="3">
        <f>IFERROR(INDEX(Tabla_control_serigrafia[CANTIDAD PEDIDA],MATCH(Tabla_producción_serigrafia[[#This Row],[LOTE]],Tabla_control_serigrafia[LOTE],0)),"-")</f>
        <v>44262</v>
      </c>
      <c r="N78" s="14">
        <v>19437</v>
      </c>
      <c r="O78" s="3">
        <v>320</v>
      </c>
      <c r="P78" s="3" t="s">
        <v>62</v>
      </c>
      <c r="Q7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19437</v>
      </c>
      <c r="R78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18</v>
      </c>
      <c r="S78" t="s">
        <v>38</v>
      </c>
      <c r="T78" t="str">
        <f>UPPER(LEFT(TEXT(Tabla_producción_serigrafia[[#This Row],[FECHA]],"mmm"),3))</f>
        <v>FEB</v>
      </c>
      <c r="U78">
        <f>IFERROR(Tabla_producción_serigrafia[[#This Row],[CANTIDAD PRODUCIDA]]+Tabla_producción_serigrafia[[#This Row],[CANTIDAD RECHAZADA]],0)</f>
        <v>19757</v>
      </c>
    </row>
    <row r="79" spans="1:21" x14ac:dyDescent="0.25">
      <c r="A79" s="10">
        <v>46076</v>
      </c>
      <c r="B79" s="10" t="s">
        <v>58</v>
      </c>
      <c r="C79" s="1" t="s">
        <v>65</v>
      </c>
      <c r="D79" s="9">
        <v>0.33333333333333331</v>
      </c>
      <c r="E79" s="13">
        <v>0.39583333333333331</v>
      </c>
      <c r="F79" s="11">
        <f>ROUND((Tabla_producción_serigrafia[[#This Row],[FIN]]-Tabla_producción_serigrafia[[#This Row],[INICIO]]+(Tabla_producción_serigrafia[[#This Row],[FIN]]&lt;Tabla_producción_serigrafia[[#This Row],[INICIO]]))*24,2)</f>
        <v>1.5</v>
      </c>
      <c r="G79" s="7" t="s">
        <v>57</v>
      </c>
      <c r="H79" s="3" t="s">
        <v>38</v>
      </c>
      <c r="I79" s="7" t="str">
        <f>IFERROR(INDEX(Tabla_control_serigrafia[PRODUCTO],MATCH(Tabla_producción_serigrafia[[#This Row],[LOTE]],Tabla_control_serigrafia[LOTE],0)),"-")</f>
        <v>-</v>
      </c>
      <c r="J79" t="str">
        <f>IFERROR(INDEX(Tabla_control_serigrafia[FORMATO DE FRASCO],MATCH(Tabla_producción_serigrafia[[#This Row],[LOTE]],Tabla_control_serigrafia[LOTE],0)),"-")</f>
        <v>-</v>
      </c>
      <c r="K79" t="str">
        <f>IFERROR(INDEX(Tabla_control_serigrafia[TIPO DE FRASCO],MATCH(Tabla_producción_serigrafia[[#This Row],[LOTE]],Tabla_control_serigrafia[LOTE],0)),"-")</f>
        <v>-</v>
      </c>
      <c r="L79" t="str">
        <f>IF(Tabla_producción_serigrafia[[#This Row],[ACCIÓN]]="PRODUCCIÓN",Tabla_producción_serigrafia[[#This Row],[FORMATO DE FRASCO]]&amp;" "&amp;Tabla_producción_serigrafia[[#This Row],[TIPO DE FRASCO]],"-")</f>
        <v>-</v>
      </c>
      <c r="M79" s="3" t="str">
        <f>IFERROR(INDEX(Tabla_control_serigrafia[CANTIDAD PEDIDA],MATCH(Tabla_producción_serigrafia[[#This Row],[LOTE]],Tabla_control_serigrafia[LOTE],0)),"-")</f>
        <v>-</v>
      </c>
      <c r="N79" s="14">
        <v>0</v>
      </c>
      <c r="O79" s="3">
        <v>0</v>
      </c>
      <c r="P79" s="3">
        <v>0</v>
      </c>
      <c r="Q7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79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79" t="s">
        <v>38</v>
      </c>
      <c r="T79" t="str">
        <f>UPPER(LEFT(TEXT(Tabla_producción_serigrafia[[#This Row],[FECHA]],"mmm"),3))</f>
        <v>FEB</v>
      </c>
      <c r="U79">
        <f>IFERROR(Tabla_producción_serigrafia[[#This Row],[CANTIDAD PRODUCIDA]]+Tabla_producción_serigrafia[[#This Row],[CANTIDAD RECHAZADA]],0)</f>
        <v>0</v>
      </c>
    </row>
    <row r="80" spans="1:21" x14ac:dyDescent="0.25">
      <c r="A80" s="10">
        <v>46076</v>
      </c>
      <c r="B80" s="10" t="s">
        <v>58</v>
      </c>
      <c r="C80" s="1" t="s">
        <v>65</v>
      </c>
      <c r="D80" s="9">
        <v>0.39583333333333331</v>
      </c>
      <c r="E80" s="13">
        <v>0.4375</v>
      </c>
      <c r="F80" s="11">
        <f>ROUND((Tabla_producción_serigrafia[[#This Row],[FIN]]-Tabla_producción_serigrafia[[#This Row],[INICIO]]+(Tabla_producción_serigrafia[[#This Row],[FIN]]&lt;Tabla_producción_serigrafia[[#This Row],[INICIO]]))*24,2)</f>
        <v>1</v>
      </c>
      <c r="G80" s="7" t="s">
        <v>56</v>
      </c>
      <c r="H80" s="3">
        <v>22676</v>
      </c>
      <c r="I80" s="7" t="str">
        <f>IFERROR(INDEX(Tabla_control_serigrafia[PRODUCTO],MATCH(Tabla_producción_serigrafia[[#This Row],[LOTE]],Tabla_control_serigrafia[LOTE],0)),"-")</f>
        <v>CEFALEXINA 250 MG X 60 ML POLVO PARA SUSP.</v>
      </c>
      <c r="J80" t="str">
        <f>IFERROR(INDEX(Tabla_control_serigrafia[FORMATO DE FRASCO],MATCH(Tabla_producción_serigrafia[[#This Row],[LOTE]],Tabla_control_serigrafia[LOTE],0)),"-")</f>
        <v>80 ML</v>
      </c>
      <c r="K80" t="str">
        <f>IFERROR(INDEX(Tabla_control_serigrafia[TIPO DE FRASCO],MATCH(Tabla_producción_serigrafia[[#This Row],[LOTE]],Tabla_control_serigrafia[LOTE],0)),"-")</f>
        <v>FRASCO NATURAL</v>
      </c>
      <c r="L80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80" s="3">
        <f>IFERROR(INDEX(Tabla_control_serigrafia[CANTIDAD PEDIDA],MATCH(Tabla_producción_serigrafia[[#This Row],[LOTE]],Tabla_control_serigrafia[LOTE],0)),"-")</f>
        <v>2200</v>
      </c>
      <c r="N80" s="14">
        <v>2250</v>
      </c>
      <c r="O80" s="3">
        <v>30</v>
      </c>
      <c r="P80" s="3" t="s">
        <v>62</v>
      </c>
      <c r="Q8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2250</v>
      </c>
      <c r="R80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21</v>
      </c>
      <c r="S80" t="s">
        <v>38</v>
      </c>
      <c r="T80" t="str">
        <f>UPPER(LEFT(TEXT(Tabla_producción_serigrafia[[#This Row],[FECHA]],"mmm"),3))</f>
        <v>FEB</v>
      </c>
      <c r="U80">
        <f>IFERROR(Tabla_producción_serigrafia[[#This Row],[CANTIDAD PRODUCIDA]]+Tabla_producción_serigrafia[[#This Row],[CANTIDAD RECHAZADA]],0)</f>
        <v>2280</v>
      </c>
    </row>
    <row r="81" spans="1:21" x14ac:dyDescent="0.25">
      <c r="A81" s="10">
        <v>46076</v>
      </c>
      <c r="B81" s="10" t="s">
        <v>58</v>
      </c>
      <c r="C81" s="1" t="s">
        <v>65</v>
      </c>
      <c r="D81" s="9">
        <v>0.4375</v>
      </c>
      <c r="E81" s="13">
        <v>0.45833333333333331</v>
      </c>
      <c r="F81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81" s="7" t="s">
        <v>57</v>
      </c>
      <c r="H81" s="3" t="s">
        <v>38</v>
      </c>
      <c r="I81" s="7" t="str">
        <f>IFERROR(INDEX(Tabla_control_serigrafia[PRODUCTO],MATCH(Tabla_producción_serigrafia[[#This Row],[LOTE]],Tabla_control_serigrafia[LOTE],0)),"-")</f>
        <v>-</v>
      </c>
      <c r="J81" t="str">
        <f>IFERROR(INDEX(Tabla_control_serigrafia[FORMATO DE FRASCO],MATCH(Tabla_producción_serigrafia[[#This Row],[LOTE]],Tabla_control_serigrafia[LOTE],0)),"-")</f>
        <v>-</v>
      </c>
      <c r="K81" t="str">
        <f>IFERROR(INDEX(Tabla_control_serigrafia[TIPO DE FRASCO],MATCH(Tabla_producción_serigrafia[[#This Row],[LOTE]],Tabla_control_serigrafia[LOTE],0)),"-")</f>
        <v>-</v>
      </c>
      <c r="L81" t="str">
        <f>IF(Tabla_producción_serigrafia[[#This Row],[ACCIÓN]]="PRODUCCIÓN",Tabla_producción_serigrafia[[#This Row],[FORMATO DE FRASCO]]&amp;" "&amp;Tabla_producción_serigrafia[[#This Row],[TIPO DE FRASCO]],"-")</f>
        <v>-</v>
      </c>
      <c r="M81" s="3" t="str">
        <f>IFERROR(INDEX(Tabla_control_serigrafia[CANTIDAD PEDIDA],MATCH(Tabla_producción_serigrafia[[#This Row],[LOTE]],Tabla_control_serigrafia[LOTE],0)),"-")</f>
        <v>-</v>
      </c>
      <c r="N81" s="14">
        <v>0</v>
      </c>
      <c r="O81" s="3">
        <v>0</v>
      </c>
      <c r="P81" s="3">
        <v>0</v>
      </c>
      <c r="Q8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81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81" t="s">
        <v>38</v>
      </c>
      <c r="T81" t="str">
        <f>UPPER(LEFT(TEXT(Tabla_producción_serigrafia[[#This Row],[FECHA]],"mmm"),3))</f>
        <v>FEB</v>
      </c>
      <c r="U81">
        <f>IFERROR(Tabla_producción_serigrafia[[#This Row],[CANTIDAD PRODUCIDA]]+Tabla_producción_serigrafia[[#This Row],[CANTIDAD RECHAZADA]],0)</f>
        <v>0</v>
      </c>
    </row>
    <row r="82" spans="1:21" x14ac:dyDescent="0.25">
      <c r="A82" s="10">
        <v>46076</v>
      </c>
      <c r="B82" s="10" t="s">
        <v>58</v>
      </c>
      <c r="C82" s="1" t="s">
        <v>65</v>
      </c>
      <c r="D82" s="9">
        <v>0.45833333333333331</v>
      </c>
      <c r="E82" s="13">
        <v>0.54166666666666663</v>
      </c>
      <c r="F82" s="11">
        <f>ROUND((Tabla_producción_serigrafia[[#This Row],[FIN]]-Tabla_producción_serigrafia[[#This Row],[INICIO]]+(Tabla_producción_serigrafia[[#This Row],[FIN]]&lt;Tabla_producción_serigrafia[[#This Row],[INICIO]]))*24,2)</f>
        <v>2</v>
      </c>
      <c r="G82" s="7" t="s">
        <v>56</v>
      </c>
      <c r="H82" s="3">
        <v>22673</v>
      </c>
      <c r="I82" s="7" t="str">
        <f>IFERROR(INDEX(Tabla_control_serigrafia[PRODUCTO],MATCH(Tabla_producción_serigrafia[[#This Row],[LOTE]],Tabla_control_serigrafia[LOTE],0)),"-")</f>
        <v>DICLOXACILINA 250 MG X 60 ML POLVO PARA SUSP.</v>
      </c>
      <c r="J82" t="str">
        <f>IFERROR(INDEX(Tabla_control_serigrafia[FORMATO DE FRASCO],MATCH(Tabla_producción_serigrafia[[#This Row],[LOTE]],Tabla_control_serigrafia[LOTE],0)),"-")</f>
        <v>80 ML</v>
      </c>
      <c r="K82" t="str">
        <f>IFERROR(INDEX(Tabla_control_serigrafia[TIPO DE FRASCO],MATCH(Tabla_producción_serigrafia[[#This Row],[LOTE]],Tabla_control_serigrafia[LOTE],0)),"-")</f>
        <v>FRASCO NATURAL</v>
      </c>
      <c r="L82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82" s="3">
        <f>IFERROR(INDEX(Tabla_control_serigrafia[CANTIDAD PEDIDA],MATCH(Tabla_producción_serigrafia[[#This Row],[LOTE]],Tabla_control_serigrafia[LOTE],0)),"-")</f>
        <v>2500</v>
      </c>
      <c r="N82" s="14">
        <v>2500</v>
      </c>
      <c r="O82" s="3">
        <v>30</v>
      </c>
      <c r="P82" s="3" t="s">
        <v>62</v>
      </c>
      <c r="Q8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2500</v>
      </c>
      <c r="R82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21</v>
      </c>
      <c r="S82" t="s">
        <v>38</v>
      </c>
      <c r="T82" t="str">
        <f>UPPER(LEFT(TEXT(Tabla_producción_serigrafia[[#This Row],[FECHA]],"mmm"),3))</f>
        <v>FEB</v>
      </c>
      <c r="U82">
        <f>IFERROR(Tabla_producción_serigrafia[[#This Row],[CANTIDAD PRODUCIDA]]+Tabla_producción_serigrafia[[#This Row],[CANTIDAD RECHAZADA]],0)</f>
        <v>2530</v>
      </c>
    </row>
    <row r="83" spans="1:21" x14ac:dyDescent="0.25">
      <c r="A83" s="10">
        <v>46076</v>
      </c>
      <c r="B83" s="10" t="s">
        <v>58</v>
      </c>
      <c r="C83" s="1" t="s">
        <v>65</v>
      </c>
      <c r="D83" s="9">
        <v>0.54166666666666663</v>
      </c>
      <c r="E83" s="13">
        <v>0.72916666666666663</v>
      </c>
      <c r="F83" s="11">
        <f>ROUND((Tabla_producción_serigrafia[[#This Row],[FIN]]-Tabla_producción_serigrafia[[#This Row],[INICIO]]+(Tabla_producción_serigrafia[[#This Row],[FIN]]&lt;Tabla_producción_serigrafia[[#This Row],[INICIO]]))*24,2)</f>
        <v>4.5</v>
      </c>
      <c r="G83" s="7" t="s">
        <v>56</v>
      </c>
      <c r="H83" s="3">
        <v>22685</v>
      </c>
      <c r="I83" s="7" t="str">
        <f>IFERROR(INDEX(Tabla_control_serigrafia[PRODUCTO],MATCH(Tabla_producción_serigrafia[[#This Row],[LOTE]],Tabla_control_serigrafia[LOTE],0)),"-")</f>
        <v>CLORFENAMINA 2 MG X 60 ML JARABE</v>
      </c>
      <c r="J83" t="str">
        <f>IFERROR(INDEX(Tabla_control_serigrafia[FORMATO DE FRASCO],MATCH(Tabla_producción_serigrafia[[#This Row],[LOTE]],Tabla_control_serigrafia[LOTE],0)),"-")</f>
        <v>80 ML</v>
      </c>
      <c r="K83" t="str">
        <f>IFERROR(INDEX(Tabla_control_serigrafia[TIPO DE FRASCO],MATCH(Tabla_producción_serigrafia[[#This Row],[LOTE]],Tabla_control_serigrafia[LOTE],0)),"-")</f>
        <v>FRASCO BLANCO</v>
      </c>
      <c r="L83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83" s="3">
        <f>IFERROR(INDEX(Tabla_control_serigrafia[CANTIDAD PEDIDA],MATCH(Tabla_producción_serigrafia[[#This Row],[LOTE]],Tabla_control_serigrafia[LOTE],0)),"-")</f>
        <v>29508</v>
      </c>
      <c r="N83" s="14">
        <f>29508-15100</f>
        <v>14408</v>
      </c>
      <c r="O83" s="3">
        <v>310</v>
      </c>
      <c r="P83" s="3" t="s">
        <v>178</v>
      </c>
      <c r="Q8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14408</v>
      </c>
      <c r="R83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T83" t="str">
        <f>UPPER(LEFT(TEXT(Tabla_producción_serigrafia[[#This Row],[FECHA]],"mmm"),3))</f>
        <v>FEB</v>
      </c>
      <c r="U83">
        <f>IFERROR(Tabla_producción_serigrafia[[#This Row],[CANTIDAD PRODUCIDA]]+Tabla_producción_serigrafia[[#This Row],[CANTIDAD RECHAZADA]],0)</f>
        <v>14718</v>
      </c>
    </row>
    <row r="84" spans="1:21" x14ac:dyDescent="0.25">
      <c r="A84" s="10">
        <v>46076</v>
      </c>
      <c r="B84" s="10" t="s">
        <v>58</v>
      </c>
      <c r="C84" s="1" t="s">
        <v>65</v>
      </c>
      <c r="D84" s="9">
        <v>0.58333333333333337</v>
      </c>
      <c r="E84" s="13">
        <v>0.72916666666666663</v>
      </c>
      <c r="F84" s="11">
        <f>ROUND((Tabla_producción_serigrafia[[#This Row],[FIN]]-Tabla_producción_serigrafia[[#This Row],[INICIO]]+(Tabla_producción_serigrafia[[#This Row],[FIN]]&lt;Tabla_producción_serigrafia[[#This Row],[INICIO]]))*24,2)</f>
        <v>3.5</v>
      </c>
      <c r="G84" s="7" t="s">
        <v>56</v>
      </c>
      <c r="H84" s="3">
        <v>22685</v>
      </c>
      <c r="I84" s="7" t="str">
        <f>IFERROR(INDEX(Tabla_control_serigrafia[PRODUCTO],MATCH(Tabla_producción_serigrafia[[#This Row],[LOTE]],Tabla_control_serigrafia[LOTE],0)),"-")</f>
        <v>CLORFENAMINA 2 MG X 60 ML JARABE</v>
      </c>
      <c r="J84" t="str">
        <f>IFERROR(INDEX(Tabla_control_serigrafia[FORMATO DE FRASCO],MATCH(Tabla_producción_serigrafia[[#This Row],[LOTE]],Tabla_control_serigrafia[LOTE],0)),"-")</f>
        <v>80 ML</v>
      </c>
      <c r="K84" t="str">
        <f>IFERROR(INDEX(Tabla_control_serigrafia[TIPO DE FRASCO],MATCH(Tabla_producción_serigrafia[[#This Row],[LOTE]],Tabla_control_serigrafia[LOTE],0)),"-")</f>
        <v>FRASCO BLANCO</v>
      </c>
      <c r="L84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84" s="3">
        <f>IFERROR(INDEX(Tabla_control_serigrafia[CANTIDAD PEDIDA],MATCH(Tabla_producción_serigrafia[[#This Row],[LOTE]],Tabla_control_serigrafia[LOTE],0)),"-")</f>
        <v>29508</v>
      </c>
      <c r="N84" s="14">
        <v>7500</v>
      </c>
      <c r="O84" s="3">
        <v>120</v>
      </c>
      <c r="P84" s="3" t="s">
        <v>178</v>
      </c>
      <c r="Q8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7500</v>
      </c>
      <c r="R84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84" t="s">
        <v>38</v>
      </c>
      <c r="T84" t="str">
        <f>UPPER(LEFT(TEXT(Tabla_producción_serigrafia[[#This Row],[FECHA]],"mmm"),3))</f>
        <v>FEB</v>
      </c>
      <c r="U84">
        <f>IFERROR(Tabla_producción_serigrafia[[#This Row],[CANTIDAD PRODUCIDA]]+Tabla_producción_serigrafia[[#This Row],[CANTIDAD RECHAZADA]],0)</f>
        <v>7620</v>
      </c>
    </row>
    <row r="85" spans="1:21" x14ac:dyDescent="0.25">
      <c r="A85" s="10">
        <v>46077</v>
      </c>
      <c r="B85" s="10" t="s">
        <v>58</v>
      </c>
      <c r="C85" s="1" t="s">
        <v>65</v>
      </c>
      <c r="D85" s="9">
        <v>0.35416666666666669</v>
      </c>
      <c r="E85" s="13">
        <v>0.4861111111111111</v>
      </c>
      <c r="F85" s="11">
        <f>ROUND((Tabla_producción_serigrafia[[#This Row],[FIN]]-Tabla_producción_serigrafia[[#This Row],[INICIO]]+(Tabla_producción_serigrafia[[#This Row],[FIN]]&lt;Tabla_producción_serigrafia[[#This Row],[INICIO]]))*24,2)</f>
        <v>3.17</v>
      </c>
      <c r="G85" s="7" t="s">
        <v>56</v>
      </c>
      <c r="H85" s="3">
        <v>22685</v>
      </c>
      <c r="I85" s="7" t="str">
        <f>IFERROR(INDEX(Tabla_control_serigrafia[PRODUCTO],MATCH(Tabla_producción_serigrafia[[#This Row],[LOTE]],Tabla_control_serigrafia[LOTE],0)),"-")</f>
        <v>CLORFENAMINA 2 MG X 60 ML JARABE</v>
      </c>
      <c r="J85" t="str">
        <f>IFERROR(INDEX(Tabla_control_serigrafia[FORMATO DE FRASCO],MATCH(Tabla_producción_serigrafia[[#This Row],[LOTE]],Tabla_control_serigrafia[LOTE],0)),"-")</f>
        <v>80 ML</v>
      </c>
      <c r="K85" t="str">
        <f>IFERROR(INDEX(Tabla_control_serigrafia[TIPO DE FRASCO],MATCH(Tabla_producción_serigrafia[[#This Row],[LOTE]],Tabla_control_serigrafia[LOTE],0)),"-")</f>
        <v>FRASCO BLANCO</v>
      </c>
      <c r="L85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85" s="3">
        <f>IFERROR(INDEX(Tabla_control_serigrafia[CANTIDAD PEDIDA],MATCH(Tabla_producción_serigrafia[[#This Row],[LOTE]],Tabla_control_serigrafia[LOTE],0)),"-")</f>
        <v>29508</v>
      </c>
      <c r="N85" s="14">
        <v>7600</v>
      </c>
      <c r="O85" s="3">
        <v>310</v>
      </c>
      <c r="P85" s="3" t="s">
        <v>62</v>
      </c>
      <c r="Q8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7600</v>
      </c>
      <c r="R85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14</v>
      </c>
      <c r="S85" t="s">
        <v>102</v>
      </c>
      <c r="T85" t="str">
        <f>UPPER(LEFT(TEXT(Tabla_producción_serigrafia[[#This Row],[FECHA]],"mmm"),3))</f>
        <v>FEB</v>
      </c>
      <c r="U85">
        <f>IFERROR(Tabla_producción_serigrafia[[#This Row],[CANTIDAD PRODUCIDA]]+Tabla_producción_serigrafia[[#This Row],[CANTIDAD RECHAZADA]],0)</f>
        <v>7910</v>
      </c>
    </row>
    <row r="86" spans="1:21" x14ac:dyDescent="0.25">
      <c r="A86" s="10">
        <v>46077</v>
      </c>
      <c r="B86" s="10" t="s">
        <v>58</v>
      </c>
      <c r="C86" s="1" t="s">
        <v>65</v>
      </c>
      <c r="D86" s="9">
        <v>0.4861111111111111</v>
      </c>
      <c r="E86" s="13">
        <v>0.70833333333333337</v>
      </c>
      <c r="F86" s="11">
        <f>ROUND((Tabla_producción_serigrafia[[#This Row],[FIN]]-Tabla_producción_serigrafia[[#This Row],[INICIO]]+(Tabla_producción_serigrafia[[#This Row],[FIN]]&lt;Tabla_producción_serigrafia[[#This Row],[INICIO]]))*24,2)</f>
        <v>5.33</v>
      </c>
      <c r="G86" s="7" t="s">
        <v>64</v>
      </c>
      <c r="H86" s="3" t="s">
        <v>38</v>
      </c>
      <c r="I86" s="7" t="str">
        <f>IFERROR(INDEX(Tabla_control_serigrafia[PRODUCTO],MATCH(Tabla_producción_serigrafia[[#This Row],[LOTE]],Tabla_control_serigrafia[LOTE],0)),"-")</f>
        <v>-</v>
      </c>
      <c r="J86" t="str">
        <f>IFERROR(INDEX(Tabla_control_serigrafia[FORMATO DE FRASCO],MATCH(Tabla_producción_serigrafia[[#This Row],[LOTE]],Tabla_control_serigrafia[LOTE],0)),"-")</f>
        <v>-</v>
      </c>
      <c r="K86" t="str">
        <f>IFERROR(INDEX(Tabla_control_serigrafia[TIPO DE FRASCO],MATCH(Tabla_producción_serigrafia[[#This Row],[LOTE]],Tabla_control_serigrafia[LOTE],0)),"-")</f>
        <v>-</v>
      </c>
      <c r="L86" t="str">
        <f>IF(Tabla_producción_serigrafia[[#This Row],[ACCIÓN]]="PRODUCCIÓN",Tabla_producción_serigrafia[[#This Row],[FORMATO DE FRASCO]]&amp;" "&amp;Tabla_producción_serigrafia[[#This Row],[TIPO DE FRASCO]],"-")</f>
        <v>-</v>
      </c>
      <c r="M86" s="3" t="str">
        <f>IFERROR(INDEX(Tabla_control_serigrafia[CANTIDAD PEDIDA],MATCH(Tabla_producción_serigrafia[[#This Row],[LOTE]],Tabla_control_serigrafia[LOTE],0)),"-")</f>
        <v>-</v>
      </c>
      <c r="N86" s="14">
        <v>0</v>
      </c>
      <c r="O86" s="3">
        <v>0</v>
      </c>
      <c r="P86" s="3">
        <v>0</v>
      </c>
      <c r="Q8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86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86" t="s">
        <v>137</v>
      </c>
      <c r="T86" t="str">
        <f>UPPER(LEFT(TEXT(Tabla_producción_serigrafia[[#This Row],[FECHA]],"mmm"),3))</f>
        <v>FEB</v>
      </c>
      <c r="U86">
        <f>IFERROR(Tabla_producción_serigrafia[[#This Row],[CANTIDAD PRODUCIDA]]+Tabla_producción_serigrafia[[#This Row],[CANTIDAD RECHAZADA]],0)</f>
        <v>0</v>
      </c>
    </row>
    <row r="87" spans="1:21" x14ac:dyDescent="0.25">
      <c r="A87" s="10">
        <v>46078</v>
      </c>
      <c r="B87" s="10" t="s">
        <v>58</v>
      </c>
      <c r="C87" s="1" t="s">
        <v>65</v>
      </c>
      <c r="D87" s="9">
        <v>0.33333333333333331</v>
      </c>
      <c r="E87" s="13">
        <v>0.41666666666666669</v>
      </c>
      <c r="F87" s="11">
        <f>ROUND((Tabla_producción_serigrafia[[#This Row],[FIN]]-Tabla_producción_serigrafia[[#This Row],[INICIO]]+(Tabla_producción_serigrafia[[#This Row],[FIN]]&lt;Tabla_producción_serigrafia[[#This Row],[INICIO]]))*24,2)</f>
        <v>2</v>
      </c>
      <c r="G87" s="7" t="s">
        <v>64</v>
      </c>
      <c r="H87" s="3" t="s">
        <v>38</v>
      </c>
      <c r="I87" s="7" t="str">
        <f>IFERROR(INDEX(Tabla_control_serigrafia[PRODUCTO],MATCH(Tabla_producción_serigrafia[[#This Row],[LOTE]],Tabla_control_serigrafia[LOTE],0)),"-")</f>
        <v>-</v>
      </c>
      <c r="J87" t="str">
        <f>IFERROR(INDEX(Tabla_control_serigrafia[FORMATO DE FRASCO],MATCH(Tabla_producción_serigrafia[[#This Row],[LOTE]],Tabla_control_serigrafia[LOTE],0)),"-")</f>
        <v>-</v>
      </c>
      <c r="K87" t="str">
        <f>IFERROR(INDEX(Tabla_control_serigrafia[TIPO DE FRASCO],MATCH(Tabla_producción_serigrafia[[#This Row],[LOTE]],Tabla_control_serigrafia[LOTE],0)),"-")</f>
        <v>-</v>
      </c>
      <c r="L87" t="str">
        <f>IF(Tabla_producción_serigrafia[[#This Row],[ACCIÓN]]="PRODUCCIÓN",Tabla_producción_serigrafia[[#This Row],[FORMATO DE FRASCO]]&amp;" "&amp;Tabla_producción_serigrafia[[#This Row],[TIPO DE FRASCO]],"-")</f>
        <v>-</v>
      </c>
      <c r="M87" s="3" t="str">
        <f>IFERROR(INDEX(Tabla_control_serigrafia[CANTIDAD PEDIDA],MATCH(Tabla_producción_serigrafia[[#This Row],[LOTE]],Tabla_control_serigrafia[LOTE],0)),"-")</f>
        <v>-</v>
      </c>
      <c r="N87" s="14">
        <v>0</v>
      </c>
      <c r="O87" s="3">
        <v>0</v>
      </c>
      <c r="P87" s="3">
        <v>0</v>
      </c>
      <c r="Q8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87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87" t="s">
        <v>137</v>
      </c>
      <c r="T87" t="str">
        <f>UPPER(LEFT(TEXT(Tabla_producción_serigrafia[[#This Row],[FECHA]],"mmm"),3))</f>
        <v>FEB</v>
      </c>
      <c r="U87">
        <f>IFERROR(Tabla_producción_serigrafia[[#This Row],[CANTIDAD PRODUCIDA]]+Tabla_producción_serigrafia[[#This Row],[CANTIDAD RECHAZADA]],0)</f>
        <v>0</v>
      </c>
    </row>
    <row r="88" spans="1:21" x14ac:dyDescent="0.25">
      <c r="A88" s="10">
        <v>46079</v>
      </c>
      <c r="B88" s="10" t="s">
        <v>58</v>
      </c>
      <c r="C88" s="1" t="s">
        <v>65</v>
      </c>
      <c r="D88" s="9">
        <v>0.35416666666666669</v>
      </c>
      <c r="E88" s="13">
        <v>0.5</v>
      </c>
      <c r="F88" s="11">
        <f>ROUND((Tabla_producción_serigrafia[[#This Row],[FIN]]-Tabla_producción_serigrafia[[#This Row],[INICIO]]+(Tabla_producción_serigrafia[[#This Row],[FIN]]&lt;Tabla_producción_serigrafia[[#This Row],[INICIO]]))*24,2)</f>
        <v>3.5</v>
      </c>
      <c r="G88" s="7" t="s">
        <v>56</v>
      </c>
      <c r="H88" s="3">
        <v>22613</v>
      </c>
      <c r="I88" s="7" t="str">
        <f>IFERROR(INDEX(Tabla_control_serigrafia[PRODUCTO],MATCH(Tabla_producción_serigrafia[[#This Row],[LOTE]],Tabla_control_serigrafia[LOTE],0)),"-")</f>
        <v>TUSSINOL X 100 ML JARABE</v>
      </c>
      <c r="J88" t="str">
        <f>IFERROR(INDEX(Tabla_control_serigrafia[FORMATO DE FRASCO],MATCH(Tabla_producción_serigrafia[[#This Row],[LOTE]],Tabla_control_serigrafia[LOTE],0)),"-")</f>
        <v>120 ML</v>
      </c>
      <c r="K88" t="str">
        <f>IFERROR(INDEX(Tabla_control_serigrafia[TIPO DE FRASCO],MATCH(Tabla_producción_serigrafia[[#This Row],[LOTE]],Tabla_control_serigrafia[LOTE],0)),"-")</f>
        <v>FRASCO BLANCO</v>
      </c>
      <c r="L88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88" s="3">
        <f>IFERROR(INDEX(Tabla_control_serigrafia[CANTIDAD PEDIDA],MATCH(Tabla_producción_serigrafia[[#This Row],[LOTE]],Tabla_control_serigrafia[LOTE],0)),"-")</f>
        <v>7000</v>
      </c>
      <c r="N88" s="14">
        <v>2000</v>
      </c>
      <c r="O88" s="3">
        <v>100</v>
      </c>
      <c r="P88" s="3" t="s">
        <v>178</v>
      </c>
      <c r="Q8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</v>
      </c>
      <c r="R88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88" t="s">
        <v>38</v>
      </c>
      <c r="T88" t="str">
        <f>UPPER(LEFT(TEXT(Tabla_producción_serigrafia[[#This Row],[FECHA]],"mmm"),3))</f>
        <v>FEB</v>
      </c>
      <c r="U88">
        <f>IFERROR(Tabla_producción_serigrafia[[#This Row],[CANTIDAD PRODUCIDA]]+Tabla_producción_serigrafia[[#This Row],[CANTIDAD RECHAZADA]],0)</f>
        <v>2100</v>
      </c>
    </row>
    <row r="89" spans="1:21" x14ac:dyDescent="0.25">
      <c r="A89" s="10">
        <v>46079</v>
      </c>
      <c r="B89" s="10" t="s">
        <v>58</v>
      </c>
      <c r="C89" s="1" t="s">
        <v>65</v>
      </c>
      <c r="D89" s="9">
        <v>0.58333333333333337</v>
      </c>
      <c r="E89" s="13">
        <v>0.68055555555555547</v>
      </c>
      <c r="F89" s="11">
        <f>ROUND((Tabla_producción_serigrafia[[#This Row],[FIN]]-Tabla_producción_serigrafia[[#This Row],[INICIO]]+(Tabla_producción_serigrafia[[#This Row],[FIN]]&lt;Tabla_producción_serigrafia[[#This Row],[INICIO]]))*24,2)</f>
        <v>2.33</v>
      </c>
      <c r="G89" s="7" t="s">
        <v>56</v>
      </c>
      <c r="H89" s="3">
        <v>17226</v>
      </c>
      <c r="I89" s="7" t="str">
        <f>IFERROR(INDEX(Tabla_control_serigrafia[PRODUCTO],MATCH(Tabla_producción_serigrafia[[#This Row],[LOTE]],Tabla_control_serigrafia[LOTE],0)),"-")</f>
        <v>VITAVE AVIAR X 100 G POLVO VETERINARIO</v>
      </c>
      <c r="J89" t="str">
        <f>IFERROR(INDEX(Tabla_control_serigrafia[FORMATO DE FRASCO],MATCH(Tabla_producción_serigrafia[[#This Row],[LOTE]],Tabla_control_serigrafia[LOTE],0)),"-")</f>
        <v>100 GR</v>
      </c>
      <c r="K89" t="str">
        <f>IFERROR(INDEX(Tabla_control_serigrafia[TIPO DE FRASCO],MATCH(Tabla_producción_serigrafia[[#This Row],[LOTE]],Tabla_control_serigrafia[LOTE],0)),"-")</f>
        <v>FRASCO BLANCO</v>
      </c>
      <c r="L89" t="str">
        <f>IF(Tabla_producción_serigrafia[[#This Row],[ACCIÓN]]="PRODUCCIÓN",Tabla_producción_serigrafia[[#This Row],[FORMATO DE FRASCO]]&amp;" "&amp;Tabla_producción_serigrafia[[#This Row],[TIPO DE FRASCO]],"-")</f>
        <v>100 GR FRASCO BLANCO</v>
      </c>
      <c r="M89" s="3">
        <f>IFERROR(INDEX(Tabla_control_serigrafia[CANTIDAD PEDIDA],MATCH(Tabla_producción_serigrafia[[#This Row],[LOTE]],Tabla_control_serigrafia[LOTE],0)),"-")</f>
        <v>1980</v>
      </c>
      <c r="N89" s="14">
        <f>1980-500</f>
        <v>1480</v>
      </c>
      <c r="O89" s="3">
        <v>80</v>
      </c>
      <c r="P89" s="3" t="s">
        <v>178</v>
      </c>
      <c r="Q89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1480</v>
      </c>
      <c r="R89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T89" t="str">
        <f>UPPER(LEFT(TEXT(Tabla_producción_serigrafia[[#This Row],[FECHA]],"mmm"),3))</f>
        <v>FEB</v>
      </c>
      <c r="U89">
        <f>IFERROR(Tabla_producción_serigrafia[[#This Row],[CANTIDAD PRODUCIDA]]+Tabla_producción_serigrafia[[#This Row],[CANTIDAD RECHAZADA]],0)</f>
        <v>1560</v>
      </c>
    </row>
    <row r="90" spans="1:21" x14ac:dyDescent="0.25">
      <c r="A90" s="10">
        <v>46079</v>
      </c>
      <c r="B90" s="10" t="s">
        <v>58</v>
      </c>
      <c r="C90" s="1" t="s">
        <v>65</v>
      </c>
      <c r="D90" s="9">
        <v>0.68055555555555547</v>
      </c>
      <c r="E90" s="13">
        <v>0.72916666666666663</v>
      </c>
      <c r="F90" s="11">
        <f>ROUND((Tabla_producción_serigrafia[[#This Row],[FIN]]-Tabla_producción_serigrafia[[#This Row],[INICIO]]+(Tabla_producción_serigrafia[[#This Row],[FIN]]&lt;Tabla_producción_serigrafia[[#This Row],[INICIO]]))*24,2)</f>
        <v>1.17</v>
      </c>
      <c r="G90" s="7" t="s">
        <v>56</v>
      </c>
      <c r="H90" s="3">
        <v>17226</v>
      </c>
      <c r="I90" s="7" t="str">
        <f>IFERROR(INDEX(Tabla_control_serigrafia[PRODUCTO],MATCH(Tabla_producción_serigrafia[[#This Row],[LOTE]],Tabla_control_serigrafia[LOTE],0)),"-")</f>
        <v>VITAVE AVIAR X 100 G POLVO VETERINARIO</v>
      </c>
      <c r="J90" t="str">
        <f>IFERROR(INDEX(Tabla_control_serigrafia[FORMATO DE FRASCO],MATCH(Tabla_producción_serigrafia[[#This Row],[LOTE]],Tabla_control_serigrafia[LOTE],0)),"-")</f>
        <v>100 GR</v>
      </c>
      <c r="K90" t="str">
        <f>IFERROR(INDEX(Tabla_control_serigrafia[TIPO DE FRASCO],MATCH(Tabla_producción_serigrafia[[#This Row],[LOTE]],Tabla_control_serigrafia[LOTE],0)),"-")</f>
        <v>FRASCO BLANCO</v>
      </c>
      <c r="L90" t="str">
        <f>IF(Tabla_producción_serigrafia[[#This Row],[ACCIÓN]]="PRODUCCIÓN",Tabla_producción_serigrafia[[#This Row],[FORMATO DE FRASCO]]&amp;" "&amp;Tabla_producción_serigrafia[[#This Row],[TIPO DE FRASCO]],"-")</f>
        <v>100 GR FRASCO BLANCO</v>
      </c>
      <c r="M90" s="3">
        <f>IFERROR(INDEX(Tabla_control_serigrafia[CANTIDAD PEDIDA],MATCH(Tabla_producción_serigrafia[[#This Row],[LOTE]],Tabla_control_serigrafia[LOTE],0)),"-")</f>
        <v>1980</v>
      </c>
      <c r="N90" s="14">
        <v>500</v>
      </c>
      <c r="O90" s="3">
        <v>30</v>
      </c>
      <c r="P90" s="3" t="s">
        <v>62</v>
      </c>
      <c r="Q90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500</v>
      </c>
      <c r="R90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24</v>
      </c>
      <c r="S90" t="s">
        <v>38</v>
      </c>
      <c r="T90" t="str">
        <f>UPPER(LEFT(TEXT(Tabla_producción_serigrafia[[#This Row],[FECHA]],"mmm"),3))</f>
        <v>FEB</v>
      </c>
      <c r="U90">
        <f>IFERROR(Tabla_producción_serigrafia[[#This Row],[CANTIDAD PRODUCIDA]]+Tabla_producción_serigrafia[[#This Row],[CANTIDAD RECHAZADA]],0)</f>
        <v>530</v>
      </c>
    </row>
    <row r="91" spans="1:21" x14ac:dyDescent="0.25">
      <c r="A91" s="10">
        <v>46080</v>
      </c>
      <c r="B91" s="10" t="s">
        <v>58</v>
      </c>
      <c r="C91" s="1" t="s">
        <v>65</v>
      </c>
      <c r="D91" s="9">
        <v>0.35416666666666669</v>
      </c>
      <c r="E91" s="13">
        <v>0.52083333333333337</v>
      </c>
      <c r="F91" s="11">
        <f>ROUND((Tabla_producción_serigrafia[[#This Row],[FIN]]-Tabla_producción_serigrafia[[#This Row],[INICIO]]+(Tabla_producción_serigrafia[[#This Row],[FIN]]&lt;Tabla_producción_serigrafia[[#This Row],[INICIO]]))*24,2)</f>
        <v>4</v>
      </c>
      <c r="G91" s="7" t="s">
        <v>56</v>
      </c>
      <c r="H91" s="3">
        <v>22613</v>
      </c>
      <c r="I91" s="7" t="str">
        <f>IFERROR(INDEX(Tabla_control_serigrafia[PRODUCTO],MATCH(Tabla_producción_serigrafia[[#This Row],[LOTE]],Tabla_control_serigrafia[LOTE],0)),"-")</f>
        <v>TUSSINOL X 100 ML JARABE</v>
      </c>
      <c r="J91" t="str">
        <f>IFERROR(INDEX(Tabla_control_serigrafia[FORMATO DE FRASCO],MATCH(Tabla_producción_serigrafia[[#This Row],[LOTE]],Tabla_control_serigrafia[LOTE],0)),"-")</f>
        <v>120 ML</v>
      </c>
      <c r="K91" t="str">
        <f>IFERROR(INDEX(Tabla_control_serigrafia[TIPO DE FRASCO],MATCH(Tabla_producción_serigrafia[[#This Row],[LOTE]],Tabla_control_serigrafia[LOTE],0)),"-")</f>
        <v>FRASCO BLANCO</v>
      </c>
      <c r="L9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91" s="3">
        <f>IFERROR(INDEX(Tabla_control_serigrafia[CANTIDAD PEDIDA],MATCH(Tabla_producción_serigrafia[[#This Row],[LOTE]],Tabla_control_serigrafia[LOTE],0)),"-")</f>
        <v>7000</v>
      </c>
      <c r="N91" s="14">
        <v>5100</v>
      </c>
      <c r="O91" s="3">
        <v>270</v>
      </c>
      <c r="P91" s="3" t="s">
        <v>62</v>
      </c>
      <c r="Q91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5100</v>
      </c>
      <c r="R91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25</v>
      </c>
      <c r="S91" t="s">
        <v>38</v>
      </c>
      <c r="T91" t="str">
        <f>UPPER(LEFT(TEXT(Tabla_producción_serigrafia[[#This Row],[FECHA]],"mmm"),3))</f>
        <v>FEB</v>
      </c>
      <c r="U91">
        <f>IFERROR(Tabla_producción_serigrafia[[#This Row],[CANTIDAD PRODUCIDA]]+Tabla_producción_serigrafia[[#This Row],[CANTIDAD RECHAZADA]],0)</f>
        <v>5370</v>
      </c>
    </row>
    <row r="92" spans="1:21" x14ac:dyDescent="0.25">
      <c r="A92" s="10">
        <v>46080</v>
      </c>
      <c r="B92" s="10" t="s">
        <v>58</v>
      </c>
      <c r="C92" s="1" t="s">
        <v>65</v>
      </c>
      <c r="D92" s="9">
        <v>0.52083333333333337</v>
      </c>
      <c r="E92" s="13">
        <v>0.54166666666666663</v>
      </c>
      <c r="F92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92" s="7" t="s">
        <v>57</v>
      </c>
      <c r="H92" s="3" t="s">
        <v>38</v>
      </c>
      <c r="I92" s="7" t="str">
        <f>IFERROR(INDEX(Tabla_control_serigrafia[PRODUCTO],MATCH(Tabla_producción_serigrafia[[#This Row],[LOTE]],Tabla_control_serigrafia[LOTE],0)),"-")</f>
        <v>-</v>
      </c>
      <c r="J92" t="str">
        <f>IFERROR(INDEX(Tabla_control_serigrafia[FORMATO DE FRASCO],MATCH(Tabla_producción_serigrafia[[#This Row],[LOTE]],Tabla_control_serigrafia[LOTE],0)),"-")</f>
        <v>-</v>
      </c>
      <c r="K92" t="str">
        <f>IFERROR(INDEX(Tabla_control_serigrafia[TIPO DE FRASCO],MATCH(Tabla_producción_serigrafia[[#This Row],[LOTE]],Tabla_control_serigrafia[LOTE],0)),"-")</f>
        <v>-</v>
      </c>
      <c r="L92" t="str">
        <f>IF(Tabla_producción_serigrafia[[#This Row],[ACCIÓN]]="PRODUCCIÓN",Tabla_producción_serigrafia[[#This Row],[FORMATO DE FRASCO]]&amp;" "&amp;Tabla_producción_serigrafia[[#This Row],[TIPO DE FRASCO]],"-")</f>
        <v>-</v>
      </c>
      <c r="M92" s="3" t="str">
        <f>IFERROR(INDEX(Tabla_control_serigrafia[CANTIDAD PEDIDA],MATCH(Tabla_producción_serigrafia[[#This Row],[LOTE]],Tabla_control_serigrafia[LOTE],0)),"-")</f>
        <v>-</v>
      </c>
      <c r="N92" s="14">
        <v>0</v>
      </c>
      <c r="O92" s="3">
        <v>0</v>
      </c>
      <c r="P92" s="3">
        <v>0</v>
      </c>
      <c r="Q92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92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92" t="s">
        <v>38</v>
      </c>
      <c r="T92" t="str">
        <f>UPPER(LEFT(TEXT(Tabla_producción_serigrafia[[#This Row],[FECHA]],"mmm"),3))</f>
        <v>FEB</v>
      </c>
      <c r="U92">
        <f>IFERROR(Tabla_producción_serigrafia[[#This Row],[CANTIDAD PRODUCIDA]]+Tabla_producción_serigrafia[[#This Row],[CANTIDAD RECHAZADA]],0)</f>
        <v>0</v>
      </c>
    </row>
    <row r="93" spans="1:21" x14ac:dyDescent="0.25">
      <c r="A93" s="10">
        <v>46080</v>
      </c>
      <c r="B93" s="10" t="s">
        <v>58</v>
      </c>
      <c r="C93" s="1" t="s">
        <v>65</v>
      </c>
      <c r="D93" s="9">
        <v>0.54166666666666663</v>
      </c>
      <c r="E93" s="13">
        <v>0.72916666666666663</v>
      </c>
      <c r="F93" s="11">
        <f>ROUND((Tabla_producción_serigrafia[[#This Row],[FIN]]-Tabla_producción_serigrafia[[#This Row],[INICIO]]+(Tabla_producción_serigrafia[[#This Row],[FIN]]&lt;Tabla_producción_serigrafia[[#This Row],[INICIO]]))*24,2)</f>
        <v>4.5</v>
      </c>
      <c r="G93" s="7" t="s">
        <v>56</v>
      </c>
      <c r="H93" s="3">
        <v>22682</v>
      </c>
      <c r="I93" s="7" t="str">
        <f>IFERROR(INDEX(Tabla_control_serigrafia[PRODUCTO],MATCH(Tabla_producción_serigrafia[[#This Row],[LOTE]],Tabla_control_serigrafia[LOTE],0)),"-")</f>
        <v>IBUPROFENO 200 MG X 100 ML SUSP.</v>
      </c>
      <c r="J93" t="str">
        <f>IFERROR(INDEX(Tabla_control_serigrafia[FORMATO DE FRASCO],MATCH(Tabla_producción_serigrafia[[#This Row],[LOTE]],Tabla_control_serigrafia[LOTE],0)),"-")</f>
        <v>120 ML</v>
      </c>
      <c r="K93" t="str">
        <f>IFERROR(INDEX(Tabla_control_serigrafia[TIPO DE FRASCO],MATCH(Tabla_producción_serigrafia[[#This Row],[LOTE]],Tabla_control_serigrafia[LOTE],0)),"-")</f>
        <v>FRASCO BLANCO</v>
      </c>
      <c r="L9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93" s="3">
        <f>IFERROR(INDEX(Tabla_control_serigrafia[CANTIDAD PEDIDA],MATCH(Tabla_producción_serigrafia[[#This Row],[LOTE]],Tabla_control_serigrafia[LOTE],0)),"-")</f>
        <v>9804</v>
      </c>
      <c r="N93" s="14">
        <v>9950</v>
      </c>
      <c r="O93" s="3">
        <v>319</v>
      </c>
      <c r="P93" s="3" t="s">
        <v>62</v>
      </c>
      <c r="Q93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9950</v>
      </c>
      <c r="R93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25</v>
      </c>
      <c r="S93" t="s">
        <v>38</v>
      </c>
      <c r="T93" t="str">
        <f>UPPER(LEFT(TEXT(Tabla_producción_serigrafia[[#This Row],[FECHA]],"mmm"),3))</f>
        <v>FEB</v>
      </c>
      <c r="U93">
        <f>IFERROR(Tabla_producción_serigrafia[[#This Row],[CANTIDAD PRODUCIDA]]+Tabla_producción_serigrafia[[#This Row],[CANTIDAD RECHAZADA]],0)</f>
        <v>10269</v>
      </c>
    </row>
    <row r="94" spans="1:21" x14ac:dyDescent="0.25">
      <c r="A94" s="10">
        <v>46083</v>
      </c>
      <c r="B94" s="10" t="s">
        <v>58</v>
      </c>
      <c r="C94" s="1" t="s">
        <v>65</v>
      </c>
      <c r="D94" s="9">
        <v>0.33333333333333331</v>
      </c>
      <c r="E94" s="13">
        <v>0.375</v>
      </c>
      <c r="F94" s="11">
        <f>ROUND((Tabla_producción_serigrafia[[#This Row],[FIN]]-Tabla_producción_serigrafia[[#This Row],[INICIO]]+(Tabla_producción_serigrafia[[#This Row],[FIN]]&lt;Tabla_producción_serigrafia[[#This Row],[INICIO]]))*24,2)</f>
        <v>1</v>
      </c>
      <c r="G94" s="7" t="s">
        <v>57</v>
      </c>
      <c r="H94" s="3" t="s">
        <v>38</v>
      </c>
      <c r="I94" s="7" t="str">
        <f>IFERROR(INDEX(Tabla_control_serigrafia[PRODUCTO],MATCH(Tabla_producción_serigrafia[[#This Row],[LOTE]],Tabla_control_serigrafia[LOTE],0)),"-")</f>
        <v>-</v>
      </c>
      <c r="J94" t="str">
        <f>IFERROR(INDEX(Tabla_control_serigrafia[FORMATO DE FRASCO],MATCH(Tabla_producción_serigrafia[[#This Row],[LOTE]],Tabla_control_serigrafia[LOTE],0)),"-")</f>
        <v>-</v>
      </c>
      <c r="K94" t="str">
        <f>IFERROR(INDEX(Tabla_control_serigrafia[TIPO DE FRASCO],MATCH(Tabla_producción_serigrafia[[#This Row],[LOTE]],Tabla_control_serigrafia[LOTE],0)),"-")</f>
        <v>-</v>
      </c>
      <c r="L94" t="str">
        <f>IF(Tabla_producción_serigrafia[[#This Row],[ACCIÓN]]="PRODUCCIÓN",Tabla_producción_serigrafia[[#This Row],[FORMATO DE FRASCO]]&amp;" "&amp;Tabla_producción_serigrafia[[#This Row],[TIPO DE FRASCO]],"-")</f>
        <v>-</v>
      </c>
      <c r="M94" s="3" t="str">
        <f>IFERROR(INDEX(Tabla_control_serigrafia[CANTIDAD PEDIDA],MATCH(Tabla_producción_serigrafia[[#This Row],[LOTE]],Tabla_control_serigrafia[LOTE],0)),"-")</f>
        <v>-</v>
      </c>
      <c r="N94" s="14">
        <v>0</v>
      </c>
      <c r="O94" s="3">
        <v>0</v>
      </c>
      <c r="P94" s="3">
        <v>0</v>
      </c>
      <c r="Q94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94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94" t="s">
        <v>38</v>
      </c>
      <c r="T94" t="str">
        <f>UPPER(LEFT(TEXT(Tabla_producción_serigrafia[[#This Row],[FECHA]],"mmm"),3))</f>
        <v>MAR</v>
      </c>
      <c r="U94">
        <f>IFERROR(Tabla_producción_serigrafia[[#This Row],[CANTIDAD PRODUCIDA]]+Tabla_producción_serigrafia[[#This Row],[CANTIDAD RECHAZADA]],0)</f>
        <v>0</v>
      </c>
    </row>
    <row r="95" spans="1:21" x14ac:dyDescent="0.25">
      <c r="A95" s="10">
        <v>46083</v>
      </c>
      <c r="B95" s="10" t="s">
        <v>58</v>
      </c>
      <c r="C95" s="1" t="s">
        <v>65</v>
      </c>
      <c r="D95" s="9">
        <v>0.375</v>
      </c>
      <c r="E95" s="13">
        <v>0.5</v>
      </c>
      <c r="F95" s="11">
        <f>ROUND((Tabla_producción_serigrafia[[#This Row],[FIN]]-Tabla_producción_serigrafia[[#This Row],[INICIO]]+(Tabla_producción_serigrafia[[#This Row],[FIN]]&lt;Tabla_producción_serigrafia[[#This Row],[INICIO]]))*24,2)</f>
        <v>3</v>
      </c>
      <c r="G95" s="7" t="s">
        <v>56</v>
      </c>
      <c r="H95" s="3">
        <v>22683</v>
      </c>
      <c r="I95" s="7" t="str">
        <f>IFERROR(INDEX(Tabla_control_serigrafia[PRODUCTO],MATCH(Tabla_producción_serigrafia[[#This Row],[LOTE]],Tabla_control_serigrafia[LOTE],0)),"-")</f>
        <v>IBUPROFENO 200 MG X 100 ML SUSP.</v>
      </c>
      <c r="J95" t="str">
        <f>IFERROR(INDEX(Tabla_control_serigrafia[FORMATO DE FRASCO],MATCH(Tabla_producción_serigrafia[[#This Row],[LOTE]],Tabla_control_serigrafia[LOTE],0)),"-")</f>
        <v>120 ML</v>
      </c>
      <c r="K95" t="str">
        <f>IFERROR(INDEX(Tabla_control_serigrafia[TIPO DE FRASCO],MATCH(Tabla_producción_serigrafia[[#This Row],[LOTE]],Tabla_control_serigrafia[LOTE],0)),"-")</f>
        <v>FRASCO BLANCO</v>
      </c>
      <c r="L95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95" s="3">
        <f>IFERROR(INDEX(Tabla_control_serigrafia[CANTIDAD PEDIDA],MATCH(Tabla_producción_serigrafia[[#This Row],[LOTE]],Tabla_control_serigrafia[LOTE],0)),"-")</f>
        <v>9804</v>
      </c>
      <c r="N95" s="14">
        <v>6000</v>
      </c>
      <c r="O95" s="3">
        <v>83</v>
      </c>
      <c r="P95" s="3" t="s">
        <v>178</v>
      </c>
      <c r="Q95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6000</v>
      </c>
      <c r="R95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95" t="s">
        <v>102</v>
      </c>
      <c r="T95" t="str">
        <f>UPPER(LEFT(TEXT(Tabla_producción_serigrafia[[#This Row],[FECHA]],"mmm"),3))</f>
        <v>MAR</v>
      </c>
      <c r="U95">
        <f>IFERROR(Tabla_producción_serigrafia[[#This Row],[CANTIDAD PRODUCIDA]]+Tabla_producción_serigrafia[[#This Row],[CANTIDAD RECHAZADA]],0)</f>
        <v>6083</v>
      </c>
    </row>
    <row r="96" spans="1:21" x14ac:dyDescent="0.25">
      <c r="A96" s="10">
        <v>46083</v>
      </c>
      <c r="B96" s="10" t="s">
        <v>58</v>
      </c>
      <c r="C96" s="1" t="s">
        <v>65</v>
      </c>
      <c r="D96" s="9">
        <v>0.5</v>
      </c>
      <c r="E96" s="13">
        <v>0.52083333333333337</v>
      </c>
      <c r="F96" s="11">
        <f>ROUND((Tabla_producción_serigrafia[[#This Row],[FIN]]-Tabla_producción_serigrafia[[#This Row],[INICIO]]+(Tabla_producción_serigrafia[[#This Row],[FIN]]&lt;Tabla_producción_serigrafia[[#This Row],[INICIO]]))*24,2)</f>
        <v>0.5</v>
      </c>
      <c r="G96" s="7" t="s">
        <v>57</v>
      </c>
      <c r="H96" s="3" t="s">
        <v>38</v>
      </c>
      <c r="I96" s="7" t="str">
        <f>IFERROR(INDEX(Tabla_control_serigrafia[PRODUCTO],MATCH(Tabla_producción_serigrafia[[#This Row],[LOTE]],Tabla_control_serigrafia[LOTE],0)),"-")</f>
        <v>-</v>
      </c>
      <c r="J96" t="str">
        <f>IFERROR(INDEX(Tabla_control_serigrafia[FORMATO DE FRASCO],MATCH(Tabla_producción_serigrafia[[#This Row],[LOTE]],Tabla_control_serigrafia[LOTE],0)),"-")</f>
        <v>-</v>
      </c>
      <c r="K96" t="str">
        <f>IFERROR(INDEX(Tabla_control_serigrafia[TIPO DE FRASCO],MATCH(Tabla_producción_serigrafia[[#This Row],[LOTE]],Tabla_control_serigrafia[LOTE],0)),"-")</f>
        <v>-</v>
      </c>
      <c r="L96" t="str">
        <f>IF(Tabla_producción_serigrafia[[#This Row],[ACCIÓN]]="PRODUCCIÓN",Tabla_producción_serigrafia[[#This Row],[FORMATO DE FRASCO]]&amp;" "&amp;Tabla_producción_serigrafia[[#This Row],[TIPO DE FRASCO]],"-")</f>
        <v>-</v>
      </c>
      <c r="M96" s="3" t="str">
        <f>IFERROR(INDEX(Tabla_control_serigrafia[CANTIDAD PEDIDA],MATCH(Tabla_producción_serigrafia[[#This Row],[LOTE]],Tabla_control_serigrafia[LOTE],0)),"-")</f>
        <v>-</v>
      </c>
      <c r="N96" s="14">
        <v>0</v>
      </c>
      <c r="O96" s="3">
        <v>0</v>
      </c>
      <c r="P96" s="3">
        <v>0</v>
      </c>
      <c r="Q96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96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96" t="s">
        <v>103</v>
      </c>
      <c r="T96" t="str">
        <f>UPPER(LEFT(TEXT(Tabla_producción_serigrafia[[#This Row],[FECHA]],"mmm"),3))</f>
        <v>MAR</v>
      </c>
      <c r="U96">
        <f>IFERROR(Tabla_producción_serigrafia[[#This Row],[CANTIDAD PRODUCIDA]]+Tabla_producción_serigrafia[[#This Row],[CANTIDAD RECHAZADA]],0)</f>
        <v>0</v>
      </c>
    </row>
    <row r="97" spans="1:21" x14ac:dyDescent="0.25">
      <c r="A97" s="10">
        <v>46083</v>
      </c>
      <c r="B97" s="10" t="s">
        <v>58</v>
      </c>
      <c r="C97" s="1" t="s">
        <v>65</v>
      </c>
      <c r="D97" s="9">
        <v>0.52083333333333337</v>
      </c>
      <c r="E97" s="13">
        <v>0.60416666666666663</v>
      </c>
      <c r="F97" s="11">
        <f>ROUND((Tabla_producción_serigrafia[[#This Row],[FIN]]-Tabla_producción_serigrafia[[#This Row],[INICIO]]+(Tabla_producción_serigrafia[[#This Row],[FIN]]&lt;Tabla_producción_serigrafia[[#This Row],[INICIO]]))*24,2)</f>
        <v>2</v>
      </c>
      <c r="G97" s="7" t="s">
        <v>56</v>
      </c>
      <c r="H97" s="3">
        <v>22683</v>
      </c>
      <c r="I97" s="7" t="str">
        <f>IFERROR(INDEX(Tabla_control_serigrafia[PRODUCTO],MATCH(Tabla_producción_serigrafia[[#This Row],[LOTE]],Tabla_control_serigrafia[LOTE],0)),"-")</f>
        <v>IBUPROFENO 200 MG X 100 ML SUSP.</v>
      </c>
      <c r="J97" t="str">
        <f>IFERROR(INDEX(Tabla_control_serigrafia[FORMATO DE FRASCO],MATCH(Tabla_producción_serigrafia[[#This Row],[LOTE]],Tabla_control_serigrafia[LOTE],0)),"-")</f>
        <v>120 ML</v>
      </c>
      <c r="K97" t="str">
        <f>IFERROR(INDEX(Tabla_control_serigrafia[TIPO DE FRASCO],MATCH(Tabla_producción_serigrafia[[#This Row],[LOTE]],Tabla_control_serigrafia[LOTE],0)),"-")</f>
        <v>FRASCO BLANCO</v>
      </c>
      <c r="L97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97" s="3">
        <f>IFERROR(INDEX(Tabla_control_serigrafia[CANTIDAD PEDIDA],MATCH(Tabla_producción_serigrafia[[#This Row],[LOTE]],Tabla_control_serigrafia[LOTE],0)),"-")</f>
        <v>9804</v>
      </c>
      <c r="N97" s="14">
        <v>3900</v>
      </c>
      <c r="O97" s="3">
        <v>127</v>
      </c>
      <c r="P97" s="3" t="s">
        <v>62</v>
      </c>
      <c r="Q97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3900</v>
      </c>
      <c r="R97" s="8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28</v>
      </c>
      <c r="S97" t="s">
        <v>38</v>
      </c>
      <c r="T97" t="str">
        <f>UPPER(LEFT(TEXT(Tabla_producción_serigrafia[[#This Row],[FECHA]],"mmm"),3))</f>
        <v>MAR</v>
      </c>
      <c r="U97">
        <f>IFERROR(Tabla_producción_serigrafia[[#This Row],[CANTIDAD PRODUCIDA]]+Tabla_producción_serigrafia[[#This Row],[CANTIDAD RECHAZADA]],0)</f>
        <v>4027</v>
      </c>
    </row>
    <row r="98" spans="1:21" x14ac:dyDescent="0.25">
      <c r="A98" s="10">
        <v>46083</v>
      </c>
      <c r="B98" s="10" t="s">
        <v>58</v>
      </c>
      <c r="C98" s="1" t="s">
        <v>65</v>
      </c>
      <c r="D98" s="9">
        <v>0.61805555555555558</v>
      </c>
      <c r="E98" s="13">
        <v>0.72916666666666663</v>
      </c>
      <c r="F98" s="11">
        <f>ROUND((Tabla_producción_serigrafia[[#This Row],[FIN]]-Tabla_producción_serigrafia[[#This Row],[INICIO]]+(Tabla_producción_serigrafia[[#This Row],[FIN]]&lt;Tabla_producción_serigrafia[[#This Row],[INICIO]]))*24,2)</f>
        <v>2.67</v>
      </c>
      <c r="G98" s="7" t="s">
        <v>56</v>
      </c>
      <c r="H98" s="3">
        <v>22668</v>
      </c>
      <c r="I98" s="7" t="str">
        <f>IFERROR(INDEX(Tabla_control_serigrafia[PRODUCTO],MATCH(Tabla_producción_serigrafia[[#This Row],[LOTE]],Tabla_control_serigrafia[LOTE],0)),"-")</f>
        <v>AMBROXOL 15 MG X 100 ML JARABE</v>
      </c>
      <c r="J98" t="str">
        <f>IFERROR(INDEX(Tabla_control_serigrafia[FORMATO DE FRASCO],MATCH(Tabla_producción_serigrafia[[#This Row],[LOTE]],Tabla_control_serigrafia[LOTE],0)),"-")</f>
        <v>120 ML</v>
      </c>
      <c r="K98" t="str">
        <f>IFERROR(INDEX(Tabla_control_serigrafia[TIPO DE FRASCO],MATCH(Tabla_producción_serigrafia[[#This Row],[LOTE]],Tabla_control_serigrafia[LOTE],0)),"-")</f>
        <v>FRASCO BLANCO</v>
      </c>
      <c r="L98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98" s="3">
        <f>IFERROR(INDEX(Tabla_control_serigrafia[CANTIDAD PEDIDA],MATCH(Tabla_producción_serigrafia[[#This Row],[LOTE]],Tabla_control_serigrafia[LOTE],0)),"-")</f>
        <v>9901</v>
      </c>
      <c r="N98" s="14">
        <v>8000</v>
      </c>
      <c r="O98" s="3">
        <v>203</v>
      </c>
      <c r="P98" s="3" t="s">
        <v>178</v>
      </c>
      <c r="Q98" s="26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8000</v>
      </c>
      <c r="R98" s="8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98" t="s">
        <v>38</v>
      </c>
      <c r="T98" t="str">
        <f>UPPER(LEFT(TEXT(Tabla_producción_serigrafia[[#This Row],[FECHA]],"mmm"),3))</f>
        <v>MAR</v>
      </c>
      <c r="U98">
        <f>IFERROR(Tabla_producción_serigrafia[[#This Row],[CANTIDAD PRODUCIDA]]+Tabla_producción_serigrafia[[#This Row],[CANTIDAD RECHAZADA]],0)</f>
        <v>8203</v>
      </c>
    </row>
    <row r="99" spans="1:21" x14ac:dyDescent="0.25">
      <c r="A99" s="10">
        <v>46084</v>
      </c>
      <c r="B99" s="10" t="s">
        <v>58</v>
      </c>
      <c r="C99" s="1" t="s">
        <v>65</v>
      </c>
      <c r="D99" s="15">
        <v>0.35416666666666669</v>
      </c>
      <c r="E99" s="16">
        <v>0.4375</v>
      </c>
      <c r="F99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99" s="7" t="s">
        <v>56</v>
      </c>
      <c r="H99" s="19">
        <v>22668</v>
      </c>
      <c r="I99" s="7" t="str">
        <f>IFERROR(INDEX(Tabla_control_serigrafia[PRODUCTO],MATCH(Tabla_producción_serigrafia[[#This Row],[LOTE]],Tabla_control_serigrafia[LOTE],0)),"-")</f>
        <v>AMBROXOL 15 MG X 100 ML JARABE</v>
      </c>
      <c r="J99" s="20" t="str">
        <f>IFERROR(INDEX(Tabla_control_serigrafia[FORMATO DE FRASCO],MATCH(Tabla_producción_serigrafia[[#This Row],[LOTE]],Tabla_control_serigrafia[LOTE],0)),"-")</f>
        <v>120 ML</v>
      </c>
      <c r="K99" s="20" t="str">
        <f>IFERROR(INDEX(Tabla_control_serigrafia[TIPO DE FRASCO],MATCH(Tabla_producción_serigrafia[[#This Row],[LOTE]],Tabla_control_serigrafia[LOTE],0)),"-")</f>
        <v>FRASCO BLANCO</v>
      </c>
      <c r="L9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99" s="21">
        <f>IFERROR(INDEX(Tabla_control_serigrafia[CANTIDAD PEDIDA],MATCH(Tabla_producción_serigrafia[[#This Row],[LOTE]],Tabla_control_serigrafia[LOTE],0)),"-")</f>
        <v>9901</v>
      </c>
      <c r="N99" s="22">
        <v>2000</v>
      </c>
      <c r="O99" s="19">
        <v>135</v>
      </c>
      <c r="P99" s="3" t="s">
        <v>62</v>
      </c>
      <c r="Q9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</v>
      </c>
      <c r="R99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29</v>
      </c>
      <c r="S99" s="25" t="s">
        <v>38</v>
      </c>
      <c r="T99" s="20" t="str">
        <f>UPPER(LEFT(TEXT(Tabla_producción_serigrafia[[#This Row],[FECHA]],"mmm"),3))</f>
        <v>MAR</v>
      </c>
      <c r="U99">
        <f>IFERROR(Tabla_producción_serigrafia[[#This Row],[CANTIDAD PRODUCIDA]]+Tabla_producción_serigrafia[[#This Row],[CANTIDAD RECHAZADA]],0)</f>
        <v>2135</v>
      </c>
    </row>
    <row r="100" spans="1:21" x14ac:dyDescent="0.25">
      <c r="A100" s="10">
        <v>46084</v>
      </c>
      <c r="B100" s="10" t="s">
        <v>58</v>
      </c>
      <c r="C100" s="1" t="s">
        <v>65</v>
      </c>
      <c r="D100" s="15">
        <v>0.4375</v>
      </c>
      <c r="E100" s="16">
        <v>0.5625</v>
      </c>
      <c r="F100" s="17">
        <f>ROUND((Tabla_producción_serigrafia[[#This Row],[FIN]]-Tabla_producción_serigrafia[[#This Row],[INICIO]]+(Tabla_producción_serigrafia[[#This Row],[FIN]]&lt;Tabla_producción_serigrafia[[#This Row],[INICIO]]))*24,2)</f>
        <v>3</v>
      </c>
      <c r="G100" s="7" t="s">
        <v>56</v>
      </c>
      <c r="H100" s="19">
        <v>22686</v>
      </c>
      <c r="I100" s="7" t="str">
        <f>IFERROR(INDEX(Tabla_control_serigrafia[PRODUCTO],MATCH(Tabla_producción_serigrafia[[#This Row],[LOTE]],Tabla_control_serigrafia[LOTE],0)),"-")</f>
        <v>COMPLEJO B X 100 ML JARABE</v>
      </c>
      <c r="J100" s="20" t="str">
        <f>IFERROR(INDEX(Tabla_control_serigrafia[FORMATO DE FRASCO],MATCH(Tabla_producción_serigrafia[[#This Row],[LOTE]],Tabla_control_serigrafia[LOTE],0)),"-")</f>
        <v>120 ML</v>
      </c>
      <c r="K100" s="20" t="str">
        <f>IFERROR(INDEX(Tabla_control_serigrafia[TIPO DE FRASCO],MATCH(Tabla_producción_serigrafia[[#This Row],[LOTE]],Tabla_control_serigrafia[LOTE],0)),"-")</f>
        <v>FRASCO BLANCO</v>
      </c>
      <c r="L100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00" s="21">
        <f>IFERROR(INDEX(Tabla_control_serigrafia[CANTIDAD PEDIDA],MATCH(Tabla_producción_serigrafia[[#This Row],[LOTE]],Tabla_control_serigrafia[LOTE],0)),"-")</f>
        <v>6000</v>
      </c>
      <c r="N100" s="22">
        <v>6100</v>
      </c>
      <c r="O100" s="19">
        <v>232</v>
      </c>
      <c r="P100" s="3" t="s">
        <v>62</v>
      </c>
      <c r="Q10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100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21</v>
      </c>
      <c r="S100" s="25" t="s">
        <v>38</v>
      </c>
      <c r="T100" s="20" t="str">
        <f>UPPER(LEFT(TEXT(Tabla_producción_serigrafia[[#This Row],[FECHA]],"mmm"),3))</f>
        <v>MAR</v>
      </c>
      <c r="U100">
        <f>IFERROR(Tabla_producción_serigrafia[[#This Row],[CANTIDAD PRODUCIDA]]+Tabla_producción_serigrafia[[#This Row],[CANTIDAD RECHAZADA]],0)</f>
        <v>6332</v>
      </c>
    </row>
    <row r="101" spans="1:21" x14ac:dyDescent="0.25">
      <c r="A101" s="10">
        <v>46084</v>
      </c>
      <c r="B101" s="10" t="s">
        <v>58</v>
      </c>
      <c r="C101" s="1" t="s">
        <v>65</v>
      </c>
      <c r="D101" s="15">
        <v>0.58333333333333337</v>
      </c>
      <c r="E101" s="16">
        <v>0.66666666666666663</v>
      </c>
      <c r="F101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101" s="7" t="s">
        <v>56</v>
      </c>
      <c r="H101" s="19">
        <v>15226</v>
      </c>
      <c r="I101" s="7" t="str">
        <f>IFERROR(INDEX(Tabla_control_serigrafia[PRODUCTO],MATCH(Tabla_producción_serigrafia[[#This Row],[LOTE]],Tabla_control_serigrafia[LOTE],0)),"-")</f>
        <v>HONGO-VET X 100 ML LOCION VETERINARIO</v>
      </c>
      <c r="J101" s="20" t="str">
        <f>IFERROR(INDEX(Tabla_control_serigrafia[FORMATO DE FRASCO],MATCH(Tabla_producción_serigrafia[[#This Row],[LOTE]],Tabla_control_serigrafia[LOTE],0)),"-")</f>
        <v>120 ML</v>
      </c>
      <c r="K101" s="20" t="str">
        <f>IFERROR(INDEX(Tabla_control_serigrafia[TIPO DE FRASCO],MATCH(Tabla_producción_serigrafia[[#This Row],[LOTE]],Tabla_control_serigrafia[LOTE],0)),"-")</f>
        <v>FRASCO BLANCO</v>
      </c>
      <c r="L10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01" s="21">
        <f>IFERROR(INDEX(Tabla_control_serigrafia[CANTIDAD PEDIDA],MATCH(Tabla_producción_serigrafia[[#This Row],[LOTE]],Tabla_control_serigrafia[LOTE],0)),"-")</f>
        <v>2500</v>
      </c>
      <c r="N101" s="22">
        <v>2550</v>
      </c>
      <c r="O101" s="19">
        <v>120</v>
      </c>
      <c r="P101" s="3" t="s">
        <v>62</v>
      </c>
      <c r="Q10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2550</v>
      </c>
      <c r="R101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29</v>
      </c>
      <c r="S101" s="25" t="s">
        <v>38</v>
      </c>
      <c r="T101" s="20" t="str">
        <f>UPPER(LEFT(TEXT(Tabla_producción_serigrafia[[#This Row],[FECHA]],"mmm"),3))</f>
        <v>MAR</v>
      </c>
      <c r="U101">
        <f>IFERROR(Tabla_producción_serigrafia[[#This Row],[CANTIDAD PRODUCIDA]]+Tabla_producción_serigrafia[[#This Row],[CANTIDAD RECHAZADA]],0)</f>
        <v>2670</v>
      </c>
    </row>
    <row r="102" spans="1:21" x14ac:dyDescent="0.25">
      <c r="A102" s="10">
        <v>46084</v>
      </c>
      <c r="B102" s="10" t="s">
        <v>58</v>
      </c>
      <c r="C102" s="1" t="s">
        <v>65</v>
      </c>
      <c r="D102" s="15">
        <v>0.66666666666666663</v>
      </c>
      <c r="E102" s="16">
        <v>0.68055555555555547</v>
      </c>
      <c r="F102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02" s="18" t="s">
        <v>57</v>
      </c>
      <c r="H102" s="3" t="s">
        <v>38</v>
      </c>
      <c r="I102" s="7" t="str">
        <f>IFERROR(INDEX(Tabla_control_serigrafia[PRODUCTO],MATCH(Tabla_producción_serigrafia[[#This Row],[LOTE]],Tabla_control_serigrafia[LOTE],0)),"-")</f>
        <v>-</v>
      </c>
      <c r="J102" s="20" t="str">
        <f>IFERROR(INDEX(Tabla_control_serigrafia[FORMATO DE FRASCO],MATCH(Tabla_producción_serigrafia[[#This Row],[LOTE]],Tabla_control_serigrafia[LOTE],0)),"-")</f>
        <v>-</v>
      </c>
      <c r="K102" s="20" t="str">
        <f>IFERROR(INDEX(Tabla_control_serigrafia[TIPO DE FRASCO],MATCH(Tabla_producción_serigrafia[[#This Row],[LOTE]],Tabla_control_serigrafia[LOTE],0)),"-")</f>
        <v>-</v>
      </c>
      <c r="L102" t="str">
        <f>IF(Tabla_producción_serigrafia[[#This Row],[ACCIÓN]]="PRODUCCIÓN",Tabla_producción_serigrafia[[#This Row],[FORMATO DE FRASCO]]&amp;" "&amp;Tabla_producción_serigrafia[[#This Row],[TIPO DE FRASCO]],"-")</f>
        <v>-</v>
      </c>
      <c r="M102" s="21" t="str">
        <f>IFERROR(INDEX(Tabla_control_serigrafia[CANTIDAD PEDIDA],MATCH(Tabla_producción_serigrafia[[#This Row],[LOTE]],Tabla_control_serigrafia[LOTE],0)),"-")</f>
        <v>-</v>
      </c>
      <c r="N102" s="22">
        <v>0</v>
      </c>
      <c r="O102" s="19">
        <v>0</v>
      </c>
      <c r="P102" s="3">
        <v>0</v>
      </c>
      <c r="Q10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0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02" s="25" t="s">
        <v>38</v>
      </c>
      <c r="T102" s="20" t="str">
        <f>UPPER(LEFT(TEXT(Tabla_producción_serigrafia[[#This Row],[FECHA]],"mmm"),3))</f>
        <v>MAR</v>
      </c>
      <c r="U102">
        <f>IFERROR(Tabla_producción_serigrafia[[#This Row],[CANTIDAD PRODUCIDA]]+Tabla_producción_serigrafia[[#This Row],[CANTIDAD RECHAZADA]],0)</f>
        <v>0</v>
      </c>
    </row>
    <row r="103" spans="1:21" x14ac:dyDescent="0.25">
      <c r="A103" s="10">
        <v>46084</v>
      </c>
      <c r="B103" s="10" t="s">
        <v>58</v>
      </c>
      <c r="C103" s="1" t="s">
        <v>65</v>
      </c>
      <c r="D103" s="15">
        <v>0.68055555555555547</v>
      </c>
      <c r="E103" s="16">
        <v>0.72916666666666663</v>
      </c>
      <c r="F103" s="17">
        <f>ROUND((Tabla_producción_serigrafia[[#This Row],[FIN]]-Tabla_producción_serigrafia[[#This Row],[INICIO]]+(Tabla_producción_serigrafia[[#This Row],[FIN]]&lt;Tabla_producción_serigrafia[[#This Row],[INICIO]]))*24,2)</f>
        <v>1.17</v>
      </c>
      <c r="G103" s="7" t="s">
        <v>56</v>
      </c>
      <c r="H103" s="19">
        <v>1326</v>
      </c>
      <c r="I103" s="7" t="str">
        <f>IFERROR(INDEX(Tabla_control_serigrafia[PRODUCTO],MATCH(Tabla_producción_serigrafia[[#This Row],[LOTE]],Tabla_control_serigrafia[LOTE],0)),"-")</f>
        <v>METRONIDAZOL 125 MG X 100 ML SUSP. VETERINARIO</v>
      </c>
      <c r="J103" s="20" t="str">
        <f>IFERROR(INDEX(Tabla_control_serigrafia[FORMATO DE FRASCO],MATCH(Tabla_producción_serigrafia[[#This Row],[LOTE]],Tabla_control_serigrafia[LOTE],0)),"-")</f>
        <v>120 ML</v>
      </c>
      <c r="K103" s="20" t="str">
        <f>IFERROR(INDEX(Tabla_control_serigrafia[TIPO DE FRASCO],MATCH(Tabla_producción_serigrafia[[#This Row],[LOTE]],Tabla_control_serigrafia[LOTE],0)),"-")</f>
        <v>FRASCO BLANCO</v>
      </c>
      <c r="L10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03" s="21">
        <f>IFERROR(INDEX(Tabla_control_serigrafia[CANTIDAD PEDIDA],MATCH(Tabla_producción_serigrafia[[#This Row],[LOTE]],Tabla_control_serigrafia[LOTE],0)),"-")</f>
        <v>2941</v>
      </c>
      <c r="N103" s="22">
        <v>2000</v>
      </c>
      <c r="O103" s="19">
        <v>93</v>
      </c>
      <c r="P103" s="3" t="s">
        <v>178</v>
      </c>
      <c r="Q10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</v>
      </c>
      <c r="R10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03" s="25" t="s">
        <v>38</v>
      </c>
      <c r="T103" s="20" t="str">
        <f>UPPER(LEFT(TEXT(Tabla_producción_serigrafia[[#This Row],[FECHA]],"mmm"),3))</f>
        <v>MAR</v>
      </c>
      <c r="U103">
        <f>IFERROR(Tabla_producción_serigrafia[[#This Row],[CANTIDAD PRODUCIDA]]+Tabla_producción_serigrafia[[#This Row],[CANTIDAD RECHAZADA]],0)</f>
        <v>2093</v>
      </c>
    </row>
    <row r="104" spans="1:21" x14ac:dyDescent="0.25">
      <c r="A104" s="10">
        <v>46085</v>
      </c>
      <c r="B104" s="10" t="s">
        <v>58</v>
      </c>
      <c r="C104" s="1" t="s">
        <v>65</v>
      </c>
      <c r="D104" s="15">
        <v>0.375</v>
      </c>
      <c r="E104" s="16">
        <v>0.41666666666666669</v>
      </c>
      <c r="F104" s="17">
        <f>ROUND((Tabla_producción_serigrafia[[#This Row],[FIN]]-Tabla_producción_serigrafia[[#This Row],[INICIO]]+(Tabla_producción_serigrafia[[#This Row],[FIN]]&lt;Tabla_producción_serigrafia[[#This Row],[INICIO]]))*24,2)</f>
        <v>1</v>
      </c>
      <c r="G104" s="7" t="s">
        <v>56</v>
      </c>
      <c r="H104" s="19">
        <v>1326</v>
      </c>
      <c r="I104" s="7" t="str">
        <f>IFERROR(INDEX(Tabla_control_serigrafia[PRODUCTO],MATCH(Tabla_producción_serigrafia[[#This Row],[LOTE]],Tabla_control_serigrafia[LOTE],0)),"-")</f>
        <v>METRONIDAZOL 125 MG X 100 ML SUSP. VETERINARIO</v>
      </c>
      <c r="J104" s="20" t="str">
        <f>IFERROR(INDEX(Tabla_control_serigrafia[FORMATO DE FRASCO],MATCH(Tabla_producción_serigrafia[[#This Row],[LOTE]],Tabla_control_serigrafia[LOTE],0)),"-")</f>
        <v>120 ML</v>
      </c>
      <c r="K104" s="20" t="str">
        <f>IFERROR(INDEX(Tabla_control_serigrafia[TIPO DE FRASCO],MATCH(Tabla_producción_serigrafia[[#This Row],[LOTE]],Tabla_control_serigrafia[LOTE],0)),"-")</f>
        <v>FRASCO BLANCO</v>
      </c>
      <c r="L104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04" s="21">
        <f>IFERROR(INDEX(Tabla_control_serigrafia[CANTIDAD PEDIDA],MATCH(Tabla_producción_serigrafia[[#This Row],[LOTE]],Tabla_control_serigrafia[LOTE],0)),"-")</f>
        <v>2941</v>
      </c>
      <c r="N104" s="22">
        <v>1000</v>
      </c>
      <c r="O104" s="19">
        <v>36</v>
      </c>
      <c r="P104" s="3" t="s">
        <v>62</v>
      </c>
      <c r="Q10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</v>
      </c>
      <c r="R10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</v>
      </c>
      <c r="S104" s="25" t="s">
        <v>38</v>
      </c>
      <c r="T104" s="20" t="str">
        <f>UPPER(LEFT(TEXT(Tabla_producción_serigrafia[[#This Row],[FECHA]],"mmm"),3))</f>
        <v>MAR</v>
      </c>
      <c r="U104">
        <f>IFERROR(Tabla_producción_serigrafia[[#This Row],[CANTIDAD PRODUCIDA]]+Tabla_producción_serigrafia[[#This Row],[CANTIDAD RECHAZADA]],0)</f>
        <v>1036</v>
      </c>
    </row>
    <row r="105" spans="1:21" x14ac:dyDescent="0.25">
      <c r="A105" s="10">
        <v>46085</v>
      </c>
      <c r="B105" s="10" t="s">
        <v>58</v>
      </c>
      <c r="C105" s="1" t="s">
        <v>65</v>
      </c>
      <c r="D105" s="15">
        <v>0.41666666666666669</v>
      </c>
      <c r="E105" s="16">
        <v>0.43055555555555558</v>
      </c>
      <c r="F105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05" s="18" t="s">
        <v>57</v>
      </c>
      <c r="H105" s="19" t="s">
        <v>38</v>
      </c>
      <c r="I105" s="7" t="str">
        <f>IFERROR(INDEX(Tabla_control_serigrafia[PRODUCTO],MATCH(Tabla_producción_serigrafia[[#This Row],[LOTE]],Tabla_control_serigrafia[LOTE],0)),"-")</f>
        <v>-</v>
      </c>
      <c r="J105" s="20" t="str">
        <f>IFERROR(INDEX(Tabla_control_serigrafia[FORMATO DE FRASCO],MATCH(Tabla_producción_serigrafia[[#This Row],[LOTE]],Tabla_control_serigrafia[LOTE],0)),"-")</f>
        <v>-</v>
      </c>
      <c r="K105" s="20" t="str">
        <f>IFERROR(INDEX(Tabla_control_serigrafia[TIPO DE FRASCO],MATCH(Tabla_producción_serigrafia[[#This Row],[LOTE]],Tabla_control_serigrafia[LOTE],0)),"-")</f>
        <v>-</v>
      </c>
      <c r="L105" t="str">
        <f>IF(Tabla_producción_serigrafia[[#This Row],[ACCIÓN]]="PRODUCCIÓN",Tabla_producción_serigrafia[[#This Row],[FORMATO DE FRASCO]]&amp;" "&amp;Tabla_producción_serigrafia[[#This Row],[TIPO DE FRASCO]],"-")</f>
        <v>-</v>
      </c>
      <c r="M105" s="21" t="str">
        <f>IFERROR(INDEX(Tabla_control_serigrafia[CANTIDAD PEDIDA],MATCH(Tabla_producción_serigrafia[[#This Row],[LOTE]],Tabla_control_serigrafia[LOTE],0)),"-")</f>
        <v>-</v>
      </c>
      <c r="N105" s="22">
        <v>0</v>
      </c>
      <c r="O105" s="19">
        <v>0</v>
      </c>
      <c r="P105" s="3">
        <v>0</v>
      </c>
      <c r="Q10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0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05" s="25" t="s">
        <v>38</v>
      </c>
      <c r="T105" s="20" t="str">
        <f>UPPER(LEFT(TEXT(Tabla_producción_serigrafia[[#This Row],[FECHA]],"mmm"),3))</f>
        <v>MAR</v>
      </c>
      <c r="U105">
        <f>IFERROR(Tabla_producción_serigrafia[[#This Row],[CANTIDAD PRODUCIDA]]+Tabla_producción_serigrafia[[#This Row],[CANTIDAD RECHAZADA]],0)</f>
        <v>0</v>
      </c>
    </row>
    <row r="106" spans="1:21" x14ac:dyDescent="0.25">
      <c r="A106" s="10">
        <v>46085</v>
      </c>
      <c r="B106" s="10" t="s">
        <v>58</v>
      </c>
      <c r="C106" s="1" t="s">
        <v>65</v>
      </c>
      <c r="D106" s="15">
        <v>0.43055555555555558</v>
      </c>
      <c r="E106" s="16">
        <v>0.54166666666666663</v>
      </c>
      <c r="F106" s="17">
        <f>ROUND((Tabla_producción_serigrafia[[#This Row],[FIN]]-Tabla_producción_serigrafia[[#This Row],[INICIO]]+(Tabla_producción_serigrafia[[#This Row],[FIN]]&lt;Tabla_producción_serigrafia[[#This Row],[INICIO]]))*24,2)</f>
        <v>2.67</v>
      </c>
      <c r="G106" s="7" t="s">
        <v>56</v>
      </c>
      <c r="H106" s="19">
        <v>4326</v>
      </c>
      <c r="I106" s="7" t="str">
        <f>IFERROR(INDEX(Tabla_control_serigrafia[PRODUCTO],MATCH(Tabla_producción_serigrafia[[#This Row],[LOTE]],Tabla_control_serigrafia[LOTE],0)),"-")</f>
        <v>VETACEF 250 MG/5ML X 100 ML POLVO PARA SUSP. VETERINARIO</v>
      </c>
      <c r="J106" s="20" t="str">
        <f>IFERROR(INDEX(Tabla_control_serigrafia[FORMATO DE FRASCO],MATCH(Tabla_producción_serigrafia[[#This Row],[LOTE]],Tabla_control_serigrafia[LOTE],0)),"-")</f>
        <v>120 ML</v>
      </c>
      <c r="K106" s="20" t="str">
        <f>IFERROR(INDEX(Tabla_control_serigrafia[TIPO DE FRASCO],MATCH(Tabla_producción_serigrafia[[#This Row],[LOTE]],Tabla_control_serigrafia[LOTE],0)),"-")</f>
        <v>FRASCO NATURAL</v>
      </c>
      <c r="L106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06" s="21">
        <f>IFERROR(INDEX(Tabla_control_serigrafia[CANTIDAD PEDIDA],MATCH(Tabla_producción_serigrafia[[#This Row],[LOTE]],Tabla_control_serigrafia[LOTE],0)),"-")</f>
        <v>4000</v>
      </c>
      <c r="N106" s="22">
        <v>4100</v>
      </c>
      <c r="O106" s="19">
        <v>192</v>
      </c>
      <c r="P106" s="3" t="s">
        <v>62</v>
      </c>
      <c r="Q10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4100</v>
      </c>
      <c r="R106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</v>
      </c>
      <c r="S106" s="25" t="s">
        <v>38</v>
      </c>
      <c r="T106" s="20" t="str">
        <f>UPPER(LEFT(TEXT(Tabla_producción_serigrafia[[#This Row],[FECHA]],"mmm"),3))</f>
        <v>MAR</v>
      </c>
      <c r="U106">
        <f>IFERROR(Tabla_producción_serigrafia[[#This Row],[CANTIDAD PRODUCIDA]]+Tabla_producción_serigrafia[[#This Row],[CANTIDAD RECHAZADA]],0)</f>
        <v>4292</v>
      </c>
    </row>
    <row r="107" spans="1:21" x14ac:dyDescent="0.25">
      <c r="A107" s="10">
        <v>46085</v>
      </c>
      <c r="B107" s="10" t="s">
        <v>58</v>
      </c>
      <c r="C107" s="1" t="s">
        <v>65</v>
      </c>
      <c r="D107" s="15">
        <v>0.54166666666666663</v>
      </c>
      <c r="E107" s="16">
        <v>0.5625</v>
      </c>
      <c r="F107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07" s="18" t="s">
        <v>57</v>
      </c>
      <c r="H107" s="19" t="s">
        <v>38</v>
      </c>
      <c r="I107" s="7" t="str">
        <f>IFERROR(INDEX(Tabla_control_serigrafia[PRODUCTO],MATCH(Tabla_producción_serigrafia[[#This Row],[LOTE]],Tabla_control_serigrafia[LOTE],0)),"-")</f>
        <v>-</v>
      </c>
      <c r="J107" s="20" t="str">
        <f>IFERROR(INDEX(Tabla_control_serigrafia[FORMATO DE FRASCO],MATCH(Tabla_producción_serigrafia[[#This Row],[LOTE]],Tabla_control_serigrafia[LOTE],0)),"-")</f>
        <v>-</v>
      </c>
      <c r="K107" s="20" t="str">
        <f>IFERROR(INDEX(Tabla_control_serigrafia[TIPO DE FRASCO],MATCH(Tabla_producción_serigrafia[[#This Row],[LOTE]],Tabla_control_serigrafia[LOTE],0)),"-")</f>
        <v>-</v>
      </c>
      <c r="L107" t="str">
        <f>IF(Tabla_producción_serigrafia[[#This Row],[ACCIÓN]]="PRODUCCIÓN",Tabla_producción_serigrafia[[#This Row],[FORMATO DE FRASCO]]&amp;" "&amp;Tabla_producción_serigrafia[[#This Row],[TIPO DE FRASCO]],"-")</f>
        <v>-</v>
      </c>
      <c r="M107" s="21" t="str">
        <f>IFERROR(INDEX(Tabla_control_serigrafia[CANTIDAD PEDIDA],MATCH(Tabla_producción_serigrafia[[#This Row],[LOTE]],Tabla_control_serigrafia[LOTE],0)),"-")</f>
        <v>-</v>
      </c>
      <c r="N107" s="22">
        <v>0</v>
      </c>
      <c r="O107" s="19">
        <v>0</v>
      </c>
      <c r="P107" s="3">
        <v>0</v>
      </c>
      <c r="Q10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0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07" s="25" t="s">
        <v>38</v>
      </c>
      <c r="T107" s="20" t="str">
        <f>UPPER(LEFT(TEXT(Tabla_producción_serigrafia[[#This Row],[FECHA]],"mmm"),3))</f>
        <v>MAR</v>
      </c>
      <c r="U107">
        <f>IFERROR(Tabla_producción_serigrafia[[#This Row],[CANTIDAD PRODUCIDA]]+Tabla_producción_serigrafia[[#This Row],[CANTIDAD RECHAZADA]],0)</f>
        <v>0</v>
      </c>
    </row>
    <row r="108" spans="1:21" x14ac:dyDescent="0.25">
      <c r="A108" s="10">
        <v>46085</v>
      </c>
      <c r="B108" s="10" t="s">
        <v>58</v>
      </c>
      <c r="C108" s="1" t="s">
        <v>65</v>
      </c>
      <c r="D108" s="15">
        <v>0.58333333333333337</v>
      </c>
      <c r="E108" s="16">
        <v>0.72916666666666663</v>
      </c>
      <c r="F108" s="17">
        <f>ROUND((Tabla_producción_serigrafia[[#This Row],[FIN]]-Tabla_producción_serigrafia[[#This Row],[INICIO]]+(Tabla_producción_serigrafia[[#This Row],[FIN]]&lt;Tabla_producción_serigrafia[[#This Row],[INICIO]]))*24,2)</f>
        <v>3.5</v>
      </c>
      <c r="G108" s="7" t="s">
        <v>56</v>
      </c>
      <c r="H108" s="19">
        <v>32604</v>
      </c>
      <c r="I108" s="7" t="str">
        <f>IFERROR(INDEX(Tabla_control_serigrafia[PRODUCTO],MATCH(Tabla_producción_serigrafia[[#This Row],[LOTE]],Tabla_control_serigrafia[LOTE],0)),"-")</f>
        <v>AMBROXOL FORTE 30 MG X 100 ML JARABE</v>
      </c>
      <c r="J108" s="20" t="str">
        <f>IFERROR(INDEX(Tabla_control_serigrafia[FORMATO DE FRASCO],MATCH(Tabla_producción_serigrafia[[#This Row],[LOTE]],Tabla_control_serigrafia[LOTE],0)),"-")</f>
        <v>120 ML</v>
      </c>
      <c r="K108" s="20" t="str">
        <f>IFERROR(INDEX(Tabla_control_serigrafia[TIPO DE FRASCO],MATCH(Tabla_producción_serigrafia[[#This Row],[LOTE]],Tabla_control_serigrafia[LOTE],0)),"-")</f>
        <v>FRASCO BLANCO</v>
      </c>
      <c r="L108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08" s="21">
        <f>IFERROR(INDEX(Tabla_control_serigrafia[CANTIDAD PEDIDA],MATCH(Tabla_producción_serigrafia[[#This Row],[LOTE]],Tabla_control_serigrafia[LOTE],0)),"-")</f>
        <v>19802</v>
      </c>
      <c r="N108" s="22">
        <v>8500</v>
      </c>
      <c r="O108" s="19">
        <v>200</v>
      </c>
      <c r="P108" s="3" t="s">
        <v>178</v>
      </c>
      <c r="Q10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8500</v>
      </c>
      <c r="R108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08" s="25" t="s">
        <v>38</v>
      </c>
      <c r="T108" s="20" t="str">
        <f>UPPER(LEFT(TEXT(Tabla_producción_serigrafia[[#This Row],[FECHA]],"mmm"),3))</f>
        <v>MAR</v>
      </c>
      <c r="U108">
        <f>IFERROR(Tabla_producción_serigrafia[[#This Row],[CANTIDAD PRODUCIDA]]+Tabla_producción_serigrafia[[#This Row],[CANTIDAD RECHAZADA]],0)</f>
        <v>8700</v>
      </c>
    </row>
    <row r="109" spans="1:21" x14ac:dyDescent="0.25">
      <c r="A109" s="10">
        <v>46086</v>
      </c>
      <c r="B109" s="10" t="s">
        <v>58</v>
      </c>
      <c r="C109" s="1" t="s">
        <v>65</v>
      </c>
      <c r="D109" s="15">
        <v>0.33333333333333331</v>
      </c>
      <c r="E109" s="16">
        <v>0.70833333333333337</v>
      </c>
      <c r="F109" s="17">
        <f>ROUND((Tabla_producción_serigrafia[[#This Row],[FIN]]-Tabla_producción_serigrafia[[#This Row],[INICIO]]+(Tabla_producción_serigrafia[[#This Row],[FIN]]&lt;Tabla_producción_serigrafia[[#This Row],[INICIO]]))*24,2)</f>
        <v>9</v>
      </c>
      <c r="G109" s="7" t="s">
        <v>56</v>
      </c>
      <c r="H109" s="19">
        <v>32604</v>
      </c>
      <c r="I109" s="7" t="str">
        <f>IFERROR(INDEX(Tabla_control_serigrafia[PRODUCTO],MATCH(Tabla_producción_serigrafia[[#This Row],[LOTE]],Tabla_control_serigrafia[LOTE],0)),"-")</f>
        <v>AMBROXOL FORTE 30 MG X 100 ML JARABE</v>
      </c>
      <c r="J109" s="20" t="str">
        <f>IFERROR(INDEX(Tabla_control_serigrafia[FORMATO DE FRASCO],MATCH(Tabla_producción_serigrafia[[#This Row],[LOTE]],Tabla_control_serigrafia[LOTE],0)),"-")</f>
        <v>120 ML</v>
      </c>
      <c r="K109" s="20" t="str">
        <f>IFERROR(INDEX(Tabla_control_serigrafia[TIPO DE FRASCO],MATCH(Tabla_producción_serigrafia[[#This Row],[LOTE]],Tabla_control_serigrafia[LOTE],0)),"-")</f>
        <v>FRASCO BLANCO</v>
      </c>
      <c r="L10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09" s="21">
        <f>IFERROR(INDEX(Tabla_control_serigrafia[CANTIDAD PEDIDA],MATCH(Tabla_producción_serigrafia[[#This Row],[LOTE]],Tabla_control_serigrafia[LOTE],0)),"-")</f>
        <v>19802</v>
      </c>
      <c r="N109" s="22">
        <v>11400</v>
      </c>
      <c r="O109" s="19">
        <v>263</v>
      </c>
      <c r="P109" s="3" t="s">
        <v>62</v>
      </c>
      <c r="Q10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11400</v>
      </c>
      <c r="R109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</v>
      </c>
      <c r="S109" s="25" t="s">
        <v>38</v>
      </c>
      <c r="T109" s="20" t="str">
        <f>UPPER(LEFT(TEXT(Tabla_producción_serigrafia[[#This Row],[FECHA]],"mmm"),3))</f>
        <v>MAR</v>
      </c>
      <c r="U109">
        <f>IFERROR(Tabla_producción_serigrafia[[#This Row],[CANTIDAD PRODUCIDA]]+Tabla_producción_serigrafia[[#This Row],[CANTIDAD RECHAZADA]],0)</f>
        <v>11663</v>
      </c>
    </row>
    <row r="110" spans="1:21" x14ac:dyDescent="0.25">
      <c r="A110" s="10">
        <v>46087</v>
      </c>
      <c r="B110" s="10" t="s">
        <v>58</v>
      </c>
      <c r="C110" s="1" t="s">
        <v>65</v>
      </c>
      <c r="D110" s="15">
        <v>0.375</v>
      </c>
      <c r="E110" s="16">
        <v>0.45833333333333331</v>
      </c>
      <c r="F110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110" s="7" t="s">
        <v>56</v>
      </c>
      <c r="H110" s="19">
        <v>32646</v>
      </c>
      <c r="I110" s="7" t="str">
        <f>IFERROR(INDEX(Tabla_control_serigrafia[PRODUCTO],MATCH(Tabla_producción_serigrafia[[#This Row],[LOTE]],Tabla_control_serigrafia[LOTE],0)),"-")</f>
        <v>IBUPROFENO 100 MG X 100 ML SUSP.</v>
      </c>
      <c r="J110" s="20" t="str">
        <f>IFERROR(INDEX(Tabla_control_serigrafia[FORMATO DE FRASCO],MATCH(Tabla_producción_serigrafia[[#This Row],[LOTE]],Tabla_control_serigrafia[LOTE],0)),"-")</f>
        <v>120 ML</v>
      </c>
      <c r="K110" s="20" t="str">
        <f>IFERROR(INDEX(Tabla_control_serigrafia[TIPO DE FRASCO],MATCH(Tabla_producción_serigrafia[[#This Row],[LOTE]],Tabla_control_serigrafia[LOTE],0)),"-")</f>
        <v>FRASCO BLANCO</v>
      </c>
      <c r="L110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10" s="21">
        <f>IFERROR(INDEX(Tabla_control_serigrafia[CANTIDAD PEDIDA],MATCH(Tabla_producción_serigrafia[[#This Row],[LOTE]],Tabla_control_serigrafia[LOTE],0)),"-")</f>
        <v>23529</v>
      </c>
      <c r="N110" s="22">
        <v>3550</v>
      </c>
      <c r="O110" s="19">
        <v>93</v>
      </c>
      <c r="P110" s="23" t="s">
        <v>178</v>
      </c>
      <c r="Q11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3550</v>
      </c>
      <c r="R11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10" s="25" t="s">
        <v>38</v>
      </c>
      <c r="T110" s="20" t="str">
        <f>UPPER(LEFT(TEXT(Tabla_producción_serigrafia[[#This Row],[FECHA]],"mmm"),3))</f>
        <v>MAR</v>
      </c>
      <c r="U110" s="20">
        <f>IFERROR(Tabla_producción_serigrafia[[#This Row],[CANTIDAD PRODUCIDA]]+Tabla_producción_serigrafia[[#This Row],[CANTIDAD RECHAZADA]],0)</f>
        <v>3643</v>
      </c>
    </row>
    <row r="111" spans="1:21" x14ac:dyDescent="0.25">
      <c r="A111" s="10">
        <v>46087</v>
      </c>
      <c r="B111" s="10" t="s">
        <v>58</v>
      </c>
      <c r="C111" s="1" t="s">
        <v>65</v>
      </c>
      <c r="D111" s="15">
        <v>0.5</v>
      </c>
      <c r="E111" s="16">
        <v>0.72916666666666663</v>
      </c>
      <c r="F111" s="17">
        <f>ROUND((Tabla_producción_serigrafia[[#This Row],[FIN]]-Tabla_producción_serigrafia[[#This Row],[INICIO]]+(Tabla_producción_serigrafia[[#This Row],[FIN]]&lt;Tabla_producción_serigrafia[[#This Row],[INICIO]]))*24,2)</f>
        <v>5.5</v>
      </c>
      <c r="G111" s="7" t="s">
        <v>56</v>
      </c>
      <c r="H111" s="19">
        <v>32647</v>
      </c>
      <c r="I111" s="7" t="str">
        <f>IFERROR(INDEX(Tabla_control_serigrafia[PRODUCTO],MATCH(Tabla_producción_serigrafia[[#This Row],[LOTE]],Tabla_control_serigrafia[LOTE],0)),"-")</f>
        <v>COTRIMOXAZOL 200/40 MG X 100 ML SUSP.</v>
      </c>
      <c r="J111" s="20" t="str">
        <f>IFERROR(INDEX(Tabla_control_serigrafia[FORMATO DE FRASCO],MATCH(Tabla_producción_serigrafia[[#This Row],[LOTE]],Tabla_control_serigrafia[LOTE],0)),"-")</f>
        <v>120 ML</v>
      </c>
      <c r="K111" s="20" t="str">
        <f>IFERROR(INDEX(Tabla_control_serigrafia[TIPO DE FRASCO],MATCH(Tabla_producción_serigrafia[[#This Row],[LOTE]],Tabla_control_serigrafia[LOTE],0)),"-")</f>
        <v>FRASCO BLANCO</v>
      </c>
      <c r="L11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11" s="21">
        <f>IFERROR(INDEX(Tabla_control_serigrafia[CANTIDAD PEDIDA],MATCH(Tabla_producción_serigrafia[[#This Row],[LOTE]],Tabla_control_serigrafia[LOTE],0)),"-")</f>
        <v>15686</v>
      </c>
      <c r="N111" s="22">
        <v>8500</v>
      </c>
      <c r="O111" s="19">
        <v>230</v>
      </c>
      <c r="P111" s="3" t="s">
        <v>178</v>
      </c>
      <c r="Q11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8500</v>
      </c>
      <c r="R11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11" s="25" t="s">
        <v>38</v>
      </c>
      <c r="T111" s="20" t="str">
        <f>UPPER(LEFT(TEXT(Tabla_producción_serigrafia[[#This Row],[FECHA]],"mmm"),3))</f>
        <v>MAR</v>
      </c>
      <c r="U111" s="20">
        <f>IFERROR(Tabla_producción_serigrafia[[#This Row],[CANTIDAD PRODUCIDA]]+Tabla_producción_serigrafia[[#This Row],[CANTIDAD RECHAZADA]],0)</f>
        <v>8730</v>
      </c>
    </row>
    <row r="112" spans="1:21" x14ac:dyDescent="0.25">
      <c r="A112" s="10">
        <v>46090</v>
      </c>
      <c r="B112" s="10" t="s">
        <v>58</v>
      </c>
      <c r="C112" s="1" t="s">
        <v>65</v>
      </c>
      <c r="D112" s="15">
        <v>0.35416666666666669</v>
      </c>
      <c r="E112" s="16">
        <v>0.52083333333333337</v>
      </c>
      <c r="F112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112" s="7" t="s">
        <v>56</v>
      </c>
      <c r="H112" s="19">
        <v>32647</v>
      </c>
      <c r="I112" s="7" t="str">
        <f>IFERROR(INDEX(Tabla_control_serigrafia[PRODUCTO],MATCH(Tabla_producción_serigrafia[[#This Row],[LOTE]],Tabla_control_serigrafia[LOTE],0)),"-")</f>
        <v>COTRIMOXAZOL 200/40 MG X 100 ML SUSP.</v>
      </c>
      <c r="J112" s="20" t="str">
        <f>IFERROR(INDEX(Tabla_control_serigrafia[FORMATO DE FRASCO],MATCH(Tabla_producción_serigrafia[[#This Row],[LOTE]],Tabla_control_serigrafia[LOTE],0)),"-")</f>
        <v>120 ML</v>
      </c>
      <c r="K112" s="20" t="str">
        <f>IFERROR(INDEX(Tabla_control_serigrafia[TIPO DE FRASCO],MATCH(Tabla_producción_serigrafia[[#This Row],[LOTE]],Tabla_control_serigrafia[LOTE],0)),"-")</f>
        <v>FRASCO BLANCO</v>
      </c>
      <c r="L112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12" s="21">
        <f>IFERROR(INDEX(Tabla_control_serigrafia[CANTIDAD PEDIDA],MATCH(Tabla_producción_serigrafia[[#This Row],[LOTE]],Tabla_control_serigrafia[LOTE],0)),"-")</f>
        <v>15686</v>
      </c>
      <c r="N112" s="22">
        <v>7300</v>
      </c>
      <c r="O112" s="19">
        <v>193</v>
      </c>
      <c r="P112" s="23" t="s">
        <v>62</v>
      </c>
      <c r="Q11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7300</v>
      </c>
      <c r="R112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7</v>
      </c>
      <c r="S112" s="25" t="s">
        <v>38</v>
      </c>
      <c r="T112" s="20" t="str">
        <f>UPPER(LEFT(TEXT(Tabla_producción_serigrafia[[#This Row],[FECHA]],"mmm"),3))</f>
        <v>MAR</v>
      </c>
      <c r="U112" s="20">
        <f>IFERROR(Tabla_producción_serigrafia[[#This Row],[CANTIDAD PRODUCIDA]]+Tabla_producción_serigrafia[[#This Row],[CANTIDAD RECHAZADA]],0)</f>
        <v>7493</v>
      </c>
    </row>
    <row r="113" spans="1:21" x14ac:dyDescent="0.25">
      <c r="A113" s="10">
        <v>46090</v>
      </c>
      <c r="B113" s="10" t="s">
        <v>58</v>
      </c>
      <c r="C113" s="1" t="s">
        <v>65</v>
      </c>
      <c r="D113" s="15">
        <v>0.625</v>
      </c>
      <c r="E113" s="16">
        <v>0.72916666666666663</v>
      </c>
      <c r="F113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113" s="7" t="s">
        <v>56</v>
      </c>
      <c r="H113" s="19">
        <v>32648</v>
      </c>
      <c r="I113" s="7" t="str">
        <f>IFERROR(INDEX(Tabla_control_serigrafia[PRODUCTO],MATCH(Tabla_producción_serigrafia[[#This Row],[LOTE]],Tabla_control_serigrafia[LOTE],0)),"-")</f>
        <v>COTRIMOXAZOL 400/80 MG X 100 ML SUSP.</v>
      </c>
      <c r="J113" s="20" t="str">
        <f>IFERROR(INDEX(Tabla_control_serigrafia[FORMATO DE FRASCO],MATCH(Tabla_producción_serigrafia[[#This Row],[LOTE]],Tabla_control_serigrafia[LOTE],0)),"-")</f>
        <v>120 ML</v>
      </c>
      <c r="K113" s="20" t="str">
        <f>IFERROR(INDEX(Tabla_control_serigrafia[TIPO DE FRASCO],MATCH(Tabla_producción_serigrafia[[#This Row],[LOTE]],Tabla_control_serigrafia[LOTE],0)),"-")</f>
        <v>FRASCO BLANCO</v>
      </c>
      <c r="L11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13" s="21">
        <f>IFERROR(INDEX(Tabla_control_serigrafia[CANTIDAD PEDIDA],MATCH(Tabla_producción_serigrafia[[#This Row],[LOTE]],Tabla_control_serigrafia[LOTE],0)),"-")</f>
        <v>11764</v>
      </c>
      <c r="N113" s="22">
        <v>5000</v>
      </c>
      <c r="O113" s="19">
        <v>92</v>
      </c>
      <c r="P113" s="3" t="s">
        <v>178</v>
      </c>
      <c r="Q11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5000</v>
      </c>
      <c r="R11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13" s="25" t="s">
        <v>38</v>
      </c>
      <c r="T113" s="20" t="str">
        <f>UPPER(LEFT(TEXT(Tabla_producción_serigrafia[[#This Row],[FECHA]],"mmm"),3))</f>
        <v>MAR</v>
      </c>
      <c r="U113" s="20">
        <f>IFERROR(Tabla_producción_serigrafia[[#This Row],[CANTIDAD PRODUCIDA]]+Tabla_producción_serigrafia[[#This Row],[CANTIDAD RECHAZADA]],0)</f>
        <v>5092</v>
      </c>
    </row>
    <row r="114" spans="1:21" x14ac:dyDescent="0.25">
      <c r="A114" s="10">
        <v>46091</v>
      </c>
      <c r="B114" s="10" t="s">
        <v>58</v>
      </c>
      <c r="C114" s="1" t="s">
        <v>65</v>
      </c>
      <c r="D114" s="15">
        <v>0.41666666666666669</v>
      </c>
      <c r="E114" s="16">
        <v>0.5625</v>
      </c>
      <c r="F114" s="17">
        <f>ROUND((Tabla_producción_serigrafia[[#This Row],[FIN]]-Tabla_producción_serigrafia[[#This Row],[INICIO]]+(Tabla_producción_serigrafia[[#This Row],[FIN]]&lt;Tabla_producción_serigrafia[[#This Row],[INICIO]]))*24,2)</f>
        <v>3.5</v>
      </c>
      <c r="G114" s="7" t="s">
        <v>56</v>
      </c>
      <c r="H114" s="19">
        <v>32648</v>
      </c>
      <c r="I114" s="7" t="str">
        <f>IFERROR(INDEX(Tabla_control_serigrafia[PRODUCTO],MATCH(Tabla_producción_serigrafia[[#This Row],[LOTE]],Tabla_control_serigrafia[LOTE],0)),"-")</f>
        <v>COTRIMOXAZOL 400/80 MG X 100 ML SUSP.</v>
      </c>
      <c r="J114" s="20" t="str">
        <f>IFERROR(INDEX(Tabla_control_serigrafia[FORMATO DE FRASCO],MATCH(Tabla_producción_serigrafia[[#This Row],[LOTE]],Tabla_control_serigrafia[LOTE],0)),"-")</f>
        <v>120 ML</v>
      </c>
      <c r="K114" s="20" t="str">
        <f>IFERROR(INDEX(Tabla_control_serigrafia[TIPO DE FRASCO],MATCH(Tabla_producción_serigrafia[[#This Row],[LOTE]],Tabla_control_serigrafia[LOTE],0)),"-")</f>
        <v>FRASCO BLANCO</v>
      </c>
      <c r="L114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14" s="21">
        <f>IFERROR(INDEX(Tabla_control_serigrafia[CANTIDAD PEDIDA],MATCH(Tabla_producción_serigrafia[[#This Row],[LOTE]],Tabla_control_serigrafia[LOTE],0)),"-")</f>
        <v>11764</v>
      </c>
      <c r="N114" s="22">
        <v>6875</v>
      </c>
      <c r="O114" s="19">
        <v>232</v>
      </c>
      <c r="P114" s="23" t="s">
        <v>62</v>
      </c>
      <c r="Q11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6875</v>
      </c>
      <c r="R11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8</v>
      </c>
      <c r="S114" s="25" t="s">
        <v>38</v>
      </c>
      <c r="T114" s="20" t="str">
        <f>UPPER(LEFT(TEXT(Tabla_producción_serigrafia[[#This Row],[FECHA]],"mmm"),3))</f>
        <v>MAR</v>
      </c>
      <c r="U114" s="20">
        <f>IFERROR(Tabla_producción_serigrafia[[#This Row],[CANTIDAD PRODUCIDA]]+Tabla_producción_serigrafia[[#This Row],[CANTIDAD RECHAZADA]],0)</f>
        <v>7107</v>
      </c>
    </row>
    <row r="115" spans="1:21" x14ac:dyDescent="0.25">
      <c r="A115" s="10">
        <v>46091</v>
      </c>
      <c r="B115" s="10" t="s">
        <v>58</v>
      </c>
      <c r="C115" s="1" t="s">
        <v>65</v>
      </c>
      <c r="D115" s="15">
        <v>0.5625</v>
      </c>
      <c r="E115" s="16">
        <v>0.72916666666666663</v>
      </c>
      <c r="F115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115" s="7" t="s">
        <v>64</v>
      </c>
      <c r="H115" s="19" t="s">
        <v>38</v>
      </c>
      <c r="I115" s="7" t="str">
        <f>IFERROR(INDEX(Tabla_control_serigrafia[PRODUCTO],MATCH(Tabla_producción_serigrafia[[#This Row],[LOTE]],Tabla_control_serigrafia[LOTE],0)),"-")</f>
        <v>-</v>
      </c>
      <c r="J115" s="20" t="str">
        <f>IFERROR(INDEX(Tabla_control_serigrafia[FORMATO DE FRASCO],MATCH(Tabla_producción_serigrafia[[#This Row],[LOTE]],Tabla_control_serigrafia[LOTE],0)),"-")</f>
        <v>-</v>
      </c>
      <c r="K115" s="20" t="str">
        <f>IFERROR(INDEX(Tabla_control_serigrafia[TIPO DE FRASCO],MATCH(Tabla_producción_serigrafia[[#This Row],[LOTE]],Tabla_control_serigrafia[LOTE],0)),"-")</f>
        <v>-</v>
      </c>
      <c r="L115" t="str">
        <f>IF(Tabla_producción_serigrafia[[#This Row],[ACCIÓN]]="PRODUCCIÓN",Tabla_producción_serigrafia[[#This Row],[FORMATO DE FRASCO]]&amp;" "&amp;Tabla_producción_serigrafia[[#This Row],[TIPO DE FRASCO]],"-")</f>
        <v>-</v>
      </c>
      <c r="M115" s="21" t="str">
        <f>IFERROR(INDEX(Tabla_control_serigrafia[CANTIDAD PEDIDA],MATCH(Tabla_producción_serigrafia[[#This Row],[LOTE]],Tabla_control_serigrafia[LOTE],0)),"-")</f>
        <v>-</v>
      </c>
      <c r="N115" s="22">
        <v>0</v>
      </c>
      <c r="O115" s="19">
        <v>0</v>
      </c>
      <c r="P115" s="3">
        <v>0</v>
      </c>
      <c r="Q11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1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15" s="25" t="s">
        <v>138</v>
      </c>
      <c r="T115" s="20" t="str">
        <f>UPPER(LEFT(TEXT(Tabla_producción_serigrafia[[#This Row],[FECHA]],"mmm"),3))</f>
        <v>MAR</v>
      </c>
      <c r="U115" s="20">
        <f>IFERROR(Tabla_producción_serigrafia[[#This Row],[CANTIDAD PRODUCIDA]]+Tabla_producción_serigrafia[[#This Row],[CANTIDAD RECHAZADA]],0)</f>
        <v>0</v>
      </c>
    </row>
    <row r="116" spans="1:21" x14ac:dyDescent="0.25">
      <c r="A116" s="10">
        <v>46093</v>
      </c>
      <c r="B116" s="10" t="s">
        <v>81</v>
      </c>
      <c r="C116" s="1" t="s">
        <v>65</v>
      </c>
      <c r="D116" s="15">
        <v>0.41666666666666669</v>
      </c>
      <c r="E116" s="16">
        <v>0.60416666666666663</v>
      </c>
      <c r="F116" s="17">
        <f>ROUND((Tabla_producción_serigrafia[[#This Row],[FIN]]-Tabla_producción_serigrafia[[#This Row],[INICIO]]+(Tabla_producción_serigrafia[[#This Row],[FIN]]&lt;Tabla_producción_serigrafia[[#This Row],[INICIO]]))*24,2)</f>
        <v>4.5</v>
      </c>
      <c r="G116" s="7" t="s">
        <v>56</v>
      </c>
      <c r="H116" s="19">
        <v>22695</v>
      </c>
      <c r="I116" s="7" t="str">
        <f>IFERROR(INDEX(Tabla_control_serigrafia[PRODUCTO],MATCH(Tabla_producción_serigrafia[[#This Row],[LOTE]],Tabla_control_serigrafia[LOTE],0)),"-")</f>
        <v>REMASOL X 30 ML LOCION</v>
      </c>
      <c r="J116" s="20" t="str">
        <f>IFERROR(INDEX(Tabla_control_serigrafia[FORMATO DE FRASCO],MATCH(Tabla_producción_serigrafia[[#This Row],[LOTE]],Tabla_control_serigrafia[LOTE],0)),"-")</f>
        <v>30 ML</v>
      </c>
      <c r="K116" s="20" t="str">
        <f>IFERROR(INDEX(Tabla_control_serigrafia[TIPO DE FRASCO],MATCH(Tabla_producción_serigrafia[[#This Row],[LOTE]],Tabla_control_serigrafia[LOTE],0)),"-")</f>
        <v>FRASCO BLANCO</v>
      </c>
      <c r="L116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16" s="21">
        <f>IFERROR(INDEX(Tabla_control_serigrafia[CANTIDAD PEDIDA],MATCH(Tabla_producción_serigrafia[[#This Row],[LOTE]],Tabla_control_serigrafia[LOTE],0)),"-")</f>
        <v>2000</v>
      </c>
      <c r="N116" s="22">
        <v>2200</v>
      </c>
      <c r="O116" s="19">
        <v>137</v>
      </c>
      <c r="P116" s="3" t="s">
        <v>178</v>
      </c>
      <c r="Q11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1100</v>
      </c>
      <c r="R11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16" s="25" t="s">
        <v>132</v>
      </c>
      <c r="T116" s="20" t="str">
        <f>UPPER(LEFT(TEXT(Tabla_producción_serigrafia[[#This Row],[FECHA]],"mmm"),3))</f>
        <v>MAR</v>
      </c>
      <c r="U116" s="20">
        <f>IFERROR(Tabla_producción_serigrafia[[#This Row],[CANTIDAD PRODUCIDA]]+Tabla_producción_serigrafia[[#This Row],[CANTIDAD RECHAZADA]],0)</f>
        <v>2337</v>
      </c>
    </row>
    <row r="117" spans="1:21" x14ac:dyDescent="0.25">
      <c r="A117" s="10">
        <v>46093</v>
      </c>
      <c r="B117" s="10" t="s">
        <v>81</v>
      </c>
      <c r="C117" s="1" t="s">
        <v>65</v>
      </c>
      <c r="D117" s="15">
        <v>0.625</v>
      </c>
      <c r="E117" s="16">
        <v>0.70833333333333337</v>
      </c>
      <c r="F117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117" s="7" t="s">
        <v>56</v>
      </c>
      <c r="H117" s="19">
        <v>22695</v>
      </c>
      <c r="I117" s="7" t="str">
        <f>IFERROR(INDEX(Tabla_control_serigrafia[PRODUCTO],MATCH(Tabla_producción_serigrafia[[#This Row],[LOTE]],Tabla_control_serigrafia[LOTE],0)),"-")</f>
        <v>REMASOL X 30 ML LOCION</v>
      </c>
      <c r="J117" s="20" t="str">
        <f>IFERROR(INDEX(Tabla_control_serigrafia[FORMATO DE FRASCO],MATCH(Tabla_producción_serigrafia[[#This Row],[LOTE]],Tabla_control_serigrafia[LOTE],0)),"-")</f>
        <v>30 ML</v>
      </c>
      <c r="K117" s="20" t="str">
        <f>IFERROR(INDEX(Tabla_control_serigrafia[TIPO DE FRASCO],MATCH(Tabla_producción_serigrafia[[#This Row],[LOTE]],Tabla_control_serigrafia[LOTE],0)),"-")</f>
        <v>FRASCO BLANCO</v>
      </c>
      <c r="L117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17" s="21">
        <f>IFERROR(INDEX(Tabla_control_serigrafia[CANTIDAD PEDIDA],MATCH(Tabla_producción_serigrafia[[#This Row],[LOTE]],Tabla_control_serigrafia[LOTE],0)),"-")</f>
        <v>2000</v>
      </c>
      <c r="N117" s="22">
        <v>1000</v>
      </c>
      <c r="O117" s="19">
        <v>70</v>
      </c>
      <c r="P117" s="3" t="s">
        <v>178</v>
      </c>
      <c r="Q11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500</v>
      </c>
      <c r="R11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17" s="25" t="s">
        <v>133</v>
      </c>
      <c r="T117" s="20" t="str">
        <f>UPPER(LEFT(TEXT(Tabla_producción_serigrafia[[#This Row],[FECHA]],"mmm"),3))</f>
        <v>MAR</v>
      </c>
      <c r="U117" s="20">
        <f>IFERROR(Tabla_producción_serigrafia[[#This Row],[CANTIDAD PRODUCIDA]]+Tabla_producción_serigrafia[[#This Row],[CANTIDAD RECHAZADA]],0)</f>
        <v>1070</v>
      </c>
    </row>
    <row r="118" spans="1:21" x14ac:dyDescent="0.25">
      <c r="A118" s="10">
        <v>46094</v>
      </c>
      <c r="B118" s="10" t="s">
        <v>81</v>
      </c>
      <c r="C118" s="1" t="s">
        <v>65</v>
      </c>
      <c r="D118" s="15">
        <v>0.35416666666666669</v>
      </c>
      <c r="E118" s="16">
        <v>0.5</v>
      </c>
      <c r="F118" s="17">
        <f>ROUND((Tabla_producción_serigrafia[[#This Row],[FIN]]-Tabla_producción_serigrafia[[#This Row],[INICIO]]+(Tabla_producción_serigrafia[[#This Row],[FIN]]&lt;Tabla_producción_serigrafia[[#This Row],[INICIO]]))*24,2)</f>
        <v>3.5</v>
      </c>
      <c r="G118" s="7" t="s">
        <v>56</v>
      </c>
      <c r="H118" s="19">
        <v>22695</v>
      </c>
      <c r="I118" s="7" t="str">
        <f>IFERROR(INDEX(Tabla_control_serigrafia[PRODUCTO],MATCH(Tabla_producción_serigrafia[[#This Row],[LOTE]],Tabla_control_serigrafia[LOTE],0)),"-")</f>
        <v>REMASOL X 30 ML LOCION</v>
      </c>
      <c r="J118" s="20" t="str">
        <f>IFERROR(INDEX(Tabla_control_serigrafia[FORMATO DE FRASCO],MATCH(Tabla_producción_serigrafia[[#This Row],[LOTE]],Tabla_control_serigrafia[LOTE],0)),"-")</f>
        <v>30 ML</v>
      </c>
      <c r="K118" s="20" t="str">
        <f>IFERROR(INDEX(Tabla_control_serigrafia[TIPO DE FRASCO],MATCH(Tabla_producción_serigrafia[[#This Row],[LOTE]],Tabla_control_serigrafia[LOTE],0)),"-")</f>
        <v>FRASCO BLANCO</v>
      </c>
      <c r="L118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18" s="21">
        <f>IFERROR(INDEX(Tabla_control_serigrafia[CANTIDAD PEDIDA],MATCH(Tabla_producción_serigrafia[[#This Row],[LOTE]],Tabla_control_serigrafia[LOTE],0)),"-")</f>
        <v>2000</v>
      </c>
      <c r="N118" s="22">
        <v>1230</v>
      </c>
      <c r="O118" s="19">
        <v>130</v>
      </c>
      <c r="P118" s="23" t="s">
        <v>62</v>
      </c>
      <c r="Q11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615</v>
      </c>
      <c r="R11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30</v>
      </c>
      <c r="S118" s="25" t="s">
        <v>133</v>
      </c>
      <c r="T118" s="20" t="str">
        <f>UPPER(LEFT(TEXT(Tabla_producción_serigrafia[[#This Row],[FECHA]],"mmm"),3))</f>
        <v>MAR</v>
      </c>
      <c r="U118" s="20">
        <f>IFERROR(Tabla_producción_serigrafia[[#This Row],[CANTIDAD PRODUCIDA]]+Tabla_producción_serigrafia[[#This Row],[CANTIDAD RECHAZADA]],0)</f>
        <v>1360</v>
      </c>
    </row>
    <row r="119" spans="1:21" x14ac:dyDescent="0.25">
      <c r="A119" s="10">
        <v>46113</v>
      </c>
      <c r="B119" s="10" t="s">
        <v>58</v>
      </c>
      <c r="C119" s="1" t="s">
        <v>68</v>
      </c>
      <c r="D119" s="15">
        <v>0.33333333333333331</v>
      </c>
      <c r="E119" s="16">
        <v>0.34722222222222227</v>
      </c>
      <c r="F119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19" s="18" t="s">
        <v>57</v>
      </c>
      <c r="H119" s="19" t="s">
        <v>38</v>
      </c>
      <c r="I119" s="7" t="str">
        <f>IFERROR(INDEX(Tabla_control_serigrafia[PRODUCTO],MATCH(Tabla_producción_serigrafia[[#This Row],[LOTE]],Tabla_control_serigrafia[LOTE],0)),"-")</f>
        <v>-</v>
      </c>
      <c r="J119" s="20" t="str">
        <f>IFERROR(INDEX(Tabla_control_serigrafia[FORMATO DE FRASCO],MATCH(Tabla_producción_serigrafia[[#This Row],[LOTE]],Tabla_control_serigrafia[LOTE],0)),"-")</f>
        <v>-</v>
      </c>
      <c r="K119" s="20" t="str">
        <f>IFERROR(INDEX(Tabla_control_serigrafia[TIPO DE FRASCO],MATCH(Tabla_producción_serigrafia[[#This Row],[LOTE]],Tabla_control_serigrafia[LOTE],0)),"-")</f>
        <v>-</v>
      </c>
      <c r="L119" t="str">
        <f>IF(Tabla_producción_serigrafia[[#This Row],[ACCIÓN]]="PRODUCCIÓN",Tabla_producción_serigrafia[[#This Row],[FORMATO DE FRASCO]]&amp;" "&amp;Tabla_producción_serigrafia[[#This Row],[TIPO DE FRASCO]],"-")</f>
        <v>-</v>
      </c>
      <c r="M119" s="21" t="str">
        <f>IFERROR(INDEX(Tabla_control_serigrafia[CANTIDAD PEDIDA],MATCH(Tabla_producción_serigrafia[[#This Row],[LOTE]],Tabla_control_serigrafia[LOTE],0)),"-")</f>
        <v>-</v>
      </c>
      <c r="N119" s="22">
        <v>0</v>
      </c>
      <c r="O119" s="19">
        <v>0</v>
      </c>
      <c r="P119" s="3">
        <v>0</v>
      </c>
      <c r="Q11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1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19" s="25" t="s">
        <v>63</v>
      </c>
      <c r="T119" s="20" t="str">
        <f>UPPER(LEFT(TEXT(Tabla_producción_serigrafia[[#This Row],[FECHA]],"mmm"),3))</f>
        <v>ABR</v>
      </c>
      <c r="U119" s="20">
        <f>IFERROR(Tabla_producción_serigrafia[[#This Row],[CANTIDAD PRODUCIDA]]+Tabla_producción_serigrafia[[#This Row],[CANTIDAD RECHAZADA]],0)</f>
        <v>0</v>
      </c>
    </row>
    <row r="120" spans="1:21" x14ac:dyDescent="0.25">
      <c r="A120" s="10">
        <v>46113</v>
      </c>
      <c r="B120" s="10" t="s">
        <v>58</v>
      </c>
      <c r="C120" s="1" t="s">
        <v>68</v>
      </c>
      <c r="D120" s="15">
        <v>0.34722222222222227</v>
      </c>
      <c r="E120" s="16">
        <v>0.73263888888888884</v>
      </c>
      <c r="F120" s="17">
        <f>ROUND((Tabla_producción_serigrafia[[#This Row],[FIN]]-Tabla_producción_serigrafia[[#This Row],[INICIO]]+(Tabla_producción_serigrafia[[#This Row],[FIN]]&lt;Tabla_producción_serigrafia[[#This Row],[INICIO]]))*24,2)</f>
        <v>9.25</v>
      </c>
      <c r="G120" s="18" t="s">
        <v>56</v>
      </c>
      <c r="H120" s="19">
        <v>32646</v>
      </c>
      <c r="I120" s="7" t="str">
        <f>IFERROR(INDEX(Tabla_control_serigrafia[PRODUCTO],MATCH(Tabla_producción_serigrafia[[#This Row],[LOTE]],Tabla_control_serigrafia[LOTE],0)),"-")</f>
        <v>IBUPROFENO 100 MG X 100 ML SUSP.</v>
      </c>
      <c r="J120" s="20" t="str">
        <f>IFERROR(INDEX(Tabla_control_serigrafia[FORMATO DE FRASCO],MATCH(Tabla_producción_serigrafia[[#This Row],[LOTE]],Tabla_control_serigrafia[LOTE],0)),"-")</f>
        <v>120 ML</v>
      </c>
      <c r="K120" s="20" t="str">
        <f>IFERROR(INDEX(Tabla_control_serigrafia[TIPO DE FRASCO],MATCH(Tabla_producción_serigrafia[[#This Row],[LOTE]],Tabla_control_serigrafia[LOTE],0)),"-")</f>
        <v>FRASCO BLANCO</v>
      </c>
      <c r="L120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20" s="21">
        <f>IFERROR(INDEX(Tabla_control_serigrafia[CANTIDAD PEDIDA],MATCH(Tabla_producción_serigrafia[[#This Row],[LOTE]],Tabla_control_serigrafia[LOTE],0)),"-")</f>
        <v>23529</v>
      </c>
      <c r="N120" s="22">
        <v>20000</v>
      </c>
      <c r="O120" s="19">
        <v>160</v>
      </c>
      <c r="P120" s="23" t="s">
        <v>62</v>
      </c>
      <c r="Q12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20000</v>
      </c>
      <c r="R120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30</v>
      </c>
      <c r="S120" s="25" t="s">
        <v>38</v>
      </c>
      <c r="T120" s="20" t="str">
        <f>UPPER(LEFT(TEXT(Tabla_producción_serigrafia[[#This Row],[FECHA]],"mmm"),3))</f>
        <v>ABR</v>
      </c>
      <c r="U120" s="20">
        <f>IFERROR(Tabla_producción_serigrafia[[#This Row],[CANTIDAD PRODUCIDA]]+Tabla_producción_serigrafia[[#This Row],[CANTIDAD RECHAZADA]],0)</f>
        <v>20160</v>
      </c>
    </row>
    <row r="121" spans="1:21" x14ac:dyDescent="0.25">
      <c r="A121" s="10">
        <v>46114</v>
      </c>
      <c r="B121" s="10" t="s">
        <v>58</v>
      </c>
      <c r="C121" s="1" t="s">
        <v>68</v>
      </c>
      <c r="D121" s="15">
        <v>0.33333333333333331</v>
      </c>
      <c r="E121" s="16">
        <v>0.34722222222222227</v>
      </c>
      <c r="F121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21" s="18" t="s">
        <v>57</v>
      </c>
      <c r="H121" s="19" t="s">
        <v>38</v>
      </c>
      <c r="I121" s="7" t="str">
        <f>IFERROR(INDEX(Tabla_control_serigrafia[PRODUCTO],MATCH(Tabla_producción_serigrafia[[#This Row],[LOTE]],Tabla_control_serigrafia[LOTE],0)),"-")</f>
        <v>-</v>
      </c>
      <c r="J121" s="20" t="str">
        <f>IFERROR(INDEX(Tabla_control_serigrafia[FORMATO DE FRASCO],MATCH(Tabla_producción_serigrafia[[#This Row],[LOTE]],Tabla_control_serigrafia[LOTE],0)),"-")</f>
        <v>-</v>
      </c>
      <c r="K121" s="20" t="str">
        <f>IFERROR(INDEX(Tabla_control_serigrafia[TIPO DE FRASCO],MATCH(Tabla_producción_serigrafia[[#This Row],[LOTE]],Tabla_control_serigrafia[LOTE],0)),"-")</f>
        <v>-</v>
      </c>
      <c r="L121" t="str">
        <f>IF(Tabla_producción_serigrafia[[#This Row],[ACCIÓN]]="PRODUCCIÓN",Tabla_producción_serigrafia[[#This Row],[FORMATO DE FRASCO]]&amp;" "&amp;Tabla_producción_serigrafia[[#This Row],[TIPO DE FRASCO]],"-")</f>
        <v>-</v>
      </c>
      <c r="M121" s="21" t="str">
        <f>IFERROR(INDEX(Tabla_control_serigrafia[CANTIDAD PEDIDA],MATCH(Tabla_producción_serigrafia[[#This Row],[LOTE]],Tabla_control_serigrafia[LOTE],0)),"-")</f>
        <v>-</v>
      </c>
      <c r="N121" s="22">
        <v>0</v>
      </c>
      <c r="O121" s="19">
        <v>0</v>
      </c>
      <c r="P121" s="3">
        <v>0</v>
      </c>
      <c r="Q12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2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21" s="25" t="s">
        <v>63</v>
      </c>
      <c r="T121" s="20" t="str">
        <f>UPPER(LEFT(TEXT(Tabla_producción_serigrafia[[#This Row],[FECHA]],"mmm"),3))</f>
        <v>ABR</v>
      </c>
      <c r="U121" s="20">
        <f>IFERROR(Tabla_producción_serigrafia[[#This Row],[CANTIDAD PRODUCIDA]]+Tabla_producción_serigrafia[[#This Row],[CANTIDAD RECHAZADA]],0)</f>
        <v>0</v>
      </c>
    </row>
    <row r="122" spans="1:21" x14ac:dyDescent="0.25">
      <c r="A122" s="10">
        <v>46114</v>
      </c>
      <c r="B122" s="10" t="s">
        <v>58</v>
      </c>
      <c r="C122" s="1" t="s">
        <v>68</v>
      </c>
      <c r="D122" s="15">
        <v>0.34722222222222227</v>
      </c>
      <c r="E122" s="16">
        <v>0.66666666666666663</v>
      </c>
      <c r="F122" s="17">
        <f>ROUND((Tabla_producción_serigrafia[[#This Row],[FIN]]-Tabla_producción_serigrafia[[#This Row],[INICIO]]+(Tabla_producción_serigrafia[[#This Row],[FIN]]&lt;Tabla_producción_serigrafia[[#This Row],[INICIO]]))*24,2)</f>
        <v>7.67</v>
      </c>
      <c r="G122" s="18" t="s">
        <v>56</v>
      </c>
      <c r="H122" s="19">
        <v>32654</v>
      </c>
      <c r="I122" s="7" t="str">
        <f>IFERROR(INDEX(Tabla_control_serigrafia[PRODUCTO],MATCH(Tabla_producción_serigrafia[[#This Row],[LOTE]],Tabla_control_serigrafia[LOTE],0)),"-")</f>
        <v>IBUPROFENO 100 MG X 100 ML SUSP.</v>
      </c>
      <c r="J122" s="20" t="str">
        <f>IFERROR(INDEX(Tabla_control_serigrafia[FORMATO DE FRASCO],MATCH(Tabla_producción_serigrafia[[#This Row],[LOTE]],Tabla_control_serigrafia[LOTE],0)),"-")</f>
        <v>120 ML</v>
      </c>
      <c r="K122" s="20" t="str">
        <f>IFERROR(INDEX(Tabla_control_serigrafia[TIPO DE FRASCO],MATCH(Tabla_producción_serigrafia[[#This Row],[LOTE]],Tabla_control_serigrafia[LOTE],0)),"-")</f>
        <v>FRASCO BLANCO</v>
      </c>
      <c r="L122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22" s="21">
        <f>IFERROR(INDEX(Tabla_control_serigrafia[CANTIDAD PEDIDA],MATCH(Tabla_producción_serigrafia[[#This Row],[LOTE]],Tabla_control_serigrafia[LOTE],0)),"-")</f>
        <v>23529</v>
      </c>
      <c r="N122" s="22">
        <v>18000</v>
      </c>
      <c r="O122" s="19">
        <v>170</v>
      </c>
      <c r="P122" s="23" t="s">
        <v>62</v>
      </c>
      <c r="Q12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18000</v>
      </c>
      <c r="R122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31</v>
      </c>
      <c r="S122" s="25" t="s">
        <v>38</v>
      </c>
      <c r="T122" s="20" t="str">
        <f>UPPER(LEFT(TEXT(Tabla_producción_serigrafia[[#This Row],[FECHA]],"mmm"),3))</f>
        <v>ABR</v>
      </c>
      <c r="U122" s="20">
        <f>IFERROR(Tabla_producción_serigrafia[[#This Row],[CANTIDAD PRODUCIDA]]+Tabla_producción_serigrafia[[#This Row],[CANTIDAD RECHAZADA]],0)</f>
        <v>18170</v>
      </c>
    </row>
    <row r="123" spans="1:21" x14ac:dyDescent="0.25">
      <c r="A123" s="10">
        <v>46118</v>
      </c>
      <c r="B123" s="10" t="s">
        <v>58</v>
      </c>
      <c r="C123" s="1" t="s">
        <v>68</v>
      </c>
      <c r="D123" s="15">
        <v>0.33333333333333331</v>
      </c>
      <c r="E123" s="16">
        <v>0.34722222222222227</v>
      </c>
      <c r="F123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23" s="18" t="s">
        <v>57</v>
      </c>
      <c r="H123" s="19" t="s">
        <v>38</v>
      </c>
      <c r="I123" s="7" t="str">
        <f>IFERROR(INDEX(Tabla_control_serigrafia[PRODUCTO],MATCH(Tabla_producción_serigrafia[[#This Row],[LOTE]],Tabla_control_serigrafia[LOTE],0)),"-")</f>
        <v>-</v>
      </c>
      <c r="J123" s="20" t="str">
        <f>IFERROR(INDEX(Tabla_control_serigrafia[FORMATO DE FRASCO],MATCH(Tabla_producción_serigrafia[[#This Row],[LOTE]],Tabla_control_serigrafia[LOTE],0)),"-")</f>
        <v>-</v>
      </c>
      <c r="K123" s="20" t="str">
        <f>IFERROR(INDEX(Tabla_control_serigrafia[TIPO DE FRASCO],MATCH(Tabla_producción_serigrafia[[#This Row],[LOTE]],Tabla_control_serigrafia[LOTE],0)),"-")</f>
        <v>-</v>
      </c>
      <c r="L123" t="str">
        <f>IF(Tabla_producción_serigrafia[[#This Row],[ACCIÓN]]="PRODUCCIÓN",Tabla_producción_serigrafia[[#This Row],[FORMATO DE FRASCO]]&amp;" "&amp;Tabla_producción_serigrafia[[#This Row],[TIPO DE FRASCO]],"-")</f>
        <v>-</v>
      </c>
      <c r="M123" s="21" t="str">
        <f>IFERROR(INDEX(Tabla_control_serigrafia[CANTIDAD PEDIDA],MATCH(Tabla_producción_serigrafia[[#This Row],[LOTE]],Tabla_control_serigrafia[LOTE],0)),"-")</f>
        <v>-</v>
      </c>
      <c r="N123" s="22">
        <v>0</v>
      </c>
      <c r="O123" s="19">
        <v>0</v>
      </c>
      <c r="P123" s="3">
        <v>0</v>
      </c>
      <c r="Q12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2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23" s="25" t="s">
        <v>63</v>
      </c>
      <c r="T123" s="20" t="str">
        <f>UPPER(LEFT(TEXT(Tabla_producción_serigrafia[[#This Row],[FECHA]],"mmm"),3))</f>
        <v>ABR</v>
      </c>
      <c r="U123" s="20">
        <f>IFERROR(Tabla_producción_serigrafia[[#This Row],[CANTIDAD PRODUCIDA]]+Tabla_producción_serigrafia[[#This Row],[CANTIDAD RECHAZADA]],0)</f>
        <v>0</v>
      </c>
    </row>
    <row r="124" spans="1:21" x14ac:dyDescent="0.25">
      <c r="A124" s="10">
        <v>46118</v>
      </c>
      <c r="B124" s="10" t="s">
        <v>58</v>
      </c>
      <c r="C124" s="1" t="s">
        <v>68</v>
      </c>
      <c r="D124" s="15">
        <v>0.34722222222222227</v>
      </c>
      <c r="E124" s="16">
        <v>0.44444444444444442</v>
      </c>
      <c r="F124" s="17">
        <f>ROUND((Tabla_producción_serigrafia[[#This Row],[FIN]]-Tabla_producción_serigrafia[[#This Row],[INICIO]]+(Tabla_producción_serigrafia[[#This Row],[FIN]]&lt;Tabla_producción_serigrafia[[#This Row],[INICIO]]))*24,2)</f>
        <v>2.33</v>
      </c>
      <c r="G124" s="18" t="s">
        <v>56</v>
      </c>
      <c r="H124" s="19">
        <v>32654</v>
      </c>
      <c r="I124" s="7" t="str">
        <f>IFERROR(INDEX(Tabla_control_serigrafia[PRODUCTO],MATCH(Tabla_producción_serigrafia[[#This Row],[LOTE]],Tabla_control_serigrafia[LOTE],0)),"-")</f>
        <v>IBUPROFENO 100 MG X 100 ML SUSP.</v>
      </c>
      <c r="J124" s="20" t="str">
        <f>IFERROR(INDEX(Tabla_control_serigrafia[FORMATO DE FRASCO],MATCH(Tabla_producción_serigrafia[[#This Row],[LOTE]],Tabla_control_serigrafia[LOTE],0)),"-")</f>
        <v>120 ML</v>
      </c>
      <c r="K124" s="20" t="str">
        <f>IFERROR(INDEX(Tabla_control_serigrafia[TIPO DE FRASCO],MATCH(Tabla_producción_serigrafia[[#This Row],[LOTE]],Tabla_control_serigrafia[LOTE],0)),"-")</f>
        <v>FRASCO BLANCO</v>
      </c>
      <c r="L124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24" s="21">
        <f>IFERROR(INDEX(Tabla_control_serigrafia[CANTIDAD PEDIDA],MATCH(Tabla_producción_serigrafia[[#This Row],[LOTE]],Tabla_control_serigrafia[LOTE],0)),"-")</f>
        <v>23529</v>
      </c>
      <c r="N124" s="22">
        <v>7650</v>
      </c>
      <c r="O124" s="19">
        <v>120</v>
      </c>
      <c r="P124" s="23" t="s">
        <v>62</v>
      </c>
      <c r="Q12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7650</v>
      </c>
      <c r="R12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35</v>
      </c>
      <c r="S124" s="25" t="s">
        <v>38</v>
      </c>
      <c r="T124" s="20" t="str">
        <f>UPPER(LEFT(TEXT(Tabla_producción_serigrafia[[#This Row],[FECHA]],"mmm"),3))</f>
        <v>ABR</v>
      </c>
      <c r="U124" s="20">
        <f>IFERROR(Tabla_producción_serigrafia[[#This Row],[CANTIDAD PRODUCIDA]]+Tabla_producción_serigrafia[[#This Row],[CANTIDAD RECHAZADA]],0)</f>
        <v>7770</v>
      </c>
    </row>
    <row r="125" spans="1:21" x14ac:dyDescent="0.25">
      <c r="A125" s="10">
        <v>46118</v>
      </c>
      <c r="B125" s="10" t="s">
        <v>58</v>
      </c>
      <c r="C125" s="1" t="s">
        <v>68</v>
      </c>
      <c r="D125" s="15">
        <v>0.44444444444444442</v>
      </c>
      <c r="E125" s="16">
        <v>0.45833333333333331</v>
      </c>
      <c r="F125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25" s="18" t="s">
        <v>57</v>
      </c>
      <c r="H125" s="19" t="s">
        <v>38</v>
      </c>
      <c r="I125" s="7" t="str">
        <f>IFERROR(INDEX(Tabla_control_serigrafia[PRODUCTO],MATCH(Tabla_producción_serigrafia[[#This Row],[LOTE]],Tabla_control_serigrafia[LOTE],0)),"-")</f>
        <v>-</v>
      </c>
      <c r="J125" s="20" t="str">
        <f>IFERROR(INDEX(Tabla_control_serigrafia[FORMATO DE FRASCO],MATCH(Tabla_producción_serigrafia[[#This Row],[LOTE]],Tabla_control_serigrafia[LOTE],0)),"-")</f>
        <v>-</v>
      </c>
      <c r="K125" s="20" t="str">
        <f>IFERROR(INDEX(Tabla_control_serigrafia[TIPO DE FRASCO],MATCH(Tabla_producción_serigrafia[[#This Row],[LOTE]],Tabla_control_serigrafia[LOTE],0)),"-")</f>
        <v>-</v>
      </c>
      <c r="L125" t="str">
        <f>IF(Tabla_producción_serigrafia[[#This Row],[ACCIÓN]]="PRODUCCIÓN",Tabla_producción_serigrafia[[#This Row],[FORMATO DE FRASCO]]&amp;" "&amp;Tabla_producción_serigrafia[[#This Row],[TIPO DE FRASCO]],"-")</f>
        <v>-</v>
      </c>
      <c r="M125" s="21" t="str">
        <f>IFERROR(INDEX(Tabla_control_serigrafia[CANTIDAD PEDIDA],MATCH(Tabla_producción_serigrafia[[#This Row],[LOTE]],Tabla_control_serigrafia[LOTE],0)),"-")</f>
        <v>-</v>
      </c>
      <c r="N125" s="22">
        <v>0</v>
      </c>
      <c r="O125" s="19">
        <v>0</v>
      </c>
      <c r="P125" s="3">
        <v>0</v>
      </c>
      <c r="Q12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2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25" s="25" t="s">
        <v>63</v>
      </c>
      <c r="T125" s="20" t="str">
        <f>UPPER(LEFT(TEXT(Tabla_producción_serigrafia[[#This Row],[FECHA]],"mmm"),3))</f>
        <v>ABR</v>
      </c>
      <c r="U125" s="20">
        <f>IFERROR(Tabla_producción_serigrafia[[#This Row],[CANTIDAD PRODUCIDA]]+Tabla_producción_serigrafia[[#This Row],[CANTIDAD RECHAZADA]],0)</f>
        <v>0</v>
      </c>
    </row>
    <row r="126" spans="1:21" x14ac:dyDescent="0.25">
      <c r="A126" s="10">
        <v>46118</v>
      </c>
      <c r="B126" s="10" t="s">
        <v>58</v>
      </c>
      <c r="C126" s="1" t="s">
        <v>68</v>
      </c>
      <c r="D126" s="15">
        <v>0.45833333333333331</v>
      </c>
      <c r="E126" s="16">
        <v>0.91666666666666663</v>
      </c>
      <c r="F126" s="17">
        <f>ROUND((Tabla_producción_serigrafia[[#This Row],[FIN]]-Tabla_producción_serigrafia[[#This Row],[INICIO]]+(Tabla_producción_serigrafia[[#This Row],[FIN]]&lt;Tabla_producción_serigrafia[[#This Row],[INICIO]]))*24,2)</f>
        <v>11</v>
      </c>
      <c r="G126" s="18" t="s">
        <v>56</v>
      </c>
      <c r="H126" s="19">
        <v>32653</v>
      </c>
      <c r="I126" s="7" t="str">
        <f>IFERROR(INDEX(Tabla_control_serigrafia[PRODUCTO],MATCH(Tabla_producción_serigrafia[[#This Row],[LOTE]],Tabla_control_serigrafia[LOTE],0)),"-")</f>
        <v>IBUPROFENO 100 MG X 100 ML SUSP.</v>
      </c>
      <c r="J126" s="20" t="str">
        <f>IFERROR(INDEX(Tabla_control_serigrafia[FORMATO DE FRASCO],MATCH(Tabla_producción_serigrafia[[#This Row],[LOTE]],Tabla_control_serigrafia[LOTE],0)),"-")</f>
        <v>120 ML</v>
      </c>
      <c r="K126" s="20" t="str">
        <f>IFERROR(INDEX(Tabla_control_serigrafia[TIPO DE FRASCO],MATCH(Tabla_producción_serigrafia[[#This Row],[LOTE]],Tabla_control_serigrafia[LOTE],0)),"-")</f>
        <v>FRASCO BLANCO</v>
      </c>
      <c r="L126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26" s="21">
        <f>IFERROR(INDEX(Tabla_control_serigrafia[CANTIDAD PEDIDA],MATCH(Tabla_producción_serigrafia[[#This Row],[LOTE]],Tabla_control_serigrafia[LOTE],0)),"-")</f>
        <v>23529</v>
      </c>
      <c r="N126" s="22">
        <v>23650</v>
      </c>
      <c r="O126" s="19">
        <v>130</v>
      </c>
      <c r="P126" s="23" t="s">
        <v>62</v>
      </c>
      <c r="Q12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23650</v>
      </c>
      <c r="R126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35</v>
      </c>
      <c r="S126" s="25" t="s">
        <v>38</v>
      </c>
      <c r="T126" s="20" t="str">
        <f>UPPER(LEFT(TEXT(Tabla_producción_serigrafia[[#This Row],[FECHA]],"mmm"),3))</f>
        <v>ABR</v>
      </c>
      <c r="U126" s="20">
        <f>IFERROR(Tabla_producción_serigrafia[[#This Row],[CANTIDAD PRODUCIDA]]+Tabla_producción_serigrafia[[#This Row],[CANTIDAD RECHAZADA]],0)</f>
        <v>23780</v>
      </c>
    </row>
    <row r="127" spans="1:21" x14ac:dyDescent="0.25">
      <c r="A127" s="10">
        <v>46119</v>
      </c>
      <c r="B127" s="10" t="s">
        <v>58</v>
      </c>
      <c r="C127" s="1" t="s">
        <v>68</v>
      </c>
      <c r="D127" s="15">
        <v>0.33333333333333331</v>
      </c>
      <c r="E127" s="16">
        <v>0.34722222222222227</v>
      </c>
      <c r="F127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27" s="18" t="s">
        <v>57</v>
      </c>
      <c r="H127" s="19" t="s">
        <v>38</v>
      </c>
      <c r="I127" s="7" t="str">
        <f>IFERROR(INDEX(Tabla_control_serigrafia[PRODUCTO],MATCH(Tabla_producción_serigrafia[[#This Row],[LOTE]],Tabla_control_serigrafia[LOTE],0)),"-")</f>
        <v>-</v>
      </c>
      <c r="J127" s="20" t="str">
        <f>IFERROR(INDEX(Tabla_control_serigrafia[FORMATO DE FRASCO],MATCH(Tabla_producción_serigrafia[[#This Row],[LOTE]],Tabla_control_serigrafia[LOTE],0)),"-")</f>
        <v>-</v>
      </c>
      <c r="K127" s="20" t="str">
        <f>IFERROR(INDEX(Tabla_control_serigrafia[TIPO DE FRASCO],MATCH(Tabla_producción_serigrafia[[#This Row],[LOTE]],Tabla_control_serigrafia[LOTE],0)),"-")</f>
        <v>-</v>
      </c>
      <c r="L127" t="str">
        <f>IF(Tabla_producción_serigrafia[[#This Row],[ACCIÓN]]="PRODUCCIÓN",Tabla_producción_serigrafia[[#This Row],[FORMATO DE FRASCO]]&amp;" "&amp;Tabla_producción_serigrafia[[#This Row],[TIPO DE FRASCO]],"-")</f>
        <v>-</v>
      </c>
      <c r="M127" s="21" t="str">
        <f>IFERROR(INDEX(Tabla_control_serigrafia[CANTIDAD PEDIDA],MATCH(Tabla_producción_serigrafia[[#This Row],[LOTE]],Tabla_control_serigrafia[LOTE],0)),"-")</f>
        <v>-</v>
      </c>
      <c r="N127" s="22">
        <v>0</v>
      </c>
      <c r="O127" s="19">
        <v>0</v>
      </c>
      <c r="P127" s="3">
        <v>0</v>
      </c>
      <c r="Q12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2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27" s="25" t="s">
        <v>63</v>
      </c>
      <c r="T127" s="20" t="str">
        <f>UPPER(LEFT(TEXT(Tabla_producción_serigrafia[[#This Row],[FECHA]],"mmm"),3))</f>
        <v>ABR</v>
      </c>
      <c r="U127" s="20">
        <f>IFERROR(Tabla_producción_serigrafia[[#This Row],[CANTIDAD PRODUCIDA]]+Tabla_producción_serigrafia[[#This Row],[CANTIDAD RECHAZADA]],0)</f>
        <v>0</v>
      </c>
    </row>
    <row r="128" spans="1:21" x14ac:dyDescent="0.25">
      <c r="A128" s="10">
        <v>46119</v>
      </c>
      <c r="B128" s="10" t="s">
        <v>58</v>
      </c>
      <c r="C128" s="1" t="s">
        <v>68</v>
      </c>
      <c r="D128" s="15">
        <v>0.34722222222222227</v>
      </c>
      <c r="E128" s="16">
        <v>0.91666666666666663</v>
      </c>
      <c r="F128" s="17">
        <f>ROUND((Tabla_producción_serigrafia[[#This Row],[FIN]]-Tabla_producción_serigrafia[[#This Row],[INICIO]]+(Tabla_producción_serigrafia[[#This Row],[FIN]]&lt;Tabla_producción_serigrafia[[#This Row],[INICIO]]))*24,2)</f>
        <v>13.67</v>
      </c>
      <c r="G128" s="18" t="s">
        <v>56</v>
      </c>
      <c r="H128" s="19">
        <v>42660</v>
      </c>
      <c r="I128" s="7" t="str">
        <f>IFERROR(INDEX(Tabla_control_serigrafia[PRODUCTO],MATCH(Tabla_producción_serigrafia[[#This Row],[LOTE]],Tabla_control_serigrafia[LOTE],0)),"-")</f>
        <v>ZINC 20 MG X 100 ML JARABE</v>
      </c>
      <c r="J128" s="20" t="str">
        <f>IFERROR(INDEX(Tabla_control_serigrafia[FORMATO DE FRASCO],MATCH(Tabla_producción_serigrafia[[#This Row],[LOTE]],Tabla_control_serigrafia[LOTE],0)),"-")</f>
        <v>120 ML</v>
      </c>
      <c r="K128" s="20" t="str">
        <f>IFERROR(INDEX(Tabla_control_serigrafia[TIPO DE FRASCO],MATCH(Tabla_producción_serigrafia[[#This Row],[LOTE]],Tabla_control_serigrafia[LOTE],0)),"-")</f>
        <v>FRASCO BLANCO</v>
      </c>
      <c r="L128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28" s="21">
        <f>IFERROR(INDEX(Tabla_control_serigrafia[CANTIDAD PEDIDA],MATCH(Tabla_producción_serigrafia[[#This Row],[LOTE]],Tabla_control_serigrafia[LOTE],0)),"-")</f>
        <v>29703</v>
      </c>
      <c r="N128" s="22">
        <v>29850</v>
      </c>
      <c r="O128" s="19">
        <v>146</v>
      </c>
      <c r="P128" s="23" t="s">
        <v>62</v>
      </c>
      <c r="Q12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29850</v>
      </c>
      <c r="R12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6</v>
      </c>
      <c r="S128" s="25" t="s">
        <v>38</v>
      </c>
      <c r="T128" s="20" t="str">
        <f>UPPER(LEFT(TEXT(Tabla_producción_serigrafia[[#This Row],[FECHA]],"mmm"),3))</f>
        <v>ABR</v>
      </c>
      <c r="U128" s="20">
        <f>IFERROR(Tabla_producción_serigrafia[[#This Row],[CANTIDAD PRODUCIDA]]+Tabla_producción_serigrafia[[#This Row],[CANTIDAD RECHAZADA]],0)</f>
        <v>29996</v>
      </c>
    </row>
    <row r="129" spans="1:21" x14ac:dyDescent="0.25">
      <c r="A129" s="10">
        <v>46120</v>
      </c>
      <c r="B129" s="10" t="s">
        <v>58</v>
      </c>
      <c r="C129" s="1" t="s">
        <v>68</v>
      </c>
      <c r="D129" s="15">
        <v>0.33333333333333331</v>
      </c>
      <c r="E129" s="16">
        <v>0.54166666666666663</v>
      </c>
      <c r="F129" s="17">
        <f>ROUND((Tabla_producción_serigrafia[[#This Row],[FIN]]-Tabla_producción_serigrafia[[#This Row],[INICIO]]+(Tabla_producción_serigrafia[[#This Row],[FIN]]&lt;Tabla_producción_serigrafia[[#This Row],[INICIO]]))*24,2)</f>
        <v>5</v>
      </c>
      <c r="G129" s="18" t="s">
        <v>64</v>
      </c>
      <c r="H129" s="19" t="s">
        <v>38</v>
      </c>
      <c r="I129" s="7" t="str">
        <f>IFERROR(INDEX(Tabla_control_serigrafia[PRODUCTO],MATCH(Tabla_producción_serigrafia[[#This Row],[LOTE]],Tabla_control_serigrafia[LOTE],0)),"-")</f>
        <v>-</v>
      </c>
      <c r="J129" s="20" t="str">
        <f>IFERROR(INDEX(Tabla_control_serigrafia[FORMATO DE FRASCO],MATCH(Tabla_producción_serigrafia[[#This Row],[LOTE]],Tabla_control_serigrafia[LOTE],0)),"-")</f>
        <v>-</v>
      </c>
      <c r="K129" s="20" t="str">
        <f>IFERROR(INDEX(Tabla_control_serigrafia[TIPO DE FRASCO],MATCH(Tabla_producción_serigrafia[[#This Row],[LOTE]],Tabla_control_serigrafia[LOTE],0)),"-")</f>
        <v>-</v>
      </c>
      <c r="L129" t="str">
        <f>IF(Tabla_producción_serigrafia[[#This Row],[ACCIÓN]]="PRODUCCIÓN",Tabla_producción_serigrafia[[#This Row],[FORMATO DE FRASCO]]&amp;" "&amp;Tabla_producción_serigrafia[[#This Row],[TIPO DE FRASCO]],"-")</f>
        <v>-</v>
      </c>
      <c r="M129" s="21" t="str">
        <f>IFERROR(INDEX(Tabla_control_serigrafia[CANTIDAD PEDIDA],MATCH(Tabla_producción_serigrafia[[#This Row],[LOTE]],Tabla_control_serigrafia[LOTE],0)),"-")</f>
        <v>-</v>
      </c>
      <c r="N129" s="22">
        <v>0</v>
      </c>
      <c r="O129" s="19">
        <v>0</v>
      </c>
      <c r="P129" s="3">
        <v>0</v>
      </c>
      <c r="Q12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2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29" s="25" t="s">
        <v>134</v>
      </c>
      <c r="T129" s="20" t="str">
        <f>UPPER(LEFT(TEXT(Tabla_producción_serigrafia[[#This Row],[FECHA]],"mmm"),3))</f>
        <v>ABR</v>
      </c>
      <c r="U129" s="20">
        <f>IFERROR(Tabla_producción_serigrafia[[#This Row],[CANTIDAD PRODUCIDA]]+Tabla_producción_serigrafia[[#This Row],[CANTIDAD RECHAZADA]],0)</f>
        <v>0</v>
      </c>
    </row>
    <row r="130" spans="1:21" x14ac:dyDescent="0.25">
      <c r="A130" s="10">
        <v>46120</v>
      </c>
      <c r="B130" s="10" t="s">
        <v>58</v>
      </c>
      <c r="C130" s="1" t="s">
        <v>68</v>
      </c>
      <c r="D130" s="15">
        <v>0.54166666666666663</v>
      </c>
      <c r="E130" s="16">
        <v>0.5625</v>
      </c>
      <c r="F130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30" s="18" t="s">
        <v>57</v>
      </c>
      <c r="H130" s="19" t="s">
        <v>38</v>
      </c>
      <c r="I130" s="7" t="str">
        <f>IFERROR(INDEX(Tabla_control_serigrafia[PRODUCTO],MATCH(Tabla_producción_serigrafia[[#This Row],[LOTE]],Tabla_control_serigrafia[LOTE],0)),"-")</f>
        <v>-</v>
      </c>
      <c r="J130" s="20" t="str">
        <f>IFERROR(INDEX(Tabla_control_serigrafia[FORMATO DE FRASCO],MATCH(Tabla_producción_serigrafia[[#This Row],[LOTE]],Tabla_control_serigrafia[LOTE],0)),"-")</f>
        <v>-</v>
      </c>
      <c r="K130" s="20" t="str">
        <f>IFERROR(INDEX(Tabla_control_serigrafia[TIPO DE FRASCO],MATCH(Tabla_producción_serigrafia[[#This Row],[LOTE]],Tabla_control_serigrafia[LOTE],0)),"-")</f>
        <v>-</v>
      </c>
      <c r="L130" t="str">
        <f>IF(Tabla_producción_serigrafia[[#This Row],[ACCIÓN]]="PRODUCCIÓN",Tabla_producción_serigrafia[[#This Row],[FORMATO DE FRASCO]]&amp;" "&amp;Tabla_producción_serigrafia[[#This Row],[TIPO DE FRASCO]],"-")</f>
        <v>-</v>
      </c>
      <c r="M130" s="21" t="str">
        <f>IFERROR(INDEX(Tabla_control_serigrafia[CANTIDAD PEDIDA],MATCH(Tabla_producción_serigrafia[[#This Row],[LOTE]],Tabla_control_serigrafia[LOTE],0)),"-")</f>
        <v>-</v>
      </c>
      <c r="N130" s="22">
        <v>0</v>
      </c>
      <c r="O130" s="19">
        <v>0</v>
      </c>
      <c r="P130" s="3">
        <v>0</v>
      </c>
      <c r="Q13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3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30" s="25" t="s">
        <v>63</v>
      </c>
      <c r="T130" s="20" t="str">
        <f>UPPER(LEFT(TEXT(Tabla_producción_serigrafia[[#This Row],[FECHA]],"mmm"),3))</f>
        <v>ABR</v>
      </c>
      <c r="U130" s="20">
        <f>IFERROR(Tabla_producción_serigrafia[[#This Row],[CANTIDAD PRODUCIDA]]+Tabla_producción_serigrafia[[#This Row],[CANTIDAD RECHAZADA]],0)</f>
        <v>0</v>
      </c>
    </row>
    <row r="131" spans="1:21" x14ac:dyDescent="0.25">
      <c r="A131" s="10">
        <v>46120</v>
      </c>
      <c r="B131" s="10" t="s">
        <v>58</v>
      </c>
      <c r="C131" s="1" t="s">
        <v>68</v>
      </c>
      <c r="D131" s="15">
        <v>0.5625</v>
      </c>
      <c r="E131" s="16">
        <v>0.91666666666666663</v>
      </c>
      <c r="F131" s="17">
        <f>ROUND((Tabla_producción_serigrafia[[#This Row],[FIN]]-Tabla_producción_serigrafia[[#This Row],[INICIO]]+(Tabla_producción_serigrafia[[#This Row],[FIN]]&lt;Tabla_producción_serigrafia[[#This Row],[INICIO]]))*24,2)</f>
        <v>8.5</v>
      </c>
      <c r="G131" s="18" t="s">
        <v>56</v>
      </c>
      <c r="H131" s="19">
        <v>42669</v>
      </c>
      <c r="I131" s="7" t="str">
        <f>IFERROR(INDEX(Tabla_control_serigrafia[PRODUCTO],MATCH(Tabla_producción_serigrafia[[#This Row],[LOTE]],Tabla_control_serigrafia[LOTE],0)),"-")</f>
        <v>MEBENDAZOL 100 MG X 30 ML SUSP.</v>
      </c>
      <c r="J131" s="20" t="str">
        <f>IFERROR(INDEX(Tabla_control_serigrafia[FORMATO DE FRASCO],MATCH(Tabla_producción_serigrafia[[#This Row],[LOTE]],Tabla_control_serigrafia[LOTE],0)),"-")</f>
        <v>40 ML</v>
      </c>
      <c r="K131" s="20" t="str">
        <f>IFERROR(INDEX(Tabla_control_serigrafia[TIPO DE FRASCO],MATCH(Tabla_producción_serigrafia[[#This Row],[LOTE]],Tabla_control_serigrafia[LOTE],0)),"-")</f>
        <v>FRASCO BLANCO</v>
      </c>
      <c r="L131" t="str">
        <f>IF(Tabla_producción_serigrafia[[#This Row],[ACCIÓN]]="PRODUCCIÓN",Tabla_producción_serigrafia[[#This Row],[FORMATO DE FRASCO]]&amp;" "&amp;Tabla_producción_serigrafia[[#This Row],[TIPO DE FRASCO]],"-")</f>
        <v>40 ML FRASCO BLANCO</v>
      </c>
      <c r="M131" s="21">
        <f>IFERROR(INDEX(Tabla_control_serigrafia[CANTIDAD PEDIDA],MATCH(Tabla_producción_serigrafia[[#This Row],[LOTE]],Tabla_control_serigrafia[LOTE],0)),"-")</f>
        <v>14063</v>
      </c>
      <c r="N131" s="22">
        <v>14200</v>
      </c>
      <c r="O131" s="19">
        <v>160</v>
      </c>
      <c r="P131" s="23" t="s">
        <v>62</v>
      </c>
      <c r="Q13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14200</v>
      </c>
      <c r="R131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7</v>
      </c>
      <c r="S131" s="25" t="s">
        <v>38</v>
      </c>
      <c r="T131" s="20" t="str">
        <f>UPPER(LEFT(TEXT(Tabla_producción_serigrafia[[#This Row],[FECHA]],"mmm"),3))</f>
        <v>ABR</v>
      </c>
      <c r="U131" s="20">
        <f>IFERROR(Tabla_producción_serigrafia[[#This Row],[CANTIDAD PRODUCIDA]]+Tabla_producción_serigrafia[[#This Row],[CANTIDAD RECHAZADA]],0)</f>
        <v>14360</v>
      </c>
    </row>
    <row r="132" spans="1:21" x14ac:dyDescent="0.25">
      <c r="A132" s="10">
        <v>46121</v>
      </c>
      <c r="B132" s="10" t="s">
        <v>58</v>
      </c>
      <c r="C132" s="1" t="s">
        <v>68</v>
      </c>
      <c r="D132" s="15">
        <v>0.33333333333333331</v>
      </c>
      <c r="E132" s="16">
        <v>0.35416666666666669</v>
      </c>
      <c r="F132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32" s="18" t="s">
        <v>57</v>
      </c>
      <c r="H132" s="19" t="s">
        <v>38</v>
      </c>
      <c r="I132" s="7" t="str">
        <f>IFERROR(INDEX(Tabla_control_serigrafia[PRODUCTO],MATCH(Tabla_producción_serigrafia[[#This Row],[LOTE]],Tabla_control_serigrafia[LOTE],0)),"-")</f>
        <v>-</v>
      </c>
      <c r="J132" s="20" t="str">
        <f>IFERROR(INDEX(Tabla_control_serigrafia[FORMATO DE FRASCO],MATCH(Tabla_producción_serigrafia[[#This Row],[LOTE]],Tabla_control_serigrafia[LOTE],0)),"-")</f>
        <v>-</v>
      </c>
      <c r="K132" s="20" t="str">
        <f>IFERROR(INDEX(Tabla_control_serigrafia[TIPO DE FRASCO],MATCH(Tabla_producción_serigrafia[[#This Row],[LOTE]],Tabla_control_serigrafia[LOTE],0)),"-")</f>
        <v>-</v>
      </c>
      <c r="L132" t="str">
        <f>IF(Tabla_producción_serigrafia[[#This Row],[ACCIÓN]]="PRODUCCIÓN",Tabla_producción_serigrafia[[#This Row],[FORMATO DE FRASCO]]&amp;" "&amp;Tabla_producción_serigrafia[[#This Row],[TIPO DE FRASCO]],"-")</f>
        <v>-</v>
      </c>
      <c r="M132" s="21" t="str">
        <f>IFERROR(INDEX(Tabla_control_serigrafia[CANTIDAD PEDIDA],MATCH(Tabla_producción_serigrafia[[#This Row],[LOTE]],Tabla_control_serigrafia[LOTE],0)),"-")</f>
        <v>-</v>
      </c>
      <c r="N132" s="22">
        <v>0</v>
      </c>
      <c r="O132" s="19">
        <v>0</v>
      </c>
      <c r="P132" s="3">
        <v>0</v>
      </c>
      <c r="Q13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3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32" s="25" t="s">
        <v>63</v>
      </c>
      <c r="T132" s="20" t="str">
        <f>UPPER(LEFT(TEXT(Tabla_producción_serigrafia[[#This Row],[FECHA]],"mmm"),3))</f>
        <v>ABR</v>
      </c>
      <c r="U132" s="20">
        <f>IFERROR(Tabla_producción_serigrafia[[#This Row],[CANTIDAD PRODUCIDA]]+Tabla_producción_serigrafia[[#This Row],[CANTIDAD RECHAZADA]],0)</f>
        <v>0</v>
      </c>
    </row>
    <row r="133" spans="1:21" x14ac:dyDescent="0.25">
      <c r="A133" s="10">
        <v>46121</v>
      </c>
      <c r="B133" s="10" t="s">
        <v>58</v>
      </c>
      <c r="C133" s="1" t="s">
        <v>68</v>
      </c>
      <c r="D133" s="15">
        <v>0.35416666666666669</v>
      </c>
      <c r="E133" s="16">
        <v>0.4375</v>
      </c>
      <c r="F133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133" s="18" t="s">
        <v>56</v>
      </c>
      <c r="H133" s="19">
        <v>42672</v>
      </c>
      <c r="I133" s="7" t="str">
        <f>IFERROR(INDEX(Tabla_control_serigrafia[PRODUCTO],MATCH(Tabla_producción_serigrafia[[#This Row],[LOTE]],Tabla_control_serigrafia[LOTE],0)),"-")</f>
        <v>IFABENA 500 MG X 30 ML SUSP.</v>
      </c>
      <c r="J133" s="20" t="str">
        <f>IFERROR(INDEX(Tabla_control_serigrafia[FORMATO DE FRASCO],MATCH(Tabla_producción_serigrafia[[#This Row],[LOTE]],Tabla_control_serigrafia[LOTE],0)),"-")</f>
        <v>40 ML</v>
      </c>
      <c r="K133" s="20" t="str">
        <f>IFERROR(INDEX(Tabla_control_serigrafia[TIPO DE FRASCO],MATCH(Tabla_producción_serigrafia[[#This Row],[LOTE]],Tabla_control_serigrafia[LOTE],0)),"-")</f>
        <v>FRASCO BLANCO</v>
      </c>
      <c r="L133" t="str">
        <f>IF(Tabla_producción_serigrafia[[#This Row],[ACCIÓN]]="PRODUCCIÓN",Tabla_producción_serigrafia[[#This Row],[FORMATO DE FRASCO]]&amp;" "&amp;Tabla_producción_serigrafia[[#This Row],[TIPO DE FRASCO]],"-")</f>
        <v>40 ML FRASCO BLANCO</v>
      </c>
      <c r="M133" s="21">
        <f>IFERROR(INDEX(Tabla_control_serigrafia[CANTIDAD PEDIDA],MATCH(Tabla_producción_serigrafia[[#This Row],[LOTE]],Tabla_control_serigrafia[LOTE],0)),"-")</f>
        <v>3750</v>
      </c>
      <c r="N133" s="22">
        <v>3900</v>
      </c>
      <c r="O133" s="19">
        <v>69</v>
      </c>
      <c r="P133" s="23" t="s">
        <v>62</v>
      </c>
      <c r="Q13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3900</v>
      </c>
      <c r="R133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8</v>
      </c>
      <c r="S133" s="25" t="s">
        <v>38</v>
      </c>
      <c r="T133" s="20" t="str">
        <f>UPPER(LEFT(TEXT(Tabla_producción_serigrafia[[#This Row],[FECHA]],"mmm"),3))</f>
        <v>ABR</v>
      </c>
      <c r="U133" s="20">
        <f>IFERROR(Tabla_producción_serigrafia[[#This Row],[CANTIDAD PRODUCIDA]]+Tabla_producción_serigrafia[[#This Row],[CANTIDAD RECHAZADA]],0)</f>
        <v>3969</v>
      </c>
    </row>
    <row r="134" spans="1:21" x14ac:dyDescent="0.25">
      <c r="A134" s="10">
        <v>46121</v>
      </c>
      <c r="B134" s="10" t="s">
        <v>58</v>
      </c>
      <c r="C134" s="1" t="s">
        <v>68</v>
      </c>
      <c r="D134" s="15">
        <v>0.4375</v>
      </c>
      <c r="E134" s="16">
        <v>0.60416666666666663</v>
      </c>
      <c r="F134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134" s="18" t="s">
        <v>64</v>
      </c>
      <c r="H134" s="19" t="s">
        <v>38</v>
      </c>
      <c r="I134" s="7" t="str">
        <f>IFERROR(INDEX(Tabla_control_serigrafia[PRODUCTO],MATCH(Tabla_producción_serigrafia[[#This Row],[LOTE]],Tabla_control_serigrafia[LOTE],0)),"-")</f>
        <v>-</v>
      </c>
      <c r="J134" s="20" t="str">
        <f>IFERROR(INDEX(Tabla_control_serigrafia[FORMATO DE FRASCO],MATCH(Tabla_producción_serigrafia[[#This Row],[LOTE]],Tabla_control_serigrafia[LOTE],0)),"-")</f>
        <v>-</v>
      </c>
      <c r="K134" s="20" t="str">
        <f>IFERROR(INDEX(Tabla_control_serigrafia[TIPO DE FRASCO],MATCH(Tabla_producción_serigrafia[[#This Row],[LOTE]],Tabla_control_serigrafia[LOTE],0)),"-")</f>
        <v>-</v>
      </c>
      <c r="L134" t="str">
        <f>IF(Tabla_producción_serigrafia[[#This Row],[ACCIÓN]]="PRODUCCIÓN",Tabla_producción_serigrafia[[#This Row],[FORMATO DE FRASCO]]&amp;" "&amp;Tabla_producción_serigrafia[[#This Row],[TIPO DE FRASCO]],"-")</f>
        <v>-</v>
      </c>
      <c r="M134" s="21" t="str">
        <f>IFERROR(INDEX(Tabla_control_serigrafia[CANTIDAD PEDIDA],MATCH(Tabla_producción_serigrafia[[#This Row],[LOTE]],Tabla_control_serigrafia[LOTE],0)),"-")</f>
        <v>-</v>
      </c>
      <c r="N134" s="22">
        <v>0</v>
      </c>
      <c r="O134" s="19">
        <v>0</v>
      </c>
      <c r="P134" s="3">
        <v>0</v>
      </c>
      <c r="Q13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3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34" s="25" t="s">
        <v>135</v>
      </c>
      <c r="T134" s="20" t="str">
        <f>UPPER(LEFT(TEXT(Tabla_producción_serigrafia[[#This Row],[FECHA]],"mmm"),3))</f>
        <v>ABR</v>
      </c>
      <c r="U134" s="20">
        <f>IFERROR(Tabla_producción_serigrafia[[#This Row],[CANTIDAD PRODUCIDA]]+Tabla_producción_serigrafia[[#This Row],[CANTIDAD RECHAZADA]],0)</f>
        <v>0</v>
      </c>
    </row>
    <row r="135" spans="1:21" x14ac:dyDescent="0.25">
      <c r="A135" s="10">
        <v>46121</v>
      </c>
      <c r="B135" s="10" t="s">
        <v>58</v>
      </c>
      <c r="C135" s="1" t="s">
        <v>68</v>
      </c>
      <c r="D135" s="15">
        <v>0.60416666666666663</v>
      </c>
      <c r="E135" s="16">
        <v>0.625</v>
      </c>
      <c r="F135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35" s="18" t="s">
        <v>57</v>
      </c>
      <c r="H135" s="19" t="s">
        <v>38</v>
      </c>
      <c r="I135" s="7" t="str">
        <f>IFERROR(INDEX(Tabla_control_serigrafia[PRODUCTO],MATCH(Tabla_producción_serigrafia[[#This Row],[LOTE]],Tabla_control_serigrafia[LOTE],0)),"-")</f>
        <v>-</v>
      </c>
      <c r="J135" s="20" t="str">
        <f>IFERROR(INDEX(Tabla_control_serigrafia[FORMATO DE FRASCO],MATCH(Tabla_producción_serigrafia[[#This Row],[LOTE]],Tabla_control_serigrafia[LOTE],0)),"-")</f>
        <v>-</v>
      </c>
      <c r="K135" s="20" t="str">
        <f>IFERROR(INDEX(Tabla_control_serigrafia[TIPO DE FRASCO],MATCH(Tabla_producción_serigrafia[[#This Row],[LOTE]],Tabla_control_serigrafia[LOTE],0)),"-")</f>
        <v>-</v>
      </c>
      <c r="L135" t="str">
        <f>IF(Tabla_producción_serigrafia[[#This Row],[ACCIÓN]]="PRODUCCIÓN",Tabla_producción_serigrafia[[#This Row],[FORMATO DE FRASCO]]&amp;" "&amp;Tabla_producción_serigrafia[[#This Row],[TIPO DE FRASCO]],"-")</f>
        <v>-</v>
      </c>
      <c r="M135" s="21" t="str">
        <f>IFERROR(INDEX(Tabla_control_serigrafia[CANTIDAD PEDIDA],MATCH(Tabla_producción_serigrafia[[#This Row],[LOTE]],Tabla_control_serigrafia[LOTE],0)),"-")</f>
        <v>-</v>
      </c>
      <c r="N135" s="22">
        <v>0</v>
      </c>
      <c r="O135" s="19">
        <v>0</v>
      </c>
      <c r="P135" s="3">
        <v>0</v>
      </c>
      <c r="Q13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3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35" s="25" t="s">
        <v>63</v>
      </c>
      <c r="T135" s="20" t="str">
        <f>UPPER(LEFT(TEXT(Tabla_producción_serigrafia[[#This Row],[FECHA]],"mmm"),3))</f>
        <v>ABR</v>
      </c>
      <c r="U135" s="20">
        <f>IFERROR(Tabla_producción_serigrafia[[#This Row],[CANTIDAD PRODUCIDA]]+Tabla_producción_serigrafia[[#This Row],[CANTIDAD RECHAZADA]],0)</f>
        <v>0</v>
      </c>
    </row>
    <row r="136" spans="1:21" x14ac:dyDescent="0.25">
      <c r="A136" s="10">
        <v>46121</v>
      </c>
      <c r="B136" s="10" t="s">
        <v>58</v>
      </c>
      <c r="C136" s="1" t="s">
        <v>68</v>
      </c>
      <c r="D136" s="15">
        <v>0.625</v>
      </c>
      <c r="E136" s="16">
        <v>0.91666666666666663</v>
      </c>
      <c r="F136" s="17">
        <f>ROUND((Tabla_producción_serigrafia[[#This Row],[FIN]]-Tabla_producción_serigrafia[[#This Row],[INICIO]]+(Tabla_producción_serigrafia[[#This Row],[FIN]]&lt;Tabla_producción_serigrafia[[#This Row],[INICIO]]))*24,2)</f>
        <v>7</v>
      </c>
      <c r="G136" s="18" t="s">
        <v>56</v>
      </c>
      <c r="H136" s="19">
        <v>32606</v>
      </c>
      <c r="I136" s="7" t="str">
        <f>IFERROR(INDEX(Tabla_control_serigrafia[PRODUCTO],MATCH(Tabla_producción_serigrafia[[#This Row],[LOTE]],Tabla_control_serigrafia[LOTE],0)),"-")</f>
        <v>DOMPERIDONA 10 MG X 20 ML GOTAS</v>
      </c>
      <c r="J136" s="20" t="str">
        <f>IFERROR(INDEX(Tabla_control_serigrafia[FORMATO DE FRASCO],MATCH(Tabla_producción_serigrafia[[#This Row],[LOTE]],Tabla_control_serigrafia[LOTE],0)),"-")</f>
        <v>30 ML</v>
      </c>
      <c r="K136" s="20" t="str">
        <f>IFERROR(INDEX(Tabla_control_serigrafia[TIPO DE FRASCO],MATCH(Tabla_producción_serigrafia[[#This Row],[LOTE]],Tabla_control_serigrafia[LOTE],0)),"-")</f>
        <v>FRASCO BLANCO</v>
      </c>
      <c r="L136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36" s="21">
        <f>IFERROR(INDEX(Tabla_control_serigrafia[CANTIDAD PEDIDA],MATCH(Tabla_producción_serigrafia[[#This Row],[LOTE]],Tabla_control_serigrafia[LOTE],0)),"-")</f>
        <v>28570</v>
      </c>
      <c r="N136" s="22">
        <v>7500</v>
      </c>
      <c r="O136" s="19">
        <v>79</v>
      </c>
      <c r="P136" s="3" t="s">
        <v>178</v>
      </c>
      <c r="Q13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7500</v>
      </c>
      <c r="R13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36" s="25" t="s">
        <v>38</v>
      </c>
      <c r="T136" s="20" t="str">
        <f>UPPER(LEFT(TEXT(Tabla_producción_serigrafia[[#This Row],[FECHA]],"mmm"),3))</f>
        <v>ABR</v>
      </c>
      <c r="U136" s="20">
        <f>IFERROR(Tabla_producción_serigrafia[[#This Row],[CANTIDAD PRODUCIDA]]+Tabla_producción_serigrafia[[#This Row],[CANTIDAD RECHAZADA]],0)</f>
        <v>7579</v>
      </c>
    </row>
    <row r="137" spans="1:21" x14ac:dyDescent="0.25">
      <c r="A137" s="10">
        <v>46122</v>
      </c>
      <c r="B137" s="10" t="s">
        <v>58</v>
      </c>
      <c r="C137" s="1" t="s">
        <v>68</v>
      </c>
      <c r="D137" s="15">
        <v>0.33333333333333331</v>
      </c>
      <c r="E137" s="16">
        <v>0.35416666666666669</v>
      </c>
      <c r="F137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37" s="18" t="s">
        <v>57</v>
      </c>
      <c r="H137" s="19" t="s">
        <v>38</v>
      </c>
      <c r="I137" s="7" t="str">
        <f>IFERROR(INDEX(Tabla_control_serigrafia[PRODUCTO],MATCH(Tabla_producción_serigrafia[[#This Row],[LOTE]],Tabla_control_serigrafia[LOTE],0)),"-")</f>
        <v>-</v>
      </c>
      <c r="J137" s="20" t="str">
        <f>IFERROR(INDEX(Tabla_control_serigrafia[FORMATO DE FRASCO],MATCH(Tabla_producción_serigrafia[[#This Row],[LOTE]],Tabla_control_serigrafia[LOTE],0)),"-")</f>
        <v>-</v>
      </c>
      <c r="K137" s="20" t="str">
        <f>IFERROR(INDEX(Tabla_control_serigrafia[TIPO DE FRASCO],MATCH(Tabla_producción_serigrafia[[#This Row],[LOTE]],Tabla_control_serigrafia[LOTE],0)),"-")</f>
        <v>-</v>
      </c>
      <c r="L137" t="str">
        <f>IF(Tabla_producción_serigrafia[[#This Row],[ACCIÓN]]="PRODUCCIÓN",Tabla_producción_serigrafia[[#This Row],[FORMATO DE FRASCO]]&amp;" "&amp;Tabla_producción_serigrafia[[#This Row],[TIPO DE FRASCO]],"-")</f>
        <v>-</v>
      </c>
      <c r="M137" s="21" t="str">
        <f>IFERROR(INDEX(Tabla_control_serigrafia[CANTIDAD PEDIDA],MATCH(Tabla_producción_serigrafia[[#This Row],[LOTE]],Tabla_control_serigrafia[LOTE],0)),"-")</f>
        <v>-</v>
      </c>
      <c r="N137" s="22">
        <v>0</v>
      </c>
      <c r="O137" s="19">
        <v>0</v>
      </c>
      <c r="P137" s="3">
        <v>0</v>
      </c>
      <c r="Q13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3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37" s="25" t="s">
        <v>63</v>
      </c>
      <c r="T137" s="20" t="str">
        <f>UPPER(LEFT(TEXT(Tabla_producción_serigrafia[[#This Row],[FECHA]],"mmm"),3))</f>
        <v>ABR</v>
      </c>
      <c r="U137" s="20">
        <f>IFERROR(Tabla_producción_serigrafia[[#This Row],[CANTIDAD PRODUCIDA]]+Tabla_producción_serigrafia[[#This Row],[CANTIDAD RECHAZADA]],0)</f>
        <v>0</v>
      </c>
    </row>
    <row r="138" spans="1:21" x14ac:dyDescent="0.25">
      <c r="A138" s="10">
        <v>46122</v>
      </c>
      <c r="B138" s="10" t="s">
        <v>58</v>
      </c>
      <c r="C138" s="1" t="s">
        <v>68</v>
      </c>
      <c r="D138" s="15">
        <v>0.35416666666666669</v>
      </c>
      <c r="E138" s="16">
        <v>0.91666666666666663</v>
      </c>
      <c r="F138" s="17">
        <f>ROUND((Tabla_producción_serigrafia[[#This Row],[FIN]]-Tabla_producción_serigrafia[[#This Row],[INICIO]]+(Tabla_producción_serigrafia[[#This Row],[FIN]]&lt;Tabla_producción_serigrafia[[#This Row],[INICIO]]))*24,2)</f>
        <v>13.5</v>
      </c>
      <c r="G138" s="18" t="s">
        <v>56</v>
      </c>
      <c r="H138" s="19">
        <v>32606</v>
      </c>
      <c r="I138" s="7" t="str">
        <f>IFERROR(INDEX(Tabla_control_serigrafia[PRODUCTO],MATCH(Tabla_producción_serigrafia[[#This Row],[LOTE]],Tabla_control_serigrafia[LOTE],0)),"-")</f>
        <v>DOMPERIDONA 10 MG X 20 ML GOTAS</v>
      </c>
      <c r="J138" s="20" t="str">
        <f>IFERROR(INDEX(Tabla_control_serigrafia[FORMATO DE FRASCO],MATCH(Tabla_producción_serigrafia[[#This Row],[LOTE]],Tabla_control_serigrafia[LOTE],0)),"-")</f>
        <v>30 ML</v>
      </c>
      <c r="K138" s="20" t="str">
        <f>IFERROR(INDEX(Tabla_control_serigrafia[TIPO DE FRASCO],MATCH(Tabla_producción_serigrafia[[#This Row],[LOTE]],Tabla_control_serigrafia[LOTE],0)),"-")</f>
        <v>FRASCO BLANCO</v>
      </c>
      <c r="L138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38" s="21">
        <f>IFERROR(INDEX(Tabla_control_serigrafia[CANTIDAD PEDIDA],MATCH(Tabla_producción_serigrafia[[#This Row],[LOTE]],Tabla_control_serigrafia[LOTE],0)),"-")</f>
        <v>28570</v>
      </c>
      <c r="N138" s="22">
        <v>24000</v>
      </c>
      <c r="O138" s="19">
        <v>186</v>
      </c>
      <c r="P138" s="23" t="s">
        <v>62</v>
      </c>
      <c r="Q13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24000</v>
      </c>
      <c r="R13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39</v>
      </c>
      <c r="S138" s="25" t="s">
        <v>38</v>
      </c>
      <c r="T138" s="20" t="str">
        <f>UPPER(LEFT(TEXT(Tabla_producción_serigrafia[[#This Row],[FECHA]],"mmm"),3))</f>
        <v>ABR</v>
      </c>
      <c r="U138" s="20">
        <f>IFERROR(Tabla_producción_serigrafia[[#This Row],[CANTIDAD PRODUCIDA]]+Tabla_producción_serigrafia[[#This Row],[CANTIDAD RECHAZADA]],0)</f>
        <v>24186</v>
      </c>
    </row>
    <row r="139" spans="1:21" x14ac:dyDescent="0.25">
      <c r="A139" s="10">
        <v>46125</v>
      </c>
      <c r="B139" s="10" t="s">
        <v>58</v>
      </c>
      <c r="C139" s="1" t="s">
        <v>68</v>
      </c>
      <c r="D139" s="15">
        <v>0.33333333333333331</v>
      </c>
      <c r="E139" s="16">
        <v>0.35416666666666669</v>
      </c>
      <c r="F139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39" s="18" t="s">
        <v>57</v>
      </c>
      <c r="H139" s="19" t="s">
        <v>38</v>
      </c>
      <c r="I139" s="7" t="str">
        <f>IFERROR(INDEX(Tabla_control_serigrafia[PRODUCTO],MATCH(Tabla_producción_serigrafia[[#This Row],[LOTE]],Tabla_control_serigrafia[LOTE],0)),"-")</f>
        <v>-</v>
      </c>
      <c r="J139" s="20" t="str">
        <f>IFERROR(INDEX(Tabla_control_serigrafia[FORMATO DE FRASCO],MATCH(Tabla_producción_serigrafia[[#This Row],[LOTE]],Tabla_control_serigrafia[LOTE],0)),"-")</f>
        <v>-</v>
      </c>
      <c r="K139" s="20" t="str">
        <f>IFERROR(INDEX(Tabla_control_serigrafia[TIPO DE FRASCO],MATCH(Tabla_producción_serigrafia[[#This Row],[LOTE]],Tabla_control_serigrafia[LOTE],0)),"-")</f>
        <v>-</v>
      </c>
      <c r="L139" t="str">
        <f>IF(Tabla_producción_serigrafia[[#This Row],[ACCIÓN]]="PRODUCCIÓN",Tabla_producción_serigrafia[[#This Row],[FORMATO DE FRASCO]]&amp;" "&amp;Tabla_producción_serigrafia[[#This Row],[TIPO DE FRASCO]],"-")</f>
        <v>-</v>
      </c>
      <c r="M139" s="21" t="str">
        <f>IFERROR(INDEX(Tabla_control_serigrafia[CANTIDAD PEDIDA],MATCH(Tabla_producción_serigrafia[[#This Row],[LOTE]],Tabla_control_serigrafia[LOTE],0)),"-")</f>
        <v>-</v>
      </c>
      <c r="N139" s="22">
        <v>0</v>
      </c>
      <c r="O139" s="19">
        <v>0</v>
      </c>
      <c r="P139" s="3">
        <v>0</v>
      </c>
      <c r="Q13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3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39" s="25" t="s">
        <v>63</v>
      </c>
      <c r="T139" s="20" t="str">
        <f>UPPER(LEFT(TEXT(Tabla_producción_serigrafia[[#This Row],[FECHA]],"mmm"),3))</f>
        <v>ABR</v>
      </c>
      <c r="U139" s="20">
        <f>IFERROR(Tabla_producción_serigrafia[[#This Row],[CANTIDAD PRODUCIDA]]+Tabla_producción_serigrafia[[#This Row],[CANTIDAD RECHAZADA]],0)</f>
        <v>0</v>
      </c>
    </row>
    <row r="140" spans="1:21" x14ac:dyDescent="0.25">
      <c r="A140" s="10">
        <v>46125</v>
      </c>
      <c r="B140" s="10" t="s">
        <v>58</v>
      </c>
      <c r="C140" s="1" t="s">
        <v>68</v>
      </c>
      <c r="D140" s="15">
        <v>0.35416666666666669</v>
      </c>
      <c r="E140" s="16">
        <v>0.45833333333333331</v>
      </c>
      <c r="F140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140" s="18" t="s">
        <v>56</v>
      </c>
      <c r="H140" s="19">
        <v>16426</v>
      </c>
      <c r="I140" s="7" t="str">
        <f>IFERROR(INDEX(Tabla_control_serigrafia[PRODUCTO],MATCH(Tabla_producción_serigrafia[[#This Row],[LOTE]],Tabla_control_serigrafia[LOTE],0)),"-")</f>
        <v>METOCLOPRAMIDA X 20 ML GOTAS VETERINARIO</v>
      </c>
      <c r="J140" s="20" t="str">
        <f>IFERROR(INDEX(Tabla_control_serigrafia[FORMATO DE FRASCO],MATCH(Tabla_producción_serigrafia[[#This Row],[LOTE]],Tabla_control_serigrafia[LOTE],0)),"-")</f>
        <v>30 ML</v>
      </c>
      <c r="K140" s="20" t="str">
        <f>IFERROR(INDEX(Tabla_control_serigrafia[TIPO DE FRASCO],MATCH(Tabla_producción_serigrafia[[#This Row],[LOTE]],Tabla_control_serigrafia[LOTE],0)),"-")</f>
        <v>FRASCO BLANCO</v>
      </c>
      <c r="L140" t="str">
        <f>IF(Tabla_producción_serigrafia[[#This Row],[ACCIÓN]]="PRODUCCIÓN",Tabla_producción_serigrafia[[#This Row],[FORMATO DE FRASCO]]&amp;" "&amp;Tabla_producción_serigrafia[[#This Row],[TIPO DE FRASCO]],"-")</f>
        <v>30 ML FRASCO BLANCO</v>
      </c>
      <c r="M140" s="21">
        <f>IFERROR(INDEX(Tabla_control_serigrafia[CANTIDAD PEDIDA],MATCH(Tabla_producción_serigrafia[[#This Row],[LOTE]],Tabla_control_serigrafia[LOTE],0)),"-")</f>
        <v>2000</v>
      </c>
      <c r="N140" s="22">
        <v>2100</v>
      </c>
      <c r="O140" s="19">
        <v>65</v>
      </c>
      <c r="P140" s="23" t="s">
        <v>62</v>
      </c>
      <c r="Q14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2100</v>
      </c>
      <c r="R140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12</v>
      </c>
      <c r="S140" s="25" t="s">
        <v>38</v>
      </c>
      <c r="T140" s="20" t="str">
        <f>UPPER(LEFT(TEXT(Tabla_producción_serigrafia[[#This Row],[FECHA]],"mmm"),3))</f>
        <v>ABR</v>
      </c>
      <c r="U140" s="20">
        <f>IFERROR(Tabla_producción_serigrafia[[#This Row],[CANTIDAD PRODUCIDA]]+Tabla_producción_serigrafia[[#This Row],[CANTIDAD RECHAZADA]],0)</f>
        <v>2165</v>
      </c>
    </row>
    <row r="141" spans="1:21" x14ac:dyDescent="0.25">
      <c r="A141" s="10">
        <v>46125</v>
      </c>
      <c r="B141" s="10" t="s">
        <v>58</v>
      </c>
      <c r="C141" s="1" t="s">
        <v>68</v>
      </c>
      <c r="D141" s="15">
        <v>0.45833333333333331</v>
      </c>
      <c r="E141" s="16">
        <v>0.625</v>
      </c>
      <c r="F141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141" s="18" t="s">
        <v>64</v>
      </c>
      <c r="H141" s="19" t="s">
        <v>38</v>
      </c>
      <c r="I141" s="7" t="str">
        <f>IFERROR(INDEX(Tabla_control_serigrafia[PRODUCTO],MATCH(Tabla_producción_serigrafia[[#This Row],[LOTE]],Tabla_control_serigrafia[LOTE],0)),"-")</f>
        <v>-</v>
      </c>
      <c r="J141" s="20" t="str">
        <f>IFERROR(INDEX(Tabla_control_serigrafia[FORMATO DE FRASCO],MATCH(Tabla_producción_serigrafia[[#This Row],[LOTE]],Tabla_control_serigrafia[LOTE],0)),"-")</f>
        <v>-</v>
      </c>
      <c r="K141" s="20" t="str">
        <f>IFERROR(INDEX(Tabla_control_serigrafia[TIPO DE FRASCO],MATCH(Tabla_producción_serigrafia[[#This Row],[LOTE]],Tabla_control_serigrafia[LOTE],0)),"-")</f>
        <v>-</v>
      </c>
      <c r="L141" t="str">
        <f>IF(Tabla_producción_serigrafia[[#This Row],[ACCIÓN]]="PRODUCCIÓN",Tabla_producción_serigrafia[[#This Row],[FORMATO DE FRASCO]]&amp;" "&amp;Tabla_producción_serigrafia[[#This Row],[TIPO DE FRASCO]],"-")</f>
        <v>-</v>
      </c>
      <c r="M141" s="21" t="str">
        <f>IFERROR(INDEX(Tabla_control_serigrafia[CANTIDAD PEDIDA],MATCH(Tabla_producción_serigrafia[[#This Row],[LOTE]],Tabla_control_serigrafia[LOTE],0)),"-")</f>
        <v>-</v>
      </c>
      <c r="N141" s="22">
        <v>0</v>
      </c>
      <c r="O141" s="19">
        <v>0</v>
      </c>
      <c r="P141" s="3">
        <v>0</v>
      </c>
      <c r="Q14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4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1" s="25" t="s">
        <v>136</v>
      </c>
      <c r="T141" s="20" t="str">
        <f>UPPER(LEFT(TEXT(Tabla_producción_serigrafia[[#This Row],[FECHA]],"mmm"),3))</f>
        <v>ABR</v>
      </c>
      <c r="U141" s="20">
        <f>IFERROR(Tabla_producción_serigrafia[[#This Row],[CANTIDAD PRODUCIDA]]+Tabla_producción_serigrafia[[#This Row],[CANTIDAD RECHAZADA]],0)</f>
        <v>0</v>
      </c>
    </row>
    <row r="142" spans="1:21" x14ac:dyDescent="0.25">
      <c r="A142" s="10">
        <v>46125</v>
      </c>
      <c r="B142" s="10" t="s">
        <v>58</v>
      </c>
      <c r="C142" s="1" t="s">
        <v>68</v>
      </c>
      <c r="D142" s="15">
        <v>0.625</v>
      </c>
      <c r="E142" s="16">
        <v>0.64583333333333337</v>
      </c>
      <c r="F142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42" s="18" t="s">
        <v>57</v>
      </c>
      <c r="H142" s="19" t="s">
        <v>38</v>
      </c>
      <c r="I142" s="7" t="str">
        <f>IFERROR(INDEX(Tabla_control_serigrafia[PRODUCTO],MATCH(Tabla_producción_serigrafia[[#This Row],[LOTE]],Tabla_control_serigrafia[LOTE],0)),"-")</f>
        <v>-</v>
      </c>
      <c r="J142" s="20" t="str">
        <f>IFERROR(INDEX(Tabla_control_serigrafia[FORMATO DE FRASCO],MATCH(Tabla_producción_serigrafia[[#This Row],[LOTE]],Tabla_control_serigrafia[LOTE],0)),"-")</f>
        <v>-</v>
      </c>
      <c r="K142" s="20" t="str">
        <f>IFERROR(INDEX(Tabla_control_serigrafia[TIPO DE FRASCO],MATCH(Tabla_producción_serigrafia[[#This Row],[LOTE]],Tabla_control_serigrafia[LOTE],0)),"-")</f>
        <v>-</v>
      </c>
      <c r="L142" t="str">
        <f>IF(Tabla_producción_serigrafia[[#This Row],[ACCIÓN]]="PRODUCCIÓN",Tabla_producción_serigrafia[[#This Row],[FORMATO DE FRASCO]]&amp;" "&amp;Tabla_producción_serigrafia[[#This Row],[TIPO DE FRASCO]],"-")</f>
        <v>-</v>
      </c>
      <c r="M142" s="21" t="str">
        <f>IFERROR(INDEX(Tabla_control_serigrafia[CANTIDAD PEDIDA],MATCH(Tabla_producción_serigrafia[[#This Row],[LOTE]],Tabla_control_serigrafia[LOTE],0)),"-")</f>
        <v>-</v>
      </c>
      <c r="N142" s="22">
        <v>0</v>
      </c>
      <c r="O142" s="19">
        <v>0</v>
      </c>
      <c r="P142" s="3">
        <v>0</v>
      </c>
      <c r="Q14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4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2" s="25" t="s">
        <v>63</v>
      </c>
      <c r="T142" s="20" t="str">
        <f>UPPER(LEFT(TEXT(Tabla_producción_serigrafia[[#This Row],[FECHA]],"mmm"),3))</f>
        <v>ABR</v>
      </c>
      <c r="U142" s="20">
        <f>IFERROR(Tabla_producción_serigrafia[[#This Row],[CANTIDAD PRODUCIDA]]+Tabla_producción_serigrafia[[#This Row],[CANTIDAD RECHAZADA]],0)</f>
        <v>0</v>
      </c>
    </row>
    <row r="143" spans="1:21" x14ac:dyDescent="0.25">
      <c r="A143" s="10">
        <v>46125</v>
      </c>
      <c r="B143" s="10" t="s">
        <v>58</v>
      </c>
      <c r="C143" s="1" t="s">
        <v>68</v>
      </c>
      <c r="D143" s="15">
        <v>0.64583333333333337</v>
      </c>
      <c r="E143" s="16">
        <v>0.91666666666666663</v>
      </c>
      <c r="F143" s="17">
        <f>ROUND((Tabla_producción_serigrafia[[#This Row],[FIN]]-Tabla_producción_serigrafia[[#This Row],[INICIO]]+(Tabla_producción_serigrafia[[#This Row],[FIN]]&lt;Tabla_producción_serigrafia[[#This Row],[INICIO]]))*24,2)</f>
        <v>6.5</v>
      </c>
      <c r="G143" s="18" t="s">
        <v>56</v>
      </c>
      <c r="H143" s="19">
        <v>32637</v>
      </c>
      <c r="I143" s="7" t="str">
        <f>IFERROR(INDEX(Tabla_control_serigrafia[PRODUCTO],MATCH(Tabla_producción_serigrafia[[#This Row],[LOTE]],Tabla_control_serigrafia[LOTE],0)),"-")</f>
        <v>PARACETAMOL 100 MG X 15 ML GOTAS</v>
      </c>
      <c r="J143" s="20" t="str">
        <f>IFERROR(INDEX(Tabla_control_serigrafia[FORMATO DE FRASCO],MATCH(Tabla_producción_serigrafia[[#This Row],[LOTE]],Tabla_control_serigrafia[LOTE],0)),"-")</f>
        <v>15 ML</v>
      </c>
      <c r="K143" s="20" t="str">
        <f>IFERROR(INDEX(Tabla_control_serigrafia[TIPO DE FRASCO],MATCH(Tabla_producción_serigrafia[[#This Row],[LOTE]],Tabla_control_serigrafia[LOTE],0)),"-")</f>
        <v>FRASCO BLANCO</v>
      </c>
      <c r="L143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143" s="21">
        <f>IFERROR(INDEX(Tabla_control_serigrafia[CANTIDAD PEDIDA],MATCH(Tabla_producción_serigrafia[[#This Row],[LOTE]],Tabla_control_serigrafia[LOTE],0)),"-")</f>
        <v>37500</v>
      </c>
      <c r="N143" s="22">
        <v>6000</v>
      </c>
      <c r="O143" s="19">
        <v>60</v>
      </c>
      <c r="P143" s="3" t="s">
        <v>178</v>
      </c>
      <c r="Q14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6000</v>
      </c>
      <c r="R14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3" s="25" t="s">
        <v>38</v>
      </c>
      <c r="T143" s="20" t="str">
        <f>UPPER(LEFT(TEXT(Tabla_producción_serigrafia[[#This Row],[FECHA]],"mmm"),3))</f>
        <v>ABR</v>
      </c>
      <c r="U143" s="20">
        <f>IFERROR(Tabla_producción_serigrafia[[#This Row],[CANTIDAD PRODUCIDA]]+Tabla_producción_serigrafia[[#This Row],[CANTIDAD RECHAZADA]],0)</f>
        <v>6060</v>
      </c>
    </row>
    <row r="144" spans="1:21" x14ac:dyDescent="0.25">
      <c r="A144" s="10">
        <v>46126</v>
      </c>
      <c r="B144" s="10" t="s">
        <v>58</v>
      </c>
      <c r="C144" s="1" t="s">
        <v>68</v>
      </c>
      <c r="D144" s="15">
        <v>0.33333333333333331</v>
      </c>
      <c r="E144" s="16">
        <v>0.35416666666666669</v>
      </c>
      <c r="F144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44" s="18" t="s">
        <v>57</v>
      </c>
      <c r="H144" s="19" t="s">
        <v>38</v>
      </c>
      <c r="I144" s="7" t="str">
        <f>IFERROR(INDEX(Tabla_control_serigrafia[PRODUCTO],MATCH(Tabla_producción_serigrafia[[#This Row],[LOTE]],Tabla_control_serigrafia[LOTE],0)),"-")</f>
        <v>-</v>
      </c>
      <c r="J144" s="20" t="str">
        <f>IFERROR(INDEX(Tabla_control_serigrafia[FORMATO DE FRASCO],MATCH(Tabla_producción_serigrafia[[#This Row],[LOTE]],Tabla_control_serigrafia[LOTE],0)),"-")</f>
        <v>-</v>
      </c>
      <c r="K144" s="20" t="str">
        <f>IFERROR(INDEX(Tabla_control_serigrafia[TIPO DE FRASCO],MATCH(Tabla_producción_serigrafia[[#This Row],[LOTE]],Tabla_control_serigrafia[LOTE],0)),"-")</f>
        <v>-</v>
      </c>
      <c r="L144" t="str">
        <f>IF(Tabla_producción_serigrafia[[#This Row],[ACCIÓN]]="PRODUCCIÓN",Tabla_producción_serigrafia[[#This Row],[FORMATO DE FRASCO]]&amp;" "&amp;Tabla_producción_serigrafia[[#This Row],[TIPO DE FRASCO]],"-")</f>
        <v>-</v>
      </c>
      <c r="M144" s="21" t="str">
        <f>IFERROR(INDEX(Tabla_control_serigrafia[CANTIDAD PEDIDA],MATCH(Tabla_producción_serigrafia[[#This Row],[LOTE]],Tabla_control_serigrafia[LOTE],0)),"-")</f>
        <v>-</v>
      </c>
      <c r="N144" s="22">
        <v>0</v>
      </c>
      <c r="O144" s="19">
        <v>0</v>
      </c>
      <c r="P144" s="3">
        <v>0</v>
      </c>
      <c r="Q14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4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4" s="25" t="s">
        <v>63</v>
      </c>
      <c r="T144" s="20" t="str">
        <f>UPPER(LEFT(TEXT(Tabla_producción_serigrafia[[#This Row],[FECHA]],"mmm"),3))</f>
        <v>ABR</v>
      </c>
      <c r="U144" s="20">
        <f>IFERROR(Tabla_producción_serigrafia[[#This Row],[CANTIDAD PRODUCIDA]]+Tabla_producción_serigrafia[[#This Row],[CANTIDAD RECHAZADA]],0)</f>
        <v>0</v>
      </c>
    </row>
    <row r="145" spans="1:21" x14ac:dyDescent="0.25">
      <c r="A145" s="10">
        <v>46126</v>
      </c>
      <c r="B145" s="10" t="s">
        <v>58</v>
      </c>
      <c r="C145" s="1" t="s">
        <v>68</v>
      </c>
      <c r="D145" s="15">
        <v>0.35416666666666669</v>
      </c>
      <c r="E145" s="16">
        <v>0.91666666666666663</v>
      </c>
      <c r="F145" s="17">
        <f>ROUND((Tabla_producción_serigrafia[[#This Row],[FIN]]-Tabla_producción_serigrafia[[#This Row],[INICIO]]+(Tabla_producción_serigrafia[[#This Row],[FIN]]&lt;Tabla_producción_serigrafia[[#This Row],[INICIO]]))*24,2)</f>
        <v>13.5</v>
      </c>
      <c r="G145" s="18" t="s">
        <v>56</v>
      </c>
      <c r="H145" s="19">
        <v>32637</v>
      </c>
      <c r="I145" s="7" t="str">
        <f>IFERROR(INDEX(Tabla_control_serigrafia[PRODUCTO],MATCH(Tabla_producción_serigrafia[[#This Row],[LOTE]],Tabla_control_serigrafia[LOTE],0)),"-")</f>
        <v>PARACETAMOL 100 MG X 15 ML GOTAS</v>
      </c>
      <c r="J145" s="20" t="str">
        <f>IFERROR(INDEX(Tabla_control_serigrafia[FORMATO DE FRASCO],MATCH(Tabla_producción_serigrafia[[#This Row],[LOTE]],Tabla_control_serigrafia[LOTE],0)),"-")</f>
        <v>15 ML</v>
      </c>
      <c r="K145" s="20" t="str">
        <f>IFERROR(INDEX(Tabla_control_serigrafia[TIPO DE FRASCO],MATCH(Tabla_producción_serigrafia[[#This Row],[LOTE]],Tabla_control_serigrafia[LOTE],0)),"-")</f>
        <v>FRASCO BLANCO</v>
      </c>
      <c r="L145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145" s="21">
        <f>IFERROR(INDEX(Tabla_control_serigrafia[CANTIDAD PEDIDA],MATCH(Tabla_producción_serigrafia[[#This Row],[LOTE]],Tabla_control_serigrafia[LOTE],0)),"-")</f>
        <v>37500</v>
      </c>
      <c r="N145" s="22">
        <v>23000</v>
      </c>
      <c r="O145" s="19">
        <v>210</v>
      </c>
      <c r="P145" s="3" t="s">
        <v>178</v>
      </c>
      <c r="Q14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23000</v>
      </c>
      <c r="R14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5" s="25" t="s">
        <v>38</v>
      </c>
      <c r="T145" s="20" t="str">
        <f>UPPER(LEFT(TEXT(Tabla_producción_serigrafia[[#This Row],[FECHA]],"mmm"),3))</f>
        <v>ABR</v>
      </c>
      <c r="U145" s="20">
        <f>IFERROR(Tabla_producción_serigrafia[[#This Row],[CANTIDAD PRODUCIDA]]+Tabla_producción_serigrafia[[#This Row],[CANTIDAD RECHAZADA]],0)</f>
        <v>23210</v>
      </c>
    </row>
    <row r="146" spans="1:21" x14ac:dyDescent="0.25">
      <c r="A146" s="10">
        <v>46127</v>
      </c>
      <c r="B146" s="10" t="s">
        <v>58</v>
      </c>
      <c r="C146" s="1" t="s">
        <v>68</v>
      </c>
      <c r="D146" s="15">
        <v>0.33333333333333331</v>
      </c>
      <c r="E146" s="16">
        <v>0.35416666666666669</v>
      </c>
      <c r="F146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46" s="18" t="s">
        <v>57</v>
      </c>
      <c r="H146" s="19" t="s">
        <v>38</v>
      </c>
      <c r="I146" s="7" t="str">
        <f>IFERROR(INDEX(Tabla_control_serigrafia[PRODUCTO],MATCH(Tabla_producción_serigrafia[[#This Row],[LOTE]],Tabla_control_serigrafia[LOTE],0)),"-")</f>
        <v>-</v>
      </c>
      <c r="J146" s="20" t="str">
        <f>IFERROR(INDEX(Tabla_control_serigrafia[FORMATO DE FRASCO],MATCH(Tabla_producción_serigrafia[[#This Row],[LOTE]],Tabla_control_serigrafia[LOTE],0)),"-")</f>
        <v>-</v>
      </c>
      <c r="K146" s="20" t="str">
        <f>IFERROR(INDEX(Tabla_control_serigrafia[TIPO DE FRASCO],MATCH(Tabla_producción_serigrafia[[#This Row],[LOTE]],Tabla_control_serigrafia[LOTE],0)),"-")</f>
        <v>-</v>
      </c>
      <c r="L146" t="str">
        <f>IF(Tabla_producción_serigrafia[[#This Row],[ACCIÓN]]="PRODUCCIÓN",Tabla_producción_serigrafia[[#This Row],[FORMATO DE FRASCO]]&amp;" "&amp;Tabla_producción_serigrafia[[#This Row],[TIPO DE FRASCO]],"-")</f>
        <v>-</v>
      </c>
      <c r="M146" s="21" t="str">
        <f>IFERROR(INDEX(Tabla_control_serigrafia[CANTIDAD PEDIDA],MATCH(Tabla_producción_serigrafia[[#This Row],[LOTE]],Tabla_control_serigrafia[LOTE],0)),"-")</f>
        <v>-</v>
      </c>
      <c r="N146" s="22">
        <v>0</v>
      </c>
      <c r="O146" s="19">
        <v>0</v>
      </c>
      <c r="P146" s="23">
        <v>0</v>
      </c>
      <c r="Q14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4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6" s="25" t="s">
        <v>63</v>
      </c>
      <c r="T146" s="20" t="str">
        <f>UPPER(LEFT(TEXT(Tabla_producción_serigrafia[[#This Row],[FECHA]],"mmm"),3))</f>
        <v>ABR</v>
      </c>
      <c r="U146" s="20">
        <f>IFERROR(Tabla_producción_serigrafia[[#This Row],[CANTIDAD PRODUCIDA]]+Tabla_producción_serigrafia[[#This Row],[CANTIDAD RECHAZADA]],0)</f>
        <v>0</v>
      </c>
    </row>
    <row r="147" spans="1:21" x14ac:dyDescent="0.25">
      <c r="A147" s="10">
        <v>46127</v>
      </c>
      <c r="B147" s="10" t="s">
        <v>58</v>
      </c>
      <c r="C147" s="1" t="s">
        <v>68</v>
      </c>
      <c r="D147" s="15">
        <v>0.35416666666666669</v>
      </c>
      <c r="E147" s="16">
        <v>0.5</v>
      </c>
      <c r="F147" s="17">
        <f>ROUND((Tabla_producción_serigrafia[[#This Row],[FIN]]-Tabla_producción_serigrafia[[#This Row],[INICIO]]+(Tabla_producción_serigrafia[[#This Row],[FIN]]&lt;Tabla_producción_serigrafia[[#This Row],[INICIO]]))*24,2)</f>
        <v>3.5</v>
      </c>
      <c r="G147" s="18" t="s">
        <v>56</v>
      </c>
      <c r="H147" s="19">
        <v>32637</v>
      </c>
      <c r="I147" s="7" t="str">
        <f>IFERROR(INDEX(Tabla_control_serigrafia[PRODUCTO],MATCH(Tabla_producción_serigrafia[[#This Row],[LOTE]],Tabla_control_serigrafia[LOTE],0)),"-")</f>
        <v>PARACETAMOL 100 MG X 15 ML GOTAS</v>
      </c>
      <c r="J147" s="20" t="str">
        <f>IFERROR(INDEX(Tabla_control_serigrafia[FORMATO DE FRASCO],MATCH(Tabla_producción_serigrafia[[#This Row],[LOTE]],Tabla_control_serigrafia[LOTE],0)),"-")</f>
        <v>15 ML</v>
      </c>
      <c r="K147" s="20" t="str">
        <f>IFERROR(INDEX(Tabla_control_serigrafia[TIPO DE FRASCO],MATCH(Tabla_producción_serigrafia[[#This Row],[LOTE]],Tabla_control_serigrafia[LOTE],0)),"-")</f>
        <v>FRASCO BLANCO</v>
      </c>
      <c r="L147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147" s="21">
        <f>IFERROR(INDEX(Tabla_control_serigrafia[CANTIDAD PEDIDA],MATCH(Tabla_producción_serigrafia[[#This Row],[LOTE]],Tabla_control_serigrafia[LOTE],0)),"-")</f>
        <v>37500</v>
      </c>
      <c r="N147" s="22">
        <v>8800</v>
      </c>
      <c r="O147" s="19">
        <v>309</v>
      </c>
      <c r="P147" s="23" t="s">
        <v>62</v>
      </c>
      <c r="Q14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8800</v>
      </c>
      <c r="R147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44</v>
      </c>
      <c r="S147" s="25"/>
      <c r="T147" s="20" t="str">
        <f>UPPER(LEFT(TEXT(Tabla_producción_serigrafia[[#This Row],[FECHA]],"mmm"),3))</f>
        <v>ABR</v>
      </c>
      <c r="U147" s="20">
        <f>IFERROR(Tabla_producción_serigrafia[[#This Row],[CANTIDAD PRODUCIDA]]+Tabla_producción_serigrafia[[#This Row],[CANTIDAD RECHAZADA]],0)</f>
        <v>9109</v>
      </c>
    </row>
    <row r="148" spans="1:21" x14ac:dyDescent="0.25">
      <c r="A148" s="10">
        <v>46127</v>
      </c>
      <c r="B148" s="10" t="s">
        <v>58</v>
      </c>
      <c r="C148" s="1" t="s">
        <v>68</v>
      </c>
      <c r="D148" s="15">
        <v>0.5</v>
      </c>
      <c r="E148" s="16">
        <v>0.52083333333333337</v>
      </c>
      <c r="F148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48" s="18" t="s">
        <v>57</v>
      </c>
      <c r="H148" s="19" t="s">
        <v>38</v>
      </c>
      <c r="I148" s="7" t="str">
        <f>IFERROR(INDEX(Tabla_control_serigrafia[PRODUCTO],MATCH(Tabla_producción_serigrafia[[#This Row],[LOTE]],Tabla_control_serigrafia[LOTE],0)),"-")</f>
        <v>-</v>
      </c>
      <c r="J148" s="20" t="str">
        <f>IFERROR(INDEX(Tabla_control_serigrafia[FORMATO DE FRASCO],MATCH(Tabla_producción_serigrafia[[#This Row],[LOTE]],Tabla_control_serigrafia[LOTE],0)),"-")</f>
        <v>-</v>
      </c>
      <c r="K148" s="20" t="str">
        <f>IFERROR(INDEX(Tabla_control_serigrafia[TIPO DE FRASCO],MATCH(Tabla_producción_serigrafia[[#This Row],[LOTE]],Tabla_control_serigrafia[LOTE],0)),"-")</f>
        <v>-</v>
      </c>
      <c r="L148" t="str">
        <f>IF(Tabla_producción_serigrafia[[#This Row],[ACCIÓN]]="PRODUCCIÓN",Tabla_producción_serigrafia[[#This Row],[FORMATO DE FRASCO]]&amp;" "&amp;Tabla_producción_serigrafia[[#This Row],[TIPO DE FRASCO]],"-")</f>
        <v>-</v>
      </c>
      <c r="M148" s="21" t="str">
        <f>IFERROR(INDEX(Tabla_control_serigrafia[CANTIDAD PEDIDA],MATCH(Tabla_producción_serigrafia[[#This Row],[LOTE]],Tabla_control_serigrafia[LOTE],0)),"-")</f>
        <v>-</v>
      </c>
      <c r="N148" s="22">
        <v>0</v>
      </c>
      <c r="O148" s="19">
        <v>0</v>
      </c>
      <c r="P148" s="23">
        <v>0</v>
      </c>
      <c r="Q14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48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8" s="25" t="s">
        <v>63</v>
      </c>
      <c r="T148" s="20" t="str">
        <f>UPPER(LEFT(TEXT(Tabla_producción_serigrafia[[#This Row],[FECHA]],"mmm"),3))</f>
        <v>ABR</v>
      </c>
      <c r="U148" s="20">
        <f>IFERROR(Tabla_producción_serigrafia[[#This Row],[CANTIDAD PRODUCIDA]]+Tabla_producción_serigrafia[[#This Row],[CANTIDAD RECHAZADA]],0)</f>
        <v>0</v>
      </c>
    </row>
    <row r="149" spans="1:21" x14ac:dyDescent="0.25">
      <c r="A149" s="10">
        <v>46127</v>
      </c>
      <c r="B149" s="10" t="s">
        <v>58</v>
      </c>
      <c r="C149" s="1" t="s">
        <v>68</v>
      </c>
      <c r="D149" s="15">
        <v>0.52083333333333337</v>
      </c>
      <c r="E149" s="16">
        <v>0.91666666666666663</v>
      </c>
      <c r="F149" s="17">
        <f>ROUND((Tabla_producción_serigrafia[[#This Row],[FIN]]-Tabla_producción_serigrafia[[#This Row],[INICIO]]+(Tabla_producción_serigrafia[[#This Row],[FIN]]&lt;Tabla_producción_serigrafia[[#This Row],[INICIO]]))*24,2)</f>
        <v>9.5</v>
      </c>
      <c r="G149" s="18" t="s">
        <v>56</v>
      </c>
      <c r="H149" s="19">
        <v>32638</v>
      </c>
      <c r="I149" s="7" t="str">
        <f>IFERROR(INDEX(Tabla_control_serigrafia[PRODUCTO],MATCH(Tabla_producción_serigrafia[[#This Row],[LOTE]],Tabla_control_serigrafia[LOTE],0)),"-")</f>
        <v>PARACETAMOL 100 MG X 15 ML GOTAS</v>
      </c>
      <c r="J149" s="20" t="str">
        <f>IFERROR(INDEX(Tabla_control_serigrafia[FORMATO DE FRASCO],MATCH(Tabla_producción_serigrafia[[#This Row],[LOTE]],Tabla_control_serigrafia[LOTE],0)),"-")</f>
        <v>15 ML</v>
      </c>
      <c r="K149" s="20" t="str">
        <f>IFERROR(INDEX(Tabla_control_serigrafia[TIPO DE FRASCO],MATCH(Tabla_producción_serigrafia[[#This Row],[LOTE]],Tabla_control_serigrafia[LOTE],0)),"-")</f>
        <v>FRASCO BLANCO</v>
      </c>
      <c r="L149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149" s="21">
        <f>IFERROR(INDEX(Tabla_control_serigrafia[CANTIDAD PEDIDA],MATCH(Tabla_producción_serigrafia[[#This Row],[LOTE]],Tabla_control_serigrafia[LOTE],0)),"-")</f>
        <v>56250</v>
      </c>
      <c r="N149" s="22">
        <v>16000</v>
      </c>
      <c r="O149" s="19">
        <v>150</v>
      </c>
      <c r="P149" s="3" t="s">
        <v>178</v>
      </c>
      <c r="Q14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16000</v>
      </c>
      <c r="R14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49" s="25"/>
      <c r="T149" s="20" t="str">
        <f>UPPER(LEFT(TEXT(Tabla_producción_serigrafia[[#This Row],[FECHA]],"mmm"),3))</f>
        <v>ABR</v>
      </c>
      <c r="U149" s="20">
        <f>IFERROR(Tabla_producción_serigrafia[[#This Row],[CANTIDAD PRODUCIDA]]+Tabla_producción_serigrafia[[#This Row],[CANTIDAD RECHAZADA]],0)</f>
        <v>16150</v>
      </c>
    </row>
    <row r="150" spans="1:21" x14ac:dyDescent="0.25">
      <c r="A150" s="10">
        <v>46128</v>
      </c>
      <c r="B150" s="10" t="s">
        <v>58</v>
      </c>
      <c r="C150" s="1" t="s">
        <v>68</v>
      </c>
      <c r="D150" s="15">
        <v>0.33333333333333331</v>
      </c>
      <c r="E150" s="16">
        <v>0.35416666666666669</v>
      </c>
      <c r="F150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50" s="18" t="s">
        <v>57</v>
      </c>
      <c r="H150" s="19" t="s">
        <v>38</v>
      </c>
      <c r="I150" s="7" t="str">
        <f>IFERROR(INDEX(Tabla_control_serigrafia[PRODUCTO],MATCH(Tabla_producción_serigrafia[[#This Row],[LOTE]],Tabla_control_serigrafia[LOTE],0)),"-")</f>
        <v>-</v>
      </c>
      <c r="J150" s="20" t="str">
        <f>IFERROR(INDEX(Tabla_control_serigrafia[FORMATO DE FRASCO],MATCH(Tabla_producción_serigrafia[[#This Row],[LOTE]],Tabla_control_serigrafia[LOTE],0)),"-")</f>
        <v>-</v>
      </c>
      <c r="K150" s="20" t="str">
        <f>IFERROR(INDEX(Tabla_control_serigrafia[TIPO DE FRASCO],MATCH(Tabla_producción_serigrafia[[#This Row],[LOTE]],Tabla_control_serigrafia[LOTE],0)),"-")</f>
        <v>-</v>
      </c>
      <c r="L150" t="str">
        <f>IF(Tabla_producción_serigrafia[[#This Row],[ACCIÓN]]="PRODUCCIÓN",Tabla_producción_serigrafia[[#This Row],[FORMATO DE FRASCO]]&amp;" "&amp;Tabla_producción_serigrafia[[#This Row],[TIPO DE FRASCO]],"-")</f>
        <v>-</v>
      </c>
      <c r="M150" s="21" t="str">
        <f>IFERROR(INDEX(Tabla_control_serigrafia[CANTIDAD PEDIDA],MATCH(Tabla_producción_serigrafia[[#This Row],[LOTE]],Tabla_control_serigrafia[LOTE],0)),"-")</f>
        <v>-</v>
      </c>
      <c r="N150" s="22">
        <v>0</v>
      </c>
      <c r="O150" s="19">
        <v>0</v>
      </c>
      <c r="P150" s="23">
        <v>0</v>
      </c>
      <c r="Q15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5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50" s="25" t="s">
        <v>63</v>
      </c>
      <c r="T150" s="20" t="str">
        <f>UPPER(LEFT(TEXT(Tabla_producción_serigrafia[[#This Row],[FECHA]],"mmm"),3))</f>
        <v>ABR</v>
      </c>
      <c r="U150" s="20">
        <f>IFERROR(Tabla_producción_serigrafia[[#This Row],[CANTIDAD PRODUCIDA]]+Tabla_producción_serigrafia[[#This Row],[CANTIDAD RECHAZADA]],0)</f>
        <v>0</v>
      </c>
    </row>
    <row r="151" spans="1:21" x14ac:dyDescent="0.25">
      <c r="A151" s="10">
        <v>46128</v>
      </c>
      <c r="B151" s="10" t="s">
        <v>58</v>
      </c>
      <c r="C151" s="1" t="s">
        <v>68</v>
      </c>
      <c r="D151" s="15">
        <v>0.35416666666666669</v>
      </c>
      <c r="E151" s="16">
        <v>0.52083333333333337</v>
      </c>
      <c r="F151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151" s="18" t="s">
        <v>56</v>
      </c>
      <c r="H151" s="19">
        <v>15426</v>
      </c>
      <c r="I151" s="7" t="str">
        <f>IFERROR(INDEX(Tabla_control_serigrafia[PRODUCTO],MATCH(Tabla_producción_serigrafia[[#This Row],[LOTE]],Tabla_control_serigrafia[LOTE],0)),"-")</f>
        <v>LEVOCAN X 15 ML GOTAS VETERINARIO</v>
      </c>
      <c r="J151" s="20" t="str">
        <f>IFERROR(INDEX(Tabla_control_serigrafia[FORMATO DE FRASCO],MATCH(Tabla_producción_serigrafia[[#This Row],[LOTE]],Tabla_control_serigrafia[LOTE],0)),"-")</f>
        <v>15 ML</v>
      </c>
      <c r="K151" s="20" t="str">
        <f>IFERROR(INDEX(Tabla_control_serigrafia[TIPO DE FRASCO],MATCH(Tabla_producción_serigrafia[[#This Row],[LOTE]],Tabla_control_serigrafia[LOTE],0)),"-")</f>
        <v>FRASCO BLANCO</v>
      </c>
      <c r="L151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151" s="21">
        <f>IFERROR(INDEX(Tabla_control_serigrafia[CANTIDAD PEDIDA],MATCH(Tabla_producción_serigrafia[[#This Row],[LOTE]],Tabla_control_serigrafia[LOTE],0)),"-")</f>
        <v>7500</v>
      </c>
      <c r="N151" s="22">
        <v>7800</v>
      </c>
      <c r="O151" s="19">
        <v>102</v>
      </c>
      <c r="P151" s="23" t="s">
        <v>62</v>
      </c>
      <c r="Q15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7800</v>
      </c>
      <c r="R151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15</v>
      </c>
      <c r="S151" s="25"/>
      <c r="T151" s="20" t="str">
        <f>UPPER(LEFT(TEXT(Tabla_producción_serigrafia[[#This Row],[FECHA]],"mmm"),3))</f>
        <v>ABR</v>
      </c>
      <c r="U151" s="20">
        <f>IFERROR(Tabla_producción_serigrafia[[#This Row],[CANTIDAD PRODUCIDA]]+Tabla_producción_serigrafia[[#This Row],[CANTIDAD RECHAZADA]],0)</f>
        <v>7902</v>
      </c>
    </row>
    <row r="152" spans="1:21" x14ac:dyDescent="0.25">
      <c r="A152" s="10">
        <v>46128</v>
      </c>
      <c r="B152" s="10" t="s">
        <v>58</v>
      </c>
      <c r="C152" s="1" t="s">
        <v>68</v>
      </c>
      <c r="D152" s="15">
        <v>0.52083333333333337</v>
      </c>
      <c r="E152" s="16">
        <v>0.54166666666666663</v>
      </c>
      <c r="F152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52" s="18" t="s">
        <v>57</v>
      </c>
      <c r="H152" s="19" t="s">
        <v>38</v>
      </c>
      <c r="I152" s="7" t="str">
        <f>IFERROR(INDEX(Tabla_control_serigrafia[PRODUCTO],MATCH(Tabla_producción_serigrafia[[#This Row],[LOTE]],Tabla_control_serigrafia[LOTE],0)),"-")</f>
        <v>-</v>
      </c>
      <c r="J152" s="20" t="str">
        <f>IFERROR(INDEX(Tabla_control_serigrafia[FORMATO DE FRASCO],MATCH(Tabla_producción_serigrafia[[#This Row],[LOTE]],Tabla_control_serigrafia[LOTE],0)),"-")</f>
        <v>-</v>
      </c>
      <c r="K152" s="20" t="str">
        <f>IFERROR(INDEX(Tabla_control_serigrafia[TIPO DE FRASCO],MATCH(Tabla_producción_serigrafia[[#This Row],[LOTE]],Tabla_control_serigrafia[LOTE],0)),"-")</f>
        <v>-</v>
      </c>
      <c r="L152" t="str">
        <f>IF(Tabla_producción_serigrafia[[#This Row],[ACCIÓN]]="PRODUCCIÓN",Tabla_producción_serigrafia[[#This Row],[FORMATO DE FRASCO]]&amp;" "&amp;Tabla_producción_serigrafia[[#This Row],[TIPO DE FRASCO]],"-")</f>
        <v>-</v>
      </c>
      <c r="M152" s="21" t="str">
        <f>IFERROR(INDEX(Tabla_control_serigrafia[CANTIDAD PEDIDA],MATCH(Tabla_producción_serigrafia[[#This Row],[LOTE]],Tabla_control_serigrafia[LOTE],0)),"-")</f>
        <v>-</v>
      </c>
      <c r="N152" s="22">
        <v>0</v>
      </c>
      <c r="O152" s="19">
        <v>0</v>
      </c>
      <c r="P152" s="23">
        <v>0</v>
      </c>
      <c r="Q15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5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52" s="25" t="s">
        <v>63</v>
      </c>
      <c r="T152" s="20" t="str">
        <f>UPPER(LEFT(TEXT(Tabla_producción_serigrafia[[#This Row],[FECHA]],"mmm"),3))</f>
        <v>ABR</v>
      </c>
      <c r="U152" s="20">
        <f>IFERROR(Tabla_producción_serigrafia[[#This Row],[CANTIDAD PRODUCIDA]]+Tabla_producción_serigrafia[[#This Row],[CANTIDAD RECHAZADA]],0)</f>
        <v>0</v>
      </c>
    </row>
    <row r="153" spans="1:21" x14ac:dyDescent="0.25">
      <c r="A153" s="10">
        <v>46128</v>
      </c>
      <c r="B153" s="10" t="s">
        <v>58</v>
      </c>
      <c r="C153" s="1" t="s">
        <v>68</v>
      </c>
      <c r="D153" s="15">
        <v>0.54166666666666663</v>
      </c>
      <c r="E153" s="16">
        <v>0.91666666666666663</v>
      </c>
      <c r="F153" s="17">
        <f>ROUND((Tabla_producción_serigrafia[[#This Row],[FIN]]-Tabla_producción_serigrafia[[#This Row],[INICIO]]+(Tabla_producción_serigrafia[[#This Row],[FIN]]&lt;Tabla_producción_serigrafia[[#This Row],[INICIO]]))*24,2)</f>
        <v>9</v>
      </c>
      <c r="G153" s="18" t="s">
        <v>56</v>
      </c>
      <c r="H153" s="19">
        <v>32638</v>
      </c>
      <c r="I153" s="7" t="str">
        <f>IFERROR(INDEX(Tabla_control_serigrafia[PRODUCTO],MATCH(Tabla_producción_serigrafia[[#This Row],[LOTE]],Tabla_control_serigrafia[LOTE],0)),"-")</f>
        <v>PARACETAMOL 100 MG X 15 ML GOTAS</v>
      </c>
      <c r="J153" s="20" t="str">
        <f>IFERROR(INDEX(Tabla_control_serigrafia[FORMATO DE FRASCO],MATCH(Tabla_producción_serigrafia[[#This Row],[LOTE]],Tabla_control_serigrafia[LOTE],0)),"-")</f>
        <v>15 ML</v>
      </c>
      <c r="K153" s="20" t="str">
        <f>IFERROR(INDEX(Tabla_control_serigrafia[TIPO DE FRASCO],MATCH(Tabla_producción_serigrafia[[#This Row],[LOTE]],Tabla_control_serigrafia[LOTE],0)),"-")</f>
        <v>FRASCO BLANCO</v>
      </c>
      <c r="L153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153" s="21">
        <f>IFERROR(INDEX(Tabla_control_serigrafia[CANTIDAD PEDIDA],MATCH(Tabla_producción_serigrafia[[#This Row],[LOTE]],Tabla_control_serigrafia[LOTE],0)),"-")</f>
        <v>56250</v>
      </c>
      <c r="N153" s="22">
        <v>16000</v>
      </c>
      <c r="O153" s="19">
        <v>140</v>
      </c>
      <c r="P153" s="3" t="s">
        <v>178</v>
      </c>
      <c r="Q15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16000</v>
      </c>
      <c r="R15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53" s="25"/>
      <c r="T153" s="20" t="str">
        <f>UPPER(LEFT(TEXT(Tabla_producción_serigrafia[[#This Row],[FECHA]],"mmm"),3))</f>
        <v>ABR</v>
      </c>
      <c r="U153" s="20">
        <f>IFERROR(Tabla_producción_serigrafia[[#This Row],[CANTIDAD PRODUCIDA]]+Tabla_producción_serigrafia[[#This Row],[CANTIDAD RECHAZADA]],0)</f>
        <v>16140</v>
      </c>
    </row>
    <row r="154" spans="1:21" x14ac:dyDescent="0.25">
      <c r="A154" s="10">
        <v>46129</v>
      </c>
      <c r="B154" s="10" t="s">
        <v>58</v>
      </c>
      <c r="C154" s="1" t="s">
        <v>68</v>
      </c>
      <c r="D154" s="15">
        <v>0.33333333333333331</v>
      </c>
      <c r="E154" s="16">
        <v>0.34722222222222227</v>
      </c>
      <c r="F154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54" s="18" t="s">
        <v>57</v>
      </c>
      <c r="H154" s="19" t="s">
        <v>38</v>
      </c>
      <c r="I154" s="7" t="str">
        <f>IFERROR(INDEX(Tabla_control_serigrafia[PRODUCTO],MATCH(Tabla_producción_serigrafia[[#This Row],[LOTE]],Tabla_control_serigrafia[LOTE],0)),"-")</f>
        <v>-</v>
      </c>
      <c r="J154" s="20" t="str">
        <f>IFERROR(INDEX(Tabla_control_serigrafia[FORMATO DE FRASCO],MATCH(Tabla_producción_serigrafia[[#This Row],[LOTE]],Tabla_control_serigrafia[LOTE],0)),"-")</f>
        <v>-</v>
      </c>
      <c r="K154" s="20" t="str">
        <f>IFERROR(INDEX(Tabla_control_serigrafia[TIPO DE FRASCO],MATCH(Tabla_producción_serigrafia[[#This Row],[LOTE]],Tabla_control_serigrafia[LOTE],0)),"-")</f>
        <v>-</v>
      </c>
      <c r="L154" t="str">
        <f>IF(Tabla_producción_serigrafia[[#This Row],[ACCIÓN]]="PRODUCCIÓN",Tabla_producción_serigrafia[[#This Row],[FORMATO DE FRASCO]]&amp;" "&amp;Tabla_producción_serigrafia[[#This Row],[TIPO DE FRASCO]],"-")</f>
        <v>-</v>
      </c>
      <c r="M154" s="21" t="str">
        <f>IFERROR(INDEX(Tabla_control_serigrafia[CANTIDAD PEDIDA],MATCH(Tabla_producción_serigrafia[[#This Row],[LOTE]],Tabla_control_serigrafia[LOTE],0)),"-")</f>
        <v>-</v>
      </c>
      <c r="N154" s="22">
        <v>0</v>
      </c>
      <c r="O154" s="19">
        <v>0</v>
      </c>
      <c r="P154" s="23">
        <v>0</v>
      </c>
      <c r="Q15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5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54" s="25" t="s">
        <v>63</v>
      </c>
      <c r="T154" s="20" t="str">
        <f>UPPER(LEFT(TEXT(Tabla_producción_serigrafia[[#This Row],[FECHA]],"mmm"),3))</f>
        <v>ABR</v>
      </c>
      <c r="U154" s="20">
        <f>IFERROR(Tabla_producción_serigrafia[[#This Row],[CANTIDAD PRODUCIDA]]+Tabla_producción_serigrafia[[#This Row],[CANTIDAD RECHAZADA]],0)</f>
        <v>0</v>
      </c>
    </row>
    <row r="155" spans="1:21" x14ac:dyDescent="0.25">
      <c r="A155" s="10">
        <v>46129</v>
      </c>
      <c r="B155" s="10" t="s">
        <v>58</v>
      </c>
      <c r="C155" s="1" t="s">
        <v>68</v>
      </c>
      <c r="D155" s="15">
        <v>0.34722222222222227</v>
      </c>
      <c r="E155" s="16">
        <v>0.91666666666666663</v>
      </c>
      <c r="F155" s="17">
        <f>ROUND((Tabla_producción_serigrafia[[#This Row],[FIN]]-Tabla_producción_serigrafia[[#This Row],[INICIO]]+(Tabla_producción_serigrafia[[#This Row],[FIN]]&lt;Tabla_producción_serigrafia[[#This Row],[INICIO]]))*24,2)</f>
        <v>13.67</v>
      </c>
      <c r="G155" s="18" t="s">
        <v>56</v>
      </c>
      <c r="H155" s="19">
        <v>32638</v>
      </c>
      <c r="I155" s="7" t="str">
        <f>IFERROR(INDEX(Tabla_control_serigrafia[PRODUCTO],MATCH(Tabla_producción_serigrafia[[#This Row],[LOTE]],Tabla_control_serigrafia[LOTE],0)),"-")</f>
        <v>PARACETAMOL 100 MG X 15 ML GOTAS</v>
      </c>
      <c r="J155" s="20" t="str">
        <f>IFERROR(INDEX(Tabla_control_serigrafia[FORMATO DE FRASCO],MATCH(Tabla_producción_serigrafia[[#This Row],[LOTE]],Tabla_control_serigrafia[LOTE],0)),"-")</f>
        <v>15 ML</v>
      </c>
      <c r="K155" s="20" t="str">
        <f>IFERROR(INDEX(Tabla_control_serigrafia[TIPO DE FRASCO],MATCH(Tabla_producción_serigrafia[[#This Row],[LOTE]],Tabla_control_serigrafia[LOTE],0)),"-")</f>
        <v>FRASCO BLANCO</v>
      </c>
      <c r="L155" t="str">
        <f>IF(Tabla_producción_serigrafia[[#This Row],[ACCIÓN]]="PRODUCCIÓN",Tabla_producción_serigrafia[[#This Row],[FORMATO DE FRASCO]]&amp;" "&amp;Tabla_producción_serigrafia[[#This Row],[TIPO DE FRASCO]],"-")</f>
        <v>15 ML FRASCO BLANCO</v>
      </c>
      <c r="M155" s="21">
        <f>IFERROR(INDEX(Tabla_control_serigrafia[CANTIDAD PEDIDA],MATCH(Tabla_producción_serigrafia[[#This Row],[LOTE]],Tabla_control_serigrafia[LOTE],0)),"-")</f>
        <v>56250</v>
      </c>
      <c r="N155" s="22">
        <v>24600</v>
      </c>
      <c r="O155" s="19">
        <v>450</v>
      </c>
      <c r="P155" s="23" t="s">
        <v>62</v>
      </c>
      <c r="Q15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24600</v>
      </c>
      <c r="R155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46</v>
      </c>
      <c r="S155" s="25"/>
      <c r="T155" s="20" t="str">
        <f>UPPER(LEFT(TEXT(Tabla_producción_serigrafia[[#This Row],[FECHA]],"mmm"),3))</f>
        <v>ABR</v>
      </c>
      <c r="U155" s="20">
        <f>IFERROR(Tabla_producción_serigrafia[[#This Row],[CANTIDAD PRODUCIDA]]+Tabla_producción_serigrafia[[#This Row],[CANTIDAD RECHAZADA]],0)</f>
        <v>25050</v>
      </c>
    </row>
    <row r="156" spans="1:21" x14ac:dyDescent="0.25">
      <c r="A156" s="10">
        <v>46132</v>
      </c>
      <c r="B156" s="10" t="s">
        <v>58</v>
      </c>
      <c r="C156" s="1" t="s">
        <v>68</v>
      </c>
      <c r="D156" s="15">
        <v>0.33333333333333331</v>
      </c>
      <c r="E156" s="16">
        <v>0.52083333333333337</v>
      </c>
      <c r="F156" s="17">
        <f>ROUND((Tabla_producción_serigrafia[[#This Row],[FIN]]-Tabla_producción_serigrafia[[#This Row],[INICIO]]+(Tabla_producción_serigrafia[[#This Row],[FIN]]&lt;Tabla_producción_serigrafia[[#This Row],[INICIO]]))*24,2)</f>
        <v>4.5</v>
      </c>
      <c r="G156" s="18" t="s">
        <v>64</v>
      </c>
      <c r="H156" s="19" t="s">
        <v>38</v>
      </c>
      <c r="I156" s="7" t="str">
        <f>IFERROR(INDEX(Tabla_control_serigrafia[PRODUCTO],MATCH(Tabla_producción_serigrafia[[#This Row],[LOTE]],Tabla_control_serigrafia[LOTE],0)),"-")</f>
        <v>-</v>
      </c>
      <c r="J156" s="20" t="str">
        <f>IFERROR(INDEX(Tabla_control_serigrafia[FORMATO DE FRASCO],MATCH(Tabla_producción_serigrafia[[#This Row],[LOTE]],Tabla_control_serigrafia[LOTE],0)),"-")</f>
        <v>-</v>
      </c>
      <c r="K156" s="20" t="str">
        <f>IFERROR(INDEX(Tabla_control_serigrafia[TIPO DE FRASCO],MATCH(Tabla_producción_serigrafia[[#This Row],[LOTE]],Tabla_control_serigrafia[LOTE],0)),"-")</f>
        <v>-</v>
      </c>
      <c r="L156" t="str">
        <f>IF(Tabla_producción_serigrafia[[#This Row],[ACCIÓN]]="PRODUCCIÓN",Tabla_producción_serigrafia[[#This Row],[FORMATO DE FRASCO]]&amp;" "&amp;Tabla_producción_serigrafia[[#This Row],[TIPO DE FRASCO]],"-")</f>
        <v>-</v>
      </c>
      <c r="M156" s="21" t="str">
        <f>IFERROR(INDEX(Tabla_control_serigrafia[CANTIDAD PEDIDA],MATCH(Tabla_producción_serigrafia[[#This Row],[LOTE]],Tabla_control_serigrafia[LOTE],0)),"-")</f>
        <v>-</v>
      </c>
      <c r="N156" s="22">
        <v>0</v>
      </c>
      <c r="O156" s="19">
        <v>0</v>
      </c>
      <c r="P156" s="23">
        <v>0</v>
      </c>
      <c r="Q15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5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56" s="25" t="s">
        <v>139</v>
      </c>
      <c r="T156" s="20" t="str">
        <f>UPPER(LEFT(TEXT(Tabla_producción_serigrafia[[#This Row],[FECHA]],"mmm"),3))</f>
        <v>ABR</v>
      </c>
      <c r="U156" s="20">
        <f>IFERROR(Tabla_producción_serigrafia[[#This Row],[CANTIDAD PRODUCIDA]]+Tabla_producción_serigrafia[[#This Row],[CANTIDAD RECHAZADA]],0)</f>
        <v>0</v>
      </c>
    </row>
    <row r="157" spans="1:21" x14ac:dyDescent="0.25">
      <c r="A157" s="10">
        <v>46132</v>
      </c>
      <c r="B157" s="10" t="s">
        <v>58</v>
      </c>
      <c r="C157" s="1" t="s">
        <v>68</v>
      </c>
      <c r="D157" s="15">
        <v>0.52083333333333337</v>
      </c>
      <c r="E157" s="16">
        <v>0.54166666666666663</v>
      </c>
      <c r="F157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57" s="18" t="s">
        <v>57</v>
      </c>
      <c r="H157" s="19" t="s">
        <v>38</v>
      </c>
      <c r="I157" s="7" t="str">
        <f>IFERROR(INDEX(Tabla_control_serigrafia[PRODUCTO],MATCH(Tabla_producción_serigrafia[[#This Row],[LOTE]],Tabla_control_serigrafia[LOTE],0)),"-")</f>
        <v>-</v>
      </c>
      <c r="J157" s="20" t="str">
        <f>IFERROR(INDEX(Tabla_control_serigrafia[FORMATO DE FRASCO],MATCH(Tabla_producción_serigrafia[[#This Row],[LOTE]],Tabla_control_serigrafia[LOTE],0)),"-")</f>
        <v>-</v>
      </c>
      <c r="K157" s="20" t="str">
        <f>IFERROR(INDEX(Tabla_control_serigrafia[TIPO DE FRASCO],MATCH(Tabla_producción_serigrafia[[#This Row],[LOTE]],Tabla_control_serigrafia[LOTE],0)),"-")</f>
        <v>-</v>
      </c>
      <c r="L157" t="str">
        <f>IF(Tabla_producción_serigrafia[[#This Row],[ACCIÓN]]="PRODUCCIÓN",Tabla_producción_serigrafia[[#This Row],[FORMATO DE FRASCO]]&amp;" "&amp;Tabla_producción_serigrafia[[#This Row],[TIPO DE FRASCO]],"-")</f>
        <v>-</v>
      </c>
      <c r="M157" s="21" t="str">
        <f>IFERROR(INDEX(Tabla_control_serigrafia[CANTIDAD PEDIDA],MATCH(Tabla_producción_serigrafia[[#This Row],[LOTE]],Tabla_control_serigrafia[LOTE],0)),"-")</f>
        <v>-</v>
      </c>
      <c r="N157" s="22">
        <v>0</v>
      </c>
      <c r="O157" s="19">
        <v>0</v>
      </c>
      <c r="P157" s="23">
        <v>0</v>
      </c>
      <c r="Q15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5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57" s="25" t="s">
        <v>63</v>
      </c>
      <c r="T157" s="20" t="str">
        <f>UPPER(LEFT(TEXT(Tabla_producción_serigrafia[[#This Row],[FECHA]],"mmm"),3))</f>
        <v>ABR</v>
      </c>
      <c r="U157" s="20">
        <f>IFERROR(Tabla_producción_serigrafia[[#This Row],[CANTIDAD PRODUCIDA]]+Tabla_producción_serigrafia[[#This Row],[CANTIDAD RECHAZADA]],0)</f>
        <v>0</v>
      </c>
    </row>
    <row r="158" spans="1:21" x14ac:dyDescent="0.25">
      <c r="A158" s="10">
        <v>46132</v>
      </c>
      <c r="B158" s="10" t="s">
        <v>58</v>
      </c>
      <c r="C158" s="1" t="s">
        <v>68</v>
      </c>
      <c r="D158" s="15">
        <v>0.54166666666666663</v>
      </c>
      <c r="E158" s="16">
        <v>8.3333333333333329E-2</v>
      </c>
      <c r="F158" s="17">
        <f>ROUND((Tabla_producción_serigrafia[[#This Row],[FIN]]-Tabla_producción_serigrafia[[#This Row],[INICIO]]+(Tabla_producción_serigrafia[[#This Row],[FIN]]&lt;Tabla_producción_serigrafia[[#This Row],[INICIO]]))*24,2)</f>
        <v>13</v>
      </c>
      <c r="G158" s="18" t="s">
        <v>56</v>
      </c>
      <c r="H158" s="19">
        <v>32655</v>
      </c>
      <c r="I158" s="7" t="str">
        <f>IFERROR(INDEX(Tabla_control_serigrafia[PRODUCTO],MATCH(Tabla_producción_serigrafia[[#This Row],[LOTE]],Tabla_control_serigrafia[LOTE],0)),"-")</f>
        <v>IBUPROFENO 100 MG X 100 ML SUSP.</v>
      </c>
      <c r="J158" s="20" t="str">
        <f>IFERROR(INDEX(Tabla_control_serigrafia[FORMATO DE FRASCO],MATCH(Tabla_producción_serigrafia[[#This Row],[LOTE]],Tabla_control_serigrafia[LOTE],0)),"-")</f>
        <v>120 ML</v>
      </c>
      <c r="K158" s="20" t="str">
        <f>IFERROR(INDEX(Tabla_control_serigrafia[TIPO DE FRASCO],MATCH(Tabla_producción_serigrafia[[#This Row],[LOTE]],Tabla_control_serigrafia[LOTE],0)),"-")</f>
        <v>FRASCO BLANCO</v>
      </c>
      <c r="L158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58" s="21">
        <f>IFERROR(INDEX(Tabla_control_serigrafia[CANTIDAD PEDIDA],MATCH(Tabla_producción_serigrafia[[#This Row],[LOTE]],Tabla_control_serigrafia[LOTE],0)),"-")</f>
        <v>23529</v>
      </c>
      <c r="N158" s="22">
        <v>23700</v>
      </c>
      <c r="O158" s="19">
        <v>110</v>
      </c>
      <c r="P158" s="23" t="s">
        <v>62</v>
      </c>
      <c r="Q15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23700</v>
      </c>
      <c r="R15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49</v>
      </c>
      <c r="S158" s="25"/>
      <c r="T158" s="20" t="str">
        <f>UPPER(LEFT(TEXT(Tabla_producción_serigrafia[[#This Row],[FECHA]],"mmm"),3))</f>
        <v>ABR</v>
      </c>
      <c r="U158" s="20">
        <f>IFERROR(Tabla_producción_serigrafia[[#This Row],[CANTIDAD PRODUCIDA]]+Tabla_producción_serigrafia[[#This Row],[CANTIDAD RECHAZADA]],0)</f>
        <v>23810</v>
      </c>
    </row>
    <row r="159" spans="1:21" x14ac:dyDescent="0.25">
      <c r="A159" s="10">
        <v>46132</v>
      </c>
      <c r="B159" s="10" t="s">
        <v>58</v>
      </c>
      <c r="C159" s="1" t="s">
        <v>68</v>
      </c>
      <c r="D159" s="15">
        <v>8.3333333333333329E-2</v>
      </c>
      <c r="E159" s="16">
        <v>0.10416666666666667</v>
      </c>
      <c r="F159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59" s="18" t="s">
        <v>57</v>
      </c>
      <c r="H159" s="19" t="s">
        <v>38</v>
      </c>
      <c r="I159" s="7" t="str">
        <f>IFERROR(INDEX(Tabla_control_serigrafia[PRODUCTO],MATCH(Tabla_producción_serigrafia[[#This Row],[LOTE]],Tabla_control_serigrafia[LOTE],0)),"-")</f>
        <v>-</v>
      </c>
      <c r="J159" s="20" t="str">
        <f>IFERROR(INDEX(Tabla_control_serigrafia[FORMATO DE FRASCO],MATCH(Tabla_producción_serigrafia[[#This Row],[LOTE]],Tabla_control_serigrafia[LOTE],0)),"-")</f>
        <v>-</v>
      </c>
      <c r="K159" s="20" t="str">
        <f>IFERROR(INDEX(Tabla_control_serigrafia[TIPO DE FRASCO],MATCH(Tabla_producción_serigrafia[[#This Row],[LOTE]],Tabla_control_serigrafia[LOTE],0)),"-")</f>
        <v>-</v>
      </c>
      <c r="L159" t="str">
        <f>IF(Tabla_producción_serigrafia[[#This Row],[ACCIÓN]]="PRODUCCIÓN",Tabla_producción_serigrafia[[#This Row],[FORMATO DE FRASCO]]&amp;" "&amp;Tabla_producción_serigrafia[[#This Row],[TIPO DE FRASCO]],"-")</f>
        <v>-</v>
      </c>
      <c r="M159" s="21" t="str">
        <f>IFERROR(INDEX(Tabla_control_serigrafia[CANTIDAD PEDIDA],MATCH(Tabla_producción_serigrafia[[#This Row],[LOTE]],Tabla_control_serigrafia[LOTE],0)),"-")</f>
        <v>-</v>
      </c>
      <c r="N159" s="22">
        <v>0</v>
      </c>
      <c r="O159" s="19">
        <v>0</v>
      </c>
      <c r="P159" s="23">
        <v>0</v>
      </c>
      <c r="Q15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5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59" s="25" t="s">
        <v>63</v>
      </c>
      <c r="T159" s="20" t="str">
        <f>UPPER(LEFT(TEXT(Tabla_producción_serigrafia[[#This Row],[FECHA]],"mmm"),3))</f>
        <v>ABR</v>
      </c>
      <c r="U159" s="20">
        <f>IFERROR(Tabla_producción_serigrafia[[#This Row],[CANTIDAD PRODUCIDA]]+Tabla_producción_serigrafia[[#This Row],[CANTIDAD RECHAZADA]],0)</f>
        <v>0</v>
      </c>
    </row>
    <row r="160" spans="1:21" x14ac:dyDescent="0.25">
      <c r="A160" s="10">
        <v>46132</v>
      </c>
      <c r="B160" s="10" t="s">
        <v>58</v>
      </c>
      <c r="C160" s="1" t="s">
        <v>68</v>
      </c>
      <c r="D160" s="15">
        <v>0.10416666666666667</v>
      </c>
      <c r="E160" s="16">
        <v>0.33333333333333331</v>
      </c>
      <c r="F160" s="17">
        <f>ROUND((Tabla_producción_serigrafia[[#This Row],[FIN]]-Tabla_producción_serigrafia[[#This Row],[INICIO]]+(Tabla_producción_serigrafia[[#This Row],[FIN]]&lt;Tabla_producción_serigrafia[[#This Row],[INICIO]]))*24,2)</f>
        <v>5.5</v>
      </c>
      <c r="G160" s="18" t="s">
        <v>56</v>
      </c>
      <c r="H160" s="19">
        <v>32656</v>
      </c>
      <c r="I160" s="7" t="str">
        <f>IFERROR(INDEX(Tabla_control_serigrafia[PRODUCTO],MATCH(Tabla_producción_serigrafia[[#This Row],[LOTE]],Tabla_control_serigrafia[LOTE],0)),"-")</f>
        <v>IBUPROFENO 100 MG X 100 ML SUSP.</v>
      </c>
      <c r="J160" s="20" t="str">
        <f>IFERROR(INDEX(Tabla_control_serigrafia[FORMATO DE FRASCO],MATCH(Tabla_producción_serigrafia[[#This Row],[LOTE]],Tabla_control_serigrafia[LOTE],0)),"-")</f>
        <v>120 ML</v>
      </c>
      <c r="K160" s="20" t="str">
        <f>IFERROR(INDEX(Tabla_control_serigrafia[TIPO DE FRASCO],MATCH(Tabla_producción_serigrafia[[#This Row],[LOTE]],Tabla_control_serigrafia[LOTE],0)),"-")</f>
        <v>FRASCO BLANCO</v>
      </c>
      <c r="L160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60" s="21">
        <f>IFERROR(INDEX(Tabla_control_serigrafia[CANTIDAD PEDIDA],MATCH(Tabla_producción_serigrafia[[#This Row],[LOTE]],Tabla_control_serigrafia[LOTE],0)),"-")</f>
        <v>23529</v>
      </c>
      <c r="N160" s="22">
        <v>12000</v>
      </c>
      <c r="O160" s="19">
        <v>120</v>
      </c>
      <c r="P160" s="23" t="s">
        <v>178</v>
      </c>
      <c r="Q16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12000</v>
      </c>
      <c r="R16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60" s="25"/>
      <c r="T160" s="20" t="str">
        <f>UPPER(LEFT(TEXT(Tabla_producción_serigrafia[[#This Row],[FECHA]],"mmm"),3))</f>
        <v>ABR</v>
      </c>
      <c r="U160" s="20">
        <f>IFERROR(Tabla_producción_serigrafia[[#This Row],[CANTIDAD PRODUCIDA]]+Tabla_producción_serigrafia[[#This Row],[CANTIDAD RECHAZADA]],0)</f>
        <v>12120</v>
      </c>
    </row>
    <row r="161" spans="1:21" x14ac:dyDescent="0.25">
      <c r="A161" s="10">
        <v>46133</v>
      </c>
      <c r="B161" s="10" t="s">
        <v>58</v>
      </c>
      <c r="C161" s="1" t="s">
        <v>68</v>
      </c>
      <c r="D161" s="15">
        <v>0.33333333333333331</v>
      </c>
      <c r="E161" s="16">
        <v>0.34722222222222227</v>
      </c>
      <c r="F161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61" s="18" t="s">
        <v>57</v>
      </c>
      <c r="H161" s="19" t="s">
        <v>38</v>
      </c>
      <c r="I161" s="7" t="str">
        <f>IFERROR(INDEX(Tabla_control_serigrafia[PRODUCTO],MATCH(Tabla_producción_serigrafia[[#This Row],[LOTE]],Tabla_control_serigrafia[LOTE],0)),"-")</f>
        <v>-</v>
      </c>
      <c r="J161" s="20" t="str">
        <f>IFERROR(INDEX(Tabla_control_serigrafia[FORMATO DE FRASCO],MATCH(Tabla_producción_serigrafia[[#This Row],[LOTE]],Tabla_control_serigrafia[LOTE],0)),"-")</f>
        <v>-</v>
      </c>
      <c r="K161" s="20" t="str">
        <f>IFERROR(INDEX(Tabla_control_serigrafia[TIPO DE FRASCO],MATCH(Tabla_producción_serigrafia[[#This Row],[LOTE]],Tabla_control_serigrafia[LOTE],0)),"-")</f>
        <v>-</v>
      </c>
      <c r="L161" t="str">
        <f>IF(Tabla_producción_serigrafia[[#This Row],[ACCIÓN]]="PRODUCCIÓN",Tabla_producción_serigrafia[[#This Row],[FORMATO DE FRASCO]]&amp;" "&amp;Tabla_producción_serigrafia[[#This Row],[TIPO DE FRASCO]],"-")</f>
        <v>-</v>
      </c>
      <c r="M161" s="21" t="str">
        <f>IFERROR(INDEX(Tabla_control_serigrafia[CANTIDAD PEDIDA],MATCH(Tabla_producción_serigrafia[[#This Row],[LOTE]],Tabla_control_serigrafia[LOTE],0)),"-")</f>
        <v>-</v>
      </c>
      <c r="N161" s="22">
        <v>0</v>
      </c>
      <c r="O161" s="19">
        <v>0</v>
      </c>
      <c r="P161" s="23">
        <v>0</v>
      </c>
      <c r="Q16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6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61" s="25" t="s">
        <v>63</v>
      </c>
      <c r="T161" s="20" t="str">
        <f>UPPER(LEFT(TEXT(Tabla_producción_serigrafia[[#This Row],[FECHA]],"mmm"),3))</f>
        <v>ABR</v>
      </c>
      <c r="U161" s="20">
        <f>IFERROR(Tabla_producción_serigrafia[[#This Row],[CANTIDAD PRODUCIDA]]+Tabla_producción_serigrafia[[#This Row],[CANTIDAD RECHAZADA]],0)</f>
        <v>0</v>
      </c>
    </row>
    <row r="162" spans="1:21" x14ac:dyDescent="0.25">
      <c r="A162" s="10">
        <v>46133</v>
      </c>
      <c r="B162" s="10" t="s">
        <v>58</v>
      </c>
      <c r="C162" s="1" t="s">
        <v>68</v>
      </c>
      <c r="D162" s="15">
        <v>0.34722222222222227</v>
      </c>
      <c r="E162" s="16">
        <v>0.54166666666666663</v>
      </c>
      <c r="F162" s="17">
        <f>ROUND((Tabla_producción_serigrafia[[#This Row],[FIN]]-Tabla_producción_serigrafia[[#This Row],[INICIO]]+(Tabla_producción_serigrafia[[#This Row],[FIN]]&lt;Tabla_producción_serigrafia[[#This Row],[INICIO]]))*24,2)</f>
        <v>4.67</v>
      </c>
      <c r="G162" s="18" t="s">
        <v>56</v>
      </c>
      <c r="H162" s="19">
        <v>32656</v>
      </c>
      <c r="I162" s="7" t="str">
        <f>IFERROR(INDEX(Tabla_control_serigrafia[PRODUCTO],MATCH(Tabla_producción_serigrafia[[#This Row],[LOTE]],Tabla_control_serigrafia[LOTE],0)),"-")</f>
        <v>IBUPROFENO 100 MG X 100 ML SUSP.</v>
      </c>
      <c r="J162" s="20" t="str">
        <f>IFERROR(INDEX(Tabla_control_serigrafia[FORMATO DE FRASCO],MATCH(Tabla_producción_serigrafia[[#This Row],[LOTE]],Tabla_control_serigrafia[LOTE],0)),"-")</f>
        <v>120 ML</v>
      </c>
      <c r="K162" s="20" t="str">
        <f>IFERROR(INDEX(Tabla_control_serigrafia[TIPO DE FRASCO],MATCH(Tabla_producción_serigrafia[[#This Row],[LOTE]],Tabla_control_serigrafia[LOTE],0)),"-")</f>
        <v>FRASCO BLANCO</v>
      </c>
      <c r="L162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62" s="21">
        <f>IFERROR(INDEX(Tabla_control_serigrafia[CANTIDAD PEDIDA],MATCH(Tabla_producción_serigrafia[[#This Row],[LOTE]],Tabla_control_serigrafia[LOTE],0)),"-")</f>
        <v>23529</v>
      </c>
      <c r="N162" s="22">
        <v>11700</v>
      </c>
      <c r="O162" s="19">
        <v>110</v>
      </c>
      <c r="P162" s="23" t="s">
        <v>62</v>
      </c>
      <c r="Q16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11700</v>
      </c>
      <c r="R162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50</v>
      </c>
      <c r="S162" s="25"/>
      <c r="T162" s="20" t="str">
        <f>UPPER(LEFT(TEXT(Tabla_producción_serigrafia[[#This Row],[FECHA]],"mmm"),3))</f>
        <v>ABR</v>
      </c>
      <c r="U162" s="20">
        <f>IFERROR(Tabla_producción_serigrafia[[#This Row],[CANTIDAD PRODUCIDA]]+Tabla_producción_serigrafia[[#This Row],[CANTIDAD RECHAZADA]],0)</f>
        <v>11810</v>
      </c>
    </row>
    <row r="163" spans="1:21" x14ac:dyDescent="0.25">
      <c r="A163" s="10">
        <v>46133</v>
      </c>
      <c r="B163" s="10" t="s">
        <v>58</v>
      </c>
      <c r="C163" s="1" t="s">
        <v>68</v>
      </c>
      <c r="D163" s="15">
        <v>0.54166666666666663</v>
      </c>
      <c r="E163" s="16">
        <v>0.5625</v>
      </c>
      <c r="F163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63" s="18" t="s">
        <v>57</v>
      </c>
      <c r="H163" s="19" t="s">
        <v>38</v>
      </c>
      <c r="I163" s="7" t="str">
        <f>IFERROR(INDEX(Tabla_control_serigrafia[PRODUCTO],MATCH(Tabla_producción_serigrafia[[#This Row],[LOTE]],Tabla_control_serigrafia[LOTE],0)),"-")</f>
        <v>-</v>
      </c>
      <c r="J163" s="20" t="str">
        <f>IFERROR(INDEX(Tabla_control_serigrafia[FORMATO DE FRASCO],MATCH(Tabla_producción_serigrafia[[#This Row],[LOTE]],Tabla_control_serigrafia[LOTE],0)),"-")</f>
        <v>-</v>
      </c>
      <c r="K163" s="20" t="str">
        <f>IFERROR(INDEX(Tabla_control_serigrafia[TIPO DE FRASCO],MATCH(Tabla_producción_serigrafia[[#This Row],[LOTE]],Tabla_control_serigrafia[LOTE],0)),"-")</f>
        <v>-</v>
      </c>
      <c r="L163" t="str">
        <f>IF(Tabla_producción_serigrafia[[#This Row],[ACCIÓN]]="PRODUCCIÓN",Tabla_producción_serigrafia[[#This Row],[FORMATO DE FRASCO]]&amp;" "&amp;Tabla_producción_serigrafia[[#This Row],[TIPO DE FRASCO]],"-")</f>
        <v>-</v>
      </c>
      <c r="M163" s="21" t="str">
        <f>IFERROR(INDEX(Tabla_control_serigrafia[CANTIDAD PEDIDA],MATCH(Tabla_producción_serigrafia[[#This Row],[LOTE]],Tabla_control_serigrafia[LOTE],0)),"-")</f>
        <v>-</v>
      </c>
      <c r="N163" s="22">
        <v>0</v>
      </c>
      <c r="O163" s="19">
        <v>0</v>
      </c>
      <c r="P163" s="23">
        <v>0</v>
      </c>
      <c r="Q16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6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63" s="25" t="s">
        <v>63</v>
      </c>
      <c r="T163" s="20" t="str">
        <f>UPPER(LEFT(TEXT(Tabla_producción_serigrafia[[#This Row],[FECHA]],"mmm"),3))</f>
        <v>ABR</v>
      </c>
      <c r="U163" s="20">
        <f>IFERROR(Tabla_producción_serigrafia[[#This Row],[CANTIDAD PRODUCIDA]]+Tabla_producción_serigrafia[[#This Row],[CANTIDAD RECHAZADA]],0)</f>
        <v>0</v>
      </c>
    </row>
    <row r="164" spans="1:21" x14ac:dyDescent="0.25">
      <c r="A164" s="10">
        <v>46133</v>
      </c>
      <c r="B164" s="10" t="s">
        <v>58</v>
      </c>
      <c r="C164" s="1" t="s">
        <v>68</v>
      </c>
      <c r="D164" s="15">
        <v>0.5625</v>
      </c>
      <c r="E164" s="16">
        <v>0.72916666666666663</v>
      </c>
      <c r="F164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164" s="18" t="s">
        <v>56</v>
      </c>
      <c r="H164" s="19">
        <v>42659</v>
      </c>
      <c r="I164" s="7" t="str">
        <f>IFERROR(INDEX(Tabla_control_serigrafia[PRODUCTO],MATCH(Tabla_producción_serigrafia[[#This Row],[LOTE]],Tabla_control_serigrafia[LOTE],0)),"-")</f>
        <v>PARACETAMOL 120 MG X 100 ML JARABE</v>
      </c>
      <c r="J164" s="20" t="str">
        <f>IFERROR(INDEX(Tabla_control_serigrafia[FORMATO DE FRASCO],MATCH(Tabla_producción_serigrafia[[#This Row],[LOTE]],Tabla_control_serigrafia[LOTE],0)),"-")</f>
        <v>120 ML</v>
      </c>
      <c r="K164" s="20" t="str">
        <f>IFERROR(INDEX(Tabla_control_serigrafia[TIPO DE FRASCO],MATCH(Tabla_producción_serigrafia[[#This Row],[LOTE]],Tabla_control_serigrafia[LOTE],0)),"-")</f>
        <v>FRASCO BLANCO</v>
      </c>
      <c r="L164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64" s="21">
        <f>IFERROR(INDEX(Tabla_control_serigrafia[CANTIDAD PEDIDA],MATCH(Tabla_producción_serigrafia[[#This Row],[LOTE]],Tabla_control_serigrafia[LOTE],0)),"-")</f>
        <v>9901</v>
      </c>
      <c r="N164" s="22">
        <v>10000</v>
      </c>
      <c r="O164" s="19">
        <v>80</v>
      </c>
      <c r="P164" s="23" t="s">
        <v>62</v>
      </c>
      <c r="Q16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16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20</v>
      </c>
      <c r="S164" s="25"/>
      <c r="T164" s="20" t="str">
        <f>UPPER(LEFT(TEXT(Tabla_producción_serigrafia[[#This Row],[FECHA]],"mmm"),3))</f>
        <v>ABR</v>
      </c>
      <c r="U164" s="20">
        <f>IFERROR(Tabla_producción_serigrafia[[#This Row],[CANTIDAD PRODUCIDA]]+Tabla_producción_serigrafia[[#This Row],[CANTIDAD RECHAZADA]],0)</f>
        <v>10080</v>
      </c>
    </row>
    <row r="165" spans="1:21" x14ac:dyDescent="0.25">
      <c r="A165" s="10">
        <v>46133</v>
      </c>
      <c r="B165" s="10" t="s">
        <v>58</v>
      </c>
      <c r="C165" s="1" t="s">
        <v>68</v>
      </c>
      <c r="D165" s="15">
        <v>0.72916666666666663</v>
      </c>
      <c r="E165" s="16">
        <v>0.75</v>
      </c>
      <c r="F165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65" s="18" t="s">
        <v>57</v>
      </c>
      <c r="H165" s="19" t="s">
        <v>38</v>
      </c>
      <c r="I165" s="7" t="str">
        <f>IFERROR(INDEX(Tabla_control_serigrafia[PRODUCTO],MATCH(Tabla_producción_serigrafia[[#This Row],[LOTE]],Tabla_control_serigrafia[LOTE],0)),"-")</f>
        <v>-</v>
      </c>
      <c r="J165" s="20" t="str">
        <f>IFERROR(INDEX(Tabla_control_serigrafia[FORMATO DE FRASCO],MATCH(Tabla_producción_serigrafia[[#This Row],[LOTE]],Tabla_control_serigrafia[LOTE],0)),"-")</f>
        <v>-</v>
      </c>
      <c r="K165" s="20" t="str">
        <f>IFERROR(INDEX(Tabla_control_serigrafia[TIPO DE FRASCO],MATCH(Tabla_producción_serigrafia[[#This Row],[LOTE]],Tabla_control_serigrafia[LOTE],0)),"-")</f>
        <v>-</v>
      </c>
      <c r="L165" t="str">
        <f>IF(Tabla_producción_serigrafia[[#This Row],[ACCIÓN]]="PRODUCCIÓN",Tabla_producción_serigrafia[[#This Row],[FORMATO DE FRASCO]]&amp;" "&amp;Tabla_producción_serigrafia[[#This Row],[TIPO DE FRASCO]],"-")</f>
        <v>-</v>
      </c>
      <c r="M165" s="21" t="str">
        <f>IFERROR(INDEX(Tabla_control_serigrafia[CANTIDAD PEDIDA],MATCH(Tabla_producción_serigrafia[[#This Row],[LOTE]],Tabla_control_serigrafia[LOTE],0)),"-")</f>
        <v>-</v>
      </c>
      <c r="N165" s="22">
        <v>0</v>
      </c>
      <c r="O165" s="19">
        <v>0</v>
      </c>
      <c r="P165" s="23">
        <v>0</v>
      </c>
      <c r="Q16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6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65" s="25" t="s">
        <v>63</v>
      </c>
      <c r="T165" s="20" t="str">
        <f>UPPER(LEFT(TEXT(Tabla_producción_serigrafia[[#This Row],[FECHA]],"mmm"),3))</f>
        <v>ABR</v>
      </c>
      <c r="U165" s="20">
        <f>IFERROR(Tabla_producción_serigrafia[[#This Row],[CANTIDAD PRODUCIDA]]+Tabla_producción_serigrafia[[#This Row],[CANTIDAD RECHAZADA]],0)</f>
        <v>0</v>
      </c>
    </row>
    <row r="166" spans="1:21" x14ac:dyDescent="0.25">
      <c r="A166" s="10">
        <v>46133</v>
      </c>
      <c r="B166" s="10" t="s">
        <v>58</v>
      </c>
      <c r="C166" s="1" t="s">
        <v>68</v>
      </c>
      <c r="D166" s="15">
        <v>0.75</v>
      </c>
      <c r="E166" s="16">
        <v>0.33333333333333331</v>
      </c>
      <c r="F166" s="17">
        <f>ROUND((Tabla_producción_serigrafia[[#This Row],[FIN]]-Tabla_producción_serigrafia[[#This Row],[INICIO]]+(Tabla_producción_serigrafia[[#This Row],[FIN]]&lt;Tabla_producción_serigrafia[[#This Row],[INICIO]]))*24,2)</f>
        <v>14</v>
      </c>
      <c r="G166" s="18" t="s">
        <v>56</v>
      </c>
      <c r="H166" s="19">
        <v>42647</v>
      </c>
      <c r="I166" s="7" t="str">
        <f>IFERROR(INDEX(Tabla_control_serigrafia[PRODUCTO],MATCH(Tabla_producción_serigrafia[[#This Row],[LOTE]],Tabla_control_serigrafia[LOTE],0)),"-")</f>
        <v>DEXTROMETORFANO 10 MG X 100 ML JARABE</v>
      </c>
      <c r="J166" s="20" t="str">
        <f>IFERROR(INDEX(Tabla_control_serigrafia[FORMATO DE FRASCO],MATCH(Tabla_producción_serigrafia[[#This Row],[LOTE]],Tabla_control_serigrafia[LOTE],0)),"-")</f>
        <v>120 ML</v>
      </c>
      <c r="K166" s="20" t="str">
        <f>IFERROR(INDEX(Tabla_control_serigrafia[TIPO DE FRASCO],MATCH(Tabla_producción_serigrafia[[#This Row],[LOTE]],Tabla_control_serigrafia[LOTE],0)),"-")</f>
        <v>FRASCO BLANCO</v>
      </c>
      <c r="L166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66" s="21">
        <f>IFERROR(INDEX(Tabla_control_serigrafia[CANTIDAD PEDIDA],MATCH(Tabla_producción_serigrafia[[#This Row],[LOTE]],Tabla_control_serigrafia[LOTE],0)),"-")</f>
        <v>29703</v>
      </c>
      <c r="N166" s="22">
        <v>25000</v>
      </c>
      <c r="O166" s="19">
        <v>250</v>
      </c>
      <c r="P166" s="3" t="s">
        <v>178</v>
      </c>
      <c r="Q16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25000</v>
      </c>
      <c r="R16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66" s="25"/>
      <c r="T166" s="20" t="str">
        <f>UPPER(LEFT(TEXT(Tabla_producción_serigrafia[[#This Row],[FECHA]],"mmm"),3))</f>
        <v>ABR</v>
      </c>
      <c r="U166" s="20">
        <f>IFERROR(Tabla_producción_serigrafia[[#This Row],[CANTIDAD PRODUCIDA]]+Tabla_producción_serigrafia[[#This Row],[CANTIDAD RECHAZADA]],0)</f>
        <v>25250</v>
      </c>
    </row>
    <row r="167" spans="1:21" x14ac:dyDescent="0.25">
      <c r="A167" s="10">
        <v>46134</v>
      </c>
      <c r="B167" s="10" t="s">
        <v>58</v>
      </c>
      <c r="C167" s="1" t="s">
        <v>68</v>
      </c>
      <c r="D167" s="15">
        <v>0.33333333333333331</v>
      </c>
      <c r="E167" s="16">
        <v>0.34722222222222227</v>
      </c>
      <c r="F167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67" s="18" t="s">
        <v>57</v>
      </c>
      <c r="H167" s="19" t="s">
        <v>38</v>
      </c>
      <c r="I167" s="7" t="str">
        <f>IFERROR(INDEX(Tabla_control_serigrafia[PRODUCTO],MATCH(Tabla_producción_serigrafia[[#This Row],[LOTE]],Tabla_control_serigrafia[LOTE],0)),"-")</f>
        <v>-</v>
      </c>
      <c r="J167" s="20" t="str">
        <f>IFERROR(INDEX(Tabla_control_serigrafia[FORMATO DE FRASCO],MATCH(Tabla_producción_serigrafia[[#This Row],[LOTE]],Tabla_control_serigrafia[LOTE],0)),"-")</f>
        <v>-</v>
      </c>
      <c r="K167" s="20" t="str">
        <f>IFERROR(INDEX(Tabla_control_serigrafia[TIPO DE FRASCO],MATCH(Tabla_producción_serigrafia[[#This Row],[LOTE]],Tabla_control_serigrafia[LOTE],0)),"-")</f>
        <v>-</v>
      </c>
      <c r="L167" t="str">
        <f>IF(Tabla_producción_serigrafia[[#This Row],[ACCIÓN]]="PRODUCCIÓN",Tabla_producción_serigrafia[[#This Row],[FORMATO DE FRASCO]]&amp;" "&amp;Tabla_producción_serigrafia[[#This Row],[TIPO DE FRASCO]],"-")</f>
        <v>-</v>
      </c>
      <c r="M167" s="21" t="str">
        <f>IFERROR(INDEX(Tabla_control_serigrafia[CANTIDAD PEDIDA],MATCH(Tabla_producción_serigrafia[[#This Row],[LOTE]],Tabla_control_serigrafia[LOTE],0)),"-")</f>
        <v>-</v>
      </c>
      <c r="N167" s="22">
        <v>0</v>
      </c>
      <c r="O167" s="19">
        <v>0</v>
      </c>
      <c r="P167" s="23">
        <v>0</v>
      </c>
      <c r="Q16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6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67" s="25" t="s">
        <v>63</v>
      </c>
      <c r="T167" s="20" t="str">
        <f>UPPER(LEFT(TEXT(Tabla_producción_serigrafia[[#This Row],[FECHA]],"mmm"),3))</f>
        <v>ABR</v>
      </c>
      <c r="U167" s="20">
        <f>IFERROR(Tabla_producción_serigrafia[[#This Row],[CANTIDAD PRODUCIDA]]+Tabla_producción_serigrafia[[#This Row],[CANTIDAD RECHAZADA]],0)</f>
        <v>0</v>
      </c>
    </row>
    <row r="168" spans="1:21" x14ac:dyDescent="0.25">
      <c r="A168" s="10">
        <v>46134</v>
      </c>
      <c r="B168" s="10" t="s">
        <v>58</v>
      </c>
      <c r="C168" s="1" t="s">
        <v>68</v>
      </c>
      <c r="D168" s="15">
        <v>0.34722222222222227</v>
      </c>
      <c r="E168" s="16">
        <v>0.45833333333333331</v>
      </c>
      <c r="F168" s="17">
        <f>ROUND((Tabla_producción_serigrafia[[#This Row],[FIN]]-Tabla_producción_serigrafia[[#This Row],[INICIO]]+(Tabla_producción_serigrafia[[#This Row],[FIN]]&lt;Tabla_producción_serigrafia[[#This Row],[INICIO]]))*24,2)</f>
        <v>2.67</v>
      </c>
      <c r="G168" s="18" t="s">
        <v>56</v>
      </c>
      <c r="H168" s="19">
        <v>42647</v>
      </c>
      <c r="I168" s="7" t="str">
        <f>IFERROR(INDEX(Tabla_control_serigrafia[PRODUCTO],MATCH(Tabla_producción_serigrafia[[#This Row],[LOTE]],Tabla_control_serigrafia[LOTE],0)),"-")</f>
        <v>DEXTROMETORFANO 10 MG X 100 ML JARABE</v>
      </c>
      <c r="J168" s="20" t="str">
        <f>IFERROR(INDEX(Tabla_control_serigrafia[FORMATO DE FRASCO],MATCH(Tabla_producción_serigrafia[[#This Row],[LOTE]],Tabla_control_serigrafia[LOTE],0)),"-")</f>
        <v>120 ML</v>
      </c>
      <c r="K168" s="20" t="str">
        <f>IFERROR(INDEX(Tabla_control_serigrafia[TIPO DE FRASCO],MATCH(Tabla_producción_serigrafia[[#This Row],[LOTE]],Tabla_control_serigrafia[LOTE],0)),"-")</f>
        <v>FRASCO BLANCO</v>
      </c>
      <c r="L168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68" s="21">
        <f>IFERROR(INDEX(Tabla_control_serigrafia[CANTIDAD PEDIDA],MATCH(Tabla_producción_serigrafia[[#This Row],[LOTE]],Tabla_control_serigrafia[LOTE],0)),"-")</f>
        <v>29703</v>
      </c>
      <c r="N168" s="22">
        <v>4800</v>
      </c>
      <c r="O168" s="19">
        <v>209</v>
      </c>
      <c r="P168" s="23" t="s">
        <v>62</v>
      </c>
      <c r="Q16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4800</v>
      </c>
      <c r="R16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21</v>
      </c>
      <c r="S168" s="25"/>
      <c r="T168" s="20" t="str">
        <f>UPPER(LEFT(TEXT(Tabla_producción_serigrafia[[#This Row],[FECHA]],"mmm"),3))</f>
        <v>ABR</v>
      </c>
      <c r="U168" s="20">
        <f>IFERROR(Tabla_producción_serigrafia[[#This Row],[CANTIDAD PRODUCIDA]]+Tabla_producción_serigrafia[[#This Row],[CANTIDAD RECHAZADA]],0)</f>
        <v>5009</v>
      </c>
    </row>
    <row r="169" spans="1:21" x14ac:dyDescent="0.25">
      <c r="A169" s="10">
        <v>46134</v>
      </c>
      <c r="B169" s="10" t="s">
        <v>58</v>
      </c>
      <c r="C169" s="1" t="s">
        <v>68</v>
      </c>
      <c r="D169" s="15">
        <v>0.45833333333333331</v>
      </c>
      <c r="E169" s="16">
        <v>0.47916666666666669</v>
      </c>
      <c r="F169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69" s="18" t="s">
        <v>57</v>
      </c>
      <c r="H169" s="19" t="s">
        <v>38</v>
      </c>
      <c r="I169" s="7" t="str">
        <f>IFERROR(INDEX(Tabla_control_serigrafia[PRODUCTO],MATCH(Tabla_producción_serigrafia[[#This Row],[LOTE]],Tabla_control_serigrafia[LOTE],0)),"-")</f>
        <v>-</v>
      </c>
      <c r="J169" s="20" t="str">
        <f>IFERROR(INDEX(Tabla_control_serigrafia[FORMATO DE FRASCO],MATCH(Tabla_producción_serigrafia[[#This Row],[LOTE]],Tabla_control_serigrafia[LOTE],0)),"-")</f>
        <v>-</v>
      </c>
      <c r="K169" s="20" t="str">
        <f>IFERROR(INDEX(Tabla_control_serigrafia[TIPO DE FRASCO],MATCH(Tabla_producción_serigrafia[[#This Row],[LOTE]],Tabla_control_serigrafia[LOTE],0)),"-")</f>
        <v>-</v>
      </c>
      <c r="L169" t="str">
        <f>IF(Tabla_producción_serigrafia[[#This Row],[ACCIÓN]]="PRODUCCIÓN",Tabla_producción_serigrafia[[#This Row],[FORMATO DE FRASCO]]&amp;" "&amp;Tabla_producción_serigrafia[[#This Row],[TIPO DE FRASCO]],"-")</f>
        <v>-</v>
      </c>
      <c r="M169" s="21" t="str">
        <f>IFERROR(INDEX(Tabla_control_serigrafia[CANTIDAD PEDIDA],MATCH(Tabla_producción_serigrafia[[#This Row],[LOTE]],Tabla_control_serigrafia[LOTE],0)),"-")</f>
        <v>-</v>
      </c>
      <c r="N169" s="22">
        <v>0</v>
      </c>
      <c r="O169" s="19">
        <v>0</v>
      </c>
      <c r="P169" s="23">
        <v>0</v>
      </c>
      <c r="Q16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6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69" s="25" t="s">
        <v>63</v>
      </c>
      <c r="T169" s="20" t="str">
        <f>UPPER(LEFT(TEXT(Tabla_producción_serigrafia[[#This Row],[FECHA]],"mmm"),3))</f>
        <v>ABR</v>
      </c>
      <c r="U169" s="20">
        <f>IFERROR(Tabla_producción_serigrafia[[#This Row],[CANTIDAD PRODUCIDA]]+Tabla_producción_serigrafia[[#This Row],[CANTIDAD RECHAZADA]],0)</f>
        <v>0</v>
      </c>
    </row>
    <row r="170" spans="1:21" x14ac:dyDescent="0.25">
      <c r="A170" s="10">
        <v>46134</v>
      </c>
      <c r="B170" s="10" t="s">
        <v>58</v>
      </c>
      <c r="C170" s="1" t="s">
        <v>68</v>
      </c>
      <c r="D170" s="15">
        <v>0.47916666666666669</v>
      </c>
      <c r="E170" s="16">
        <v>0.83333333333333337</v>
      </c>
      <c r="F170" s="17">
        <f>ROUND((Tabla_producción_serigrafia[[#This Row],[FIN]]-Tabla_producción_serigrafia[[#This Row],[INICIO]]+(Tabla_producción_serigrafia[[#This Row],[FIN]]&lt;Tabla_producción_serigrafia[[#This Row],[INICIO]]))*24,2)</f>
        <v>8.5</v>
      </c>
      <c r="G170" s="18" t="s">
        <v>56</v>
      </c>
      <c r="H170" s="19">
        <v>32669</v>
      </c>
      <c r="I170" s="7" t="str">
        <f>IFERROR(INDEX(Tabla_control_serigrafia[PRODUCTO],MATCH(Tabla_producción_serigrafia[[#This Row],[LOTE]],Tabla_control_serigrafia[LOTE],0)),"-")</f>
        <v>CETIRIZINA 5 MG X 100 ML JARABE</v>
      </c>
      <c r="J170" s="20" t="str">
        <f>IFERROR(INDEX(Tabla_control_serigrafia[FORMATO DE FRASCO],MATCH(Tabla_producción_serigrafia[[#This Row],[LOTE]],Tabla_control_serigrafia[LOTE],0)),"-")</f>
        <v>120 ML</v>
      </c>
      <c r="K170" s="20" t="str">
        <f>IFERROR(INDEX(Tabla_control_serigrafia[TIPO DE FRASCO],MATCH(Tabla_producción_serigrafia[[#This Row],[LOTE]],Tabla_control_serigrafia[LOTE],0)),"-")</f>
        <v>FRASCO BLANCO</v>
      </c>
      <c r="L170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70" s="21">
        <f>IFERROR(INDEX(Tabla_control_serigrafia[CANTIDAD PEDIDA],MATCH(Tabla_producción_serigrafia[[#This Row],[LOTE]],Tabla_control_serigrafia[LOTE],0)),"-")</f>
        <v>19802</v>
      </c>
      <c r="N170" s="22">
        <v>19900</v>
      </c>
      <c r="O170" s="19">
        <v>80</v>
      </c>
      <c r="P170" s="23" t="s">
        <v>62</v>
      </c>
      <c r="Q17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19900</v>
      </c>
      <c r="R170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51</v>
      </c>
      <c r="S170" s="25"/>
      <c r="T170" s="20" t="str">
        <f>UPPER(LEFT(TEXT(Tabla_producción_serigrafia[[#This Row],[FECHA]],"mmm"),3))</f>
        <v>ABR</v>
      </c>
      <c r="U170" s="20">
        <f>IFERROR(Tabla_producción_serigrafia[[#This Row],[CANTIDAD PRODUCIDA]]+Tabla_producción_serigrafia[[#This Row],[CANTIDAD RECHAZADA]],0)</f>
        <v>19980</v>
      </c>
    </row>
    <row r="171" spans="1:21" x14ac:dyDescent="0.25">
      <c r="A171" s="10">
        <v>46134</v>
      </c>
      <c r="B171" s="10" t="s">
        <v>58</v>
      </c>
      <c r="C171" s="1" t="s">
        <v>68</v>
      </c>
      <c r="D171" s="15">
        <v>0.83333333333333337</v>
      </c>
      <c r="E171" s="16">
        <v>0.85416666666666663</v>
      </c>
      <c r="F171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71" s="18" t="s">
        <v>57</v>
      </c>
      <c r="H171" s="19" t="s">
        <v>38</v>
      </c>
      <c r="I171" s="7" t="str">
        <f>IFERROR(INDEX(Tabla_control_serigrafia[PRODUCTO],MATCH(Tabla_producción_serigrafia[[#This Row],[LOTE]],Tabla_control_serigrafia[LOTE],0)),"-")</f>
        <v>-</v>
      </c>
      <c r="J171" s="20" t="str">
        <f>IFERROR(INDEX(Tabla_control_serigrafia[FORMATO DE FRASCO],MATCH(Tabla_producción_serigrafia[[#This Row],[LOTE]],Tabla_control_serigrafia[LOTE],0)),"-")</f>
        <v>-</v>
      </c>
      <c r="K171" s="20" t="str">
        <f>IFERROR(INDEX(Tabla_control_serigrafia[TIPO DE FRASCO],MATCH(Tabla_producción_serigrafia[[#This Row],[LOTE]],Tabla_control_serigrafia[LOTE],0)),"-")</f>
        <v>-</v>
      </c>
      <c r="L171" t="str">
        <f>IF(Tabla_producción_serigrafia[[#This Row],[ACCIÓN]]="PRODUCCIÓN",Tabla_producción_serigrafia[[#This Row],[FORMATO DE FRASCO]]&amp;" "&amp;Tabla_producción_serigrafia[[#This Row],[TIPO DE FRASCO]],"-")</f>
        <v>-</v>
      </c>
      <c r="M171" s="21" t="str">
        <f>IFERROR(INDEX(Tabla_control_serigrafia[CANTIDAD PEDIDA],MATCH(Tabla_producción_serigrafia[[#This Row],[LOTE]],Tabla_control_serigrafia[LOTE],0)),"-")</f>
        <v>-</v>
      </c>
      <c r="N171" s="22">
        <v>0</v>
      </c>
      <c r="O171" s="19">
        <v>0</v>
      </c>
      <c r="P171" s="23">
        <v>0</v>
      </c>
      <c r="Q17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7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71" s="25" t="s">
        <v>63</v>
      </c>
      <c r="T171" s="20" t="str">
        <f>UPPER(LEFT(TEXT(Tabla_producción_serigrafia[[#This Row],[FECHA]],"mmm"),3))</f>
        <v>ABR</v>
      </c>
      <c r="U171" s="20">
        <f>IFERROR(Tabla_producción_serigrafia[[#This Row],[CANTIDAD PRODUCIDA]]+Tabla_producción_serigrafia[[#This Row],[CANTIDAD RECHAZADA]],0)</f>
        <v>0</v>
      </c>
    </row>
    <row r="172" spans="1:21" x14ac:dyDescent="0.25">
      <c r="A172" s="10">
        <v>46134</v>
      </c>
      <c r="B172" s="10" t="s">
        <v>58</v>
      </c>
      <c r="C172" s="1" t="s">
        <v>68</v>
      </c>
      <c r="D172" s="15">
        <v>0.85416666666666663</v>
      </c>
      <c r="E172" s="16">
        <v>0.33333333333333331</v>
      </c>
      <c r="F172" s="17">
        <f>ROUND((Tabla_producción_serigrafia[[#This Row],[FIN]]-Tabla_producción_serigrafia[[#This Row],[INICIO]]+(Tabla_producción_serigrafia[[#This Row],[FIN]]&lt;Tabla_producción_serigrafia[[#This Row],[INICIO]]))*24,2)</f>
        <v>11.5</v>
      </c>
      <c r="G172" s="18" t="s">
        <v>56</v>
      </c>
      <c r="H172" s="19">
        <v>42648</v>
      </c>
      <c r="I172" s="7" t="str">
        <f>IFERROR(INDEX(Tabla_control_serigrafia[PRODUCTO],MATCH(Tabla_producción_serigrafia[[#This Row],[LOTE]],Tabla_control_serigrafia[LOTE],0)),"-")</f>
        <v>DEXTROMETORFANO 10 MG X 100 ML JARABE</v>
      </c>
      <c r="J172" s="20" t="str">
        <f>IFERROR(INDEX(Tabla_control_serigrafia[FORMATO DE FRASCO],MATCH(Tabla_producción_serigrafia[[#This Row],[LOTE]],Tabla_control_serigrafia[LOTE],0)),"-")</f>
        <v>120 ML</v>
      </c>
      <c r="K172" s="20" t="str">
        <f>IFERROR(INDEX(Tabla_control_serigrafia[TIPO DE FRASCO],MATCH(Tabla_producción_serigrafia[[#This Row],[LOTE]],Tabla_control_serigrafia[LOTE],0)),"-")</f>
        <v>FRASCO BLANCO</v>
      </c>
      <c r="L172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72" s="21">
        <f>IFERROR(INDEX(Tabla_control_serigrafia[CANTIDAD PEDIDA],MATCH(Tabla_producción_serigrafia[[#This Row],[LOTE]],Tabla_control_serigrafia[LOTE],0)),"-")</f>
        <v>29703</v>
      </c>
      <c r="N172" s="22">
        <v>22500</v>
      </c>
      <c r="O172" s="19">
        <v>220</v>
      </c>
      <c r="P172" s="3" t="s">
        <v>178</v>
      </c>
      <c r="Q17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22500</v>
      </c>
      <c r="R17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72" s="25"/>
      <c r="T172" s="20" t="str">
        <f>UPPER(LEFT(TEXT(Tabla_producción_serigrafia[[#This Row],[FECHA]],"mmm"),3))</f>
        <v>ABR</v>
      </c>
      <c r="U172" s="20">
        <f>IFERROR(Tabla_producción_serigrafia[[#This Row],[CANTIDAD PRODUCIDA]]+Tabla_producción_serigrafia[[#This Row],[CANTIDAD RECHAZADA]],0)</f>
        <v>22720</v>
      </c>
    </row>
    <row r="173" spans="1:21" x14ac:dyDescent="0.25">
      <c r="A173" s="10">
        <v>46135</v>
      </c>
      <c r="B173" s="10" t="s">
        <v>58</v>
      </c>
      <c r="C173" s="1" t="s">
        <v>68</v>
      </c>
      <c r="D173" s="15">
        <v>0.33333333333333331</v>
      </c>
      <c r="E173" s="16">
        <v>0.35416666666666669</v>
      </c>
      <c r="F173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73" s="18" t="s">
        <v>57</v>
      </c>
      <c r="H173" s="19" t="s">
        <v>38</v>
      </c>
      <c r="I173" s="7" t="str">
        <f>IFERROR(INDEX(Tabla_control_serigrafia[PRODUCTO],MATCH(Tabla_producción_serigrafia[[#This Row],[LOTE]],Tabla_control_serigrafia[LOTE],0)),"-")</f>
        <v>-</v>
      </c>
      <c r="J173" s="20" t="str">
        <f>IFERROR(INDEX(Tabla_control_serigrafia[FORMATO DE FRASCO],MATCH(Tabla_producción_serigrafia[[#This Row],[LOTE]],Tabla_control_serigrafia[LOTE],0)),"-")</f>
        <v>-</v>
      </c>
      <c r="K173" s="20" t="str">
        <f>IFERROR(INDEX(Tabla_control_serigrafia[TIPO DE FRASCO],MATCH(Tabla_producción_serigrafia[[#This Row],[LOTE]],Tabla_control_serigrafia[LOTE],0)),"-")</f>
        <v>-</v>
      </c>
      <c r="L173" t="str">
        <f>IF(Tabla_producción_serigrafia[[#This Row],[ACCIÓN]]="PRODUCCIÓN",Tabla_producción_serigrafia[[#This Row],[FORMATO DE FRASCO]]&amp;" "&amp;Tabla_producción_serigrafia[[#This Row],[TIPO DE FRASCO]],"-")</f>
        <v>-</v>
      </c>
      <c r="M173" s="21" t="str">
        <f>IFERROR(INDEX(Tabla_control_serigrafia[CANTIDAD PEDIDA],MATCH(Tabla_producción_serigrafia[[#This Row],[LOTE]],Tabla_control_serigrafia[LOTE],0)),"-")</f>
        <v>-</v>
      </c>
      <c r="N173" s="22">
        <v>0</v>
      </c>
      <c r="O173" s="19">
        <v>0</v>
      </c>
      <c r="P173" s="23">
        <v>0</v>
      </c>
      <c r="Q17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7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73" s="25" t="s">
        <v>63</v>
      </c>
      <c r="T173" s="20" t="str">
        <f>UPPER(LEFT(TEXT(Tabla_producción_serigrafia[[#This Row],[FECHA]],"mmm"),3))</f>
        <v>ABR</v>
      </c>
      <c r="U173" s="20">
        <f>IFERROR(Tabla_producción_serigrafia[[#This Row],[CANTIDAD PRODUCIDA]]+Tabla_producción_serigrafia[[#This Row],[CANTIDAD RECHAZADA]],0)</f>
        <v>0</v>
      </c>
    </row>
    <row r="174" spans="1:21" x14ac:dyDescent="0.25">
      <c r="A174" s="10">
        <v>46135</v>
      </c>
      <c r="B174" s="10" t="s">
        <v>58</v>
      </c>
      <c r="C174" s="1" t="s">
        <v>68</v>
      </c>
      <c r="D174" s="15">
        <v>0.35416666666666669</v>
      </c>
      <c r="E174" s="16">
        <v>0.45833333333333331</v>
      </c>
      <c r="F174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174" s="18" t="s">
        <v>56</v>
      </c>
      <c r="H174" s="19">
        <v>42648</v>
      </c>
      <c r="I174" s="7" t="str">
        <f>IFERROR(INDEX(Tabla_control_serigrafia[PRODUCTO],MATCH(Tabla_producción_serigrafia[[#This Row],[LOTE]],Tabla_control_serigrafia[LOTE],0)),"-")</f>
        <v>DEXTROMETORFANO 10 MG X 100 ML JARABE</v>
      </c>
      <c r="J174" s="20" t="str">
        <f>IFERROR(INDEX(Tabla_control_serigrafia[FORMATO DE FRASCO],MATCH(Tabla_producción_serigrafia[[#This Row],[LOTE]],Tabla_control_serigrafia[LOTE],0)),"-")</f>
        <v>120 ML</v>
      </c>
      <c r="K174" s="20" t="str">
        <f>IFERROR(INDEX(Tabla_control_serigrafia[TIPO DE FRASCO],MATCH(Tabla_producción_serigrafia[[#This Row],[LOTE]],Tabla_control_serigrafia[LOTE],0)),"-")</f>
        <v>FRASCO BLANCO</v>
      </c>
      <c r="L174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74" s="21">
        <f>IFERROR(INDEX(Tabla_control_serigrafia[CANTIDAD PEDIDA],MATCH(Tabla_producción_serigrafia[[#This Row],[LOTE]],Tabla_control_serigrafia[LOTE],0)),"-")</f>
        <v>29703</v>
      </c>
      <c r="N174" s="22">
        <v>7350</v>
      </c>
      <c r="O174" s="19">
        <v>158</v>
      </c>
      <c r="P174" s="23" t="s">
        <v>62</v>
      </c>
      <c r="Q17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7350</v>
      </c>
      <c r="R17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22</v>
      </c>
      <c r="S174" s="25"/>
      <c r="T174" s="20" t="str">
        <f>UPPER(LEFT(TEXT(Tabla_producción_serigrafia[[#This Row],[FECHA]],"mmm"),3))</f>
        <v>ABR</v>
      </c>
      <c r="U174" s="20">
        <f>IFERROR(Tabla_producción_serigrafia[[#This Row],[CANTIDAD PRODUCIDA]]+Tabla_producción_serigrafia[[#This Row],[CANTIDAD RECHAZADA]],0)</f>
        <v>7508</v>
      </c>
    </row>
    <row r="175" spans="1:21" x14ac:dyDescent="0.25">
      <c r="A175" s="10">
        <v>46135</v>
      </c>
      <c r="B175" s="10" t="s">
        <v>58</v>
      </c>
      <c r="C175" s="1" t="s">
        <v>68</v>
      </c>
      <c r="D175" s="15">
        <v>0.45833333333333331</v>
      </c>
      <c r="E175" s="16">
        <v>0.47916666666666669</v>
      </c>
      <c r="F175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75" s="18" t="s">
        <v>57</v>
      </c>
      <c r="H175" s="19" t="s">
        <v>38</v>
      </c>
      <c r="I175" s="7" t="str">
        <f>IFERROR(INDEX(Tabla_control_serigrafia[PRODUCTO],MATCH(Tabla_producción_serigrafia[[#This Row],[LOTE]],Tabla_control_serigrafia[LOTE],0)),"-")</f>
        <v>-</v>
      </c>
      <c r="J175" s="20" t="str">
        <f>IFERROR(INDEX(Tabla_control_serigrafia[FORMATO DE FRASCO],MATCH(Tabla_producción_serigrafia[[#This Row],[LOTE]],Tabla_control_serigrafia[LOTE],0)),"-")</f>
        <v>-</v>
      </c>
      <c r="K175" s="20" t="str">
        <f>IFERROR(INDEX(Tabla_control_serigrafia[TIPO DE FRASCO],MATCH(Tabla_producción_serigrafia[[#This Row],[LOTE]],Tabla_control_serigrafia[LOTE],0)),"-")</f>
        <v>-</v>
      </c>
      <c r="L175" t="str">
        <f>IF(Tabla_producción_serigrafia[[#This Row],[ACCIÓN]]="PRODUCCIÓN",Tabla_producción_serigrafia[[#This Row],[FORMATO DE FRASCO]]&amp;" "&amp;Tabla_producción_serigrafia[[#This Row],[TIPO DE FRASCO]],"-")</f>
        <v>-</v>
      </c>
      <c r="M175" s="21" t="str">
        <f>IFERROR(INDEX(Tabla_control_serigrafia[CANTIDAD PEDIDA],MATCH(Tabla_producción_serigrafia[[#This Row],[LOTE]],Tabla_control_serigrafia[LOTE],0)),"-")</f>
        <v>-</v>
      </c>
      <c r="N175" s="22">
        <v>0</v>
      </c>
      <c r="O175" s="19">
        <v>0</v>
      </c>
      <c r="P175" s="23">
        <v>0</v>
      </c>
      <c r="Q17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7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75" s="25" t="s">
        <v>63</v>
      </c>
      <c r="T175" s="20" t="str">
        <f>UPPER(LEFT(TEXT(Tabla_producción_serigrafia[[#This Row],[FECHA]],"mmm"),3))</f>
        <v>ABR</v>
      </c>
      <c r="U175" s="20">
        <f>IFERROR(Tabla_producción_serigrafia[[#This Row],[CANTIDAD PRODUCIDA]]+Tabla_producción_serigrafia[[#This Row],[CANTIDAD RECHAZADA]],0)</f>
        <v>0</v>
      </c>
    </row>
    <row r="176" spans="1:21" x14ac:dyDescent="0.25">
      <c r="A176" s="10">
        <v>46135</v>
      </c>
      <c r="B176" s="10" t="s">
        <v>58</v>
      </c>
      <c r="C176" s="1" t="s">
        <v>68</v>
      </c>
      <c r="D176" s="15">
        <v>0.47916666666666669</v>
      </c>
      <c r="E176" s="16">
        <v>0.16666666666666666</v>
      </c>
      <c r="F176" s="17">
        <f>ROUND((Tabla_producción_serigrafia[[#This Row],[FIN]]-Tabla_producción_serigrafia[[#This Row],[INICIO]]+(Tabla_producción_serigrafia[[#This Row],[FIN]]&lt;Tabla_producción_serigrafia[[#This Row],[INICIO]]))*24,2)</f>
        <v>16.5</v>
      </c>
      <c r="G176" s="18" t="s">
        <v>56</v>
      </c>
      <c r="H176" s="19">
        <v>42649</v>
      </c>
      <c r="I176" s="7" t="str">
        <f>IFERROR(INDEX(Tabla_control_serigrafia[PRODUCTO],MATCH(Tabla_producción_serigrafia[[#This Row],[LOTE]],Tabla_control_serigrafia[LOTE],0)),"-")</f>
        <v>DEXTROMETORFANO 10 MG X 100 ML JARABE</v>
      </c>
      <c r="J176" s="20" t="str">
        <f>IFERROR(INDEX(Tabla_control_serigrafia[FORMATO DE FRASCO],MATCH(Tabla_producción_serigrafia[[#This Row],[LOTE]],Tabla_control_serigrafia[LOTE],0)),"-")</f>
        <v>120 ML</v>
      </c>
      <c r="K176" s="20" t="str">
        <f>IFERROR(INDEX(Tabla_control_serigrafia[TIPO DE FRASCO],MATCH(Tabla_producción_serigrafia[[#This Row],[LOTE]],Tabla_control_serigrafia[LOTE],0)),"-")</f>
        <v>FRASCO BLANCO</v>
      </c>
      <c r="L176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76" s="21">
        <f>IFERROR(INDEX(Tabla_control_serigrafia[CANTIDAD PEDIDA],MATCH(Tabla_producción_serigrafia[[#This Row],[LOTE]],Tabla_control_serigrafia[LOTE],0)),"-")</f>
        <v>29703</v>
      </c>
      <c r="N176" s="22">
        <v>29850</v>
      </c>
      <c r="O176" s="19">
        <v>185</v>
      </c>
      <c r="P176" s="23" t="s">
        <v>62</v>
      </c>
      <c r="Q17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29850</v>
      </c>
      <c r="R176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22</v>
      </c>
      <c r="S176" s="25"/>
      <c r="T176" s="20" t="str">
        <f>UPPER(LEFT(TEXT(Tabla_producción_serigrafia[[#This Row],[FECHA]],"mmm"),3))</f>
        <v>ABR</v>
      </c>
      <c r="U176" s="20">
        <f>IFERROR(Tabla_producción_serigrafia[[#This Row],[CANTIDAD PRODUCIDA]]+Tabla_producción_serigrafia[[#This Row],[CANTIDAD RECHAZADA]],0)</f>
        <v>30035</v>
      </c>
    </row>
    <row r="177" spans="1:21" x14ac:dyDescent="0.25">
      <c r="A177" s="10">
        <v>46135</v>
      </c>
      <c r="B177" s="10" t="s">
        <v>58</v>
      </c>
      <c r="C177" s="1" t="s">
        <v>68</v>
      </c>
      <c r="D177" s="15">
        <v>0.16666666666666666</v>
      </c>
      <c r="E177" s="16">
        <v>0.1875</v>
      </c>
      <c r="F177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77" s="18" t="s">
        <v>57</v>
      </c>
      <c r="H177" s="19" t="s">
        <v>38</v>
      </c>
      <c r="I177" s="7" t="str">
        <f>IFERROR(INDEX(Tabla_control_serigrafia[PRODUCTO],MATCH(Tabla_producción_serigrafia[[#This Row],[LOTE]],Tabla_control_serigrafia[LOTE],0)),"-")</f>
        <v>-</v>
      </c>
      <c r="J177" s="20" t="str">
        <f>IFERROR(INDEX(Tabla_control_serigrafia[FORMATO DE FRASCO],MATCH(Tabla_producción_serigrafia[[#This Row],[LOTE]],Tabla_control_serigrafia[LOTE],0)),"-")</f>
        <v>-</v>
      </c>
      <c r="K177" s="20" t="str">
        <f>IFERROR(INDEX(Tabla_control_serigrafia[TIPO DE FRASCO],MATCH(Tabla_producción_serigrafia[[#This Row],[LOTE]],Tabla_control_serigrafia[LOTE],0)),"-")</f>
        <v>-</v>
      </c>
      <c r="L177" t="str">
        <f>IF(Tabla_producción_serigrafia[[#This Row],[ACCIÓN]]="PRODUCCIÓN",Tabla_producción_serigrafia[[#This Row],[FORMATO DE FRASCO]]&amp;" "&amp;Tabla_producción_serigrafia[[#This Row],[TIPO DE FRASCO]],"-")</f>
        <v>-</v>
      </c>
      <c r="M177" s="21" t="str">
        <f>IFERROR(INDEX(Tabla_control_serigrafia[CANTIDAD PEDIDA],MATCH(Tabla_producción_serigrafia[[#This Row],[LOTE]],Tabla_control_serigrafia[LOTE],0)),"-")</f>
        <v>-</v>
      </c>
      <c r="N177" s="22">
        <v>0</v>
      </c>
      <c r="O177" s="19">
        <v>0</v>
      </c>
      <c r="P177" s="23">
        <v>0</v>
      </c>
      <c r="Q17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7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77" s="25" t="s">
        <v>63</v>
      </c>
      <c r="T177" s="20" t="str">
        <f>UPPER(LEFT(TEXT(Tabla_producción_serigrafia[[#This Row],[FECHA]],"mmm"),3))</f>
        <v>ABR</v>
      </c>
      <c r="U177" s="20">
        <f>IFERROR(Tabla_producción_serigrafia[[#This Row],[CANTIDAD PRODUCIDA]]+Tabla_producción_serigrafia[[#This Row],[CANTIDAD RECHAZADA]],0)</f>
        <v>0</v>
      </c>
    </row>
    <row r="178" spans="1:21" x14ac:dyDescent="0.25">
      <c r="A178" s="10">
        <v>46135</v>
      </c>
      <c r="B178" s="10" t="s">
        <v>58</v>
      </c>
      <c r="C178" s="1" t="s">
        <v>68</v>
      </c>
      <c r="D178" s="15">
        <v>0.1875</v>
      </c>
      <c r="E178" s="16">
        <v>0.33333333333333331</v>
      </c>
      <c r="F178" s="17">
        <f>ROUND((Tabla_producción_serigrafia[[#This Row],[FIN]]-Tabla_producción_serigrafia[[#This Row],[INICIO]]+(Tabla_producción_serigrafia[[#This Row],[FIN]]&lt;Tabla_producción_serigrafia[[#This Row],[INICIO]]))*24,2)</f>
        <v>3.5</v>
      </c>
      <c r="G178" s="18" t="s">
        <v>56</v>
      </c>
      <c r="H178" s="19">
        <v>42650</v>
      </c>
      <c r="I178" s="7" t="str">
        <f>IFERROR(INDEX(Tabla_control_serigrafia[PRODUCTO],MATCH(Tabla_producción_serigrafia[[#This Row],[LOTE]],Tabla_control_serigrafia[LOTE],0)),"-")</f>
        <v>DEXTROMETORFANO 10 MG X 100 ML JARABE</v>
      </c>
      <c r="J178" s="20" t="str">
        <f>IFERROR(INDEX(Tabla_control_serigrafia[FORMATO DE FRASCO],MATCH(Tabla_producción_serigrafia[[#This Row],[LOTE]],Tabla_control_serigrafia[LOTE],0)),"-")</f>
        <v>120 ML</v>
      </c>
      <c r="K178" s="20" t="str">
        <f>IFERROR(INDEX(Tabla_control_serigrafia[TIPO DE FRASCO],MATCH(Tabla_producción_serigrafia[[#This Row],[LOTE]],Tabla_control_serigrafia[LOTE],0)),"-")</f>
        <v>FRASCO BLANCO</v>
      </c>
      <c r="L178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78" s="21">
        <f>IFERROR(INDEX(Tabla_control_serigrafia[CANTIDAD PEDIDA],MATCH(Tabla_producción_serigrafia[[#This Row],[LOTE]],Tabla_control_serigrafia[LOTE],0)),"-")</f>
        <v>29703</v>
      </c>
      <c r="N178" s="22">
        <v>14000</v>
      </c>
      <c r="O178" s="19">
        <v>140</v>
      </c>
      <c r="P178" s="3" t="s">
        <v>178</v>
      </c>
      <c r="Q17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14000</v>
      </c>
      <c r="R178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78" s="25"/>
      <c r="T178" s="20" t="str">
        <f>UPPER(LEFT(TEXT(Tabla_producción_serigrafia[[#This Row],[FECHA]],"mmm"),3))</f>
        <v>ABR</v>
      </c>
      <c r="U178" s="20">
        <f>IFERROR(Tabla_producción_serigrafia[[#This Row],[CANTIDAD PRODUCIDA]]+Tabla_producción_serigrafia[[#This Row],[CANTIDAD RECHAZADA]],0)</f>
        <v>14140</v>
      </c>
    </row>
    <row r="179" spans="1:21" x14ac:dyDescent="0.25">
      <c r="A179" s="10">
        <v>46136</v>
      </c>
      <c r="B179" s="10" t="s">
        <v>58</v>
      </c>
      <c r="C179" s="1" t="s">
        <v>68</v>
      </c>
      <c r="D179" s="15">
        <v>0.33333333333333331</v>
      </c>
      <c r="E179" s="16">
        <v>0.34722222222222227</v>
      </c>
      <c r="F179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79" s="18" t="s">
        <v>57</v>
      </c>
      <c r="H179" s="19" t="s">
        <v>38</v>
      </c>
      <c r="I179" s="7" t="str">
        <f>IFERROR(INDEX(Tabla_control_serigrafia[PRODUCTO],MATCH(Tabla_producción_serigrafia[[#This Row],[LOTE]],Tabla_control_serigrafia[LOTE],0)),"-")</f>
        <v>-</v>
      </c>
      <c r="J179" s="20" t="str">
        <f>IFERROR(INDEX(Tabla_control_serigrafia[FORMATO DE FRASCO],MATCH(Tabla_producción_serigrafia[[#This Row],[LOTE]],Tabla_control_serigrafia[LOTE],0)),"-")</f>
        <v>-</v>
      </c>
      <c r="K179" s="20" t="str">
        <f>IFERROR(INDEX(Tabla_control_serigrafia[TIPO DE FRASCO],MATCH(Tabla_producción_serigrafia[[#This Row],[LOTE]],Tabla_control_serigrafia[LOTE],0)),"-")</f>
        <v>-</v>
      </c>
      <c r="L179" t="str">
        <f>IF(Tabla_producción_serigrafia[[#This Row],[ACCIÓN]]="PRODUCCIÓN",Tabla_producción_serigrafia[[#This Row],[FORMATO DE FRASCO]]&amp;" "&amp;Tabla_producción_serigrafia[[#This Row],[TIPO DE FRASCO]],"-")</f>
        <v>-</v>
      </c>
      <c r="M179" s="21" t="str">
        <f>IFERROR(INDEX(Tabla_control_serigrafia[CANTIDAD PEDIDA],MATCH(Tabla_producción_serigrafia[[#This Row],[LOTE]],Tabla_control_serigrafia[LOTE],0)),"-")</f>
        <v>-</v>
      </c>
      <c r="N179" s="22">
        <v>0</v>
      </c>
      <c r="O179" s="19">
        <v>0</v>
      </c>
      <c r="P179" s="23">
        <v>0</v>
      </c>
      <c r="Q17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7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79" s="25" t="s">
        <v>63</v>
      </c>
      <c r="T179" s="20" t="str">
        <f>UPPER(LEFT(TEXT(Tabla_producción_serigrafia[[#This Row],[FECHA]],"mmm"),3))</f>
        <v>ABR</v>
      </c>
      <c r="U179" s="20">
        <f>IFERROR(Tabla_producción_serigrafia[[#This Row],[CANTIDAD PRODUCIDA]]+Tabla_producción_serigrafia[[#This Row],[CANTIDAD RECHAZADA]],0)</f>
        <v>0</v>
      </c>
    </row>
    <row r="180" spans="1:21" x14ac:dyDescent="0.25">
      <c r="A180" s="10">
        <v>46136</v>
      </c>
      <c r="B180" s="10" t="s">
        <v>58</v>
      </c>
      <c r="C180" s="1" t="s">
        <v>68</v>
      </c>
      <c r="D180" s="15">
        <v>0.34722222222222227</v>
      </c>
      <c r="E180" s="16">
        <v>0.64583333333333337</v>
      </c>
      <c r="F180" s="17">
        <f>ROUND((Tabla_producción_serigrafia[[#This Row],[FIN]]-Tabla_producción_serigrafia[[#This Row],[INICIO]]+(Tabla_producción_serigrafia[[#This Row],[FIN]]&lt;Tabla_producción_serigrafia[[#This Row],[INICIO]]))*24,2)</f>
        <v>7.17</v>
      </c>
      <c r="G180" s="18" t="s">
        <v>56</v>
      </c>
      <c r="H180" s="19">
        <v>42650</v>
      </c>
      <c r="I180" s="7" t="str">
        <f>IFERROR(INDEX(Tabla_control_serigrafia[PRODUCTO],MATCH(Tabla_producción_serigrafia[[#This Row],[LOTE]],Tabla_control_serigrafia[LOTE],0)),"-")</f>
        <v>DEXTROMETORFANO 10 MG X 100 ML JARABE</v>
      </c>
      <c r="J180" s="20" t="str">
        <f>IFERROR(INDEX(Tabla_control_serigrafia[FORMATO DE FRASCO],MATCH(Tabla_producción_serigrafia[[#This Row],[LOTE]],Tabla_control_serigrafia[LOTE],0)),"-")</f>
        <v>120 ML</v>
      </c>
      <c r="K180" s="20" t="str">
        <f>IFERROR(INDEX(Tabla_control_serigrafia[TIPO DE FRASCO],MATCH(Tabla_producción_serigrafia[[#This Row],[LOTE]],Tabla_control_serigrafia[LOTE],0)),"-")</f>
        <v>FRASCO BLANCO</v>
      </c>
      <c r="L180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80" s="21">
        <f>IFERROR(INDEX(Tabla_control_serigrafia[CANTIDAD PEDIDA],MATCH(Tabla_producción_serigrafia[[#This Row],[LOTE]],Tabla_control_serigrafia[LOTE],0)),"-")</f>
        <v>29703</v>
      </c>
      <c r="N180" s="22">
        <v>15850</v>
      </c>
      <c r="O180" s="19">
        <v>140</v>
      </c>
      <c r="P180" s="23" t="s">
        <v>62</v>
      </c>
      <c r="Q18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15850</v>
      </c>
      <c r="R180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23</v>
      </c>
      <c r="S180" s="25"/>
      <c r="T180" s="20" t="str">
        <f>UPPER(LEFT(TEXT(Tabla_producción_serigrafia[[#This Row],[FECHA]],"mmm"),3))</f>
        <v>ABR</v>
      </c>
      <c r="U180" s="20">
        <f>IFERROR(Tabla_producción_serigrafia[[#This Row],[CANTIDAD PRODUCIDA]]+Tabla_producción_serigrafia[[#This Row],[CANTIDAD RECHAZADA]],0)</f>
        <v>15990</v>
      </c>
    </row>
    <row r="181" spans="1:21" x14ac:dyDescent="0.25">
      <c r="A181" s="10">
        <v>46136</v>
      </c>
      <c r="B181" s="10" t="s">
        <v>58</v>
      </c>
      <c r="C181" s="1" t="s">
        <v>68</v>
      </c>
      <c r="D181" s="15">
        <v>0.64583333333333337</v>
      </c>
      <c r="E181" s="16">
        <v>0.66666666666666663</v>
      </c>
      <c r="F181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81" s="18" t="s">
        <v>57</v>
      </c>
      <c r="H181" s="19" t="s">
        <v>38</v>
      </c>
      <c r="I181" s="7" t="str">
        <f>IFERROR(INDEX(Tabla_control_serigrafia[PRODUCTO],MATCH(Tabla_producción_serigrafia[[#This Row],[LOTE]],Tabla_control_serigrafia[LOTE],0)),"-")</f>
        <v>-</v>
      </c>
      <c r="J181" s="20" t="str">
        <f>IFERROR(INDEX(Tabla_control_serigrafia[FORMATO DE FRASCO],MATCH(Tabla_producción_serigrafia[[#This Row],[LOTE]],Tabla_control_serigrafia[LOTE],0)),"-")</f>
        <v>-</v>
      </c>
      <c r="K181" s="20" t="str">
        <f>IFERROR(INDEX(Tabla_control_serigrafia[TIPO DE FRASCO],MATCH(Tabla_producción_serigrafia[[#This Row],[LOTE]],Tabla_control_serigrafia[LOTE],0)),"-")</f>
        <v>-</v>
      </c>
      <c r="L181" t="str">
        <f>IF(Tabla_producción_serigrafia[[#This Row],[ACCIÓN]]="PRODUCCIÓN",Tabla_producción_serigrafia[[#This Row],[FORMATO DE FRASCO]]&amp;" "&amp;Tabla_producción_serigrafia[[#This Row],[TIPO DE FRASCO]],"-")</f>
        <v>-</v>
      </c>
      <c r="M181" s="21" t="str">
        <f>IFERROR(INDEX(Tabla_control_serigrafia[CANTIDAD PEDIDA],MATCH(Tabla_producción_serigrafia[[#This Row],[LOTE]],Tabla_control_serigrafia[LOTE],0)),"-")</f>
        <v>-</v>
      </c>
      <c r="N181" s="22">
        <v>0</v>
      </c>
      <c r="O181" s="19">
        <v>0</v>
      </c>
      <c r="P181" s="23">
        <v>0</v>
      </c>
      <c r="Q18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8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81" s="25" t="s">
        <v>63</v>
      </c>
      <c r="T181" s="20" t="str">
        <f>UPPER(LEFT(TEXT(Tabla_producción_serigrafia[[#This Row],[FECHA]],"mmm"),3))</f>
        <v>ABR</v>
      </c>
      <c r="U181" s="20">
        <f>IFERROR(Tabla_producción_serigrafia[[#This Row],[CANTIDAD PRODUCIDA]]+Tabla_producción_serigrafia[[#This Row],[CANTIDAD RECHAZADA]],0)</f>
        <v>0</v>
      </c>
    </row>
    <row r="182" spans="1:21" x14ac:dyDescent="0.25">
      <c r="A182" s="10">
        <v>46136</v>
      </c>
      <c r="B182" s="10" t="s">
        <v>58</v>
      </c>
      <c r="C182" s="1" t="s">
        <v>68</v>
      </c>
      <c r="D182" s="15">
        <v>0.66666666666666663</v>
      </c>
      <c r="E182" s="16">
        <v>0.33333333333333331</v>
      </c>
      <c r="F182" s="17">
        <f>ROUND((Tabla_producción_serigrafia[[#This Row],[FIN]]-Tabla_producción_serigrafia[[#This Row],[INICIO]]+(Tabla_producción_serigrafia[[#This Row],[FIN]]&lt;Tabla_producción_serigrafia[[#This Row],[INICIO]]))*24,2)</f>
        <v>16</v>
      </c>
      <c r="G182" s="18" t="s">
        <v>56</v>
      </c>
      <c r="H182" s="19">
        <v>42651</v>
      </c>
      <c r="I182" s="7" t="str">
        <f>IFERROR(INDEX(Tabla_control_serigrafia[PRODUCTO],MATCH(Tabla_producción_serigrafia[[#This Row],[LOTE]],Tabla_control_serigrafia[LOTE],0)),"-")</f>
        <v>DEXTROMETORFANO 10 MG X 100 ML JARABE</v>
      </c>
      <c r="J182" s="20" t="str">
        <f>IFERROR(INDEX(Tabla_control_serigrafia[FORMATO DE FRASCO],MATCH(Tabla_producción_serigrafia[[#This Row],[LOTE]],Tabla_control_serigrafia[LOTE],0)),"-")</f>
        <v>120 ML</v>
      </c>
      <c r="K182" s="20" t="str">
        <f>IFERROR(INDEX(Tabla_control_serigrafia[TIPO DE FRASCO],MATCH(Tabla_producción_serigrafia[[#This Row],[LOTE]],Tabla_control_serigrafia[LOTE],0)),"-")</f>
        <v>FRASCO BLANCO</v>
      </c>
      <c r="L182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82" s="21">
        <f>IFERROR(INDEX(Tabla_control_serigrafia[CANTIDAD PEDIDA],MATCH(Tabla_producción_serigrafia[[#This Row],[LOTE]],Tabla_control_serigrafia[LOTE],0)),"-")</f>
        <v>29703</v>
      </c>
      <c r="N182" s="22">
        <v>29850</v>
      </c>
      <c r="O182" s="19">
        <v>161</v>
      </c>
      <c r="P182" s="23" t="s">
        <v>62</v>
      </c>
      <c r="Q18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29850</v>
      </c>
      <c r="R182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23</v>
      </c>
      <c r="S182" s="25"/>
      <c r="T182" s="20" t="str">
        <f>UPPER(LEFT(TEXT(Tabla_producción_serigrafia[[#This Row],[FECHA]],"mmm"),3))</f>
        <v>ABR</v>
      </c>
      <c r="U182" s="20">
        <f>IFERROR(Tabla_producción_serigrafia[[#This Row],[CANTIDAD PRODUCIDA]]+Tabla_producción_serigrafia[[#This Row],[CANTIDAD RECHAZADA]],0)</f>
        <v>30011</v>
      </c>
    </row>
    <row r="183" spans="1:21" x14ac:dyDescent="0.25">
      <c r="A183" s="10">
        <v>46139</v>
      </c>
      <c r="B183" s="10" t="s">
        <v>58</v>
      </c>
      <c r="C183" s="1" t="s">
        <v>68</v>
      </c>
      <c r="D183" s="15">
        <v>0.33333333333333331</v>
      </c>
      <c r="E183" s="16">
        <v>0.35416666666666669</v>
      </c>
      <c r="F183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83" s="18" t="s">
        <v>57</v>
      </c>
      <c r="H183" s="19" t="s">
        <v>38</v>
      </c>
      <c r="I183" s="7" t="str">
        <f>IFERROR(INDEX(Tabla_control_serigrafia[PRODUCTO],MATCH(Tabla_producción_serigrafia[[#This Row],[LOTE]],Tabla_control_serigrafia[LOTE],0)),"-")</f>
        <v>-</v>
      </c>
      <c r="J183" s="20" t="str">
        <f>IFERROR(INDEX(Tabla_control_serigrafia[FORMATO DE FRASCO],MATCH(Tabla_producción_serigrafia[[#This Row],[LOTE]],Tabla_control_serigrafia[LOTE],0)),"-")</f>
        <v>-</v>
      </c>
      <c r="K183" s="20" t="str">
        <f>IFERROR(INDEX(Tabla_control_serigrafia[TIPO DE FRASCO],MATCH(Tabla_producción_serigrafia[[#This Row],[LOTE]],Tabla_control_serigrafia[LOTE],0)),"-")</f>
        <v>-</v>
      </c>
      <c r="L183" t="str">
        <f>IF(Tabla_producción_serigrafia[[#This Row],[ACCIÓN]]="PRODUCCIÓN",Tabla_producción_serigrafia[[#This Row],[FORMATO DE FRASCO]]&amp;" "&amp;Tabla_producción_serigrafia[[#This Row],[TIPO DE FRASCO]],"-")</f>
        <v>-</v>
      </c>
      <c r="M183" s="21" t="str">
        <f>IFERROR(INDEX(Tabla_control_serigrafia[CANTIDAD PEDIDA],MATCH(Tabla_producción_serigrafia[[#This Row],[LOTE]],Tabla_control_serigrafia[LOTE],0)),"-")</f>
        <v>-</v>
      </c>
      <c r="N183" s="22">
        <v>0</v>
      </c>
      <c r="O183" s="19">
        <v>0</v>
      </c>
      <c r="P183" s="23">
        <v>0</v>
      </c>
      <c r="Q18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8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83" s="25" t="s">
        <v>63</v>
      </c>
      <c r="T183" s="20" t="str">
        <f>UPPER(LEFT(TEXT(Tabla_producción_serigrafia[[#This Row],[FECHA]],"mmm"),3))</f>
        <v>ABR</v>
      </c>
      <c r="U183" s="20">
        <f>IFERROR(Tabla_producción_serigrafia[[#This Row],[CANTIDAD PRODUCIDA]]+Tabla_producción_serigrafia[[#This Row],[CANTIDAD RECHAZADA]],0)</f>
        <v>0</v>
      </c>
    </row>
    <row r="184" spans="1:21" x14ac:dyDescent="0.25">
      <c r="A184" s="10">
        <v>46139</v>
      </c>
      <c r="B184" s="10" t="s">
        <v>58</v>
      </c>
      <c r="C184" s="1" t="s">
        <v>68</v>
      </c>
      <c r="D184" s="15">
        <v>0.35416666666666669</v>
      </c>
      <c r="E184" s="16">
        <v>0.91666666666666663</v>
      </c>
      <c r="F184" s="17">
        <f>ROUND((Tabla_producción_serigrafia[[#This Row],[FIN]]-Tabla_producción_serigrafia[[#This Row],[INICIO]]+(Tabla_producción_serigrafia[[#This Row],[FIN]]&lt;Tabla_producción_serigrafia[[#This Row],[INICIO]]))*24,2)</f>
        <v>13.5</v>
      </c>
      <c r="G184" s="18" t="s">
        <v>56</v>
      </c>
      <c r="H184" s="19">
        <v>42652</v>
      </c>
      <c r="I184" s="7" t="str">
        <f>IFERROR(INDEX(Tabla_control_serigrafia[PRODUCTO],MATCH(Tabla_producción_serigrafia[[#This Row],[LOTE]],Tabla_control_serigrafia[LOTE],0)),"-")</f>
        <v>DEXTROMETORFANO 10 MG X 100 ML JARABE</v>
      </c>
      <c r="J184" s="20" t="str">
        <f>IFERROR(INDEX(Tabla_control_serigrafia[FORMATO DE FRASCO],MATCH(Tabla_producción_serigrafia[[#This Row],[LOTE]],Tabla_control_serigrafia[LOTE],0)),"-")</f>
        <v>120 ML</v>
      </c>
      <c r="K184" s="20" t="str">
        <f>IFERROR(INDEX(Tabla_control_serigrafia[TIPO DE FRASCO],MATCH(Tabla_producción_serigrafia[[#This Row],[LOTE]],Tabla_control_serigrafia[LOTE],0)),"-")</f>
        <v>FRASCO BLANCO</v>
      </c>
      <c r="L184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84" s="21">
        <f>IFERROR(INDEX(Tabla_control_serigrafia[CANTIDAD PEDIDA],MATCH(Tabla_producción_serigrafia[[#This Row],[LOTE]],Tabla_control_serigrafia[LOTE],0)),"-")</f>
        <v>29703</v>
      </c>
      <c r="N184" s="22">
        <v>29850</v>
      </c>
      <c r="O184" s="19">
        <v>300</v>
      </c>
      <c r="P184" s="23" t="s">
        <v>62</v>
      </c>
      <c r="Q18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29850</v>
      </c>
      <c r="R18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26</v>
      </c>
      <c r="S184" s="25"/>
      <c r="T184" s="20" t="str">
        <f>UPPER(LEFT(TEXT(Tabla_producción_serigrafia[[#This Row],[FECHA]],"mmm"),3))</f>
        <v>ABR</v>
      </c>
      <c r="U184" s="20">
        <f>IFERROR(Tabla_producción_serigrafia[[#This Row],[CANTIDAD PRODUCIDA]]+Tabla_producción_serigrafia[[#This Row],[CANTIDAD RECHAZADA]],0)</f>
        <v>30150</v>
      </c>
    </row>
    <row r="185" spans="1:21" x14ac:dyDescent="0.25">
      <c r="A185" s="10">
        <v>46140</v>
      </c>
      <c r="B185" s="10" t="s">
        <v>58</v>
      </c>
      <c r="C185" s="1" t="s">
        <v>68</v>
      </c>
      <c r="D185" s="15">
        <v>0.33333333333333331</v>
      </c>
      <c r="E185" s="16">
        <v>0.35416666666666669</v>
      </c>
      <c r="F185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85" s="18" t="s">
        <v>57</v>
      </c>
      <c r="H185" s="19" t="s">
        <v>38</v>
      </c>
      <c r="I185" s="7" t="str">
        <f>IFERROR(INDEX(Tabla_control_serigrafia[PRODUCTO],MATCH(Tabla_producción_serigrafia[[#This Row],[LOTE]],Tabla_control_serigrafia[LOTE],0)),"-")</f>
        <v>-</v>
      </c>
      <c r="J185" s="20" t="str">
        <f>IFERROR(INDEX(Tabla_control_serigrafia[FORMATO DE FRASCO],MATCH(Tabla_producción_serigrafia[[#This Row],[LOTE]],Tabla_control_serigrafia[LOTE],0)),"-")</f>
        <v>-</v>
      </c>
      <c r="K185" s="20" t="str">
        <f>IFERROR(INDEX(Tabla_control_serigrafia[TIPO DE FRASCO],MATCH(Tabla_producción_serigrafia[[#This Row],[LOTE]],Tabla_control_serigrafia[LOTE],0)),"-")</f>
        <v>-</v>
      </c>
      <c r="L185" t="str">
        <f>IF(Tabla_producción_serigrafia[[#This Row],[ACCIÓN]]="PRODUCCIÓN",Tabla_producción_serigrafia[[#This Row],[FORMATO DE FRASCO]]&amp;" "&amp;Tabla_producción_serigrafia[[#This Row],[TIPO DE FRASCO]],"-")</f>
        <v>-</v>
      </c>
      <c r="M185" s="21" t="str">
        <f>IFERROR(INDEX(Tabla_control_serigrafia[CANTIDAD PEDIDA],MATCH(Tabla_producción_serigrafia[[#This Row],[LOTE]],Tabla_control_serigrafia[LOTE],0)),"-")</f>
        <v>-</v>
      </c>
      <c r="N185" s="22">
        <v>0</v>
      </c>
      <c r="O185" s="19">
        <v>0</v>
      </c>
      <c r="P185" s="23">
        <v>0</v>
      </c>
      <c r="Q18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8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85" s="25" t="s">
        <v>63</v>
      </c>
      <c r="T185" s="20" t="str">
        <f>UPPER(LEFT(TEXT(Tabla_producción_serigrafia[[#This Row],[FECHA]],"mmm"),3))</f>
        <v>ABR</v>
      </c>
      <c r="U185" s="20">
        <f>IFERROR(Tabla_producción_serigrafia[[#This Row],[CANTIDAD PRODUCIDA]]+Tabla_producción_serigrafia[[#This Row],[CANTIDAD RECHAZADA]],0)</f>
        <v>0</v>
      </c>
    </row>
    <row r="186" spans="1:21" x14ac:dyDescent="0.25">
      <c r="A186" s="10">
        <v>46140</v>
      </c>
      <c r="B186" s="10" t="s">
        <v>58</v>
      </c>
      <c r="C186" s="1" t="s">
        <v>68</v>
      </c>
      <c r="D186" s="15">
        <v>0.35416666666666669</v>
      </c>
      <c r="E186" s="16">
        <v>0.45833333333333331</v>
      </c>
      <c r="F186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186" s="18" t="s">
        <v>56</v>
      </c>
      <c r="H186" s="19">
        <v>42676</v>
      </c>
      <c r="I186" s="7" t="str">
        <f>IFERROR(INDEX(Tabla_control_serigrafia[PRODUCTO],MATCH(Tabla_producción_serigrafia[[#This Row],[LOTE]],Tabla_control_serigrafia[LOTE],0)),"-")</f>
        <v>DICLOXACILINA 250 MG X 100 ML POLVO PARA SUSP.</v>
      </c>
      <c r="J186" s="20" t="str">
        <f>IFERROR(INDEX(Tabla_control_serigrafia[FORMATO DE FRASCO],MATCH(Tabla_producción_serigrafia[[#This Row],[LOTE]],Tabla_control_serigrafia[LOTE],0)),"-")</f>
        <v>120 ML</v>
      </c>
      <c r="K186" s="20" t="str">
        <f>IFERROR(INDEX(Tabla_control_serigrafia[TIPO DE FRASCO],MATCH(Tabla_producción_serigrafia[[#This Row],[LOTE]],Tabla_control_serigrafia[LOTE],0)),"-")</f>
        <v>FRASCO NATURAL</v>
      </c>
      <c r="L186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86" s="21">
        <f>IFERROR(INDEX(Tabla_control_serigrafia[CANTIDAD PEDIDA],MATCH(Tabla_producción_serigrafia[[#This Row],[LOTE]],Tabla_control_serigrafia[LOTE],0)),"-")</f>
        <v>5100</v>
      </c>
      <c r="N186" s="22">
        <v>5200</v>
      </c>
      <c r="O186" s="19">
        <v>60</v>
      </c>
      <c r="P186" s="23" t="s">
        <v>62</v>
      </c>
      <c r="Q18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5200</v>
      </c>
      <c r="R186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27</v>
      </c>
      <c r="S186" s="25"/>
      <c r="T186" s="20" t="str">
        <f>UPPER(LEFT(TEXT(Tabla_producción_serigrafia[[#This Row],[FECHA]],"mmm"),3))</f>
        <v>ABR</v>
      </c>
      <c r="U186" s="20">
        <f>IFERROR(Tabla_producción_serigrafia[[#This Row],[CANTIDAD PRODUCIDA]]+Tabla_producción_serigrafia[[#This Row],[CANTIDAD RECHAZADA]],0)</f>
        <v>5260</v>
      </c>
    </row>
    <row r="187" spans="1:21" x14ac:dyDescent="0.25">
      <c r="A187" s="10">
        <v>46140</v>
      </c>
      <c r="B187" s="10" t="s">
        <v>58</v>
      </c>
      <c r="C187" s="1" t="s">
        <v>68</v>
      </c>
      <c r="D187" s="15">
        <v>0.45833333333333331</v>
      </c>
      <c r="E187" s="16">
        <v>0.54166666666666663</v>
      </c>
      <c r="F187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187" s="18" t="s">
        <v>56</v>
      </c>
      <c r="H187" s="19">
        <v>42675</v>
      </c>
      <c r="I187" s="7" t="str">
        <f>IFERROR(INDEX(Tabla_control_serigrafia[PRODUCTO],MATCH(Tabla_producción_serigrafia[[#This Row],[LOTE]],Tabla_control_serigrafia[LOTE],0)),"-")</f>
        <v>DICLOXACILINA 250 MG X 100 ML POLVO PARA SUSP.</v>
      </c>
      <c r="J187" s="20" t="str">
        <f>IFERROR(INDEX(Tabla_control_serigrafia[FORMATO DE FRASCO],MATCH(Tabla_producción_serigrafia[[#This Row],[LOTE]],Tabla_control_serigrafia[LOTE],0)),"-")</f>
        <v>120 ML</v>
      </c>
      <c r="K187" s="20" t="str">
        <f>IFERROR(INDEX(Tabla_control_serigrafia[TIPO DE FRASCO],MATCH(Tabla_producción_serigrafia[[#This Row],[LOTE]],Tabla_control_serigrafia[LOTE],0)),"-")</f>
        <v>FRASCO NATURAL</v>
      </c>
      <c r="L187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87" s="21">
        <f>IFERROR(INDEX(Tabla_control_serigrafia[CANTIDAD PEDIDA],MATCH(Tabla_producción_serigrafia[[#This Row],[LOTE]],Tabla_control_serigrafia[LOTE],0)),"-")</f>
        <v>5100</v>
      </c>
      <c r="N187" s="22">
        <v>5200</v>
      </c>
      <c r="O187" s="19">
        <v>50</v>
      </c>
      <c r="P187" s="23" t="s">
        <v>62</v>
      </c>
      <c r="Q18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5200</v>
      </c>
      <c r="R187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27</v>
      </c>
      <c r="S187" s="25"/>
      <c r="T187" s="20" t="str">
        <f>UPPER(LEFT(TEXT(Tabla_producción_serigrafia[[#This Row],[FECHA]],"mmm"),3))</f>
        <v>ABR</v>
      </c>
      <c r="U187" s="20">
        <f>IFERROR(Tabla_producción_serigrafia[[#This Row],[CANTIDAD PRODUCIDA]]+Tabla_producción_serigrafia[[#This Row],[CANTIDAD RECHAZADA]],0)</f>
        <v>5250</v>
      </c>
    </row>
    <row r="188" spans="1:21" x14ac:dyDescent="0.25">
      <c r="A188" s="10">
        <v>46140</v>
      </c>
      <c r="B188" s="10" t="s">
        <v>58</v>
      </c>
      <c r="C188" s="1" t="s">
        <v>68</v>
      </c>
      <c r="D188" s="15">
        <v>0.54166666666666663</v>
      </c>
      <c r="E188" s="16">
        <v>0.58333333333333337</v>
      </c>
      <c r="F188" s="17">
        <f>ROUND((Tabla_producción_serigrafia[[#This Row],[FIN]]-Tabla_producción_serigrafia[[#This Row],[INICIO]]+(Tabla_producción_serigrafia[[#This Row],[FIN]]&lt;Tabla_producción_serigrafia[[#This Row],[INICIO]]))*24,2)</f>
        <v>1</v>
      </c>
      <c r="G188" s="18" t="s">
        <v>56</v>
      </c>
      <c r="H188" s="19">
        <v>42674</v>
      </c>
      <c r="I188" s="7" t="str">
        <f>IFERROR(INDEX(Tabla_control_serigrafia[PRODUCTO],MATCH(Tabla_producción_serigrafia[[#This Row],[LOTE]],Tabla_control_serigrafia[LOTE],0)),"-")</f>
        <v>DICLOXACILINA 250 MG X 100 ML POLVO PARA SUSP.</v>
      </c>
      <c r="J188" s="20" t="str">
        <f>IFERROR(INDEX(Tabla_control_serigrafia[FORMATO DE FRASCO],MATCH(Tabla_producción_serigrafia[[#This Row],[LOTE]],Tabla_control_serigrafia[LOTE],0)),"-")</f>
        <v>120 ML</v>
      </c>
      <c r="K188" s="20" t="str">
        <f>IFERROR(INDEX(Tabla_control_serigrafia[TIPO DE FRASCO],MATCH(Tabla_producción_serigrafia[[#This Row],[LOTE]],Tabla_control_serigrafia[LOTE],0)),"-")</f>
        <v>FRASCO NATURAL</v>
      </c>
      <c r="L188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88" s="21">
        <f>IFERROR(INDEX(Tabla_control_serigrafia[CANTIDAD PEDIDA],MATCH(Tabla_producción_serigrafia[[#This Row],[LOTE]],Tabla_control_serigrafia[LOTE],0)),"-")</f>
        <v>1700</v>
      </c>
      <c r="N188" s="22">
        <v>1800</v>
      </c>
      <c r="O188" s="19">
        <v>48</v>
      </c>
      <c r="P188" s="23" t="s">
        <v>62</v>
      </c>
      <c r="Q18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1800</v>
      </c>
      <c r="R18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27</v>
      </c>
      <c r="S188" s="25"/>
      <c r="T188" s="20" t="str">
        <f>UPPER(LEFT(TEXT(Tabla_producción_serigrafia[[#This Row],[FECHA]],"mmm"),3))</f>
        <v>ABR</v>
      </c>
      <c r="U188" s="20">
        <f>IFERROR(Tabla_producción_serigrafia[[#This Row],[CANTIDAD PRODUCIDA]]+Tabla_producción_serigrafia[[#This Row],[CANTIDAD RECHAZADA]],0)</f>
        <v>1848</v>
      </c>
    </row>
    <row r="189" spans="1:21" x14ac:dyDescent="0.25">
      <c r="A189" s="10">
        <v>46140</v>
      </c>
      <c r="B189" s="10" t="s">
        <v>58</v>
      </c>
      <c r="C189" s="1" t="s">
        <v>68</v>
      </c>
      <c r="D189" s="15">
        <v>0.58333333333333337</v>
      </c>
      <c r="E189" s="16">
        <v>0.70833333333333337</v>
      </c>
      <c r="F189" s="17">
        <f>ROUND((Tabla_producción_serigrafia[[#This Row],[FIN]]-Tabla_producción_serigrafia[[#This Row],[INICIO]]+(Tabla_producción_serigrafia[[#This Row],[FIN]]&lt;Tabla_producción_serigrafia[[#This Row],[INICIO]]))*24,2)</f>
        <v>3</v>
      </c>
      <c r="G189" s="18" t="s">
        <v>56</v>
      </c>
      <c r="H189" s="19">
        <v>42673</v>
      </c>
      <c r="I189" s="7" t="str">
        <f>IFERROR(INDEX(Tabla_control_serigrafia[PRODUCTO],MATCH(Tabla_producción_serigrafia[[#This Row],[LOTE]],Tabla_control_serigrafia[LOTE],0)),"-")</f>
        <v>AMOXICILINA 250 MG X 100 ML POLVO PARA SUSP.</v>
      </c>
      <c r="J189" s="20" t="str">
        <f>IFERROR(INDEX(Tabla_control_serigrafia[FORMATO DE FRASCO],MATCH(Tabla_producción_serigrafia[[#This Row],[LOTE]],Tabla_control_serigrafia[LOTE],0)),"-")</f>
        <v>120 ML</v>
      </c>
      <c r="K189" s="20" t="str">
        <f>IFERROR(INDEX(Tabla_control_serigrafia[TIPO DE FRASCO],MATCH(Tabla_producción_serigrafia[[#This Row],[LOTE]],Tabla_control_serigrafia[LOTE],0)),"-")</f>
        <v>FRASCO NATURAL</v>
      </c>
      <c r="L189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89" s="21">
        <f>IFERROR(INDEX(Tabla_control_serigrafia[CANTIDAD PEDIDA],MATCH(Tabla_producción_serigrafia[[#This Row],[LOTE]],Tabla_control_serigrafia[LOTE],0)),"-")</f>
        <v>6000</v>
      </c>
      <c r="N189" s="22">
        <v>6100</v>
      </c>
      <c r="O189" s="19">
        <v>40</v>
      </c>
      <c r="P189" s="23" t="s">
        <v>62</v>
      </c>
      <c r="Q18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189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27</v>
      </c>
      <c r="S189" s="25"/>
      <c r="T189" s="20" t="str">
        <f>UPPER(LEFT(TEXT(Tabla_producción_serigrafia[[#This Row],[FECHA]],"mmm"),3))</f>
        <v>ABR</v>
      </c>
      <c r="U189" s="20">
        <f>IFERROR(Tabla_producción_serigrafia[[#This Row],[CANTIDAD PRODUCIDA]]+Tabla_producción_serigrafia[[#This Row],[CANTIDAD RECHAZADA]],0)</f>
        <v>6140</v>
      </c>
    </row>
    <row r="190" spans="1:21" x14ac:dyDescent="0.25">
      <c r="A190" s="10">
        <v>46140</v>
      </c>
      <c r="B190" s="10" t="s">
        <v>58</v>
      </c>
      <c r="C190" s="1" t="s">
        <v>68</v>
      </c>
      <c r="D190" s="15">
        <v>0.70833333333333337</v>
      </c>
      <c r="E190" s="16">
        <v>0.72916666666666663</v>
      </c>
      <c r="F190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90" s="18" t="s">
        <v>57</v>
      </c>
      <c r="H190" s="19" t="s">
        <v>38</v>
      </c>
      <c r="I190" s="7" t="str">
        <f>IFERROR(INDEX(Tabla_control_serigrafia[PRODUCTO],MATCH(Tabla_producción_serigrafia[[#This Row],[LOTE]],Tabla_control_serigrafia[LOTE],0)),"-")</f>
        <v>-</v>
      </c>
      <c r="J190" s="20" t="str">
        <f>IFERROR(INDEX(Tabla_control_serigrafia[FORMATO DE FRASCO],MATCH(Tabla_producción_serigrafia[[#This Row],[LOTE]],Tabla_control_serigrafia[LOTE],0)),"-")</f>
        <v>-</v>
      </c>
      <c r="K190" s="20" t="str">
        <f>IFERROR(INDEX(Tabla_control_serigrafia[TIPO DE FRASCO],MATCH(Tabla_producción_serigrafia[[#This Row],[LOTE]],Tabla_control_serigrafia[LOTE],0)),"-")</f>
        <v>-</v>
      </c>
      <c r="L190" t="str">
        <f>IF(Tabla_producción_serigrafia[[#This Row],[ACCIÓN]]="PRODUCCIÓN",Tabla_producción_serigrafia[[#This Row],[FORMATO DE FRASCO]]&amp;" "&amp;Tabla_producción_serigrafia[[#This Row],[TIPO DE FRASCO]],"-")</f>
        <v>-</v>
      </c>
      <c r="M190" s="21" t="str">
        <f>IFERROR(INDEX(Tabla_control_serigrafia[CANTIDAD PEDIDA],MATCH(Tabla_producción_serigrafia[[#This Row],[LOTE]],Tabla_control_serigrafia[LOTE],0)),"-")</f>
        <v>-</v>
      </c>
      <c r="N190" s="22">
        <v>0</v>
      </c>
      <c r="O190" s="19">
        <v>0</v>
      </c>
      <c r="P190" s="23">
        <v>0</v>
      </c>
      <c r="Q19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9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90" s="25" t="s">
        <v>63</v>
      </c>
      <c r="T190" s="20" t="str">
        <f>UPPER(LEFT(TEXT(Tabla_producción_serigrafia[[#This Row],[FECHA]],"mmm"),3))</f>
        <v>ABR</v>
      </c>
      <c r="U190" s="20">
        <f>IFERROR(Tabla_producción_serigrafia[[#This Row],[CANTIDAD PRODUCIDA]]+Tabla_producción_serigrafia[[#This Row],[CANTIDAD RECHAZADA]],0)</f>
        <v>0</v>
      </c>
    </row>
    <row r="191" spans="1:21" x14ac:dyDescent="0.25">
      <c r="A191" s="10">
        <v>46140</v>
      </c>
      <c r="B191" s="10" t="s">
        <v>58</v>
      </c>
      <c r="C191" s="1" t="s">
        <v>68</v>
      </c>
      <c r="D191" s="15">
        <v>0.72916666666666663</v>
      </c>
      <c r="E191" s="16">
        <v>0.91666666666666663</v>
      </c>
      <c r="F191" s="17">
        <f>ROUND((Tabla_producción_serigrafia[[#This Row],[FIN]]-Tabla_producción_serigrafia[[#This Row],[INICIO]]+(Tabla_producción_serigrafia[[#This Row],[FIN]]&lt;Tabla_producción_serigrafia[[#This Row],[INICIO]]))*24,2)</f>
        <v>4.5</v>
      </c>
      <c r="G191" s="18" t="s">
        <v>56</v>
      </c>
      <c r="H191" s="19">
        <v>42653</v>
      </c>
      <c r="I191" s="7" t="str">
        <f>IFERROR(INDEX(Tabla_control_serigrafia[PRODUCTO],MATCH(Tabla_producción_serigrafia[[#This Row],[LOTE]],Tabla_control_serigrafia[LOTE],0)),"-")</f>
        <v>DEXTROMETORFANO 10 MG X 100 ML JARABE</v>
      </c>
      <c r="J191" s="20" t="str">
        <f>IFERROR(INDEX(Tabla_control_serigrafia[FORMATO DE FRASCO],MATCH(Tabla_producción_serigrafia[[#This Row],[LOTE]],Tabla_control_serigrafia[LOTE],0)),"-")</f>
        <v>120 ML</v>
      </c>
      <c r="K191" s="20" t="str">
        <f>IFERROR(INDEX(Tabla_control_serigrafia[TIPO DE FRASCO],MATCH(Tabla_producción_serigrafia[[#This Row],[LOTE]],Tabla_control_serigrafia[LOTE],0)),"-")</f>
        <v>FRASCO BLANCO</v>
      </c>
      <c r="L19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91" s="21">
        <f>IFERROR(INDEX(Tabla_control_serigrafia[CANTIDAD PEDIDA],MATCH(Tabla_producción_serigrafia[[#This Row],[LOTE]],Tabla_control_serigrafia[LOTE],0)),"-")</f>
        <v>29703</v>
      </c>
      <c r="N191" s="22">
        <v>12000</v>
      </c>
      <c r="O191" s="19">
        <v>120</v>
      </c>
      <c r="P191" s="3" t="s">
        <v>178</v>
      </c>
      <c r="Q19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12000</v>
      </c>
      <c r="R19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91" s="25"/>
      <c r="T191" s="20" t="str">
        <f>UPPER(LEFT(TEXT(Tabla_producción_serigrafia[[#This Row],[FECHA]],"mmm"),3))</f>
        <v>ABR</v>
      </c>
      <c r="U191" s="20">
        <f>IFERROR(Tabla_producción_serigrafia[[#This Row],[CANTIDAD PRODUCIDA]]+Tabla_producción_serigrafia[[#This Row],[CANTIDAD RECHAZADA]],0)</f>
        <v>12120</v>
      </c>
    </row>
    <row r="192" spans="1:21" x14ac:dyDescent="0.25">
      <c r="A192" s="10">
        <v>46141</v>
      </c>
      <c r="B192" s="10" t="s">
        <v>58</v>
      </c>
      <c r="C192" s="1" t="s">
        <v>68</v>
      </c>
      <c r="D192" s="15">
        <v>0.33333333333333331</v>
      </c>
      <c r="E192" s="16">
        <v>0.35416666666666669</v>
      </c>
      <c r="F192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192" s="18" t="s">
        <v>57</v>
      </c>
      <c r="H192" s="19" t="s">
        <v>38</v>
      </c>
      <c r="I192" s="7" t="str">
        <f>IFERROR(INDEX(Tabla_control_serigrafia[PRODUCTO],MATCH(Tabla_producción_serigrafia[[#This Row],[LOTE]],Tabla_control_serigrafia[LOTE],0)),"-")</f>
        <v>-</v>
      </c>
      <c r="J192" s="20" t="str">
        <f>IFERROR(INDEX(Tabla_control_serigrafia[FORMATO DE FRASCO],MATCH(Tabla_producción_serigrafia[[#This Row],[LOTE]],Tabla_control_serigrafia[LOTE],0)),"-")</f>
        <v>-</v>
      </c>
      <c r="K192" s="20" t="str">
        <f>IFERROR(INDEX(Tabla_control_serigrafia[TIPO DE FRASCO],MATCH(Tabla_producción_serigrafia[[#This Row],[LOTE]],Tabla_control_serigrafia[LOTE],0)),"-")</f>
        <v>-</v>
      </c>
      <c r="L192" t="str">
        <f>IF(Tabla_producción_serigrafia[[#This Row],[ACCIÓN]]="PRODUCCIÓN",Tabla_producción_serigrafia[[#This Row],[FORMATO DE FRASCO]]&amp;" "&amp;Tabla_producción_serigrafia[[#This Row],[TIPO DE FRASCO]],"-")</f>
        <v>-</v>
      </c>
      <c r="M192" s="21" t="str">
        <f>IFERROR(INDEX(Tabla_control_serigrafia[CANTIDAD PEDIDA],MATCH(Tabla_producción_serigrafia[[#This Row],[LOTE]],Tabla_control_serigrafia[LOTE],0)),"-")</f>
        <v>-</v>
      </c>
      <c r="N192" s="22">
        <v>0</v>
      </c>
      <c r="O192" s="19">
        <v>0</v>
      </c>
      <c r="P192" s="23">
        <v>0</v>
      </c>
      <c r="Q19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9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92" s="25" t="s">
        <v>63</v>
      </c>
      <c r="T192" s="20" t="str">
        <f>UPPER(LEFT(TEXT(Tabla_producción_serigrafia[[#This Row],[FECHA]],"mmm"),3))</f>
        <v>ABR</v>
      </c>
      <c r="U192" s="20">
        <f>IFERROR(Tabla_producción_serigrafia[[#This Row],[CANTIDAD PRODUCIDA]]+Tabla_producción_serigrafia[[#This Row],[CANTIDAD RECHAZADA]],0)</f>
        <v>0</v>
      </c>
    </row>
    <row r="193" spans="1:21" x14ac:dyDescent="0.25">
      <c r="A193" s="10">
        <v>46141</v>
      </c>
      <c r="B193" s="10" t="s">
        <v>58</v>
      </c>
      <c r="C193" s="1" t="s">
        <v>68</v>
      </c>
      <c r="D193" s="15">
        <v>0.35416666666666669</v>
      </c>
      <c r="E193" s="16">
        <v>0.45833333333333331</v>
      </c>
      <c r="F193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193" s="18" t="s">
        <v>56</v>
      </c>
      <c r="H193" s="19">
        <v>42680</v>
      </c>
      <c r="I193" s="7" t="str">
        <f>IFERROR(INDEX(Tabla_control_serigrafia[PRODUCTO],MATCH(Tabla_producción_serigrafia[[#This Row],[LOTE]],Tabla_control_serigrafia[LOTE],0)),"-")</f>
        <v>SARNOL 20% X 100 ML LOCION</v>
      </c>
      <c r="J193" s="20" t="str">
        <f>IFERROR(INDEX(Tabla_control_serigrafia[FORMATO DE FRASCO],MATCH(Tabla_producción_serigrafia[[#This Row],[LOTE]],Tabla_control_serigrafia[LOTE],0)),"-")</f>
        <v>120 ML</v>
      </c>
      <c r="K193" s="20" t="str">
        <f>IFERROR(INDEX(Tabla_control_serigrafia[TIPO DE FRASCO],MATCH(Tabla_producción_serigrafia[[#This Row],[LOTE]],Tabla_control_serigrafia[LOTE],0)),"-")</f>
        <v>FRASCO NATURAL</v>
      </c>
      <c r="L193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93" s="21">
        <f>IFERROR(INDEX(Tabla_control_serigrafia[CANTIDAD PEDIDA],MATCH(Tabla_producción_serigrafia[[#This Row],[LOTE]],Tabla_control_serigrafia[LOTE],0)),"-")</f>
        <v>6000</v>
      </c>
      <c r="N193" s="22">
        <v>6100</v>
      </c>
      <c r="O193" s="19">
        <v>60</v>
      </c>
      <c r="P193" s="23" t="s">
        <v>62</v>
      </c>
      <c r="Q19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193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28</v>
      </c>
      <c r="S193" s="25"/>
      <c r="T193" s="20" t="str">
        <f>UPPER(LEFT(TEXT(Tabla_producción_serigrafia[[#This Row],[FECHA]],"mmm"),3))</f>
        <v>ABR</v>
      </c>
      <c r="U193" s="20">
        <f>IFERROR(Tabla_producción_serigrafia[[#This Row],[CANTIDAD PRODUCIDA]]+Tabla_producción_serigrafia[[#This Row],[CANTIDAD RECHAZADA]],0)</f>
        <v>6160</v>
      </c>
    </row>
    <row r="194" spans="1:21" x14ac:dyDescent="0.25">
      <c r="A194" s="10">
        <v>46141</v>
      </c>
      <c r="B194" s="10" t="s">
        <v>58</v>
      </c>
      <c r="C194" s="1" t="s">
        <v>68</v>
      </c>
      <c r="D194" s="15">
        <v>0.45833333333333331</v>
      </c>
      <c r="E194" s="16">
        <v>0.5625</v>
      </c>
      <c r="F194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194" s="18" t="s">
        <v>56</v>
      </c>
      <c r="H194" s="19">
        <v>42678</v>
      </c>
      <c r="I194" s="7" t="str">
        <f>IFERROR(INDEX(Tabla_control_serigrafia[PRODUCTO],MATCH(Tabla_producción_serigrafia[[#This Row],[LOTE]],Tabla_control_serigrafia[LOTE],0)),"-")</f>
        <v>SARNOL 20% X 100 ML LOCION</v>
      </c>
      <c r="J194" s="20" t="str">
        <f>IFERROR(INDEX(Tabla_control_serigrafia[FORMATO DE FRASCO],MATCH(Tabla_producción_serigrafia[[#This Row],[LOTE]],Tabla_control_serigrafia[LOTE],0)),"-")</f>
        <v>120 ML</v>
      </c>
      <c r="K194" s="20" t="str">
        <f>IFERROR(INDEX(Tabla_control_serigrafia[TIPO DE FRASCO],MATCH(Tabla_producción_serigrafia[[#This Row],[LOTE]],Tabla_control_serigrafia[LOTE],0)),"-")</f>
        <v>FRASCO NATURAL</v>
      </c>
      <c r="L194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94" s="21">
        <f>IFERROR(INDEX(Tabla_control_serigrafia[CANTIDAD PEDIDA],MATCH(Tabla_producción_serigrafia[[#This Row],[LOTE]],Tabla_control_serigrafia[LOTE],0)),"-")</f>
        <v>4000</v>
      </c>
      <c r="N194" s="22">
        <v>4100</v>
      </c>
      <c r="O194" s="19">
        <v>40</v>
      </c>
      <c r="P194" s="23" t="s">
        <v>62</v>
      </c>
      <c r="Q19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4100</v>
      </c>
      <c r="R19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28</v>
      </c>
      <c r="S194" s="25"/>
      <c r="T194" s="20" t="str">
        <f>UPPER(LEFT(TEXT(Tabla_producción_serigrafia[[#This Row],[FECHA]],"mmm"),3))</f>
        <v>ABR</v>
      </c>
      <c r="U194" s="20">
        <f>IFERROR(Tabla_producción_serigrafia[[#This Row],[CANTIDAD PRODUCIDA]]+Tabla_producción_serigrafia[[#This Row],[CANTIDAD RECHAZADA]],0)</f>
        <v>4140</v>
      </c>
    </row>
    <row r="195" spans="1:21" x14ac:dyDescent="0.25">
      <c r="A195" s="10">
        <v>46141</v>
      </c>
      <c r="B195" s="10" t="s">
        <v>58</v>
      </c>
      <c r="C195" s="1" t="s">
        <v>68</v>
      </c>
      <c r="D195" s="15">
        <v>0.5625</v>
      </c>
      <c r="E195" s="16">
        <v>0.625</v>
      </c>
      <c r="F195" s="17">
        <f>ROUND((Tabla_producción_serigrafia[[#This Row],[FIN]]-Tabla_producción_serigrafia[[#This Row],[INICIO]]+(Tabla_producción_serigrafia[[#This Row],[FIN]]&lt;Tabla_producción_serigrafia[[#This Row],[INICIO]]))*24,2)</f>
        <v>1.5</v>
      </c>
      <c r="G195" s="18" t="s">
        <v>56</v>
      </c>
      <c r="H195" s="19">
        <v>42679</v>
      </c>
      <c r="I195" s="7" t="str">
        <f>IFERROR(INDEX(Tabla_control_serigrafia[PRODUCTO],MATCH(Tabla_producción_serigrafia[[#This Row],[LOTE]],Tabla_control_serigrafia[LOTE],0)),"-")</f>
        <v>SARNOL 20% X 100 ML LOCION</v>
      </c>
      <c r="J195" s="20" t="str">
        <f>IFERROR(INDEX(Tabla_control_serigrafia[FORMATO DE FRASCO],MATCH(Tabla_producción_serigrafia[[#This Row],[LOTE]],Tabla_control_serigrafia[LOTE],0)),"-")</f>
        <v>120 ML</v>
      </c>
      <c r="K195" s="20" t="str">
        <f>IFERROR(INDEX(Tabla_control_serigrafia[TIPO DE FRASCO],MATCH(Tabla_producción_serigrafia[[#This Row],[LOTE]],Tabla_control_serigrafia[LOTE],0)),"-")</f>
        <v>FRASCO NATURAL</v>
      </c>
      <c r="L195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95" s="21">
        <f>IFERROR(INDEX(Tabla_control_serigrafia[CANTIDAD PEDIDA],MATCH(Tabla_producción_serigrafia[[#This Row],[LOTE]],Tabla_control_serigrafia[LOTE],0)),"-")</f>
        <v>4000</v>
      </c>
      <c r="N195" s="22">
        <v>4100</v>
      </c>
      <c r="O195" s="19">
        <v>50</v>
      </c>
      <c r="P195" s="23" t="s">
        <v>62</v>
      </c>
      <c r="Q19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4100</v>
      </c>
      <c r="R195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28</v>
      </c>
      <c r="S195" s="25"/>
      <c r="T195" s="20" t="str">
        <f>UPPER(LEFT(TEXT(Tabla_producción_serigrafia[[#This Row],[FECHA]],"mmm"),3))</f>
        <v>ABR</v>
      </c>
      <c r="U195" s="20">
        <f>IFERROR(Tabla_producción_serigrafia[[#This Row],[CANTIDAD PRODUCIDA]]+Tabla_producción_serigrafia[[#This Row],[CANTIDAD RECHAZADA]],0)</f>
        <v>4150</v>
      </c>
    </row>
    <row r="196" spans="1:21" x14ac:dyDescent="0.25">
      <c r="A196" s="10">
        <v>46141</v>
      </c>
      <c r="B196" s="10" t="s">
        <v>58</v>
      </c>
      <c r="C196" s="1" t="s">
        <v>68</v>
      </c>
      <c r="D196" s="15">
        <v>0.625</v>
      </c>
      <c r="E196" s="16">
        <v>0.79166666666666663</v>
      </c>
      <c r="F196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196" s="18" t="s">
        <v>56</v>
      </c>
      <c r="H196" s="19">
        <v>42681</v>
      </c>
      <c r="I196" s="7" t="str">
        <f>IFERROR(INDEX(Tabla_control_serigrafia[PRODUCTO],MATCH(Tabla_producción_serigrafia[[#This Row],[LOTE]],Tabla_control_serigrafia[LOTE],0)),"-")</f>
        <v>SARNOL 20% X 100 ML LOCION</v>
      </c>
      <c r="J196" s="20" t="str">
        <f>IFERROR(INDEX(Tabla_control_serigrafia[FORMATO DE FRASCO],MATCH(Tabla_producción_serigrafia[[#This Row],[LOTE]],Tabla_control_serigrafia[LOTE],0)),"-")</f>
        <v>120 ML</v>
      </c>
      <c r="K196" s="20" t="str">
        <f>IFERROR(INDEX(Tabla_control_serigrafia[TIPO DE FRASCO],MATCH(Tabla_producción_serigrafia[[#This Row],[LOTE]],Tabla_control_serigrafia[LOTE],0)),"-")</f>
        <v>FRASCO NATURAL</v>
      </c>
      <c r="L196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96" s="21">
        <f>IFERROR(INDEX(Tabla_control_serigrafia[CANTIDAD PEDIDA],MATCH(Tabla_producción_serigrafia[[#This Row],[LOTE]],Tabla_control_serigrafia[LOTE],0)),"-")</f>
        <v>6000</v>
      </c>
      <c r="N196" s="22">
        <v>6100</v>
      </c>
      <c r="O196" s="19">
        <v>50</v>
      </c>
      <c r="P196" s="23" t="s">
        <v>62</v>
      </c>
      <c r="Q19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196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28</v>
      </c>
      <c r="S196" s="25"/>
      <c r="T196" s="20" t="str">
        <f>UPPER(LEFT(TEXT(Tabla_producción_serigrafia[[#This Row],[FECHA]],"mmm"),3))</f>
        <v>ABR</v>
      </c>
      <c r="U196" s="20">
        <f>IFERROR(Tabla_producción_serigrafia[[#This Row],[CANTIDAD PRODUCIDA]]+Tabla_producción_serigrafia[[#This Row],[CANTIDAD RECHAZADA]],0)</f>
        <v>6150</v>
      </c>
    </row>
    <row r="197" spans="1:21" x14ac:dyDescent="0.25">
      <c r="A197" s="10">
        <v>46141</v>
      </c>
      <c r="B197" s="10" t="s">
        <v>58</v>
      </c>
      <c r="C197" s="1" t="s">
        <v>68</v>
      </c>
      <c r="D197" s="15">
        <v>0.79166666666666663</v>
      </c>
      <c r="E197" s="16">
        <v>0.91666666666666663</v>
      </c>
      <c r="F197" s="17">
        <f>ROUND((Tabla_producción_serigrafia[[#This Row],[FIN]]-Tabla_producción_serigrafia[[#This Row],[INICIO]]+(Tabla_producción_serigrafia[[#This Row],[FIN]]&lt;Tabla_producción_serigrafia[[#This Row],[INICIO]]))*24,2)</f>
        <v>3</v>
      </c>
      <c r="G197" s="18" t="s">
        <v>56</v>
      </c>
      <c r="H197" s="19">
        <v>42682</v>
      </c>
      <c r="I197" s="7" t="str">
        <f>IFERROR(INDEX(Tabla_control_serigrafia[PRODUCTO],MATCH(Tabla_producción_serigrafia[[#This Row],[LOTE]],Tabla_control_serigrafia[LOTE],0)),"-")</f>
        <v>SARNOL 20% X 100 ML LOCION</v>
      </c>
      <c r="J197" s="20" t="str">
        <f>IFERROR(INDEX(Tabla_control_serigrafia[FORMATO DE FRASCO],MATCH(Tabla_producción_serigrafia[[#This Row],[LOTE]],Tabla_control_serigrafia[LOTE],0)),"-")</f>
        <v>120 ML</v>
      </c>
      <c r="K197" s="20" t="str">
        <f>IFERROR(INDEX(Tabla_control_serigrafia[TIPO DE FRASCO],MATCH(Tabla_producción_serigrafia[[#This Row],[LOTE]],Tabla_control_serigrafia[LOTE],0)),"-")</f>
        <v>FRASCO NATURAL</v>
      </c>
      <c r="L197" t="str">
        <f>IF(Tabla_producción_serigrafia[[#This Row],[ACCIÓN]]="PRODUCCIÓN",Tabla_producción_serigrafia[[#This Row],[FORMATO DE FRASCO]]&amp;" "&amp;Tabla_producción_serigrafia[[#This Row],[TIPO DE FRASCO]],"-")</f>
        <v>120 ML FRASCO NATURAL</v>
      </c>
      <c r="M197" s="21">
        <f>IFERROR(INDEX(Tabla_control_serigrafia[CANTIDAD PEDIDA],MATCH(Tabla_producción_serigrafia[[#This Row],[LOTE]],Tabla_control_serigrafia[LOTE],0)),"-")</f>
        <v>6000</v>
      </c>
      <c r="N197" s="22">
        <v>6100</v>
      </c>
      <c r="O197" s="19">
        <v>46</v>
      </c>
      <c r="P197" s="23" t="s">
        <v>62</v>
      </c>
      <c r="Q19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6100</v>
      </c>
      <c r="R197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28</v>
      </c>
      <c r="S197" s="25"/>
      <c r="T197" s="20" t="str">
        <f>UPPER(LEFT(TEXT(Tabla_producción_serigrafia[[#This Row],[FECHA]],"mmm"),3))</f>
        <v>ABR</v>
      </c>
      <c r="U197" s="20">
        <f>IFERROR(Tabla_producción_serigrafia[[#This Row],[CANTIDAD PRODUCIDA]]+Tabla_producción_serigrafia[[#This Row],[CANTIDAD RECHAZADA]],0)</f>
        <v>6146</v>
      </c>
    </row>
    <row r="198" spans="1:21" x14ac:dyDescent="0.25">
      <c r="A198" s="10">
        <v>46142</v>
      </c>
      <c r="B198" s="10" t="s">
        <v>58</v>
      </c>
      <c r="C198" s="1" t="s">
        <v>68</v>
      </c>
      <c r="D198" s="15">
        <v>0.33333333333333331</v>
      </c>
      <c r="E198" s="16">
        <v>0.34722222222222227</v>
      </c>
      <c r="F198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198" s="18" t="s">
        <v>57</v>
      </c>
      <c r="H198" s="19" t="s">
        <v>38</v>
      </c>
      <c r="I198" s="7" t="str">
        <f>IFERROR(INDEX(Tabla_control_serigrafia[PRODUCTO],MATCH(Tabla_producción_serigrafia[[#This Row],[LOTE]],Tabla_control_serigrafia[LOTE],0)),"-")</f>
        <v>-</v>
      </c>
      <c r="J198" s="20" t="str">
        <f>IFERROR(INDEX(Tabla_control_serigrafia[FORMATO DE FRASCO],MATCH(Tabla_producción_serigrafia[[#This Row],[LOTE]],Tabla_control_serigrafia[LOTE],0)),"-")</f>
        <v>-</v>
      </c>
      <c r="K198" s="20" t="str">
        <f>IFERROR(INDEX(Tabla_control_serigrafia[TIPO DE FRASCO],MATCH(Tabla_producción_serigrafia[[#This Row],[LOTE]],Tabla_control_serigrafia[LOTE],0)),"-")</f>
        <v>-</v>
      </c>
      <c r="L198" t="str">
        <f>IF(Tabla_producción_serigrafia[[#This Row],[ACCIÓN]]="PRODUCCIÓN",Tabla_producción_serigrafia[[#This Row],[FORMATO DE FRASCO]]&amp;" "&amp;Tabla_producción_serigrafia[[#This Row],[TIPO DE FRASCO]],"-")</f>
        <v>-</v>
      </c>
      <c r="M198" s="21" t="str">
        <f>IFERROR(INDEX(Tabla_control_serigrafia[CANTIDAD PEDIDA],MATCH(Tabla_producción_serigrafia[[#This Row],[LOTE]],Tabla_control_serigrafia[LOTE],0)),"-")</f>
        <v>-</v>
      </c>
      <c r="N198" s="22">
        <v>0</v>
      </c>
      <c r="O198" s="19">
        <v>0</v>
      </c>
      <c r="P198" s="23">
        <v>0</v>
      </c>
      <c r="Q19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198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198" s="25" t="s">
        <v>63</v>
      </c>
      <c r="T198" s="20" t="str">
        <f>UPPER(LEFT(TEXT(Tabla_producción_serigrafia[[#This Row],[FECHA]],"mmm"),3))</f>
        <v>ABR</v>
      </c>
      <c r="U198" s="20">
        <f>IFERROR(Tabla_producción_serigrafia[[#This Row],[CANTIDAD PRODUCIDA]]+Tabla_producción_serigrafia[[#This Row],[CANTIDAD RECHAZADA]],0)</f>
        <v>0</v>
      </c>
    </row>
    <row r="199" spans="1:21" x14ac:dyDescent="0.25">
      <c r="A199" s="10">
        <v>46142</v>
      </c>
      <c r="B199" s="10" t="s">
        <v>58</v>
      </c>
      <c r="C199" s="1" t="s">
        <v>68</v>
      </c>
      <c r="D199" s="15">
        <v>0.34722222222222227</v>
      </c>
      <c r="E199" s="16">
        <v>0.64583333333333337</v>
      </c>
      <c r="F199" s="17">
        <f>ROUND((Tabla_producción_serigrafia[[#This Row],[FIN]]-Tabla_producción_serigrafia[[#This Row],[INICIO]]+(Tabla_producción_serigrafia[[#This Row],[FIN]]&lt;Tabla_producción_serigrafia[[#This Row],[INICIO]]))*24,2)</f>
        <v>7.17</v>
      </c>
      <c r="G199" s="18" t="s">
        <v>56</v>
      </c>
      <c r="H199" s="19">
        <v>42653</v>
      </c>
      <c r="I199" s="7" t="str">
        <f>IFERROR(INDEX(Tabla_control_serigrafia[PRODUCTO],MATCH(Tabla_producción_serigrafia[[#This Row],[LOTE]],Tabla_control_serigrafia[LOTE],0)),"-")</f>
        <v>DEXTROMETORFANO 10 MG X 100 ML JARABE</v>
      </c>
      <c r="J199" s="20" t="str">
        <f>IFERROR(INDEX(Tabla_control_serigrafia[FORMATO DE FRASCO],MATCH(Tabla_producción_serigrafia[[#This Row],[LOTE]],Tabla_control_serigrafia[LOTE],0)),"-")</f>
        <v>120 ML</v>
      </c>
      <c r="K199" s="20" t="str">
        <f>IFERROR(INDEX(Tabla_control_serigrafia[TIPO DE FRASCO],MATCH(Tabla_producción_serigrafia[[#This Row],[LOTE]],Tabla_control_serigrafia[LOTE],0)),"-")</f>
        <v>FRASCO BLANCO</v>
      </c>
      <c r="L19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199" s="21">
        <f>IFERROR(INDEX(Tabla_control_serigrafia[CANTIDAD PEDIDA],MATCH(Tabla_producción_serigrafia[[#This Row],[LOTE]],Tabla_control_serigrafia[LOTE],0)),"-")</f>
        <v>29703</v>
      </c>
      <c r="N199" s="22">
        <v>17850</v>
      </c>
      <c r="O199" s="19">
        <v>286</v>
      </c>
      <c r="P199" s="23" t="s">
        <v>62</v>
      </c>
      <c r="Q19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17850</v>
      </c>
      <c r="R199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29</v>
      </c>
      <c r="S199" s="25"/>
      <c r="T199" s="20" t="str">
        <f>UPPER(LEFT(TEXT(Tabla_producción_serigrafia[[#This Row],[FECHA]],"mmm"),3))</f>
        <v>ABR</v>
      </c>
      <c r="U199" s="20">
        <f>IFERROR(Tabla_producción_serigrafia[[#This Row],[CANTIDAD PRODUCIDA]]+Tabla_producción_serigrafia[[#This Row],[CANTIDAD RECHAZADA]],0)</f>
        <v>18136</v>
      </c>
    </row>
    <row r="200" spans="1:21" x14ac:dyDescent="0.25">
      <c r="A200" s="10">
        <v>46142</v>
      </c>
      <c r="B200" s="10" t="s">
        <v>58</v>
      </c>
      <c r="C200" s="1" t="s">
        <v>68</v>
      </c>
      <c r="D200" s="15">
        <v>0.64583333333333337</v>
      </c>
      <c r="E200" s="16">
        <v>0.65972222222222221</v>
      </c>
      <c r="F200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00" s="18" t="s">
        <v>57</v>
      </c>
      <c r="H200" s="19" t="s">
        <v>38</v>
      </c>
      <c r="I200" s="7" t="str">
        <f>IFERROR(INDEX(Tabla_control_serigrafia[PRODUCTO],MATCH(Tabla_producción_serigrafia[[#This Row],[LOTE]],Tabla_control_serigrafia[LOTE],0)),"-")</f>
        <v>-</v>
      </c>
      <c r="J200" s="20" t="str">
        <f>IFERROR(INDEX(Tabla_control_serigrafia[FORMATO DE FRASCO],MATCH(Tabla_producción_serigrafia[[#This Row],[LOTE]],Tabla_control_serigrafia[LOTE],0)),"-")</f>
        <v>-</v>
      </c>
      <c r="K200" s="20" t="str">
        <f>IFERROR(INDEX(Tabla_control_serigrafia[TIPO DE FRASCO],MATCH(Tabla_producción_serigrafia[[#This Row],[LOTE]],Tabla_control_serigrafia[LOTE],0)),"-")</f>
        <v>-</v>
      </c>
      <c r="L200" t="str">
        <f>IF(Tabla_producción_serigrafia[[#This Row],[ACCIÓN]]="PRODUCCIÓN",Tabla_producción_serigrafia[[#This Row],[FORMATO DE FRASCO]]&amp;" "&amp;Tabla_producción_serigrafia[[#This Row],[TIPO DE FRASCO]],"-")</f>
        <v>-</v>
      </c>
      <c r="M200" s="21" t="str">
        <f>IFERROR(INDEX(Tabla_control_serigrafia[CANTIDAD PEDIDA],MATCH(Tabla_producción_serigrafia[[#This Row],[LOTE]],Tabla_control_serigrafia[LOTE],0)),"-")</f>
        <v>-</v>
      </c>
      <c r="N200" s="22">
        <v>0</v>
      </c>
      <c r="O200" s="19">
        <v>0</v>
      </c>
      <c r="P200" s="23">
        <v>0</v>
      </c>
      <c r="Q20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0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0" s="25" t="s">
        <v>63</v>
      </c>
      <c r="T200" s="20" t="str">
        <f>UPPER(LEFT(TEXT(Tabla_producción_serigrafia[[#This Row],[FECHA]],"mmm"),3))</f>
        <v>ABR</v>
      </c>
      <c r="U200" s="20">
        <f>IFERROR(Tabla_producción_serigrafia[[#This Row],[CANTIDAD PRODUCIDA]]+Tabla_producción_serigrafia[[#This Row],[CANTIDAD RECHAZADA]],0)</f>
        <v>0</v>
      </c>
    </row>
    <row r="201" spans="1:21" x14ac:dyDescent="0.25">
      <c r="A201" s="10">
        <v>46142</v>
      </c>
      <c r="B201" s="10" t="s">
        <v>58</v>
      </c>
      <c r="C201" s="1" t="s">
        <v>68</v>
      </c>
      <c r="D201" s="15">
        <v>0.65972222222222221</v>
      </c>
      <c r="E201" s="16">
        <v>0.91666666666666663</v>
      </c>
      <c r="F201" s="17">
        <f>ROUND((Tabla_producción_serigrafia[[#This Row],[FIN]]-Tabla_producción_serigrafia[[#This Row],[INICIO]]+(Tabla_producción_serigrafia[[#This Row],[FIN]]&lt;Tabla_producción_serigrafia[[#This Row],[INICIO]]))*24,2)</f>
        <v>6.17</v>
      </c>
      <c r="G201" s="18" t="s">
        <v>56</v>
      </c>
      <c r="H201" s="19">
        <v>42654</v>
      </c>
      <c r="I201" s="7" t="str">
        <f>IFERROR(INDEX(Tabla_control_serigrafia[PRODUCTO],MATCH(Tabla_producción_serigrafia[[#This Row],[LOTE]],Tabla_control_serigrafia[LOTE],0)),"-")</f>
        <v>DEXTROMETORFANO 10 MG X 100 ML JARABE</v>
      </c>
      <c r="J201" s="20" t="str">
        <f>IFERROR(INDEX(Tabla_control_serigrafia[FORMATO DE FRASCO],MATCH(Tabla_producción_serigrafia[[#This Row],[LOTE]],Tabla_control_serigrafia[LOTE],0)),"-")</f>
        <v>120 ML</v>
      </c>
      <c r="K201" s="20" t="str">
        <f>IFERROR(INDEX(Tabla_control_serigrafia[TIPO DE FRASCO],MATCH(Tabla_producción_serigrafia[[#This Row],[LOTE]],Tabla_control_serigrafia[LOTE],0)),"-")</f>
        <v>FRASCO BLANCO</v>
      </c>
      <c r="L20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01" s="21">
        <f>IFERROR(INDEX(Tabla_control_serigrafia[CANTIDAD PEDIDA],MATCH(Tabla_producción_serigrafia[[#This Row],[LOTE]],Tabla_control_serigrafia[LOTE],0)),"-")</f>
        <v>29703</v>
      </c>
      <c r="N201" s="22">
        <v>14000</v>
      </c>
      <c r="O201" s="19">
        <v>156</v>
      </c>
      <c r="P201" s="3" t="s">
        <v>178</v>
      </c>
      <c r="Q20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14000</v>
      </c>
      <c r="R20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1" s="25"/>
      <c r="T201" s="20" t="str">
        <f>UPPER(LEFT(TEXT(Tabla_producción_serigrafia[[#This Row],[FECHA]],"mmm"),3))</f>
        <v>ABR</v>
      </c>
      <c r="U201" s="20">
        <f>IFERROR(Tabla_producción_serigrafia[[#This Row],[CANTIDAD PRODUCIDA]]+Tabla_producción_serigrafia[[#This Row],[CANTIDAD RECHAZADA]],0)</f>
        <v>14156</v>
      </c>
    </row>
    <row r="202" spans="1:21" x14ac:dyDescent="0.25">
      <c r="A202" s="10">
        <v>46146</v>
      </c>
      <c r="B202" s="10" t="s">
        <v>58</v>
      </c>
      <c r="C202" s="1" t="s">
        <v>68</v>
      </c>
      <c r="D202" s="15">
        <v>0.25</v>
      </c>
      <c r="E202" s="16">
        <v>0.35416666666666669</v>
      </c>
      <c r="F202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202" s="18" t="s">
        <v>57</v>
      </c>
      <c r="H202" s="19" t="s">
        <v>38</v>
      </c>
      <c r="I202" s="7" t="str">
        <f>IFERROR(INDEX(Tabla_control_serigrafia[PRODUCTO],MATCH(Tabla_producción_serigrafia[[#This Row],[LOTE]],Tabla_control_serigrafia[LOTE],0)),"-")</f>
        <v>-</v>
      </c>
      <c r="J202" s="20" t="str">
        <f>IFERROR(INDEX(Tabla_control_serigrafia[FORMATO DE FRASCO],MATCH(Tabla_producción_serigrafia[[#This Row],[LOTE]],Tabla_control_serigrafia[LOTE],0)),"-")</f>
        <v>-</v>
      </c>
      <c r="K202" s="20" t="str">
        <f>IFERROR(INDEX(Tabla_control_serigrafia[TIPO DE FRASCO],MATCH(Tabla_producción_serigrafia[[#This Row],[LOTE]],Tabla_control_serigrafia[LOTE],0)),"-")</f>
        <v>-</v>
      </c>
      <c r="L202" t="str">
        <f>IF(Tabla_producción_serigrafia[[#This Row],[ACCIÓN]]="PRODUCCIÓN",Tabla_producción_serigrafia[[#This Row],[FORMATO DE FRASCO]]&amp;" "&amp;Tabla_producción_serigrafia[[#This Row],[TIPO DE FRASCO]],"-")</f>
        <v>-</v>
      </c>
      <c r="M202" s="21" t="str">
        <f>IFERROR(INDEX(Tabla_control_serigrafia[CANTIDAD PEDIDA],MATCH(Tabla_producción_serigrafia[[#This Row],[LOTE]],Tabla_control_serigrafia[LOTE],0)),"-")</f>
        <v>-</v>
      </c>
      <c r="N202" s="22">
        <v>0</v>
      </c>
      <c r="O202" s="19">
        <v>0</v>
      </c>
      <c r="P202" s="23">
        <v>0</v>
      </c>
      <c r="Q20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0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2" s="25" t="s">
        <v>63</v>
      </c>
      <c r="T202" s="20" t="str">
        <f>UPPER(LEFT(TEXT(Tabla_producción_serigrafia[[#This Row],[FECHA]],"mmm"),3))</f>
        <v>MAY</v>
      </c>
      <c r="U202" s="20">
        <f>IFERROR(Tabla_producción_serigrafia[[#This Row],[CANTIDAD PRODUCIDA]]+Tabla_producción_serigrafia[[#This Row],[CANTIDAD RECHAZADA]],0)</f>
        <v>0</v>
      </c>
    </row>
    <row r="203" spans="1:21" x14ac:dyDescent="0.25">
      <c r="A203" s="10">
        <v>46146</v>
      </c>
      <c r="B203" s="10" t="s">
        <v>58</v>
      </c>
      <c r="C203" s="1" t="s">
        <v>68</v>
      </c>
      <c r="D203" s="15">
        <v>0.35416666666666669</v>
      </c>
      <c r="E203" s="16">
        <v>0.625</v>
      </c>
      <c r="F203" s="17">
        <f>ROUND((Tabla_producción_serigrafia[[#This Row],[FIN]]-Tabla_producción_serigrafia[[#This Row],[INICIO]]+(Tabla_producción_serigrafia[[#This Row],[FIN]]&lt;Tabla_producción_serigrafia[[#This Row],[INICIO]]))*24,2)</f>
        <v>6.5</v>
      </c>
      <c r="G203" s="18" t="s">
        <v>56</v>
      </c>
      <c r="H203" s="19">
        <v>42654</v>
      </c>
      <c r="I203" s="7" t="str">
        <f>IFERROR(INDEX(Tabla_control_serigrafia[PRODUCTO],MATCH(Tabla_producción_serigrafia[[#This Row],[LOTE]],Tabla_control_serigrafia[LOTE],0)),"-")</f>
        <v>DEXTROMETORFANO 10 MG X 100 ML JARABE</v>
      </c>
      <c r="J203" s="20" t="str">
        <f>IFERROR(INDEX(Tabla_control_serigrafia[FORMATO DE FRASCO],MATCH(Tabla_producción_serigrafia[[#This Row],[LOTE]],Tabla_control_serigrafia[LOTE],0)),"-")</f>
        <v>120 ML</v>
      </c>
      <c r="K203" s="20" t="str">
        <f>IFERROR(INDEX(Tabla_control_serigrafia[TIPO DE FRASCO],MATCH(Tabla_producción_serigrafia[[#This Row],[LOTE]],Tabla_control_serigrafia[LOTE],0)),"-")</f>
        <v>FRASCO BLANCO</v>
      </c>
      <c r="L20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03" s="21">
        <f>IFERROR(INDEX(Tabla_control_serigrafia[CANTIDAD PEDIDA],MATCH(Tabla_producción_serigrafia[[#This Row],[LOTE]],Tabla_control_serigrafia[LOTE],0)),"-")</f>
        <v>29703</v>
      </c>
      <c r="N203" s="22">
        <v>15850</v>
      </c>
      <c r="O203" s="19">
        <v>120</v>
      </c>
      <c r="P203" s="23" t="s">
        <v>62</v>
      </c>
      <c r="Q20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15850</v>
      </c>
      <c r="R203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33</v>
      </c>
      <c r="S203" s="25"/>
      <c r="T203" s="20" t="str">
        <f>UPPER(LEFT(TEXT(Tabla_producción_serigrafia[[#This Row],[FECHA]],"mmm"),3))</f>
        <v>MAY</v>
      </c>
      <c r="U203" s="20">
        <f>IFERROR(Tabla_producción_serigrafia[[#This Row],[CANTIDAD PRODUCIDA]]+Tabla_producción_serigrafia[[#This Row],[CANTIDAD RECHAZADA]],0)</f>
        <v>15970</v>
      </c>
    </row>
    <row r="204" spans="1:21" x14ac:dyDescent="0.25">
      <c r="A204" s="10">
        <v>46146</v>
      </c>
      <c r="B204" s="10" t="s">
        <v>58</v>
      </c>
      <c r="C204" s="1" t="s">
        <v>68</v>
      </c>
      <c r="D204" s="15">
        <v>0.625</v>
      </c>
      <c r="E204" s="16">
        <v>0.64583333333333337</v>
      </c>
      <c r="F204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04" s="18" t="s">
        <v>57</v>
      </c>
      <c r="H204" s="19" t="s">
        <v>38</v>
      </c>
      <c r="I204" s="7" t="str">
        <f>IFERROR(INDEX(Tabla_control_serigrafia[PRODUCTO],MATCH(Tabla_producción_serigrafia[[#This Row],[LOTE]],Tabla_control_serigrafia[LOTE],0)),"-")</f>
        <v>-</v>
      </c>
      <c r="J204" s="20" t="str">
        <f>IFERROR(INDEX(Tabla_control_serigrafia[FORMATO DE FRASCO],MATCH(Tabla_producción_serigrafia[[#This Row],[LOTE]],Tabla_control_serigrafia[LOTE],0)),"-")</f>
        <v>-</v>
      </c>
      <c r="K204" s="20" t="str">
        <f>IFERROR(INDEX(Tabla_control_serigrafia[TIPO DE FRASCO],MATCH(Tabla_producción_serigrafia[[#This Row],[LOTE]],Tabla_control_serigrafia[LOTE],0)),"-")</f>
        <v>-</v>
      </c>
      <c r="L204" t="str">
        <f>IF(Tabla_producción_serigrafia[[#This Row],[ACCIÓN]]="PRODUCCIÓN",Tabla_producción_serigrafia[[#This Row],[FORMATO DE FRASCO]]&amp;" "&amp;Tabla_producción_serigrafia[[#This Row],[TIPO DE FRASCO]],"-")</f>
        <v>-</v>
      </c>
      <c r="M204" s="21" t="str">
        <f>IFERROR(INDEX(Tabla_control_serigrafia[CANTIDAD PEDIDA],MATCH(Tabla_producción_serigrafia[[#This Row],[LOTE]],Tabla_control_serigrafia[LOTE],0)),"-")</f>
        <v>-</v>
      </c>
      <c r="N204" s="22">
        <v>0</v>
      </c>
      <c r="O204" s="19">
        <v>0</v>
      </c>
      <c r="P204" s="23">
        <v>0</v>
      </c>
      <c r="Q20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0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4" s="25" t="s">
        <v>63</v>
      </c>
      <c r="T204" s="20" t="str">
        <f>UPPER(LEFT(TEXT(Tabla_producción_serigrafia[[#This Row],[FECHA]],"mmm"),3))</f>
        <v>MAY</v>
      </c>
      <c r="U204" s="20">
        <f>IFERROR(Tabla_producción_serigrafia[[#This Row],[CANTIDAD PRODUCIDA]]+Tabla_producción_serigrafia[[#This Row],[CANTIDAD RECHAZADA]],0)</f>
        <v>0</v>
      </c>
    </row>
    <row r="205" spans="1:21" x14ac:dyDescent="0.25">
      <c r="A205" s="10">
        <v>46146</v>
      </c>
      <c r="B205" s="10" t="s">
        <v>58</v>
      </c>
      <c r="C205" s="1" t="s">
        <v>68</v>
      </c>
      <c r="D205" s="15">
        <v>0.64583333333333337</v>
      </c>
      <c r="E205" s="16">
        <v>0.91666666666666663</v>
      </c>
      <c r="F205" s="17">
        <f>ROUND((Tabla_producción_serigrafia[[#This Row],[FIN]]-Tabla_producción_serigrafia[[#This Row],[INICIO]]+(Tabla_producción_serigrafia[[#This Row],[FIN]]&lt;Tabla_producción_serigrafia[[#This Row],[INICIO]]))*24,2)</f>
        <v>6.5</v>
      </c>
      <c r="G205" s="18" t="s">
        <v>56</v>
      </c>
      <c r="H205" s="57">
        <v>42655</v>
      </c>
      <c r="I205" s="7" t="str">
        <f>IFERROR(INDEX(Tabla_control_serigrafia[PRODUCTO],MATCH(Tabla_producción_serigrafia[[#This Row],[LOTE]],Tabla_control_serigrafia[LOTE],0)),"-")</f>
        <v>DEXTROMETORFANO 10 MG X 100 ML JARABE</v>
      </c>
      <c r="J205" s="20" t="str">
        <f>IFERROR(INDEX(Tabla_control_serigrafia[FORMATO DE FRASCO],MATCH(Tabla_producción_serigrafia[[#This Row],[LOTE]],Tabla_control_serigrafia[LOTE],0)),"-")</f>
        <v>120 ML</v>
      </c>
      <c r="K205" s="20" t="str">
        <f>IFERROR(INDEX(Tabla_control_serigrafia[TIPO DE FRASCO],MATCH(Tabla_producción_serigrafia[[#This Row],[LOTE]],Tabla_control_serigrafia[LOTE],0)),"-")</f>
        <v>FRASCO BLANCO</v>
      </c>
      <c r="L205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05" s="21">
        <f>IFERROR(INDEX(Tabla_control_serigrafia[CANTIDAD PEDIDA],MATCH(Tabla_producción_serigrafia[[#This Row],[LOTE]],Tabla_control_serigrafia[LOTE],0)),"-")</f>
        <v>29703</v>
      </c>
      <c r="N205" s="22">
        <v>15000</v>
      </c>
      <c r="O205" s="19">
        <v>0</v>
      </c>
      <c r="P205" s="3" t="s">
        <v>178</v>
      </c>
      <c r="Q20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15000</v>
      </c>
      <c r="R20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5" s="25"/>
      <c r="T205" s="20" t="str">
        <f>UPPER(LEFT(TEXT(Tabla_producción_serigrafia[[#This Row],[FECHA]],"mmm"),3))</f>
        <v>MAY</v>
      </c>
      <c r="U205" s="20">
        <f>IFERROR(Tabla_producción_serigrafia[[#This Row],[CANTIDAD PRODUCIDA]]+Tabla_producción_serigrafia[[#This Row],[CANTIDAD RECHAZADA]],0)</f>
        <v>15000</v>
      </c>
    </row>
    <row r="206" spans="1:21" x14ac:dyDescent="0.25">
      <c r="A206" s="10">
        <v>46147</v>
      </c>
      <c r="B206" s="10" t="s">
        <v>58</v>
      </c>
      <c r="C206" s="1" t="s">
        <v>68</v>
      </c>
      <c r="D206" s="15">
        <v>0.33333333333333331</v>
      </c>
      <c r="E206" s="16">
        <v>0.5</v>
      </c>
      <c r="F206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206" s="18" t="s">
        <v>64</v>
      </c>
      <c r="H206" s="19" t="s">
        <v>38</v>
      </c>
      <c r="I206" s="7" t="str">
        <f>IFERROR(INDEX(Tabla_control_serigrafia[PRODUCTO],MATCH(Tabla_producción_serigrafia[[#This Row],[LOTE]],Tabla_control_serigrafia[LOTE],0)),"-")</f>
        <v>-</v>
      </c>
      <c r="J206" s="20" t="str">
        <f>IFERROR(INDEX(Tabla_control_serigrafia[FORMATO DE FRASCO],MATCH(Tabla_producción_serigrafia[[#This Row],[LOTE]],Tabla_control_serigrafia[LOTE],0)),"-")</f>
        <v>-</v>
      </c>
      <c r="K206" s="20" t="str">
        <f>IFERROR(INDEX(Tabla_control_serigrafia[TIPO DE FRASCO],MATCH(Tabla_producción_serigrafia[[#This Row],[LOTE]],Tabla_control_serigrafia[LOTE],0)),"-")</f>
        <v>-</v>
      </c>
      <c r="L206" t="str">
        <f>IF(Tabla_producción_serigrafia[[#This Row],[ACCIÓN]]="PRODUCCIÓN",Tabla_producción_serigrafia[[#This Row],[FORMATO DE FRASCO]]&amp;" "&amp;Tabla_producción_serigrafia[[#This Row],[TIPO DE FRASCO]],"-")</f>
        <v>-</v>
      </c>
      <c r="M206" s="21" t="str">
        <f>IFERROR(INDEX(Tabla_control_serigrafia[CANTIDAD PEDIDA],MATCH(Tabla_producción_serigrafia[[#This Row],[LOTE]],Tabla_control_serigrafia[LOTE],0)),"-")</f>
        <v>-</v>
      </c>
      <c r="N206" s="22"/>
      <c r="O206" s="19"/>
      <c r="P206" s="23">
        <v>0</v>
      </c>
      <c r="Q20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0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6" s="25" t="s">
        <v>168</v>
      </c>
      <c r="T206" s="20" t="str">
        <f>UPPER(LEFT(TEXT(Tabla_producción_serigrafia[[#This Row],[FECHA]],"mmm"),3))</f>
        <v>MAY</v>
      </c>
      <c r="U206" s="20">
        <f>IFERROR(Tabla_producción_serigrafia[[#This Row],[CANTIDAD PRODUCIDA]]+Tabla_producción_serigrafia[[#This Row],[CANTIDAD RECHAZADA]],0)</f>
        <v>0</v>
      </c>
    </row>
    <row r="207" spans="1:21" x14ac:dyDescent="0.25">
      <c r="A207" s="10">
        <v>46147</v>
      </c>
      <c r="B207" s="10" t="s">
        <v>58</v>
      </c>
      <c r="C207" s="1" t="s">
        <v>68</v>
      </c>
      <c r="D207" s="15">
        <v>0.5</v>
      </c>
      <c r="E207" s="16">
        <v>0.52083333333333337</v>
      </c>
      <c r="F207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07" s="18" t="s">
        <v>57</v>
      </c>
      <c r="H207" s="19" t="s">
        <v>38</v>
      </c>
      <c r="I207" s="7" t="str">
        <f>IFERROR(INDEX(Tabla_control_serigrafia[PRODUCTO],MATCH(Tabla_producción_serigrafia[[#This Row],[LOTE]],Tabla_control_serigrafia[LOTE],0)),"-")</f>
        <v>-</v>
      </c>
      <c r="J207" s="20" t="str">
        <f>IFERROR(INDEX(Tabla_control_serigrafia[FORMATO DE FRASCO],MATCH(Tabla_producción_serigrafia[[#This Row],[LOTE]],Tabla_control_serigrafia[LOTE],0)),"-")</f>
        <v>-</v>
      </c>
      <c r="K207" s="20" t="str">
        <f>IFERROR(INDEX(Tabla_control_serigrafia[TIPO DE FRASCO],MATCH(Tabla_producción_serigrafia[[#This Row],[LOTE]],Tabla_control_serigrafia[LOTE],0)),"-")</f>
        <v>-</v>
      </c>
      <c r="L207" t="str">
        <f>IF(Tabla_producción_serigrafia[[#This Row],[ACCIÓN]]="PRODUCCIÓN",Tabla_producción_serigrafia[[#This Row],[FORMATO DE FRASCO]]&amp;" "&amp;Tabla_producción_serigrafia[[#This Row],[TIPO DE FRASCO]],"-")</f>
        <v>-</v>
      </c>
      <c r="M207" s="21" t="str">
        <f>IFERROR(INDEX(Tabla_control_serigrafia[CANTIDAD PEDIDA],MATCH(Tabla_producción_serigrafia[[#This Row],[LOTE]],Tabla_control_serigrafia[LOTE],0)),"-")</f>
        <v>-</v>
      </c>
      <c r="N207" s="22">
        <v>0</v>
      </c>
      <c r="O207" s="19">
        <v>0</v>
      </c>
      <c r="P207" s="23">
        <v>0</v>
      </c>
      <c r="Q20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0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7" s="25" t="s">
        <v>63</v>
      </c>
      <c r="T207" s="20" t="str">
        <f>UPPER(LEFT(TEXT(Tabla_producción_serigrafia[[#This Row],[FECHA]],"mmm"),3))</f>
        <v>MAY</v>
      </c>
      <c r="U207" s="20">
        <f>IFERROR(Tabla_producción_serigrafia[[#This Row],[CANTIDAD PRODUCIDA]]+Tabla_producción_serigrafia[[#This Row],[CANTIDAD RECHAZADA]],0)</f>
        <v>0</v>
      </c>
    </row>
    <row r="208" spans="1:21" x14ac:dyDescent="0.25">
      <c r="A208" s="10">
        <v>46147</v>
      </c>
      <c r="B208" s="10" t="s">
        <v>58</v>
      </c>
      <c r="C208" s="1" t="s">
        <v>68</v>
      </c>
      <c r="D208" s="15">
        <v>0.52083333333333337</v>
      </c>
      <c r="E208" s="16">
        <v>0.91666666666666663</v>
      </c>
      <c r="F208" s="17">
        <f>ROUND((Tabla_producción_serigrafia[[#This Row],[FIN]]-Tabla_producción_serigrafia[[#This Row],[INICIO]]+(Tabla_producción_serigrafia[[#This Row],[FIN]]&lt;Tabla_producción_serigrafia[[#This Row],[INICIO]]))*24,2)</f>
        <v>9.5</v>
      </c>
      <c r="G208" s="18" t="s">
        <v>56</v>
      </c>
      <c r="H208" s="19">
        <v>52601</v>
      </c>
      <c r="I208" s="7" t="str">
        <f>IFERROR(INDEX(Tabla_control_serigrafia[PRODUCTO],MATCH(Tabla_producción_serigrafia[[#This Row],[LOTE]],Tabla_control_serigrafia[LOTE],0)),"-")</f>
        <v>AMOXICILINA 500 MG X 60 ML POLVO PARA SUSP.</v>
      </c>
      <c r="J208" s="20" t="str">
        <f>IFERROR(INDEX(Tabla_control_serigrafia[FORMATO DE FRASCO],MATCH(Tabla_producción_serigrafia[[#This Row],[LOTE]],Tabla_control_serigrafia[LOTE],0)),"-")</f>
        <v>80 ML</v>
      </c>
      <c r="K208" s="20" t="str">
        <f>IFERROR(INDEX(Tabla_control_serigrafia[TIPO DE FRASCO],MATCH(Tabla_producción_serigrafia[[#This Row],[LOTE]],Tabla_control_serigrafia[LOTE],0)),"-")</f>
        <v>FRASCO NATURAL</v>
      </c>
      <c r="L208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08" s="21">
        <f>IFERROR(INDEX(Tabla_control_serigrafia[CANTIDAD PEDIDA],MATCH(Tabla_producción_serigrafia[[#This Row],[LOTE]],Tabla_control_serigrafia[LOTE],0)),"-")</f>
        <v>24000</v>
      </c>
      <c r="N208" s="22">
        <v>24150</v>
      </c>
      <c r="O208" s="19">
        <v>188</v>
      </c>
      <c r="P208" s="23" t="s">
        <v>62</v>
      </c>
      <c r="Q20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24150</v>
      </c>
      <c r="R20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</v>
      </c>
      <c r="S208" s="25"/>
      <c r="T208" s="20" t="str">
        <f>UPPER(LEFT(TEXT(Tabla_producción_serigrafia[[#This Row],[FECHA]],"mmm"),3))</f>
        <v>MAY</v>
      </c>
      <c r="U208" s="20">
        <f>IFERROR(Tabla_producción_serigrafia[[#This Row],[CANTIDAD PRODUCIDA]]+Tabla_producción_serigrafia[[#This Row],[CANTIDAD RECHAZADA]],0)</f>
        <v>24338</v>
      </c>
    </row>
    <row r="209" spans="1:21" x14ac:dyDescent="0.25">
      <c r="A209" s="10">
        <v>46148</v>
      </c>
      <c r="B209" s="10" t="s">
        <v>58</v>
      </c>
      <c r="C209" s="1" t="s">
        <v>68</v>
      </c>
      <c r="D209" s="15">
        <v>0.33333333333333331</v>
      </c>
      <c r="E209" s="16">
        <v>0.35416666666666669</v>
      </c>
      <c r="F209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09" s="18" t="s">
        <v>57</v>
      </c>
      <c r="H209" s="19" t="s">
        <v>38</v>
      </c>
      <c r="I209" s="7" t="str">
        <f>IFERROR(INDEX(Tabla_control_serigrafia[PRODUCTO],MATCH(Tabla_producción_serigrafia[[#This Row],[LOTE]],Tabla_control_serigrafia[LOTE],0)),"-")</f>
        <v>-</v>
      </c>
      <c r="J209" s="20" t="str">
        <f>IFERROR(INDEX(Tabla_control_serigrafia[FORMATO DE FRASCO],MATCH(Tabla_producción_serigrafia[[#This Row],[LOTE]],Tabla_control_serigrafia[LOTE],0)),"-")</f>
        <v>-</v>
      </c>
      <c r="K209" s="20" t="str">
        <f>IFERROR(INDEX(Tabla_control_serigrafia[TIPO DE FRASCO],MATCH(Tabla_producción_serigrafia[[#This Row],[LOTE]],Tabla_control_serigrafia[LOTE],0)),"-")</f>
        <v>-</v>
      </c>
      <c r="L209" t="str">
        <f>IF(Tabla_producción_serigrafia[[#This Row],[ACCIÓN]]="PRODUCCIÓN",Tabla_producción_serigrafia[[#This Row],[FORMATO DE FRASCO]]&amp;" "&amp;Tabla_producción_serigrafia[[#This Row],[TIPO DE FRASCO]],"-")</f>
        <v>-</v>
      </c>
      <c r="M209" s="21" t="str">
        <f>IFERROR(INDEX(Tabla_control_serigrafia[CANTIDAD PEDIDA],MATCH(Tabla_producción_serigrafia[[#This Row],[LOTE]],Tabla_control_serigrafia[LOTE],0)),"-")</f>
        <v>-</v>
      </c>
      <c r="N209" s="22">
        <v>0</v>
      </c>
      <c r="O209" s="19">
        <v>0</v>
      </c>
      <c r="P209" s="23">
        <v>0</v>
      </c>
      <c r="Q20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0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09" s="25" t="s">
        <v>63</v>
      </c>
      <c r="T209" s="20" t="str">
        <f>UPPER(LEFT(TEXT(Tabla_producción_serigrafia[[#This Row],[FECHA]],"mmm"),3))</f>
        <v>MAY</v>
      </c>
      <c r="U209" s="20">
        <f>IFERROR(Tabla_producción_serigrafia[[#This Row],[CANTIDAD PRODUCIDA]]+Tabla_producción_serigrafia[[#This Row],[CANTIDAD RECHAZADA]],0)</f>
        <v>0</v>
      </c>
    </row>
    <row r="210" spans="1:21" x14ac:dyDescent="0.25">
      <c r="A210" s="10">
        <v>46148</v>
      </c>
      <c r="B210" s="10" t="s">
        <v>58</v>
      </c>
      <c r="C210" s="1" t="s">
        <v>68</v>
      </c>
      <c r="D210" s="15">
        <v>0.35416666666666669</v>
      </c>
      <c r="E210" s="16">
        <v>0.83333333333333337</v>
      </c>
      <c r="F210" s="17">
        <f>ROUND((Tabla_producción_serigrafia[[#This Row],[FIN]]-Tabla_producción_serigrafia[[#This Row],[INICIO]]+(Tabla_producción_serigrafia[[#This Row],[FIN]]&lt;Tabla_producción_serigrafia[[#This Row],[INICIO]]))*24,2)</f>
        <v>11.5</v>
      </c>
      <c r="G210" s="18" t="s">
        <v>56</v>
      </c>
      <c r="H210" s="19">
        <v>52602</v>
      </c>
      <c r="I210" s="7" t="str">
        <f>IFERROR(INDEX(Tabla_control_serigrafia[PRODUCTO],MATCH(Tabla_producción_serigrafia[[#This Row],[LOTE]],Tabla_control_serigrafia[LOTE],0)),"-")</f>
        <v>AMOXICILINA 500 MG X 60 ML POLVO PARA SUSP.</v>
      </c>
      <c r="J210" s="20" t="str">
        <f>IFERROR(INDEX(Tabla_control_serigrafia[FORMATO DE FRASCO],MATCH(Tabla_producción_serigrafia[[#This Row],[LOTE]],Tabla_control_serigrafia[LOTE],0)),"-")</f>
        <v>80 ML</v>
      </c>
      <c r="K210" s="20" t="str">
        <f>IFERROR(INDEX(Tabla_control_serigrafia[TIPO DE FRASCO],MATCH(Tabla_producción_serigrafia[[#This Row],[LOTE]],Tabla_control_serigrafia[LOTE],0)),"-")</f>
        <v>FRASCO NATURAL</v>
      </c>
      <c r="L210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10" s="21">
        <f>IFERROR(INDEX(Tabla_control_serigrafia[CANTIDAD PEDIDA],MATCH(Tabla_producción_serigrafia[[#This Row],[LOTE]],Tabla_control_serigrafia[LOTE],0)),"-")</f>
        <v>24000</v>
      </c>
      <c r="N210" s="22">
        <v>24150</v>
      </c>
      <c r="O210" s="19">
        <v>164</v>
      </c>
      <c r="P210" s="23">
        <v>0</v>
      </c>
      <c r="Q21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24150</v>
      </c>
      <c r="R21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0" s="25"/>
      <c r="T210" s="20" t="str">
        <f>UPPER(LEFT(TEXT(Tabla_producción_serigrafia[[#This Row],[FECHA]],"mmm"),3))</f>
        <v>MAY</v>
      </c>
      <c r="U210" s="20">
        <f>IFERROR(Tabla_producción_serigrafia[[#This Row],[CANTIDAD PRODUCIDA]]+Tabla_producción_serigrafia[[#This Row],[CANTIDAD RECHAZADA]],0)</f>
        <v>24314</v>
      </c>
    </row>
    <row r="211" spans="1:21" x14ac:dyDescent="0.25">
      <c r="A211" s="10">
        <v>46148</v>
      </c>
      <c r="B211" s="10" t="s">
        <v>58</v>
      </c>
      <c r="C211" s="1" t="s">
        <v>68</v>
      </c>
      <c r="D211" s="15">
        <v>0.83333333333333337</v>
      </c>
      <c r="E211" s="16">
        <v>0.84375</v>
      </c>
      <c r="F211" s="17">
        <f>ROUND((Tabla_producción_serigrafia[[#This Row],[FIN]]-Tabla_producción_serigrafia[[#This Row],[INICIO]]+(Tabla_producción_serigrafia[[#This Row],[FIN]]&lt;Tabla_producción_serigrafia[[#This Row],[INICIO]]))*24,2)</f>
        <v>0.25</v>
      </c>
      <c r="G211" s="18" t="s">
        <v>57</v>
      </c>
      <c r="H211" s="19" t="s">
        <v>38</v>
      </c>
      <c r="I211" s="7" t="str">
        <f>IFERROR(INDEX(Tabla_control_serigrafia[PRODUCTO],MATCH(Tabla_producción_serigrafia[[#This Row],[LOTE]],Tabla_control_serigrafia[LOTE],0)),"-")</f>
        <v>-</v>
      </c>
      <c r="J211" s="20" t="str">
        <f>IFERROR(INDEX(Tabla_control_serigrafia[FORMATO DE FRASCO],MATCH(Tabla_producción_serigrafia[[#This Row],[LOTE]],Tabla_control_serigrafia[LOTE],0)),"-")</f>
        <v>-</v>
      </c>
      <c r="K211" s="20" t="str">
        <f>IFERROR(INDEX(Tabla_control_serigrafia[TIPO DE FRASCO],MATCH(Tabla_producción_serigrafia[[#This Row],[LOTE]],Tabla_control_serigrafia[LOTE],0)),"-")</f>
        <v>-</v>
      </c>
      <c r="L211" t="str">
        <f>IF(Tabla_producción_serigrafia[[#This Row],[ACCIÓN]]="PRODUCCIÓN",Tabla_producción_serigrafia[[#This Row],[FORMATO DE FRASCO]]&amp;" "&amp;Tabla_producción_serigrafia[[#This Row],[TIPO DE FRASCO]],"-")</f>
        <v>-</v>
      </c>
      <c r="M211" s="21" t="str">
        <f>IFERROR(INDEX(Tabla_control_serigrafia[CANTIDAD PEDIDA],MATCH(Tabla_producción_serigrafia[[#This Row],[LOTE]],Tabla_control_serigrafia[LOTE],0)),"-")</f>
        <v>-</v>
      </c>
      <c r="N211" s="22">
        <v>0</v>
      </c>
      <c r="O211" s="19">
        <v>0</v>
      </c>
      <c r="P211" s="23">
        <v>0</v>
      </c>
      <c r="Q21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1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1" s="25" t="s">
        <v>63</v>
      </c>
      <c r="T211" s="20" t="str">
        <f>UPPER(LEFT(TEXT(Tabla_producción_serigrafia[[#This Row],[FECHA]],"mmm"),3))</f>
        <v>MAY</v>
      </c>
      <c r="U211" s="20">
        <f>IFERROR(Tabla_producción_serigrafia[[#This Row],[CANTIDAD PRODUCIDA]]+Tabla_producción_serigrafia[[#This Row],[CANTIDAD RECHAZADA]],0)</f>
        <v>0</v>
      </c>
    </row>
    <row r="212" spans="1:21" x14ac:dyDescent="0.25">
      <c r="A212" s="10">
        <v>46148</v>
      </c>
      <c r="B212" s="10" t="s">
        <v>58</v>
      </c>
      <c r="C212" s="1" t="s">
        <v>68</v>
      </c>
      <c r="D212" s="15">
        <v>0.84375</v>
      </c>
      <c r="E212" s="16">
        <v>0.91666666666666663</v>
      </c>
      <c r="F212" s="17">
        <f>ROUND((Tabla_producción_serigrafia[[#This Row],[FIN]]-Tabla_producción_serigrafia[[#This Row],[INICIO]]+(Tabla_producción_serigrafia[[#This Row],[FIN]]&lt;Tabla_producción_serigrafia[[#This Row],[INICIO]]))*24,2)</f>
        <v>1.75</v>
      </c>
      <c r="G212" s="18" t="s">
        <v>56</v>
      </c>
      <c r="H212" s="19">
        <v>52603</v>
      </c>
      <c r="I212" s="7" t="str">
        <f>IFERROR(INDEX(Tabla_control_serigrafia[PRODUCTO],MATCH(Tabla_producción_serigrafia[[#This Row],[LOTE]],Tabla_control_serigrafia[LOTE],0)),"-")</f>
        <v>AMOXICILINA 500 MG X 60 ML POLVO PARA SUSP.</v>
      </c>
      <c r="J212" s="20" t="str">
        <f>IFERROR(INDEX(Tabla_control_serigrafia[FORMATO DE FRASCO],MATCH(Tabla_producción_serigrafia[[#This Row],[LOTE]],Tabla_control_serigrafia[LOTE],0)),"-")</f>
        <v>80 ML</v>
      </c>
      <c r="K212" s="20" t="str">
        <f>IFERROR(INDEX(Tabla_control_serigrafia[TIPO DE FRASCO],MATCH(Tabla_producción_serigrafia[[#This Row],[LOTE]],Tabla_control_serigrafia[LOTE],0)),"-")</f>
        <v>FRASCO NATURAL</v>
      </c>
      <c r="L212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12" s="21">
        <f>IFERROR(INDEX(Tabla_control_serigrafia[CANTIDAD PEDIDA],MATCH(Tabla_producción_serigrafia[[#This Row],[LOTE]],Tabla_control_serigrafia[LOTE],0)),"-")</f>
        <v>24000</v>
      </c>
      <c r="N212" s="22">
        <v>4000</v>
      </c>
      <c r="O212" s="19">
        <v>0</v>
      </c>
      <c r="P212" s="3" t="s">
        <v>178</v>
      </c>
      <c r="Q21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4000</v>
      </c>
      <c r="R21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2" s="25"/>
      <c r="T212" s="20" t="str">
        <f>UPPER(LEFT(TEXT(Tabla_producción_serigrafia[[#This Row],[FECHA]],"mmm"),3))</f>
        <v>MAY</v>
      </c>
      <c r="U212" s="20">
        <f>IFERROR(Tabla_producción_serigrafia[[#This Row],[CANTIDAD PRODUCIDA]]+Tabla_producción_serigrafia[[#This Row],[CANTIDAD RECHAZADA]],0)</f>
        <v>4000</v>
      </c>
    </row>
    <row r="213" spans="1:21" x14ac:dyDescent="0.25">
      <c r="A213" s="10">
        <v>46149</v>
      </c>
      <c r="B213" s="10" t="s">
        <v>58</v>
      </c>
      <c r="C213" s="1" t="s">
        <v>68</v>
      </c>
      <c r="D213" s="15">
        <v>0.33333333333333331</v>
      </c>
      <c r="E213" s="16">
        <v>0.34722222222222227</v>
      </c>
      <c r="F213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13" s="18" t="s">
        <v>57</v>
      </c>
      <c r="H213" s="19" t="s">
        <v>38</v>
      </c>
      <c r="I213" s="7" t="str">
        <f>IFERROR(INDEX(Tabla_control_serigrafia[PRODUCTO],MATCH(Tabla_producción_serigrafia[[#This Row],[LOTE]],Tabla_control_serigrafia[LOTE],0)),"-")</f>
        <v>-</v>
      </c>
      <c r="J213" s="20" t="str">
        <f>IFERROR(INDEX(Tabla_control_serigrafia[FORMATO DE FRASCO],MATCH(Tabla_producción_serigrafia[[#This Row],[LOTE]],Tabla_control_serigrafia[LOTE],0)),"-")</f>
        <v>-</v>
      </c>
      <c r="K213" s="20" t="str">
        <f>IFERROR(INDEX(Tabla_control_serigrafia[TIPO DE FRASCO],MATCH(Tabla_producción_serigrafia[[#This Row],[LOTE]],Tabla_control_serigrafia[LOTE],0)),"-")</f>
        <v>-</v>
      </c>
      <c r="L213" t="str">
        <f>IF(Tabla_producción_serigrafia[[#This Row],[ACCIÓN]]="PRODUCCIÓN",Tabla_producción_serigrafia[[#This Row],[FORMATO DE FRASCO]]&amp;" "&amp;Tabla_producción_serigrafia[[#This Row],[TIPO DE FRASCO]],"-")</f>
        <v>-</v>
      </c>
      <c r="M213" s="21" t="str">
        <f>IFERROR(INDEX(Tabla_control_serigrafia[CANTIDAD PEDIDA],MATCH(Tabla_producción_serigrafia[[#This Row],[LOTE]],Tabla_control_serigrafia[LOTE],0)),"-")</f>
        <v>-</v>
      </c>
      <c r="N213" s="22">
        <v>0</v>
      </c>
      <c r="O213" s="19">
        <v>0</v>
      </c>
      <c r="P213" s="23">
        <v>0</v>
      </c>
      <c r="Q21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1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3" s="25" t="s">
        <v>63</v>
      </c>
      <c r="T213" s="20" t="str">
        <f>UPPER(LEFT(TEXT(Tabla_producción_serigrafia[[#This Row],[FECHA]],"mmm"),3))</f>
        <v>MAY</v>
      </c>
      <c r="U213" s="20">
        <f>IFERROR(Tabla_producción_serigrafia[[#This Row],[CANTIDAD PRODUCIDA]]+Tabla_producción_serigrafia[[#This Row],[CANTIDAD RECHAZADA]],0)</f>
        <v>0</v>
      </c>
    </row>
    <row r="214" spans="1:21" x14ac:dyDescent="0.25">
      <c r="A214" s="10">
        <v>46149</v>
      </c>
      <c r="B214" s="10" t="s">
        <v>58</v>
      </c>
      <c r="C214" s="1" t="s">
        <v>68</v>
      </c>
      <c r="D214" s="15">
        <v>0.34722222222222227</v>
      </c>
      <c r="E214" s="16">
        <v>0.72916666666666663</v>
      </c>
      <c r="F214" s="17">
        <f>ROUND((Tabla_producción_serigrafia[[#This Row],[FIN]]-Tabla_producción_serigrafia[[#This Row],[INICIO]]+(Tabla_producción_serigrafia[[#This Row],[FIN]]&lt;Tabla_producción_serigrafia[[#This Row],[INICIO]]))*24,2)</f>
        <v>9.17</v>
      </c>
      <c r="G214" s="18" t="s">
        <v>56</v>
      </c>
      <c r="H214" s="19">
        <v>52603</v>
      </c>
      <c r="I214" s="7" t="str">
        <f>IFERROR(INDEX(Tabla_control_serigrafia[PRODUCTO],MATCH(Tabla_producción_serigrafia[[#This Row],[LOTE]],Tabla_control_serigrafia[LOTE],0)),"-")</f>
        <v>AMOXICILINA 500 MG X 60 ML POLVO PARA SUSP.</v>
      </c>
      <c r="J214" s="20" t="str">
        <f>IFERROR(INDEX(Tabla_control_serigrafia[FORMATO DE FRASCO],MATCH(Tabla_producción_serigrafia[[#This Row],[LOTE]],Tabla_control_serigrafia[LOTE],0)),"-")</f>
        <v>80 ML</v>
      </c>
      <c r="K214" s="20" t="str">
        <f>IFERROR(INDEX(Tabla_control_serigrafia[TIPO DE FRASCO],MATCH(Tabla_producción_serigrafia[[#This Row],[LOTE]],Tabla_control_serigrafia[LOTE],0)),"-")</f>
        <v>FRASCO NATURAL</v>
      </c>
      <c r="L214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14" s="21">
        <f>IFERROR(INDEX(Tabla_control_serigrafia[CANTIDAD PEDIDA],MATCH(Tabla_producción_serigrafia[[#This Row],[LOTE]],Tabla_control_serigrafia[LOTE],0)),"-")</f>
        <v>24000</v>
      </c>
      <c r="N214" s="22">
        <v>20150</v>
      </c>
      <c r="O214" s="19">
        <v>147</v>
      </c>
      <c r="P214" s="23" t="s">
        <v>62</v>
      </c>
      <c r="Q21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20150</v>
      </c>
      <c r="R21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6</v>
      </c>
      <c r="S214" s="25"/>
      <c r="T214" s="20" t="str">
        <f>UPPER(LEFT(TEXT(Tabla_producción_serigrafia[[#This Row],[FECHA]],"mmm"),3))</f>
        <v>MAY</v>
      </c>
      <c r="U214" s="20">
        <f>IFERROR(Tabla_producción_serigrafia[[#This Row],[CANTIDAD PRODUCIDA]]+Tabla_producción_serigrafia[[#This Row],[CANTIDAD RECHAZADA]],0)</f>
        <v>20297</v>
      </c>
    </row>
    <row r="215" spans="1:21" x14ac:dyDescent="0.25">
      <c r="A215" s="10">
        <v>46149</v>
      </c>
      <c r="B215" s="10" t="s">
        <v>58</v>
      </c>
      <c r="C215" s="1" t="s">
        <v>68</v>
      </c>
      <c r="D215" s="15">
        <v>0.72916666666666663</v>
      </c>
      <c r="E215" s="16">
        <v>0.73958333333333337</v>
      </c>
      <c r="F215" s="17">
        <f>ROUND((Tabla_producción_serigrafia[[#This Row],[FIN]]-Tabla_producción_serigrafia[[#This Row],[INICIO]]+(Tabla_producción_serigrafia[[#This Row],[FIN]]&lt;Tabla_producción_serigrafia[[#This Row],[INICIO]]))*24,2)</f>
        <v>0.25</v>
      </c>
      <c r="G215" s="18" t="s">
        <v>57</v>
      </c>
      <c r="H215" s="19" t="s">
        <v>38</v>
      </c>
      <c r="I215" s="7" t="str">
        <f>IFERROR(INDEX(Tabla_control_serigrafia[PRODUCTO],MATCH(Tabla_producción_serigrafia[[#This Row],[LOTE]],Tabla_control_serigrafia[LOTE],0)),"-")</f>
        <v>-</v>
      </c>
      <c r="J215" s="20" t="str">
        <f>IFERROR(INDEX(Tabla_control_serigrafia[FORMATO DE FRASCO],MATCH(Tabla_producción_serigrafia[[#This Row],[LOTE]],Tabla_control_serigrafia[LOTE],0)),"-")</f>
        <v>-</v>
      </c>
      <c r="K215" s="20" t="str">
        <f>IFERROR(INDEX(Tabla_control_serigrafia[TIPO DE FRASCO],MATCH(Tabla_producción_serigrafia[[#This Row],[LOTE]],Tabla_control_serigrafia[LOTE],0)),"-")</f>
        <v>-</v>
      </c>
      <c r="L215" t="str">
        <f>IF(Tabla_producción_serigrafia[[#This Row],[ACCIÓN]]="PRODUCCIÓN",Tabla_producción_serigrafia[[#This Row],[FORMATO DE FRASCO]]&amp;" "&amp;Tabla_producción_serigrafia[[#This Row],[TIPO DE FRASCO]],"-")</f>
        <v>-</v>
      </c>
      <c r="M215" s="21" t="str">
        <f>IFERROR(INDEX(Tabla_control_serigrafia[CANTIDAD PEDIDA],MATCH(Tabla_producción_serigrafia[[#This Row],[LOTE]],Tabla_control_serigrafia[LOTE],0)),"-")</f>
        <v>-</v>
      </c>
      <c r="N215" s="22">
        <v>0</v>
      </c>
      <c r="O215" s="19">
        <v>0</v>
      </c>
      <c r="P215" s="23">
        <v>0</v>
      </c>
      <c r="Q21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1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5" s="25" t="s">
        <v>63</v>
      </c>
      <c r="T215" s="20" t="str">
        <f>UPPER(LEFT(TEXT(Tabla_producción_serigrafia[[#This Row],[FECHA]],"mmm"),3))</f>
        <v>MAY</v>
      </c>
      <c r="U215" s="20">
        <f>IFERROR(Tabla_producción_serigrafia[[#This Row],[CANTIDAD PRODUCIDA]]+Tabla_producción_serigrafia[[#This Row],[CANTIDAD RECHAZADA]],0)</f>
        <v>0</v>
      </c>
    </row>
    <row r="216" spans="1:21" x14ac:dyDescent="0.25">
      <c r="A216" s="10">
        <v>46149</v>
      </c>
      <c r="B216" s="10" t="s">
        <v>58</v>
      </c>
      <c r="C216" s="1" t="s">
        <v>68</v>
      </c>
      <c r="D216" s="15">
        <v>0.73958333333333337</v>
      </c>
      <c r="E216" s="16">
        <v>0.91666666666666663</v>
      </c>
      <c r="F216" s="17">
        <f>ROUND((Tabla_producción_serigrafia[[#This Row],[FIN]]-Tabla_producción_serigrafia[[#This Row],[INICIO]]+(Tabla_producción_serigrafia[[#This Row],[FIN]]&lt;Tabla_producción_serigrafia[[#This Row],[INICIO]]))*24,2)</f>
        <v>4.25</v>
      </c>
      <c r="G216" s="18" t="s">
        <v>56</v>
      </c>
      <c r="H216" s="19">
        <v>52604</v>
      </c>
      <c r="I216" s="7" t="str">
        <f>IFERROR(INDEX(Tabla_control_serigrafia[PRODUCTO],MATCH(Tabla_producción_serigrafia[[#This Row],[LOTE]],Tabla_control_serigrafia[LOTE],0)),"-")</f>
        <v>AMOXICILINA 500 MG X 60 ML POLVO PARA SUSP.</v>
      </c>
      <c r="J216" s="20" t="str">
        <f>IFERROR(INDEX(Tabla_control_serigrafia[FORMATO DE FRASCO],MATCH(Tabla_producción_serigrafia[[#This Row],[LOTE]],Tabla_control_serigrafia[LOTE],0)),"-")</f>
        <v>80 ML</v>
      </c>
      <c r="K216" s="20" t="str">
        <f>IFERROR(INDEX(Tabla_control_serigrafia[TIPO DE FRASCO],MATCH(Tabla_producción_serigrafia[[#This Row],[LOTE]],Tabla_control_serigrafia[LOTE],0)),"-")</f>
        <v>FRASCO NATURAL</v>
      </c>
      <c r="L216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16" s="21">
        <f>IFERROR(INDEX(Tabla_control_serigrafia[CANTIDAD PEDIDA],MATCH(Tabla_producción_serigrafia[[#This Row],[LOTE]],Tabla_control_serigrafia[LOTE],0)),"-")</f>
        <v>24000</v>
      </c>
      <c r="N216" s="22">
        <v>12000</v>
      </c>
      <c r="O216" s="19">
        <v>0</v>
      </c>
      <c r="P216" s="3" t="s">
        <v>178</v>
      </c>
      <c r="Q21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12000</v>
      </c>
      <c r="R21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6" s="25"/>
      <c r="T216" s="20" t="str">
        <f>UPPER(LEFT(TEXT(Tabla_producción_serigrafia[[#This Row],[FECHA]],"mmm"),3))</f>
        <v>MAY</v>
      </c>
      <c r="U216" s="20">
        <f>IFERROR(Tabla_producción_serigrafia[[#This Row],[CANTIDAD PRODUCIDA]]+Tabla_producción_serigrafia[[#This Row],[CANTIDAD RECHAZADA]],0)</f>
        <v>12000</v>
      </c>
    </row>
    <row r="217" spans="1:21" x14ac:dyDescent="0.25">
      <c r="A217" s="10">
        <v>46150</v>
      </c>
      <c r="B217" s="10" t="s">
        <v>58</v>
      </c>
      <c r="C217" s="1" t="s">
        <v>68</v>
      </c>
      <c r="D217" s="15">
        <v>0.33333333333333331</v>
      </c>
      <c r="E217" s="15">
        <v>0.34722222222222227</v>
      </c>
      <c r="F217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17" s="18" t="s">
        <v>57</v>
      </c>
      <c r="H217" s="19" t="s">
        <v>38</v>
      </c>
      <c r="I217" s="7" t="str">
        <f>IFERROR(INDEX(Tabla_control_serigrafia[PRODUCTO],MATCH(Tabla_producción_serigrafia[[#This Row],[LOTE]],Tabla_control_serigrafia[LOTE],0)),"-")</f>
        <v>-</v>
      </c>
      <c r="J217" s="20" t="str">
        <f>IFERROR(INDEX(Tabla_control_serigrafia[FORMATO DE FRASCO],MATCH(Tabla_producción_serigrafia[[#This Row],[LOTE]],Tabla_control_serigrafia[LOTE],0)),"-")</f>
        <v>-</v>
      </c>
      <c r="K217" s="20" t="str">
        <f>IFERROR(INDEX(Tabla_control_serigrafia[TIPO DE FRASCO],MATCH(Tabla_producción_serigrafia[[#This Row],[LOTE]],Tabla_control_serigrafia[LOTE],0)),"-")</f>
        <v>-</v>
      </c>
      <c r="L217" t="str">
        <f>IF(Tabla_producción_serigrafia[[#This Row],[ACCIÓN]]="PRODUCCIÓN",Tabla_producción_serigrafia[[#This Row],[FORMATO DE FRASCO]]&amp;" "&amp;Tabla_producción_serigrafia[[#This Row],[TIPO DE FRASCO]],"-")</f>
        <v>-</v>
      </c>
      <c r="M217" s="21" t="str">
        <f>IFERROR(INDEX(Tabla_control_serigrafia[CANTIDAD PEDIDA],MATCH(Tabla_producción_serigrafia[[#This Row],[LOTE]],Tabla_control_serigrafia[LOTE],0)),"-")</f>
        <v>-</v>
      </c>
      <c r="N217" s="22">
        <v>0</v>
      </c>
      <c r="O217" s="19">
        <v>0</v>
      </c>
      <c r="P217" s="23">
        <v>0</v>
      </c>
      <c r="Q21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1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7" s="25" t="s">
        <v>63</v>
      </c>
      <c r="T217" s="20" t="str">
        <f>UPPER(LEFT(TEXT(Tabla_producción_serigrafia[[#This Row],[FECHA]],"mmm"),3))</f>
        <v>MAY</v>
      </c>
      <c r="U217" s="20">
        <f>IFERROR(Tabla_producción_serigrafia[[#This Row],[CANTIDAD PRODUCIDA]]+Tabla_producción_serigrafia[[#This Row],[CANTIDAD RECHAZADA]],0)</f>
        <v>0</v>
      </c>
    </row>
    <row r="218" spans="1:21" x14ac:dyDescent="0.25">
      <c r="A218" s="10">
        <v>46150</v>
      </c>
      <c r="B218" s="10" t="s">
        <v>58</v>
      </c>
      <c r="C218" s="1" t="s">
        <v>68</v>
      </c>
      <c r="D218" s="15">
        <v>0.34722222222222227</v>
      </c>
      <c r="E218" s="16">
        <v>0.5625</v>
      </c>
      <c r="F218" s="17">
        <f>ROUND((Tabla_producción_serigrafia[[#This Row],[FIN]]-Tabla_producción_serigrafia[[#This Row],[INICIO]]+(Tabla_producción_serigrafia[[#This Row],[FIN]]&lt;Tabla_producción_serigrafia[[#This Row],[INICIO]]))*24,2)</f>
        <v>5.17</v>
      </c>
      <c r="G218" s="18" t="s">
        <v>56</v>
      </c>
      <c r="H218" s="19">
        <v>52604</v>
      </c>
      <c r="I218" s="7" t="str">
        <f>IFERROR(INDEX(Tabla_control_serigrafia[PRODUCTO],MATCH(Tabla_producción_serigrafia[[#This Row],[LOTE]],Tabla_control_serigrafia[LOTE],0)),"-")</f>
        <v>AMOXICILINA 500 MG X 60 ML POLVO PARA SUSP.</v>
      </c>
      <c r="J218" s="20" t="str">
        <f>IFERROR(INDEX(Tabla_control_serigrafia[FORMATO DE FRASCO],MATCH(Tabla_producción_serigrafia[[#This Row],[LOTE]],Tabla_control_serigrafia[LOTE],0)),"-")</f>
        <v>80 ML</v>
      </c>
      <c r="K218" s="20" t="str">
        <f>IFERROR(INDEX(Tabla_control_serigrafia[TIPO DE FRASCO],MATCH(Tabla_producción_serigrafia[[#This Row],[LOTE]],Tabla_control_serigrafia[LOTE],0)),"-")</f>
        <v>FRASCO NATURAL</v>
      </c>
      <c r="L218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18" s="21">
        <f>IFERROR(INDEX(Tabla_control_serigrafia[CANTIDAD PEDIDA],MATCH(Tabla_producción_serigrafia[[#This Row],[LOTE]],Tabla_control_serigrafia[LOTE],0)),"-")</f>
        <v>24000</v>
      </c>
      <c r="N218" s="22">
        <v>12150</v>
      </c>
      <c r="O218" s="19">
        <v>164</v>
      </c>
      <c r="P218" s="23" t="s">
        <v>62</v>
      </c>
      <c r="Q21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12150</v>
      </c>
      <c r="R21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7</v>
      </c>
      <c r="S218" s="25"/>
      <c r="T218" s="20" t="str">
        <f>UPPER(LEFT(TEXT(Tabla_producción_serigrafia[[#This Row],[FECHA]],"mmm"),3))</f>
        <v>MAY</v>
      </c>
      <c r="U218" s="20">
        <f>IFERROR(Tabla_producción_serigrafia[[#This Row],[CANTIDAD PRODUCIDA]]+Tabla_producción_serigrafia[[#This Row],[CANTIDAD RECHAZADA]],0)</f>
        <v>12314</v>
      </c>
    </row>
    <row r="219" spans="1:21" x14ac:dyDescent="0.25">
      <c r="A219" s="10">
        <v>46150</v>
      </c>
      <c r="B219" s="10" t="s">
        <v>58</v>
      </c>
      <c r="C219" s="1" t="s">
        <v>68</v>
      </c>
      <c r="D219" s="15">
        <v>0.5625</v>
      </c>
      <c r="E219" s="16">
        <v>0.58333333333333337</v>
      </c>
      <c r="F219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19" s="18" t="s">
        <v>57</v>
      </c>
      <c r="H219" s="19" t="s">
        <v>38</v>
      </c>
      <c r="I219" s="7" t="str">
        <f>IFERROR(INDEX(Tabla_control_serigrafia[PRODUCTO],MATCH(Tabla_producción_serigrafia[[#This Row],[LOTE]],Tabla_control_serigrafia[LOTE],0)),"-")</f>
        <v>-</v>
      </c>
      <c r="J219" s="20" t="str">
        <f>IFERROR(INDEX(Tabla_control_serigrafia[FORMATO DE FRASCO],MATCH(Tabla_producción_serigrafia[[#This Row],[LOTE]],Tabla_control_serigrafia[LOTE],0)),"-")</f>
        <v>-</v>
      </c>
      <c r="K219" s="20" t="str">
        <f>IFERROR(INDEX(Tabla_control_serigrafia[TIPO DE FRASCO],MATCH(Tabla_producción_serigrafia[[#This Row],[LOTE]],Tabla_control_serigrafia[LOTE],0)),"-")</f>
        <v>-</v>
      </c>
      <c r="L219" t="str">
        <f>IF(Tabla_producción_serigrafia[[#This Row],[ACCIÓN]]="PRODUCCIÓN",Tabla_producción_serigrafia[[#This Row],[FORMATO DE FRASCO]]&amp;" "&amp;Tabla_producción_serigrafia[[#This Row],[TIPO DE FRASCO]],"-")</f>
        <v>-</v>
      </c>
      <c r="M219" s="21" t="str">
        <f>IFERROR(INDEX(Tabla_control_serigrafia[CANTIDAD PEDIDA],MATCH(Tabla_producción_serigrafia[[#This Row],[LOTE]],Tabla_control_serigrafia[LOTE],0)),"-")</f>
        <v>-</v>
      </c>
      <c r="N219" s="22">
        <v>0</v>
      </c>
      <c r="O219" s="19">
        <v>0</v>
      </c>
      <c r="P219" s="23">
        <v>0</v>
      </c>
      <c r="Q21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1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19" s="25" t="s">
        <v>63</v>
      </c>
      <c r="T219" s="20" t="str">
        <f>UPPER(LEFT(TEXT(Tabla_producción_serigrafia[[#This Row],[FECHA]],"mmm"),3))</f>
        <v>MAY</v>
      </c>
      <c r="U219" s="20">
        <f>IFERROR(Tabla_producción_serigrafia[[#This Row],[CANTIDAD PRODUCIDA]]+Tabla_producción_serigrafia[[#This Row],[CANTIDAD RECHAZADA]],0)</f>
        <v>0</v>
      </c>
    </row>
    <row r="220" spans="1:21" x14ac:dyDescent="0.25">
      <c r="A220" s="10">
        <v>46150</v>
      </c>
      <c r="B220" s="10" t="s">
        <v>58</v>
      </c>
      <c r="C220" s="1" t="s">
        <v>68</v>
      </c>
      <c r="D220" s="15">
        <v>0.58333333333333337</v>
      </c>
      <c r="E220" s="16">
        <v>0.70833333333333337</v>
      </c>
      <c r="F220" s="17">
        <f>ROUND((Tabla_producción_serigrafia[[#This Row],[FIN]]-Tabla_producción_serigrafia[[#This Row],[INICIO]]+(Tabla_producción_serigrafia[[#This Row],[FIN]]&lt;Tabla_producción_serigrafia[[#This Row],[INICIO]]))*24,2)</f>
        <v>3</v>
      </c>
      <c r="G220" s="18" t="s">
        <v>56</v>
      </c>
      <c r="H220" s="19">
        <v>52605</v>
      </c>
      <c r="I220" s="7" t="str">
        <f>IFERROR(INDEX(Tabla_control_serigrafia[PRODUCTO],MATCH(Tabla_producción_serigrafia[[#This Row],[LOTE]],Tabla_control_serigrafia[LOTE],0)),"-")</f>
        <v>AMOXICILINA 500 MG X 60 ML POLVO PARA SUSP.</v>
      </c>
      <c r="J220" s="20" t="str">
        <f>IFERROR(INDEX(Tabla_control_serigrafia[FORMATO DE FRASCO],MATCH(Tabla_producción_serigrafia[[#This Row],[LOTE]],Tabla_control_serigrafia[LOTE],0)),"-")</f>
        <v>80 ML</v>
      </c>
      <c r="K220" s="20" t="str">
        <f>IFERROR(INDEX(Tabla_control_serigrafia[TIPO DE FRASCO],MATCH(Tabla_producción_serigrafia[[#This Row],[LOTE]],Tabla_control_serigrafia[LOTE],0)),"-")</f>
        <v>FRASCO NATURAL</v>
      </c>
      <c r="L220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20" s="21">
        <f>IFERROR(INDEX(Tabla_control_serigrafia[CANTIDAD PEDIDA],MATCH(Tabla_producción_serigrafia[[#This Row],[LOTE]],Tabla_control_serigrafia[LOTE],0)),"-")</f>
        <v>24000</v>
      </c>
      <c r="N220" s="22">
        <v>8000</v>
      </c>
      <c r="O220" s="19">
        <v>0</v>
      </c>
      <c r="P220" s="3" t="s">
        <v>178</v>
      </c>
      <c r="Q22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8000</v>
      </c>
      <c r="R22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20" s="25"/>
      <c r="T220" s="20" t="str">
        <f>UPPER(LEFT(TEXT(Tabla_producción_serigrafia[[#This Row],[FECHA]],"mmm"),3))</f>
        <v>MAY</v>
      </c>
      <c r="U220" s="20">
        <f>IFERROR(Tabla_producción_serigrafia[[#This Row],[CANTIDAD PRODUCIDA]]+Tabla_producción_serigrafia[[#This Row],[CANTIDAD RECHAZADA]],0)</f>
        <v>8000</v>
      </c>
    </row>
    <row r="221" spans="1:21" x14ac:dyDescent="0.25">
      <c r="A221" s="10">
        <v>46150</v>
      </c>
      <c r="B221" s="10" t="s">
        <v>58</v>
      </c>
      <c r="C221" s="1" t="s">
        <v>68</v>
      </c>
      <c r="D221" s="15">
        <v>0.70833333333333337</v>
      </c>
      <c r="E221" s="16">
        <v>0.91666666666666663</v>
      </c>
      <c r="F221" s="17">
        <f>ROUND((Tabla_producción_serigrafia[[#This Row],[FIN]]-Tabla_producción_serigrafia[[#This Row],[INICIO]]+(Tabla_producción_serigrafia[[#This Row],[FIN]]&lt;Tabla_producción_serigrafia[[#This Row],[INICIO]]))*24,2)</f>
        <v>5</v>
      </c>
      <c r="G221" s="18" t="s">
        <v>56</v>
      </c>
      <c r="H221" s="19">
        <v>52605</v>
      </c>
      <c r="I221" s="7" t="str">
        <f>IFERROR(INDEX(Tabla_control_serigrafia[PRODUCTO],MATCH(Tabla_producción_serigrafia[[#This Row],[LOTE]],Tabla_control_serigrafia[LOTE],0)),"-")</f>
        <v>AMOXICILINA 500 MG X 60 ML POLVO PARA SUSP.</v>
      </c>
      <c r="J221" s="20" t="str">
        <f>IFERROR(INDEX(Tabla_control_serigrafia[FORMATO DE FRASCO],MATCH(Tabla_producción_serigrafia[[#This Row],[LOTE]],Tabla_control_serigrafia[LOTE],0)),"-")</f>
        <v>80 ML</v>
      </c>
      <c r="K221" s="20" t="str">
        <f>IFERROR(INDEX(Tabla_control_serigrafia[TIPO DE FRASCO],MATCH(Tabla_producción_serigrafia[[#This Row],[LOTE]],Tabla_control_serigrafia[LOTE],0)),"-")</f>
        <v>FRASCO NATURAL</v>
      </c>
      <c r="L221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21" s="21">
        <f>IFERROR(INDEX(Tabla_control_serigrafia[CANTIDAD PEDIDA],MATCH(Tabla_producción_serigrafia[[#This Row],[LOTE]],Tabla_control_serigrafia[LOTE],0)),"-")</f>
        <v>24000</v>
      </c>
      <c r="N221" s="22">
        <v>10000</v>
      </c>
      <c r="O221" s="19">
        <v>0</v>
      </c>
      <c r="P221" s="3" t="s">
        <v>178</v>
      </c>
      <c r="Q22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22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21" s="25"/>
      <c r="T221" s="20" t="str">
        <f>UPPER(LEFT(TEXT(Tabla_producción_serigrafia[[#This Row],[FECHA]],"mmm"),3))</f>
        <v>MAY</v>
      </c>
      <c r="U221" s="20">
        <f>IFERROR(Tabla_producción_serigrafia[[#This Row],[CANTIDAD PRODUCIDA]]+Tabla_producción_serigrafia[[#This Row],[CANTIDAD RECHAZADA]],0)</f>
        <v>10000</v>
      </c>
    </row>
    <row r="222" spans="1:21" x14ac:dyDescent="0.25">
      <c r="A222" s="10">
        <v>46153</v>
      </c>
      <c r="B222" s="10" t="s">
        <v>58</v>
      </c>
      <c r="C222" s="1" t="s">
        <v>68</v>
      </c>
      <c r="D222" s="15">
        <v>0.33333333333333331</v>
      </c>
      <c r="E222" s="16">
        <v>0.47916666666666669</v>
      </c>
      <c r="F222" s="17">
        <f>ROUND((Tabla_producción_serigrafia[[#This Row],[FIN]]-Tabla_producción_serigrafia[[#This Row],[INICIO]]+(Tabla_producción_serigrafia[[#This Row],[FIN]]&lt;Tabla_producción_serigrafia[[#This Row],[INICIO]]))*24,2)</f>
        <v>3.5</v>
      </c>
      <c r="G222" s="18" t="s">
        <v>180</v>
      </c>
      <c r="H222" s="19" t="s">
        <v>38</v>
      </c>
      <c r="I222" s="7" t="str">
        <f>IFERROR(INDEX(Tabla_control_serigrafia[PRODUCTO],MATCH(Tabla_producción_serigrafia[[#This Row],[LOTE]],Tabla_control_serigrafia[LOTE],0)),"-")</f>
        <v>-</v>
      </c>
      <c r="J222" s="20" t="str">
        <f>IFERROR(INDEX(Tabla_control_serigrafia[FORMATO DE FRASCO],MATCH(Tabla_producción_serigrafia[[#This Row],[LOTE]],Tabla_control_serigrafia[LOTE],0)),"-")</f>
        <v>-</v>
      </c>
      <c r="K222" s="20" t="str">
        <f>IFERROR(INDEX(Tabla_control_serigrafia[TIPO DE FRASCO],MATCH(Tabla_producción_serigrafia[[#This Row],[LOTE]],Tabla_control_serigrafia[LOTE],0)),"-")</f>
        <v>-</v>
      </c>
      <c r="L222" t="str">
        <f>IF(Tabla_producción_serigrafia[[#This Row],[ACCIÓN]]="PRODUCCIÓN",Tabla_producción_serigrafia[[#This Row],[FORMATO DE FRASCO]]&amp;" "&amp;Tabla_producción_serigrafia[[#This Row],[TIPO DE FRASCO]],"-")</f>
        <v>-</v>
      </c>
      <c r="M222" s="21" t="str">
        <f>IFERROR(INDEX(Tabla_control_serigrafia[CANTIDAD PEDIDA],MATCH(Tabla_producción_serigrafia[[#This Row],[LOTE]],Tabla_control_serigrafia[LOTE],0)),"-")</f>
        <v>-</v>
      </c>
      <c r="N222" s="22">
        <v>0</v>
      </c>
      <c r="O222" s="19">
        <v>0</v>
      </c>
      <c r="P222" s="23">
        <v>0</v>
      </c>
      <c r="Q22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2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22" s="25" t="s">
        <v>177</v>
      </c>
      <c r="T222" s="20" t="str">
        <f>UPPER(LEFT(TEXT(Tabla_producción_serigrafia[[#This Row],[FECHA]],"mmm"),3))</f>
        <v>MAY</v>
      </c>
      <c r="U222" s="20">
        <f>IFERROR(Tabla_producción_serigrafia[[#This Row],[CANTIDAD PRODUCIDA]]+Tabla_producción_serigrafia[[#This Row],[CANTIDAD RECHAZADA]],0)</f>
        <v>0</v>
      </c>
    </row>
    <row r="223" spans="1:21" x14ac:dyDescent="0.25">
      <c r="A223" s="10">
        <v>46153</v>
      </c>
      <c r="B223" s="10" t="s">
        <v>58</v>
      </c>
      <c r="C223" s="1" t="s">
        <v>68</v>
      </c>
      <c r="D223" s="15">
        <v>0.47916666666666669</v>
      </c>
      <c r="E223" s="16">
        <v>0.5</v>
      </c>
      <c r="F223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23" s="18" t="s">
        <v>57</v>
      </c>
      <c r="H223" s="19" t="s">
        <v>38</v>
      </c>
      <c r="I223" s="7" t="str">
        <f>IFERROR(INDEX(Tabla_control_serigrafia[PRODUCTO],MATCH(Tabla_producción_serigrafia[[#This Row],[LOTE]],Tabla_control_serigrafia[LOTE],0)),"-")</f>
        <v>-</v>
      </c>
      <c r="J223" s="20" t="str">
        <f>IFERROR(INDEX(Tabla_control_serigrafia[FORMATO DE FRASCO],MATCH(Tabla_producción_serigrafia[[#This Row],[LOTE]],Tabla_control_serigrafia[LOTE],0)),"-")</f>
        <v>-</v>
      </c>
      <c r="K223" s="20" t="str">
        <f>IFERROR(INDEX(Tabla_control_serigrafia[TIPO DE FRASCO],MATCH(Tabla_producción_serigrafia[[#This Row],[LOTE]],Tabla_control_serigrafia[LOTE],0)),"-")</f>
        <v>-</v>
      </c>
      <c r="L223" t="str">
        <f>IF(Tabla_producción_serigrafia[[#This Row],[ACCIÓN]]="PRODUCCIÓN",Tabla_producción_serigrafia[[#This Row],[FORMATO DE FRASCO]]&amp;" "&amp;Tabla_producción_serigrafia[[#This Row],[TIPO DE FRASCO]],"-")</f>
        <v>-</v>
      </c>
      <c r="M223" s="21" t="str">
        <f>IFERROR(INDEX(Tabla_control_serigrafia[CANTIDAD PEDIDA],MATCH(Tabla_producción_serigrafia[[#This Row],[LOTE]],Tabla_control_serigrafia[LOTE],0)),"-")</f>
        <v>-</v>
      </c>
      <c r="N223" s="22">
        <v>0</v>
      </c>
      <c r="O223" s="19">
        <v>0</v>
      </c>
      <c r="P223" s="23">
        <v>0</v>
      </c>
      <c r="Q22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2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23" s="25" t="s">
        <v>63</v>
      </c>
      <c r="T223" s="20" t="str">
        <f>UPPER(LEFT(TEXT(Tabla_producción_serigrafia[[#This Row],[FECHA]],"mmm"),3))</f>
        <v>MAY</v>
      </c>
      <c r="U223" s="20">
        <f>IFERROR(Tabla_producción_serigrafia[[#This Row],[CANTIDAD PRODUCIDA]]+Tabla_producción_serigrafia[[#This Row],[CANTIDAD RECHAZADA]],0)</f>
        <v>0</v>
      </c>
    </row>
    <row r="224" spans="1:21" x14ac:dyDescent="0.25">
      <c r="A224" s="10">
        <v>46153</v>
      </c>
      <c r="B224" s="10" t="s">
        <v>58</v>
      </c>
      <c r="C224" s="1" t="s">
        <v>68</v>
      </c>
      <c r="D224" s="15">
        <v>0.5</v>
      </c>
      <c r="E224" s="16">
        <v>0.60416666666666663</v>
      </c>
      <c r="F224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224" s="18" t="s">
        <v>56</v>
      </c>
      <c r="H224" s="19">
        <v>52605</v>
      </c>
      <c r="I224" s="7" t="str">
        <f>IFERROR(INDEX(Tabla_control_serigrafia[PRODUCTO],MATCH(Tabla_producción_serigrafia[[#This Row],[LOTE]],Tabla_control_serigrafia[LOTE],0)),"-")</f>
        <v>AMOXICILINA 500 MG X 60 ML POLVO PARA SUSP.</v>
      </c>
      <c r="J224" s="20" t="str">
        <f>IFERROR(INDEX(Tabla_control_serigrafia[FORMATO DE FRASCO],MATCH(Tabla_producción_serigrafia[[#This Row],[LOTE]],Tabla_control_serigrafia[LOTE],0)),"-")</f>
        <v>80 ML</v>
      </c>
      <c r="K224" s="20" t="str">
        <f>IFERROR(INDEX(Tabla_control_serigrafia[TIPO DE FRASCO],MATCH(Tabla_producción_serigrafia[[#This Row],[LOTE]],Tabla_control_serigrafia[LOTE],0)),"-")</f>
        <v>FRASCO NATURAL</v>
      </c>
      <c r="L224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24" s="21">
        <f>IFERROR(INDEX(Tabla_control_serigrafia[CANTIDAD PEDIDA],MATCH(Tabla_producción_serigrafia[[#This Row],[LOTE]],Tabla_control_serigrafia[LOTE],0)),"-")</f>
        <v>24000</v>
      </c>
      <c r="N224" s="22">
        <v>6150</v>
      </c>
      <c r="O224" s="19">
        <v>146</v>
      </c>
      <c r="P224" s="23" t="s">
        <v>62</v>
      </c>
      <c r="Q22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6150</v>
      </c>
      <c r="R22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10</v>
      </c>
      <c r="S224" s="25"/>
      <c r="T224" s="20" t="str">
        <f>UPPER(LEFT(TEXT(Tabla_producción_serigrafia[[#This Row],[FECHA]],"mmm"),3))</f>
        <v>MAY</v>
      </c>
      <c r="U224" s="20">
        <f>IFERROR(Tabla_producción_serigrafia[[#This Row],[CANTIDAD PRODUCIDA]]+Tabla_producción_serigrafia[[#This Row],[CANTIDAD RECHAZADA]],0)</f>
        <v>6296</v>
      </c>
    </row>
    <row r="225" spans="1:21" x14ac:dyDescent="0.25">
      <c r="A225" s="10">
        <v>46153</v>
      </c>
      <c r="B225" s="10" t="s">
        <v>58</v>
      </c>
      <c r="C225" s="1" t="s">
        <v>68</v>
      </c>
      <c r="D225" s="15">
        <v>0.60416666666666663</v>
      </c>
      <c r="E225" s="16">
        <v>0.625</v>
      </c>
      <c r="F225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25" s="18" t="s">
        <v>57</v>
      </c>
      <c r="H225" s="19" t="s">
        <v>38</v>
      </c>
      <c r="I225" s="7" t="str">
        <f>IFERROR(INDEX(Tabla_control_serigrafia[PRODUCTO],MATCH(Tabla_producción_serigrafia[[#This Row],[LOTE]],Tabla_control_serigrafia[LOTE],0)),"-")</f>
        <v>-</v>
      </c>
      <c r="J225" s="20" t="str">
        <f>IFERROR(INDEX(Tabla_control_serigrafia[FORMATO DE FRASCO],MATCH(Tabla_producción_serigrafia[[#This Row],[LOTE]],Tabla_control_serigrafia[LOTE],0)),"-")</f>
        <v>-</v>
      </c>
      <c r="K225" s="20" t="str">
        <f>IFERROR(INDEX(Tabla_control_serigrafia[TIPO DE FRASCO],MATCH(Tabla_producción_serigrafia[[#This Row],[LOTE]],Tabla_control_serigrafia[LOTE],0)),"-")</f>
        <v>-</v>
      </c>
      <c r="L225" t="str">
        <f>IF(Tabla_producción_serigrafia[[#This Row],[ACCIÓN]]="PRODUCCIÓN",Tabla_producción_serigrafia[[#This Row],[FORMATO DE FRASCO]]&amp;" "&amp;Tabla_producción_serigrafia[[#This Row],[TIPO DE FRASCO]],"-")</f>
        <v>-</v>
      </c>
      <c r="M225" s="21" t="str">
        <f>IFERROR(INDEX(Tabla_control_serigrafia[CANTIDAD PEDIDA],MATCH(Tabla_producción_serigrafia[[#This Row],[LOTE]],Tabla_control_serigrafia[LOTE],0)),"-")</f>
        <v>-</v>
      </c>
      <c r="N225" s="22">
        <v>0</v>
      </c>
      <c r="O225" s="19">
        <v>0</v>
      </c>
      <c r="P225" s="23">
        <v>0</v>
      </c>
      <c r="Q22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2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25" s="25" t="s">
        <v>63</v>
      </c>
      <c r="T225" s="20" t="str">
        <f>UPPER(LEFT(TEXT(Tabla_producción_serigrafia[[#This Row],[FECHA]],"mmm"),3))</f>
        <v>MAY</v>
      </c>
      <c r="U225" s="20">
        <f>IFERROR(Tabla_producción_serigrafia[[#This Row],[CANTIDAD PRODUCIDA]]+Tabla_producción_serigrafia[[#This Row],[CANTIDAD RECHAZADA]],0)</f>
        <v>0</v>
      </c>
    </row>
    <row r="226" spans="1:21" x14ac:dyDescent="0.25">
      <c r="A226" s="10">
        <v>46153</v>
      </c>
      <c r="B226" s="10" t="s">
        <v>58</v>
      </c>
      <c r="C226" s="1" t="s">
        <v>68</v>
      </c>
      <c r="D226" s="15">
        <v>0.625</v>
      </c>
      <c r="E226" s="16">
        <v>0.72916666666666663</v>
      </c>
      <c r="F226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226" s="18" t="s">
        <v>56</v>
      </c>
      <c r="H226" s="19">
        <v>52606</v>
      </c>
      <c r="I226" s="7" t="str">
        <f>IFERROR(INDEX(Tabla_control_serigrafia[PRODUCTO],MATCH(Tabla_producción_serigrafia[[#This Row],[LOTE]],Tabla_control_serigrafia[LOTE],0)),"-")</f>
        <v>AMOXICILINA 500 MG X 60 ML POLVO PARA SUSP.</v>
      </c>
      <c r="J226" s="20" t="str">
        <f>IFERROR(INDEX(Tabla_control_serigrafia[FORMATO DE FRASCO],MATCH(Tabla_producción_serigrafia[[#This Row],[LOTE]],Tabla_control_serigrafia[LOTE],0)),"-")</f>
        <v>80 ML</v>
      </c>
      <c r="K226" s="20" t="str">
        <f>IFERROR(INDEX(Tabla_control_serigrafia[TIPO DE FRASCO],MATCH(Tabla_producción_serigrafia[[#This Row],[LOTE]],Tabla_control_serigrafia[LOTE],0)),"-")</f>
        <v>FRASCO NATURAL</v>
      </c>
      <c r="L226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26" s="21">
        <f>IFERROR(INDEX(Tabla_control_serigrafia[CANTIDAD PEDIDA],MATCH(Tabla_producción_serigrafia[[#This Row],[LOTE]],Tabla_control_serigrafia[LOTE],0)),"-")</f>
        <v>24000</v>
      </c>
      <c r="N226" s="22">
        <v>6000</v>
      </c>
      <c r="O226" s="19">
        <v>0</v>
      </c>
      <c r="P226" s="3" t="s">
        <v>178</v>
      </c>
      <c r="Q22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6000</v>
      </c>
      <c r="R22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26" s="25"/>
      <c r="T226" s="20" t="str">
        <f>UPPER(LEFT(TEXT(Tabla_producción_serigrafia[[#This Row],[FECHA]],"mmm"),3))</f>
        <v>MAY</v>
      </c>
      <c r="U226" s="20">
        <f>IFERROR(Tabla_producción_serigrafia[[#This Row],[CANTIDAD PRODUCIDA]]+Tabla_producción_serigrafia[[#This Row],[CANTIDAD RECHAZADA]],0)</f>
        <v>6000</v>
      </c>
    </row>
    <row r="227" spans="1:21" x14ac:dyDescent="0.25">
      <c r="A227" s="10">
        <v>46153</v>
      </c>
      <c r="B227" s="10" t="s">
        <v>58</v>
      </c>
      <c r="C227" s="1" t="s">
        <v>68</v>
      </c>
      <c r="D227" s="15">
        <v>0.72916666666666663</v>
      </c>
      <c r="E227" s="16">
        <v>0.91666666666666663</v>
      </c>
      <c r="F227" s="17">
        <f>ROUND((Tabla_producción_serigrafia[[#This Row],[FIN]]-Tabla_producción_serigrafia[[#This Row],[INICIO]]+(Tabla_producción_serigrafia[[#This Row],[FIN]]&lt;Tabla_producción_serigrafia[[#This Row],[INICIO]]))*24,2)</f>
        <v>4.5</v>
      </c>
      <c r="G227" s="18" t="s">
        <v>56</v>
      </c>
      <c r="H227" s="19">
        <v>52606</v>
      </c>
      <c r="I227" s="7" t="str">
        <f>IFERROR(INDEX(Tabla_control_serigrafia[PRODUCTO],MATCH(Tabla_producción_serigrafia[[#This Row],[LOTE]],Tabla_control_serigrafia[LOTE],0)),"-")</f>
        <v>AMOXICILINA 500 MG X 60 ML POLVO PARA SUSP.</v>
      </c>
      <c r="J227" s="20" t="str">
        <f>IFERROR(INDEX(Tabla_control_serigrafia[FORMATO DE FRASCO],MATCH(Tabla_producción_serigrafia[[#This Row],[LOTE]],Tabla_control_serigrafia[LOTE],0)),"-")</f>
        <v>80 ML</v>
      </c>
      <c r="K227" s="20" t="str">
        <f>IFERROR(INDEX(Tabla_control_serigrafia[TIPO DE FRASCO],MATCH(Tabla_producción_serigrafia[[#This Row],[LOTE]],Tabla_control_serigrafia[LOTE],0)),"-")</f>
        <v>FRASCO NATURAL</v>
      </c>
      <c r="L227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27" s="21">
        <f>IFERROR(INDEX(Tabla_control_serigrafia[CANTIDAD PEDIDA],MATCH(Tabla_producción_serigrafia[[#This Row],[LOTE]],Tabla_control_serigrafia[LOTE],0)),"-")</f>
        <v>24000</v>
      </c>
      <c r="N227" s="22">
        <v>10000</v>
      </c>
      <c r="O227" s="19">
        <v>0</v>
      </c>
      <c r="P227" s="3" t="s">
        <v>178</v>
      </c>
      <c r="Q22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22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27" s="25"/>
      <c r="T227" s="20" t="str">
        <f>UPPER(LEFT(TEXT(Tabla_producción_serigrafia[[#This Row],[FECHA]],"mmm"),3))</f>
        <v>MAY</v>
      </c>
      <c r="U227" s="20">
        <f>IFERROR(Tabla_producción_serigrafia[[#This Row],[CANTIDAD PRODUCIDA]]+Tabla_producción_serigrafia[[#This Row],[CANTIDAD RECHAZADA]],0)</f>
        <v>10000</v>
      </c>
    </row>
    <row r="228" spans="1:21" x14ac:dyDescent="0.25">
      <c r="A228" s="10">
        <v>46154</v>
      </c>
      <c r="B228" s="10" t="s">
        <v>58</v>
      </c>
      <c r="C228" s="1" t="s">
        <v>68</v>
      </c>
      <c r="D228" s="15">
        <v>0.33333333333333331</v>
      </c>
      <c r="E228" s="16">
        <v>0.5</v>
      </c>
      <c r="F228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228" s="18" t="s">
        <v>56</v>
      </c>
      <c r="H228" s="19">
        <v>52606</v>
      </c>
      <c r="I228" s="7" t="str">
        <f>IFERROR(INDEX(Tabla_control_serigrafia[PRODUCTO],MATCH(Tabla_producción_serigrafia[[#This Row],[LOTE]],Tabla_control_serigrafia[LOTE],0)),"-")</f>
        <v>AMOXICILINA 500 MG X 60 ML POLVO PARA SUSP.</v>
      </c>
      <c r="J228" s="20" t="str">
        <f>IFERROR(INDEX(Tabla_control_serigrafia[FORMATO DE FRASCO],MATCH(Tabla_producción_serigrafia[[#This Row],[LOTE]],Tabla_control_serigrafia[LOTE],0)),"-")</f>
        <v>80 ML</v>
      </c>
      <c r="K228" s="20" t="str">
        <f>IFERROR(INDEX(Tabla_control_serigrafia[TIPO DE FRASCO],MATCH(Tabla_producción_serigrafia[[#This Row],[LOTE]],Tabla_control_serigrafia[LOTE],0)),"-")</f>
        <v>FRASCO NATURAL</v>
      </c>
      <c r="L228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28" s="21">
        <f>IFERROR(INDEX(Tabla_control_serigrafia[CANTIDAD PEDIDA],MATCH(Tabla_producción_serigrafia[[#This Row],[LOTE]],Tabla_control_serigrafia[LOTE],0)),"-")</f>
        <v>24000</v>
      </c>
      <c r="N228" s="22">
        <v>8150</v>
      </c>
      <c r="O228" s="19">
        <v>146</v>
      </c>
      <c r="P228" s="23" t="s">
        <v>62</v>
      </c>
      <c r="Q22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8150</v>
      </c>
      <c r="R22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11</v>
      </c>
      <c r="S228" s="25"/>
      <c r="T228" s="20" t="str">
        <f>UPPER(LEFT(TEXT(Tabla_producción_serigrafia[[#This Row],[FECHA]],"mmm"),3))</f>
        <v>MAY</v>
      </c>
      <c r="U228" s="20">
        <f>IFERROR(Tabla_producción_serigrafia[[#This Row],[CANTIDAD PRODUCIDA]]+Tabla_producción_serigrafia[[#This Row],[CANTIDAD RECHAZADA]],0)</f>
        <v>8296</v>
      </c>
    </row>
    <row r="229" spans="1:21" x14ac:dyDescent="0.25">
      <c r="A229" s="10">
        <v>46154</v>
      </c>
      <c r="B229" s="10" t="s">
        <v>58</v>
      </c>
      <c r="C229" s="1" t="s">
        <v>68</v>
      </c>
      <c r="D229" s="15">
        <v>0.5</v>
      </c>
      <c r="E229" s="16">
        <v>0.54166666666666663</v>
      </c>
      <c r="F229" s="17">
        <f>ROUND((Tabla_producción_serigrafia[[#This Row],[FIN]]-Tabla_producción_serigrafia[[#This Row],[INICIO]]+(Tabla_producción_serigrafia[[#This Row],[FIN]]&lt;Tabla_producción_serigrafia[[#This Row],[INICIO]]))*24,2)</f>
        <v>1</v>
      </c>
      <c r="G229" s="18" t="s">
        <v>56</v>
      </c>
      <c r="H229" s="19">
        <v>52693</v>
      </c>
      <c r="I229" s="7" t="str">
        <f>IFERROR(INDEX(Tabla_control_serigrafia[PRODUCTO],MATCH(Tabla_producción_serigrafia[[#This Row],[LOTE]],Tabla_control_serigrafia[LOTE],0)),"-")</f>
        <v>CEFALEXINA 250 MG X 60 ML POLVO PARA SUSP.</v>
      </c>
      <c r="J229" s="20" t="str">
        <f>IFERROR(INDEX(Tabla_control_serigrafia[FORMATO DE FRASCO],MATCH(Tabla_producción_serigrafia[[#This Row],[LOTE]],Tabla_control_serigrafia[LOTE],0)),"-")</f>
        <v>80 ML</v>
      </c>
      <c r="K229" s="20" t="str">
        <f>IFERROR(INDEX(Tabla_control_serigrafia[TIPO DE FRASCO],MATCH(Tabla_producción_serigrafia[[#This Row],[LOTE]],Tabla_control_serigrafia[LOTE],0)),"-")</f>
        <v>FRASCO NATURAL</v>
      </c>
      <c r="L229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29" s="21">
        <f>IFERROR(INDEX(Tabla_control_serigrafia[CANTIDAD PEDIDA],MATCH(Tabla_producción_serigrafia[[#This Row],[LOTE]],Tabla_control_serigrafia[LOTE],0)),"-")</f>
        <v>2000</v>
      </c>
      <c r="N229" s="22">
        <v>2100</v>
      </c>
      <c r="O229" s="19">
        <v>46</v>
      </c>
      <c r="P229" s="23" t="s">
        <v>62</v>
      </c>
      <c r="Q22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2100</v>
      </c>
      <c r="R229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11</v>
      </c>
      <c r="S229" s="25"/>
      <c r="T229" s="20" t="str">
        <f>UPPER(LEFT(TEXT(Tabla_producción_serigrafia[[#This Row],[FECHA]],"mmm"),3))</f>
        <v>MAY</v>
      </c>
      <c r="U229" s="20">
        <f>IFERROR(Tabla_producción_serigrafia[[#This Row],[CANTIDAD PRODUCIDA]]+Tabla_producción_serigrafia[[#This Row],[CANTIDAD RECHAZADA]],0)</f>
        <v>2146</v>
      </c>
    </row>
    <row r="230" spans="1:21" x14ac:dyDescent="0.25">
      <c r="A230" s="10">
        <v>46154</v>
      </c>
      <c r="B230" s="10" t="s">
        <v>58</v>
      </c>
      <c r="C230" s="1" t="s">
        <v>68</v>
      </c>
      <c r="D230" s="15">
        <v>0.54166666666666663</v>
      </c>
      <c r="E230" s="16">
        <v>0.68055555555555547</v>
      </c>
      <c r="F230" s="17">
        <f>ROUND((Tabla_producción_serigrafia[[#This Row],[FIN]]-Tabla_producción_serigrafia[[#This Row],[INICIO]]+(Tabla_producción_serigrafia[[#This Row],[FIN]]&lt;Tabla_producción_serigrafia[[#This Row],[INICIO]]))*24,2)</f>
        <v>3.33</v>
      </c>
      <c r="G230" s="18" t="s">
        <v>56</v>
      </c>
      <c r="H230" s="19">
        <v>42677</v>
      </c>
      <c r="I230" s="7" t="str">
        <f>IFERROR(INDEX(Tabla_control_serigrafia[PRODUCTO],MATCH(Tabla_producción_serigrafia[[#This Row],[LOTE]],Tabla_control_serigrafia[LOTE],0)),"-")</f>
        <v>AMOXICILINA 250 MG X 60 ML POLVO PARA SUSP.</v>
      </c>
      <c r="J230" s="20" t="str">
        <f>IFERROR(INDEX(Tabla_control_serigrafia[FORMATO DE FRASCO],MATCH(Tabla_producción_serigrafia[[#This Row],[LOTE]],Tabla_control_serigrafia[LOTE],0)),"-")</f>
        <v>80 ML</v>
      </c>
      <c r="K230" s="20" t="str">
        <f>IFERROR(INDEX(Tabla_control_serigrafia[TIPO DE FRASCO],MATCH(Tabla_producción_serigrafia[[#This Row],[LOTE]],Tabla_control_serigrafia[LOTE],0)),"-")</f>
        <v>FRASCO NATURAL</v>
      </c>
      <c r="L230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30" s="21">
        <f>IFERROR(INDEX(Tabla_control_serigrafia[CANTIDAD PEDIDA],MATCH(Tabla_producción_serigrafia[[#This Row],[LOTE]],Tabla_control_serigrafia[LOTE],0)),"-")</f>
        <v>8000</v>
      </c>
      <c r="N230" s="22">
        <v>8100</v>
      </c>
      <c r="O230" s="19">
        <v>88</v>
      </c>
      <c r="P230" s="23" t="s">
        <v>62</v>
      </c>
      <c r="Q23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8100</v>
      </c>
      <c r="R230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41</v>
      </c>
      <c r="S230" s="25"/>
      <c r="T230" s="20" t="str">
        <f>UPPER(LEFT(TEXT(Tabla_producción_serigrafia[[#This Row],[FECHA]],"mmm"),3))</f>
        <v>MAY</v>
      </c>
      <c r="U230" s="20">
        <f>IFERROR(Tabla_producción_serigrafia[[#This Row],[CANTIDAD PRODUCIDA]]+Tabla_producción_serigrafia[[#This Row],[CANTIDAD RECHAZADA]],0)</f>
        <v>8188</v>
      </c>
    </row>
    <row r="231" spans="1:21" x14ac:dyDescent="0.25">
      <c r="A231" s="10">
        <v>46154</v>
      </c>
      <c r="B231" s="10" t="s">
        <v>58</v>
      </c>
      <c r="C231" s="1" t="s">
        <v>68</v>
      </c>
      <c r="D231" s="15">
        <v>0.68055555555555547</v>
      </c>
      <c r="E231" s="16">
        <v>0.72916666666666663</v>
      </c>
      <c r="F231" s="17">
        <f>ROUND((Tabla_producción_serigrafia[[#This Row],[FIN]]-Tabla_producción_serigrafia[[#This Row],[INICIO]]+(Tabla_producción_serigrafia[[#This Row],[FIN]]&lt;Tabla_producción_serigrafia[[#This Row],[INICIO]]))*24,2)</f>
        <v>1.17</v>
      </c>
      <c r="G231" s="18" t="s">
        <v>56</v>
      </c>
      <c r="H231" s="19">
        <v>13426</v>
      </c>
      <c r="I231" s="7" t="str">
        <f>IFERROR(INDEX(Tabla_control_serigrafia[PRODUCTO],MATCH(Tabla_producción_serigrafia[[#This Row],[LOTE]],Tabla_control_serigrafia[LOTE],0)),"-")</f>
        <v>AMOXICILINA 125 MG X 60 ML POLVO PARA SUSP. VETERINARIO</v>
      </c>
      <c r="J231" s="20" t="str">
        <f>IFERROR(INDEX(Tabla_control_serigrafia[FORMATO DE FRASCO],MATCH(Tabla_producción_serigrafia[[#This Row],[LOTE]],Tabla_control_serigrafia[LOTE],0)),"-")</f>
        <v>80 ML</v>
      </c>
      <c r="K231" s="20" t="str">
        <f>IFERROR(INDEX(Tabla_control_serigrafia[TIPO DE FRASCO],MATCH(Tabla_producción_serigrafia[[#This Row],[LOTE]],Tabla_control_serigrafia[LOTE],0)),"-")</f>
        <v>FRASCO NATURAL</v>
      </c>
      <c r="L231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31" s="21">
        <f>IFERROR(INDEX(Tabla_control_serigrafia[CANTIDAD PEDIDA],MATCH(Tabla_producción_serigrafia[[#This Row],[LOTE]],Tabla_control_serigrafia[LOTE],0)),"-")</f>
        <v>10000</v>
      </c>
      <c r="N231" s="22">
        <v>1500</v>
      </c>
      <c r="O231" s="19">
        <v>0</v>
      </c>
      <c r="P231" s="23" t="s">
        <v>178</v>
      </c>
      <c r="Q23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1500</v>
      </c>
      <c r="R23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31" s="25"/>
      <c r="T231" s="20" t="str">
        <f>UPPER(LEFT(TEXT(Tabla_producción_serigrafia[[#This Row],[FECHA]],"mmm"),3))</f>
        <v>MAY</v>
      </c>
      <c r="U231" s="20">
        <f>IFERROR(Tabla_producción_serigrafia[[#This Row],[CANTIDAD PRODUCIDA]]+Tabla_producción_serigrafia[[#This Row],[CANTIDAD RECHAZADA]],0)</f>
        <v>1500</v>
      </c>
    </row>
    <row r="232" spans="1:21" x14ac:dyDescent="0.25">
      <c r="A232" s="10">
        <v>46154</v>
      </c>
      <c r="B232" s="10" t="s">
        <v>58</v>
      </c>
      <c r="C232" s="1" t="s">
        <v>68</v>
      </c>
      <c r="D232" s="15">
        <v>0.72986111111111107</v>
      </c>
      <c r="E232" s="16">
        <v>0.91666666666666663</v>
      </c>
      <c r="F232" s="17">
        <f>ROUND((Tabla_producción_serigrafia[[#This Row],[FIN]]-Tabla_producción_serigrafia[[#This Row],[INICIO]]+(Tabla_producción_serigrafia[[#This Row],[FIN]]&lt;Tabla_producción_serigrafia[[#This Row],[INICIO]]))*24,2)</f>
        <v>4.4800000000000004</v>
      </c>
      <c r="G232" s="18" t="s">
        <v>56</v>
      </c>
      <c r="H232" s="19">
        <v>13426</v>
      </c>
      <c r="I232" s="7" t="str">
        <f>IFERROR(INDEX(Tabla_control_serigrafia[PRODUCTO],MATCH(Tabla_producción_serigrafia[[#This Row],[LOTE]],Tabla_control_serigrafia[LOTE],0)),"-")</f>
        <v>AMOXICILINA 125 MG X 60 ML POLVO PARA SUSP. VETERINARIO</v>
      </c>
      <c r="J232" s="20" t="str">
        <f>IFERROR(INDEX(Tabla_control_serigrafia[FORMATO DE FRASCO],MATCH(Tabla_producción_serigrafia[[#This Row],[LOTE]],Tabla_control_serigrafia[LOTE],0)),"-")</f>
        <v>80 ML</v>
      </c>
      <c r="K232" s="20" t="str">
        <f>IFERROR(INDEX(Tabla_control_serigrafia[TIPO DE FRASCO],MATCH(Tabla_producción_serigrafia[[#This Row],[LOTE]],Tabla_control_serigrafia[LOTE],0)),"-")</f>
        <v>FRASCO NATURAL</v>
      </c>
      <c r="L232" t="str">
        <f>IF(Tabla_producción_serigrafia[[#This Row],[ACCIÓN]]="PRODUCCIÓN",Tabla_producción_serigrafia[[#This Row],[FORMATO DE FRASCO]]&amp;" "&amp;Tabla_producción_serigrafia[[#This Row],[TIPO DE FRASCO]],"-")</f>
        <v>80 ML FRASCO NATURAL</v>
      </c>
      <c r="M232" s="21">
        <f>IFERROR(INDEX(Tabla_control_serigrafia[CANTIDAD PEDIDA],MATCH(Tabla_producción_serigrafia[[#This Row],[LOTE]],Tabla_control_serigrafia[LOTE],0)),"-")</f>
        <v>10000</v>
      </c>
      <c r="N232" s="22">
        <v>8600</v>
      </c>
      <c r="O232" s="19">
        <v>146</v>
      </c>
      <c r="P232" s="23" t="s">
        <v>62</v>
      </c>
      <c r="Q23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8600</v>
      </c>
      <c r="R232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41</v>
      </c>
      <c r="S232" s="25"/>
      <c r="T232" s="20" t="str">
        <f>UPPER(LEFT(TEXT(Tabla_producción_serigrafia[[#This Row],[FECHA]],"mmm"),3))</f>
        <v>MAY</v>
      </c>
      <c r="U232" s="20">
        <f>IFERROR(Tabla_producción_serigrafia[[#This Row],[CANTIDAD PRODUCIDA]]+Tabla_producción_serigrafia[[#This Row],[CANTIDAD RECHAZADA]],0)</f>
        <v>8746</v>
      </c>
    </row>
    <row r="233" spans="1:21" x14ac:dyDescent="0.25">
      <c r="A233" s="10">
        <v>46155</v>
      </c>
      <c r="B233" s="10" t="s">
        <v>58</v>
      </c>
      <c r="C233" s="1" t="s">
        <v>68</v>
      </c>
      <c r="D233" s="15">
        <v>0.33333333333333331</v>
      </c>
      <c r="E233" s="16">
        <v>0.34722222222222227</v>
      </c>
      <c r="F233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33" s="18" t="s">
        <v>57</v>
      </c>
      <c r="H233" s="19">
        <v>42668</v>
      </c>
      <c r="I233" s="7" t="str">
        <f>IFERROR(INDEX(Tabla_control_serigrafia[PRODUCTO],MATCH(Tabla_producción_serigrafia[[#This Row],[LOTE]],Tabla_control_serigrafia[LOTE],0)),"-")</f>
        <v>NISTATINA 500.000 UI X 60 ML SUSP.</v>
      </c>
      <c r="J233" s="20" t="str">
        <f>IFERROR(INDEX(Tabla_control_serigrafia[FORMATO DE FRASCO],MATCH(Tabla_producción_serigrafia[[#This Row],[LOTE]],Tabla_control_serigrafia[LOTE],0)),"-")</f>
        <v>80 ML</v>
      </c>
      <c r="K233" s="20" t="str">
        <f>IFERROR(INDEX(Tabla_control_serigrafia[TIPO DE FRASCO],MATCH(Tabla_producción_serigrafia[[#This Row],[LOTE]],Tabla_control_serigrafia[LOTE],0)),"-")</f>
        <v>FRASCO BLANCO</v>
      </c>
      <c r="L233" t="str">
        <f>IF(Tabla_producción_serigrafia[[#This Row],[ACCIÓN]]="PRODUCCIÓN",Tabla_producción_serigrafia[[#This Row],[FORMATO DE FRASCO]]&amp;" "&amp;Tabla_producción_serigrafia[[#This Row],[TIPO DE FRASCO]],"-")</f>
        <v>-</v>
      </c>
      <c r="M233" s="21">
        <f>IFERROR(INDEX(Tabla_control_serigrafia[CANTIDAD PEDIDA],MATCH(Tabla_producción_serigrafia[[#This Row],[LOTE]],Tabla_control_serigrafia[LOTE],0)),"-")</f>
        <v>19354</v>
      </c>
      <c r="N233" s="22">
        <v>0</v>
      </c>
      <c r="O233" s="19">
        <v>0</v>
      </c>
      <c r="P233" s="23"/>
      <c r="Q23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3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33" s="25" t="s">
        <v>63</v>
      </c>
      <c r="T233" s="20" t="str">
        <f>UPPER(LEFT(TEXT(Tabla_producción_serigrafia[[#This Row],[FECHA]],"mmm"),3))</f>
        <v>MAY</v>
      </c>
      <c r="U233" s="20">
        <f>IFERROR(Tabla_producción_serigrafia[[#This Row],[CANTIDAD PRODUCIDA]]+Tabla_producción_serigrafia[[#This Row],[CANTIDAD RECHAZADA]],0)</f>
        <v>0</v>
      </c>
    </row>
    <row r="234" spans="1:21" x14ac:dyDescent="0.25">
      <c r="A234" s="10">
        <v>46155</v>
      </c>
      <c r="B234" s="10" t="s">
        <v>58</v>
      </c>
      <c r="C234" s="1" t="s">
        <v>68</v>
      </c>
      <c r="D234" s="15">
        <v>0.34722222222222227</v>
      </c>
      <c r="E234" s="16">
        <v>0.72916666666666663</v>
      </c>
      <c r="F234" s="17">
        <f>ROUND((Tabla_producción_serigrafia[[#This Row],[FIN]]-Tabla_producción_serigrafia[[#This Row],[INICIO]]+(Tabla_producción_serigrafia[[#This Row],[FIN]]&lt;Tabla_producción_serigrafia[[#This Row],[INICIO]]))*24,2)</f>
        <v>9.17</v>
      </c>
      <c r="G234" s="18" t="s">
        <v>56</v>
      </c>
      <c r="H234" s="19">
        <v>42668</v>
      </c>
      <c r="I234" s="7" t="str">
        <f>IFERROR(INDEX(Tabla_control_serigrafia[PRODUCTO],MATCH(Tabla_producción_serigrafia[[#This Row],[LOTE]],Tabla_control_serigrafia[LOTE],0)),"-")</f>
        <v>NISTATINA 500.000 UI X 60 ML SUSP.</v>
      </c>
      <c r="J234" s="20" t="str">
        <f>IFERROR(INDEX(Tabla_control_serigrafia[FORMATO DE FRASCO],MATCH(Tabla_producción_serigrafia[[#This Row],[LOTE]],Tabla_control_serigrafia[LOTE],0)),"-")</f>
        <v>80 ML</v>
      </c>
      <c r="K234" s="20" t="str">
        <f>IFERROR(INDEX(Tabla_control_serigrafia[TIPO DE FRASCO],MATCH(Tabla_producción_serigrafia[[#This Row],[LOTE]],Tabla_control_serigrafia[LOTE],0)),"-")</f>
        <v>FRASCO BLANCO</v>
      </c>
      <c r="L234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234" s="21">
        <f>IFERROR(INDEX(Tabla_control_serigrafia[CANTIDAD PEDIDA],MATCH(Tabla_producción_serigrafia[[#This Row],[LOTE]],Tabla_control_serigrafia[LOTE],0)),"-")</f>
        <v>19354</v>
      </c>
      <c r="N234" s="22">
        <v>19500</v>
      </c>
      <c r="O234" s="19">
        <v>169</v>
      </c>
      <c r="P234" s="23" t="s">
        <v>62</v>
      </c>
      <c r="Q23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19500</v>
      </c>
      <c r="R234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42</v>
      </c>
      <c r="S234" s="25"/>
      <c r="T234" s="20" t="str">
        <f>UPPER(LEFT(TEXT(Tabla_producción_serigrafia[[#This Row],[FECHA]],"mmm"),3))</f>
        <v>MAY</v>
      </c>
      <c r="U234" s="20">
        <f>IFERROR(Tabla_producción_serigrafia[[#This Row],[CANTIDAD PRODUCIDA]]+Tabla_producción_serigrafia[[#This Row],[CANTIDAD RECHAZADA]],0)</f>
        <v>19669</v>
      </c>
    </row>
    <row r="235" spans="1:21" x14ac:dyDescent="0.25">
      <c r="A235" s="10">
        <v>46155</v>
      </c>
      <c r="B235" s="10" t="s">
        <v>58</v>
      </c>
      <c r="C235" s="1" t="s">
        <v>68</v>
      </c>
      <c r="D235" s="15">
        <v>0.72986111111111107</v>
      </c>
      <c r="E235" s="16">
        <v>0.74305555555555547</v>
      </c>
      <c r="F235" s="17">
        <f>ROUND((Tabla_producción_serigrafia[[#This Row],[FIN]]-Tabla_producción_serigrafia[[#This Row],[INICIO]]+(Tabla_producción_serigrafia[[#This Row],[FIN]]&lt;Tabla_producción_serigrafia[[#This Row],[INICIO]]))*24,2)</f>
        <v>0.32</v>
      </c>
      <c r="G235" s="18" t="s">
        <v>57</v>
      </c>
      <c r="H235" s="19">
        <v>52676</v>
      </c>
      <c r="I235" s="7" t="str">
        <f>IFERROR(INDEX(Tabla_control_serigrafia[PRODUCTO],MATCH(Tabla_producción_serigrafia[[#This Row],[LOTE]],Tabla_control_serigrafia[LOTE],0)),"-")</f>
        <v>PARACETAMOL 120 MG X 60 ML JARABE</v>
      </c>
      <c r="J235" s="20" t="str">
        <f>IFERROR(INDEX(Tabla_control_serigrafia[FORMATO DE FRASCO],MATCH(Tabla_producción_serigrafia[[#This Row],[LOTE]],Tabla_control_serigrafia[LOTE],0)),"-")</f>
        <v>80 ML</v>
      </c>
      <c r="K235" s="20" t="str">
        <f>IFERROR(INDEX(Tabla_control_serigrafia[TIPO DE FRASCO],MATCH(Tabla_producción_serigrafia[[#This Row],[LOTE]],Tabla_control_serigrafia[LOTE],0)),"-")</f>
        <v>FRASCO BLANCO</v>
      </c>
      <c r="L235" t="str">
        <f>IF(Tabla_producción_serigrafia[[#This Row],[ACCIÓN]]="PRODUCCIÓN",Tabla_producción_serigrafia[[#This Row],[FORMATO DE FRASCO]]&amp;" "&amp;Tabla_producción_serigrafia[[#This Row],[TIPO DE FRASCO]],"-")</f>
        <v>-</v>
      </c>
      <c r="M235" s="21">
        <f>IFERROR(INDEX(Tabla_control_serigrafia[CANTIDAD PEDIDA],MATCH(Tabla_producción_serigrafia[[#This Row],[LOTE]],Tabla_control_serigrafia[LOTE],0)),"-")</f>
        <v>29508</v>
      </c>
      <c r="N235" s="22">
        <v>0</v>
      </c>
      <c r="O235" s="19">
        <v>0</v>
      </c>
      <c r="P235" s="23"/>
      <c r="Q23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35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35" s="25" t="s">
        <v>63</v>
      </c>
      <c r="T235" s="20" t="str">
        <f>UPPER(LEFT(TEXT(Tabla_producción_serigrafia[[#This Row],[FECHA]],"mmm"),3))</f>
        <v>MAY</v>
      </c>
      <c r="U235" s="20">
        <f>IFERROR(Tabla_producción_serigrafia[[#This Row],[CANTIDAD PRODUCIDA]]+Tabla_producción_serigrafia[[#This Row],[CANTIDAD RECHAZADA]],0)</f>
        <v>0</v>
      </c>
    </row>
    <row r="236" spans="1:21" x14ac:dyDescent="0.25">
      <c r="A236" s="10">
        <v>46155</v>
      </c>
      <c r="B236" s="10" t="s">
        <v>58</v>
      </c>
      <c r="C236" s="1" t="s">
        <v>68</v>
      </c>
      <c r="D236" s="15">
        <v>0.74305555555555547</v>
      </c>
      <c r="E236" s="16">
        <v>0.91666666666666663</v>
      </c>
      <c r="F236" s="17">
        <f>ROUND((Tabla_producción_serigrafia[[#This Row],[FIN]]-Tabla_producción_serigrafia[[#This Row],[INICIO]]+(Tabla_producción_serigrafia[[#This Row],[FIN]]&lt;Tabla_producción_serigrafia[[#This Row],[INICIO]]))*24,2)</f>
        <v>4.17</v>
      </c>
      <c r="G236" s="18" t="s">
        <v>56</v>
      </c>
      <c r="H236" s="19">
        <v>52676</v>
      </c>
      <c r="I236" s="7" t="str">
        <f>IFERROR(INDEX(Tabla_control_serigrafia[PRODUCTO],MATCH(Tabla_producción_serigrafia[[#This Row],[LOTE]],Tabla_control_serigrafia[LOTE],0)),"-")</f>
        <v>PARACETAMOL 120 MG X 60 ML JARABE</v>
      </c>
      <c r="J236" s="20" t="str">
        <f>IFERROR(INDEX(Tabla_control_serigrafia[FORMATO DE FRASCO],MATCH(Tabla_producción_serigrafia[[#This Row],[LOTE]],Tabla_control_serigrafia[LOTE],0)),"-")</f>
        <v>80 ML</v>
      </c>
      <c r="K236" s="20" t="str">
        <f>IFERROR(INDEX(Tabla_control_serigrafia[TIPO DE FRASCO],MATCH(Tabla_producción_serigrafia[[#This Row],[LOTE]],Tabla_control_serigrafia[LOTE],0)),"-")</f>
        <v>FRASCO BLANCO</v>
      </c>
      <c r="L236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236" s="21">
        <f>IFERROR(INDEX(Tabla_control_serigrafia[CANTIDAD PEDIDA],MATCH(Tabla_producción_serigrafia[[#This Row],[LOTE]],Tabla_control_serigrafia[LOTE],0)),"-")</f>
        <v>29508</v>
      </c>
      <c r="N236" s="22">
        <v>10000</v>
      </c>
      <c r="O236" s="19">
        <v>0</v>
      </c>
      <c r="P236" s="23" t="s">
        <v>178</v>
      </c>
      <c r="Q23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23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36" s="25"/>
      <c r="T236" s="20" t="str">
        <f>UPPER(LEFT(TEXT(Tabla_producción_serigrafia[[#This Row],[FECHA]],"mmm"),3))</f>
        <v>MAY</v>
      </c>
      <c r="U236" s="20">
        <f>IFERROR(Tabla_producción_serigrafia[[#This Row],[CANTIDAD PRODUCIDA]]+Tabla_producción_serigrafia[[#This Row],[CANTIDAD RECHAZADA]],0)</f>
        <v>10000</v>
      </c>
    </row>
    <row r="237" spans="1:21" x14ac:dyDescent="0.25">
      <c r="A237" s="10">
        <v>46156</v>
      </c>
      <c r="B237" s="10" t="s">
        <v>58</v>
      </c>
      <c r="C237" s="1" t="s">
        <v>68</v>
      </c>
      <c r="D237" s="15">
        <v>0.33333333333333331</v>
      </c>
      <c r="E237" s="16">
        <v>0.35416666666666669</v>
      </c>
      <c r="F237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37" s="18" t="s">
        <v>57</v>
      </c>
      <c r="H237" s="19">
        <v>52676</v>
      </c>
      <c r="I237" s="7" t="str">
        <f>IFERROR(INDEX(Tabla_control_serigrafia[PRODUCTO],MATCH(Tabla_producción_serigrafia[[#This Row],[LOTE]],Tabla_control_serigrafia[LOTE],0)),"-")</f>
        <v>PARACETAMOL 120 MG X 60 ML JARABE</v>
      </c>
      <c r="J237" s="20" t="str">
        <f>IFERROR(INDEX(Tabla_control_serigrafia[FORMATO DE FRASCO],MATCH(Tabla_producción_serigrafia[[#This Row],[LOTE]],Tabla_control_serigrafia[LOTE],0)),"-")</f>
        <v>80 ML</v>
      </c>
      <c r="K237" s="20" t="str">
        <f>IFERROR(INDEX(Tabla_control_serigrafia[TIPO DE FRASCO],MATCH(Tabla_producción_serigrafia[[#This Row],[LOTE]],Tabla_control_serigrafia[LOTE],0)),"-")</f>
        <v>FRASCO BLANCO</v>
      </c>
      <c r="L237" t="str">
        <f>IF(Tabla_producción_serigrafia[[#This Row],[ACCIÓN]]="PRODUCCIÓN",Tabla_producción_serigrafia[[#This Row],[FORMATO DE FRASCO]]&amp;" "&amp;Tabla_producción_serigrafia[[#This Row],[TIPO DE FRASCO]],"-")</f>
        <v>-</v>
      </c>
      <c r="M237" s="21">
        <f>IFERROR(INDEX(Tabla_control_serigrafia[CANTIDAD PEDIDA],MATCH(Tabla_producción_serigrafia[[#This Row],[LOTE]],Tabla_control_serigrafia[LOTE],0)),"-")</f>
        <v>29508</v>
      </c>
      <c r="N237" s="22">
        <v>0</v>
      </c>
      <c r="O237" s="19">
        <v>0</v>
      </c>
      <c r="P237" s="23"/>
      <c r="Q23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3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37" s="25" t="s">
        <v>63</v>
      </c>
      <c r="T237" s="20" t="str">
        <f>UPPER(LEFT(TEXT(Tabla_producción_serigrafia[[#This Row],[FECHA]],"mmm"),3))</f>
        <v>MAY</v>
      </c>
      <c r="U237" s="20">
        <f>IFERROR(Tabla_producción_serigrafia[[#This Row],[CANTIDAD PRODUCIDA]]+Tabla_producción_serigrafia[[#This Row],[CANTIDAD RECHAZADA]],0)</f>
        <v>0</v>
      </c>
    </row>
    <row r="238" spans="1:21" x14ac:dyDescent="0.25">
      <c r="A238" s="10">
        <v>46156</v>
      </c>
      <c r="B238" s="10" t="s">
        <v>58</v>
      </c>
      <c r="C238" s="1" t="s">
        <v>68</v>
      </c>
      <c r="D238" s="15">
        <v>0.35416666666666669</v>
      </c>
      <c r="E238" s="16">
        <v>0.70833333333333337</v>
      </c>
      <c r="F238" s="17">
        <f>ROUND((Tabla_producción_serigrafia[[#This Row],[FIN]]-Tabla_producción_serigrafia[[#This Row],[INICIO]]+(Tabla_producción_serigrafia[[#This Row],[FIN]]&lt;Tabla_producción_serigrafia[[#This Row],[INICIO]]))*24,2)</f>
        <v>8.5</v>
      </c>
      <c r="G238" s="18" t="s">
        <v>56</v>
      </c>
      <c r="H238" s="19">
        <v>52676</v>
      </c>
      <c r="I238" s="7" t="str">
        <f>IFERROR(INDEX(Tabla_control_serigrafia[PRODUCTO],MATCH(Tabla_producción_serigrafia[[#This Row],[LOTE]],Tabla_control_serigrafia[LOTE],0)),"-")</f>
        <v>PARACETAMOL 120 MG X 60 ML JARABE</v>
      </c>
      <c r="J238" s="20" t="str">
        <f>IFERROR(INDEX(Tabla_control_serigrafia[FORMATO DE FRASCO],MATCH(Tabla_producción_serigrafia[[#This Row],[LOTE]],Tabla_control_serigrafia[LOTE],0)),"-")</f>
        <v>80 ML</v>
      </c>
      <c r="K238" s="20" t="str">
        <f>IFERROR(INDEX(Tabla_control_serigrafia[TIPO DE FRASCO],MATCH(Tabla_producción_serigrafia[[#This Row],[LOTE]],Tabla_control_serigrafia[LOTE],0)),"-")</f>
        <v>FRASCO BLANCO</v>
      </c>
      <c r="L238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238" s="21">
        <f>IFERROR(INDEX(Tabla_control_serigrafia[CANTIDAD PEDIDA],MATCH(Tabla_producción_serigrafia[[#This Row],[LOTE]],Tabla_control_serigrafia[LOTE],0)),"-")</f>
        <v>29508</v>
      </c>
      <c r="N238" s="22">
        <v>19700</v>
      </c>
      <c r="O238" s="19">
        <v>148</v>
      </c>
      <c r="P238" s="23" t="s">
        <v>62</v>
      </c>
      <c r="Q23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19700</v>
      </c>
      <c r="R23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13</v>
      </c>
      <c r="S238" s="25"/>
      <c r="T238" s="20" t="str">
        <f>UPPER(LEFT(TEXT(Tabla_producción_serigrafia[[#This Row],[FECHA]],"mmm"),3))</f>
        <v>MAY</v>
      </c>
      <c r="U238" s="20">
        <f>IFERROR(Tabla_producción_serigrafia[[#This Row],[CANTIDAD PRODUCIDA]]+Tabla_producción_serigrafia[[#This Row],[CANTIDAD RECHAZADA]],0)</f>
        <v>19848</v>
      </c>
    </row>
    <row r="239" spans="1:21" x14ac:dyDescent="0.25">
      <c r="A239" s="10">
        <v>46156</v>
      </c>
      <c r="B239" s="10" t="s">
        <v>58</v>
      </c>
      <c r="C239" s="1" t="s">
        <v>68</v>
      </c>
      <c r="D239" s="15">
        <v>0.70833333333333337</v>
      </c>
      <c r="E239" s="16">
        <v>0.72222222222222221</v>
      </c>
      <c r="F239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39" s="18" t="s">
        <v>57</v>
      </c>
      <c r="H239" s="19">
        <v>52690</v>
      </c>
      <c r="I239" s="7" t="str">
        <f>IFERROR(INDEX(Tabla_control_serigrafia[PRODUCTO],MATCH(Tabla_producción_serigrafia[[#This Row],[LOTE]],Tabla_control_serigrafia[LOTE],0)),"-")</f>
        <v>COTRIMOXAZOL 200/40 MG X 60 ML SUSP.</v>
      </c>
      <c r="J239" s="20" t="str">
        <f>IFERROR(INDEX(Tabla_control_serigrafia[FORMATO DE FRASCO],MATCH(Tabla_producción_serigrafia[[#This Row],[LOTE]],Tabla_control_serigrafia[LOTE],0)),"-")</f>
        <v>80 ML</v>
      </c>
      <c r="K239" s="20" t="str">
        <f>IFERROR(INDEX(Tabla_control_serigrafia[TIPO DE FRASCO],MATCH(Tabla_producción_serigrafia[[#This Row],[LOTE]],Tabla_control_serigrafia[LOTE],0)),"-")</f>
        <v>FRASCO BLANCO</v>
      </c>
      <c r="L239" t="str">
        <f>IF(Tabla_producción_serigrafia[[#This Row],[ACCIÓN]]="PRODUCCIÓN",Tabla_producción_serigrafia[[#This Row],[FORMATO DE FRASCO]]&amp;" "&amp;Tabla_producción_serigrafia[[#This Row],[TIPO DE FRASCO]],"-")</f>
        <v>-</v>
      </c>
      <c r="M239" s="21">
        <f>IFERROR(INDEX(Tabla_control_serigrafia[CANTIDAD PEDIDA],MATCH(Tabla_producción_serigrafia[[#This Row],[LOTE]],Tabla_control_serigrafia[LOTE],0)),"-")</f>
        <v>3225</v>
      </c>
      <c r="N239" s="22">
        <v>0</v>
      </c>
      <c r="O239" s="19">
        <v>0</v>
      </c>
      <c r="P239" s="23"/>
      <c r="Q23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3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39" s="25" t="s">
        <v>63</v>
      </c>
      <c r="T239" s="20" t="str">
        <f>UPPER(LEFT(TEXT(Tabla_producción_serigrafia[[#This Row],[FECHA]],"mmm"),3))</f>
        <v>MAY</v>
      </c>
      <c r="U239" s="20">
        <f>IFERROR(Tabla_producción_serigrafia[[#This Row],[CANTIDAD PRODUCIDA]]+Tabla_producción_serigrafia[[#This Row],[CANTIDAD RECHAZADA]],0)</f>
        <v>0</v>
      </c>
    </row>
    <row r="240" spans="1:21" x14ac:dyDescent="0.25">
      <c r="A240" s="10">
        <v>46156</v>
      </c>
      <c r="B240" s="10" t="s">
        <v>58</v>
      </c>
      <c r="C240" s="1" t="s">
        <v>68</v>
      </c>
      <c r="D240" s="15">
        <v>0.72222222222222221</v>
      </c>
      <c r="E240" s="16">
        <v>0.77083333333333337</v>
      </c>
      <c r="F240" s="17">
        <f>ROUND((Tabla_producción_serigrafia[[#This Row],[FIN]]-Tabla_producción_serigrafia[[#This Row],[INICIO]]+(Tabla_producción_serigrafia[[#This Row],[FIN]]&lt;Tabla_producción_serigrafia[[#This Row],[INICIO]]))*24,2)</f>
        <v>1.17</v>
      </c>
      <c r="G240" s="18" t="s">
        <v>56</v>
      </c>
      <c r="H240" s="19">
        <v>52690</v>
      </c>
      <c r="I240" s="7" t="str">
        <f>IFERROR(INDEX(Tabla_control_serigrafia[PRODUCTO],MATCH(Tabla_producción_serigrafia[[#This Row],[LOTE]],Tabla_control_serigrafia[LOTE],0)),"-")</f>
        <v>COTRIMOXAZOL 200/40 MG X 60 ML SUSP.</v>
      </c>
      <c r="J240" s="20" t="str">
        <f>IFERROR(INDEX(Tabla_control_serigrafia[FORMATO DE FRASCO],MATCH(Tabla_producción_serigrafia[[#This Row],[LOTE]],Tabla_control_serigrafia[LOTE],0)),"-")</f>
        <v>80 ML</v>
      </c>
      <c r="K240" s="20" t="str">
        <f>IFERROR(INDEX(Tabla_control_serigrafia[TIPO DE FRASCO],MATCH(Tabla_producción_serigrafia[[#This Row],[LOTE]],Tabla_control_serigrafia[LOTE],0)),"-")</f>
        <v>FRASCO BLANCO</v>
      </c>
      <c r="L240" t="str">
        <f>IF(Tabla_producción_serigrafia[[#This Row],[ACCIÓN]]="PRODUCCIÓN",Tabla_producción_serigrafia[[#This Row],[FORMATO DE FRASCO]]&amp;" "&amp;Tabla_producción_serigrafia[[#This Row],[TIPO DE FRASCO]],"-")</f>
        <v>80 ML FRASCO BLANCO</v>
      </c>
      <c r="M240" s="21">
        <f>IFERROR(INDEX(Tabla_control_serigrafia[CANTIDAD PEDIDA],MATCH(Tabla_producción_serigrafia[[#This Row],[LOTE]],Tabla_control_serigrafia[LOTE],0)),"-")</f>
        <v>3225</v>
      </c>
      <c r="N240" s="22">
        <v>3320</v>
      </c>
      <c r="O240" s="19">
        <v>58</v>
      </c>
      <c r="P240" s="23" t="s">
        <v>62</v>
      </c>
      <c r="Q24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3320</v>
      </c>
      <c r="R240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13</v>
      </c>
      <c r="S240" s="25"/>
      <c r="T240" s="20" t="str">
        <f>UPPER(LEFT(TEXT(Tabla_producción_serigrafia[[#This Row],[FECHA]],"mmm"),3))</f>
        <v>MAY</v>
      </c>
      <c r="U240" s="20">
        <f>IFERROR(Tabla_producción_serigrafia[[#This Row],[CANTIDAD PRODUCIDA]]+Tabla_producción_serigrafia[[#This Row],[CANTIDAD RECHAZADA]],0)</f>
        <v>3378</v>
      </c>
    </row>
    <row r="241" spans="1:21" x14ac:dyDescent="0.25">
      <c r="A241" s="10">
        <v>46156</v>
      </c>
      <c r="B241" s="10" t="s">
        <v>58</v>
      </c>
      <c r="C241" s="1" t="s">
        <v>68</v>
      </c>
      <c r="D241" s="15">
        <v>0.77083333333333337</v>
      </c>
      <c r="E241" s="16">
        <v>0.91666666666666663</v>
      </c>
      <c r="F241" s="17">
        <f>ROUND((Tabla_producción_serigrafia[[#This Row],[FIN]]-Tabla_producción_serigrafia[[#This Row],[INICIO]]+(Tabla_producción_serigrafia[[#This Row],[FIN]]&lt;Tabla_producción_serigrafia[[#This Row],[INICIO]]))*24,2)</f>
        <v>3.5</v>
      </c>
      <c r="G241" s="18" t="s">
        <v>64</v>
      </c>
      <c r="H241" s="19" t="s">
        <v>38</v>
      </c>
      <c r="I241" s="7" t="str">
        <f>IFERROR(INDEX(Tabla_control_serigrafia[PRODUCTO],MATCH(Tabla_producción_serigrafia[[#This Row],[LOTE]],Tabla_control_serigrafia[LOTE],0)),"-")</f>
        <v>-</v>
      </c>
      <c r="J241" s="20" t="str">
        <f>IFERROR(INDEX(Tabla_control_serigrafia[FORMATO DE FRASCO],MATCH(Tabla_producción_serigrafia[[#This Row],[LOTE]],Tabla_control_serigrafia[LOTE],0)),"-")</f>
        <v>-</v>
      </c>
      <c r="K241" s="20" t="str">
        <f>IFERROR(INDEX(Tabla_control_serigrafia[TIPO DE FRASCO],MATCH(Tabla_producción_serigrafia[[#This Row],[LOTE]],Tabla_control_serigrafia[LOTE],0)),"-")</f>
        <v>-</v>
      </c>
      <c r="L241" t="str">
        <f>IF(Tabla_producción_serigrafia[[#This Row],[ACCIÓN]]="PRODUCCIÓN",Tabla_producción_serigrafia[[#This Row],[FORMATO DE FRASCO]]&amp;" "&amp;Tabla_producción_serigrafia[[#This Row],[TIPO DE FRASCO]],"-")</f>
        <v>-</v>
      </c>
      <c r="M241" s="21" t="str">
        <f>IFERROR(INDEX(Tabla_control_serigrafia[CANTIDAD PEDIDA],MATCH(Tabla_producción_serigrafia[[#This Row],[LOTE]],Tabla_control_serigrafia[LOTE],0)),"-")</f>
        <v>-</v>
      </c>
      <c r="N241" s="22">
        <v>0</v>
      </c>
      <c r="O241" s="19">
        <v>0</v>
      </c>
      <c r="P241" s="23"/>
      <c r="Q24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4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41" s="25" t="s">
        <v>182</v>
      </c>
      <c r="T241" s="20" t="str">
        <f>UPPER(LEFT(TEXT(Tabla_producción_serigrafia[[#This Row],[FECHA]],"mmm"),3))</f>
        <v>MAY</v>
      </c>
      <c r="U241" s="20">
        <f>IFERROR(Tabla_producción_serigrafia[[#This Row],[CANTIDAD PRODUCIDA]]+Tabla_producción_serigrafia[[#This Row],[CANTIDAD RECHAZADA]],0)</f>
        <v>0</v>
      </c>
    </row>
    <row r="242" spans="1:21" x14ac:dyDescent="0.25">
      <c r="A242" s="10">
        <v>46157</v>
      </c>
      <c r="B242" s="10" t="s">
        <v>58</v>
      </c>
      <c r="C242" s="1" t="s">
        <v>68</v>
      </c>
      <c r="D242" s="15">
        <v>0.33333333333333331</v>
      </c>
      <c r="E242" s="16">
        <v>0.34722222222222227</v>
      </c>
      <c r="F242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42" s="18" t="s">
        <v>57</v>
      </c>
      <c r="H242" s="19">
        <v>42662</v>
      </c>
      <c r="I242" s="7" t="str">
        <f>IFERROR(INDEX(Tabla_control_serigrafia[PRODUCTO],MATCH(Tabla_producción_serigrafia[[#This Row],[LOTE]],Tabla_control_serigrafia[LOTE],0)),"-")</f>
        <v>COMPLEJO B X 100 ML JARABE</v>
      </c>
      <c r="J242" s="20" t="str">
        <f>IFERROR(INDEX(Tabla_control_serigrafia[FORMATO DE FRASCO],MATCH(Tabla_producción_serigrafia[[#This Row],[LOTE]],Tabla_control_serigrafia[LOTE],0)),"-")</f>
        <v>120 ML</v>
      </c>
      <c r="K242" s="20" t="str">
        <f>IFERROR(INDEX(Tabla_control_serigrafia[TIPO DE FRASCO],MATCH(Tabla_producción_serigrafia[[#This Row],[LOTE]],Tabla_control_serigrafia[LOTE],0)),"-")</f>
        <v>FRASCO BLANCO</v>
      </c>
      <c r="L242" t="str">
        <f>IF(Tabla_producción_serigrafia[[#This Row],[ACCIÓN]]="PRODUCCIÓN",Tabla_producción_serigrafia[[#This Row],[FORMATO DE FRASCO]]&amp;" "&amp;Tabla_producción_serigrafia[[#This Row],[TIPO DE FRASCO]],"-")</f>
        <v>-</v>
      </c>
      <c r="M242" s="21">
        <f>IFERROR(INDEX(Tabla_control_serigrafia[CANTIDAD PEDIDA],MATCH(Tabla_producción_serigrafia[[#This Row],[LOTE]],Tabla_control_serigrafia[LOTE],0)),"-")</f>
        <v>9901</v>
      </c>
      <c r="N242" s="22">
        <v>0</v>
      </c>
      <c r="O242" s="19">
        <v>0</v>
      </c>
      <c r="P242" s="23"/>
      <c r="Q24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4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42" s="25" t="s">
        <v>63</v>
      </c>
      <c r="T242" s="20" t="str">
        <f>UPPER(LEFT(TEXT(Tabla_producción_serigrafia[[#This Row],[FECHA]],"mmm"),3))</f>
        <v>MAY</v>
      </c>
      <c r="U242" s="20">
        <f>IFERROR(Tabla_producción_serigrafia[[#This Row],[CANTIDAD PRODUCIDA]]+Tabla_producción_serigrafia[[#This Row],[CANTIDAD RECHAZADA]],0)</f>
        <v>0</v>
      </c>
    </row>
    <row r="243" spans="1:21" x14ac:dyDescent="0.25">
      <c r="A243" s="10">
        <v>46157</v>
      </c>
      <c r="B243" s="10" t="s">
        <v>58</v>
      </c>
      <c r="C243" s="1" t="s">
        <v>68</v>
      </c>
      <c r="D243" s="15">
        <v>0.34722222222222227</v>
      </c>
      <c r="E243" s="16">
        <v>0.54166666666666663</v>
      </c>
      <c r="F243" s="17">
        <f>ROUND((Tabla_producción_serigrafia[[#This Row],[FIN]]-Tabla_producción_serigrafia[[#This Row],[INICIO]]+(Tabla_producción_serigrafia[[#This Row],[FIN]]&lt;Tabla_producción_serigrafia[[#This Row],[INICIO]]))*24,2)</f>
        <v>4.67</v>
      </c>
      <c r="G243" s="18" t="s">
        <v>56</v>
      </c>
      <c r="H243" s="19">
        <v>42662</v>
      </c>
      <c r="I243" s="7" t="str">
        <f>IFERROR(INDEX(Tabla_control_serigrafia[PRODUCTO],MATCH(Tabla_producción_serigrafia[[#This Row],[LOTE]],Tabla_control_serigrafia[LOTE],0)),"-")</f>
        <v>COMPLEJO B X 100 ML JARABE</v>
      </c>
      <c r="J243" s="20" t="str">
        <f>IFERROR(INDEX(Tabla_control_serigrafia[FORMATO DE FRASCO],MATCH(Tabla_producción_serigrafia[[#This Row],[LOTE]],Tabla_control_serigrafia[LOTE],0)),"-")</f>
        <v>120 ML</v>
      </c>
      <c r="K243" s="20" t="str">
        <f>IFERROR(INDEX(Tabla_control_serigrafia[TIPO DE FRASCO],MATCH(Tabla_producción_serigrafia[[#This Row],[LOTE]],Tabla_control_serigrafia[LOTE],0)),"-")</f>
        <v>FRASCO BLANCO</v>
      </c>
      <c r="L24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43" s="21">
        <f>IFERROR(INDEX(Tabla_control_serigrafia[CANTIDAD PEDIDA],MATCH(Tabla_producción_serigrafia[[#This Row],[LOTE]],Tabla_control_serigrafia[LOTE],0)),"-")</f>
        <v>9901</v>
      </c>
      <c r="N243" s="22">
        <v>10000</v>
      </c>
      <c r="O243" s="19">
        <v>130</v>
      </c>
      <c r="P243" s="23" t="s">
        <v>62</v>
      </c>
      <c r="Q24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243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44</v>
      </c>
      <c r="S243" s="25"/>
      <c r="T243" s="20" t="str">
        <f>UPPER(LEFT(TEXT(Tabla_producción_serigrafia[[#This Row],[FECHA]],"mmm"),3))</f>
        <v>MAY</v>
      </c>
      <c r="U243" s="20">
        <f>IFERROR(Tabla_producción_serigrafia[[#This Row],[CANTIDAD PRODUCIDA]]+Tabla_producción_serigrafia[[#This Row],[CANTIDAD RECHAZADA]],0)</f>
        <v>10130</v>
      </c>
    </row>
    <row r="244" spans="1:21" x14ac:dyDescent="0.25">
      <c r="A244" s="10">
        <v>46157</v>
      </c>
      <c r="B244" s="10" t="s">
        <v>58</v>
      </c>
      <c r="C244" s="1" t="s">
        <v>68</v>
      </c>
      <c r="D244" s="15">
        <v>0.54166666666666663</v>
      </c>
      <c r="E244" s="16">
        <v>0.55555555555555558</v>
      </c>
      <c r="F244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44" s="18" t="s">
        <v>57</v>
      </c>
      <c r="H244" s="19">
        <v>42655</v>
      </c>
      <c r="I244" s="7" t="str">
        <f>IFERROR(INDEX(Tabla_control_serigrafia[PRODUCTO],MATCH(Tabla_producción_serigrafia[[#This Row],[LOTE]],Tabla_control_serigrafia[LOTE],0)),"-")</f>
        <v>DEXTROMETORFANO 10 MG X 100 ML JARABE</v>
      </c>
      <c r="J244" s="20" t="str">
        <f>IFERROR(INDEX(Tabla_control_serigrafia[FORMATO DE FRASCO],MATCH(Tabla_producción_serigrafia[[#This Row],[LOTE]],Tabla_control_serigrafia[LOTE],0)),"-")</f>
        <v>120 ML</v>
      </c>
      <c r="K244" s="20" t="str">
        <f>IFERROR(INDEX(Tabla_control_serigrafia[TIPO DE FRASCO],MATCH(Tabla_producción_serigrafia[[#This Row],[LOTE]],Tabla_control_serigrafia[LOTE],0)),"-")</f>
        <v>FRASCO BLANCO</v>
      </c>
      <c r="L244" t="str">
        <f>IF(Tabla_producción_serigrafia[[#This Row],[ACCIÓN]]="PRODUCCIÓN",Tabla_producción_serigrafia[[#This Row],[FORMATO DE FRASCO]]&amp;" "&amp;Tabla_producción_serigrafia[[#This Row],[TIPO DE FRASCO]],"-")</f>
        <v>-</v>
      </c>
      <c r="M244" s="21">
        <f>IFERROR(INDEX(Tabla_control_serigrafia[CANTIDAD PEDIDA],MATCH(Tabla_producción_serigrafia[[#This Row],[LOTE]],Tabla_control_serigrafia[LOTE],0)),"-")</f>
        <v>29703</v>
      </c>
      <c r="N244" s="22">
        <v>0</v>
      </c>
      <c r="O244" s="19">
        <v>0</v>
      </c>
      <c r="P244" s="23"/>
      <c r="Q24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4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44" s="25" t="s">
        <v>63</v>
      </c>
      <c r="T244" s="20" t="str">
        <f>UPPER(LEFT(TEXT(Tabla_producción_serigrafia[[#This Row],[FECHA]],"mmm"),3))</f>
        <v>MAY</v>
      </c>
      <c r="U244" s="20">
        <f>IFERROR(Tabla_producción_serigrafia[[#This Row],[CANTIDAD PRODUCIDA]]+Tabla_producción_serigrafia[[#This Row],[CANTIDAD RECHAZADA]],0)</f>
        <v>0</v>
      </c>
    </row>
    <row r="245" spans="1:21" x14ac:dyDescent="0.25">
      <c r="A245" s="10">
        <v>46157</v>
      </c>
      <c r="B245" s="10" t="s">
        <v>58</v>
      </c>
      <c r="C245" s="1" t="s">
        <v>68</v>
      </c>
      <c r="D245" s="15">
        <v>0.55555555555555558</v>
      </c>
      <c r="E245" s="16">
        <v>0.83333333333333337</v>
      </c>
      <c r="F245" s="17">
        <f>ROUND((Tabla_producción_serigrafia[[#This Row],[FIN]]-Tabla_producción_serigrafia[[#This Row],[INICIO]]+(Tabla_producción_serigrafia[[#This Row],[FIN]]&lt;Tabla_producción_serigrafia[[#This Row],[INICIO]]))*24,2)</f>
        <v>6.67</v>
      </c>
      <c r="G245" s="18" t="s">
        <v>56</v>
      </c>
      <c r="H245" s="19">
        <v>42655</v>
      </c>
      <c r="I245" s="7" t="str">
        <f>IFERROR(INDEX(Tabla_control_serigrafia[PRODUCTO],MATCH(Tabla_producción_serigrafia[[#This Row],[LOTE]],Tabla_control_serigrafia[LOTE],0)),"-")</f>
        <v>DEXTROMETORFANO 10 MG X 100 ML JARABE</v>
      </c>
      <c r="J245" s="20" t="str">
        <f>IFERROR(INDEX(Tabla_control_serigrafia[FORMATO DE FRASCO],MATCH(Tabla_producción_serigrafia[[#This Row],[LOTE]],Tabla_control_serigrafia[LOTE],0)),"-")</f>
        <v>120 ML</v>
      </c>
      <c r="K245" s="20" t="str">
        <f>IFERROR(INDEX(Tabla_control_serigrafia[TIPO DE FRASCO],MATCH(Tabla_producción_serigrafia[[#This Row],[LOTE]],Tabla_control_serigrafia[LOTE],0)),"-")</f>
        <v>FRASCO BLANCO</v>
      </c>
      <c r="L245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45" s="21">
        <f>IFERROR(INDEX(Tabla_control_serigrafia[CANTIDAD PEDIDA],MATCH(Tabla_producción_serigrafia[[#This Row],[LOTE]],Tabla_control_serigrafia[LOTE],0)),"-")</f>
        <v>29703</v>
      </c>
      <c r="N245" s="22">
        <v>14850</v>
      </c>
      <c r="O245" s="19">
        <v>148</v>
      </c>
      <c r="P245" s="23" t="s">
        <v>62</v>
      </c>
      <c r="Q24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14850</v>
      </c>
      <c r="R245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44</v>
      </c>
      <c r="S245" s="25"/>
      <c r="T245" s="20" t="str">
        <f>UPPER(LEFT(TEXT(Tabla_producción_serigrafia[[#This Row],[FECHA]],"mmm"),3))</f>
        <v>MAY</v>
      </c>
      <c r="U245" s="20">
        <f>IFERROR(Tabla_producción_serigrafia[[#This Row],[CANTIDAD PRODUCIDA]]+Tabla_producción_serigrafia[[#This Row],[CANTIDAD RECHAZADA]],0)</f>
        <v>14998</v>
      </c>
    </row>
    <row r="246" spans="1:21" x14ac:dyDescent="0.25">
      <c r="A246" s="10">
        <v>46157</v>
      </c>
      <c r="B246" s="10" t="s">
        <v>58</v>
      </c>
      <c r="C246" s="1" t="s">
        <v>68</v>
      </c>
      <c r="D246" s="15">
        <v>0.83333333333333337</v>
      </c>
      <c r="E246" s="16">
        <v>0.84722222222222221</v>
      </c>
      <c r="F246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46" s="18" t="s">
        <v>57</v>
      </c>
      <c r="H246" s="19">
        <v>42656</v>
      </c>
      <c r="I246" s="7" t="str">
        <f>IFERROR(INDEX(Tabla_control_serigrafia[PRODUCTO],MATCH(Tabla_producción_serigrafia[[#This Row],[LOTE]],Tabla_control_serigrafia[LOTE],0)),"-")</f>
        <v>DEXTROMETORFANO 10 MG X 100 ML JARABE</v>
      </c>
      <c r="J246" s="20" t="str">
        <f>IFERROR(INDEX(Tabla_control_serigrafia[FORMATO DE FRASCO],MATCH(Tabla_producción_serigrafia[[#This Row],[LOTE]],Tabla_control_serigrafia[LOTE],0)),"-")</f>
        <v>120 ML</v>
      </c>
      <c r="K246" s="20" t="str">
        <f>IFERROR(INDEX(Tabla_control_serigrafia[TIPO DE FRASCO],MATCH(Tabla_producción_serigrafia[[#This Row],[LOTE]],Tabla_control_serigrafia[LOTE],0)),"-")</f>
        <v>FRASCO BLANCO</v>
      </c>
      <c r="L246" t="str">
        <f>IF(Tabla_producción_serigrafia[[#This Row],[ACCIÓN]]="PRODUCCIÓN",Tabla_producción_serigrafia[[#This Row],[FORMATO DE FRASCO]]&amp;" "&amp;Tabla_producción_serigrafia[[#This Row],[TIPO DE FRASCO]],"-")</f>
        <v>-</v>
      </c>
      <c r="M246" s="21">
        <f>IFERROR(INDEX(Tabla_control_serigrafia[CANTIDAD PEDIDA],MATCH(Tabla_producción_serigrafia[[#This Row],[LOTE]],Tabla_control_serigrafia[LOTE],0)),"-")</f>
        <v>29703</v>
      </c>
      <c r="N246" s="22">
        <v>0</v>
      </c>
      <c r="O246" s="19">
        <v>0</v>
      </c>
      <c r="P246" s="23"/>
      <c r="Q24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4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46" s="25" t="s">
        <v>63</v>
      </c>
      <c r="T246" s="20" t="str">
        <f>UPPER(LEFT(TEXT(Tabla_producción_serigrafia[[#This Row],[FECHA]],"mmm"),3))</f>
        <v>MAY</v>
      </c>
      <c r="U246" s="20">
        <f>IFERROR(Tabla_producción_serigrafia[[#This Row],[CANTIDAD PRODUCIDA]]+Tabla_producción_serigrafia[[#This Row],[CANTIDAD RECHAZADA]],0)</f>
        <v>0</v>
      </c>
    </row>
    <row r="247" spans="1:21" x14ac:dyDescent="0.25">
      <c r="A247" s="10">
        <v>46157</v>
      </c>
      <c r="B247" s="10" t="s">
        <v>58</v>
      </c>
      <c r="C247" s="1" t="s">
        <v>68</v>
      </c>
      <c r="D247" s="15">
        <v>0.84722222222222221</v>
      </c>
      <c r="E247" s="16">
        <v>0.91666666666666663</v>
      </c>
      <c r="F247" s="17">
        <f>ROUND((Tabla_producción_serigrafia[[#This Row],[FIN]]-Tabla_producción_serigrafia[[#This Row],[INICIO]]+(Tabla_producción_serigrafia[[#This Row],[FIN]]&lt;Tabla_producción_serigrafia[[#This Row],[INICIO]]))*24,2)</f>
        <v>1.67</v>
      </c>
      <c r="G247" s="18" t="s">
        <v>56</v>
      </c>
      <c r="H247" s="19">
        <v>42656</v>
      </c>
      <c r="I247" s="7" t="str">
        <f>IFERROR(INDEX(Tabla_control_serigrafia[PRODUCTO],MATCH(Tabla_producción_serigrafia[[#This Row],[LOTE]],Tabla_control_serigrafia[LOTE],0)),"-")</f>
        <v>DEXTROMETORFANO 10 MG X 100 ML JARABE</v>
      </c>
      <c r="J247" s="20" t="str">
        <f>IFERROR(INDEX(Tabla_control_serigrafia[FORMATO DE FRASCO],MATCH(Tabla_producción_serigrafia[[#This Row],[LOTE]],Tabla_control_serigrafia[LOTE],0)),"-")</f>
        <v>120 ML</v>
      </c>
      <c r="K247" s="20" t="str">
        <f>IFERROR(INDEX(Tabla_control_serigrafia[TIPO DE FRASCO],MATCH(Tabla_producción_serigrafia[[#This Row],[LOTE]],Tabla_control_serigrafia[LOTE],0)),"-")</f>
        <v>FRASCO BLANCO</v>
      </c>
      <c r="L247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47" s="21">
        <f>IFERROR(INDEX(Tabla_control_serigrafia[CANTIDAD PEDIDA],MATCH(Tabla_producción_serigrafia[[#This Row],[LOTE]],Tabla_control_serigrafia[LOTE],0)),"-")</f>
        <v>29703</v>
      </c>
      <c r="N247" s="22">
        <v>3000</v>
      </c>
      <c r="O247" s="19">
        <v>0</v>
      </c>
      <c r="P247" s="23" t="s">
        <v>178</v>
      </c>
      <c r="Q24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3000</v>
      </c>
      <c r="R24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47" s="25"/>
      <c r="T247" s="20" t="str">
        <f>UPPER(LEFT(TEXT(Tabla_producción_serigrafia[[#This Row],[FECHA]],"mmm"),3))</f>
        <v>MAY</v>
      </c>
      <c r="U247" s="20">
        <f>IFERROR(Tabla_producción_serigrafia[[#This Row],[CANTIDAD PRODUCIDA]]+Tabla_producción_serigrafia[[#This Row],[CANTIDAD RECHAZADA]],0)</f>
        <v>3000</v>
      </c>
    </row>
    <row r="248" spans="1:21" x14ac:dyDescent="0.25">
      <c r="A248" s="10">
        <v>46160</v>
      </c>
      <c r="B248" s="10" t="s">
        <v>58</v>
      </c>
      <c r="C248" s="1" t="s">
        <v>68</v>
      </c>
      <c r="D248" s="15">
        <v>0.33333333333333331</v>
      </c>
      <c r="E248" s="16">
        <v>0.34722222222222227</v>
      </c>
      <c r="F248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48" s="18" t="s">
        <v>57</v>
      </c>
      <c r="H248" s="19">
        <v>42656</v>
      </c>
      <c r="I248" s="7" t="str">
        <f>IFERROR(INDEX(Tabla_control_serigrafia[PRODUCTO],MATCH(Tabla_producción_serigrafia[[#This Row],[LOTE]],Tabla_control_serigrafia[LOTE],0)),"-")</f>
        <v>DEXTROMETORFANO 10 MG X 100 ML JARABE</v>
      </c>
      <c r="J248" s="20" t="str">
        <f>IFERROR(INDEX(Tabla_control_serigrafia[FORMATO DE FRASCO],MATCH(Tabla_producción_serigrafia[[#This Row],[LOTE]],Tabla_control_serigrafia[LOTE],0)),"-")</f>
        <v>120 ML</v>
      </c>
      <c r="K248" s="20" t="str">
        <f>IFERROR(INDEX(Tabla_control_serigrafia[TIPO DE FRASCO],MATCH(Tabla_producción_serigrafia[[#This Row],[LOTE]],Tabla_control_serigrafia[LOTE],0)),"-")</f>
        <v>FRASCO BLANCO</v>
      </c>
      <c r="L248" t="str">
        <f>IF(Tabla_producción_serigrafia[[#This Row],[ACCIÓN]]="PRODUCCIÓN",Tabla_producción_serigrafia[[#This Row],[FORMATO DE FRASCO]]&amp;" "&amp;Tabla_producción_serigrafia[[#This Row],[TIPO DE FRASCO]],"-")</f>
        <v>-</v>
      </c>
      <c r="M248" s="21">
        <f>IFERROR(INDEX(Tabla_control_serigrafia[CANTIDAD PEDIDA],MATCH(Tabla_producción_serigrafia[[#This Row],[LOTE]],Tabla_control_serigrafia[LOTE],0)),"-")</f>
        <v>29703</v>
      </c>
      <c r="N248" s="22">
        <v>0</v>
      </c>
      <c r="O248" s="19">
        <v>0</v>
      </c>
      <c r="P248" s="23"/>
      <c r="Q24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48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48" s="25" t="s">
        <v>63</v>
      </c>
      <c r="T248" s="20" t="str">
        <f>UPPER(LEFT(TEXT(Tabla_producción_serigrafia[[#This Row],[FECHA]],"mmm"),3))</f>
        <v>MAY</v>
      </c>
      <c r="U248" s="20">
        <f>IFERROR(Tabla_producción_serigrafia[[#This Row],[CANTIDAD PRODUCIDA]]+Tabla_producción_serigrafia[[#This Row],[CANTIDAD RECHAZADA]],0)</f>
        <v>0</v>
      </c>
    </row>
    <row r="249" spans="1:21" x14ac:dyDescent="0.25">
      <c r="A249" s="10">
        <v>46160</v>
      </c>
      <c r="B249" s="10" t="s">
        <v>58</v>
      </c>
      <c r="C249" s="1" t="s">
        <v>68</v>
      </c>
      <c r="D249" s="15">
        <v>0.34722222222222227</v>
      </c>
      <c r="E249" s="16">
        <v>0.70833333333333337</v>
      </c>
      <c r="F249" s="17">
        <f>ROUND((Tabla_producción_serigrafia[[#This Row],[FIN]]-Tabla_producción_serigrafia[[#This Row],[INICIO]]+(Tabla_producción_serigrafia[[#This Row],[FIN]]&lt;Tabla_producción_serigrafia[[#This Row],[INICIO]]))*24,2)</f>
        <v>8.67</v>
      </c>
      <c r="G249" s="18" t="s">
        <v>56</v>
      </c>
      <c r="H249" s="19">
        <v>42656</v>
      </c>
      <c r="I249" s="7" t="str">
        <f>IFERROR(INDEX(Tabla_control_serigrafia[PRODUCTO],MATCH(Tabla_producción_serigrafia[[#This Row],[LOTE]],Tabla_control_serigrafia[LOTE],0)),"-")</f>
        <v>DEXTROMETORFANO 10 MG X 100 ML JARABE</v>
      </c>
      <c r="J249" s="20" t="str">
        <f>IFERROR(INDEX(Tabla_control_serigrafia[FORMATO DE FRASCO],MATCH(Tabla_producción_serigrafia[[#This Row],[LOTE]],Tabla_control_serigrafia[LOTE],0)),"-")</f>
        <v>120 ML</v>
      </c>
      <c r="K249" s="20" t="str">
        <f>IFERROR(INDEX(Tabla_control_serigrafia[TIPO DE FRASCO],MATCH(Tabla_producción_serigrafia[[#This Row],[LOTE]],Tabla_control_serigrafia[LOTE],0)),"-")</f>
        <v>FRASCO BLANCO</v>
      </c>
      <c r="L24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49" s="21">
        <f>IFERROR(INDEX(Tabla_control_serigrafia[CANTIDAD PEDIDA],MATCH(Tabla_producción_serigrafia[[#This Row],[LOTE]],Tabla_control_serigrafia[LOTE],0)),"-")</f>
        <v>29703</v>
      </c>
      <c r="N249" s="22">
        <v>20000</v>
      </c>
      <c r="O249" s="19">
        <v>0</v>
      </c>
      <c r="P249" s="23" t="s">
        <v>178</v>
      </c>
      <c r="Q24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20000</v>
      </c>
      <c r="R24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49" s="25"/>
      <c r="T249" s="20" t="str">
        <f>UPPER(LEFT(TEXT(Tabla_producción_serigrafia[[#This Row],[FECHA]],"mmm"),3))</f>
        <v>MAY</v>
      </c>
      <c r="U249" s="20">
        <f>IFERROR(Tabla_producción_serigrafia[[#This Row],[CANTIDAD PRODUCIDA]]+Tabla_producción_serigrafia[[#This Row],[CANTIDAD RECHAZADA]],0)</f>
        <v>20000</v>
      </c>
    </row>
    <row r="250" spans="1:21" x14ac:dyDescent="0.25">
      <c r="A250" s="10">
        <v>46161</v>
      </c>
      <c r="B250" s="10" t="s">
        <v>58</v>
      </c>
      <c r="C250" s="1" t="s">
        <v>68</v>
      </c>
      <c r="D250" s="15">
        <v>0.33333333333333331</v>
      </c>
      <c r="E250" s="16">
        <v>0.34722222222222227</v>
      </c>
      <c r="F250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50" s="18" t="s">
        <v>57</v>
      </c>
      <c r="H250" s="19">
        <v>42656</v>
      </c>
      <c r="I250" s="7" t="str">
        <f>IFERROR(INDEX(Tabla_control_serigrafia[PRODUCTO],MATCH(Tabla_producción_serigrafia[[#This Row],[LOTE]],Tabla_control_serigrafia[LOTE],0)),"-")</f>
        <v>DEXTROMETORFANO 10 MG X 100 ML JARABE</v>
      </c>
      <c r="J250" s="20" t="str">
        <f>IFERROR(INDEX(Tabla_control_serigrafia[FORMATO DE FRASCO],MATCH(Tabla_producción_serigrafia[[#This Row],[LOTE]],Tabla_control_serigrafia[LOTE],0)),"-")</f>
        <v>120 ML</v>
      </c>
      <c r="K250" s="20" t="str">
        <f>IFERROR(INDEX(Tabla_control_serigrafia[TIPO DE FRASCO],MATCH(Tabla_producción_serigrafia[[#This Row],[LOTE]],Tabla_control_serigrafia[LOTE],0)),"-")</f>
        <v>FRASCO BLANCO</v>
      </c>
      <c r="L250" t="str">
        <f>IF(Tabla_producción_serigrafia[[#This Row],[ACCIÓN]]="PRODUCCIÓN",Tabla_producción_serigrafia[[#This Row],[FORMATO DE FRASCO]]&amp;" "&amp;Tabla_producción_serigrafia[[#This Row],[TIPO DE FRASCO]],"-")</f>
        <v>-</v>
      </c>
      <c r="M250" s="21">
        <f>IFERROR(INDEX(Tabla_control_serigrafia[CANTIDAD PEDIDA],MATCH(Tabla_producción_serigrafia[[#This Row],[LOTE]],Tabla_control_serigrafia[LOTE],0)),"-")</f>
        <v>29703</v>
      </c>
      <c r="N250" s="22">
        <v>0</v>
      </c>
      <c r="O250" s="19">
        <v>0</v>
      </c>
      <c r="P250" s="23"/>
      <c r="Q25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5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0" s="25" t="s">
        <v>63</v>
      </c>
      <c r="T250" s="20" t="str">
        <f>UPPER(LEFT(TEXT(Tabla_producción_serigrafia[[#This Row],[FECHA]],"mmm"),3))</f>
        <v>MAY</v>
      </c>
      <c r="U250" s="20">
        <f>IFERROR(Tabla_producción_serigrafia[[#This Row],[CANTIDAD PRODUCIDA]]+Tabla_producción_serigrafia[[#This Row],[CANTIDAD RECHAZADA]],0)</f>
        <v>0</v>
      </c>
    </row>
    <row r="251" spans="1:21" x14ac:dyDescent="0.25">
      <c r="A251" s="10">
        <v>46161</v>
      </c>
      <c r="B251" s="10" t="s">
        <v>58</v>
      </c>
      <c r="C251" s="1" t="s">
        <v>68</v>
      </c>
      <c r="D251" s="15">
        <v>0.34722222222222227</v>
      </c>
      <c r="E251" s="16">
        <v>0.45833333333333331</v>
      </c>
      <c r="F251" s="17">
        <f>ROUND((Tabla_producción_serigrafia[[#This Row],[FIN]]-Tabla_producción_serigrafia[[#This Row],[INICIO]]+(Tabla_producción_serigrafia[[#This Row],[FIN]]&lt;Tabla_producción_serigrafia[[#This Row],[INICIO]]))*24,2)</f>
        <v>2.67</v>
      </c>
      <c r="G251" s="18" t="s">
        <v>56</v>
      </c>
      <c r="H251" s="19">
        <v>42656</v>
      </c>
      <c r="I251" s="7" t="str">
        <f>IFERROR(INDEX(Tabla_control_serigrafia[PRODUCTO],MATCH(Tabla_producción_serigrafia[[#This Row],[LOTE]],Tabla_control_serigrafia[LOTE],0)),"-")</f>
        <v>DEXTROMETORFANO 10 MG X 100 ML JARABE</v>
      </c>
      <c r="J251" s="20" t="str">
        <f>IFERROR(INDEX(Tabla_control_serigrafia[FORMATO DE FRASCO],MATCH(Tabla_producción_serigrafia[[#This Row],[LOTE]],Tabla_control_serigrafia[LOTE],0)),"-")</f>
        <v>120 ML</v>
      </c>
      <c r="K251" s="20" t="str">
        <f>IFERROR(INDEX(Tabla_control_serigrafia[TIPO DE FRASCO],MATCH(Tabla_producción_serigrafia[[#This Row],[LOTE]],Tabla_control_serigrafia[LOTE],0)),"-")</f>
        <v>FRASCO BLANCO</v>
      </c>
      <c r="L25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51" s="21">
        <f>IFERROR(INDEX(Tabla_control_serigrafia[CANTIDAD PEDIDA],MATCH(Tabla_producción_serigrafia[[#This Row],[LOTE]],Tabla_control_serigrafia[LOTE],0)),"-")</f>
        <v>29703</v>
      </c>
      <c r="N251" s="22">
        <v>4850</v>
      </c>
      <c r="O251" s="19">
        <v>168</v>
      </c>
      <c r="P251" s="23" t="s">
        <v>62</v>
      </c>
      <c r="Q25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4850</v>
      </c>
      <c r="R251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48</v>
      </c>
      <c r="S251" s="25"/>
      <c r="T251" s="20" t="str">
        <f>UPPER(LEFT(TEXT(Tabla_producción_serigrafia[[#This Row],[FECHA]],"mmm"),3))</f>
        <v>MAY</v>
      </c>
      <c r="U251" s="20">
        <f>IFERROR(Tabla_producción_serigrafia[[#This Row],[CANTIDAD PRODUCIDA]]+Tabla_producción_serigrafia[[#This Row],[CANTIDAD RECHAZADA]],0)</f>
        <v>5018</v>
      </c>
    </row>
    <row r="252" spans="1:21" x14ac:dyDescent="0.25">
      <c r="A252" s="10">
        <v>46161</v>
      </c>
      <c r="B252" s="10" t="s">
        <v>58</v>
      </c>
      <c r="C252" s="1" t="s">
        <v>68</v>
      </c>
      <c r="D252" s="15">
        <v>0.45833333333333331</v>
      </c>
      <c r="E252" s="16">
        <v>0.47222222222222227</v>
      </c>
      <c r="F252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52" s="18" t="s">
        <v>57</v>
      </c>
      <c r="H252" s="19">
        <v>42657</v>
      </c>
      <c r="I252" s="7" t="str">
        <f>IFERROR(INDEX(Tabla_control_serigrafia[PRODUCTO],MATCH(Tabla_producción_serigrafia[[#This Row],[LOTE]],Tabla_control_serigrafia[LOTE],0)),"-")</f>
        <v>DEXTROMETORFANO 10 MG X 100 ML JARABE</v>
      </c>
      <c r="J252" s="20" t="str">
        <f>IFERROR(INDEX(Tabla_control_serigrafia[FORMATO DE FRASCO],MATCH(Tabla_producción_serigrafia[[#This Row],[LOTE]],Tabla_control_serigrafia[LOTE],0)),"-")</f>
        <v>120 ML</v>
      </c>
      <c r="K252" s="20" t="str">
        <f>IFERROR(INDEX(Tabla_control_serigrafia[TIPO DE FRASCO],MATCH(Tabla_producción_serigrafia[[#This Row],[LOTE]],Tabla_control_serigrafia[LOTE],0)),"-")</f>
        <v>FRASCO BLANCO</v>
      </c>
      <c r="L252" t="str">
        <f>IF(Tabla_producción_serigrafia[[#This Row],[ACCIÓN]]="PRODUCCIÓN",Tabla_producción_serigrafia[[#This Row],[FORMATO DE FRASCO]]&amp;" "&amp;Tabla_producción_serigrafia[[#This Row],[TIPO DE FRASCO]],"-")</f>
        <v>-</v>
      </c>
      <c r="M252" s="21">
        <f>IFERROR(INDEX(Tabla_control_serigrafia[CANTIDAD PEDIDA],MATCH(Tabla_producción_serigrafia[[#This Row],[LOTE]],Tabla_control_serigrafia[LOTE],0)),"-")</f>
        <v>29703</v>
      </c>
      <c r="N252" s="22">
        <v>0</v>
      </c>
      <c r="O252" s="19">
        <v>0</v>
      </c>
      <c r="P252" s="23"/>
      <c r="Q25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5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2" s="25" t="s">
        <v>63</v>
      </c>
      <c r="T252" s="20" t="str">
        <f>UPPER(LEFT(TEXT(Tabla_producción_serigrafia[[#This Row],[FECHA]],"mmm"),3))</f>
        <v>MAY</v>
      </c>
      <c r="U252" s="20">
        <f>IFERROR(Tabla_producción_serigrafia[[#This Row],[CANTIDAD PRODUCIDA]]+Tabla_producción_serigrafia[[#This Row],[CANTIDAD RECHAZADA]],0)</f>
        <v>0</v>
      </c>
    </row>
    <row r="253" spans="1:21" x14ac:dyDescent="0.25">
      <c r="A253" s="10">
        <v>46161</v>
      </c>
      <c r="B253" s="10" t="s">
        <v>58</v>
      </c>
      <c r="C253" s="1" t="s">
        <v>68</v>
      </c>
      <c r="D253" s="15">
        <v>0.47222222222222227</v>
      </c>
      <c r="E253" s="16">
        <v>0.70833333333333337</v>
      </c>
      <c r="F253" s="17">
        <f>ROUND((Tabla_producción_serigrafia[[#This Row],[FIN]]-Tabla_producción_serigrafia[[#This Row],[INICIO]]+(Tabla_producción_serigrafia[[#This Row],[FIN]]&lt;Tabla_producción_serigrafia[[#This Row],[INICIO]]))*24,2)</f>
        <v>5.67</v>
      </c>
      <c r="G253" s="18" t="s">
        <v>56</v>
      </c>
      <c r="H253" s="19">
        <v>42657</v>
      </c>
      <c r="I253" s="7" t="str">
        <f>IFERROR(INDEX(Tabla_control_serigrafia[PRODUCTO],MATCH(Tabla_producción_serigrafia[[#This Row],[LOTE]],Tabla_control_serigrafia[LOTE],0)),"-")</f>
        <v>DEXTROMETORFANO 10 MG X 100 ML JARABE</v>
      </c>
      <c r="J253" s="20" t="str">
        <f>IFERROR(INDEX(Tabla_control_serigrafia[FORMATO DE FRASCO],MATCH(Tabla_producción_serigrafia[[#This Row],[LOTE]],Tabla_control_serigrafia[LOTE],0)),"-")</f>
        <v>120 ML</v>
      </c>
      <c r="K253" s="20" t="str">
        <f>IFERROR(INDEX(Tabla_control_serigrafia[TIPO DE FRASCO],MATCH(Tabla_producción_serigrafia[[#This Row],[LOTE]],Tabla_control_serigrafia[LOTE],0)),"-")</f>
        <v>FRASCO BLANCO</v>
      </c>
      <c r="L25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53" s="21">
        <f>IFERROR(INDEX(Tabla_control_serigrafia[CANTIDAD PEDIDA],MATCH(Tabla_producción_serigrafia[[#This Row],[LOTE]],Tabla_control_serigrafia[LOTE],0)),"-")</f>
        <v>29703</v>
      </c>
      <c r="N253" s="22">
        <v>16000</v>
      </c>
      <c r="O253" s="19">
        <v>0</v>
      </c>
      <c r="P253" s="23" t="s">
        <v>178</v>
      </c>
      <c r="Q25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16000</v>
      </c>
      <c r="R25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3" s="25"/>
      <c r="T253" s="20" t="str">
        <f>UPPER(LEFT(TEXT(Tabla_producción_serigrafia[[#This Row],[FECHA]],"mmm"),3))</f>
        <v>MAY</v>
      </c>
      <c r="U253" s="20">
        <f>IFERROR(Tabla_producción_serigrafia[[#This Row],[CANTIDAD PRODUCIDA]]+Tabla_producción_serigrafia[[#This Row],[CANTIDAD RECHAZADA]],0)</f>
        <v>16000</v>
      </c>
    </row>
    <row r="254" spans="1:21" x14ac:dyDescent="0.25">
      <c r="A254" s="10">
        <v>46162</v>
      </c>
      <c r="B254" s="10" t="s">
        <v>58</v>
      </c>
      <c r="C254" s="1" t="s">
        <v>68</v>
      </c>
      <c r="D254" s="15">
        <v>0.33333333333333331</v>
      </c>
      <c r="E254" s="16">
        <v>0.35069444444444442</v>
      </c>
      <c r="F254" s="17">
        <f>ROUND((Tabla_producción_serigrafia[[#This Row],[FIN]]-Tabla_producción_serigrafia[[#This Row],[INICIO]]+(Tabla_producción_serigrafia[[#This Row],[FIN]]&lt;Tabla_producción_serigrafia[[#This Row],[INICIO]]))*24,2)</f>
        <v>0.42</v>
      </c>
      <c r="G254" s="18" t="s">
        <v>57</v>
      </c>
      <c r="H254" s="19">
        <v>42657</v>
      </c>
      <c r="I254" s="7" t="str">
        <f>IFERROR(INDEX(Tabla_control_serigrafia[PRODUCTO],MATCH(Tabla_producción_serigrafia[[#This Row],[LOTE]],Tabla_control_serigrafia[LOTE],0)),"-")</f>
        <v>DEXTROMETORFANO 10 MG X 100 ML JARABE</v>
      </c>
      <c r="J254" s="20" t="str">
        <f>IFERROR(INDEX(Tabla_control_serigrafia[FORMATO DE FRASCO],MATCH(Tabla_producción_serigrafia[[#This Row],[LOTE]],Tabla_control_serigrafia[LOTE],0)),"-")</f>
        <v>120 ML</v>
      </c>
      <c r="K254" s="20" t="str">
        <f>IFERROR(INDEX(Tabla_control_serigrafia[TIPO DE FRASCO],MATCH(Tabla_producción_serigrafia[[#This Row],[LOTE]],Tabla_control_serigrafia[LOTE],0)),"-")</f>
        <v>FRASCO BLANCO</v>
      </c>
      <c r="L254" t="str">
        <f>IF(Tabla_producción_serigrafia[[#This Row],[ACCIÓN]]="PRODUCCIÓN",Tabla_producción_serigrafia[[#This Row],[FORMATO DE FRASCO]]&amp;" "&amp;Tabla_producción_serigrafia[[#This Row],[TIPO DE FRASCO]],"-")</f>
        <v>-</v>
      </c>
      <c r="M254" s="21">
        <f>IFERROR(INDEX(Tabla_control_serigrafia[CANTIDAD PEDIDA],MATCH(Tabla_producción_serigrafia[[#This Row],[LOTE]],Tabla_control_serigrafia[LOTE],0)),"-")</f>
        <v>29703</v>
      </c>
      <c r="N254" s="22">
        <v>0</v>
      </c>
      <c r="O254" s="19">
        <v>0</v>
      </c>
      <c r="P254" s="23"/>
      <c r="Q25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5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4" s="25" t="s">
        <v>63</v>
      </c>
      <c r="T254" s="20" t="str">
        <f>UPPER(LEFT(TEXT(Tabla_producción_serigrafia[[#This Row],[FECHA]],"mmm"),3))</f>
        <v>MAY</v>
      </c>
      <c r="U254" s="20">
        <f>IFERROR(Tabla_producción_serigrafia[[#This Row],[CANTIDAD PRODUCIDA]]+Tabla_producción_serigrafia[[#This Row],[CANTIDAD RECHAZADA]],0)</f>
        <v>0</v>
      </c>
    </row>
    <row r="255" spans="1:21" x14ac:dyDescent="0.25">
      <c r="A255" s="10">
        <v>46162</v>
      </c>
      <c r="B255" s="10" t="s">
        <v>58</v>
      </c>
      <c r="C255" s="1" t="s">
        <v>68</v>
      </c>
      <c r="D255" s="15">
        <v>0.35069444444444442</v>
      </c>
      <c r="E255" s="16">
        <v>0.58333333333333337</v>
      </c>
      <c r="F255" s="17">
        <f>ROUND((Tabla_producción_serigrafia[[#This Row],[FIN]]-Tabla_producción_serigrafia[[#This Row],[INICIO]]+(Tabla_producción_serigrafia[[#This Row],[FIN]]&lt;Tabla_producción_serigrafia[[#This Row],[INICIO]]))*24,2)</f>
        <v>5.58</v>
      </c>
      <c r="G255" s="18" t="s">
        <v>56</v>
      </c>
      <c r="H255" s="19">
        <v>42657</v>
      </c>
      <c r="I255" s="7" t="str">
        <f>IFERROR(INDEX(Tabla_control_serigrafia[PRODUCTO],MATCH(Tabla_producción_serigrafia[[#This Row],[LOTE]],Tabla_control_serigrafia[LOTE],0)),"-")</f>
        <v>DEXTROMETORFANO 10 MG X 100 ML JARABE</v>
      </c>
      <c r="J255" s="20" t="str">
        <f>IFERROR(INDEX(Tabla_control_serigrafia[FORMATO DE FRASCO],MATCH(Tabla_producción_serigrafia[[#This Row],[LOTE]],Tabla_control_serigrafia[LOTE],0)),"-")</f>
        <v>120 ML</v>
      </c>
      <c r="K255" s="20" t="str">
        <f>IFERROR(INDEX(Tabla_control_serigrafia[TIPO DE FRASCO],MATCH(Tabla_producción_serigrafia[[#This Row],[LOTE]],Tabla_control_serigrafia[LOTE],0)),"-")</f>
        <v>FRASCO BLANCO</v>
      </c>
      <c r="L255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55" s="21">
        <f>IFERROR(INDEX(Tabla_control_serigrafia[CANTIDAD PEDIDA],MATCH(Tabla_producción_serigrafia[[#This Row],[LOTE]],Tabla_control_serigrafia[LOTE],0)),"-")</f>
        <v>29703</v>
      </c>
      <c r="N255" s="22">
        <v>13850</v>
      </c>
      <c r="O255" s="19">
        <v>148</v>
      </c>
      <c r="P255" s="23" t="s">
        <v>62</v>
      </c>
      <c r="Q25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13850</v>
      </c>
      <c r="R255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49</v>
      </c>
      <c r="S255" s="25"/>
      <c r="T255" s="20" t="str">
        <f>UPPER(LEFT(TEXT(Tabla_producción_serigrafia[[#This Row],[FECHA]],"mmm"),3))</f>
        <v>MAY</v>
      </c>
      <c r="U255" s="20">
        <f>IFERROR(Tabla_producción_serigrafia[[#This Row],[CANTIDAD PRODUCIDA]]+Tabla_producción_serigrafia[[#This Row],[CANTIDAD RECHAZADA]],0)</f>
        <v>13998</v>
      </c>
    </row>
    <row r="256" spans="1:21" x14ac:dyDescent="0.25">
      <c r="A256" s="10">
        <v>46162</v>
      </c>
      <c r="B256" s="10" t="s">
        <v>58</v>
      </c>
      <c r="C256" s="1" t="s">
        <v>68</v>
      </c>
      <c r="D256" s="15">
        <v>0.58333333333333337</v>
      </c>
      <c r="E256" s="16">
        <v>0.59722222222222221</v>
      </c>
      <c r="F256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56" s="18" t="s">
        <v>57</v>
      </c>
      <c r="H256" s="19">
        <v>42658</v>
      </c>
      <c r="I256" s="7" t="str">
        <f>IFERROR(INDEX(Tabla_control_serigrafia[PRODUCTO],MATCH(Tabla_producción_serigrafia[[#This Row],[LOTE]],Tabla_control_serigrafia[LOTE],0)),"-")</f>
        <v>DEXTROMETORFANO 10 MG X 100 ML JARABE</v>
      </c>
      <c r="J256" s="20" t="str">
        <f>IFERROR(INDEX(Tabla_control_serigrafia[FORMATO DE FRASCO],MATCH(Tabla_producción_serigrafia[[#This Row],[LOTE]],Tabla_control_serigrafia[LOTE],0)),"-")</f>
        <v>120 ML</v>
      </c>
      <c r="K256" s="20" t="str">
        <f>IFERROR(INDEX(Tabla_control_serigrafia[TIPO DE FRASCO],MATCH(Tabla_producción_serigrafia[[#This Row],[LOTE]],Tabla_control_serigrafia[LOTE],0)),"-")</f>
        <v>FRASCO BLANCO</v>
      </c>
      <c r="L256" t="str">
        <f>IF(Tabla_producción_serigrafia[[#This Row],[ACCIÓN]]="PRODUCCIÓN",Tabla_producción_serigrafia[[#This Row],[FORMATO DE FRASCO]]&amp;" "&amp;Tabla_producción_serigrafia[[#This Row],[TIPO DE FRASCO]],"-")</f>
        <v>-</v>
      </c>
      <c r="M256" s="21">
        <f>IFERROR(INDEX(Tabla_control_serigrafia[CANTIDAD PEDIDA],MATCH(Tabla_producción_serigrafia[[#This Row],[LOTE]],Tabla_control_serigrafia[LOTE],0)),"-")</f>
        <v>29703</v>
      </c>
      <c r="N256" s="22">
        <v>0</v>
      </c>
      <c r="O256" s="19">
        <v>0</v>
      </c>
      <c r="P256" s="23"/>
      <c r="Q25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5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6" s="25" t="s">
        <v>63</v>
      </c>
      <c r="T256" s="20" t="str">
        <f>UPPER(LEFT(TEXT(Tabla_producción_serigrafia[[#This Row],[FECHA]],"mmm"),3))</f>
        <v>MAY</v>
      </c>
      <c r="U256" s="20">
        <f>IFERROR(Tabla_producción_serigrafia[[#This Row],[CANTIDAD PRODUCIDA]]+Tabla_producción_serigrafia[[#This Row],[CANTIDAD RECHAZADA]],0)</f>
        <v>0</v>
      </c>
    </row>
    <row r="257" spans="1:21" x14ac:dyDescent="0.25">
      <c r="A257" s="10">
        <v>46162</v>
      </c>
      <c r="B257" s="10" t="s">
        <v>58</v>
      </c>
      <c r="C257" s="1" t="s">
        <v>68</v>
      </c>
      <c r="D257" s="15">
        <v>0.59722222222222221</v>
      </c>
      <c r="E257" s="16">
        <v>0.70833333333333337</v>
      </c>
      <c r="F257" s="17">
        <f>ROUND((Tabla_producción_serigrafia[[#This Row],[FIN]]-Tabla_producción_serigrafia[[#This Row],[INICIO]]+(Tabla_producción_serigrafia[[#This Row],[FIN]]&lt;Tabla_producción_serigrafia[[#This Row],[INICIO]]))*24,2)</f>
        <v>2.67</v>
      </c>
      <c r="G257" s="18" t="s">
        <v>56</v>
      </c>
      <c r="H257" s="19">
        <v>42658</v>
      </c>
      <c r="I257" s="7" t="str">
        <f>IFERROR(INDEX(Tabla_control_serigrafia[PRODUCTO],MATCH(Tabla_producción_serigrafia[[#This Row],[LOTE]],Tabla_control_serigrafia[LOTE],0)),"-")</f>
        <v>DEXTROMETORFANO 10 MG X 100 ML JARABE</v>
      </c>
      <c r="J257" s="20" t="str">
        <f>IFERROR(INDEX(Tabla_control_serigrafia[FORMATO DE FRASCO],MATCH(Tabla_producción_serigrafia[[#This Row],[LOTE]],Tabla_control_serigrafia[LOTE],0)),"-")</f>
        <v>120 ML</v>
      </c>
      <c r="K257" s="20" t="str">
        <f>IFERROR(INDEX(Tabla_control_serigrafia[TIPO DE FRASCO],MATCH(Tabla_producción_serigrafia[[#This Row],[LOTE]],Tabla_control_serigrafia[LOTE],0)),"-")</f>
        <v>FRASCO BLANCO</v>
      </c>
      <c r="L257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57" s="21">
        <f>IFERROR(INDEX(Tabla_control_serigrafia[CANTIDAD PEDIDA],MATCH(Tabla_producción_serigrafia[[#This Row],[LOTE]],Tabla_control_serigrafia[LOTE],0)),"-")</f>
        <v>29703</v>
      </c>
      <c r="N257" s="22">
        <v>6500</v>
      </c>
      <c r="O257" s="19">
        <v>0</v>
      </c>
      <c r="P257" s="23" t="s">
        <v>178</v>
      </c>
      <c r="Q25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6500</v>
      </c>
      <c r="R25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7" s="25"/>
      <c r="T257" s="20" t="str">
        <f>UPPER(LEFT(TEXT(Tabla_producción_serigrafia[[#This Row],[FECHA]],"mmm"),3))</f>
        <v>MAY</v>
      </c>
      <c r="U257" s="20">
        <f>IFERROR(Tabla_producción_serigrafia[[#This Row],[CANTIDAD PRODUCIDA]]+Tabla_producción_serigrafia[[#This Row],[CANTIDAD RECHAZADA]],0)</f>
        <v>6500</v>
      </c>
    </row>
    <row r="258" spans="1:21" x14ac:dyDescent="0.25">
      <c r="A258" s="10">
        <v>46163</v>
      </c>
      <c r="B258" s="10" t="s">
        <v>58</v>
      </c>
      <c r="C258" s="1" t="s">
        <v>68</v>
      </c>
      <c r="D258" s="15">
        <v>0.33333333333333331</v>
      </c>
      <c r="E258" s="16">
        <v>0.35416666666666669</v>
      </c>
      <c r="F258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58" s="18" t="s">
        <v>57</v>
      </c>
      <c r="H258" s="19">
        <v>42658</v>
      </c>
      <c r="I258" s="7" t="str">
        <f>IFERROR(INDEX(Tabla_control_serigrafia[PRODUCTO],MATCH(Tabla_producción_serigrafia[[#This Row],[LOTE]],Tabla_control_serigrafia[LOTE],0)),"-")</f>
        <v>DEXTROMETORFANO 10 MG X 100 ML JARABE</v>
      </c>
      <c r="J258" s="20" t="str">
        <f>IFERROR(INDEX(Tabla_control_serigrafia[FORMATO DE FRASCO],MATCH(Tabla_producción_serigrafia[[#This Row],[LOTE]],Tabla_control_serigrafia[LOTE],0)),"-")</f>
        <v>120 ML</v>
      </c>
      <c r="K258" s="20" t="str">
        <f>IFERROR(INDEX(Tabla_control_serigrafia[TIPO DE FRASCO],MATCH(Tabla_producción_serigrafia[[#This Row],[LOTE]],Tabla_control_serigrafia[LOTE],0)),"-")</f>
        <v>FRASCO BLANCO</v>
      </c>
      <c r="L258" t="str">
        <f>IF(Tabla_producción_serigrafia[[#This Row],[ACCIÓN]]="PRODUCCIÓN",Tabla_producción_serigrafia[[#This Row],[FORMATO DE FRASCO]]&amp;" "&amp;Tabla_producción_serigrafia[[#This Row],[TIPO DE FRASCO]],"-")</f>
        <v>-</v>
      </c>
      <c r="M258" s="21">
        <f>IFERROR(INDEX(Tabla_control_serigrafia[CANTIDAD PEDIDA],MATCH(Tabla_producción_serigrafia[[#This Row],[LOTE]],Tabla_control_serigrafia[LOTE],0)),"-")</f>
        <v>29703</v>
      </c>
      <c r="N258" s="22">
        <v>0</v>
      </c>
      <c r="O258" s="19">
        <v>0</v>
      </c>
      <c r="P258" s="23"/>
      <c r="Q25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58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8" s="25" t="s">
        <v>63</v>
      </c>
      <c r="T258" s="20" t="str">
        <f>UPPER(LEFT(TEXT(Tabla_producción_serigrafia[[#This Row],[FECHA]],"mmm"),3))</f>
        <v>MAY</v>
      </c>
      <c r="U258" s="20">
        <f>IFERROR(Tabla_producción_serigrafia[[#This Row],[CANTIDAD PRODUCIDA]]+Tabla_producción_serigrafia[[#This Row],[CANTIDAD RECHAZADA]],0)</f>
        <v>0</v>
      </c>
    </row>
    <row r="259" spans="1:21" x14ac:dyDescent="0.25">
      <c r="A259" s="10">
        <v>46163</v>
      </c>
      <c r="B259" s="10" t="s">
        <v>58</v>
      </c>
      <c r="C259" s="1" t="s">
        <v>68</v>
      </c>
      <c r="D259" s="15">
        <v>0.35416666666666669</v>
      </c>
      <c r="E259" s="16">
        <v>0.70833333333333337</v>
      </c>
      <c r="F259" s="17">
        <f>ROUND((Tabla_producción_serigrafia[[#This Row],[FIN]]-Tabla_producción_serigrafia[[#This Row],[INICIO]]+(Tabla_producción_serigrafia[[#This Row],[FIN]]&lt;Tabla_producción_serigrafia[[#This Row],[INICIO]]))*24,2)</f>
        <v>8.5</v>
      </c>
      <c r="G259" s="18" t="s">
        <v>56</v>
      </c>
      <c r="H259" s="19">
        <v>42658</v>
      </c>
      <c r="I259" s="7" t="str">
        <f>IFERROR(INDEX(Tabla_control_serigrafia[PRODUCTO],MATCH(Tabla_producción_serigrafia[[#This Row],[LOTE]],Tabla_control_serigrafia[LOTE],0)),"-")</f>
        <v>DEXTROMETORFANO 10 MG X 100 ML JARABE</v>
      </c>
      <c r="J259" s="20" t="str">
        <f>IFERROR(INDEX(Tabla_control_serigrafia[FORMATO DE FRASCO],MATCH(Tabla_producción_serigrafia[[#This Row],[LOTE]],Tabla_control_serigrafia[LOTE],0)),"-")</f>
        <v>120 ML</v>
      </c>
      <c r="K259" s="20" t="str">
        <f>IFERROR(INDEX(Tabla_control_serigrafia[TIPO DE FRASCO],MATCH(Tabla_producción_serigrafia[[#This Row],[LOTE]],Tabla_control_serigrafia[LOTE],0)),"-")</f>
        <v>FRASCO BLANCO</v>
      </c>
      <c r="L25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59" s="21">
        <f>IFERROR(INDEX(Tabla_control_serigrafia[CANTIDAD PEDIDA],MATCH(Tabla_producción_serigrafia[[#This Row],[LOTE]],Tabla_control_serigrafia[LOTE],0)),"-")</f>
        <v>29703</v>
      </c>
      <c r="N259" s="22">
        <v>20000</v>
      </c>
      <c r="O259" s="19">
        <v>0</v>
      </c>
      <c r="P259" s="23" t="s">
        <v>178</v>
      </c>
      <c r="Q25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20000</v>
      </c>
      <c r="R25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59" s="25"/>
      <c r="T259" s="20" t="str">
        <f>UPPER(LEFT(TEXT(Tabla_producción_serigrafia[[#This Row],[FECHA]],"mmm"),3))</f>
        <v>MAY</v>
      </c>
      <c r="U259" s="20">
        <f>IFERROR(Tabla_producción_serigrafia[[#This Row],[CANTIDAD PRODUCIDA]]+Tabla_producción_serigrafia[[#This Row],[CANTIDAD RECHAZADA]],0)</f>
        <v>20000</v>
      </c>
    </row>
    <row r="260" spans="1:21" x14ac:dyDescent="0.25">
      <c r="A260" s="10">
        <v>46164</v>
      </c>
      <c r="B260" s="10" t="s">
        <v>58</v>
      </c>
      <c r="C260" s="1" t="s">
        <v>68</v>
      </c>
      <c r="D260" s="15">
        <v>0.33333333333333331</v>
      </c>
      <c r="E260" s="16">
        <v>0.35416666666666669</v>
      </c>
      <c r="F260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60" s="18" t="s">
        <v>57</v>
      </c>
      <c r="H260" s="19">
        <v>42658</v>
      </c>
      <c r="I260" s="7" t="str">
        <f>IFERROR(INDEX(Tabla_control_serigrafia[PRODUCTO],MATCH(Tabla_producción_serigrafia[[#This Row],[LOTE]],Tabla_control_serigrafia[LOTE],0)),"-")</f>
        <v>DEXTROMETORFANO 10 MG X 100 ML JARABE</v>
      </c>
      <c r="J260" s="20" t="str">
        <f>IFERROR(INDEX(Tabla_control_serigrafia[FORMATO DE FRASCO],MATCH(Tabla_producción_serigrafia[[#This Row],[LOTE]],Tabla_control_serigrafia[LOTE],0)),"-")</f>
        <v>120 ML</v>
      </c>
      <c r="K260" s="20" t="str">
        <f>IFERROR(INDEX(Tabla_control_serigrafia[TIPO DE FRASCO],MATCH(Tabla_producción_serigrafia[[#This Row],[LOTE]],Tabla_control_serigrafia[LOTE],0)),"-")</f>
        <v>FRASCO BLANCO</v>
      </c>
      <c r="L260" t="str">
        <f>IF(Tabla_producción_serigrafia[[#This Row],[ACCIÓN]]="PRODUCCIÓN",Tabla_producción_serigrafia[[#This Row],[FORMATO DE FRASCO]]&amp;" "&amp;Tabla_producción_serigrafia[[#This Row],[TIPO DE FRASCO]],"-")</f>
        <v>-</v>
      </c>
      <c r="M260" s="21">
        <f>IFERROR(INDEX(Tabla_control_serigrafia[CANTIDAD PEDIDA],MATCH(Tabla_producción_serigrafia[[#This Row],[LOTE]],Tabla_control_serigrafia[LOTE],0)),"-")</f>
        <v>29703</v>
      </c>
      <c r="N260" s="22">
        <v>0</v>
      </c>
      <c r="O260" s="19">
        <v>0</v>
      </c>
      <c r="P260" s="23"/>
      <c r="Q26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6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60" s="25" t="s">
        <v>63</v>
      </c>
      <c r="T260" s="20" t="str">
        <f>UPPER(LEFT(TEXT(Tabla_producción_serigrafia[[#This Row],[FECHA]],"mmm"),3))</f>
        <v>MAY</v>
      </c>
      <c r="U260" s="20">
        <f>IFERROR(Tabla_producción_serigrafia[[#This Row],[CANTIDAD PRODUCIDA]]+Tabla_producción_serigrafia[[#This Row],[CANTIDAD RECHAZADA]],0)</f>
        <v>0</v>
      </c>
    </row>
    <row r="261" spans="1:21" x14ac:dyDescent="0.25">
      <c r="A261" s="10">
        <v>46164</v>
      </c>
      <c r="B261" s="10" t="s">
        <v>58</v>
      </c>
      <c r="C261" s="1" t="s">
        <v>68</v>
      </c>
      <c r="D261" s="15">
        <v>0.35416666666666669</v>
      </c>
      <c r="E261" s="16">
        <v>0.4375</v>
      </c>
      <c r="F261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261" s="18" t="s">
        <v>56</v>
      </c>
      <c r="H261" s="19">
        <v>42658</v>
      </c>
      <c r="I261" s="7" t="str">
        <f>IFERROR(INDEX(Tabla_control_serigrafia[PRODUCTO],MATCH(Tabla_producción_serigrafia[[#This Row],[LOTE]],Tabla_control_serigrafia[LOTE],0)),"-")</f>
        <v>DEXTROMETORFANO 10 MG X 100 ML JARABE</v>
      </c>
      <c r="J261" s="20" t="str">
        <f>IFERROR(INDEX(Tabla_control_serigrafia[FORMATO DE FRASCO],MATCH(Tabla_producción_serigrafia[[#This Row],[LOTE]],Tabla_control_serigrafia[LOTE],0)),"-")</f>
        <v>120 ML</v>
      </c>
      <c r="K261" s="20" t="str">
        <f>IFERROR(INDEX(Tabla_control_serigrafia[TIPO DE FRASCO],MATCH(Tabla_producción_serigrafia[[#This Row],[LOTE]],Tabla_control_serigrafia[LOTE],0)),"-")</f>
        <v>FRASCO BLANCO</v>
      </c>
      <c r="L26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61" s="21">
        <f>IFERROR(INDEX(Tabla_control_serigrafia[CANTIDAD PEDIDA],MATCH(Tabla_producción_serigrafia[[#This Row],[LOTE]],Tabla_control_serigrafia[LOTE],0)),"-")</f>
        <v>29703</v>
      </c>
      <c r="N261" s="22">
        <v>3350</v>
      </c>
      <c r="O261" s="19">
        <v>187</v>
      </c>
      <c r="P261" s="23" t="s">
        <v>62</v>
      </c>
      <c r="Q26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3350</v>
      </c>
      <c r="R261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51</v>
      </c>
      <c r="S261" s="25"/>
      <c r="T261" s="20" t="str">
        <f>UPPER(LEFT(TEXT(Tabla_producción_serigrafia[[#This Row],[FECHA]],"mmm"),3))</f>
        <v>MAY</v>
      </c>
      <c r="U261" s="20">
        <f>IFERROR(Tabla_producción_serigrafia[[#This Row],[CANTIDAD PRODUCIDA]]+Tabla_producción_serigrafia[[#This Row],[CANTIDAD RECHAZADA]],0)</f>
        <v>3537</v>
      </c>
    </row>
    <row r="262" spans="1:21" x14ac:dyDescent="0.25">
      <c r="A262" s="10">
        <v>46164</v>
      </c>
      <c r="B262" s="10" t="s">
        <v>58</v>
      </c>
      <c r="C262" s="1" t="s">
        <v>68</v>
      </c>
      <c r="D262" s="15">
        <v>0.4375</v>
      </c>
      <c r="E262" s="16">
        <v>0.45833333333333331</v>
      </c>
      <c r="F262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62" s="18" t="s">
        <v>57</v>
      </c>
      <c r="H262" s="19">
        <v>6426</v>
      </c>
      <c r="I262" s="7" t="str">
        <f>IFERROR(INDEX(Tabla_control_serigrafia[PRODUCTO],MATCH(Tabla_producción_serigrafia[[#This Row],[LOTE]],Tabla_control_serigrafia[LOTE],0)),"-")</f>
        <v>COMPLEJO B POTENCIADO X 100 ML JARABE VETERINARIO</v>
      </c>
      <c r="J262" s="20" t="str">
        <f>IFERROR(INDEX(Tabla_control_serigrafia[FORMATO DE FRASCO],MATCH(Tabla_producción_serigrafia[[#This Row],[LOTE]],Tabla_control_serigrafia[LOTE],0)),"-")</f>
        <v>120 ML</v>
      </c>
      <c r="K262" s="20" t="str">
        <f>IFERROR(INDEX(Tabla_control_serigrafia[TIPO DE FRASCO],MATCH(Tabla_producción_serigrafia[[#This Row],[LOTE]],Tabla_control_serigrafia[LOTE],0)),"-")</f>
        <v>FRASCO BLANCO</v>
      </c>
      <c r="L262" t="str">
        <f>IF(Tabla_producción_serigrafia[[#This Row],[ACCIÓN]]="PRODUCCIÓN",Tabla_producción_serigrafia[[#This Row],[FORMATO DE FRASCO]]&amp;" "&amp;Tabla_producción_serigrafia[[#This Row],[TIPO DE FRASCO]],"-")</f>
        <v>-</v>
      </c>
      <c r="M262" s="21">
        <f>IFERROR(INDEX(Tabla_control_serigrafia[CANTIDAD PEDIDA],MATCH(Tabla_producción_serigrafia[[#This Row],[LOTE]],Tabla_control_serigrafia[LOTE],0)),"-")</f>
        <v>9901</v>
      </c>
      <c r="N262" s="22">
        <v>0</v>
      </c>
      <c r="O262" s="19">
        <v>0</v>
      </c>
      <c r="P262" s="23"/>
      <c r="Q26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6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62" s="25" t="s">
        <v>63</v>
      </c>
      <c r="T262" s="20" t="str">
        <f>UPPER(LEFT(TEXT(Tabla_producción_serigrafia[[#This Row],[FECHA]],"mmm"),3))</f>
        <v>MAY</v>
      </c>
      <c r="U262" s="20">
        <f>IFERROR(Tabla_producción_serigrafia[[#This Row],[CANTIDAD PRODUCIDA]]+Tabla_producción_serigrafia[[#This Row],[CANTIDAD RECHAZADA]],0)</f>
        <v>0</v>
      </c>
    </row>
    <row r="263" spans="1:21" x14ac:dyDescent="0.25">
      <c r="A263" s="10">
        <v>46164</v>
      </c>
      <c r="B263" s="10" t="s">
        <v>58</v>
      </c>
      <c r="C263" s="1" t="s">
        <v>68</v>
      </c>
      <c r="D263" s="15">
        <v>0.45833333333333331</v>
      </c>
      <c r="E263" s="16">
        <v>0.625</v>
      </c>
      <c r="F263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263" s="18" t="s">
        <v>56</v>
      </c>
      <c r="H263" s="19">
        <v>6426</v>
      </c>
      <c r="I263" s="7" t="str">
        <f>IFERROR(INDEX(Tabla_control_serigrafia[PRODUCTO],MATCH(Tabla_producción_serigrafia[[#This Row],[LOTE]],Tabla_control_serigrafia[LOTE],0)),"-")</f>
        <v>COMPLEJO B POTENCIADO X 100 ML JARABE VETERINARIO</v>
      </c>
      <c r="J263" s="20" t="str">
        <f>IFERROR(INDEX(Tabla_control_serigrafia[FORMATO DE FRASCO],MATCH(Tabla_producción_serigrafia[[#This Row],[LOTE]],Tabla_control_serigrafia[LOTE],0)),"-")</f>
        <v>120 ML</v>
      </c>
      <c r="K263" s="20" t="str">
        <f>IFERROR(INDEX(Tabla_control_serigrafia[TIPO DE FRASCO],MATCH(Tabla_producción_serigrafia[[#This Row],[LOTE]],Tabla_control_serigrafia[LOTE],0)),"-")</f>
        <v>FRASCO BLANCO</v>
      </c>
      <c r="L26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63" s="21">
        <f>IFERROR(INDEX(Tabla_control_serigrafia[CANTIDAD PEDIDA],MATCH(Tabla_producción_serigrafia[[#This Row],[LOTE]],Tabla_control_serigrafia[LOTE],0)),"-")</f>
        <v>9901</v>
      </c>
      <c r="N263" s="22">
        <v>10000</v>
      </c>
      <c r="O263" s="19">
        <v>121</v>
      </c>
      <c r="P263" s="23" t="s">
        <v>62</v>
      </c>
      <c r="Q26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263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51</v>
      </c>
      <c r="S263" s="25"/>
      <c r="T263" s="20" t="str">
        <f>UPPER(LEFT(TEXT(Tabla_producción_serigrafia[[#This Row],[FECHA]],"mmm"),3))</f>
        <v>MAY</v>
      </c>
      <c r="U263" s="20">
        <f>IFERROR(Tabla_producción_serigrafia[[#This Row],[CANTIDAD PRODUCIDA]]+Tabla_producción_serigrafia[[#This Row],[CANTIDAD RECHAZADA]],0)</f>
        <v>10121</v>
      </c>
    </row>
    <row r="264" spans="1:21" x14ac:dyDescent="0.25">
      <c r="A264" s="10">
        <v>46164</v>
      </c>
      <c r="B264" s="10" t="s">
        <v>58</v>
      </c>
      <c r="C264" s="1" t="s">
        <v>68</v>
      </c>
      <c r="D264" s="15">
        <v>0.625</v>
      </c>
      <c r="E264" s="16">
        <v>0.63888888888888895</v>
      </c>
      <c r="F264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64" s="18" t="s">
        <v>57</v>
      </c>
      <c r="H264" s="19">
        <v>11426</v>
      </c>
      <c r="I264" s="7" t="str">
        <f>IFERROR(INDEX(Tabla_control_serigrafia[PRODUCTO],MATCH(Tabla_producción_serigrafia[[#This Row],[LOTE]],Tabla_control_serigrafia[LOTE],0)),"-")</f>
        <v>METRONIDAZOL 250 MG X 100 ML SUSP. VETERINARIO</v>
      </c>
      <c r="J264" s="20" t="str">
        <f>IFERROR(INDEX(Tabla_control_serigrafia[FORMATO DE FRASCO],MATCH(Tabla_producción_serigrafia[[#This Row],[LOTE]],Tabla_control_serigrafia[LOTE],0)),"-")</f>
        <v>120 ML</v>
      </c>
      <c r="K264" s="20" t="str">
        <f>IFERROR(INDEX(Tabla_control_serigrafia[TIPO DE FRASCO],MATCH(Tabla_producción_serigrafia[[#This Row],[LOTE]],Tabla_control_serigrafia[LOTE],0)),"-")</f>
        <v>FRASCO BLANCO</v>
      </c>
      <c r="L264" t="str">
        <f>IF(Tabla_producción_serigrafia[[#This Row],[ACCIÓN]]="PRODUCCIÓN",Tabla_producción_serigrafia[[#This Row],[FORMATO DE FRASCO]]&amp;" "&amp;Tabla_producción_serigrafia[[#This Row],[TIPO DE FRASCO]],"-")</f>
        <v>-</v>
      </c>
      <c r="M264" s="21">
        <f>IFERROR(INDEX(Tabla_control_serigrafia[CANTIDAD PEDIDA],MATCH(Tabla_producción_serigrafia[[#This Row],[LOTE]],Tabla_control_serigrafia[LOTE],0)),"-")</f>
        <v>4902</v>
      </c>
      <c r="N264" s="22">
        <v>0</v>
      </c>
      <c r="O264" s="19">
        <v>0</v>
      </c>
      <c r="P264" s="23"/>
      <c r="Q26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6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64" s="25" t="s">
        <v>63</v>
      </c>
      <c r="T264" s="20" t="str">
        <f>UPPER(LEFT(TEXT(Tabla_producción_serigrafia[[#This Row],[FECHA]],"mmm"),3))</f>
        <v>MAY</v>
      </c>
      <c r="U264" s="20">
        <f>IFERROR(Tabla_producción_serigrafia[[#This Row],[CANTIDAD PRODUCIDA]]+Tabla_producción_serigrafia[[#This Row],[CANTIDAD RECHAZADA]],0)</f>
        <v>0</v>
      </c>
    </row>
    <row r="265" spans="1:21" x14ac:dyDescent="0.25">
      <c r="A265" s="10">
        <v>46164</v>
      </c>
      <c r="B265" s="10" t="s">
        <v>58</v>
      </c>
      <c r="C265" s="1" t="s">
        <v>68</v>
      </c>
      <c r="D265" s="15">
        <v>0.63888888888888895</v>
      </c>
      <c r="E265" s="16">
        <v>0.72916666666666663</v>
      </c>
      <c r="F265" s="17">
        <f>ROUND((Tabla_producción_serigrafia[[#This Row],[FIN]]-Tabla_producción_serigrafia[[#This Row],[INICIO]]+(Tabla_producción_serigrafia[[#This Row],[FIN]]&lt;Tabla_producción_serigrafia[[#This Row],[INICIO]]))*24,2)</f>
        <v>2.17</v>
      </c>
      <c r="G265" s="18" t="s">
        <v>56</v>
      </c>
      <c r="H265" s="19">
        <v>11426</v>
      </c>
      <c r="I265" s="7" t="str">
        <f>IFERROR(INDEX(Tabla_control_serigrafia[PRODUCTO],MATCH(Tabla_producción_serigrafia[[#This Row],[LOTE]],Tabla_control_serigrafia[LOTE],0)),"-")</f>
        <v>METRONIDAZOL 250 MG X 100 ML SUSP. VETERINARIO</v>
      </c>
      <c r="J265" s="20" t="str">
        <f>IFERROR(INDEX(Tabla_control_serigrafia[FORMATO DE FRASCO],MATCH(Tabla_producción_serigrafia[[#This Row],[LOTE]],Tabla_control_serigrafia[LOTE],0)),"-")</f>
        <v>120 ML</v>
      </c>
      <c r="K265" s="20" t="str">
        <f>IFERROR(INDEX(Tabla_control_serigrafia[TIPO DE FRASCO],MATCH(Tabla_producción_serigrafia[[#This Row],[LOTE]],Tabla_control_serigrafia[LOTE],0)),"-")</f>
        <v>FRASCO BLANCO</v>
      </c>
      <c r="L265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65" s="21">
        <f>IFERROR(INDEX(Tabla_control_serigrafia[CANTIDAD PEDIDA],MATCH(Tabla_producción_serigrafia[[#This Row],[LOTE]],Tabla_control_serigrafia[LOTE],0)),"-")</f>
        <v>4902</v>
      </c>
      <c r="N265" s="22">
        <v>5000</v>
      </c>
      <c r="O265" s="19">
        <v>56</v>
      </c>
      <c r="P265" s="23" t="s">
        <v>62</v>
      </c>
      <c r="Q26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5000</v>
      </c>
      <c r="R265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51</v>
      </c>
      <c r="S265" s="25"/>
      <c r="T265" s="20" t="str">
        <f>UPPER(LEFT(TEXT(Tabla_producción_serigrafia[[#This Row],[FECHA]],"mmm"),3))</f>
        <v>MAY</v>
      </c>
      <c r="U265" s="20">
        <f>IFERROR(Tabla_producción_serigrafia[[#This Row],[CANTIDAD PRODUCIDA]]+Tabla_producción_serigrafia[[#This Row],[CANTIDAD RECHAZADA]],0)</f>
        <v>5056</v>
      </c>
    </row>
    <row r="266" spans="1:21" x14ac:dyDescent="0.25">
      <c r="A266" s="10">
        <v>46167</v>
      </c>
      <c r="B266" s="10" t="s">
        <v>58</v>
      </c>
      <c r="C266" s="1" t="s">
        <v>68</v>
      </c>
      <c r="D266" s="15">
        <v>0.375</v>
      </c>
      <c r="E266" s="16">
        <v>0.39583333333333331</v>
      </c>
      <c r="F266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66" s="18" t="s">
        <v>57</v>
      </c>
      <c r="H266" s="19">
        <v>4526</v>
      </c>
      <c r="I266" s="7" t="str">
        <f>IFERROR(INDEX(Tabla_control_serigrafia[PRODUCTO],MATCH(Tabla_producción_serigrafia[[#This Row],[LOTE]],Tabla_control_serigrafia[LOTE],0)),"-")</f>
        <v>SULTRIN FORTE 400/80 MG X 100 ML SUSP. VETERINARIO</v>
      </c>
      <c r="J266" s="20" t="str">
        <f>IFERROR(INDEX(Tabla_control_serigrafia[FORMATO DE FRASCO],MATCH(Tabla_producción_serigrafia[[#This Row],[LOTE]],Tabla_control_serigrafia[LOTE],0)),"-")</f>
        <v>120 ML</v>
      </c>
      <c r="K266" s="20" t="str">
        <f>IFERROR(INDEX(Tabla_control_serigrafia[TIPO DE FRASCO],MATCH(Tabla_producción_serigrafia[[#This Row],[LOTE]],Tabla_control_serigrafia[LOTE],0)),"-")</f>
        <v>FRASCO BLANCO</v>
      </c>
      <c r="L266" t="str">
        <f>IF(Tabla_producción_serigrafia[[#This Row],[ACCIÓN]]="PRODUCCIÓN",Tabla_producción_serigrafia[[#This Row],[FORMATO DE FRASCO]]&amp;" "&amp;Tabla_producción_serigrafia[[#This Row],[TIPO DE FRASCO]],"-")</f>
        <v>-</v>
      </c>
      <c r="M266" s="21">
        <f>IFERROR(INDEX(Tabla_control_serigrafia[CANTIDAD PEDIDA],MATCH(Tabla_producción_serigrafia[[#This Row],[LOTE]],Tabla_control_serigrafia[LOTE],0)),"-")</f>
        <v>4902</v>
      </c>
      <c r="N266" s="22">
        <v>0</v>
      </c>
      <c r="O266" s="19">
        <v>0</v>
      </c>
      <c r="P266" s="23"/>
      <c r="Q26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6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66" s="25" t="s">
        <v>63</v>
      </c>
      <c r="T266" s="20" t="str">
        <f>UPPER(LEFT(TEXT(Tabla_producción_serigrafia[[#This Row],[FECHA]],"mmm"),3))</f>
        <v>MAY</v>
      </c>
      <c r="U266" s="20">
        <f>IFERROR(Tabla_producción_serigrafia[[#This Row],[CANTIDAD PRODUCIDA]]+Tabla_producción_serigrafia[[#This Row],[CANTIDAD RECHAZADA]],0)</f>
        <v>0</v>
      </c>
    </row>
    <row r="267" spans="1:21" x14ac:dyDescent="0.25">
      <c r="A267" s="10">
        <v>46167</v>
      </c>
      <c r="B267" s="10" t="s">
        <v>58</v>
      </c>
      <c r="C267" s="1" t="s">
        <v>68</v>
      </c>
      <c r="D267" s="15">
        <v>0.39583333333333331</v>
      </c>
      <c r="E267" s="16">
        <v>0.52083333333333337</v>
      </c>
      <c r="F267" s="17">
        <f>ROUND((Tabla_producción_serigrafia[[#This Row],[FIN]]-Tabla_producción_serigrafia[[#This Row],[INICIO]]+(Tabla_producción_serigrafia[[#This Row],[FIN]]&lt;Tabla_producción_serigrafia[[#This Row],[INICIO]]))*24,2)</f>
        <v>3</v>
      </c>
      <c r="G267" s="18" t="s">
        <v>56</v>
      </c>
      <c r="H267" s="19">
        <v>4526</v>
      </c>
      <c r="I267" s="7" t="str">
        <f>IFERROR(INDEX(Tabla_control_serigrafia[PRODUCTO],MATCH(Tabla_producción_serigrafia[[#This Row],[LOTE]],Tabla_control_serigrafia[LOTE],0)),"-")</f>
        <v>SULTRIN FORTE 400/80 MG X 100 ML SUSP. VETERINARIO</v>
      </c>
      <c r="J267" s="20" t="str">
        <f>IFERROR(INDEX(Tabla_control_serigrafia[FORMATO DE FRASCO],MATCH(Tabla_producción_serigrafia[[#This Row],[LOTE]],Tabla_control_serigrafia[LOTE],0)),"-")</f>
        <v>120 ML</v>
      </c>
      <c r="K267" s="20" t="str">
        <f>IFERROR(INDEX(Tabla_control_serigrafia[TIPO DE FRASCO],MATCH(Tabla_producción_serigrafia[[#This Row],[LOTE]],Tabla_control_serigrafia[LOTE],0)),"-")</f>
        <v>FRASCO BLANCO</v>
      </c>
      <c r="L267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67" s="21">
        <f>IFERROR(INDEX(Tabla_control_serigrafia[CANTIDAD PEDIDA],MATCH(Tabla_producción_serigrafia[[#This Row],[LOTE]],Tabla_control_serigrafia[LOTE],0)),"-")</f>
        <v>4902</v>
      </c>
      <c r="N267" s="22">
        <v>5000</v>
      </c>
      <c r="O267" s="19">
        <v>98</v>
      </c>
      <c r="P267" s="23" t="s">
        <v>62</v>
      </c>
      <c r="Q26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5000</v>
      </c>
      <c r="R267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24</v>
      </c>
      <c r="S267" s="25"/>
      <c r="T267" s="20" t="str">
        <f>UPPER(LEFT(TEXT(Tabla_producción_serigrafia[[#This Row],[FECHA]],"mmm"),3))</f>
        <v>MAY</v>
      </c>
      <c r="U267" s="20">
        <f>IFERROR(Tabla_producción_serigrafia[[#This Row],[CANTIDAD PRODUCIDA]]+Tabla_producción_serigrafia[[#This Row],[CANTIDAD RECHAZADA]],0)</f>
        <v>5098</v>
      </c>
    </row>
    <row r="268" spans="1:21" x14ac:dyDescent="0.25">
      <c r="A268" s="10">
        <v>46167</v>
      </c>
      <c r="B268" s="10" t="s">
        <v>58</v>
      </c>
      <c r="C268" s="1" t="s">
        <v>68</v>
      </c>
      <c r="D268" s="15">
        <v>0.52083333333333337</v>
      </c>
      <c r="E268" s="16">
        <v>0.53472222222222221</v>
      </c>
      <c r="F268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68" s="18" t="s">
        <v>57</v>
      </c>
      <c r="H268" s="19">
        <v>14426</v>
      </c>
      <c r="I268" s="7" t="str">
        <f>IFERROR(INDEX(Tabla_control_serigrafia[PRODUCTO],MATCH(Tabla_producción_serigrafia[[#This Row],[LOTE]],Tabla_control_serigrafia[LOTE],0)),"-")</f>
        <v>DERMO VET X 100 ML LOCION VETERINARIO</v>
      </c>
      <c r="J268" s="20" t="str">
        <f>IFERROR(INDEX(Tabla_control_serigrafia[FORMATO DE FRASCO],MATCH(Tabla_producción_serigrafia[[#This Row],[LOTE]],Tabla_control_serigrafia[LOTE],0)),"-")</f>
        <v>120 ML</v>
      </c>
      <c r="K268" s="20" t="str">
        <f>IFERROR(INDEX(Tabla_control_serigrafia[TIPO DE FRASCO],MATCH(Tabla_producción_serigrafia[[#This Row],[LOTE]],Tabla_control_serigrafia[LOTE],0)),"-")</f>
        <v>FRASCO BLANCO</v>
      </c>
      <c r="L268" t="str">
        <f>IF(Tabla_producción_serigrafia[[#This Row],[ACCIÓN]]="PRODUCCIÓN",Tabla_producción_serigrafia[[#This Row],[FORMATO DE FRASCO]]&amp;" "&amp;Tabla_producción_serigrafia[[#This Row],[TIPO DE FRASCO]],"-")</f>
        <v>-</v>
      </c>
      <c r="M268" s="21">
        <f>IFERROR(INDEX(Tabla_control_serigrafia[CANTIDAD PEDIDA],MATCH(Tabla_producción_serigrafia[[#This Row],[LOTE]],Tabla_control_serigrafia[LOTE],0)),"-")</f>
        <v>1800</v>
      </c>
      <c r="N268" s="22">
        <v>0</v>
      </c>
      <c r="O268" s="19">
        <v>0</v>
      </c>
      <c r="P268" s="23"/>
      <c r="Q26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68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68" s="25" t="s">
        <v>63</v>
      </c>
      <c r="T268" s="20" t="str">
        <f>UPPER(LEFT(TEXT(Tabla_producción_serigrafia[[#This Row],[FECHA]],"mmm"),3))</f>
        <v>MAY</v>
      </c>
      <c r="U268" s="20">
        <f>IFERROR(Tabla_producción_serigrafia[[#This Row],[CANTIDAD PRODUCIDA]]+Tabla_producción_serigrafia[[#This Row],[CANTIDAD RECHAZADA]],0)</f>
        <v>0</v>
      </c>
    </row>
    <row r="269" spans="1:21" x14ac:dyDescent="0.25">
      <c r="A269" s="10">
        <v>46167</v>
      </c>
      <c r="B269" s="10" t="s">
        <v>58</v>
      </c>
      <c r="C269" s="1" t="s">
        <v>68</v>
      </c>
      <c r="D269" s="15">
        <v>0.53472222222222221</v>
      </c>
      <c r="E269" s="16">
        <v>0.58333333333333337</v>
      </c>
      <c r="F269" s="17">
        <f>ROUND((Tabla_producción_serigrafia[[#This Row],[FIN]]-Tabla_producción_serigrafia[[#This Row],[INICIO]]+(Tabla_producción_serigrafia[[#This Row],[FIN]]&lt;Tabla_producción_serigrafia[[#This Row],[INICIO]]))*24,2)</f>
        <v>1.17</v>
      </c>
      <c r="G269" s="18" t="s">
        <v>56</v>
      </c>
      <c r="H269" s="19">
        <v>14426</v>
      </c>
      <c r="I269" s="7" t="str">
        <f>IFERROR(INDEX(Tabla_control_serigrafia[PRODUCTO],MATCH(Tabla_producción_serigrafia[[#This Row],[LOTE]],Tabla_control_serigrafia[LOTE],0)),"-")</f>
        <v>DERMO VET X 100 ML LOCION VETERINARIO</v>
      </c>
      <c r="J269" s="20" t="str">
        <f>IFERROR(INDEX(Tabla_control_serigrafia[FORMATO DE FRASCO],MATCH(Tabla_producción_serigrafia[[#This Row],[LOTE]],Tabla_control_serigrafia[LOTE],0)),"-")</f>
        <v>120 ML</v>
      </c>
      <c r="K269" s="20" t="str">
        <f>IFERROR(INDEX(Tabla_control_serigrafia[TIPO DE FRASCO],MATCH(Tabla_producción_serigrafia[[#This Row],[LOTE]],Tabla_control_serigrafia[LOTE],0)),"-")</f>
        <v>FRASCO BLANCO</v>
      </c>
      <c r="L26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69" s="21">
        <f>IFERROR(INDEX(Tabla_control_serigrafia[CANTIDAD PEDIDA],MATCH(Tabla_producción_serigrafia[[#This Row],[LOTE]],Tabla_control_serigrafia[LOTE],0)),"-")</f>
        <v>1800</v>
      </c>
      <c r="N269" s="22">
        <v>1900</v>
      </c>
      <c r="O269" s="19">
        <v>50</v>
      </c>
      <c r="P269" s="23" t="s">
        <v>62</v>
      </c>
      <c r="Q26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1900</v>
      </c>
      <c r="R269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54</v>
      </c>
      <c r="S269" s="25"/>
      <c r="T269" s="20" t="str">
        <f>UPPER(LEFT(TEXT(Tabla_producción_serigrafia[[#This Row],[FECHA]],"mmm"),3))</f>
        <v>MAY</v>
      </c>
      <c r="U269" s="20">
        <f>IFERROR(Tabla_producción_serigrafia[[#This Row],[CANTIDAD PRODUCIDA]]+Tabla_producción_serigrafia[[#This Row],[CANTIDAD RECHAZADA]],0)</f>
        <v>1950</v>
      </c>
    </row>
    <row r="270" spans="1:21" x14ac:dyDescent="0.25">
      <c r="A270" s="10">
        <v>46167</v>
      </c>
      <c r="B270" s="10" t="s">
        <v>58</v>
      </c>
      <c r="C270" s="1" t="s">
        <v>68</v>
      </c>
      <c r="D270" s="15">
        <v>0.58333333333333337</v>
      </c>
      <c r="E270" s="16">
        <v>0.59722222222222221</v>
      </c>
      <c r="F270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70" s="18" t="s">
        <v>57</v>
      </c>
      <c r="H270" s="19">
        <v>52686</v>
      </c>
      <c r="I270" s="7" t="str">
        <f>IFERROR(INDEX(Tabla_control_serigrafia[PRODUCTO],MATCH(Tabla_producción_serigrafia[[#This Row],[LOTE]],Tabla_control_serigrafia[LOTE],0)),"-")</f>
        <v>METRONIDAZOL 250 MG X 100 ML SUSP.</v>
      </c>
      <c r="J270" s="20" t="str">
        <f>IFERROR(INDEX(Tabla_control_serigrafia[FORMATO DE FRASCO],MATCH(Tabla_producción_serigrafia[[#This Row],[LOTE]],Tabla_control_serigrafia[LOTE],0)),"-")</f>
        <v>120 ML</v>
      </c>
      <c r="K270" s="20" t="str">
        <f>IFERROR(INDEX(Tabla_control_serigrafia[TIPO DE FRASCO],MATCH(Tabla_producción_serigrafia[[#This Row],[LOTE]],Tabla_control_serigrafia[LOTE],0)),"-")</f>
        <v>FRASCO BLANCO</v>
      </c>
      <c r="L270" t="str">
        <f>IF(Tabla_producción_serigrafia[[#This Row],[ACCIÓN]]="PRODUCCIÓN",Tabla_producción_serigrafia[[#This Row],[FORMATO DE FRASCO]]&amp;" "&amp;Tabla_producción_serigrafia[[#This Row],[TIPO DE FRASCO]],"-")</f>
        <v>-</v>
      </c>
      <c r="M270" s="21">
        <f>IFERROR(INDEX(Tabla_control_serigrafia[CANTIDAD PEDIDA],MATCH(Tabla_producción_serigrafia[[#This Row],[LOTE]],Tabla_control_serigrafia[LOTE],0)),"-")</f>
        <v>9804</v>
      </c>
      <c r="N270" s="22">
        <v>0</v>
      </c>
      <c r="O270" s="19">
        <v>0</v>
      </c>
      <c r="P270" s="23"/>
      <c r="Q27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7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70" s="25" t="s">
        <v>63</v>
      </c>
      <c r="T270" s="20" t="str">
        <f>UPPER(LEFT(TEXT(Tabla_producción_serigrafia[[#This Row],[FECHA]],"mmm"),3))</f>
        <v>MAY</v>
      </c>
      <c r="U270" s="20">
        <f>IFERROR(Tabla_producción_serigrafia[[#This Row],[CANTIDAD PRODUCIDA]]+Tabla_producción_serigrafia[[#This Row],[CANTIDAD RECHAZADA]],0)</f>
        <v>0</v>
      </c>
    </row>
    <row r="271" spans="1:21" x14ac:dyDescent="0.25">
      <c r="A271" s="10">
        <v>46167</v>
      </c>
      <c r="B271" s="10" t="s">
        <v>58</v>
      </c>
      <c r="C271" s="1" t="s">
        <v>68</v>
      </c>
      <c r="D271" s="15">
        <v>0.59722222222222221</v>
      </c>
      <c r="E271" s="16">
        <v>0.72916666666666663</v>
      </c>
      <c r="F271" s="17">
        <f>ROUND((Tabla_producción_serigrafia[[#This Row],[FIN]]-Tabla_producción_serigrafia[[#This Row],[INICIO]]+(Tabla_producción_serigrafia[[#This Row],[FIN]]&lt;Tabla_producción_serigrafia[[#This Row],[INICIO]]))*24,2)</f>
        <v>3.17</v>
      </c>
      <c r="G271" s="18" t="s">
        <v>56</v>
      </c>
      <c r="H271" s="19">
        <v>52686</v>
      </c>
      <c r="I271" s="7" t="str">
        <f>IFERROR(INDEX(Tabla_control_serigrafia[PRODUCTO],MATCH(Tabla_producción_serigrafia[[#This Row],[LOTE]],Tabla_control_serigrafia[LOTE],0)),"-")</f>
        <v>METRONIDAZOL 250 MG X 100 ML SUSP.</v>
      </c>
      <c r="J271" s="20" t="str">
        <f>IFERROR(INDEX(Tabla_control_serigrafia[FORMATO DE FRASCO],MATCH(Tabla_producción_serigrafia[[#This Row],[LOTE]],Tabla_control_serigrafia[LOTE],0)),"-")</f>
        <v>120 ML</v>
      </c>
      <c r="K271" s="20" t="str">
        <f>IFERROR(INDEX(Tabla_control_serigrafia[TIPO DE FRASCO],MATCH(Tabla_producción_serigrafia[[#This Row],[LOTE]],Tabla_control_serigrafia[LOTE],0)),"-")</f>
        <v>FRASCO BLANCO</v>
      </c>
      <c r="L27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71" s="21">
        <f>IFERROR(INDEX(Tabla_control_serigrafia[CANTIDAD PEDIDA],MATCH(Tabla_producción_serigrafia[[#This Row],[LOTE]],Tabla_control_serigrafia[LOTE],0)),"-")</f>
        <v>9804</v>
      </c>
      <c r="N271" s="22">
        <v>9904</v>
      </c>
      <c r="O271" s="19">
        <v>101</v>
      </c>
      <c r="P271" s="23" t="s">
        <v>62</v>
      </c>
      <c r="Q27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9904</v>
      </c>
      <c r="R271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24</v>
      </c>
      <c r="S271" s="25"/>
      <c r="T271" s="20" t="str">
        <f>UPPER(LEFT(TEXT(Tabla_producción_serigrafia[[#This Row],[FECHA]],"mmm"),3))</f>
        <v>MAY</v>
      </c>
      <c r="U271" s="20">
        <f>IFERROR(Tabla_producción_serigrafia[[#This Row],[CANTIDAD PRODUCIDA]]+Tabla_producción_serigrafia[[#This Row],[CANTIDAD RECHAZADA]],0)</f>
        <v>10005</v>
      </c>
    </row>
    <row r="272" spans="1:21" x14ac:dyDescent="0.25">
      <c r="A272" s="10">
        <v>46079</v>
      </c>
      <c r="B272" s="10" t="s">
        <v>58</v>
      </c>
      <c r="C272" s="1" t="s">
        <v>68</v>
      </c>
      <c r="D272" s="15">
        <v>0.33333333333333331</v>
      </c>
      <c r="E272" s="16">
        <v>0.35416666666666669</v>
      </c>
      <c r="F272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72" s="18" t="s">
        <v>57</v>
      </c>
      <c r="H272" s="19">
        <v>52687</v>
      </c>
      <c r="I272" s="7" t="str">
        <f>IFERROR(INDEX(Tabla_control_serigrafia[PRODUCTO],MATCH(Tabla_producción_serigrafia[[#This Row],[LOTE]],Tabla_control_serigrafia[LOTE],0)),"-")</f>
        <v>METRONIDAZOL 250 MG X 100 ML SUSP.</v>
      </c>
      <c r="J272" s="20" t="str">
        <f>IFERROR(INDEX(Tabla_control_serigrafia[FORMATO DE FRASCO],MATCH(Tabla_producción_serigrafia[[#This Row],[LOTE]],Tabla_control_serigrafia[LOTE],0)),"-")</f>
        <v>120 ML</v>
      </c>
      <c r="K272" s="20" t="str">
        <f>IFERROR(INDEX(Tabla_control_serigrafia[TIPO DE FRASCO],MATCH(Tabla_producción_serigrafia[[#This Row],[LOTE]],Tabla_control_serigrafia[LOTE],0)),"-")</f>
        <v>FRASCO BLANCO</v>
      </c>
      <c r="L272" t="str">
        <f>IF(Tabla_producción_serigrafia[[#This Row],[ACCIÓN]]="PRODUCCIÓN",Tabla_producción_serigrafia[[#This Row],[FORMATO DE FRASCO]]&amp;" "&amp;Tabla_producción_serigrafia[[#This Row],[TIPO DE FRASCO]],"-")</f>
        <v>-</v>
      </c>
      <c r="M272" s="21">
        <f>IFERROR(INDEX(Tabla_control_serigrafia[CANTIDAD PEDIDA],MATCH(Tabla_producción_serigrafia[[#This Row],[LOTE]],Tabla_control_serigrafia[LOTE],0)),"-")</f>
        <v>9804</v>
      </c>
      <c r="N272" s="22">
        <v>0</v>
      </c>
      <c r="O272" s="19">
        <v>0</v>
      </c>
      <c r="P272" s="23"/>
      <c r="Q27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7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72" s="25" t="s">
        <v>63</v>
      </c>
      <c r="T272" s="20" t="str">
        <f>UPPER(LEFT(TEXT(Tabla_producción_serigrafia[[#This Row],[FECHA]],"mmm"),3))</f>
        <v>FEB</v>
      </c>
      <c r="U272" s="20">
        <f>IFERROR(Tabla_producción_serigrafia[[#This Row],[CANTIDAD PRODUCIDA]]+Tabla_producción_serigrafia[[#This Row],[CANTIDAD RECHAZADA]],0)</f>
        <v>0</v>
      </c>
    </row>
    <row r="273" spans="1:21" x14ac:dyDescent="0.25">
      <c r="A273" s="10">
        <v>46079</v>
      </c>
      <c r="B273" s="10" t="s">
        <v>58</v>
      </c>
      <c r="C273" s="1" t="s">
        <v>68</v>
      </c>
      <c r="D273" s="15">
        <v>0.35416666666666669</v>
      </c>
      <c r="E273" s="16">
        <v>0.55555555555555558</v>
      </c>
      <c r="F273" s="17">
        <f>ROUND((Tabla_producción_serigrafia[[#This Row],[FIN]]-Tabla_producción_serigrafia[[#This Row],[INICIO]]+(Tabla_producción_serigrafia[[#This Row],[FIN]]&lt;Tabla_producción_serigrafia[[#This Row],[INICIO]]))*24,2)</f>
        <v>4.83</v>
      </c>
      <c r="G273" s="18" t="s">
        <v>56</v>
      </c>
      <c r="H273" s="19">
        <v>52687</v>
      </c>
      <c r="I273" s="7" t="str">
        <f>IFERROR(INDEX(Tabla_control_serigrafia[PRODUCTO],MATCH(Tabla_producción_serigrafia[[#This Row],[LOTE]],Tabla_control_serigrafia[LOTE],0)),"-")</f>
        <v>METRONIDAZOL 250 MG X 100 ML SUSP.</v>
      </c>
      <c r="J273" s="20" t="str">
        <f>IFERROR(INDEX(Tabla_control_serigrafia[FORMATO DE FRASCO],MATCH(Tabla_producción_serigrafia[[#This Row],[LOTE]],Tabla_control_serigrafia[LOTE],0)),"-")</f>
        <v>120 ML</v>
      </c>
      <c r="K273" s="20" t="str">
        <f>IFERROR(INDEX(Tabla_control_serigrafia[TIPO DE FRASCO],MATCH(Tabla_producción_serigrafia[[#This Row],[LOTE]],Tabla_control_serigrafia[LOTE],0)),"-")</f>
        <v>FRASCO BLANCO</v>
      </c>
      <c r="L27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73" s="21">
        <f>IFERROR(INDEX(Tabla_control_serigrafia[CANTIDAD PEDIDA],MATCH(Tabla_producción_serigrafia[[#This Row],[LOTE]],Tabla_control_serigrafia[LOTE],0)),"-")</f>
        <v>9804</v>
      </c>
      <c r="N273" s="22">
        <v>9904</v>
      </c>
      <c r="O273" s="19">
        <v>92</v>
      </c>
      <c r="P273" s="23" t="s">
        <v>62</v>
      </c>
      <c r="Q27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9904</v>
      </c>
      <c r="R273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-64</v>
      </c>
      <c r="S273" s="25"/>
      <c r="T273" s="20" t="str">
        <f>UPPER(LEFT(TEXT(Tabla_producción_serigrafia[[#This Row],[FECHA]],"mmm"),3))</f>
        <v>FEB</v>
      </c>
      <c r="U273" s="20">
        <f>IFERROR(Tabla_producción_serigrafia[[#This Row],[CANTIDAD PRODUCIDA]]+Tabla_producción_serigrafia[[#This Row],[CANTIDAD RECHAZADA]],0)</f>
        <v>9996</v>
      </c>
    </row>
    <row r="274" spans="1:21" x14ac:dyDescent="0.25">
      <c r="A274" s="10">
        <v>46079</v>
      </c>
      <c r="B274" s="10" t="s">
        <v>58</v>
      </c>
      <c r="C274" s="1" t="s">
        <v>68</v>
      </c>
      <c r="D274" s="15">
        <v>0.55555555555555558</v>
      </c>
      <c r="E274" s="16">
        <v>0.57291666666666663</v>
      </c>
      <c r="F274" s="17">
        <f>ROUND((Tabla_producción_serigrafia[[#This Row],[FIN]]-Tabla_producción_serigrafia[[#This Row],[INICIO]]+(Tabla_producción_serigrafia[[#This Row],[FIN]]&lt;Tabla_producción_serigrafia[[#This Row],[INICIO]]))*24,2)</f>
        <v>0.42</v>
      </c>
      <c r="G274" s="18" t="s">
        <v>57</v>
      </c>
      <c r="H274" s="19">
        <v>52688</v>
      </c>
      <c r="I274" s="7" t="str">
        <f>IFERROR(INDEX(Tabla_control_serigrafia[PRODUCTO],MATCH(Tabla_producción_serigrafia[[#This Row],[LOTE]],Tabla_control_serigrafia[LOTE],0)),"-")</f>
        <v>IBUPROFENO 200 MG X 100 ML SUSP.</v>
      </c>
      <c r="J274" s="20" t="str">
        <f>IFERROR(INDEX(Tabla_control_serigrafia[FORMATO DE FRASCO],MATCH(Tabla_producción_serigrafia[[#This Row],[LOTE]],Tabla_control_serigrafia[LOTE],0)),"-")</f>
        <v>120 ML</v>
      </c>
      <c r="K274" s="20" t="str">
        <f>IFERROR(INDEX(Tabla_control_serigrafia[TIPO DE FRASCO],MATCH(Tabla_producción_serigrafia[[#This Row],[LOTE]],Tabla_control_serigrafia[LOTE],0)),"-")</f>
        <v>FRASCO BLANCO</v>
      </c>
      <c r="L274" t="str">
        <f>IF(Tabla_producción_serigrafia[[#This Row],[ACCIÓN]]="PRODUCCIÓN",Tabla_producción_serigrafia[[#This Row],[FORMATO DE FRASCO]]&amp;" "&amp;Tabla_producción_serigrafia[[#This Row],[TIPO DE FRASCO]],"-")</f>
        <v>-</v>
      </c>
      <c r="M274" s="21">
        <f>IFERROR(INDEX(Tabla_control_serigrafia[CANTIDAD PEDIDA],MATCH(Tabla_producción_serigrafia[[#This Row],[LOTE]],Tabla_control_serigrafia[LOTE],0)),"-")</f>
        <v>9804</v>
      </c>
      <c r="N274" s="22">
        <v>0</v>
      </c>
      <c r="O274" s="19">
        <v>0</v>
      </c>
      <c r="P274" s="23"/>
      <c r="Q27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7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74" s="25" t="s">
        <v>63</v>
      </c>
      <c r="T274" s="20" t="str">
        <f>UPPER(LEFT(TEXT(Tabla_producción_serigrafia[[#This Row],[FECHA]],"mmm"),3))</f>
        <v>FEB</v>
      </c>
      <c r="U274" s="20">
        <f>IFERROR(Tabla_producción_serigrafia[[#This Row],[CANTIDAD PRODUCIDA]]+Tabla_producción_serigrafia[[#This Row],[CANTIDAD RECHAZADA]],0)</f>
        <v>0</v>
      </c>
    </row>
    <row r="275" spans="1:21" x14ac:dyDescent="0.25">
      <c r="A275" s="10">
        <v>46079</v>
      </c>
      <c r="B275" s="10" t="s">
        <v>58</v>
      </c>
      <c r="C275" s="1" t="s">
        <v>68</v>
      </c>
      <c r="D275" s="15">
        <v>0.57291666666666663</v>
      </c>
      <c r="E275" s="16">
        <v>0.72916666666666663</v>
      </c>
      <c r="F275" s="17">
        <f>ROUND((Tabla_producción_serigrafia[[#This Row],[FIN]]-Tabla_producción_serigrafia[[#This Row],[INICIO]]+(Tabla_producción_serigrafia[[#This Row],[FIN]]&lt;Tabla_producción_serigrafia[[#This Row],[INICIO]]))*24,2)</f>
        <v>3.75</v>
      </c>
      <c r="G275" s="18" t="s">
        <v>56</v>
      </c>
      <c r="H275" s="19">
        <v>52688</v>
      </c>
      <c r="I275" s="7" t="str">
        <f>IFERROR(INDEX(Tabla_control_serigrafia[PRODUCTO],MATCH(Tabla_producción_serigrafia[[#This Row],[LOTE]],Tabla_control_serigrafia[LOTE],0)),"-")</f>
        <v>IBUPROFENO 200 MG X 100 ML SUSP.</v>
      </c>
      <c r="J275" s="20" t="str">
        <f>IFERROR(INDEX(Tabla_control_serigrafia[FORMATO DE FRASCO],MATCH(Tabla_producción_serigrafia[[#This Row],[LOTE]],Tabla_control_serigrafia[LOTE],0)),"-")</f>
        <v>120 ML</v>
      </c>
      <c r="K275" s="20" t="str">
        <f>IFERROR(INDEX(Tabla_control_serigrafia[TIPO DE FRASCO],MATCH(Tabla_producción_serigrafia[[#This Row],[LOTE]],Tabla_control_serigrafia[LOTE],0)),"-")</f>
        <v>FRASCO BLANCO</v>
      </c>
      <c r="L275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75" s="21">
        <f>IFERROR(INDEX(Tabla_control_serigrafia[CANTIDAD PEDIDA],MATCH(Tabla_producción_serigrafia[[#This Row],[LOTE]],Tabla_control_serigrafia[LOTE],0)),"-")</f>
        <v>9804</v>
      </c>
      <c r="N275" s="22">
        <v>9904</v>
      </c>
      <c r="O275" s="19">
        <v>80</v>
      </c>
      <c r="P275" s="23" t="s">
        <v>62</v>
      </c>
      <c r="Q27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9904</v>
      </c>
      <c r="R275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-64</v>
      </c>
      <c r="S275" s="25"/>
      <c r="T275" s="20" t="str">
        <f>UPPER(LEFT(TEXT(Tabla_producción_serigrafia[[#This Row],[FECHA]],"mmm"),3))</f>
        <v>FEB</v>
      </c>
      <c r="U275" s="20">
        <f>IFERROR(Tabla_producción_serigrafia[[#This Row],[CANTIDAD PRODUCIDA]]+Tabla_producción_serigrafia[[#This Row],[CANTIDAD RECHAZADA]],0)</f>
        <v>9984</v>
      </c>
    </row>
    <row r="276" spans="1:21" x14ac:dyDescent="0.25">
      <c r="A276" s="10">
        <v>46169</v>
      </c>
      <c r="B276" s="10" t="s">
        <v>58</v>
      </c>
      <c r="C276" s="1" t="s">
        <v>68</v>
      </c>
      <c r="D276" s="15">
        <v>0.33333333333333331</v>
      </c>
      <c r="E276" s="16">
        <v>0.34722222222222227</v>
      </c>
      <c r="F276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76" s="18" t="s">
        <v>57</v>
      </c>
      <c r="H276" s="19">
        <v>52689</v>
      </c>
      <c r="I276" s="7" t="str">
        <f>IFERROR(INDEX(Tabla_control_serigrafia[PRODUCTO],MATCH(Tabla_producción_serigrafia[[#This Row],[LOTE]],Tabla_control_serigrafia[LOTE],0)),"-")</f>
        <v>IBUPROFENO 200 MG X 100 ML SUSP.</v>
      </c>
      <c r="J276" s="20" t="str">
        <f>IFERROR(INDEX(Tabla_control_serigrafia[FORMATO DE FRASCO],MATCH(Tabla_producción_serigrafia[[#This Row],[LOTE]],Tabla_control_serigrafia[LOTE],0)),"-")</f>
        <v>120 ML</v>
      </c>
      <c r="K276" s="20" t="str">
        <f>IFERROR(INDEX(Tabla_control_serigrafia[TIPO DE FRASCO],MATCH(Tabla_producción_serigrafia[[#This Row],[LOTE]],Tabla_control_serigrafia[LOTE],0)),"-")</f>
        <v>FRASCO BLANCO</v>
      </c>
      <c r="L276" t="str">
        <f>IF(Tabla_producción_serigrafia[[#This Row],[ACCIÓN]]="PRODUCCIÓN",Tabla_producción_serigrafia[[#This Row],[FORMATO DE FRASCO]]&amp;" "&amp;Tabla_producción_serigrafia[[#This Row],[TIPO DE FRASCO]],"-")</f>
        <v>-</v>
      </c>
      <c r="M276" s="21">
        <f>IFERROR(INDEX(Tabla_control_serigrafia[CANTIDAD PEDIDA],MATCH(Tabla_producción_serigrafia[[#This Row],[LOTE]],Tabla_control_serigrafia[LOTE],0)),"-")</f>
        <v>9804</v>
      </c>
      <c r="N276" s="22">
        <v>0</v>
      </c>
      <c r="O276" s="19">
        <v>0</v>
      </c>
      <c r="P276" s="23"/>
      <c r="Q27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7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76" s="25" t="s">
        <v>63</v>
      </c>
      <c r="T276" s="20" t="str">
        <f>UPPER(LEFT(TEXT(Tabla_producción_serigrafia[[#This Row],[FECHA]],"mmm"),3))</f>
        <v>MAY</v>
      </c>
      <c r="U276" s="20">
        <f>IFERROR(Tabla_producción_serigrafia[[#This Row],[CANTIDAD PRODUCIDA]]+Tabla_producción_serigrafia[[#This Row],[CANTIDAD RECHAZADA]],0)</f>
        <v>0</v>
      </c>
    </row>
    <row r="277" spans="1:21" x14ac:dyDescent="0.25">
      <c r="A277" s="10">
        <v>46169</v>
      </c>
      <c r="B277" s="10" t="s">
        <v>58</v>
      </c>
      <c r="C277" s="1" t="s">
        <v>68</v>
      </c>
      <c r="D277" s="15">
        <v>0.34722222222222227</v>
      </c>
      <c r="E277" s="16">
        <v>0.54166666666666663</v>
      </c>
      <c r="F277" s="17">
        <f>ROUND((Tabla_producción_serigrafia[[#This Row],[FIN]]-Tabla_producción_serigrafia[[#This Row],[INICIO]]+(Tabla_producción_serigrafia[[#This Row],[FIN]]&lt;Tabla_producción_serigrafia[[#This Row],[INICIO]]))*24,2)</f>
        <v>4.67</v>
      </c>
      <c r="G277" s="18" t="s">
        <v>56</v>
      </c>
      <c r="H277" s="19">
        <v>52689</v>
      </c>
      <c r="I277" s="7" t="str">
        <f>IFERROR(INDEX(Tabla_control_serigrafia[PRODUCTO],MATCH(Tabla_producción_serigrafia[[#This Row],[LOTE]],Tabla_control_serigrafia[LOTE],0)),"-")</f>
        <v>IBUPROFENO 200 MG X 100 ML SUSP.</v>
      </c>
      <c r="J277" s="20" t="str">
        <f>IFERROR(INDEX(Tabla_control_serigrafia[FORMATO DE FRASCO],MATCH(Tabla_producción_serigrafia[[#This Row],[LOTE]],Tabla_control_serigrafia[LOTE],0)),"-")</f>
        <v>120 ML</v>
      </c>
      <c r="K277" s="20" t="str">
        <f>IFERROR(INDEX(Tabla_control_serigrafia[TIPO DE FRASCO],MATCH(Tabla_producción_serigrafia[[#This Row],[LOTE]],Tabla_control_serigrafia[LOTE],0)),"-")</f>
        <v>FRASCO BLANCO</v>
      </c>
      <c r="L277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77" s="21">
        <f>IFERROR(INDEX(Tabla_control_serigrafia[CANTIDAD PEDIDA],MATCH(Tabla_producción_serigrafia[[#This Row],[LOTE]],Tabla_control_serigrafia[LOTE],0)),"-")</f>
        <v>9804</v>
      </c>
      <c r="N277" s="22">
        <v>9904</v>
      </c>
      <c r="O277" s="19">
        <v>82</v>
      </c>
      <c r="P277" s="23" t="s">
        <v>62</v>
      </c>
      <c r="Q27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9904</v>
      </c>
      <c r="R277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26</v>
      </c>
      <c r="S277" s="25"/>
      <c r="T277" s="20" t="str">
        <f>UPPER(LEFT(TEXT(Tabla_producción_serigrafia[[#This Row],[FECHA]],"mmm"),3))</f>
        <v>MAY</v>
      </c>
      <c r="U277" s="20">
        <f>IFERROR(Tabla_producción_serigrafia[[#This Row],[CANTIDAD PRODUCIDA]]+Tabla_producción_serigrafia[[#This Row],[CANTIDAD RECHAZADA]],0)</f>
        <v>9986</v>
      </c>
    </row>
    <row r="278" spans="1:21" x14ac:dyDescent="0.25">
      <c r="A278" s="10">
        <v>46169</v>
      </c>
      <c r="B278" s="10" t="s">
        <v>58</v>
      </c>
      <c r="C278" s="1" t="s">
        <v>68</v>
      </c>
      <c r="D278" s="15">
        <v>0.54166666666666663</v>
      </c>
      <c r="E278" s="16">
        <v>0.55555555555555558</v>
      </c>
      <c r="F278" s="17">
        <f>ROUND((Tabla_producción_serigrafia[[#This Row],[FIN]]-Tabla_producción_serigrafia[[#This Row],[INICIO]]+(Tabla_producción_serigrafia[[#This Row],[FIN]]&lt;Tabla_producción_serigrafia[[#This Row],[INICIO]]))*24,2)</f>
        <v>0.33</v>
      </c>
      <c r="G278" s="18" t="s">
        <v>57</v>
      </c>
      <c r="H278" s="19">
        <v>52677</v>
      </c>
      <c r="I278" s="7" t="str">
        <f>IFERROR(INDEX(Tabla_control_serigrafia[PRODUCTO],MATCH(Tabla_producción_serigrafia[[#This Row],[LOTE]],Tabla_control_serigrafia[LOTE],0)),"-")</f>
        <v>CODEINA 10 MG X 100 ML JARABE</v>
      </c>
      <c r="J278" s="20" t="str">
        <f>IFERROR(INDEX(Tabla_control_serigrafia[FORMATO DE FRASCO],MATCH(Tabla_producción_serigrafia[[#This Row],[LOTE]],Tabla_control_serigrafia[LOTE],0)),"-")</f>
        <v>120 ML</v>
      </c>
      <c r="K278" s="20" t="str">
        <f>IFERROR(INDEX(Tabla_control_serigrafia[TIPO DE FRASCO],MATCH(Tabla_producción_serigrafia[[#This Row],[LOTE]],Tabla_control_serigrafia[LOTE],0)),"-")</f>
        <v>FRASCO BLANCO</v>
      </c>
      <c r="L278" t="str">
        <f>IF(Tabla_producción_serigrafia[[#This Row],[ACCIÓN]]="PRODUCCIÓN",Tabla_producción_serigrafia[[#This Row],[FORMATO DE FRASCO]]&amp;" "&amp;Tabla_producción_serigrafia[[#This Row],[TIPO DE FRASCO]],"-")</f>
        <v>-</v>
      </c>
      <c r="M278" s="21">
        <f>IFERROR(INDEX(Tabla_control_serigrafia[CANTIDAD PEDIDA],MATCH(Tabla_producción_serigrafia[[#This Row],[LOTE]],Tabla_control_serigrafia[LOTE],0)),"-")</f>
        <v>29703</v>
      </c>
      <c r="N278" s="22">
        <v>0</v>
      </c>
      <c r="O278" s="19">
        <v>0</v>
      </c>
      <c r="P278" s="23"/>
      <c r="Q27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78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78" s="25" t="s">
        <v>63</v>
      </c>
      <c r="T278" s="20" t="str">
        <f>UPPER(LEFT(TEXT(Tabla_producción_serigrafia[[#This Row],[FECHA]],"mmm"),3))</f>
        <v>MAY</v>
      </c>
      <c r="U278" s="20">
        <f>IFERROR(Tabla_producción_serigrafia[[#This Row],[CANTIDAD PRODUCIDA]]+Tabla_producción_serigrafia[[#This Row],[CANTIDAD RECHAZADA]],0)</f>
        <v>0</v>
      </c>
    </row>
    <row r="279" spans="1:21" x14ac:dyDescent="0.25">
      <c r="A279" s="10">
        <v>46169</v>
      </c>
      <c r="B279" s="10" t="s">
        <v>58</v>
      </c>
      <c r="C279" s="1" t="s">
        <v>68</v>
      </c>
      <c r="D279" s="15">
        <v>0.55555555555555558</v>
      </c>
      <c r="E279" s="16">
        <v>0.72222222222222221</v>
      </c>
      <c r="F279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279" s="18" t="s">
        <v>56</v>
      </c>
      <c r="H279" s="19">
        <v>52677</v>
      </c>
      <c r="I279" s="7" t="str">
        <f>IFERROR(INDEX(Tabla_control_serigrafia[PRODUCTO],MATCH(Tabla_producción_serigrafia[[#This Row],[LOTE]],Tabla_control_serigrafia[LOTE],0)),"-")</f>
        <v>CODEINA 10 MG X 100 ML JARABE</v>
      </c>
      <c r="J279" s="20" t="str">
        <f>IFERROR(INDEX(Tabla_control_serigrafia[FORMATO DE FRASCO],MATCH(Tabla_producción_serigrafia[[#This Row],[LOTE]],Tabla_control_serigrafia[LOTE],0)),"-")</f>
        <v>120 ML</v>
      </c>
      <c r="K279" s="20" t="str">
        <f>IFERROR(INDEX(Tabla_control_serigrafia[TIPO DE FRASCO],MATCH(Tabla_producción_serigrafia[[#This Row],[LOTE]],Tabla_control_serigrafia[LOTE],0)),"-")</f>
        <v>FRASCO BLANCO</v>
      </c>
      <c r="L279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79" s="21">
        <f>IFERROR(INDEX(Tabla_control_serigrafia[CANTIDAD PEDIDA],MATCH(Tabla_producción_serigrafia[[#This Row],[LOTE]],Tabla_control_serigrafia[LOTE],0)),"-")</f>
        <v>29703</v>
      </c>
      <c r="N279" s="22">
        <v>10000</v>
      </c>
      <c r="O279" s="19">
        <v>0</v>
      </c>
      <c r="P279" s="23" t="s">
        <v>178</v>
      </c>
      <c r="Q27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10000</v>
      </c>
      <c r="R27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79" s="25"/>
      <c r="T279" s="20" t="str">
        <f>UPPER(LEFT(TEXT(Tabla_producción_serigrafia[[#This Row],[FECHA]],"mmm"),3))</f>
        <v>MAY</v>
      </c>
      <c r="U279" s="20">
        <f>IFERROR(Tabla_producción_serigrafia[[#This Row],[CANTIDAD PRODUCIDA]]+Tabla_producción_serigrafia[[#This Row],[CANTIDAD RECHAZADA]],0)</f>
        <v>10000</v>
      </c>
    </row>
    <row r="280" spans="1:21" x14ac:dyDescent="0.25">
      <c r="A280" s="10">
        <v>46170</v>
      </c>
      <c r="B280" s="10" t="s">
        <v>58</v>
      </c>
      <c r="C280" s="1" t="s">
        <v>68</v>
      </c>
      <c r="D280" s="15">
        <v>0.33333333333333331</v>
      </c>
      <c r="E280" s="16">
        <v>0.35416666666666669</v>
      </c>
      <c r="F280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80" s="18" t="s">
        <v>57</v>
      </c>
      <c r="H280" s="19">
        <v>52677</v>
      </c>
      <c r="I280" s="7" t="str">
        <f>IFERROR(INDEX(Tabla_control_serigrafia[PRODUCTO],MATCH(Tabla_producción_serigrafia[[#This Row],[LOTE]],Tabla_control_serigrafia[LOTE],0)),"-")</f>
        <v>CODEINA 10 MG X 100 ML JARABE</v>
      </c>
      <c r="J280" s="20" t="str">
        <f>IFERROR(INDEX(Tabla_control_serigrafia[FORMATO DE FRASCO],MATCH(Tabla_producción_serigrafia[[#This Row],[LOTE]],Tabla_control_serigrafia[LOTE],0)),"-")</f>
        <v>120 ML</v>
      </c>
      <c r="K280" s="20" t="str">
        <f>IFERROR(INDEX(Tabla_control_serigrafia[TIPO DE FRASCO],MATCH(Tabla_producción_serigrafia[[#This Row],[LOTE]],Tabla_control_serigrafia[LOTE],0)),"-")</f>
        <v>FRASCO BLANCO</v>
      </c>
      <c r="L280" t="str">
        <f>IF(Tabla_producción_serigrafia[[#This Row],[ACCIÓN]]="PRODUCCIÓN",Tabla_producción_serigrafia[[#This Row],[FORMATO DE FRASCO]]&amp;" "&amp;Tabla_producción_serigrafia[[#This Row],[TIPO DE FRASCO]],"-")</f>
        <v>-</v>
      </c>
      <c r="M280" s="21">
        <f>IFERROR(INDEX(Tabla_control_serigrafia[CANTIDAD PEDIDA],MATCH(Tabla_producción_serigrafia[[#This Row],[LOTE]],Tabla_control_serigrafia[LOTE],0)),"-")</f>
        <v>29703</v>
      </c>
      <c r="N280" s="22">
        <v>0</v>
      </c>
      <c r="O280" s="19">
        <v>0</v>
      </c>
      <c r="P280" s="23"/>
      <c r="Q28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80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80" s="25" t="s">
        <v>63</v>
      </c>
      <c r="T280" s="20" t="str">
        <f>UPPER(LEFT(TEXT(Tabla_producción_serigrafia[[#This Row],[FECHA]],"mmm"),3))</f>
        <v>MAY</v>
      </c>
      <c r="U280" s="20">
        <f>IFERROR(Tabla_producción_serigrafia[[#This Row],[CANTIDAD PRODUCIDA]]+Tabla_producción_serigrafia[[#This Row],[CANTIDAD RECHAZADA]],0)</f>
        <v>0</v>
      </c>
    </row>
    <row r="281" spans="1:21" x14ac:dyDescent="0.25">
      <c r="A281" s="10">
        <v>46170</v>
      </c>
      <c r="B281" s="10" t="s">
        <v>58</v>
      </c>
      <c r="C281" s="1" t="s">
        <v>68</v>
      </c>
      <c r="D281" s="15">
        <v>0.35416666666666669</v>
      </c>
      <c r="E281" s="16">
        <v>0.70833333333333337</v>
      </c>
      <c r="F281" s="17">
        <f>ROUND((Tabla_producción_serigrafia[[#This Row],[FIN]]-Tabla_producción_serigrafia[[#This Row],[INICIO]]+(Tabla_producción_serigrafia[[#This Row],[FIN]]&lt;Tabla_producción_serigrafia[[#This Row],[INICIO]]))*24,2)</f>
        <v>8.5</v>
      </c>
      <c r="G281" s="18" t="s">
        <v>56</v>
      </c>
      <c r="H281" s="19">
        <v>52677</v>
      </c>
      <c r="I281" s="7" t="str">
        <f>IFERROR(INDEX(Tabla_control_serigrafia[PRODUCTO],MATCH(Tabla_producción_serigrafia[[#This Row],[LOTE]],Tabla_control_serigrafia[LOTE],0)),"-")</f>
        <v>CODEINA 10 MG X 100 ML JARABE</v>
      </c>
      <c r="J281" s="20" t="str">
        <f>IFERROR(INDEX(Tabla_control_serigrafia[FORMATO DE FRASCO],MATCH(Tabla_producción_serigrafia[[#This Row],[LOTE]],Tabla_control_serigrafia[LOTE],0)),"-")</f>
        <v>120 ML</v>
      </c>
      <c r="K281" s="20" t="str">
        <f>IFERROR(INDEX(Tabla_control_serigrafia[TIPO DE FRASCO],MATCH(Tabla_producción_serigrafia[[#This Row],[LOTE]],Tabla_control_serigrafia[LOTE],0)),"-")</f>
        <v>FRASCO BLANCO</v>
      </c>
      <c r="L281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81" s="21">
        <f>IFERROR(INDEX(Tabla_control_serigrafia[CANTIDAD PEDIDA],MATCH(Tabla_producción_serigrafia[[#This Row],[LOTE]],Tabla_control_serigrafia[LOTE],0)),"-")</f>
        <v>29703</v>
      </c>
      <c r="N281" s="22">
        <v>19850</v>
      </c>
      <c r="O281" s="19">
        <v>148</v>
      </c>
      <c r="P281" s="23" t="s">
        <v>62</v>
      </c>
      <c r="Q28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19850</v>
      </c>
      <c r="R281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27</v>
      </c>
      <c r="S281" s="25"/>
      <c r="T281" s="20" t="str">
        <f>UPPER(LEFT(TEXT(Tabla_producción_serigrafia[[#This Row],[FECHA]],"mmm"),3))</f>
        <v>MAY</v>
      </c>
      <c r="U281" s="20">
        <f>IFERROR(Tabla_producción_serigrafia[[#This Row],[CANTIDAD PRODUCIDA]]+Tabla_producción_serigrafia[[#This Row],[CANTIDAD RECHAZADA]],0)</f>
        <v>19998</v>
      </c>
    </row>
    <row r="282" spans="1:21" x14ac:dyDescent="0.25">
      <c r="A282" s="10">
        <v>46171</v>
      </c>
      <c r="B282" s="10" t="s">
        <v>58</v>
      </c>
      <c r="C282" s="1" t="s">
        <v>68</v>
      </c>
      <c r="D282" s="15">
        <v>0.33333333333333331</v>
      </c>
      <c r="E282" s="16">
        <v>0.35416666666666669</v>
      </c>
      <c r="F282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82" s="18" t="s">
        <v>57</v>
      </c>
      <c r="H282" s="19">
        <v>52680</v>
      </c>
      <c r="I282" s="7" t="str">
        <f>IFERROR(INDEX(Tabla_control_serigrafia[PRODUCTO],MATCH(Tabla_producción_serigrafia[[#This Row],[LOTE]],Tabla_control_serigrafia[LOTE],0)),"-")</f>
        <v>AMBROXOL FORTE 30 MG X 100 ML JARABE</v>
      </c>
      <c r="J282" s="20" t="str">
        <f>IFERROR(INDEX(Tabla_control_serigrafia[FORMATO DE FRASCO],MATCH(Tabla_producción_serigrafia[[#This Row],[LOTE]],Tabla_control_serigrafia[LOTE],0)),"-")</f>
        <v>120 ML</v>
      </c>
      <c r="K282" s="20" t="str">
        <f>IFERROR(INDEX(Tabla_control_serigrafia[TIPO DE FRASCO],MATCH(Tabla_producción_serigrafia[[#This Row],[LOTE]],Tabla_control_serigrafia[LOTE],0)),"-")</f>
        <v>FRASCO BLANCO</v>
      </c>
      <c r="L282" t="str">
        <f>IF(Tabla_producción_serigrafia[[#This Row],[ACCIÓN]]="PRODUCCIÓN",Tabla_producción_serigrafia[[#This Row],[FORMATO DE FRASCO]]&amp;" "&amp;Tabla_producción_serigrafia[[#This Row],[TIPO DE FRASCO]],"-")</f>
        <v>-</v>
      </c>
      <c r="M282" s="21">
        <f>IFERROR(INDEX(Tabla_control_serigrafia[CANTIDAD PEDIDA],MATCH(Tabla_producción_serigrafia[[#This Row],[LOTE]],Tabla_control_serigrafia[LOTE],0)),"-")</f>
        <v>19802</v>
      </c>
      <c r="N282" s="22">
        <v>0</v>
      </c>
      <c r="O282" s="19">
        <v>0</v>
      </c>
      <c r="P282" s="23"/>
      <c r="Q28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8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82" s="25" t="s">
        <v>63</v>
      </c>
      <c r="T282" s="20" t="str">
        <f>UPPER(LEFT(TEXT(Tabla_producción_serigrafia[[#This Row],[FECHA]],"mmm"),3))</f>
        <v>MAY</v>
      </c>
      <c r="U282" s="20">
        <f>IFERROR(Tabla_producción_serigrafia[[#This Row],[CANTIDAD PRODUCIDA]]+Tabla_producción_serigrafia[[#This Row],[CANTIDAD RECHAZADA]],0)</f>
        <v>0</v>
      </c>
    </row>
    <row r="283" spans="1:21" x14ac:dyDescent="0.25">
      <c r="A283" s="10">
        <v>46171</v>
      </c>
      <c r="B283" s="10" t="s">
        <v>58</v>
      </c>
      <c r="C283" s="1" t="s">
        <v>68</v>
      </c>
      <c r="D283" s="15">
        <v>0.35416666666666669</v>
      </c>
      <c r="E283" s="16">
        <v>0.70833333333333337</v>
      </c>
      <c r="F283" s="17">
        <f>ROUND((Tabla_producción_serigrafia[[#This Row],[FIN]]-Tabla_producción_serigrafia[[#This Row],[INICIO]]+(Tabla_producción_serigrafia[[#This Row],[FIN]]&lt;Tabla_producción_serigrafia[[#This Row],[INICIO]]))*24,2)</f>
        <v>8.5</v>
      </c>
      <c r="G283" s="18" t="s">
        <v>56</v>
      </c>
      <c r="H283" s="19">
        <v>52680</v>
      </c>
      <c r="I283" s="7" t="str">
        <f>IFERROR(INDEX(Tabla_control_serigrafia[PRODUCTO],MATCH(Tabla_producción_serigrafia[[#This Row],[LOTE]],Tabla_control_serigrafia[LOTE],0)),"-")</f>
        <v>AMBROXOL FORTE 30 MG X 100 ML JARABE</v>
      </c>
      <c r="J283" s="20" t="str">
        <f>IFERROR(INDEX(Tabla_control_serigrafia[FORMATO DE FRASCO],MATCH(Tabla_producción_serigrafia[[#This Row],[LOTE]],Tabla_control_serigrafia[LOTE],0)),"-")</f>
        <v>120 ML</v>
      </c>
      <c r="K283" s="20" t="str">
        <f>IFERROR(INDEX(Tabla_control_serigrafia[TIPO DE FRASCO],MATCH(Tabla_producción_serigrafia[[#This Row],[LOTE]],Tabla_control_serigrafia[LOTE],0)),"-")</f>
        <v>FRASCO BLANCO</v>
      </c>
      <c r="L283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83" s="21">
        <f>IFERROR(INDEX(Tabla_control_serigrafia[CANTIDAD PEDIDA],MATCH(Tabla_producción_serigrafia[[#This Row],[LOTE]],Tabla_control_serigrafia[LOTE],0)),"-")</f>
        <v>19802</v>
      </c>
      <c r="N283" s="22">
        <v>19920</v>
      </c>
      <c r="O283" s="19">
        <v>165</v>
      </c>
      <c r="P283" s="23" t="s">
        <v>62</v>
      </c>
      <c r="Q28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19920</v>
      </c>
      <c r="R283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28</v>
      </c>
      <c r="S283" s="25"/>
      <c r="T283" s="20" t="str">
        <f>UPPER(LEFT(TEXT(Tabla_producción_serigrafia[[#This Row],[FECHA]],"mmm"),3))</f>
        <v>MAY</v>
      </c>
      <c r="U283" s="20">
        <f>IFERROR(Tabla_producción_serigrafia[[#This Row],[CANTIDAD PRODUCIDA]]+Tabla_producción_serigrafia[[#This Row],[CANTIDAD RECHAZADA]],0)</f>
        <v>20085</v>
      </c>
    </row>
    <row r="284" spans="1:21" x14ac:dyDescent="0.25">
      <c r="A284" s="10">
        <v>46174</v>
      </c>
      <c r="B284" s="10" t="s">
        <v>58</v>
      </c>
      <c r="C284" s="1" t="s">
        <v>68</v>
      </c>
      <c r="D284" s="15">
        <v>0.33333333333333331</v>
      </c>
      <c r="E284" s="16">
        <v>0.35416666666666669</v>
      </c>
      <c r="F284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84" s="18" t="s">
        <v>57</v>
      </c>
      <c r="H284" s="19">
        <v>52678</v>
      </c>
      <c r="I284" s="7" t="str">
        <f>IFERROR(INDEX(Tabla_control_serigrafia[PRODUCTO],MATCH(Tabla_producción_serigrafia[[#This Row],[LOTE]],Tabla_control_serigrafia[LOTE],0)),"-")</f>
        <v>AMBROXOL 15 MG X 100 ML JARABE</v>
      </c>
      <c r="J284" s="20" t="str">
        <f>IFERROR(INDEX(Tabla_control_serigrafia[FORMATO DE FRASCO],MATCH(Tabla_producción_serigrafia[[#This Row],[LOTE]],Tabla_control_serigrafia[LOTE],0)),"-")</f>
        <v>120 ML</v>
      </c>
      <c r="K284" s="20" t="str">
        <f>IFERROR(INDEX(Tabla_control_serigrafia[TIPO DE FRASCO],MATCH(Tabla_producción_serigrafia[[#This Row],[LOTE]],Tabla_control_serigrafia[LOTE],0)),"-")</f>
        <v>FRASCO BLANCO</v>
      </c>
      <c r="L284" t="str">
        <f>IF(Tabla_producción_serigrafia[[#This Row],[ACCIÓN]]="PRODUCCIÓN",Tabla_producción_serigrafia[[#This Row],[FORMATO DE FRASCO]]&amp;" "&amp;Tabla_producción_serigrafia[[#This Row],[TIPO DE FRASCO]],"-")</f>
        <v>-</v>
      </c>
      <c r="M284" s="21">
        <f>IFERROR(INDEX(Tabla_control_serigrafia[CANTIDAD PEDIDA],MATCH(Tabla_producción_serigrafia[[#This Row],[LOTE]],Tabla_control_serigrafia[LOTE],0)),"-")</f>
        <v>19802</v>
      </c>
      <c r="N284" s="22">
        <v>0</v>
      </c>
      <c r="O284" s="19">
        <v>0</v>
      </c>
      <c r="P284" s="23"/>
      <c r="Q28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8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84" s="25" t="s">
        <v>63</v>
      </c>
      <c r="T284" s="20" t="str">
        <f>UPPER(LEFT(TEXT(Tabla_producción_serigrafia[[#This Row],[FECHA]],"mmm"),3))</f>
        <v>JUN</v>
      </c>
      <c r="U284" s="20">
        <f>IFERROR(Tabla_producción_serigrafia[[#This Row],[CANTIDAD PRODUCIDA]]+Tabla_producción_serigrafia[[#This Row],[CANTIDAD RECHAZADA]],0)</f>
        <v>0</v>
      </c>
    </row>
    <row r="285" spans="1:21" x14ac:dyDescent="0.25">
      <c r="A285" s="10">
        <v>46174</v>
      </c>
      <c r="B285" s="10" t="s">
        <v>58</v>
      </c>
      <c r="C285" s="1" t="s">
        <v>68</v>
      </c>
      <c r="D285" s="15">
        <v>0.35416666666666669</v>
      </c>
      <c r="E285" s="16">
        <v>0.70833333333333337</v>
      </c>
      <c r="F285" s="17">
        <f>ROUND((Tabla_producción_serigrafia[[#This Row],[FIN]]-Tabla_producción_serigrafia[[#This Row],[INICIO]]+(Tabla_producción_serigrafia[[#This Row],[FIN]]&lt;Tabla_producción_serigrafia[[#This Row],[INICIO]]))*24,2)</f>
        <v>8.5</v>
      </c>
      <c r="G285" s="18" t="s">
        <v>56</v>
      </c>
      <c r="H285" s="19">
        <v>52678</v>
      </c>
      <c r="I285" s="7" t="str">
        <f>IFERROR(INDEX(Tabla_control_serigrafia[PRODUCTO],MATCH(Tabla_producción_serigrafia[[#This Row],[LOTE]],Tabla_control_serigrafia[LOTE],0)),"-")</f>
        <v>AMBROXOL 15 MG X 100 ML JARABE</v>
      </c>
      <c r="J285" s="20" t="str">
        <f>IFERROR(INDEX(Tabla_control_serigrafia[FORMATO DE FRASCO],MATCH(Tabla_producción_serigrafia[[#This Row],[LOTE]],Tabla_control_serigrafia[LOTE],0)),"-")</f>
        <v>120 ML</v>
      </c>
      <c r="K285" s="20" t="str">
        <f>IFERROR(INDEX(Tabla_control_serigrafia[TIPO DE FRASCO],MATCH(Tabla_producción_serigrafia[[#This Row],[LOTE]],Tabla_control_serigrafia[LOTE],0)),"-")</f>
        <v>FRASCO BLANCO</v>
      </c>
      <c r="L285" t="str">
        <f>IF(Tabla_producción_serigrafia[[#This Row],[ACCIÓN]]="PRODUCCIÓN",Tabla_producción_serigrafia[[#This Row],[FORMATO DE FRASCO]]&amp;" "&amp;Tabla_producción_serigrafia[[#This Row],[TIPO DE FRASCO]],"-")</f>
        <v>120 ML FRASCO BLANCO</v>
      </c>
      <c r="M285" s="21">
        <f>IFERROR(INDEX(Tabla_control_serigrafia[CANTIDAD PEDIDA],MATCH(Tabla_producción_serigrafia[[#This Row],[LOTE]],Tabla_control_serigrafia[LOTE],0)),"-")</f>
        <v>19802</v>
      </c>
      <c r="N285" s="22">
        <v>19920</v>
      </c>
      <c r="O285" s="19">
        <v>186</v>
      </c>
      <c r="P285" s="23" t="s">
        <v>62</v>
      </c>
      <c r="Q28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19920</v>
      </c>
      <c r="R285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31</v>
      </c>
      <c r="S285" s="25"/>
      <c r="T285" s="20" t="str">
        <f>UPPER(LEFT(TEXT(Tabla_producción_serigrafia[[#This Row],[FECHA]],"mmm"),3))</f>
        <v>JUN</v>
      </c>
      <c r="U285" s="20">
        <f>IFERROR(Tabla_producción_serigrafia[[#This Row],[CANTIDAD PRODUCIDA]]+Tabla_producción_serigrafia[[#This Row],[CANTIDAD RECHAZADA]],0)</f>
        <v>20106</v>
      </c>
    </row>
    <row r="286" spans="1:21" x14ac:dyDescent="0.25">
      <c r="A286" s="10">
        <v>46175</v>
      </c>
      <c r="B286" s="10" t="s">
        <v>58</v>
      </c>
      <c r="C286" s="1" t="s">
        <v>68</v>
      </c>
      <c r="D286" s="15">
        <v>0.33333333333333331</v>
      </c>
      <c r="E286" s="16">
        <v>0.5</v>
      </c>
      <c r="F286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286" s="18" t="s">
        <v>64</v>
      </c>
      <c r="H286" s="19" t="s">
        <v>38</v>
      </c>
      <c r="I286" s="7" t="str">
        <f>IFERROR(INDEX(Tabla_control_serigrafia[PRODUCTO],MATCH(Tabla_producción_serigrafia[[#This Row],[LOTE]],Tabla_control_serigrafia[LOTE],0)),"-")</f>
        <v>-</v>
      </c>
      <c r="J286" s="20" t="str">
        <f>IFERROR(INDEX(Tabla_control_serigrafia[FORMATO DE FRASCO],MATCH(Tabla_producción_serigrafia[[#This Row],[LOTE]],Tabla_control_serigrafia[LOTE],0)),"-")</f>
        <v>-</v>
      </c>
      <c r="K286" s="20" t="str">
        <f>IFERROR(INDEX(Tabla_control_serigrafia[TIPO DE FRASCO],MATCH(Tabla_producción_serigrafia[[#This Row],[LOTE]],Tabla_control_serigrafia[LOTE],0)),"-")</f>
        <v>-</v>
      </c>
      <c r="L286" t="str">
        <f>IF(Tabla_producción_serigrafia[[#This Row],[ACCIÓN]]="PRODUCCIÓN",Tabla_producción_serigrafia[[#This Row],[FORMATO DE FRASCO]]&amp;" "&amp;Tabla_producción_serigrafia[[#This Row],[TIPO DE FRASCO]],"-")</f>
        <v>-</v>
      </c>
      <c r="M286" s="21" t="str">
        <f>IFERROR(INDEX(Tabla_control_serigrafia[CANTIDAD PEDIDA],MATCH(Tabla_producción_serigrafia[[#This Row],[LOTE]],Tabla_control_serigrafia[LOTE],0)),"-")</f>
        <v>-</v>
      </c>
      <c r="N286" s="22">
        <v>0</v>
      </c>
      <c r="O286" s="19">
        <v>0</v>
      </c>
      <c r="P286" s="23"/>
      <c r="Q28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8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86" s="25"/>
      <c r="T286" s="20" t="str">
        <f>UPPER(LEFT(TEXT(Tabla_producción_serigrafia[[#This Row],[FECHA]],"mmm"),3))</f>
        <v>JUN</v>
      </c>
      <c r="U286" s="20">
        <f>IFERROR(Tabla_producción_serigrafia[[#This Row],[CANTIDAD PRODUCIDA]]+Tabla_producción_serigrafia[[#This Row],[CANTIDAD RECHAZADA]],0)</f>
        <v>0</v>
      </c>
    </row>
    <row r="287" spans="1:21" x14ac:dyDescent="0.25">
      <c r="A287" s="10">
        <v>46175</v>
      </c>
      <c r="B287" s="10" t="s">
        <v>58</v>
      </c>
      <c r="C287" s="1" t="s">
        <v>68</v>
      </c>
      <c r="D287" s="15">
        <v>0.5</v>
      </c>
      <c r="E287" s="15">
        <v>0.52083333333333337</v>
      </c>
      <c r="F287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87" s="18" t="s">
        <v>57</v>
      </c>
      <c r="H287" s="19">
        <v>6526</v>
      </c>
      <c r="I287" s="7" t="str">
        <f>IFERROR(INDEX(Tabla_control_serigrafia[PRODUCTO],MATCH(Tabla_producción_serigrafia[[#This Row],[LOTE]],Tabla_control_serigrafia[LOTE],0)),"-")</f>
        <v>TETRACICLINA X 100 G POLVO VETERINARIO</v>
      </c>
      <c r="J287" s="20" t="str">
        <f>IFERROR(INDEX(Tabla_control_serigrafia[FORMATO DE FRASCO],MATCH(Tabla_producción_serigrafia[[#This Row],[LOTE]],Tabla_control_serigrafia[LOTE],0)),"-")</f>
        <v>100 GR</v>
      </c>
      <c r="K287" s="20" t="str">
        <f>IFERROR(INDEX(Tabla_control_serigrafia[TIPO DE FRASCO],MATCH(Tabla_producción_serigrafia[[#This Row],[LOTE]],Tabla_control_serigrafia[LOTE],0)),"-")</f>
        <v>FRASCO BLANCO</v>
      </c>
      <c r="L287" t="str">
        <f>IF(Tabla_producción_serigrafia[[#This Row],[ACCIÓN]]="PRODUCCIÓN",Tabla_producción_serigrafia[[#This Row],[FORMATO DE FRASCO]]&amp;" "&amp;Tabla_producción_serigrafia[[#This Row],[TIPO DE FRASCO]],"-")</f>
        <v>-</v>
      </c>
      <c r="M287" s="21">
        <f>IFERROR(INDEX(Tabla_control_serigrafia[CANTIDAD PEDIDA],MATCH(Tabla_producción_serigrafia[[#This Row],[LOTE]],Tabla_control_serigrafia[LOTE],0)),"-")</f>
        <v>3000</v>
      </c>
      <c r="N287" s="22">
        <v>0</v>
      </c>
      <c r="O287" s="19">
        <v>0</v>
      </c>
      <c r="P287" s="23"/>
      <c r="Q28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8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87" s="25" t="s">
        <v>63</v>
      </c>
      <c r="T287" s="20" t="str">
        <f>UPPER(LEFT(TEXT(Tabla_producción_serigrafia[[#This Row],[FECHA]],"mmm"),3))</f>
        <v>JUN</v>
      </c>
      <c r="U287" s="20">
        <f>IFERROR(Tabla_producción_serigrafia[[#This Row],[CANTIDAD PRODUCIDA]]+Tabla_producción_serigrafia[[#This Row],[CANTIDAD RECHAZADA]],0)</f>
        <v>0</v>
      </c>
    </row>
    <row r="288" spans="1:21" x14ac:dyDescent="0.25">
      <c r="A288" s="10">
        <v>46175</v>
      </c>
      <c r="B288" s="10" t="s">
        <v>58</v>
      </c>
      <c r="C288" s="1" t="s">
        <v>68</v>
      </c>
      <c r="D288" s="15">
        <v>0.52083333333333337</v>
      </c>
      <c r="E288" s="16">
        <v>0.60416666666666663</v>
      </c>
      <c r="F288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288" s="18" t="s">
        <v>56</v>
      </c>
      <c r="H288" s="19">
        <v>6526</v>
      </c>
      <c r="I288" s="7" t="str">
        <f>IFERROR(INDEX(Tabla_control_serigrafia[PRODUCTO],MATCH(Tabla_producción_serigrafia[[#This Row],[LOTE]],Tabla_control_serigrafia[LOTE],0)),"-")</f>
        <v>TETRACICLINA X 100 G POLVO VETERINARIO</v>
      </c>
      <c r="J288" s="20" t="str">
        <f>IFERROR(INDEX(Tabla_control_serigrafia[FORMATO DE FRASCO],MATCH(Tabla_producción_serigrafia[[#This Row],[LOTE]],Tabla_control_serigrafia[LOTE],0)),"-")</f>
        <v>100 GR</v>
      </c>
      <c r="K288" s="20" t="str">
        <f>IFERROR(INDEX(Tabla_control_serigrafia[TIPO DE FRASCO],MATCH(Tabla_producción_serigrafia[[#This Row],[LOTE]],Tabla_control_serigrafia[LOTE],0)),"-")</f>
        <v>FRASCO BLANCO</v>
      </c>
      <c r="L288" t="str">
        <f>IF(Tabla_producción_serigrafia[[#This Row],[ACCIÓN]]="PRODUCCIÓN",Tabla_producción_serigrafia[[#This Row],[FORMATO DE FRASCO]]&amp;" "&amp;Tabla_producción_serigrafia[[#This Row],[TIPO DE FRASCO]],"-")</f>
        <v>100 GR FRASCO BLANCO</v>
      </c>
      <c r="M288" s="21">
        <f>IFERROR(INDEX(Tabla_control_serigrafia[CANTIDAD PEDIDA],MATCH(Tabla_producción_serigrafia[[#This Row],[LOTE]],Tabla_control_serigrafia[LOTE],0)),"-")</f>
        <v>3000</v>
      </c>
      <c r="N288" s="22">
        <v>3100</v>
      </c>
      <c r="O288" s="19">
        <v>36</v>
      </c>
      <c r="P288" s="23" t="s">
        <v>62</v>
      </c>
      <c r="Q28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3100</v>
      </c>
      <c r="R28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32</v>
      </c>
      <c r="S288" s="25"/>
      <c r="T288" s="20" t="str">
        <f>UPPER(LEFT(TEXT(Tabla_producción_serigrafia[[#This Row],[FECHA]],"mmm"),3))</f>
        <v>JUN</v>
      </c>
      <c r="U288" s="20">
        <f>IFERROR(Tabla_producción_serigrafia[[#This Row],[CANTIDAD PRODUCIDA]]+Tabla_producción_serigrafia[[#This Row],[CANTIDAD RECHAZADA]],0)</f>
        <v>3136</v>
      </c>
    </row>
    <row r="289" spans="1:21" x14ac:dyDescent="0.25">
      <c r="A289" s="10">
        <v>46175</v>
      </c>
      <c r="B289" s="10" t="s">
        <v>58</v>
      </c>
      <c r="C289" s="1" t="s">
        <v>68</v>
      </c>
      <c r="D289" s="15">
        <v>0.60416666666666663</v>
      </c>
      <c r="E289" s="16">
        <v>0.625</v>
      </c>
      <c r="F289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89" s="18" t="s">
        <v>57</v>
      </c>
      <c r="H289" s="19">
        <v>7526</v>
      </c>
      <c r="I289" s="7" t="str">
        <f>IFERROR(INDEX(Tabla_control_serigrafia[PRODUCTO],MATCH(Tabla_producción_serigrafia[[#This Row],[LOTE]],Tabla_control_serigrafia[LOTE],0)),"-")</f>
        <v>TETRACICLINA X 100 G POLVO VETERINARIO</v>
      </c>
      <c r="J289" s="20" t="str">
        <f>IFERROR(INDEX(Tabla_control_serigrafia[FORMATO DE FRASCO],MATCH(Tabla_producción_serigrafia[[#This Row],[LOTE]],Tabla_control_serigrafia[LOTE],0)),"-")</f>
        <v>100 GR</v>
      </c>
      <c r="K289" s="20" t="str">
        <f>IFERROR(INDEX(Tabla_control_serigrafia[TIPO DE FRASCO],MATCH(Tabla_producción_serigrafia[[#This Row],[LOTE]],Tabla_control_serigrafia[LOTE],0)),"-")</f>
        <v>FRASCO BLANCO</v>
      </c>
      <c r="L289" t="str">
        <f>IF(Tabla_producción_serigrafia[[#This Row],[ACCIÓN]]="PRODUCCIÓN",Tabla_producción_serigrafia[[#This Row],[FORMATO DE FRASCO]]&amp;" "&amp;Tabla_producción_serigrafia[[#This Row],[TIPO DE FRASCO]],"-")</f>
        <v>-</v>
      </c>
      <c r="M289" s="21">
        <f>IFERROR(INDEX(Tabla_control_serigrafia[CANTIDAD PEDIDA],MATCH(Tabla_producción_serigrafia[[#This Row],[LOTE]],Tabla_control_serigrafia[LOTE],0)),"-")</f>
        <v>3000</v>
      </c>
      <c r="N289" s="22">
        <v>0</v>
      </c>
      <c r="O289" s="19">
        <v>0</v>
      </c>
      <c r="P289" s="23"/>
      <c r="Q289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89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89" s="25" t="s">
        <v>63</v>
      </c>
      <c r="T289" s="20" t="str">
        <f>UPPER(LEFT(TEXT(Tabla_producción_serigrafia[[#This Row],[FECHA]],"mmm"),3))</f>
        <v>JUN</v>
      </c>
      <c r="U289" s="20">
        <f>IFERROR(Tabla_producción_serigrafia[[#This Row],[CANTIDAD PRODUCIDA]]+Tabla_producción_serigrafia[[#This Row],[CANTIDAD RECHAZADA]],0)</f>
        <v>0</v>
      </c>
    </row>
    <row r="290" spans="1:21" x14ac:dyDescent="0.25">
      <c r="A290" s="10">
        <v>46175</v>
      </c>
      <c r="B290" s="10" t="s">
        <v>58</v>
      </c>
      <c r="C290" s="1" t="s">
        <v>68</v>
      </c>
      <c r="D290" s="15">
        <v>0.625</v>
      </c>
      <c r="E290" s="16">
        <v>0.72916666666666663</v>
      </c>
      <c r="F290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290" s="18" t="s">
        <v>56</v>
      </c>
      <c r="H290" s="19">
        <v>7526</v>
      </c>
      <c r="I290" s="7" t="str">
        <f>IFERROR(INDEX(Tabla_control_serigrafia[PRODUCTO],MATCH(Tabla_producción_serigrafia[[#This Row],[LOTE]],Tabla_control_serigrafia[LOTE],0)),"-")</f>
        <v>TETRACICLINA X 100 G POLVO VETERINARIO</v>
      </c>
      <c r="J290" s="20" t="str">
        <f>IFERROR(INDEX(Tabla_control_serigrafia[FORMATO DE FRASCO],MATCH(Tabla_producción_serigrafia[[#This Row],[LOTE]],Tabla_control_serigrafia[LOTE],0)),"-")</f>
        <v>100 GR</v>
      </c>
      <c r="K290" s="20" t="str">
        <f>IFERROR(INDEX(Tabla_control_serigrafia[TIPO DE FRASCO],MATCH(Tabla_producción_serigrafia[[#This Row],[LOTE]],Tabla_control_serigrafia[LOTE],0)),"-")</f>
        <v>FRASCO BLANCO</v>
      </c>
      <c r="L290" t="str">
        <f>IF(Tabla_producción_serigrafia[[#This Row],[ACCIÓN]]="PRODUCCIÓN",Tabla_producción_serigrafia[[#This Row],[FORMATO DE FRASCO]]&amp;" "&amp;Tabla_producción_serigrafia[[#This Row],[TIPO DE FRASCO]],"-")</f>
        <v>100 GR FRASCO BLANCO</v>
      </c>
      <c r="M290" s="21">
        <f>IFERROR(INDEX(Tabla_control_serigrafia[CANTIDAD PEDIDA],MATCH(Tabla_producción_serigrafia[[#This Row],[LOTE]],Tabla_control_serigrafia[LOTE],0)),"-")</f>
        <v>3000</v>
      </c>
      <c r="N290" s="22">
        <v>3100</v>
      </c>
      <c r="O290" s="19">
        <v>40</v>
      </c>
      <c r="P290" s="23" t="s">
        <v>62</v>
      </c>
      <c r="Q290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3100</v>
      </c>
      <c r="R290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32</v>
      </c>
      <c r="S290" s="25"/>
      <c r="T290" s="20" t="str">
        <f>UPPER(LEFT(TEXT(Tabla_producción_serigrafia[[#This Row],[FECHA]],"mmm"),3))</f>
        <v>JUN</v>
      </c>
      <c r="U290" s="20">
        <f>IFERROR(Tabla_producción_serigrafia[[#This Row],[CANTIDAD PRODUCIDA]]+Tabla_producción_serigrafia[[#This Row],[CANTIDAD RECHAZADA]],0)</f>
        <v>3140</v>
      </c>
    </row>
    <row r="291" spans="1:21" x14ac:dyDescent="0.25">
      <c r="A291" s="10">
        <v>46176</v>
      </c>
      <c r="B291" s="10" t="s">
        <v>58</v>
      </c>
      <c r="C291" s="1" t="s">
        <v>68</v>
      </c>
      <c r="D291" s="15">
        <v>0.33333333333333331</v>
      </c>
      <c r="E291" s="16">
        <v>0.5625</v>
      </c>
      <c r="F291" s="17">
        <f>ROUND((Tabla_producción_serigrafia[[#This Row],[FIN]]-Tabla_producción_serigrafia[[#This Row],[INICIO]]+(Tabla_producción_serigrafia[[#This Row],[FIN]]&lt;Tabla_producción_serigrafia[[#This Row],[INICIO]]))*24,2)</f>
        <v>5.5</v>
      </c>
      <c r="G291" s="18" t="s">
        <v>64</v>
      </c>
      <c r="H291" s="19" t="s">
        <v>38</v>
      </c>
      <c r="I291" s="7" t="str">
        <f>IFERROR(INDEX(Tabla_control_serigrafia[PRODUCTO],MATCH(Tabla_producción_serigrafia[[#This Row],[LOTE]],Tabla_control_serigrafia[LOTE],0)),"-")</f>
        <v>-</v>
      </c>
      <c r="J291" s="20" t="str">
        <f>IFERROR(INDEX(Tabla_control_serigrafia[FORMATO DE FRASCO],MATCH(Tabla_producción_serigrafia[[#This Row],[LOTE]],Tabla_control_serigrafia[LOTE],0)),"-")</f>
        <v>-</v>
      </c>
      <c r="K291" s="20" t="str">
        <f>IFERROR(INDEX(Tabla_control_serigrafia[TIPO DE FRASCO],MATCH(Tabla_producción_serigrafia[[#This Row],[LOTE]],Tabla_control_serigrafia[LOTE],0)),"-")</f>
        <v>-</v>
      </c>
      <c r="L291" t="str">
        <f>IF(Tabla_producción_serigrafia[[#This Row],[ACCIÓN]]="PRODUCCIÓN",Tabla_producción_serigrafia[[#This Row],[FORMATO DE FRASCO]]&amp;" "&amp;Tabla_producción_serigrafia[[#This Row],[TIPO DE FRASCO]],"-")</f>
        <v>-</v>
      </c>
      <c r="M291" s="21" t="str">
        <f>IFERROR(INDEX(Tabla_control_serigrafia[CANTIDAD PEDIDA],MATCH(Tabla_producción_serigrafia[[#This Row],[LOTE]],Tabla_control_serigrafia[LOTE],0)),"-")</f>
        <v>-</v>
      </c>
      <c r="N291" s="22">
        <v>0</v>
      </c>
      <c r="O291" s="19">
        <v>0</v>
      </c>
      <c r="P291" s="23"/>
      <c r="Q291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91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91" s="25"/>
      <c r="T291" s="20" t="str">
        <f>UPPER(LEFT(TEXT(Tabla_producción_serigrafia[[#This Row],[FECHA]],"mmm"),3))</f>
        <v>JUN</v>
      </c>
      <c r="U291" s="20">
        <f>IFERROR(Tabla_producción_serigrafia[[#This Row],[CANTIDAD PRODUCIDA]]+Tabla_producción_serigrafia[[#This Row],[CANTIDAD RECHAZADA]],0)</f>
        <v>0</v>
      </c>
    </row>
    <row r="292" spans="1:21" x14ac:dyDescent="0.25">
      <c r="A292" s="10">
        <v>46176</v>
      </c>
      <c r="B292" s="10" t="s">
        <v>58</v>
      </c>
      <c r="C292" s="1" t="s">
        <v>68</v>
      </c>
      <c r="D292" s="15">
        <v>0.5625</v>
      </c>
      <c r="E292" s="16">
        <v>0.58333333333333337</v>
      </c>
      <c r="F292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92" s="18" t="s">
        <v>57</v>
      </c>
      <c r="H292" s="19">
        <v>52639</v>
      </c>
      <c r="I292" s="7" t="str">
        <f>IFERROR(INDEX(Tabla_control_serigrafia[PRODUCTO],MATCH(Tabla_producción_serigrafia[[#This Row],[LOTE]],Tabla_control_serigrafia[LOTE],0)),"-")</f>
        <v>PIRANTEL 250 MG X 15 ML SUSP.</v>
      </c>
      <c r="J292" s="20" t="str">
        <f>IFERROR(INDEX(Tabla_control_serigrafia[FORMATO DE FRASCO],MATCH(Tabla_producción_serigrafia[[#This Row],[LOTE]],Tabla_control_serigrafia[LOTE],0)),"-")</f>
        <v>40 ML</v>
      </c>
      <c r="K292" s="20" t="str">
        <f>IFERROR(INDEX(Tabla_control_serigrafia[TIPO DE FRASCO],MATCH(Tabla_producción_serigrafia[[#This Row],[LOTE]],Tabla_control_serigrafia[LOTE],0)),"-")</f>
        <v>FRASCO BLANCO</v>
      </c>
      <c r="L292" t="str">
        <f>IF(Tabla_producción_serigrafia[[#This Row],[ACCIÓN]]="PRODUCCIÓN",Tabla_producción_serigrafia[[#This Row],[FORMATO DE FRASCO]]&amp;" "&amp;Tabla_producción_serigrafia[[#This Row],[TIPO DE FRASCO]],"-")</f>
        <v>-</v>
      </c>
      <c r="M292" s="21">
        <f>IFERROR(INDEX(Tabla_control_serigrafia[CANTIDAD PEDIDA],MATCH(Tabla_producción_serigrafia[[#This Row],[LOTE]],Tabla_control_serigrafia[LOTE],0)),"-")</f>
        <v>8824</v>
      </c>
      <c r="N292" s="22">
        <v>0</v>
      </c>
      <c r="O292" s="19">
        <v>0</v>
      </c>
      <c r="P292" s="23"/>
      <c r="Q292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92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92" s="25" t="s">
        <v>63</v>
      </c>
      <c r="T292" s="20" t="str">
        <f>UPPER(LEFT(TEXT(Tabla_producción_serigrafia[[#This Row],[FECHA]],"mmm"),3))</f>
        <v>JUN</v>
      </c>
      <c r="U292" s="20">
        <f>IFERROR(Tabla_producción_serigrafia[[#This Row],[CANTIDAD PRODUCIDA]]+Tabla_producción_serigrafia[[#This Row],[CANTIDAD RECHAZADA]],0)</f>
        <v>0</v>
      </c>
    </row>
    <row r="293" spans="1:21" x14ac:dyDescent="0.25">
      <c r="A293" s="10">
        <v>46176</v>
      </c>
      <c r="B293" s="10" t="s">
        <v>58</v>
      </c>
      <c r="C293" s="1" t="s">
        <v>68</v>
      </c>
      <c r="D293" s="15">
        <v>0.58333333333333337</v>
      </c>
      <c r="E293" s="16">
        <v>0.70833333333333337</v>
      </c>
      <c r="F293" s="17">
        <f>ROUND((Tabla_producción_serigrafia[[#This Row],[FIN]]-Tabla_producción_serigrafia[[#This Row],[INICIO]]+(Tabla_producción_serigrafia[[#This Row],[FIN]]&lt;Tabla_producción_serigrafia[[#This Row],[INICIO]]))*24,2)</f>
        <v>3</v>
      </c>
      <c r="G293" s="18" t="s">
        <v>56</v>
      </c>
      <c r="H293" s="19">
        <v>52639</v>
      </c>
      <c r="I293" s="7" t="str">
        <f>IFERROR(INDEX(Tabla_control_serigrafia[PRODUCTO],MATCH(Tabla_producción_serigrafia[[#This Row],[LOTE]],Tabla_control_serigrafia[LOTE],0)),"-")</f>
        <v>PIRANTEL 250 MG X 15 ML SUSP.</v>
      </c>
      <c r="J293" s="20" t="str">
        <f>IFERROR(INDEX(Tabla_control_serigrafia[FORMATO DE FRASCO],MATCH(Tabla_producción_serigrafia[[#This Row],[LOTE]],Tabla_control_serigrafia[LOTE],0)),"-")</f>
        <v>40 ML</v>
      </c>
      <c r="K293" s="20" t="str">
        <f>IFERROR(INDEX(Tabla_control_serigrafia[TIPO DE FRASCO],MATCH(Tabla_producción_serigrafia[[#This Row],[LOTE]],Tabla_control_serigrafia[LOTE],0)),"-")</f>
        <v>FRASCO BLANCO</v>
      </c>
      <c r="L293" t="str">
        <f>IF(Tabla_producción_serigrafia[[#This Row],[ACCIÓN]]="PRODUCCIÓN",Tabla_producción_serigrafia[[#This Row],[FORMATO DE FRASCO]]&amp;" "&amp;Tabla_producción_serigrafia[[#This Row],[TIPO DE FRASCO]],"-")</f>
        <v>40 ML FRASCO BLANCO</v>
      </c>
      <c r="M293" s="21">
        <f>IFERROR(INDEX(Tabla_control_serigrafia[CANTIDAD PEDIDA],MATCH(Tabla_producción_serigrafia[[#This Row],[LOTE]],Tabla_control_serigrafia[LOTE],0)),"-")</f>
        <v>8824</v>
      </c>
      <c r="N293" s="22">
        <v>6000</v>
      </c>
      <c r="O293" s="19">
        <v>0</v>
      </c>
      <c r="P293" s="23" t="s">
        <v>178</v>
      </c>
      <c r="Q293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6000</v>
      </c>
      <c r="R293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93" s="25"/>
      <c r="T293" s="20" t="str">
        <f>UPPER(LEFT(TEXT(Tabla_producción_serigrafia[[#This Row],[FECHA]],"mmm"),3))</f>
        <v>JUN</v>
      </c>
      <c r="U293" s="20">
        <f>IFERROR(Tabla_producción_serigrafia[[#This Row],[CANTIDAD PRODUCIDA]]+Tabla_producción_serigrafia[[#This Row],[CANTIDAD RECHAZADA]],0)</f>
        <v>6000</v>
      </c>
    </row>
    <row r="294" spans="1:21" x14ac:dyDescent="0.25">
      <c r="A294" s="10">
        <v>46181</v>
      </c>
      <c r="B294" s="10" t="s">
        <v>58</v>
      </c>
      <c r="C294" s="1" t="s">
        <v>68</v>
      </c>
      <c r="D294" s="15">
        <v>0.33333333333333331</v>
      </c>
      <c r="E294" s="16">
        <v>0.35416666666666669</v>
      </c>
      <c r="F294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94" s="18" t="s">
        <v>57</v>
      </c>
      <c r="H294" s="19">
        <v>52639</v>
      </c>
      <c r="I294" s="7" t="str">
        <f>IFERROR(INDEX(Tabla_control_serigrafia[PRODUCTO],MATCH(Tabla_producción_serigrafia[[#This Row],[LOTE]],Tabla_control_serigrafia[LOTE],0)),"-")</f>
        <v>PIRANTEL 250 MG X 15 ML SUSP.</v>
      </c>
      <c r="J294" s="20" t="str">
        <f>IFERROR(INDEX(Tabla_control_serigrafia[FORMATO DE FRASCO],MATCH(Tabla_producción_serigrafia[[#This Row],[LOTE]],Tabla_control_serigrafia[LOTE],0)),"-")</f>
        <v>40 ML</v>
      </c>
      <c r="K294" s="20" t="str">
        <f>IFERROR(INDEX(Tabla_control_serigrafia[TIPO DE FRASCO],MATCH(Tabla_producción_serigrafia[[#This Row],[LOTE]],Tabla_control_serigrafia[LOTE],0)),"-")</f>
        <v>FRASCO BLANCO</v>
      </c>
      <c r="L294" t="str">
        <f>IF(Tabla_producción_serigrafia[[#This Row],[ACCIÓN]]="PRODUCCIÓN",Tabla_producción_serigrafia[[#This Row],[FORMATO DE FRASCO]]&amp;" "&amp;Tabla_producción_serigrafia[[#This Row],[TIPO DE FRASCO]],"-")</f>
        <v>-</v>
      </c>
      <c r="M294" s="21">
        <f>IFERROR(INDEX(Tabla_control_serigrafia[CANTIDAD PEDIDA],MATCH(Tabla_producción_serigrafia[[#This Row],[LOTE]],Tabla_control_serigrafia[LOTE],0)),"-")</f>
        <v>8824</v>
      </c>
      <c r="N294" s="22">
        <v>0</v>
      </c>
      <c r="O294" s="19">
        <v>0</v>
      </c>
      <c r="P294" s="23"/>
      <c r="Q294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94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94" s="25" t="s">
        <v>63</v>
      </c>
      <c r="T294" s="20" t="str">
        <f>UPPER(LEFT(TEXT(Tabla_producción_serigrafia[[#This Row],[FECHA]],"mmm"),3))</f>
        <v>JUN</v>
      </c>
      <c r="U294" s="20">
        <f>IFERROR(Tabla_producción_serigrafia[[#This Row],[CANTIDAD PRODUCIDA]]+Tabla_producción_serigrafia[[#This Row],[CANTIDAD RECHAZADA]],0)</f>
        <v>0</v>
      </c>
    </row>
    <row r="295" spans="1:21" x14ac:dyDescent="0.25">
      <c r="A295" s="10">
        <v>46181</v>
      </c>
      <c r="B295" s="10" t="s">
        <v>58</v>
      </c>
      <c r="C295" s="1" t="s">
        <v>68</v>
      </c>
      <c r="D295" s="15">
        <v>0.35416666666666669</v>
      </c>
      <c r="E295" s="16">
        <v>0.45833333333333331</v>
      </c>
      <c r="F295" s="17">
        <f>ROUND((Tabla_producción_serigrafia[[#This Row],[FIN]]-Tabla_producción_serigrafia[[#This Row],[INICIO]]+(Tabla_producción_serigrafia[[#This Row],[FIN]]&lt;Tabla_producción_serigrafia[[#This Row],[INICIO]]))*24,2)</f>
        <v>2.5</v>
      </c>
      <c r="G295" s="18" t="s">
        <v>56</v>
      </c>
      <c r="H295" s="19">
        <v>52639</v>
      </c>
      <c r="I295" s="7" t="str">
        <f>IFERROR(INDEX(Tabla_control_serigrafia[PRODUCTO],MATCH(Tabla_producción_serigrafia[[#This Row],[LOTE]],Tabla_control_serigrafia[LOTE],0)),"-")</f>
        <v>PIRANTEL 250 MG X 15 ML SUSP.</v>
      </c>
      <c r="J295" s="20" t="str">
        <f>IFERROR(INDEX(Tabla_control_serigrafia[FORMATO DE FRASCO],MATCH(Tabla_producción_serigrafia[[#This Row],[LOTE]],Tabla_control_serigrafia[LOTE],0)),"-")</f>
        <v>40 ML</v>
      </c>
      <c r="K295" s="20" t="str">
        <f>IFERROR(INDEX(Tabla_control_serigrafia[TIPO DE FRASCO],MATCH(Tabla_producción_serigrafia[[#This Row],[LOTE]],Tabla_control_serigrafia[LOTE],0)),"-")</f>
        <v>FRASCO BLANCO</v>
      </c>
      <c r="L295" t="str">
        <f>IF(Tabla_producción_serigrafia[[#This Row],[ACCIÓN]]="PRODUCCIÓN",Tabla_producción_serigrafia[[#This Row],[FORMATO DE FRASCO]]&amp;" "&amp;Tabla_producción_serigrafia[[#This Row],[TIPO DE FRASCO]],"-")</f>
        <v>40 ML FRASCO BLANCO</v>
      </c>
      <c r="M295" s="21">
        <f>IFERROR(INDEX(Tabla_control_serigrafia[CANTIDAD PEDIDA],MATCH(Tabla_producción_serigrafia[[#This Row],[LOTE]],Tabla_control_serigrafia[LOTE],0)),"-")</f>
        <v>8824</v>
      </c>
      <c r="N295" s="22">
        <v>3000</v>
      </c>
      <c r="O295" s="19">
        <v>209</v>
      </c>
      <c r="P295" s="23" t="s">
        <v>62</v>
      </c>
      <c r="Q295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3000</v>
      </c>
      <c r="R295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38</v>
      </c>
      <c r="S295" s="25"/>
      <c r="T295" s="20" t="str">
        <f>UPPER(LEFT(TEXT(Tabla_producción_serigrafia[[#This Row],[FECHA]],"mmm"),3))</f>
        <v>JUN</v>
      </c>
      <c r="U295" s="20">
        <f>IFERROR(Tabla_producción_serigrafia[[#This Row],[CANTIDAD PRODUCIDA]]+Tabla_producción_serigrafia[[#This Row],[CANTIDAD RECHAZADA]],0)</f>
        <v>3209</v>
      </c>
    </row>
    <row r="296" spans="1:21" x14ac:dyDescent="0.25">
      <c r="A296" s="10">
        <v>46181</v>
      </c>
      <c r="B296" s="10" t="s">
        <v>58</v>
      </c>
      <c r="C296" s="1" t="s">
        <v>68</v>
      </c>
      <c r="D296" s="15">
        <v>0.45833333333333331</v>
      </c>
      <c r="E296" s="16">
        <v>0.625</v>
      </c>
      <c r="F296" s="17">
        <f>ROUND((Tabla_producción_serigrafia[[#This Row],[FIN]]-Tabla_producción_serigrafia[[#This Row],[INICIO]]+(Tabla_producción_serigrafia[[#This Row],[FIN]]&lt;Tabla_producción_serigrafia[[#This Row],[INICIO]]))*24,2)</f>
        <v>4</v>
      </c>
      <c r="G296" s="18" t="s">
        <v>64</v>
      </c>
      <c r="H296" s="19" t="s">
        <v>38</v>
      </c>
      <c r="I296" s="7" t="str">
        <f>IFERROR(INDEX(Tabla_control_serigrafia[PRODUCTO],MATCH(Tabla_producción_serigrafia[[#This Row],[LOTE]],Tabla_control_serigrafia[LOTE],0)),"-")</f>
        <v>-</v>
      </c>
      <c r="J296" s="20" t="str">
        <f>IFERROR(INDEX(Tabla_control_serigrafia[FORMATO DE FRASCO],MATCH(Tabla_producción_serigrafia[[#This Row],[LOTE]],Tabla_control_serigrafia[LOTE],0)),"-")</f>
        <v>-</v>
      </c>
      <c r="K296" s="20" t="str">
        <f>IFERROR(INDEX(Tabla_control_serigrafia[TIPO DE FRASCO],MATCH(Tabla_producción_serigrafia[[#This Row],[LOTE]],Tabla_control_serigrafia[LOTE],0)),"-")</f>
        <v>-</v>
      </c>
      <c r="L296" t="str">
        <f>IF(Tabla_producción_serigrafia[[#This Row],[ACCIÓN]]="PRODUCCIÓN",Tabla_producción_serigrafia[[#This Row],[FORMATO DE FRASCO]]&amp;" "&amp;Tabla_producción_serigrafia[[#This Row],[TIPO DE FRASCO]],"-")</f>
        <v>-</v>
      </c>
      <c r="M296" s="21" t="str">
        <f>IFERROR(INDEX(Tabla_control_serigrafia[CANTIDAD PEDIDA],MATCH(Tabla_producción_serigrafia[[#This Row],[LOTE]],Tabla_control_serigrafia[LOTE],0)),"-")</f>
        <v>-</v>
      </c>
      <c r="N296" s="22">
        <v>0</v>
      </c>
      <c r="O296" s="19">
        <v>0</v>
      </c>
      <c r="P296" s="23"/>
      <c r="Q296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96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96" s="25"/>
      <c r="T296" s="20" t="str">
        <f>UPPER(LEFT(TEXT(Tabla_producción_serigrafia[[#This Row],[FECHA]],"mmm"),3))</f>
        <v>JUN</v>
      </c>
      <c r="U296" s="20">
        <f>IFERROR(Tabla_producción_serigrafia[[#This Row],[CANTIDAD PRODUCIDA]]+Tabla_producción_serigrafia[[#This Row],[CANTIDAD RECHAZADA]],0)</f>
        <v>0</v>
      </c>
    </row>
    <row r="297" spans="1:21" x14ac:dyDescent="0.25">
      <c r="A297" s="10">
        <v>46181</v>
      </c>
      <c r="B297" s="10" t="s">
        <v>58</v>
      </c>
      <c r="C297" s="1" t="s">
        <v>68</v>
      </c>
      <c r="D297" s="15">
        <v>0.625</v>
      </c>
      <c r="E297" s="16">
        <v>0.64583333333333337</v>
      </c>
      <c r="F297" s="17">
        <f>ROUND((Tabla_producción_serigrafia[[#This Row],[FIN]]-Tabla_producción_serigrafia[[#This Row],[INICIO]]+(Tabla_producción_serigrafia[[#This Row],[FIN]]&lt;Tabla_producción_serigrafia[[#This Row],[INICIO]]))*24,2)</f>
        <v>0.5</v>
      </c>
      <c r="G297" s="18" t="s">
        <v>57</v>
      </c>
      <c r="H297" s="19">
        <v>1526</v>
      </c>
      <c r="I297" s="7" t="str">
        <f>IFERROR(INDEX(Tabla_control_serigrafia[PRODUCTO],MATCH(Tabla_producción_serigrafia[[#This Row],[LOTE]],Tabla_control_serigrafia[LOTE],0)),"-")</f>
        <v>VETODOLIC-K X 30 ML GOTAS VETERINARIO</v>
      </c>
      <c r="J297" s="20" t="str">
        <f>IFERROR(INDEX(Tabla_control_serigrafia[FORMATO DE FRASCO],MATCH(Tabla_producción_serigrafia[[#This Row],[LOTE]],Tabla_control_serigrafia[LOTE],0)),"-")</f>
        <v>30 ML</v>
      </c>
      <c r="K297" s="20" t="str">
        <f>IFERROR(INDEX(Tabla_control_serigrafia[TIPO DE FRASCO],MATCH(Tabla_producción_serigrafia[[#This Row],[LOTE]],Tabla_control_serigrafia[LOTE],0)),"-")</f>
        <v xml:space="preserve"> FRASCO BLANCO</v>
      </c>
      <c r="L297" t="str">
        <f>IF(Tabla_producción_serigrafia[[#This Row],[ACCIÓN]]="PRODUCCIÓN",Tabla_producción_serigrafia[[#This Row],[FORMATO DE FRASCO]]&amp;" "&amp;Tabla_producción_serigrafia[[#This Row],[TIPO DE FRASCO]],"-")</f>
        <v>-</v>
      </c>
      <c r="M297" s="21">
        <f>IFERROR(INDEX(Tabla_control_serigrafia[CANTIDAD PEDIDA],MATCH(Tabla_producción_serigrafia[[#This Row],[LOTE]],Tabla_control_serigrafia[LOTE],0)),"-")</f>
        <v>2700</v>
      </c>
      <c r="N297" s="22">
        <v>0</v>
      </c>
      <c r="O297" s="19">
        <v>0</v>
      </c>
      <c r="P297" s="23"/>
      <c r="Q297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0</v>
      </c>
      <c r="R297" s="24" t="str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-</v>
      </c>
      <c r="S297" s="25" t="s">
        <v>63</v>
      </c>
      <c r="T297" s="20" t="str">
        <f>UPPER(LEFT(TEXT(Tabla_producción_serigrafia[[#This Row],[FECHA]],"mmm"),3))</f>
        <v>JUN</v>
      </c>
      <c r="U297" s="20">
        <f>IFERROR(Tabla_producción_serigrafia[[#This Row],[CANTIDAD PRODUCIDA]]+Tabla_producción_serigrafia[[#This Row],[CANTIDAD RECHAZADA]],0)</f>
        <v>0</v>
      </c>
    </row>
    <row r="298" spans="1:21" x14ac:dyDescent="0.25">
      <c r="A298" s="10">
        <v>46181</v>
      </c>
      <c r="B298" s="10" t="s">
        <v>58</v>
      </c>
      <c r="C298" s="1" t="s">
        <v>68</v>
      </c>
      <c r="D298" s="15">
        <v>0.64583333333333337</v>
      </c>
      <c r="E298" s="16">
        <v>0.72916666666666663</v>
      </c>
      <c r="F298" s="17">
        <f>ROUND((Tabla_producción_serigrafia[[#This Row],[FIN]]-Tabla_producción_serigrafia[[#This Row],[INICIO]]+(Tabla_producción_serigrafia[[#This Row],[FIN]]&lt;Tabla_producción_serigrafia[[#This Row],[INICIO]]))*24,2)</f>
        <v>2</v>
      </c>
      <c r="G298" s="18" t="s">
        <v>56</v>
      </c>
      <c r="H298" s="19">
        <v>1526</v>
      </c>
      <c r="I298" s="7" t="str">
        <f>IFERROR(INDEX(Tabla_control_serigrafia[PRODUCTO],MATCH(Tabla_producción_serigrafia[[#This Row],[LOTE]],Tabla_control_serigrafia[LOTE],0)),"-")</f>
        <v>VETODOLIC-K X 30 ML GOTAS VETERINARIO</v>
      </c>
      <c r="J298" s="20" t="str">
        <f>IFERROR(INDEX(Tabla_control_serigrafia[FORMATO DE FRASCO],MATCH(Tabla_producción_serigrafia[[#This Row],[LOTE]],Tabla_control_serigrafia[LOTE],0)),"-")</f>
        <v>30 ML</v>
      </c>
      <c r="K298" s="20" t="str">
        <f>IFERROR(INDEX(Tabla_control_serigrafia[TIPO DE FRASCO],MATCH(Tabla_producción_serigrafia[[#This Row],[LOTE]],Tabla_control_serigrafia[LOTE],0)),"-")</f>
        <v xml:space="preserve"> FRASCO BLANCO</v>
      </c>
      <c r="L298" t="str">
        <f>IF(Tabla_producción_serigrafia[[#This Row],[ACCIÓN]]="PRODUCCIÓN",Tabla_producción_serigrafia[[#This Row],[FORMATO DE FRASCO]]&amp;" "&amp;Tabla_producción_serigrafia[[#This Row],[TIPO DE FRASCO]],"-")</f>
        <v>30 ML  FRASCO BLANCO</v>
      </c>
      <c r="M298" s="21">
        <f>IFERROR(INDEX(Tabla_control_serigrafia[CANTIDAD PEDIDA],MATCH(Tabla_producción_serigrafia[[#This Row],[LOTE]],Tabla_control_serigrafia[LOTE],0)),"-")</f>
        <v>2700</v>
      </c>
      <c r="N298" s="22">
        <v>2800</v>
      </c>
      <c r="O298" s="19">
        <v>130</v>
      </c>
      <c r="P298" s="23" t="s">
        <v>62</v>
      </c>
      <c r="Q298" s="27">
        <f>IFERROR(ROUNDUP(IF(Tabla_producción_serigrafia[[#This Row],[MÁQUINA]]="SF-ASP/3",Tabla_producción_serigrafia[[#This Row],[CANTIDAD PRODUCIDA]],IF(Tabla_producción_serigrafia[[#This Row],[MÁQUINA]]="DUBUIT/1",Tabla_producción_serigrafia[[#This Row],[CANTIDAD PRODUCIDA]]/2,"")),0),"0")</f>
        <v>2800</v>
      </c>
      <c r="R298" s="24">
        <f>IF(Tabla_producción_serigrafia[[#This Row],[ESTADO]]&lt;&gt;"COMPLETADO","-",IFERROR(Tabla_producción_serigrafia[[#This Row],[FECHA]] - _xlfn.XLOOKUP(Tabla_producción_serigrafia[[#This Row],[LOTE]], Tabla_control_serigrafia[LOTE], Tabla_control_serigrafia[FECHA EMISIÓN]),"-"))</f>
        <v>38</v>
      </c>
      <c r="S298" s="25"/>
      <c r="T298" s="20" t="str">
        <f>UPPER(LEFT(TEXT(Tabla_producción_serigrafia[[#This Row],[FECHA]],"mmm"),3))</f>
        <v>JUN</v>
      </c>
      <c r="U298" s="20">
        <f>IFERROR(Tabla_producción_serigrafia[[#This Row],[CANTIDAD PRODUCIDA]]+Tabla_producción_serigrafia[[#This Row],[CANTIDAD RECHAZADA]],0)</f>
        <v>2930</v>
      </c>
    </row>
  </sheetData>
  <conditionalFormatting sqref="F2:F298 I2:M298 R2:R298">
    <cfRule type="cellIs" dxfId="46" priority="4" operator="greaterThanOrEqual">
      <formula>0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38612-7BDB-4B14-9193-30C9040B72CC}">
  <dimension ref="B2:E8"/>
  <sheetViews>
    <sheetView workbookViewId="0">
      <selection activeCell="D6" sqref="D6"/>
    </sheetView>
  </sheetViews>
  <sheetFormatPr baseColWidth="10" defaultRowHeight="15" x14ac:dyDescent="0.25"/>
  <cols>
    <col min="5" max="5" width="42.28515625" customWidth="1"/>
  </cols>
  <sheetData>
    <row r="2" spans="2:5" x14ac:dyDescent="0.25">
      <c r="B2" s="61" t="s">
        <v>5</v>
      </c>
      <c r="C2" s="62" t="s">
        <v>7</v>
      </c>
      <c r="D2" s="63" t="s">
        <v>0</v>
      </c>
      <c r="E2" s="62" t="s">
        <v>2</v>
      </c>
    </row>
    <row r="3" spans="2:5" ht="15.75" thickBot="1" x14ac:dyDescent="0.3">
      <c r="B3" s="60">
        <v>22685</v>
      </c>
      <c r="C3">
        <f>+INDEX(Tabla_control_serigrafia[CANTIDAD PEDIDA],MATCH(B3,Tabla_control_serigrafia[LOTE],0))</f>
        <v>29508</v>
      </c>
      <c r="D3" s="1">
        <f>+INDEX(Tabla_control_serigrafia[FECHA EMISIÓN],MATCH(B3,Tabla_control_serigrafia[LOTE],0))</f>
        <v>46063</v>
      </c>
      <c r="E3" t="str">
        <f>+INDEX(Tabla_control_serigrafia[PRODUCTO],MATCH(B3,Tabla_control_serigrafia[LOTE],0))</f>
        <v>CLORFENAMINA 2 MG X 60 ML JARABE</v>
      </c>
    </row>
    <row r="4" spans="2:5" x14ac:dyDescent="0.25">
      <c r="B4" s="58">
        <v>32649</v>
      </c>
      <c r="C4">
        <f>+INDEX(Tabla_control_serigrafia[CANTIDAD PEDIDA],MATCH(B4,Tabla_control_serigrafia[LOTE],0))</f>
        <v>2419</v>
      </c>
      <c r="D4" s="1">
        <f>+INDEX(Tabla_control_serigrafia[FECHA EMISIÓN],MATCH(B4,Tabla_control_serigrafia[LOTE],0))</f>
        <v>46083</v>
      </c>
      <c r="E4" t="str">
        <f>+INDEX(Tabla_control_serigrafia[PRODUCTO],MATCH(B4,Tabla_control_serigrafia[LOTE],0))</f>
        <v>COTRIMOXAZOL 400/80 MG X 60 ML SUSP.</v>
      </c>
    </row>
    <row r="5" spans="2:5" x14ac:dyDescent="0.25">
      <c r="B5" s="58">
        <v>32636</v>
      </c>
      <c r="C5">
        <f>+INDEX(Tabla_control_serigrafia[CANTIDAD PEDIDA],MATCH(B5,Tabla_control_serigrafia[LOTE],0))</f>
        <v>6500</v>
      </c>
      <c r="D5" s="1">
        <f>+INDEX(Tabla_control_serigrafia[FECHA EMISIÓN],MATCH(B5,Tabla_control_serigrafia[LOTE],0))</f>
        <v>46083</v>
      </c>
      <c r="E5" t="str">
        <f>+INDEX(Tabla_control_serigrafia[PRODUCTO],MATCH(B5,Tabla_control_serigrafia[LOTE],0))</f>
        <v>FERRASOL FN X 30 ML GOTAS</v>
      </c>
    </row>
    <row r="6" spans="2:5" x14ac:dyDescent="0.25">
      <c r="B6" s="58">
        <v>5326</v>
      </c>
      <c r="C6">
        <f>+INDEX(Tabla_control_serigrafia[CANTIDAD PEDIDA],MATCH(B6,Tabla_control_serigrafia[LOTE],0))</f>
        <v>4839</v>
      </c>
      <c r="D6" s="1">
        <f>+INDEX(Tabla_control_serigrafia[FECHA EMISIÓN],MATCH(B6,Tabla_control_serigrafia[LOTE],0))</f>
        <v>46083</v>
      </c>
      <c r="E6" t="str">
        <f>+INDEX(Tabla_control_serigrafia[PRODUCTO],MATCH(B6,Tabla_control_serigrafia[LOTE],0))</f>
        <v>FERROCAN X 30 ML GOTAS VETERINARIO</v>
      </c>
    </row>
    <row r="7" spans="2:5" x14ac:dyDescent="0.25">
      <c r="B7" s="58">
        <v>32605</v>
      </c>
      <c r="C7">
        <f>+INDEX(Tabla_control_serigrafia[CANTIDAD PEDIDA],MATCH(B7,Tabla_control_serigrafia[LOTE],0))</f>
        <v>15000</v>
      </c>
      <c r="D7" s="1">
        <f>+INDEX(Tabla_control_serigrafia[FECHA EMISIÓN],MATCH(B7,Tabla_control_serigrafia[LOTE],0))</f>
        <v>46083</v>
      </c>
      <c r="E7" t="str">
        <f>+INDEX(Tabla_control_serigrafia[PRODUCTO],MATCH(B7,Tabla_control_serigrafia[LOTE],0))</f>
        <v>TUSSINOL X 30 ML JARABE MM</v>
      </c>
    </row>
    <row r="8" spans="2:5" x14ac:dyDescent="0.25">
      <c r="B8" s="58">
        <v>16226</v>
      </c>
      <c r="C8">
        <f>+INDEX(Tabla_control_serigrafia[CANTIDAD PEDIDA],MATCH(B8,Tabla_control_serigrafia[LOTE],0))</f>
        <v>300</v>
      </c>
      <c r="D8" s="1">
        <f>+INDEX(Tabla_control_serigrafia[FECHA EMISIÓN],MATCH(B8,Tabla_control_serigrafia[LOTE],0))</f>
        <v>46055</v>
      </c>
      <c r="E8" t="str">
        <f>+INDEX(Tabla_control_serigrafia[PRODUCTO],MATCH(B8,Tabla_control_serigrafia[LOTE],0))</f>
        <v>VITAVE AVIAR X 1000 G POLVO VETERINARIO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A6694-E7B3-4802-AE40-CD4F06595212}">
  <dimension ref="A1:K45"/>
  <sheetViews>
    <sheetView tabSelected="1" topLeftCell="A14" zoomScaleNormal="100" workbookViewId="0">
      <selection activeCell="F24" sqref="F24"/>
    </sheetView>
  </sheetViews>
  <sheetFormatPr baseColWidth="10" defaultRowHeight="15" x14ac:dyDescent="0.25"/>
  <cols>
    <col min="1" max="1" width="18.140625" bestFit="1" customWidth="1"/>
    <col min="2" max="3" width="12" customWidth="1"/>
    <col min="4" max="4" width="14.5703125" customWidth="1"/>
    <col min="5" max="5" width="12" customWidth="1"/>
    <col min="7" max="7" width="17.5703125" bestFit="1" customWidth="1"/>
    <col min="8" max="10" width="12" customWidth="1"/>
    <col min="11" max="11" width="13.7109375" bestFit="1" customWidth="1"/>
  </cols>
  <sheetData>
    <row r="1" spans="1:11" ht="15.75" thickBot="1" x14ac:dyDescent="0.3">
      <c r="A1" s="41" t="s">
        <v>58</v>
      </c>
      <c r="B1" s="42" t="s">
        <v>142</v>
      </c>
      <c r="C1" s="42" t="s">
        <v>143</v>
      </c>
      <c r="D1" s="43" t="s">
        <v>144</v>
      </c>
      <c r="E1" s="44" t="s">
        <v>140</v>
      </c>
      <c r="G1" s="84" t="s">
        <v>145</v>
      </c>
      <c r="H1" s="84"/>
      <c r="J1" s="85" t="s">
        <v>153</v>
      </c>
      <c r="K1" s="86"/>
    </row>
    <row r="2" spans="1:11" ht="15.75" x14ac:dyDescent="0.25">
      <c r="A2" s="37" t="s">
        <v>84</v>
      </c>
      <c r="B2" s="38" t="s">
        <v>38</v>
      </c>
      <c r="C2" s="38" t="s">
        <v>38</v>
      </c>
      <c r="D2" s="39" t="s">
        <v>38</v>
      </c>
      <c r="E2" s="40">
        <v>250</v>
      </c>
      <c r="G2" s="69" t="s">
        <v>169</v>
      </c>
      <c r="H2" s="70" t="s">
        <v>146</v>
      </c>
      <c r="J2" s="46">
        <v>1</v>
      </c>
      <c r="K2" s="47" t="s">
        <v>154</v>
      </c>
    </row>
    <row r="3" spans="1:11" ht="15.75" x14ac:dyDescent="0.25">
      <c r="A3" s="30" t="s">
        <v>34</v>
      </c>
      <c r="B3" s="29">
        <v>15000</v>
      </c>
      <c r="C3" s="29">
        <v>23000</v>
      </c>
      <c r="D3" s="31" t="s">
        <v>38</v>
      </c>
      <c r="E3" s="35">
        <v>2000</v>
      </c>
      <c r="G3" s="71" t="s">
        <v>176</v>
      </c>
      <c r="H3" s="70" t="s">
        <v>146</v>
      </c>
      <c r="J3" s="49">
        <v>2</v>
      </c>
      <c r="K3" s="48" t="s">
        <v>156</v>
      </c>
    </row>
    <row r="4" spans="1:11" ht="15.75" x14ac:dyDescent="0.25">
      <c r="A4" s="30" t="s">
        <v>75</v>
      </c>
      <c r="B4" s="29">
        <v>20000</v>
      </c>
      <c r="C4" s="29">
        <v>30000</v>
      </c>
      <c r="D4" s="31" t="s">
        <v>38</v>
      </c>
      <c r="E4" s="35">
        <v>4000</v>
      </c>
      <c r="G4" s="69" t="s">
        <v>147</v>
      </c>
      <c r="H4" s="70" t="s">
        <v>148</v>
      </c>
      <c r="J4" s="49">
        <v>3</v>
      </c>
      <c r="K4" s="48" t="s">
        <v>155</v>
      </c>
    </row>
    <row r="5" spans="1:11" ht="16.5" thickBot="1" x14ac:dyDescent="0.3">
      <c r="A5" s="30" t="s">
        <v>141</v>
      </c>
      <c r="B5" s="29">
        <v>20000</v>
      </c>
      <c r="C5" s="29">
        <v>30000</v>
      </c>
      <c r="D5" s="31">
        <v>45000</v>
      </c>
      <c r="E5" s="35">
        <v>4000</v>
      </c>
      <c r="G5" s="72" t="s">
        <v>150</v>
      </c>
      <c r="H5" s="70" t="s">
        <v>149</v>
      </c>
      <c r="J5" s="51">
        <v>4</v>
      </c>
      <c r="K5" s="50" t="s">
        <v>157</v>
      </c>
    </row>
    <row r="6" spans="1:11" ht="15.75" x14ac:dyDescent="0.25">
      <c r="A6" s="30" t="s">
        <v>77</v>
      </c>
      <c r="B6" s="29">
        <v>20000</v>
      </c>
      <c r="C6" s="29">
        <v>30000</v>
      </c>
      <c r="D6" s="31">
        <v>45000</v>
      </c>
      <c r="E6" s="35">
        <v>4000</v>
      </c>
      <c r="G6" s="72" t="s">
        <v>151</v>
      </c>
      <c r="H6" s="70" t="s">
        <v>149</v>
      </c>
    </row>
    <row r="7" spans="1:11" ht="15.75" x14ac:dyDescent="0.25">
      <c r="A7" s="30" t="s">
        <v>42</v>
      </c>
      <c r="B7" s="29">
        <v>15000</v>
      </c>
      <c r="C7" s="29">
        <v>23000</v>
      </c>
      <c r="D7" s="31" t="s">
        <v>38</v>
      </c>
      <c r="E7" s="35">
        <v>4000</v>
      </c>
      <c r="G7" s="72" t="s">
        <v>152</v>
      </c>
      <c r="H7" s="70" t="s">
        <v>149</v>
      </c>
    </row>
    <row r="8" spans="1:11" ht="15.75" x14ac:dyDescent="0.25">
      <c r="A8" s="30" t="s">
        <v>26</v>
      </c>
      <c r="B8" s="29">
        <v>15000</v>
      </c>
      <c r="C8" s="29">
        <v>23000</v>
      </c>
      <c r="D8" s="31" t="s">
        <v>38</v>
      </c>
      <c r="E8" s="35">
        <v>4000</v>
      </c>
      <c r="G8" s="73" t="s">
        <v>175</v>
      </c>
      <c r="H8" s="74" t="s">
        <v>148</v>
      </c>
    </row>
    <row r="9" spans="1:11" ht="15.75" x14ac:dyDescent="0.25">
      <c r="A9" s="30" t="s">
        <v>28</v>
      </c>
      <c r="B9" s="29">
        <v>15000</v>
      </c>
      <c r="C9" s="29">
        <v>23000</v>
      </c>
      <c r="D9" s="31" t="s">
        <v>38</v>
      </c>
      <c r="E9" s="35">
        <v>4000</v>
      </c>
      <c r="G9" s="64"/>
    </row>
    <row r="10" spans="1:11" ht="16.5" thickBot="1" x14ac:dyDescent="0.3">
      <c r="A10" s="32" t="s">
        <v>130</v>
      </c>
      <c r="B10" s="33" t="s">
        <v>38</v>
      </c>
      <c r="C10" s="33" t="s">
        <v>38</v>
      </c>
      <c r="D10" s="34" t="s">
        <v>38</v>
      </c>
      <c r="E10" s="36">
        <v>3500</v>
      </c>
      <c r="G10" s="72" t="s">
        <v>185</v>
      </c>
      <c r="H10" s="74" t="s">
        <v>184</v>
      </c>
      <c r="I10" s="56" t="s">
        <v>183</v>
      </c>
    </row>
    <row r="11" spans="1:11" ht="15.75" x14ac:dyDescent="0.25">
      <c r="A11" s="52"/>
      <c r="B11" s="53"/>
      <c r="C11" s="53"/>
      <c r="D11" s="53"/>
      <c r="E11" s="54"/>
      <c r="G11" s="56" t="s">
        <v>26</v>
      </c>
      <c r="H11" s="74" t="s">
        <v>77</v>
      </c>
      <c r="I11" s="56" t="s">
        <v>183</v>
      </c>
    </row>
    <row r="12" spans="1:11" x14ac:dyDescent="0.25">
      <c r="A12" s="52"/>
      <c r="B12" s="53"/>
      <c r="C12" s="53"/>
      <c r="D12" s="53"/>
      <c r="E12" s="54"/>
    </row>
    <row r="13" spans="1:11" x14ac:dyDescent="0.25">
      <c r="A13" s="45"/>
    </row>
    <row r="14" spans="1:11" x14ac:dyDescent="0.25">
      <c r="A14" s="45" t="s">
        <v>172</v>
      </c>
      <c r="B14" t="s">
        <v>170</v>
      </c>
      <c r="C14" t="s">
        <v>171</v>
      </c>
      <c r="D14" t="s">
        <v>174</v>
      </c>
      <c r="E14" t="s">
        <v>173</v>
      </c>
      <c r="G14" s="45" t="s">
        <v>172</v>
      </c>
      <c r="H14" t="s">
        <v>170</v>
      </c>
      <c r="I14" t="s">
        <v>171</v>
      </c>
      <c r="J14" t="s">
        <v>174</v>
      </c>
      <c r="K14" t="s">
        <v>173</v>
      </c>
    </row>
    <row r="15" spans="1:11" x14ac:dyDescent="0.25">
      <c r="A15" t="s">
        <v>169</v>
      </c>
      <c r="B15">
        <v>2300</v>
      </c>
      <c r="C15">
        <v>1</v>
      </c>
      <c r="D15">
        <v>8</v>
      </c>
      <c r="E15">
        <f>+Tabla2[[#This Row],[CANTIDAD]]*Tabla2[[#This Row],[HORAS]]</f>
        <v>2300</v>
      </c>
      <c r="G15" t="s">
        <v>184</v>
      </c>
      <c r="H15">
        <v>1500</v>
      </c>
      <c r="I15">
        <v>1</v>
      </c>
      <c r="J15">
        <v>8</v>
      </c>
      <c r="K15">
        <f>+H15*I15</f>
        <v>1500</v>
      </c>
    </row>
    <row r="16" spans="1:11" x14ac:dyDescent="0.25">
      <c r="A16" t="s">
        <v>169</v>
      </c>
      <c r="B16">
        <v>2300</v>
      </c>
      <c r="C16">
        <v>2</v>
      </c>
      <c r="D16">
        <v>9</v>
      </c>
      <c r="E16">
        <f>+Tabla2[[#This Row],[CANTIDAD]]*Tabla2[[#This Row],[HORAS]]</f>
        <v>4600</v>
      </c>
      <c r="G16" t="s">
        <v>184</v>
      </c>
      <c r="H16">
        <v>1500</v>
      </c>
      <c r="I16">
        <v>2</v>
      </c>
      <c r="J16">
        <v>9</v>
      </c>
      <c r="K16">
        <f t="shared" ref="K16:K29" si="0">+H16*I16</f>
        <v>3000</v>
      </c>
    </row>
    <row r="17" spans="1:11" x14ac:dyDescent="0.25">
      <c r="A17" t="s">
        <v>169</v>
      </c>
      <c r="B17">
        <v>2300</v>
      </c>
      <c r="C17">
        <v>3</v>
      </c>
      <c r="D17">
        <v>10</v>
      </c>
      <c r="E17">
        <f>+Tabla2[[#This Row],[CANTIDAD]]*Tabla2[[#This Row],[HORAS]]</f>
        <v>6900</v>
      </c>
      <c r="G17" s="55" t="s">
        <v>184</v>
      </c>
      <c r="H17">
        <v>1500</v>
      </c>
      <c r="I17">
        <v>3</v>
      </c>
      <c r="J17">
        <v>10</v>
      </c>
      <c r="K17">
        <f t="shared" si="0"/>
        <v>4500</v>
      </c>
    </row>
    <row r="18" spans="1:11" x14ac:dyDescent="0.25">
      <c r="A18" t="s">
        <v>169</v>
      </c>
      <c r="B18">
        <v>2300</v>
      </c>
      <c r="C18">
        <v>4</v>
      </c>
      <c r="D18">
        <v>11</v>
      </c>
      <c r="E18">
        <f>+Tabla2[[#This Row],[CANTIDAD]]*Tabla2[[#This Row],[HORAS]]</f>
        <v>9200</v>
      </c>
      <c r="G18" s="55" t="s">
        <v>184</v>
      </c>
      <c r="H18">
        <v>1500</v>
      </c>
      <c r="I18">
        <v>4</v>
      </c>
      <c r="J18">
        <v>11</v>
      </c>
      <c r="K18">
        <f t="shared" si="0"/>
        <v>6000</v>
      </c>
    </row>
    <row r="19" spans="1:11" x14ac:dyDescent="0.25">
      <c r="A19" s="87" t="s">
        <v>169</v>
      </c>
      <c r="B19" s="87">
        <v>2300</v>
      </c>
      <c r="C19" s="87">
        <v>5</v>
      </c>
      <c r="D19" s="87">
        <v>12</v>
      </c>
      <c r="E19" s="87">
        <f>+Tabla2[[#This Row],[CANTIDAD]]*Tabla2[[#This Row],[HORAS]]</f>
        <v>11500</v>
      </c>
      <c r="G19" t="s">
        <v>184</v>
      </c>
      <c r="H19">
        <v>1500</v>
      </c>
      <c r="I19">
        <v>5</v>
      </c>
      <c r="J19">
        <v>12</v>
      </c>
      <c r="K19">
        <f t="shared" si="0"/>
        <v>7500</v>
      </c>
    </row>
    <row r="20" spans="1:11" x14ac:dyDescent="0.25">
      <c r="A20" t="s">
        <v>169</v>
      </c>
      <c r="B20">
        <v>2300</v>
      </c>
      <c r="C20">
        <v>6</v>
      </c>
      <c r="D20">
        <v>13</v>
      </c>
      <c r="E20">
        <f>+Tabla2[[#This Row],[CANTIDAD]]*Tabla2[[#This Row],[HORAS]]</f>
        <v>13800</v>
      </c>
      <c r="F20" s="55"/>
      <c r="G20" s="55" t="s">
        <v>184</v>
      </c>
      <c r="H20">
        <v>1500</v>
      </c>
      <c r="I20">
        <v>6</v>
      </c>
      <c r="J20">
        <v>13</v>
      </c>
      <c r="K20">
        <f t="shared" si="0"/>
        <v>9000</v>
      </c>
    </row>
    <row r="21" spans="1:11" x14ac:dyDescent="0.25">
      <c r="A21" t="s">
        <v>169</v>
      </c>
      <c r="B21">
        <v>2300</v>
      </c>
      <c r="C21">
        <v>7</v>
      </c>
      <c r="D21">
        <v>14</v>
      </c>
      <c r="E21" s="20">
        <f>+Tabla2[[#This Row],[CANTIDAD]]*Tabla2[[#This Row],[HORAS]]</f>
        <v>16100</v>
      </c>
      <c r="G21" t="s">
        <v>184</v>
      </c>
      <c r="H21">
        <v>1500</v>
      </c>
      <c r="I21">
        <v>7</v>
      </c>
      <c r="J21">
        <v>14</v>
      </c>
      <c r="K21">
        <f t="shared" si="0"/>
        <v>10500</v>
      </c>
    </row>
    <row r="22" spans="1:11" x14ac:dyDescent="0.25">
      <c r="A22" s="79" t="s">
        <v>169</v>
      </c>
      <c r="B22" s="79">
        <v>2300</v>
      </c>
      <c r="C22" s="79">
        <v>8</v>
      </c>
      <c r="D22" s="79">
        <v>15</v>
      </c>
      <c r="E22" s="80">
        <f>+Tabla2[[#This Row],[CANTIDAD]]*Tabla2[[#This Row],[HORAS]]</f>
        <v>18400</v>
      </c>
      <c r="G22" t="s">
        <v>184</v>
      </c>
      <c r="H22">
        <v>1500</v>
      </c>
      <c r="I22">
        <v>8</v>
      </c>
      <c r="J22">
        <v>15</v>
      </c>
      <c r="K22">
        <f t="shared" si="0"/>
        <v>12000</v>
      </c>
    </row>
    <row r="23" spans="1:11" x14ac:dyDescent="0.25">
      <c r="A23" s="81" t="s">
        <v>169</v>
      </c>
      <c r="B23" s="81">
        <v>2300</v>
      </c>
      <c r="C23" s="81">
        <v>9</v>
      </c>
      <c r="D23" s="81">
        <v>16</v>
      </c>
      <c r="E23" s="82">
        <f>+Tabla2[[#This Row],[CANTIDAD]]*Tabla2[[#This Row],[HORAS]]</f>
        <v>20700</v>
      </c>
      <c r="G23" s="83" t="s">
        <v>184</v>
      </c>
      <c r="H23" s="81">
        <v>1500</v>
      </c>
      <c r="I23" s="81">
        <v>9</v>
      </c>
      <c r="J23" s="81">
        <v>16</v>
      </c>
      <c r="K23" s="81">
        <f t="shared" si="0"/>
        <v>13500</v>
      </c>
    </row>
    <row r="24" spans="1:11" x14ac:dyDescent="0.25">
      <c r="A24" t="s">
        <v>169</v>
      </c>
      <c r="B24">
        <v>2300</v>
      </c>
      <c r="C24">
        <v>9.5</v>
      </c>
      <c r="D24">
        <v>17</v>
      </c>
      <c r="E24" s="20">
        <f>+Tabla2[[#This Row],[CANTIDAD]]*Tabla2[[#This Row],[HORAS]]</f>
        <v>21850</v>
      </c>
      <c r="G24" s="55" t="s">
        <v>184</v>
      </c>
      <c r="H24">
        <v>1500</v>
      </c>
      <c r="I24">
        <v>9.5</v>
      </c>
      <c r="J24">
        <v>17.5</v>
      </c>
      <c r="K24">
        <f>+H24*I24</f>
        <v>14250</v>
      </c>
    </row>
    <row r="25" spans="1:11" x14ac:dyDescent="0.25">
      <c r="A25" t="s">
        <v>169</v>
      </c>
      <c r="B25">
        <v>2300</v>
      </c>
      <c r="C25">
        <v>10</v>
      </c>
      <c r="D25">
        <v>18</v>
      </c>
      <c r="E25" s="20">
        <f>+Tabla2[[#This Row],[CANTIDAD]]*Tabla2[[#This Row],[HORAS]]</f>
        <v>23000</v>
      </c>
      <c r="G25" t="s">
        <v>184</v>
      </c>
      <c r="H25">
        <v>1500</v>
      </c>
      <c r="I25">
        <v>10</v>
      </c>
      <c r="J25">
        <v>17</v>
      </c>
      <c r="K25">
        <f t="shared" si="0"/>
        <v>15000</v>
      </c>
    </row>
    <row r="26" spans="1:11" x14ac:dyDescent="0.25">
      <c r="A26" t="s">
        <v>169</v>
      </c>
      <c r="B26">
        <v>2300</v>
      </c>
      <c r="C26">
        <v>11</v>
      </c>
      <c r="D26">
        <v>19</v>
      </c>
      <c r="E26" s="20">
        <f>+Tabla2[[#This Row],[CANTIDAD]]*Tabla2[[#This Row],[HORAS]]</f>
        <v>25300</v>
      </c>
      <c r="G26" t="s">
        <v>184</v>
      </c>
      <c r="H26">
        <v>1500</v>
      </c>
      <c r="I26">
        <v>11</v>
      </c>
      <c r="J26">
        <v>18</v>
      </c>
      <c r="K26">
        <f t="shared" si="0"/>
        <v>16500</v>
      </c>
    </row>
    <row r="27" spans="1:11" x14ac:dyDescent="0.25">
      <c r="A27" t="s">
        <v>169</v>
      </c>
      <c r="B27">
        <v>2300</v>
      </c>
      <c r="C27">
        <v>12</v>
      </c>
      <c r="D27">
        <v>20</v>
      </c>
      <c r="E27" s="20">
        <f>+Tabla2[[#This Row],[CANTIDAD]]*Tabla2[[#This Row],[HORAS]]</f>
        <v>27600</v>
      </c>
      <c r="G27" t="s">
        <v>184</v>
      </c>
      <c r="H27">
        <v>1500</v>
      </c>
      <c r="I27">
        <v>12</v>
      </c>
      <c r="J27">
        <v>19</v>
      </c>
      <c r="K27">
        <f t="shared" si="0"/>
        <v>18000</v>
      </c>
    </row>
    <row r="28" spans="1:11" x14ac:dyDescent="0.25">
      <c r="A28" t="s">
        <v>169</v>
      </c>
      <c r="B28">
        <v>2300</v>
      </c>
      <c r="C28">
        <v>13</v>
      </c>
      <c r="D28">
        <v>21</v>
      </c>
      <c r="E28" s="20">
        <f>+Tabla2[[#This Row],[CANTIDAD]]*Tabla2[[#This Row],[HORAS]]</f>
        <v>29900</v>
      </c>
      <c r="G28" t="s">
        <v>184</v>
      </c>
      <c r="H28">
        <v>1500</v>
      </c>
      <c r="I28">
        <v>13</v>
      </c>
      <c r="J28">
        <v>20</v>
      </c>
      <c r="K28">
        <f t="shared" si="0"/>
        <v>19500</v>
      </c>
    </row>
    <row r="29" spans="1:11" x14ac:dyDescent="0.25">
      <c r="G29" t="s">
        <v>184</v>
      </c>
      <c r="H29">
        <v>1500</v>
      </c>
      <c r="I29">
        <v>14</v>
      </c>
      <c r="J29">
        <v>21</v>
      </c>
      <c r="K29">
        <f t="shared" si="0"/>
        <v>21000</v>
      </c>
    </row>
    <row r="30" spans="1:11" x14ac:dyDescent="0.25">
      <c r="A30" s="45" t="s">
        <v>172</v>
      </c>
      <c r="B30" t="s">
        <v>170</v>
      </c>
      <c r="C30" t="s">
        <v>171</v>
      </c>
      <c r="D30" t="s">
        <v>174</v>
      </c>
      <c r="E30" t="s">
        <v>173</v>
      </c>
    </row>
    <row r="31" spans="1:11" x14ac:dyDescent="0.25">
      <c r="A31" s="65" t="s">
        <v>175</v>
      </c>
      <c r="B31" s="56">
        <v>1500</v>
      </c>
      <c r="C31" s="56">
        <v>1</v>
      </c>
      <c r="D31" s="56">
        <v>8</v>
      </c>
      <c r="E31" s="66">
        <f>+B31*C31</f>
        <v>1500</v>
      </c>
    </row>
    <row r="32" spans="1:11" x14ac:dyDescent="0.25">
      <c r="A32" s="65" t="s">
        <v>175</v>
      </c>
      <c r="B32" s="56">
        <v>1500</v>
      </c>
      <c r="C32" s="56">
        <v>2</v>
      </c>
      <c r="D32" s="56">
        <v>9</v>
      </c>
      <c r="E32" s="66">
        <f t="shared" ref="E32:E44" si="1">+B32*C32</f>
        <v>3000</v>
      </c>
    </row>
    <row r="33" spans="1:5" x14ac:dyDescent="0.25">
      <c r="A33" s="65" t="s">
        <v>175</v>
      </c>
      <c r="B33" s="56">
        <v>1500</v>
      </c>
      <c r="C33" s="56">
        <v>3</v>
      </c>
      <c r="D33" s="56">
        <v>10</v>
      </c>
      <c r="E33" s="66">
        <f t="shared" si="1"/>
        <v>4500</v>
      </c>
    </row>
    <row r="34" spans="1:5" x14ac:dyDescent="0.25">
      <c r="A34" s="65" t="s">
        <v>175</v>
      </c>
      <c r="B34" s="56">
        <v>1500</v>
      </c>
      <c r="C34" s="56">
        <v>4</v>
      </c>
      <c r="D34" s="56">
        <v>11</v>
      </c>
      <c r="E34" s="66">
        <f t="shared" si="1"/>
        <v>6000</v>
      </c>
    </row>
    <row r="35" spans="1:5" x14ac:dyDescent="0.25">
      <c r="A35" s="65" t="s">
        <v>175</v>
      </c>
      <c r="B35" s="56">
        <v>1500</v>
      </c>
      <c r="C35" s="56">
        <v>5</v>
      </c>
      <c r="D35" s="56">
        <v>12</v>
      </c>
      <c r="E35" s="66">
        <f t="shared" si="1"/>
        <v>7500</v>
      </c>
    </row>
    <row r="36" spans="1:5" x14ac:dyDescent="0.25">
      <c r="A36" s="65" t="s">
        <v>175</v>
      </c>
      <c r="B36" s="56">
        <v>1500</v>
      </c>
      <c r="C36" s="56">
        <v>6</v>
      </c>
      <c r="D36" s="56">
        <v>13</v>
      </c>
      <c r="E36" s="66">
        <f t="shared" si="1"/>
        <v>9000</v>
      </c>
    </row>
    <row r="37" spans="1:5" x14ac:dyDescent="0.25">
      <c r="A37" s="65" t="s">
        <v>175</v>
      </c>
      <c r="B37" s="56">
        <v>1500</v>
      </c>
      <c r="C37" s="56">
        <v>7</v>
      </c>
      <c r="D37" s="56">
        <v>14</v>
      </c>
      <c r="E37" s="66">
        <f t="shared" si="1"/>
        <v>10500</v>
      </c>
    </row>
    <row r="38" spans="1:5" x14ac:dyDescent="0.25">
      <c r="A38" s="65" t="s">
        <v>175</v>
      </c>
      <c r="B38" s="56">
        <v>1500</v>
      </c>
      <c r="C38" s="56">
        <v>8</v>
      </c>
      <c r="D38" s="56">
        <v>15</v>
      </c>
      <c r="E38" s="66">
        <f t="shared" si="1"/>
        <v>12000</v>
      </c>
    </row>
    <row r="39" spans="1:5" x14ac:dyDescent="0.25">
      <c r="A39" s="76" t="s">
        <v>175</v>
      </c>
      <c r="B39" s="77">
        <v>1500</v>
      </c>
      <c r="C39" s="77">
        <v>9</v>
      </c>
      <c r="D39" s="77">
        <v>16</v>
      </c>
      <c r="E39" s="78">
        <f t="shared" si="1"/>
        <v>13500</v>
      </c>
    </row>
    <row r="40" spans="1:5" x14ac:dyDescent="0.25">
      <c r="A40" s="65" t="s">
        <v>175</v>
      </c>
      <c r="B40" s="56">
        <v>1500</v>
      </c>
      <c r="C40" s="56">
        <v>9.5</v>
      </c>
      <c r="D40" s="56">
        <v>17</v>
      </c>
      <c r="E40" s="66">
        <f t="shared" si="1"/>
        <v>14250</v>
      </c>
    </row>
    <row r="41" spans="1:5" x14ac:dyDescent="0.25">
      <c r="A41" s="65" t="s">
        <v>175</v>
      </c>
      <c r="B41" s="56">
        <v>1500</v>
      </c>
      <c r="C41" s="56">
        <v>10</v>
      </c>
      <c r="D41" s="56">
        <v>17</v>
      </c>
      <c r="E41" s="66">
        <f>+B41*C41</f>
        <v>15000</v>
      </c>
    </row>
    <row r="42" spans="1:5" x14ac:dyDescent="0.25">
      <c r="A42" s="65" t="s">
        <v>175</v>
      </c>
      <c r="B42" s="56">
        <v>1500</v>
      </c>
      <c r="C42" s="56">
        <v>11</v>
      </c>
      <c r="D42" s="56">
        <v>18</v>
      </c>
      <c r="E42" s="66">
        <f t="shared" si="1"/>
        <v>16500</v>
      </c>
    </row>
    <row r="43" spans="1:5" x14ac:dyDescent="0.25">
      <c r="A43" s="65" t="s">
        <v>175</v>
      </c>
      <c r="B43" s="56">
        <v>1500</v>
      </c>
      <c r="C43" s="56">
        <v>12</v>
      </c>
      <c r="D43" s="56">
        <v>19</v>
      </c>
      <c r="E43" s="66">
        <f t="shared" si="1"/>
        <v>18000</v>
      </c>
    </row>
    <row r="44" spans="1:5" x14ac:dyDescent="0.25">
      <c r="A44" s="67" t="s">
        <v>175</v>
      </c>
      <c r="B44" s="75">
        <v>1500</v>
      </c>
      <c r="C44" s="56">
        <v>13</v>
      </c>
      <c r="D44" s="75">
        <v>20</v>
      </c>
      <c r="E44" s="68">
        <f t="shared" si="1"/>
        <v>19500</v>
      </c>
    </row>
    <row r="45" spans="1:5" x14ac:dyDescent="0.25">
      <c r="A45" s="65"/>
      <c r="B45" s="56"/>
      <c r="C45" s="56">
        <v>14</v>
      </c>
      <c r="D45" s="56"/>
      <c r="E45" s="66">
        <f>+B45*C45</f>
        <v>0</v>
      </c>
    </row>
  </sheetData>
  <mergeCells count="2">
    <mergeCell ref="G1:H1"/>
    <mergeCell ref="J1:K1"/>
  </mergeCells>
  <phoneticPr fontId="6" type="noConversion"/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F8EBE-27C4-4071-AD06-61A550E7C5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REGISTRO</vt:lpstr>
      <vt:lpstr>PRODUCCIÓN</vt:lpstr>
      <vt:lpstr>Hoja1</vt:lpstr>
      <vt:lpstr>DATOSS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IFA-IMPRENTA</dc:creator>
  <cp:lastModifiedBy>IFA-IMPRENTA</cp:lastModifiedBy>
  <dcterms:created xsi:type="dcterms:W3CDTF">2026-01-20T18:30:14Z</dcterms:created>
  <dcterms:modified xsi:type="dcterms:W3CDTF">2026-06-15T14:30:55Z</dcterms:modified>
</cp:coreProperties>
</file>