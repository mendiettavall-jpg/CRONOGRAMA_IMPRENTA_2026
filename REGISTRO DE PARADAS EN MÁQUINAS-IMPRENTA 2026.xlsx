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192.168.111.246\Planificacion\aalba\IMP. AYDEE NOGALES\"/>
    </mc:Choice>
  </mc:AlternateContent>
  <xr:revisionPtr revIDLastSave="0" documentId="13_ncr:1_{64D44434-1ED8-4459-9781-05C11A7231E8}" xr6:coauthVersionLast="47" xr6:coauthVersionMax="47" xr10:uidLastSave="{00000000-0000-0000-0000-000000000000}"/>
  <bookViews>
    <workbookView xWindow="-120" yWindow="-120" windowWidth="21840" windowHeight="13020" activeTab="2" xr2:uid="{D19767F5-D8D3-4EBF-95BD-F0C718597A11}"/>
  </bookViews>
  <sheets>
    <sheet name="Hoja1" sheetId="3" r:id="rId1"/>
    <sheet name="REG. PARADAS MTTO. 2026" sheetId="6" r:id="rId2"/>
    <sheet name="REG. PARADAS MTTO. 2025" sheetId="7" r:id="rId3"/>
    <sheet name="Hoja7" sheetId="9" r:id="rId4"/>
    <sheet name="TIPO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7" l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</calcChain>
</file>

<file path=xl/sharedStrings.xml><?xml version="1.0" encoding="utf-8"?>
<sst xmlns="http://schemas.openxmlformats.org/spreadsheetml/2006/main" count="1517" uniqueCount="492">
  <si>
    <t>Área</t>
  </si>
  <si>
    <t>Fecha inicio</t>
  </si>
  <si>
    <t>Hora inicio</t>
  </si>
  <si>
    <t>Fecha fin</t>
  </si>
  <si>
    <t>Hora fin</t>
  </si>
  <si>
    <t>Horas Parada</t>
  </si>
  <si>
    <t>Máquina</t>
  </si>
  <si>
    <t>Tipo de falla</t>
  </si>
  <si>
    <t>Subtipo de falla</t>
  </si>
  <si>
    <t>Técnico responsable</t>
  </si>
  <si>
    <t>Tipo mantenimiento</t>
  </si>
  <si>
    <t>Repuesto cambiado</t>
  </si>
  <si>
    <t>IMPRENTA</t>
  </si>
  <si>
    <t>MECÁNICA</t>
  </si>
  <si>
    <t>NEUMÁTICA</t>
  </si>
  <si>
    <t>ELÉCTRICA</t>
  </si>
  <si>
    <t>FALLA MOTOR PRINCIPAL</t>
  </si>
  <si>
    <t>ELECTRÓNICA</t>
  </si>
  <si>
    <t>LUBRICACIÓN</t>
  </si>
  <si>
    <t>ROTURA DE CORREAS Y BANDAS</t>
  </si>
  <si>
    <t>FUGAS DE AIRE</t>
  </si>
  <si>
    <t>FALLA DE SENSORES</t>
  </si>
  <si>
    <t>FALTA DE LUBRICACIÓN</t>
  </si>
  <si>
    <t>DESGASTE DE ENGRANAJES</t>
  </si>
  <si>
    <t>CONTACTOR O RELÉ DAÑADO</t>
  </si>
  <si>
    <t>CILINDROS DAÑADOS</t>
  </si>
  <si>
    <t>FALLA PLC</t>
  </si>
  <si>
    <t>CONTAMINACIÓN DE ACEITE</t>
  </si>
  <si>
    <t>RODAMIENTOS DAÑADOS</t>
  </si>
  <si>
    <t>DISPARO DE PROTECCIONES</t>
  </si>
  <si>
    <t>ELECTROVÁLVULAS DEFECTUOSAS</t>
  </si>
  <si>
    <t>FALLA HMI</t>
  </si>
  <si>
    <t>FALLA BOMBA LUBRICACIÓN</t>
  </si>
  <si>
    <t>CADENAS SUELTAS</t>
  </si>
  <si>
    <t>FALLA VARIADOR FRECUENCIA</t>
  </si>
  <si>
    <t>BAJA PRESIÓN SISTEMA</t>
  </si>
  <si>
    <t>FALLA TARJETAS ELECTRÓNICAS</t>
  </si>
  <si>
    <t>EXCESO DE GRASA</t>
  </si>
  <si>
    <t>DESALINEACIÓN DE EJES</t>
  </si>
  <si>
    <t>CORTO O CABLEADO DAÑADO</t>
  </si>
  <si>
    <t>REGULADOR DE PRESIÓN DEFECTUOSO</t>
  </si>
  <si>
    <t>FALLA ENCODER</t>
  </si>
  <si>
    <t>FILTRO TAPADO</t>
  </si>
  <si>
    <t>FALLA SISTEMA TRANSPORTE</t>
  </si>
  <si>
    <t>FALLA FUENTE DE PODER</t>
  </si>
  <si>
    <t>MANGUERAS DAÑADAS</t>
  </si>
  <si>
    <t>FALLA COMUNICACIÓN PLC</t>
  </si>
  <si>
    <t>LÍNEA DE LUBRICACIÓN TAPADA</t>
  </si>
  <si>
    <t>Descripción detallada de acción realizada</t>
  </si>
  <si>
    <t>Sistema</t>
  </si>
  <si>
    <t>Acción correctiva típica</t>
  </si>
  <si>
    <t>Mecánico</t>
  </si>
  <si>
    <t>Cuchillas</t>
  </si>
  <si>
    <t>Desgaste</t>
  </si>
  <si>
    <t>Uso continuo</t>
  </si>
  <si>
    <t>Corte con rebaba</t>
  </si>
  <si>
    <t>Desalineación</t>
  </si>
  <si>
    <t>Corte inclinado</t>
  </si>
  <si>
    <t>Baja presión</t>
  </si>
  <si>
    <t>Guías</t>
  </si>
  <si>
    <t>Hidráulico</t>
  </si>
  <si>
    <t>Bomba</t>
  </si>
  <si>
    <t>Desgaste interno</t>
  </si>
  <si>
    <t>No corta material</t>
  </si>
  <si>
    <t>Válvulas</t>
  </si>
  <si>
    <t>Atascadas</t>
  </si>
  <si>
    <t>Corte irregular</t>
  </si>
  <si>
    <t>Aceite</t>
  </si>
  <si>
    <t>Falta mantenimiento</t>
  </si>
  <si>
    <t>Sobrecalentamiento</t>
  </si>
  <si>
    <t>Cilindros</t>
  </si>
  <si>
    <t>Eléctrico</t>
  </si>
  <si>
    <t>Motor</t>
  </si>
  <si>
    <t>Sobrecarga</t>
  </si>
  <si>
    <t>Contactores</t>
  </si>
  <si>
    <t>No arranca</t>
  </si>
  <si>
    <t>Electrónico</t>
  </si>
  <si>
    <t>PLC</t>
  </si>
  <si>
    <t>Reset / reprogramación</t>
  </si>
  <si>
    <t>Corte fuera de medida</t>
  </si>
  <si>
    <t>Sensores</t>
  </si>
  <si>
    <t>Suciedad</t>
  </si>
  <si>
    <t>Limpieza sensores</t>
  </si>
  <si>
    <t>Lubricación</t>
  </si>
  <si>
    <t>Olvido mantenimiento</t>
  </si>
  <si>
    <t>Movimiento duro</t>
  </si>
  <si>
    <t>Engrase general</t>
  </si>
  <si>
    <t>Sistema central</t>
  </si>
  <si>
    <t>Desgaste acelerado</t>
  </si>
  <si>
    <t>Neumático</t>
  </si>
  <si>
    <t>Operador</t>
  </si>
  <si>
    <t>Ajuste</t>
  </si>
  <si>
    <t>Error humano</t>
  </si>
  <si>
    <t>Material</t>
  </si>
  <si>
    <t>Paro máquina</t>
  </si>
  <si>
    <t>Subtipo</t>
  </si>
  <si>
    <t>Causa más común</t>
  </si>
  <si>
    <t>Síntoma en máquina</t>
  </si>
  <si>
    <t>Afilado / cambio de cuchillas</t>
  </si>
  <si>
    <t>Golpe o ajuste incorrecto</t>
  </si>
  <si>
    <t>Ajuste de cuchillas</t>
  </si>
  <si>
    <t>Prensa</t>
  </si>
  <si>
    <t>Fatiga mecánica</t>
  </si>
  <si>
    <t>El papel se mueve</t>
  </si>
  <si>
    <t>Ajuste sistema de presión</t>
  </si>
  <si>
    <t>Reparar o cambiar bomba</t>
  </si>
  <si>
    <t>Contaminación</t>
  </si>
  <si>
    <t>Movimiento lento</t>
  </si>
  <si>
    <t>Cambio de aceite + filtro</t>
  </si>
  <si>
    <t>Limpieza / reemplazo</t>
  </si>
  <si>
    <t>Paro de máquina</t>
  </si>
  <si>
    <t>Revisión motor / carga</t>
  </si>
  <si>
    <t>Falla</t>
  </si>
  <si>
    <t>Quemado</t>
  </si>
  <si>
    <t>Cambio de contactor</t>
  </si>
  <si>
    <t>Bloqueo</t>
  </si>
  <si>
    <t>Error de programa</t>
  </si>
  <si>
    <t>Máquina no responde</t>
  </si>
  <si>
    <t>Falla lectura</t>
  </si>
  <si>
    <t>Paro de seguridad</t>
  </si>
  <si>
    <t>Limpieza / ajuste</t>
  </si>
  <si>
    <t>Falta de grasa</t>
  </si>
  <si>
    <t>Operación</t>
  </si>
  <si>
    <t>Mala configuración</t>
  </si>
  <si>
    <t>Reentrenamiento operador</t>
  </si>
  <si>
    <t>Entintado</t>
  </si>
  <si>
    <t>Rodillos</t>
  </si>
  <si>
    <t>Variación de color</t>
  </si>
  <si>
    <t>Cambio de rodillos</t>
  </si>
  <si>
    <t>Tintero</t>
  </si>
  <si>
    <t>Dosificación irregular</t>
  </si>
  <si>
    <t>Mal ajuste</t>
  </si>
  <si>
    <t>Mancha o exceso de tinta</t>
  </si>
  <si>
    <t>Ajuste de cuchilla tintero</t>
  </si>
  <si>
    <t>Tinta</t>
  </si>
  <si>
    <t>Secado prematuro</t>
  </si>
  <si>
    <t>Ambiente / aditivo</t>
  </si>
  <si>
    <t>Tinta se “corta”</t>
  </si>
  <si>
    <t>Ajuste de aditivos</t>
  </si>
  <si>
    <t>Mojado</t>
  </si>
  <si>
    <t>Agua</t>
  </si>
  <si>
    <t>Exceso de humedad</t>
  </si>
  <si>
    <t>Mala calibración</t>
  </si>
  <si>
    <t>Emulsión tinta-agua</t>
  </si>
  <si>
    <t>Ajuste sistema mojado</t>
  </si>
  <si>
    <t>Cristalización</t>
  </si>
  <si>
    <t>Pérdida de transferencia</t>
  </si>
  <si>
    <t>Limpieza química</t>
  </si>
  <si>
    <t>Desregistro</t>
  </si>
  <si>
    <t>Desajuste mecánico</t>
  </si>
  <si>
    <t>Colores desalineados</t>
  </si>
  <si>
    <t>Ajuste de registro</t>
  </si>
  <si>
    <t>Engranajes</t>
  </si>
  <si>
    <t>Vibración / ruido</t>
  </si>
  <si>
    <t>Revisión y cambio</t>
  </si>
  <si>
    <t>Alimentación</t>
  </si>
  <si>
    <t>Ventosas</t>
  </si>
  <si>
    <t>Baja succión</t>
  </si>
  <si>
    <t>Fuga de aire</t>
  </si>
  <si>
    <t>Doble hoja o fallo alimentación</t>
  </si>
  <si>
    <t>Limpieza / cambio</t>
  </si>
  <si>
    <t>Separador</t>
  </si>
  <si>
    <t>Fallo ajuste</t>
  </si>
  <si>
    <t>Atascos de papel</t>
  </si>
  <si>
    <t>Ajuste feeder</t>
  </si>
  <si>
    <t>Compresor</t>
  </si>
  <si>
    <t>Fuga sistema</t>
  </si>
  <si>
    <t>Mala alimentación papel</t>
  </si>
  <si>
    <t>Revisión red aire</t>
  </si>
  <si>
    <t>Error de sincronización</t>
  </si>
  <si>
    <t>Software</t>
  </si>
  <si>
    <t>Reset / diagnóstico</t>
  </si>
  <si>
    <t>Fallo lectura</t>
  </si>
  <si>
    <t>Suciedad papel</t>
  </si>
  <si>
    <t>Paradas falsas</t>
  </si>
  <si>
    <t>Mantenimiento deficiente</t>
  </si>
  <si>
    <t>Registro</t>
  </si>
  <si>
    <t>Error de ajuste</t>
  </si>
  <si>
    <t>Imagen corrida</t>
  </si>
  <si>
    <t>Recalibración</t>
  </si>
  <si>
    <t>Papel</t>
  </si>
  <si>
    <t>Humedad incorrecta</t>
  </si>
  <si>
    <t>Almacenamiento</t>
  </si>
  <si>
    <t>Arrugas / mala impresión</t>
  </si>
  <si>
    <t>Control de materia prima</t>
  </si>
  <si>
    <t>KORD 2</t>
  </si>
  <si>
    <t>-</t>
  </si>
  <si>
    <t>GTO-52</t>
  </si>
  <si>
    <t>SPEEDMASTER</t>
  </si>
  <si>
    <t>KORD 1</t>
  </si>
  <si>
    <t>KORD 3</t>
  </si>
  <si>
    <t>GUILLOTINA COMO 115</t>
  </si>
  <si>
    <t>TROQ MERCEDES</t>
  </si>
  <si>
    <t>MOZP</t>
  </si>
  <si>
    <t>VILLEGAS ANDRADE WILLIAN</t>
  </si>
  <si>
    <t>ESTEVEZ MONTAÑO JUAN JESUS</t>
  </si>
  <si>
    <t>GTO 52</t>
  </si>
  <si>
    <t>LANZA TOLEDO FABIAN EDGAR</t>
  </si>
  <si>
    <t>VELASCO VILLARROEL HUGO DARLING</t>
  </si>
  <si>
    <t>TROQ PALETA</t>
  </si>
  <si>
    <t>TROQ 77</t>
  </si>
  <si>
    <t>TROQ 72</t>
  </si>
  <si>
    <t>TROQ 57</t>
  </si>
  <si>
    <t>SALVATIERRA FALDIN FERNANDO</t>
  </si>
  <si>
    <t>SUAREZ CHUVE JHONNY PERCY</t>
  </si>
  <si>
    <t>SEGALES SILVA MARCELO</t>
  </si>
  <si>
    <t>Sin descripción de acción registrada.</t>
  </si>
  <si>
    <t>Causa Raíz</t>
  </si>
  <si>
    <t>Reemplazo de paño filtrante estático. Segundo cambio documentado (previo: 5/8/2025).</t>
  </si>
  <si>
    <t>Paño estático</t>
  </si>
  <si>
    <t>Correctivo</t>
  </si>
  <si>
    <t>Elemento filtrante</t>
  </si>
  <si>
    <t>Desgaste por tiempo de uso</t>
  </si>
  <si>
    <t>Reparación de interruptor de encendido (clavisa). La máquina no presentó falla propia; técnico asignado a GTO-52.</t>
  </si>
  <si>
    <t>Interruptor</t>
  </si>
  <si>
    <t>Contacto/Interruptor</t>
  </si>
  <si>
    <t>Falso contacto por fatiga de muelle</t>
  </si>
  <si>
    <t>Reemplazo de manguera neumática rota que causaba fuga de aire general.</t>
  </si>
  <si>
    <t>Manguera neumática</t>
  </si>
  <si>
    <t>Fuga</t>
  </si>
  <si>
    <t>Fatiga de material por flexión repetitiva</t>
  </si>
  <si>
    <t>Cambio de mantilla. (Se excluye lavado por cambio de color: no es mantenimiento).</t>
  </si>
  <si>
    <t>Mantilla</t>
  </si>
  <si>
    <t>Elemento de impresión</t>
  </si>
  <si>
    <t>Desgaste superficial por uso</t>
  </si>
  <si>
    <t>Reemplazo de platina por rotura de lona. Patrón: mismo fallo el 10/1/2025.</t>
  </si>
  <si>
    <t>Platina / Lona</t>
  </si>
  <si>
    <t>Rotura de elemento textil</t>
  </si>
  <si>
    <t>Sobreesfuerzo por desalineación o fatiga</t>
  </si>
  <si>
    <t>Engrase general en zona de entrada de material. Todos los puntos de lubricación.</t>
  </si>
  <si>
    <t>Grasa</t>
  </si>
  <si>
    <t>Preventivo</t>
  </si>
  <si>
    <t>Engrase programado</t>
  </si>
  <si>
    <t>Mantenimiento planificado</t>
  </si>
  <si>
    <t>Adaptación de rodillo adicional para sistema de barnizado (modificación mecánica no original).</t>
  </si>
  <si>
    <t>Rodillo</t>
  </si>
  <si>
    <t>Modificación</t>
  </si>
  <si>
    <t>Adaptación</t>
  </si>
  <si>
    <t>Necesidad de proceso no estándar</t>
  </si>
  <si>
    <t>Armado de motor neumático y brazo de chupadores (sistema de alimentación por vacío).</t>
  </si>
  <si>
    <t>Motor de aire, chupadores</t>
  </si>
  <si>
    <t>Motor neumático</t>
  </si>
  <si>
    <t>Desmontaje previo no documentado</t>
  </si>
  <si>
    <t>Regulación de presión en Kompac N°3 por mancha unilateral. Falla recurrente (vista en 2025).</t>
  </si>
  <si>
    <t>Presión de rodillo</t>
  </si>
  <si>
    <t>Desgaste o descalibración por uso</t>
  </si>
  <si>
    <t>Rectificado de pieza en alineador de barniz + regulación.</t>
  </si>
  <si>
    <t>Desgaste superficial</t>
  </si>
  <si>
    <t>Fricción continua con barniz</t>
  </si>
  <si>
    <t>Mantenimiento general sin detalle de acciones.</t>
  </si>
  <si>
    <t>Rectificado de eje central por desgaste de correa de transmisión.</t>
  </si>
  <si>
    <t>Eje / Correa</t>
  </si>
  <si>
    <t>Desalineación o fatiga de correa</t>
  </si>
  <si>
    <t>Mantenimiento de correa de transmisión (tensado o reemplazo no especificado).</t>
  </si>
  <si>
    <t>Correa</t>
  </si>
  <si>
    <t>Pérdida de tensión por estiramiento</t>
  </si>
  <si>
    <t>Mantenimiento a TROQ MERCEDES (motor de aire). Nota: registro bajo máquina incorrecta.</t>
  </si>
  <si>
    <t>Motor de aire</t>
  </si>
  <si>
    <t>Rectificado de rodillo metálico por desgaste. Patrón: misma acción el 14/8/2025.</t>
  </si>
  <si>
    <t>Rodillo metálico</t>
  </si>
  <si>
    <t>Desgaste por fricción continua</t>
  </si>
  <si>
    <t>Cambio de plancha en cuerpo de imprimir N°4.</t>
  </si>
  <si>
    <t>Plancha</t>
  </si>
  <si>
    <t>Plancha de impresión</t>
  </si>
  <si>
    <t>Desgaste o daño por uso</t>
  </si>
  <si>
    <t>Desmontaje de piezas para mantenimiento (sin especificar componentes).</t>
  </si>
  <si>
    <t>Calibración y regulación de presión/alineación en rodillos.</t>
  </si>
  <si>
    <t>Calibración</t>
  </si>
  <si>
    <t>Mantenimiento programado</t>
  </si>
  <si>
    <t>Desmontaje general (fin no especificado).</t>
  </si>
  <si>
    <t>Reemplazo de araña (acople elástico) rota en polea del motor.</t>
  </si>
  <si>
    <t>Araña de acople</t>
  </si>
  <si>
    <t>Acople elástico</t>
  </si>
  <si>
    <t>Fatiga por torsión cíclica</t>
  </si>
  <si>
    <t>Soldadura de polea (solución no original). Consecuencia: velocidad fija, pérdida de regulación.</t>
  </si>
  <si>
    <t>Polea</t>
  </si>
  <si>
    <t>Rotura previa – reparación no estándar</t>
  </si>
  <si>
    <t>Mantenimiento general anual – día 1. Sin detalle de puntos.</t>
  </si>
  <si>
    <t>General</t>
  </si>
  <si>
    <t>Inspección anual</t>
  </si>
  <si>
    <t>Programado</t>
  </si>
  <si>
    <t>Mantenimiento general anual – día 2.</t>
  </si>
  <si>
    <t>Mantenimiento general anual – día 3.</t>
  </si>
  <si>
    <t>Mantenimiento general anual – día 4.</t>
  </si>
  <si>
    <t>Apoyo a mantenimiento de GTO-52. Sin falla propia.</t>
  </si>
  <si>
    <t>Apoyo a mantenimiento de GTO-52.</t>
  </si>
  <si>
    <t>Instalación de platina nueva (elemento de corte).</t>
  </si>
  <si>
    <t>Platina</t>
  </si>
  <si>
    <t>Desgaste por uso</t>
  </si>
  <si>
    <t>Mantenimiento y arranque posterior a cambio de máquina.</t>
  </si>
  <si>
    <t>Regulación de pinza (sistema de sujeción).</t>
  </si>
  <si>
    <t>Pinza</t>
  </si>
  <si>
    <t>Descalibración por uso</t>
  </si>
  <si>
    <t>ARANCIBIA MELGAR WALDO</t>
  </si>
  <si>
    <t>Desmontaje de platina vieja.</t>
  </si>
  <si>
    <t>Fin de vida útil</t>
  </si>
  <si>
    <t>Cambio de platina + regulación de presión neumática.</t>
  </si>
  <si>
    <t>Neumático / Mecánico</t>
  </si>
  <si>
    <t>Presión / Platina</t>
  </si>
  <si>
    <t>Desgaste + descalibración</t>
  </si>
  <si>
    <t>Mantenimiento general sin detalle.</t>
  </si>
  <si>
    <t>Montaje de troqueladora (armado posterior a desmontaje).</t>
  </si>
  <si>
    <t>Montaje</t>
  </si>
  <si>
    <t>Mantenimiento y armado de troqueladora.</t>
  </si>
  <si>
    <t>Mantenimiento de troqueladora sin detalle.</t>
  </si>
  <si>
    <t>Desalineación en corte de vena y registro.</t>
  </si>
  <si>
    <t>Registro / Corte</t>
  </si>
  <si>
    <t>Desajuste por vibración</t>
  </si>
  <si>
    <t>Lubricación general.</t>
  </si>
  <si>
    <t>Rectificado de buje de pinza por desgaste interno.</t>
  </si>
  <si>
    <t>Buje</t>
  </si>
  <si>
    <t>Desgaste por fricción</t>
  </si>
  <si>
    <t>Lubricación general (segundo de cuatro).</t>
  </si>
  <si>
    <t>Lubricación general (tercero de cuatro).</t>
  </si>
  <si>
    <t>Lubricación general (cuarto de cuatro). Frecuencia: 12-20 días.</t>
  </si>
  <si>
    <t>Mantenimiento extendido (varios días). Sin detalle de acciones.</t>
  </si>
  <si>
    <t>Presión de aire insuficiente. Máquina parada. Revisión de red neumática.</t>
  </si>
  <si>
    <t>Presión</t>
  </si>
  <si>
    <t>Fuga o compresor</t>
  </si>
  <si>
    <t>Falla en electroválvula neumática y rodillo tomador de tinta.</t>
  </si>
  <si>
    <t>Electroválvula</t>
  </si>
  <si>
    <t>Válvula / Rodillo</t>
  </si>
  <si>
    <t>Obstrucción o desgaste</t>
  </si>
  <si>
    <t>Desincrustación de rodillos (eliminación de residuos de tinta seca).</t>
  </si>
  <si>
    <t>Acumulación de tinta</t>
  </si>
  <si>
    <t>Reparación del tomador de tinta N°2.</t>
  </si>
  <si>
    <t>Tomador de tinta</t>
  </si>
  <si>
    <t>Desgaste o atasco</t>
  </si>
  <si>
    <t>Intervención en rodillos del cuerpo 2 (ajuste o limpieza).</t>
  </si>
  <si>
    <t>Cambio de mantilla en 2 cuerpos.</t>
  </si>
  <si>
    <t>Mantenimiento de compresor + espera de alcohol isopropílico.</t>
  </si>
  <si>
    <t>Falta de insumo</t>
  </si>
  <si>
    <t>Mantenimiento de enfriador + limpieza de área.</t>
  </si>
  <si>
    <t>Enfriador</t>
  </si>
  <si>
    <t>Mantenimiento de compresor de aire (filtros, drenaje).</t>
  </si>
  <si>
    <t>Reparación de bomba de aire (sistema neumático general).</t>
  </si>
  <si>
    <t>Bomba de aire</t>
  </si>
  <si>
    <t>Corrección de botón de detención en salida de material.</t>
  </si>
  <si>
    <t>Botón</t>
  </si>
  <si>
    <t>Botón de parada</t>
  </si>
  <si>
    <t>Falso contacto</t>
  </si>
  <si>
    <t>Misma falla: botón de detención (doble registro).</t>
  </si>
  <si>
    <t>Problema de motor + limpieza de filtro + cilindros de agarre + limpieza entrada + engrase.</t>
  </si>
  <si>
    <t>Motor / Cilindros</t>
  </si>
  <si>
    <t>Problemas en impresión por fallo en enfriador.</t>
  </si>
  <si>
    <t>Cambio de mantilla en cuerpo N°2.</t>
  </si>
  <si>
    <t>Reparación de alimentador de barniz (sistema de dosificación).</t>
  </si>
  <si>
    <t>Alimentador</t>
  </si>
  <si>
    <t>Reparación de bandeja de UV (soporte o reflector).</t>
  </si>
  <si>
    <t>Bandeja UV</t>
  </si>
  <si>
    <t>Tensado de malla + verificación de lámpara UV.</t>
  </si>
  <si>
    <t>Mecánico / Eléctrico</t>
  </si>
  <si>
    <t>Malla / Lámpara</t>
  </si>
  <si>
    <t>Desgaste / Mantenimiento programado</t>
  </si>
  <si>
    <t>CHAPPI HURTADO JESUS</t>
  </si>
  <si>
    <t>Mantenimiento del sistema de toma de barniz.</t>
  </si>
  <si>
    <t>Toma de barniz</t>
  </si>
  <si>
    <t>Regulación de malla (tensado y alineación).</t>
  </si>
  <si>
    <t>Malla</t>
  </si>
  <si>
    <t>Regulación de bomba de aire y flauta (sistema de soplado).</t>
  </si>
  <si>
    <t>Bomba / Flauta</t>
  </si>
  <si>
    <t>Mantenimiento de perno de malla (elemento de fijación).</t>
  </si>
  <si>
    <t>Perno</t>
  </si>
  <si>
    <t>Rotura</t>
  </si>
  <si>
    <t>Mantenimiento de perno de malla (doble registro).</t>
  </si>
  <si>
    <t>Reparación de mantilla deformada por impacto o presión excesiva.</t>
  </si>
  <si>
    <t>Sobrecompresión</t>
  </si>
  <si>
    <t>Desgaste detectado en rodillo metálico.</t>
  </si>
  <si>
    <t>Fricción o mal ajuste entre rodillos.</t>
  </si>
  <si>
    <t>Descalibración</t>
  </si>
  <si>
    <t>Intervención en bandeja de barniz (limpieza o ajuste).</t>
  </si>
  <si>
    <t>Bandeja barniz</t>
  </si>
  <si>
    <t>Cadena de motor suelta: re tensado.</t>
  </si>
  <si>
    <t>Cadena</t>
  </si>
  <si>
    <t>Pérdida de tensión</t>
  </si>
  <si>
    <t>Cambio de platina.</t>
  </si>
  <si>
    <t>Cambio de funda de moletón.</t>
  </si>
  <si>
    <t>Funda</t>
  </si>
  <si>
    <t>Moletón</t>
  </si>
  <si>
    <t>Colocación de tapa + engrasado general.</t>
  </si>
  <si>
    <t>Engrase</t>
  </si>
  <si>
    <t>Colocación de pinza (sistema de sujeción).</t>
  </si>
  <si>
    <t>Cambio de moletón.</t>
  </si>
  <si>
    <t>Cambio de perno roto en malla de UV.</t>
  </si>
  <si>
    <t>Lámpara UV</t>
  </si>
  <si>
    <t>Mantenimiento de guillotina: cambio de 3 correas.</t>
  </si>
  <si>
    <t>Correas</t>
  </si>
  <si>
    <t>Rodamiento</t>
  </si>
  <si>
    <t>Desgaste por fatiga</t>
  </si>
  <si>
    <t>Calibración de cuchillas de guillotina.</t>
  </si>
  <si>
    <t>Cuchilla</t>
  </si>
  <si>
    <t>Mantenimiento de troqueladora paleta: cambio de aceite + engrase.</t>
  </si>
  <si>
    <t>Aceite, grasa</t>
  </si>
  <si>
    <t>Aceite / Engrase</t>
  </si>
  <si>
    <t>Atasco en mesa de entrada de papel de troqueladora 77.</t>
  </si>
  <si>
    <t>Atasco</t>
  </si>
  <si>
    <t>Obstrucción por material</t>
  </si>
  <si>
    <t>Regulación de pinza (ajuste de presión o alineación).</t>
  </si>
  <si>
    <t>Mantenimiento general. Requiere cambio de canastillo + soldadura de pieza de hierro fundido rota.</t>
  </si>
  <si>
    <t>Canastillo</t>
  </si>
  <si>
    <t>Canastillo / Estructura</t>
  </si>
  <si>
    <t>Rotura por fatiga</t>
  </si>
  <si>
    <t>Regulación por doble impresión (problema de registro).</t>
  </si>
  <si>
    <t>Mantenimiento de troqueladora N°77: regulación de piezas.</t>
  </si>
  <si>
    <t>Regulación</t>
  </si>
  <si>
    <t>Regulación + engrasado de rodamientos.</t>
  </si>
  <si>
    <t>Rectificado de teflones del dador de agua.</t>
  </si>
  <si>
    <t>Teflón</t>
  </si>
  <si>
    <t>Pasador</t>
  </si>
  <si>
    <t>Cambio de paño elástico.</t>
  </si>
  <si>
    <t>Paño elástico</t>
  </si>
  <si>
    <t>Mantenimiento de mantilla (ajuste o cambio).</t>
  </si>
  <si>
    <t>Reparación de pinza en troqueladora 57.</t>
  </si>
  <si>
    <t>Rectificado de mordaza (pinza) por desgaste.</t>
  </si>
  <si>
    <t>Soplador</t>
  </si>
  <si>
    <t>Fractura</t>
  </si>
  <si>
    <t>Regulación de balar en KORD 3 UV.</t>
  </si>
  <si>
    <t>Balar</t>
  </si>
  <si>
    <t>Cambio de seguro (elemento de protección).</t>
  </si>
  <si>
    <t>Seguro</t>
  </si>
  <si>
    <t>Intervención en barnizadora KORD 3.</t>
  </si>
  <si>
    <t>Problema en rodillo con Kompac N°4.</t>
  </si>
  <si>
    <t>Rodillo / Kompac</t>
  </si>
  <si>
    <t>Mantenimiento a soporte de rodillo en taller.</t>
  </si>
  <si>
    <t>Soporte</t>
  </si>
  <si>
    <t>Cambio de rodillo batidor en Kompac 4.</t>
  </si>
  <si>
    <t>Rodillo batidor</t>
  </si>
  <si>
    <t>Teflones rosados con el rodillo. Se retira Kompac para reparación.</t>
  </si>
  <si>
    <t>Teflón / Rodillo</t>
  </si>
  <si>
    <t>Fricción excesiva</t>
  </si>
  <si>
    <t>Desmontaje de Kompac N°3 por fuga de agua. Cambio de 2 rodamientos + prueba.</t>
  </si>
  <si>
    <t>Rodamientos</t>
  </si>
  <si>
    <t>Kompac / Rodamiento</t>
  </si>
  <si>
    <t>Fuga / Desgaste</t>
  </si>
  <si>
    <t>Colocación de rodillos entintadores + regulación + montaje de Kompac N°2.</t>
  </si>
  <si>
    <t>Rodillos / Kompac</t>
  </si>
  <si>
    <t>Lavado general. Kompac N°3 con fuga de agua. Lavado de cuerpo y Kompac N°2 por color sucio.</t>
  </si>
  <si>
    <t>Fuga de agua / Color</t>
  </si>
  <si>
    <t>Acumulación de residuos</t>
  </si>
  <si>
    <t>Problemas de sombra en Kompac N°1, 2 y 4.</t>
  </si>
  <si>
    <t>Kompac (sombra)</t>
  </si>
  <si>
    <t>Descalibración de humectación</t>
  </si>
  <si>
    <t>Cambio de mantilla en cuerpo N°3.</t>
  </si>
  <si>
    <t>Problema detectado en Kompac N°3 y N°4.</t>
  </si>
  <si>
    <t>Kompac</t>
  </si>
  <si>
    <t>Falla recurrente</t>
  </si>
  <si>
    <t>Mantenimiento de TROQ 72</t>
  </si>
  <si>
    <t>Mantenimiento de pinza (ajuste).</t>
  </si>
  <si>
    <t>Reparación en KORD 3</t>
  </si>
  <si>
    <t>Mantenimiento de lámpara UV</t>
  </si>
  <si>
    <t>GUILLOTINA QZYK</t>
  </si>
  <si>
    <t>Cambio de rodamiento en canastillo</t>
  </si>
  <si>
    <t>Rotura de pasador de pinza.</t>
  </si>
  <si>
    <t>Fractura de pieza en soplador de aire.</t>
  </si>
  <si>
    <t>Falla más frecuente (subtipo)</t>
  </si>
  <si>
    <t>Veces en 2025-2026</t>
  </si>
  <si>
    <t>Total horas parada</t>
  </si>
  <si>
    <t>Observación</t>
  </si>
  <si>
    <t>Engrase programado (lubricación)</t>
  </si>
  <si>
    <t>4 veces (21/7,21/8,22/8,3/9/2025)</t>
  </si>
  <si>
    <t>~2,1 h</t>
  </si>
  <si>
    <t>Pinza / buje</t>
  </si>
  <si>
    <t>2 veces (rectificado de buje + reparación de pinza)</t>
  </si>
  <si>
    <t>5,0 h</t>
  </si>
  <si>
    <t>Desgaste real por fricción.</t>
  </si>
  <si>
    <t>Kompac (todos los cuerpos)</t>
  </si>
  <si>
    <t>+8 intervenciones en 2025</t>
  </si>
  <si>
    <t>~35 h acumuladas</t>
  </si>
  <si>
    <t>Moletón / funda</t>
  </si>
  <si>
    <t>3 cambios (18/2,23/4,7/10/2025 + 13/1/2026)</t>
  </si>
  <si>
    <t>~4 h</t>
  </si>
  <si>
    <t>Desgaste frecuente, cada 4-6 meses aprox.</t>
  </si>
  <si>
    <t>Platina / lona</t>
  </si>
  <si>
    <t>2 cambios (10/1/2025, 6/2/2026)</t>
  </si>
  <si>
    <t>~7,5 h</t>
  </si>
  <si>
    <t>Rotura recurrente.</t>
  </si>
  <si>
    <t>Rodillo metálico / rectificado</t>
  </si>
  <si>
    <t>2 veces (14/8/2025, 6/5/2026)</t>
  </si>
  <si>
    <t>Patrón de desgaste por barniz UV.</t>
  </si>
  <si>
    <t>Neumático / tomador tinta</t>
  </si>
  <si>
    <t>4 intervenciones (3/2,21/2,31/3,13/10/2025)</t>
  </si>
  <si>
    <t>~10,7 h</t>
  </si>
  <si>
    <t>Problemas de presión, electroválvulas, tomador.</t>
  </si>
  <si>
    <t>2 cambios (10/2,16/7/2025)</t>
  </si>
  <si>
    <t>~6 h</t>
  </si>
  <si>
    <t>Reemplazo por desgaste de impresión.</t>
  </si>
  <si>
    <t>Compresor / aire</t>
  </si>
  <si>
    <t>3 intervenciones (12/2,27/3,9/4/2025)</t>
  </si>
  <si>
    <t>~15,4 h</t>
  </si>
  <si>
    <t>Fallos repetitivos en red neumática.</t>
  </si>
  <si>
    <t>Frecuencia cada 12-20 días. Esto es preventivo, no correctivo.</t>
  </si>
  <si>
    <t>Fallo crónico: fugas, sombras, rodamientos, desmontajes.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</si>
</sst>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0" fontId="0" fillId="0" borderId="0" xfId="0" applyAlignment="1"/>
    <xf numFmtId="169" fontId="0" fillId="0" borderId="0" xfId="0" applyNumberFormat="1" applyAlignment="1">
      <alignment wrapText="1"/>
    </xf>
  </cellXfs>
  <cellStyles count="1">
    <cellStyle name="Normal" xfId="0" builtinId="0"/>
  </cellStyles>
  <dxfs count="54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9" formatCode="0.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9" formatCode="0.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5" formatCode="hh:mm"/>
      <alignment horizontal="general" vertical="bottom" textRotation="0" wrapText="1" indent="0" justifyLastLine="0" shrinkToFit="0" readingOrder="0"/>
    </dxf>
    <dxf>
      <numFmt numFmtId="19" formatCode="d/m/yyyy"/>
      <alignment horizontal="general" vertical="bottom" textRotation="0" wrapText="1" indent="0" justifyLastLine="0" shrinkToFit="0" readingOrder="0"/>
    </dxf>
    <dxf>
      <numFmt numFmtId="25" formatCode="hh:mm"/>
      <alignment horizontal="general" vertical="bottom" textRotation="0" wrapText="1" indent="0" justifyLastLine="0" shrinkToFit="0" readingOrder="0"/>
    </dxf>
    <dxf>
      <numFmt numFmtId="19" formatCode="d/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5" formatCode="hh:mm"/>
      <alignment horizontal="general" vertical="bottom" textRotation="0" wrapText="1" indent="0" justifyLastLine="0" shrinkToFit="0" readingOrder="0"/>
    </dxf>
    <dxf>
      <numFmt numFmtId="19" formatCode="d/m/yyyy"/>
      <alignment horizontal="general" vertical="bottom" textRotation="0" wrapText="1" indent="0" justifyLastLine="0" shrinkToFit="0" readingOrder="0"/>
    </dxf>
    <dxf>
      <numFmt numFmtId="25" formatCode="hh:mm"/>
      <alignment horizontal="general" vertical="bottom" textRotation="0" wrapText="1" indent="0" justifyLastLine="0" shrinkToFit="0" readingOrder="0"/>
    </dxf>
    <dxf>
      <numFmt numFmtId="19" formatCode="d/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09FF36-42C2-49B8-83AC-83B390E287F0}" name="Tabla4" displayName="Tabla4" ref="A1:F13" totalsRowShown="0" headerRowDxfId="53" dataDxfId="52">
  <autoFilter ref="A1:F13" xr:uid="{BB09FF36-42C2-49B8-83AC-83B390E287F0}"/>
  <tableColumns count="6">
    <tableColumn id="1" xr3:uid="{149C868F-1FC7-4221-AE05-8C8F0DF72FF1}" name="Sistema" dataDxfId="51"/>
    <tableColumn id="2" xr3:uid="{95B340AC-B11C-4369-8D7C-EA3A2C02A338}" name="Tipo de falla" dataDxfId="50"/>
    <tableColumn id="3" xr3:uid="{8F7867E8-F492-404F-95DE-BA5BD7D5CB96}" name="Subtipo" dataDxfId="49"/>
    <tableColumn id="4" xr3:uid="{E043756B-1BCA-47DA-B936-EFD29DAD07CD}" name="Causa más común" dataDxfId="48"/>
    <tableColumn id="5" xr3:uid="{4E462659-46D7-4B12-AFAE-8A3F810F9D57}" name="Síntoma en máquina" dataDxfId="47"/>
    <tableColumn id="6" xr3:uid="{FA18D551-8BC2-4F9A-8D32-55D208E0DF93}" name="Acción correctiva típica" dataDxfId="46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74BE22-9369-4349-8937-925E8B035BC7}" name="Tabla6" displayName="Tabla6" ref="A1:N32" totalsRowShown="0" headerRowDxfId="27" dataDxfId="26">
  <autoFilter ref="A1:N32" xr:uid="{8574BE22-9369-4349-8937-925E8B035BC7}"/>
  <tableColumns count="14">
    <tableColumn id="1" xr3:uid="{8073999E-4AA1-49BF-8094-D4014ECF5022}" name="Máquina" dataDxfId="38"/>
    <tableColumn id="2" xr3:uid="{806C667F-20A8-423E-8754-4F1656EC221A}" name="Fecha inicio" dataDxfId="37"/>
    <tableColumn id="3" xr3:uid="{63E99B24-4B8E-49CD-95BB-DFC364973222}" name="Hora inicio" dataDxfId="36"/>
    <tableColumn id="4" xr3:uid="{95FAF8D7-32F2-484B-BED3-F56B290A2C61}" name="Fecha fin" dataDxfId="35"/>
    <tableColumn id="5" xr3:uid="{6551ADCE-7559-4B89-860F-DDC6EC778D79}" name="Hora fin" dataDxfId="34"/>
    <tableColumn id="6" xr3:uid="{21AA5DF2-5E0C-4DFE-90B9-17EE4E06FF84}" name="Técnico responsable" dataDxfId="33"/>
    <tableColumn id="7" xr3:uid="{C1131CD2-B2FF-4B84-97BE-DB4192E353F3}" name="Descripción detallada de acción realizada" dataDxfId="32"/>
    <tableColumn id="8" xr3:uid="{5F4E3E4B-8918-4D0D-8A63-D72C9C86E48F}" name="Repuesto cambiado" dataDxfId="12"/>
    <tableColumn id="9" xr3:uid="{F20C9DD4-FC88-4E0E-9274-B086393154B7}" name="Horas Parada" dataDxfId="10">
      <calculatedColumnFormula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calculatedColumnFormula>
    </tableColumn>
    <tableColumn id="10" xr3:uid="{60460440-CD01-48DD-AA76-91199BD232C6}" name="Área" dataDxfId="11"/>
    <tableColumn id="11" xr3:uid="{80C4C5A6-4C8B-4C8B-AC8E-A9AF0A80E615}" name="Tipo mantenimiento" dataDxfId="31"/>
    <tableColumn id="12" xr3:uid="{2D31E447-28E8-48F5-A051-0F239022B5B1}" name="Tipo de falla" dataDxfId="30"/>
    <tableColumn id="13" xr3:uid="{40FE4D39-A88D-468C-B8F2-2A5567EC0967}" name="Subtipo de falla" dataDxfId="29"/>
    <tableColumn id="14" xr3:uid="{88E5887C-E6B0-4B92-995B-C0DE7F7D2020}" name="Causa Raíz" dataDxfId="28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5226FA-0645-4E80-88A5-105DEBF6C687}" name="Tabla7" displayName="Tabla7" ref="A1:N111" totalsRowShown="0" headerRowDxfId="14" dataDxfId="13">
  <tableColumns count="14">
    <tableColumn id="1" xr3:uid="{57979AD4-2A98-45B7-9B05-63BA359091AC}" name="Máquina" dataDxfId="25"/>
    <tableColumn id="2" xr3:uid="{B127DC01-1E4C-45F4-BBF7-00BF93468117}" name="Fecha inicio" dataDxfId="24"/>
    <tableColumn id="3" xr3:uid="{821991D0-E5D0-403D-9D8F-EBCB0356BCB4}" name="Hora inicio" dataDxfId="23"/>
    <tableColumn id="4" xr3:uid="{779BB38D-C28B-4E59-93A9-890C95BFC9A6}" name="Fecha fin" dataDxfId="22"/>
    <tableColumn id="5" xr3:uid="{B2D4E5C3-6E16-4D0F-AB30-48985DE77D8F}" name="Hora fin" dataDxfId="21"/>
    <tableColumn id="6" xr3:uid="{F0FAD949-8902-4846-AA7D-263B50F9DF60}" name="Técnico responsable" dataDxfId="20"/>
    <tableColumn id="7" xr3:uid="{58C7339C-1982-4580-94FD-5C758AF5C328}" name="Descripción detallada de acción realizada" dataDxfId="19"/>
    <tableColumn id="8" xr3:uid="{281A1BEE-F2D5-429F-9D78-80DA85CFFABA}" name="Repuesto cambiado" dataDxfId="9"/>
    <tableColumn id="9" xr3:uid="{5E44DE43-F2FB-433C-B523-6D4D7FCFE629}" name="Horas Parada" dataDxfId="7">
      <calculatedColumnFormula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calculatedColumnFormula>
    </tableColumn>
    <tableColumn id="10" xr3:uid="{62176824-E3D7-4476-93D4-6DC8AB74C369}" name="Área" dataDxfId="8"/>
    <tableColumn id="11" xr3:uid="{C0F68204-0989-4AAA-B47E-D10454C1A156}" name="Tipo mantenimiento" dataDxfId="18"/>
    <tableColumn id="12" xr3:uid="{10417E8B-FEE6-49C2-89A1-3582F0167309}" name="Tipo de falla" dataDxfId="17"/>
    <tableColumn id="13" xr3:uid="{30446757-54CF-442B-9DE0-94E9D8DFF067}" name="Subtipo de falla" dataDxfId="16"/>
    <tableColumn id="14" xr3:uid="{B9823CF0-970D-44AD-B3E8-6C1F92E98A98}" name="Causa Raíz" dataDxfId="15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463A5-40DE-4D3F-9B35-BB063A262D34}" name="Tabla9" displayName="Tabla9" ref="B1:F10" totalsRowShown="0" headerRowDxfId="1" dataDxfId="0">
  <autoFilter ref="B1:F10" xr:uid="{659463A5-40DE-4D3F-9B35-BB063A262D34}"/>
  <tableColumns count="5">
    <tableColumn id="1" xr3:uid="{6D1FF343-D3C5-4C2A-9D3C-E06428F2A742}" name="Máquina" dataDxfId="6"/>
    <tableColumn id="2" xr3:uid="{612F93D4-3419-4E0B-93DB-9362A468DF1E}" name="Falla más frecuente (subtipo)" dataDxfId="5"/>
    <tableColumn id="3" xr3:uid="{FE092714-4357-4CFD-9CD7-27A8B0773AA0}" name="Veces en 2025-2026" dataDxfId="4"/>
    <tableColumn id="4" xr3:uid="{18407F24-EBF0-4DBF-9F38-DF74104F5AB8}" name="Total horas parada" dataDxfId="3"/>
    <tableColumn id="5" xr3:uid="{8F24EA39-832C-4923-95FC-9A8974CDA749}" name="Observación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0CB682-B875-485D-8F91-B09B57DEDDFD}" name="Tabla2" displayName="Tabla2" ref="A1:E7" totalsRowShown="0" headerRowDxfId="45" dataDxfId="44">
  <tableColumns count="5">
    <tableColumn id="1" xr3:uid="{B793B5A7-215B-425D-A613-8697A429F4DA}" name="MECÁNICA" dataDxfId="43"/>
    <tableColumn id="2" xr3:uid="{7F5E7306-F187-4847-B595-BD1118171347}" name="ELÉCTRICA" dataDxfId="42"/>
    <tableColumn id="3" xr3:uid="{C0EDF079-77BC-451A-BA00-36519898411F}" name="NEUMÁTICA" dataDxfId="41"/>
    <tableColumn id="4" xr3:uid="{AC3EA30D-45A9-4D12-9BEF-D48DF0A9E5F4}" name="ELECTRÓNICA" dataDxfId="40"/>
    <tableColumn id="5" xr3:uid="{CD1D58FC-B1D0-4CDF-ADE9-9E5EE774FBFA}" name="LUBRICACIÓN" dataDxfId="39"/>
  </tableColumns>
  <tableStyleInfo name="TableStyleMedium17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5C9C-61EA-482B-827C-46E26286731F}">
  <dimension ref="A1:F30"/>
  <sheetViews>
    <sheetView workbookViewId="0">
      <selection activeCell="F4" sqref="F4"/>
    </sheetView>
  </sheetViews>
  <sheetFormatPr baseColWidth="10" defaultRowHeight="28.5" customHeight="1" x14ac:dyDescent="0.25"/>
  <cols>
    <col min="2" max="2" width="14" customWidth="1"/>
    <col min="3" max="3" width="20.140625" customWidth="1"/>
    <col min="4" max="4" width="19.42578125" customWidth="1"/>
    <col min="5" max="5" width="21.42578125" customWidth="1"/>
    <col min="6" max="6" width="24" customWidth="1"/>
  </cols>
  <sheetData>
    <row r="1" spans="1:6" ht="28.5" customHeight="1" x14ac:dyDescent="0.25">
      <c r="A1" s="1" t="s">
        <v>49</v>
      </c>
      <c r="B1" s="1" t="s">
        <v>7</v>
      </c>
      <c r="C1" s="1" t="s">
        <v>95</v>
      </c>
      <c r="D1" s="1" t="s">
        <v>96</v>
      </c>
      <c r="E1" s="1" t="s">
        <v>97</v>
      </c>
      <c r="F1" s="1" t="s">
        <v>50</v>
      </c>
    </row>
    <row r="2" spans="1:6" ht="28.5" customHeight="1" x14ac:dyDescent="0.25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98</v>
      </c>
    </row>
    <row r="3" spans="1:6" ht="28.5" customHeight="1" x14ac:dyDescent="0.25">
      <c r="A3" s="2" t="s">
        <v>51</v>
      </c>
      <c r="B3" s="2" t="s">
        <v>52</v>
      </c>
      <c r="C3" s="2" t="s">
        <v>56</v>
      </c>
      <c r="D3" s="2" t="s">
        <v>99</v>
      </c>
      <c r="E3" s="2" t="s">
        <v>57</v>
      </c>
      <c r="F3" s="2" t="s">
        <v>100</v>
      </c>
    </row>
    <row r="4" spans="1:6" ht="28.5" customHeight="1" x14ac:dyDescent="0.25">
      <c r="A4" s="2" t="s">
        <v>51</v>
      </c>
      <c r="B4" s="2" t="s">
        <v>101</v>
      </c>
      <c r="C4" s="2" t="s">
        <v>58</v>
      </c>
      <c r="D4" s="2" t="s">
        <v>102</v>
      </c>
      <c r="E4" s="2" t="s">
        <v>103</v>
      </c>
      <c r="F4" s="2" t="s">
        <v>104</v>
      </c>
    </row>
    <row r="5" spans="1:6" ht="28.5" customHeight="1" x14ac:dyDescent="0.25">
      <c r="A5" s="2" t="s">
        <v>60</v>
      </c>
      <c r="B5" s="2" t="s">
        <v>61</v>
      </c>
      <c r="C5" s="2" t="s">
        <v>58</v>
      </c>
      <c r="D5" s="2" t="s">
        <v>62</v>
      </c>
      <c r="E5" s="2" t="s">
        <v>63</v>
      </c>
      <c r="F5" s="2" t="s">
        <v>105</v>
      </c>
    </row>
    <row r="6" spans="1:6" ht="28.5" customHeight="1" x14ac:dyDescent="0.25">
      <c r="A6" s="2" t="s">
        <v>60</v>
      </c>
      <c r="B6" s="2" t="s">
        <v>67</v>
      </c>
      <c r="C6" s="2" t="s">
        <v>106</v>
      </c>
      <c r="D6" s="2" t="s">
        <v>68</v>
      </c>
      <c r="E6" s="2" t="s">
        <v>107</v>
      </c>
      <c r="F6" s="2" t="s">
        <v>108</v>
      </c>
    </row>
    <row r="7" spans="1:6" ht="28.5" customHeight="1" x14ac:dyDescent="0.25">
      <c r="A7" s="2" t="s">
        <v>60</v>
      </c>
      <c r="B7" s="2" t="s">
        <v>64</v>
      </c>
      <c r="C7" s="2" t="s">
        <v>65</v>
      </c>
      <c r="D7" s="2" t="s">
        <v>81</v>
      </c>
      <c r="E7" s="2" t="s">
        <v>66</v>
      </c>
      <c r="F7" s="2" t="s">
        <v>109</v>
      </c>
    </row>
    <row r="8" spans="1:6" ht="28.5" customHeight="1" x14ac:dyDescent="0.25">
      <c r="A8" s="2" t="s">
        <v>71</v>
      </c>
      <c r="B8" s="2" t="s">
        <v>72</v>
      </c>
      <c r="C8" s="2" t="s">
        <v>69</v>
      </c>
      <c r="D8" s="2" t="s">
        <v>73</v>
      </c>
      <c r="E8" s="2" t="s">
        <v>110</v>
      </c>
      <c r="F8" s="2" t="s">
        <v>111</v>
      </c>
    </row>
    <row r="9" spans="1:6" ht="28.5" customHeight="1" x14ac:dyDescent="0.25">
      <c r="A9" s="2" t="s">
        <v>71</v>
      </c>
      <c r="B9" s="2" t="s">
        <v>74</v>
      </c>
      <c r="C9" s="2" t="s">
        <v>112</v>
      </c>
      <c r="D9" s="2" t="s">
        <v>113</v>
      </c>
      <c r="E9" s="2" t="s">
        <v>75</v>
      </c>
      <c r="F9" s="2" t="s">
        <v>114</v>
      </c>
    </row>
    <row r="10" spans="1:6" ht="28.5" customHeight="1" x14ac:dyDescent="0.25">
      <c r="A10" s="2" t="s">
        <v>76</v>
      </c>
      <c r="B10" s="2" t="s">
        <v>77</v>
      </c>
      <c r="C10" s="2" t="s">
        <v>115</v>
      </c>
      <c r="D10" s="2" t="s">
        <v>116</v>
      </c>
      <c r="E10" s="2" t="s">
        <v>117</v>
      </c>
      <c r="F10" s="2" t="s">
        <v>78</v>
      </c>
    </row>
    <row r="11" spans="1:6" ht="28.5" customHeight="1" x14ac:dyDescent="0.25">
      <c r="A11" s="2" t="s">
        <v>76</v>
      </c>
      <c r="B11" s="2" t="s">
        <v>80</v>
      </c>
      <c r="C11" s="2" t="s">
        <v>118</v>
      </c>
      <c r="D11" s="2" t="s">
        <v>81</v>
      </c>
      <c r="E11" s="2" t="s">
        <v>119</v>
      </c>
      <c r="F11" s="2" t="s">
        <v>120</v>
      </c>
    </row>
    <row r="12" spans="1:6" ht="28.5" customHeight="1" x14ac:dyDescent="0.25">
      <c r="A12" s="2" t="s">
        <v>83</v>
      </c>
      <c r="B12" s="2" t="s">
        <v>59</v>
      </c>
      <c r="C12" s="2" t="s">
        <v>121</v>
      </c>
      <c r="D12" s="2" t="s">
        <v>84</v>
      </c>
      <c r="E12" s="2" t="s">
        <v>85</v>
      </c>
      <c r="F12" s="2" t="s">
        <v>86</v>
      </c>
    </row>
    <row r="13" spans="1:6" ht="28.5" customHeight="1" x14ac:dyDescent="0.25">
      <c r="A13" s="2" t="s">
        <v>122</v>
      </c>
      <c r="B13" s="2" t="s">
        <v>91</v>
      </c>
      <c r="C13" s="2" t="s">
        <v>92</v>
      </c>
      <c r="D13" s="2" t="s">
        <v>123</v>
      </c>
      <c r="E13" s="2" t="s">
        <v>79</v>
      </c>
      <c r="F13" s="2" t="s">
        <v>124</v>
      </c>
    </row>
    <row r="15" spans="1:6" ht="28.5" customHeight="1" x14ac:dyDescent="0.25">
      <c r="A15" s="1" t="s">
        <v>49</v>
      </c>
      <c r="B15" s="1" t="s">
        <v>7</v>
      </c>
      <c r="C15" s="1" t="s">
        <v>95</v>
      </c>
      <c r="D15" s="1" t="s">
        <v>96</v>
      </c>
      <c r="E15" s="1" t="s">
        <v>97</v>
      </c>
      <c r="F15" s="1" t="s">
        <v>50</v>
      </c>
    </row>
    <row r="16" spans="1:6" ht="28.5" customHeight="1" x14ac:dyDescent="0.25">
      <c r="A16" s="2" t="s">
        <v>125</v>
      </c>
      <c r="B16" s="2" t="s">
        <v>126</v>
      </c>
      <c r="C16" s="2" t="s">
        <v>53</v>
      </c>
      <c r="D16" s="2" t="s">
        <v>54</v>
      </c>
      <c r="E16" s="2" t="s">
        <v>127</v>
      </c>
      <c r="F16" s="2" t="s">
        <v>128</v>
      </c>
    </row>
    <row r="17" spans="1:6" ht="28.5" customHeight="1" x14ac:dyDescent="0.25">
      <c r="A17" s="2" t="s">
        <v>125</v>
      </c>
      <c r="B17" s="2" t="s">
        <v>129</v>
      </c>
      <c r="C17" s="2" t="s">
        <v>130</v>
      </c>
      <c r="D17" s="2" t="s">
        <v>131</v>
      </c>
      <c r="E17" s="2" t="s">
        <v>132</v>
      </c>
      <c r="F17" s="2" t="s">
        <v>133</v>
      </c>
    </row>
    <row r="18" spans="1:6" ht="28.5" customHeight="1" x14ac:dyDescent="0.25">
      <c r="A18" s="2" t="s">
        <v>125</v>
      </c>
      <c r="B18" s="2" t="s">
        <v>134</v>
      </c>
      <c r="C18" s="2" t="s">
        <v>135</v>
      </c>
      <c r="D18" s="2" t="s">
        <v>136</v>
      </c>
      <c r="E18" s="2" t="s">
        <v>137</v>
      </c>
      <c r="F18" s="2" t="s">
        <v>138</v>
      </c>
    </row>
    <row r="19" spans="1:6" ht="28.5" customHeight="1" x14ac:dyDescent="0.25">
      <c r="A19" s="2" t="s">
        <v>139</v>
      </c>
      <c r="B19" s="2" t="s">
        <v>140</v>
      </c>
      <c r="C19" s="2" t="s">
        <v>141</v>
      </c>
      <c r="D19" s="2" t="s">
        <v>142</v>
      </c>
      <c r="E19" s="2" t="s">
        <v>143</v>
      </c>
      <c r="F19" s="2" t="s">
        <v>144</v>
      </c>
    </row>
    <row r="20" spans="1:6" ht="28.5" customHeight="1" x14ac:dyDescent="0.25">
      <c r="A20" s="2" t="s">
        <v>139</v>
      </c>
      <c r="B20" s="2" t="s">
        <v>126</v>
      </c>
      <c r="C20" s="2" t="s">
        <v>145</v>
      </c>
      <c r="D20" s="2" t="s">
        <v>68</v>
      </c>
      <c r="E20" s="2" t="s">
        <v>146</v>
      </c>
      <c r="F20" s="2" t="s">
        <v>147</v>
      </c>
    </row>
    <row r="21" spans="1:6" ht="28.5" customHeight="1" x14ac:dyDescent="0.25">
      <c r="A21" s="2" t="s">
        <v>51</v>
      </c>
      <c r="B21" s="2" t="s">
        <v>70</v>
      </c>
      <c r="C21" s="2" t="s">
        <v>148</v>
      </c>
      <c r="D21" s="2" t="s">
        <v>149</v>
      </c>
      <c r="E21" s="2" t="s">
        <v>150</v>
      </c>
      <c r="F21" s="2" t="s">
        <v>151</v>
      </c>
    </row>
    <row r="22" spans="1:6" ht="28.5" customHeight="1" x14ac:dyDescent="0.25">
      <c r="A22" s="2" t="s">
        <v>51</v>
      </c>
      <c r="B22" s="2" t="s">
        <v>152</v>
      </c>
      <c r="C22" s="2" t="s">
        <v>53</v>
      </c>
      <c r="D22" s="2" t="s">
        <v>54</v>
      </c>
      <c r="E22" s="2" t="s">
        <v>153</v>
      </c>
      <c r="F22" s="2" t="s">
        <v>154</v>
      </c>
    </row>
    <row r="23" spans="1:6" ht="28.5" customHeight="1" x14ac:dyDescent="0.25">
      <c r="A23" s="2" t="s">
        <v>155</v>
      </c>
      <c r="B23" s="2" t="s">
        <v>156</v>
      </c>
      <c r="C23" s="2" t="s">
        <v>157</v>
      </c>
      <c r="D23" s="2" t="s">
        <v>158</v>
      </c>
      <c r="E23" s="2" t="s">
        <v>159</v>
      </c>
      <c r="F23" s="2" t="s">
        <v>160</v>
      </c>
    </row>
    <row r="24" spans="1:6" ht="28.5" customHeight="1" x14ac:dyDescent="0.25">
      <c r="A24" s="2" t="s">
        <v>155</v>
      </c>
      <c r="B24" s="2" t="s">
        <v>161</v>
      </c>
      <c r="C24" s="2" t="s">
        <v>162</v>
      </c>
      <c r="D24" s="2" t="s">
        <v>53</v>
      </c>
      <c r="E24" s="2" t="s">
        <v>163</v>
      </c>
      <c r="F24" s="2" t="s">
        <v>164</v>
      </c>
    </row>
    <row r="25" spans="1:6" ht="28.5" customHeight="1" x14ac:dyDescent="0.25">
      <c r="A25" s="2" t="s">
        <v>89</v>
      </c>
      <c r="B25" s="2" t="s">
        <v>165</v>
      </c>
      <c r="C25" s="2" t="s">
        <v>58</v>
      </c>
      <c r="D25" s="2" t="s">
        <v>166</v>
      </c>
      <c r="E25" s="2" t="s">
        <v>167</v>
      </c>
      <c r="F25" s="2" t="s">
        <v>168</v>
      </c>
    </row>
    <row r="26" spans="1:6" ht="28.5" customHeight="1" x14ac:dyDescent="0.25">
      <c r="A26" s="2" t="s">
        <v>76</v>
      </c>
      <c r="B26" s="2" t="s">
        <v>77</v>
      </c>
      <c r="C26" s="2" t="s">
        <v>169</v>
      </c>
      <c r="D26" s="2" t="s">
        <v>170</v>
      </c>
      <c r="E26" s="2" t="s">
        <v>94</v>
      </c>
      <c r="F26" s="2" t="s">
        <v>171</v>
      </c>
    </row>
    <row r="27" spans="1:6" ht="28.5" customHeight="1" x14ac:dyDescent="0.25">
      <c r="A27" s="2" t="s">
        <v>76</v>
      </c>
      <c r="B27" s="2" t="s">
        <v>80</v>
      </c>
      <c r="C27" s="2" t="s">
        <v>172</v>
      </c>
      <c r="D27" s="2" t="s">
        <v>173</v>
      </c>
      <c r="E27" s="2" t="s">
        <v>174</v>
      </c>
      <c r="F27" s="2" t="s">
        <v>82</v>
      </c>
    </row>
    <row r="28" spans="1:6" ht="28.5" customHeight="1" x14ac:dyDescent="0.25">
      <c r="A28" s="2" t="s">
        <v>83</v>
      </c>
      <c r="B28" s="2" t="s">
        <v>87</v>
      </c>
      <c r="C28" s="2" t="s">
        <v>121</v>
      </c>
      <c r="D28" s="2" t="s">
        <v>175</v>
      </c>
      <c r="E28" s="2" t="s">
        <v>88</v>
      </c>
      <c r="F28" s="2" t="s">
        <v>86</v>
      </c>
    </row>
    <row r="29" spans="1:6" ht="28.5" customHeight="1" x14ac:dyDescent="0.25">
      <c r="A29" s="2" t="s">
        <v>122</v>
      </c>
      <c r="B29" s="2" t="s">
        <v>176</v>
      </c>
      <c r="C29" s="2" t="s">
        <v>177</v>
      </c>
      <c r="D29" s="2" t="s">
        <v>90</v>
      </c>
      <c r="E29" s="2" t="s">
        <v>178</v>
      </c>
      <c r="F29" s="2" t="s">
        <v>179</v>
      </c>
    </row>
    <row r="30" spans="1:6" ht="28.5" customHeight="1" x14ac:dyDescent="0.25">
      <c r="A30" s="2" t="s">
        <v>93</v>
      </c>
      <c r="B30" s="2" t="s">
        <v>180</v>
      </c>
      <c r="C30" s="2" t="s">
        <v>181</v>
      </c>
      <c r="D30" s="2" t="s">
        <v>182</v>
      </c>
      <c r="E30" s="2" t="s">
        <v>183</v>
      </c>
      <c r="F30" s="2" t="s">
        <v>184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9465-85C8-4831-8BD1-A8A98DBB2EBF}">
  <dimension ref="A1:N32"/>
  <sheetViews>
    <sheetView workbookViewId="0">
      <selection activeCell="E5" sqref="E5"/>
    </sheetView>
  </sheetViews>
  <sheetFormatPr baseColWidth="10" defaultColWidth="14" defaultRowHeight="15" x14ac:dyDescent="0.25"/>
  <cols>
    <col min="1" max="5" width="14" style="3"/>
    <col min="6" max="6" width="22" style="3" customWidth="1"/>
    <col min="7" max="7" width="41" style="3" customWidth="1"/>
    <col min="8" max="16384" width="14" style="3"/>
  </cols>
  <sheetData>
    <row r="1" spans="1:14" ht="45" x14ac:dyDescent="0.25">
      <c r="A1" s="3" t="s">
        <v>6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</v>
      </c>
      <c r="G1" s="3" t="s">
        <v>48</v>
      </c>
      <c r="H1" s="3" t="s">
        <v>11</v>
      </c>
      <c r="I1" s="3" t="s">
        <v>5</v>
      </c>
      <c r="J1" s="3" t="s">
        <v>0</v>
      </c>
      <c r="K1" s="3" t="s">
        <v>10</v>
      </c>
      <c r="L1" s="3" t="s">
        <v>7</v>
      </c>
      <c r="M1" s="3" t="s">
        <v>8</v>
      </c>
      <c r="N1" s="3" t="s">
        <v>207</v>
      </c>
    </row>
    <row r="2" spans="1:14" ht="45" x14ac:dyDescent="0.25">
      <c r="A2" s="3" t="s">
        <v>189</v>
      </c>
      <c r="B2" s="4">
        <v>46042</v>
      </c>
      <c r="C2" s="5">
        <v>0.4375</v>
      </c>
      <c r="D2" s="4">
        <v>46042</v>
      </c>
      <c r="E2" s="5">
        <v>0.45833333333333331</v>
      </c>
      <c r="F2" s="3" t="s">
        <v>195</v>
      </c>
      <c r="G2" s="3" t="s">
        <v>208</v>
      </c>
      <c r="H2" s="3" t="s">
        <v>209</v>
      </c>
      <c r="I2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0.49999999999999956</v>
      </c>
      <c r="J2" s="3" t="s">
        <v>12</v>
      </c>
      <c r="K2" s="3" t="s">
        <v>210</v>
      </c>
      <c r="L2" s="3" t="s">
        <v>51</v>
      </c>
      <c r="M2" s="3" t="s">
        <v>211</v>
      </c>
      <c r="N2" s="3" t="s">
        <v>212</v>
      </c>
    </row>
    <row r="3" spans="1:14" ht="45" x14ac:dyDescent="0.25">
      <c r="A3" s="3" t="s">
        <v>188</v>
      </c>
      <c r="B3" s="4">
        <v>46056</v>
      </c>
      <c r="C3" s="5">
        <v>0.33333333333333331</v>
      </c>
      <c r="D3" s="4">
        <v>46056</v>
      </c>
      <c r="E3" s="5">
        <v>0.5</v>
      </c>
      <c r="F3" s="3" t="s">
        <v>198</v>
      </c>
      <c r="G3" s="3" t="s">
        <v>213</v>
      </c>
      <c r="H3" s="3" t="s">
        <v>214</v>
      </c>
      <c r="I3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4</v>
      </c>
      <c r="J3" s="3" t="s">
        <v>12</v>
      </c>
      <c r="K3" s="3" t="s">
        <v>210</v>
      </c>
      <c r="L3" s="3" t="s">
        <v>71</v>
      </c>
      <c r="M3" s="3" t="s">
        <v>215</v>
      </c>
      <c r="N3" s="3" t="s">
        <v>216</v>
      </c>
    </row>
    <row r="4" spans="1:14" ht="60" x14ac:dyDescent="0.25">
      <c r="A4" s="3" t="s">
        <v>196</v>
      </c>
      <c r="B4" s="4">
        <v>46056</v>
      </c>
      <c r="C4" s="5">
        <v>0.33402777777777781</v>
      </c>
      <c r="D4" s="4">
        <v>46056</v>
      </c>
      <c r="E4" s="5">
        <v>0.47916666666666669</v>
      </c>
      <c r="F4" s="3" t="s">
        <v>197</v>
      </c>
      <c r="G4" s="3" t="s">
        <v>217</v>
      </c>
      <c r="H4" s="3" t="s">
        <v>218</v>
      </c>
      <c r="I4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3.4833333333333329</v>
      </c>
      <c r="J4" s="3" t="s">
        <v>12</v>
      </c>
      <c r="K4" s="3" t="s">
        <v>210</v>
      </c>
      <c r="L4" s="3" t="s">
        <v>89</v>
      </c>
      <c r="M4" s="3" t="s">
        <v>219</v>
      </c>
      <c r="N4" s="3" t="s">
        <v>220</v>
      </c>
    </row>
    <row r="5" spans="1:14" ht="45" x14ac:dyDescent="0.25">
      <c r="A5" s="3" t="s">
        <v>193</v>
      </c>
      <c r="B5" s="4">
        <v>46057</v>
      </c>
      <c r="C5" s="5">
        <v>0.33333333333333331</v>
      </c>
      <c r="D5" s="4">
        <v>46057</v>
      </c>
      <c r="E5" s="5">
        <v>0.47916666666666669</v>
      </c>
      <c r="F5" s="3" t="s">
        <v>194</v>
      </c>
      <c r="G5" s="3" t="s">
        <v>221</v>
      </c>
      <c r="H5" s="3" t="s">
        <v>222</v>
      </c>
      <c r="I5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3.5000000000000009</v>
      </c>
      <c r="J5" s="3" t="s">
        <v>12</v>
      </c>
      <c r="K5" s="3" t="s">
        <v>210</v>
      </c>
      <c r="L5" s="3" t="s">
        <v>51</v>
      </c>
      <c r="M5" s="3" t="s">
        <v>223</v>
      </c>
      <c r="N5" s="3" t="s">
        <v>224</v>
      </c>
    </row>
    <row r="6" spans="1:14" ht="60" x14ac:dyDescent="0.25">
      <c r="A6" s="3" t="s">
        <v>189</v>
      </c>
      <c r="B6" s="4">
        <v>46059</v>
      </c>
      <c r="C6" s="5">
        <v>0.33333333333333331</v>
      </c>
      <c r="D6" s="4">
        <v>46059</v>
      </c>
      <c r="E6" s="5">
        <v>0.45833333333333331</v>
      </c>
      <c r="F6" s="3" t="s">
        <v>195</v>
      </c>
      <c r="G6" s="3" t="s">
        <v>225</v>
      </c>
      <c r="H6" s="3" t="s">
        <v>226</v>
      </c>
      <c r="I6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3</v>
      </c>
      <c r="J6" s="3" t="s">
        <v>12</v>
      </c>
      <c r="K6" s="3" t="s">
        <v>210</v>
      </c>
      <c r="L6" s="3" t="s">
        <v>51</v>
      </c>
      <c r="M6" s="3" t="s">
        <v>227</v>
      </c>
      <c r="N6" s="3" t="s">
        <v>228</v>
      </c>
    </row>
    <row r="7" spans="1:14" ht="30" x14ac:dyDescent="0.25">
      <c r="A7" s="3" t="s">
        <v>193</v>
      </c>
      <c r="B7" s="4">
        <v>46063</v>
      </c>
      <c r="C7" s="5">
        <v>0.3347222222222222</v>
      </c>
      <c r="D7" s="4">
        <v>46063</v>
      </c>
      <c r="E7" s="5">
        <v>0.52777777777777779</v>
      </c>
      <c r="F7" s="3" t="s">
        <v>194</v>
      </c>
      <c r="G7" s="3" t="s">
        <v>229</v>
      </c>
      <c r="H7" s="3" t="s">
        <v>230</v>
      </c>
      <c r="I7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4.6333333333333346</v>
      </c>
      <c r="J7" s="3" t="s">
        <v>12</v>
      </c>
      <c r="K7" s="3" t="s">
        <v>231</v>
      </c>
      <c r="L7" s="3" t="s">
        <v>83</v>
      </c>
      <c r="M7" s="3" t="s">
        <v>232</v>
      </c>
      <c r="N7" s="3" t="s">
        <v>233</v>
      </c>
    </row>
    <row r="8" spans="1:14" ht="30" x14ac:dyDescent="0.25">
      <c r="A8" s="3" t="s">
        <v>188</v>
      </c>
      <c r="B8" s="4">
        <v>46062</v>
      </c>
      <c r="C8" s="5">
        <v>0.33333333333333331</v>
      </c>
      <c r="D8" s="4">
        <v>46062</v>
      </c>
      <c r="E8" s="5">
        <v>0.72916666666666663</v>
      </c>
      <c r="F8" s="3" t="s">
        <v>198</v>
      </c>
      <c r="G8" s="3" t="s">
        <v>206</v>
      </c>
      <c r="I8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9.5</v>
      </c>
      <c r="J8" s="3" t="s">
        <v>12</v>
      </c>
      <c r="K8" s="3" t="s">
        <v>186</v>
      </c>
      <c r="L8" s="3" t="s">
        <v>186</v>
      </c>
      <c r="M8" s="3" t="s">
        <v>186</v>
      </c>
      <c r="N8" s="3" t="s">
        <v>186</v>
      </c>
    </row>
    <row r="9" spans="1:14" ht="30" x14ac:dyDescent="0.25">
      <c r="A9" s="3" t="s">
        <v>188</v>
      </c>
      <c r="B9" s="4">
        <v>46063</v>
      </c>
      <c r="C9" s="5">
        <v>0.33333333333333331</v>
      </c>
      <c r="D9" s="4">
        <v>46063</v>
      </c>
      <c r="E9" s="5">
        <v>0.72916666666666663</v>
      </c>
      <c r="F9" s="3" t="s">
        <v>198</v>
      </c>
      <c r="G9" s="3" t="s">
        <v>206</v>
      </c>
      <c r="I9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9.5</v>
      </c>
      <c r="J9" s="3" t="s">
        <v>12</v>
      </c>
      <c r="K9" s="3" t="s">
        <v>186</v>
      </c>
      <c r="L9" s="3" t="s">
        <v>186</v>
      </c>
      <c r="M9" s="3" t="s">
        <v>186</v>
      </c>
      <c r="N9" s="3" t="s">
        <v>186</v>
      </c>
    </row>
    <row r="10" spans="1:14" ht="45" x14ac:dyDescent="0.25">
      <c r="A10" s="3" t="s">
        <v>185</v>
      </c>
      <c r="B10" s="4">
        <v>46120</v>
      </c>
      <c r="C10" s="5">
        <v>0.375</v>
      </c>
      <c r="D10" s="4">
        <v>46120</v>
      </c>
      <c r="E10" s="5">
        <v>0.41666666666666669</v>
      </c>
      <c r="F10" s="3" t="s">
        <v>195</v>
      </c>
      <c r="G10" s="3" t="s">
        <v>234</v>
      </c>
      <c r="H10" s="3" t="s">
        <v>235</v>
      </c>
      <c r="I10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1.0000000000000004</v>
      </c>
      <c r="J10" s="3" t="s">
        <v>12</v>
      </c>
      <c r="K10" s="3" t="s">
        <v>236</v>
      </c>
      <c r="L10" s="3" t="s">
        <v>51</v>
      </c>
      <c r="M10" s="3" t="s">
        <v>237</v>
      </c>
      <c r="N10" s="3" t="s">
        <v>238</v>
      </c>
    </row>
    <row r="11" spans="1:14" ht="45" x14ac:dyDescent="0.25">
      <c r="A11" s="3" t="s">
        <v>192</v>
      </c>
      <c r="B11" s="4">
        <v>46120</v>
      </c>
      <c r="C11" s="5">
        <v>0.45833333333333331</v>
      </c>
      <c r="D11" s="4">
        <v>46120</v>
      </c>
      <c r="E11" s="5">
        <v>0.625</v>
      </c>
      <c r="F11" s="3" t="s">
        <v>195</v>
      </c>
      <c r="G11" s="3" t="s">
        <v>239</v>
      </c>
      <c r="H11" s="3" t="s">
        <v>240</v>
      </c>
      <c r="I11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4</v>
      </c>
      <c r="J11" s="3" t="s">
        <v>12</v>
      </c>
      <c r="K11" s="3" t="s">
        <v>210</v>
      </c>
      <c r="L11" s="3" t="s">
        <v>89</v>
      </c>
      <c r="M11" s="3" t="s">
        <v>241</v>
      </c>
      <c r="N11" s="3" t="s">
        <v>242</v>
      </c>
    </row>
    <row r="12" spans="1:14" ht="45" x14ac:dyDescent="0.25">
      <c r="A12" s="3" t="s">
        <v>187</v>
      </c>
      <c r="B12" s="4">
        <v>46121</v>
      </c>
      <c r="C12" s="5">
        <v>0.41319444444444442</v>
      </c>
      <c r="D12" s="4">
        <v>46121</v>
      </c>
      <c r="E12" s="5">
        <v>0.4375</v>
      </c>
      <c r="F12" s="3" t="s">
        <v>197</v>
      </c>
      <c r="G12" s="3" t="s">
        <v>243</v>
      </c>
      <c r="H12" s="3" t="s">
        <v>186</v>
      </c>
      <c r="I12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0.58333333333333393</v>
      </c>
      <c r="J12" s="3" t="s">
        <v>12</v>
      </c>
      <c r="K12" s="3" t="s">
        <v>210</v>
      </c>
      <c r="L12" s="3" t="s">
        <v>51</v>
      </c>
      <c r="M12" s="3" t="s">
        <v>244</v>
      </c>
      <c r="N12" s="3" t="s">
        <v>245</v>
      </c>
    </row>
    <row r="13" spans="1:14" ht="45" x14ac:dyDescent="0.25">
      <c r="A13" s="3" t="s">
        <v>190</v>
      </c>
      <c r="B13" s="4">
        <v>46140</v>
      </c>
      <c r="C13" s="5">
        <v>0.33333333333333331</v>
      </c>
      <c r="D13" s="4">
        <v>46140</v>
      </c>
      <c r="E13" s="5">
        <v>0.45833333333333331</v>
      </c>
      <c r="F13" s="3" t="s">
        <v>195</v>
      </c>
      <c r="G13" s="3" t="s">
        <v>246</v>
      </c>
      <c r="H13" s="3" t="s">
        <v>186</v>
      </c>
      <c r="I13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3</v>
      </c>
      <c r="J13" s="3" t="s">
        <v>12</v>
      </c>
      <c r="K13" s="3" t="s">
        <v>210</v>
      </c>
      <c r="L13" s="3" t="s">
        <v>51</v>
      </c>
      <c r="M13" s="3" t="s">
        <v>247</v>
      </c>
      <c r="N13" s="3" t="s">
        <v>248</v>
      </c>
    </row>
    <row r="14" spans="1:14" ht="30" x14ac:dyDescent="0.25">
      <c r="A14" s="3" t="s">
        <v>191</v>
      </c>
      <c r="B14" s="4">
        <v>46140</v>
      </c>
      <c r="C14" s="5">
        <v>0.6875</v>
      </c>
      <c r="D14" s="4">
        <v>46140</v>
      </c>
      <c r="E14" s="5">
        <v>0.70833333333333337</v>
      </c>
      <c r="F14" s="3" t="s">
        <v>195</v>
      </c>
      <c r="G14" s="3" t="s">
        <v>249</v>
      </c>
      <c r="H14" s="3" t="s">
        <v>186</v>
      </c>
      <c r="I14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0.50000000000000089</v>
      </c>
      <c r="J14" s="3" t="s">
        <v>12</v>
      </c>
      <c r="K14" s="3" t="s">
        <v>231</v>
      </c>
      <c r="L14" s="3" t="s">
        <v>186</v>
      </c>
      <c r="M14" s="3" t="s">
        <v>186</v>
      </c>
      <c r="N14" s="3" t="s">
        <v>186</v>
      </c>
    </row>
    <row r="15" spans="1:14" ht="45" x14ac:dyDescent="0.25">
      <c r="A15" s="3" t="s">
        <v>190</v>
      </c>
      <c r="B15" s="4">
        <v>46146</v>
      </c>
      <c r="C15" s="5">
        <v>0.33333333333333331</v>
      </c>
      <c r="D15" s="4">
        <v>46146</v>
      </c>
      <c r="E15" s="5">
        <v>0.52083333333333337</v>
      </c>
      <c r="F15" s="3" t="s">
        <v>195</v>
      </c>
      <c r="G15" s="3" t="s">
        <v>250</v>
      </c>
      <c r="H15" s="3" t="s">
        <v>186</v>
      </c>
      <c r="I15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4.5000000000000018</v>
      </c>
      <c r="J15" s="3" t="s">
        <v>12</v>
      </c>
      <c r="K15" s="3" t="s">
        <v>210</v>
      </c>
      <c r="L15" s="3" t="s">
        <v>51</v>
      </c>
      <c r="M15" s="3" t="s">
        <v>251</v>
      </c>
      <c r="N15" s="3" t="s">
        <v>252</v>
      </c>
    </row>
    <row r="16" spans="1:14" ht="45" x14ac:dyDescent="0.25">
      <c r="A16" s="3" t="s">
        <v>189</v>
      </c>
      <c r="B16" s="4">
        <v>46146</v>
      </c>
      <c r="C16" s="5">
        <v>0.34027777777777773</v>
      </c>
      <c r="D16" s="4">
        <v>46146</v>
      </c>
      <c r="E16" s="5">
        <v>0.5625</v>
      </c>
      <c r="F16" s="3" t="s">
        <v>195</v>
      </c>
      <c r="G16" s="3" t="s">
        <v>253</v>
      </c>
      <c r="H16" s="3" t="s">
        <v>186</v>
      </c>
      <c r="I16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5.3333333333333339</v>
      </c>
      <c r="J16" s="3" t="s">
        <v>12</v>
      </c>
      <c r="K16" s="3" t="s">
        <v>210</v>
      </c>
      <c r="L16" s="3" t="s">
        <v>51</v>
      </c>
      <c r="M16" s="3" t="s">
        <v>254</v>
      </c>
      <c r="N16" s="3" t="s">
        <v>255</v>
      </c>
    </row>
    <row r="17" spans="1:14" ht="45" x14ac:dyDescent="0.25">
      <c r="A17" s="3" t="s">
        <v>190</v>
      </c>
      <c r="B17" s="4">
        <v>46148</v>
      </c>
      <c r="C17" s="5">
        <v>0.33333333333333331</v>
      </c>
      <c r="D17" s="4">
        <v>46148</v>
      </c>
      <c r="E17" s="5">
        <v>0.45833333333333331</v>
      </c>
      <c r="F17" s="3" t="s">
        <v>195</v>
      </c>
      <c r="G17" s="3" t="s">
        <v>256</v>
      </c>
      <c r="H17" s="3" t="s">
        <v>186</v>
      </c>
      <c r="I17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3</v>
      </c>
      <c r="J17" s="3" t="s">
        <v>12</v>
      </c>
      <c r="K17" s="3" t="s">
        <v>210</v>
      </c>
      <c r="L17" s="3" t="s">
        <v>89</v>
      </c>
      <c r="M17" s="3" t="s">
        <v>257</v>
      </c>
      <c r="N17" s="3" t="s">
        <v>186</v>
      </c>
    </row>
    <row r="18" spans="1:14" ht="45" x14ac:dyDescent="0.25">
      <c r="A18" s="3" t="s">
        <v>190</v>
      </c>
      <c r="B18" s="4">
        <v>46148</v>
      </c>
      <c r="C18" s="5">
        <v>0.45833333333333331</v>
      </c>
      <c r="D18" s="4">
        <v>46148</v>
      </c>
      <c r="E18" s="5">
        <v>0.54166666666666663</v>
      </c>
      <c r="F18" s="3" t="s">
        <v>195</v>
      </c>
      <c r="G18" s="3" t="s">
        <v>258</v>
      </c>
      <c r="H18" s="3" t="s">
        <v>186</v>
      </c>
      <c r="I18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1.9999999999999996</v>
      </c>
      <c r="J18" s="3" t="s">
        <v>12</v>
      </c>
      <c r="K18" s="3" t="s">
        <v>210</v>
      </c>
      <c r="L18" s="3" t="s">
        <v>51</v>
      </c>
      <c r="M18" s="3" t="s">
        <v>259</v>
      </c>
      <c r="N18" s="3" t="s">
        <v>260</v>
      </c>
    </row>
    <row r="19" spans="1:14" ht="30" x14ac:dyDescent="0.25">
      <c r="A19" s="3" t="s">
        <v>187</v>
      </c>
      <c r="B19" s="4">
        <v>46148</v>
      </c>
      <c r="C19" s="5">
        <v>0.73263888888888884</v>
      </c>
      <c r="D19" s="4">
        <v>46148</v>
      </c>
      <c r="E19" s="5">
        <v>0.85416666666666663</v>
      </c>
      <c r="F19" s="3" t="s">
        <v>197</v>
      </c>
      <c r="G19" s="3" t="s">
        <v>261</v>
      </c>
      <c r="H19" s="3" t="s">
        <v>262</v>
      </c>
      <c r="I19" s="7">
        <v>2.92</v>
      </c>
      <c r="J19" s="3" t="s">
        <v>12</v>
      </c>
      <c r="K19" s="3" t="s">
        <v>210</v>
      </c>
      <c r="L19" s="3" t="s">
        <v>51</v>
      </c>
      <c r="M19" s="3" t="s">
        <v>263</v>
      </c>
      <c r="N19" s="3" t="s">
        <v>264</v>
      </c>
    </row>
    <row r="20" spans="1:14" ht="30" x14ac:dyDescent="0.25">
      <c r="A20" s="3" t="s">
        <v>187</v>
      </c>
      <c r="B20" s="4">
        <v>46149</v>
      </c>
      <c r="C20" s="5">
        <v>0.62569444444444444</v>
      </c>
      <c r="D20" s="4">
        <v>46149</v>
      </c>
      <c r="E20" s="5">
        <v>0.72916666666666663</v>
      </c>
      <c r="F20" s="3" t="s">
        <v>197</v>
      </c>
      <c r="G20" s="3" t="s">
        <v>265</v>
      </c>
      <c r="H20" s="3" t="s">
        <v>186</v>
      </c>
      <c r="I20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2.4833333333333325</v>
      </c>
      <c r="J20" s="3" t="s">
        <v>12</v>
      </c>
      <c r="K20" s="3" t="s">
        <v>231</v>
      </c>
      <c r="L20" s="3" t="s">
        <v>186</v>
      </c>
      <c r="M20" s="3" t="s">
        <v>186</v>
      </c>
      <c r="N20" s="3" t="s">
        <v>186</v>
      </c>
    </row>
    <row r="21" spans="1:14" ht="30" x14ac:dyDescent="0.25">
      <c r="A21" s="3" t="s">
        <v>189</v>
      </c>
      <c r="B21" s="4">
        <v>46150</v>
      </c>
      <c r="C21" s="5">
        <v>0.52777777777777779</v>
      </c>
      <c r="D21" s="4">
        <v>46150</v>
      </c>
      <c r="E21" s="5">
        <v>0.55555555555555558</v>
      </c>
      <c r="F21" s="3" t="s">
        <v>195</v>
      </c>
      <c r="G21" s="3" t="s">
        <v>266</v>
      </c>
      <c r="H21" s="3" t="s">
        <v>186</v>
      </c>
      <c r="I21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0.66666666666666696</v>
      </c>
      <c r="J21" s="3" t="s">
        <v>12</v>
      </c>
      <c r="K21" s="3" t="s">
        <v>231</v>
      </c>
      <c r="L21" s="3" t="s">
        <v>51</v>
      </c>
      <c r="M21" s="3" t="s">
        <v>267</v>
      </c>
      <c r="N21" s="3" t="s">
        <v>268</v>
      </c>
    </row>
    <row r="22" spans="1:14" ht="30" x14ac:dyDescent="0.25">
      <c r="A22" s="3" t="s">
        <v>187</v>
      </c>
      <c r="B22" s="4">
        <v>46150</v>
      </c>
      <c r="C22" s="5">
        <v>0.33333333333333331</v>
      </c>
      <c r="D22" s="4">
        <v>46150</v>
      </c>
      <c r="E22" s="5">
        <v>0.4375</v>
      </c>
      <c r="F22" s="3" t="s">
        <v>197</v>
      </c>
      <c r="G22" s="3" t="s">
        <v>269</v>
      </c>
      <c r="H22" s="3" t="s">
        <v>186</v>
      </c>
      <c r="I22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2.5000000000000004</v>
      </c>
      <c r="J22" s="3" t="s">
        <v>12</v>
      </c>
      <c r="K22" s="3" t="s">
        <v>231</v>
      </c>
      <c r="L22" s="3" t="s">
        <v>186</v>
      </c>
      <c r="M22" s="3" t="s">
        <v>186</v>
      </c>
      <c r="N22" s="3" t="s">
        <v>186</v>
      </c>
    </row>
    <row r="23" spans="1:14" ht="30" x14ac:dyDescent="0.25">
      <c r="A23" s="3" t="s">
        <v>185</v>
      </c>
      <c r="B23" s="4">
        <v>46153</v>
      </c>
      <c r="C23" s="5">
        <v>0.33333333333333331</v>
      </c>
      <c r="D23" s="4">
        <v>46153</v>
      </c>
      <c r="E23" s="5">
        <v>0.72916666666666663</v>
      </c>
      <c r="F23" s="3" t="s">
        <v>195</v>
      </c>
      <c r="G23" s="3" t="s">
        <v>270</v>
      </c>
      <c r="H23" s="3" t="s">
        <v>271</v>
      </c>
      <c r="I23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9.5</v>
      </c>
      <c r="J23" s="3" t="s">
        <v>12</v>
      </c>
      <c r="K23" s="3" t="s">
        <v>210</v>
      </c>
      <c r="L23" s="3" t="s">
        <v>51</v>
      </c>
      <c r="M23" s="3" t="s">
        <v>272</v>
      </c>
      <c r="N23" s="3" t="s">
        <v>273</v>
      </c>
    </row>
    <row r="24" spans="1:14" ht="45" x14ac:dyDescent="0.25">
      <c r="A24" s="3" t="s">
        <v>185</v>
      </c>
      <c r="B24" s="4">
        <v>46154</v>
      </c>
      <c r="C24" s="5">
        <v>0.33333333333333331</v>
      </c>
      <c r="D24" s="4">
        <v>46154</v>
      </c>
      <c r="E24" s="5">
        <v>0.5</v>
      </c>
      <c r="F24" s="3" t="s">
        <v>195</v>
      </c>
      <c r="G24" s="3" t="s">
        <v>274</v>
      </c>
      <c r="H24" s="3" t="s">
        <v>186</v>
      </c>
      <c r="I24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4</v>
      </c>
      <c r="J24" s="3" t="s">
        <v>12</v>
      </c>
      <c r="K24" s="3" t="s">
        <v>210</v>
      </c>
      <c r="L24" s="3" t="s">
        <v>51</v>
      </c>
      <c r="M24" s="3" t="s">
        <v>275</v>
      </c>
      <c r="N24" s="3" t="s">
        <v>276</v>
      </c>
    </row>
    <row r="25" spans="1:14" ht="30" x14ac:dyDescent="0.25">
      <c r="A25" s="3" t="s">
        <v>187</v>
      </c>
      <c r="B25" s="4">
        <v>46156</v>
      </c>
      <c r="C25" s="5">
        <v>0.33333333333333331</v>
      </c>
      <c r="D25" s="4">
        <v>46156</v>
      </c>
      <c r="E25" s="5">
        <v>0.72916666666666663</v>
      </c>
      <c r="F25" s="3" t="s">
        <v>197</v>
      </c>
      <c r="G25" s="3" t="s">
        <v>277</v>
      </c>
      <c r="H25" s="3" t="s">
        <v>186</v>
      </c>
      <c r="I25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9.5</v>
      </c>
      <c r="J25" s="3" t="s">
        <v>12</v>
      </c>
      <c r="K25" s="3" t="s">
        <v>231</v>
      </c>
      <c r="L25" s="3" t="s">
        <v>278</v>
      </c>
      <c r="M25" s="3" t="s">
        <v>279</v>
      </c>
      <c r="N25" s="3" t="s">
        <v>280</v>
      </c>
    </row>
    <row r="26" spans="1:14" ht="30" x14ac:dyDescent="0.25">
      <c r="A26" s="3" t="s">
        <v>187</v>
      </c>
      <c r="B26" s="4">
        <v>46157</v>
      </c>
      <c r="C26" s="5">
        <v>0.33333333333333331</v>
      </c>
      <c r="D26" s="4">
        <v>46157</v>
      </c>
      <c r="E26" s="5">
        <v>0.72916666666666663</v>
      </c>
      <c r="F26" s="3" t="s">
        <v>197</v>
      </c>
      <c r="G26" s="3" t="s">
        <v>281</v>
      </c>
      <c r="H26" s="3" t="s">
        <v>186</v>
      </c>
      <c r="I26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9.5</v>
      </c>
      <c r="J26" s="3" t="s">
        <v>12</v>
      </c>
      <c r="K26" s="3" t="s">
        <v>231</v>
      </c>
      <c r="L26" s="3" t="s">
        <v>278</v>
      </c>
      <c r="M26" s="3" t="s">
        <v>279</v>
      </c>
      <c r="N26" s="3" t="s">
        <v>280</v>
      </c>
    </row>
    <row r="27" spans="1:14" ht="30" x14ac:dyDescent="0.25">
      <c r="A27" s="3" t="s">
        <v>187</v>
      </c>
      <c r="B27" s="4">
        <v>46160</v>
      </c>
      <c r="C27" s="5">
        <v>0.33333333333333331</v>
      </c>
      <c r="D27" s="4">
        <v>46160</v>
      </c>
      <c r="E27" s="5">
        <v>0.72916666666666663</v>
      </c>
      <c r="F27" s="3" t="s">
        <v>197</v>
      </c>
      <c r="G27" s="3" t="s">
        <v>282</v>
      </c>
      <c r="H27" s="3" t="s">
        <v>186</v>
      </c>
      <c r="I27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9.5</v>
      </c>
      <c r="J27" s="3" t="s">
        <v>12</v>
      </c>
      <c r="K27" s="3" t="s">
        <v>231</v>
      </c>
      <c r="L27" s="3" t="s">
        <v>278</v>
      </c>
      <c r="M27" s="3" t="s">
        <v>279</v>
      </c>
      <c r="N27" s="3" t="s">
        <v>280</v>
      </c>
    </row>
    <row r="28" spans="1:14" ht="30" x14ac:dyDescent="0.25">
      <c r="A28" s="3" t="s">
        <v>187</v>
      </c>
      <c r="B28" s="4">
        <v>46161</v>
      </c>
      <c r="C28" s="5">
        <v>0.33333333333333331</v>
      </c>
      <c r="D28" s="4">
        <v>46161</v>
      </c>
      <c r="E28" s="5">
        <v>0.72916666666666663</v>
      </c>
      <c r="F28" s="3" t="s">
        <v>197</v>
      </c>
      <c r="G28" s="3" t="s">
        <v>283</v>
      </c>
      <c r="H28" s="3" t="s">
        <v>186</v>
      </c>
      <c r="I28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9.5</v>
      </c>
      <c r="J28" s="3" t="s">
        <v>12</v>
      </c>
      <c r="K28" s="3" t="s">
        <v>231</v>
      </c>
      <c r="L28" s="3" t="s">
        <v>278</v>
      </c>
      <c r="M28" s="3" t="s">
        <v>279</v>
      </c>
      <c r="N28" s="3" t="s">
        <v>280</v>
      </c>
    </row>
    <row r="29" spans="1:14" ht="30" x14ac:dyDescent="0.25">
      <c r="A29" s="3" t="s">
        <v>188</v>
      </c>
      <c r="B29" s="4">
        <v>46156</v>
      </c>
      <c r="C29" s="5">
        <v>0.33333333333333331</v>
      </c>
      <c r="D29" s="4">
        <v>46156</v>
      </c>
      <c r="E29" s="5">
        <v>0.72916666666666663</v>
      </c>
      <c r="F29" s="3" t="s">
        <v>198</v>
      </c>
      <c r="G29" s="3" t="s">
        <v>284</v>
      </c>
      <c r="H29" s="3" t="s">
        <v>186</v>
      </c>
      <c r="I29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9.5</v>
      </c>
      <c r="J29" s="3" t="s">
        <v>12</v>
      </c>
      <c r="K29" s="3" t="s">
        <v>186</v>
      </c>
      <c r="L29" s="3" t="s">
        <v>186</v>
      </c>
      <c r="M29" s="3" t="s">
        <v>186</v>
      </c>
      <c r="N29" s="3" t="s">
        <v>186</v>
      </c>
    </row>
    <row r="30" spans="1:14" ht="30" x14ac:dyDescent="0.25">
      <c r="A30" s="3" t="s">
        <v>188</v>
      </c>
      <c r="B30" s="4">
        <v>46157</v>
      </c>
      <c r="C30" s="5">
        <v>0.33333333333333331</v>
      </c>
      <c r="D30" s="4">
        <v>46157</v>
      </c>
      <c r="E30" s="5">
        <v>0.72916666666666663</v>
      </c>
      <c r="F30" s="3" t="s">
        <v>198</v>
      </c>
      <c r="G30" s="3" t="s">
        <v>285</v>
      </c>
      <c r="H30" s="3" t="s">
        <v>186</v>
      </c>
      <c r="I30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9.5</v>
      </c>
      <c r="J30" s="3" t="s">
        <v>12</v>
      </c>
      <c r="K30" s="3" t="s">
        <v>186</v>
      </c>
      <c r="L30" s="3" t="s">
        <v>186</v>
      </c>
      <c r="M30" s="3" t="s">
        <v>186</v>
      </c>
      <c r="N30" s="3" t="s">
        <v>186</v>
      </c>
    </row>
    <row r="31" spans="1:14" ht="30" x14ac:dyDescent="0.25">
      <c r="A31" s="3" t="s">
        <v>188</v>
      </c>
      <c r="B31" s="4">
        <v>46160</v>
      </c>
      <c r="C31" s="5">
        <v>0.33333333333333331</v>
      </c>
      <c r="D31" s="4">
        <v>46160</v>
      </c>
      <c r="E31" s="5">
        <v>0.72916666666666663</v>
      </c>
      <c r="F31" s="3" t="s">
        <v>198</v>
      </c>
      <c r="G31" s="3" t="s">
        <v>285</v>
      </c>
      <c r="H31" s="3" t="s">
        <v>186</v>
      </c>
      <c r="I31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9.5</v>
      </c>
      <c r="J31" s="3" t="s">
        <v>12</v>
      </c>
      <c r="K31" s="3" t="s">
        <v>186</v>
      </c>
      <c r="L31" s="3" t="s">
        <v>186</v>
      </c>
      <c r="M31" s="3" t="s">
        <v>186</v>
      </c>
      <c r="N31" s="3" t="s">
        <v>186</v>
      </c>
    </row>
    <row r="32" spans="1:14" ht="30" x14ac:dyDescent="0.25">
      <c r="A32" s="3" t="s">
        <v>188</v>
      </c>
      <c r="B32" s="4">
        <v>46161</v>
      </c>
      <c r="C32" s="5">
        <v>0.33333333333333331</v>
      </c>
      <c r="D32" s="4">
        <v>46161</v>
      </c>
      <c r="E32" s="5">
        <v>0.72916666666666663</v>
      </c>
      <c r="F32" s="3" t="s">
        <v>198</v>
      </c>
      <c r="G32" s="3" t="s">
        <v>285</v>
      </c>
      <c r="H32" s="3" t="s">
        <v>186</v>
      </c>
      <c r="I32" s="7">
        <f>IF(Tabla6[[#This Row],[Fecha inicio]]=Tabla6[[#This Row],[Fecha fin]],IF(WEEKDAY(Tabla6[[#This Row],[Fecha inicio]],2)&gt;5,0,MAX(0,MIN(Tabla6[[#This Row],[Hora fin]],17.5/24)-MAX(Tabla6[[#This Row],[Hora inicio]],8/24))*24),(MAX(0,17.5/24-MAX(Tabla6[[#This Row],[Hora inicio]],8/24))*24+MAX(0,MIN(Tabla6[[#This Row],[Hora fin]],17.5/24)-8/24)*24+MAX(0,(Tabla6[[#This Row],[Fecha fin]]-Tabla6[[#This Row],[Fecha inicio]]-1))*9.5))</f>
        <v>9.5</v>
      </c>
      <c r="J32" s="3" t="s">
        <v>12</v>
      </c>
      <c r="K32" s="3" t="s">
        <v>186</v>
      </c>
      <c r="L32" s="3" t="s">
        <v>186</v>
      </c>
      <c r="M32" s="3" t="s">
        <v>186</v>
      </c>
      <c r="N32" s="3" t="s">
        <v>186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7149-2B74-40F3-9861-B3118D51F3EC}">
  <dimension ref="A1:N111"/>
  <sheetViews>
    <sheetView tabSelected="1" topLeftCell="A97" workbookViewId="0">
      <selection activeCell="A109" sqref="A109"/>
    </sheetView>
  </sheetViews>
  <sheetFormatPr baseColWidth="10" defaultRowHeight="15" x14ac:dyDescent="0.25"/>
  <cols>
    <col min="1" max="1" width="11.42578125" style="3"/>
    <col min="2" max="2" width="13.85546875" style="3" customWidth="1"/>
    <col min="3" max="3" width="12.85546875" style="3" customWidth="1"/>
    <col min="4" max="5" width="11.42578125" style="3"/>
    <col min="6" max="6" width="21.7109375" style="3" customWidth="1"/>
    <col min="7" max="7" width="40.140625" style="3" customWidth="1"/>
    <col min="8" max="8" width="21" style="3" customWidth="1"/>
    <col min="9" max="9" width="14.85546875" style="3" customWidth="1"/>
    <col min="10" max="10" width="11.42578125" style="3"/>
    <col min="11" max="11" width="21.28515625" style="3" customWidth="1"/>
    <col min="12" max="12" width="14" style="3" customWidth="1"/>
    <col min="13" max="13" width="17.140625" style="3" customWidth="1"/>
    <col min="14" max="14" width="12.85546875" style="3" customWidth="1"/>
    <col min="15" max="16384" width="11.42578125" style="3"/>
  </cols>
  <sheetData>
    <row r="1" spans="1:14" x14ac:dyDescent="0.25">
      <c r="A1" s="3" t="s">
        <v>6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</v>
      </c>
      <c r="G1" s="3" t="s">
        <v>48</v>
      </c>
      <c r="H1" s="3" t="s">
        <v>11</v>
      </c>
      <c r="I1" s="3" t="s">
        <v>5</v>
      </c>
      <c r="J1" s="3" t="s">
        <v>0</v>
      </c>
      <c r="K1" s="3" t="s">
        <v>10</v>
      </c>
      <c r="L1" s="3" t="s">
        <v>7</v>
      </c>
      <c r="M1" s="3" t="s">
        <v>8</v>
      </c>
      <c r="N1" s="3" t="s">
        <v>207</v>
      </c>
    </row>
    <row r="2" spans="1:14" ht="30" x14ac:dyDescent="0.25">
      <c r="A2" s="3" t="s">
        <v>199</v>
      </c>
      <c r="B2" s="4">
        <v>45679</v>
      </c>
      <c r="C2" s="5">
        <v>0.6875</v>
      </c>
      <c r="D2" s="4">
        <v>45679</v>
      </c>
      <c r="E2" s="5">
        <v>0.72916666666666663</v>
      </c>
      <c r="F2" s="3" t="s">
        <v>195</v>
      </c>
      <c r="G2" s="3" t="s">
        <v>286</v>
      </c>
      <c r="H2" s="3" t="s">
        <v>287</v>
      </c>
      <c r="I2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0.99999999999999911</v>
      </c>
      <c r="J2" s="3" t="s">
        <v>12</v>
      </c>
      <c r="K2" s="3" t="s">
        <v>210</v>
      </c>
      <c r="L2" s="3" t="s">
        <v>51</v>
      </c>
      <c r="M2" s="3" t="s">
        <v>287</v>
      </c>
      <c r="N2" s="3" t="s">
        <v>288</v>
      </c>
    </row>
    <row r="3" spans="1:14" ht="30" x14ac:dyDescent="0.25">
      <c r="A3" s="3" t="s">
        <v>199</v>
      </c>
      <c r="B3" s="4">
        <v>45681</v>
      </c>
      <c r="C3" s="5">
        <v>0.61458333333333337</v>
      </c>
      <c r="D3" s="4">
        <v>45681</v>
      </c>
      <c r="E3" s="5">
        <v>0.70833333333333337</v>
      </c>
      <c r="F3" s="3" t="s">
        <v>195</v>
      </c>
      <c r="G3" s="3" t="s">
        <v>206</v>
      </c>
      <c r="I3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2.25</v>
      </c>
      <c r="J3" s="3" t="s">
        <v>12</v>
      </c>
      <c r="K3" s="3" t="s">
        <v>210</v>
      </c>
      <c r="L3" s="3" t="s">
        <v>51</v>
      </c>
      <c r="M3" s="3" t="s">
        <v>186</v>
      </c>
      <c r="N3" s="3" t="s">
        <v>186</v>
      </c>
    </row>
    <row r="4" spans="1:14" ht="30" x14ac:dyDescent="0.25">
      <c r="A4" s="3" t="s">
        <v>200</v>
      </c>
      <c r="B4" s="4">
        <v>45713</v>
      </c>
      <c r="C4" s="5">
        <v>0.40277777777777773</v>
      </c>
      <c r="D4" s="4">
        <v>45713</v>
      </c>
      <c r="E4" s="5">
        <v>0.5625</v>
      </c>
      <c r="F4" s="3" t="s">
        <v>195</v>
      </c>
      <c r="G4" s="3" t="s">
        <v>289</v>
      </c>
      <c r="I4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3.8333333333333344</v>
      </c>
      <c r="J4" s="3" t="s">
        <v>12</v>
      </c>
      <c r="K4" s="3" t="s">
        <v>210</v>
      </c>
      <c r="L4" s="3" t="s">
        <v>51</v>
      </c>
      <c r="M4" s="3" t="s">
        <v>186</v>
      </c>
      <c r="N4" s="3" t="s">
        <v>186</v>
      </c>
    </row>
    <row r="5" spans="1:14" ht="30" x14ac:dyDescent="0.25">
      <c r="A5" s="3" t="s">
        <v>200</v>
      </c>
      <c r="B5" s="4">
        <v>45763</v>
      </c>
      <c r="C5" s="5">
        <v>0.54861111111111105</v>
      </c>
      <c r="D5" s="4">
        <v>45763</v>
      </c>
      <c r="E5" s="5">
        <v>0.64583333333333337</v>
      </c>
      <c r="F5" s="3" t="s">
        <v>195</v>
      </c>
      <c r="G5" s="3" t="s">
        <v>206</v>
      </c>
      <c r="I5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2.3333333333333357</v>
      </c>
      <c r="J5" s="3" t="s">
        <v>12</v>
      </c>
      <c r="K5" s="3" t="s">
        <v>210</v>
      </c>
      <c r="L5" s="3" t="s">
        <v>51</v>
      </c>
      <c r="M5" s="3" t="s">
        <v>186</v>
      </c>
      <c r="N5" s="3" t="s">
        <v>186</v>
      </c>
    </row>
    <row r="6" spans="1:14" ht="30" x14ac:dyDescent="0.25">
      <c r="A6" s="3" t="s">
        <v>200</v>
      </c>
      <c r="B6" s="4">
        <v>45764</v>
      </c>
      <c r="C6" s="5">
        <v>0.60416666666666663</v>
      </c>
      <c r="D6" s="4">
        <v>45764</v>
      </c>
      <c r="E6" s="5">
        <v>0.6875</v>
      </c>
      <c r="F6" s="3" t="s">
        <v>195</v>
      </c>
      <c r="G6" s="3" t="s">
        <v>206</v>
      </c>
      <c r="I6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2.0000000000000009</v>
      </c>
      <c r="J6" s="3" t="s">
        <v>12</v>
      </c>
      <c r="K6" s="3" t="s">
        <v>210</v>
      </c>
      <c r="L6" s="3" t="s">
        <v>51</v>
      </c>
      <c r="M6" s="3" t="s">
        <v>186</v>
      </c>
      <c r="N6" s="3" t="s">
        <v>186</v>
      </c>
    </row>
    <row r="7" spans="1:14" ht="30" x14ac:dyDescent="0.25">
      <c r="A7" s="3" t="s">
        <v>200</v>
      </c>
      <c r="B7" s="4">
        <v>45771</v>
      </c>
      <c r="C7" s="5">
        <v>0.44791666666666669</v>
      </c>
      <c r="D7" s="4">
        <v>45771</v>
      </c>
      <c r="E7" s="5">
        <v>0.5</v>
      </c>
      <c r="F7" s="3" t="s">
        <v>195</v>
      </c>
      <c r="G7" s="3" t="s">
        <v>290</v>
      </c>
      <c r="I7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1.2499999999999996</v>
      </c>
      <c r="J7" s="3" t="s">
        <v>12</v>
      </c>
      <c r="K7" s="3" t="s">
        <v>231</v>
      </c>
      <c r="L7" s="3" t="s">
        <v>51</v>
      </c>
      <c r="M7" s="3" t="s">
        <v>291</v>
      </c>
      <c r="N7" s="3" t="s">
        <v>292</v>
      </c>
    </row>
    <row r="8" spans="1:14" ht="30" x14ac:dyDescent="0.25">
      <c r="A8" s="3" t="s">
        <v>200</v>
      </c>
      <c r="B8" s="4">
        <v>45818</v>
      </c>
      <c r="C8" s="5">
        <v>0.71180555555555547</v>
      </c>
      <c r="D8" s="4">
        <v>45818</v>
      </c>
      <c r="E8" s="5">
        <v>0.72916666666666663</v>
      </c>
      <c r="F8" s="3" t="s">
        <v>293</v>
      </c>
      <c r="G8" s="3" t="s">
        <v>294</v>
      </c>
      <c r="I8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0.41666666666666785</v>
      </c>
      <c r="J8" s="3" t="s">
        <v>12</v>
      </c>
      <c r="K8" s="3" t="s">
        <v>210</v>
      </c>
      <c r="L8" s="3" t="s">
        <v>51</v>
      </c>
      <c r="M8" s="3" t="s">
        <v>287</v>
      </c>
      <c r="N8" s="3" t="s">
        <v>295</v>
      </c>
    </row>
    <row r="9" spans="1:14" ht="30" x14ac:dyDescent="0.25">
      <c r="A9" s="3" t="s">
        <v>200</v>
      </c>
      <c r="B9" s="4">
        <v>45818</v>
      </c>
      <c r="C9" s="5">
        <v>0.71180555555555547</v>
      </c>
      <c r="D9" s="4">
        <v>45818</v>
      </c>
      <c r="E9" s="5">
        <v>0.72916666666666663</v>
      </c>
      <c r="F9" s="3" t="s">
        <v>203</v>
      </c>
      <c r="G9" s="3" t="s">
        <v>206</v>
      </c>
      <c r="I9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0.41666666666666785</v>
      </c>
      <c r="J9" s="3" t="s">
        <v>12</v>
      </c>
      <c r="K9" s="3" t="s">
        <v>210</v>
      </c>
      <c r="L9" s="3" t="s">
        <v>51</v>
      </c>
      <c r="M9" s="3" t="s">
        <v>186</v>
      </c>
      <c r="N9" s="3" t="s">
        <v>186</v>
      </c>
    </row>
    <row r="10" spans="1:14" ht="45" x14ac:dyDescent="0.25">
      <c r="A10" s="3" t="s">
        <v>200</v>
      </c>
      <c r="B10" s="4">
        <v>45819</v>
      </c>
      <c r="C10" s="5">
        <v>0.33333333333333331</v>
      </c>
      <c r="D10" s="4">
        <v>45819</v>
      </c>
      <c r="E10" s="5">
        <v>0.60069444444444442</v>
      </c>
      <c r="F10" s="3" t="s">
        <v>293</v>
      </c>
      <c r="G10" s="3" t="s">
        <v>296</v>
      </c>
      <c r="H10" s="3" t="s">
        <v>287</v>
      </c>
      <c r="I10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6.4166666666666661</v>
      </c>
      <c r="J10" s="3" t="s">
        <v>12</v>
      </c>
      <c r="K10" s="3" t="s">
        <v>210</v>
      </c>
      <c r="L10" s="3" t="s">
        <v>297</v>
      </c>
      <c r="M10" s="3" t="s">
        <v>298</v>
      </c>
      <c r="N10" s="3" t="s">
        <v>299</v>
      </c>
    </row>
    <row r="11" spans="1:14" ht="30" x14ac:dyDescent="0.25">
      <c r="A11" s="3" t="s">
        <v>200</v>
      </c>
      <c r="B11" s="4">
        <v>45852</v>
      </c>
      <c r="C11" s="5">
        <v>0.33680555555555558</v>
      </c>
      <c r="D11" s="4">
        <v>45852</v>
      </c>
      <c r="E11" s="5">
        <v>0.4375</v>
      </c>
      <c r="F11" s="3" t="s">
        <v>293</v>
      </c>
      <c r="G11" s="3" t="s">
        <v>300</v>
      </c>
      <c r="I11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2.4166666666666661</v>
      </c>
      <c r="J11" s="3" t="s">
        <v>12</v>
      </c>
      <c r="K11" s="3" t="s">
        <v>231</v>
      </c>
      <c r="L11" s="3" t="s">
        <v>51</v>
      </c>
      <c r="M11" s="3" t="s">
        <v>186</v>
      </c>
      <c r="N11" s="3" t="s">
        <v>186</v>
      </c>
    </row>
    <row r="12" spans="1:14" ht="30" x14ac:dyDescent="0.25">
      <c r="A12" s="3" t="s">
        <v>200</v>
      </c>
      <c r="B12" s="4">
        <v>45869</v>
      </c>
      <c r="C12" s="5">
        <v>0.65625</v>
      </c>
      <c r="D12" s="4">
        <v>45869</v>
      </c>
      <c r="E12" s="5">
        <v>0.70833333333333337</v>
      </c>
      <c r="F12" s="3" t="s">
        <v>203</v>
      </c>
      <c r="G12" s="3" t="s">
        <v>447</v>
      </c>
      <c r="I12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1.2500000000000009</v>
      </c>
      <c r="J12" s="3" t="s">
        <v>12</v>
      </c>
      <c r="K12" s="3" t="s">
        <v>231</v>
      </c>
      <c r="L12" s="3" t="s">
        <v>51</v>
      </c>
      <c r="M12" s="3" t="s">
        <v>291</v>
      </c>
      <c r="N12" s="3" t="s">
        <v>186</v>
      </c>
    </row>
    <row r="13" spans="1:14" ht="30" x14ac:dyDescent="0.25">
      <c r="A13" s="3" t="s">
        <v>200</v>
      </c>
      <c r="B13" s="4">
        <v>46001</v>
      </c>
      <c r="C13" s="5">
        <v>0.33680555555555558</v>
      </c>
      <c r="D13" s="4">
        <v>46001</v>
      </c>
      <c r="E13" s="5">
        <v>0.40972222222222227</v>
      </c>
      <c r="F13" s="3" t="s">
        <v>293</v>
      </c>
      <c r="G13" s="3" t="s">
        <v>300</v>
      </c>
      <c r="I13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1.7500000000000004</v>
      </c>
      <c r="J13" s="3" t="s">
        <v>12</v>
      </c>
      <c r="K13" s="3" t="s">
        <v>231</v>
      </c>
      <c r="L13" s="3" t="s">
        <v>51</v>
      </c>
      <c r="M13" s="3" t="s">
        <v>186</v>
      </c>
      <c r="N13" s="3" t="s">
        <v>186</v>
      </c>
    </row>
    <row r="14" spans="1:14" ht="30" x14ac:dyDescent="0.25">
      <c r="A14" s="3" t="s">
        <v>201</v>
      </c>
      <c r="B14" s="4">
        <v>45667</v>
      </c>
      <c r="C14" s="5">
        <v>0.39583333333333331</v>
      </c>
      <c r="D14" s="4">
        <v>45667</v>
      </c>
      <c r="E14" s="5">
        <v>0.54166666666666663</v>
      </c>
      <c r="F14" s="3" t="s">
        <v>195</v>
      </c>
      <c r="G14" s="3" t="s">
        <v>301</v>
      </c>
      <c r="I14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3.4999999999999996</v>
      </c>
      <c r="J14" s="3" t="s">
        <v>12</v>
      </c>
      <c r="K14" s="3" t="s">
        <v>210</v>
      </c>
      <c r="L14" s="3" t="s">
        <v>51</v>
      </c>
      <c r="M14" s="3" t="s">
        <v>302</v>
      </c>
      <c r="N14" s="3" t="s">
        <v>186</v>
      </c>
    </row>
    <row r="15" spans="1:14" ht="30" x14ac:dyDescent="0.25">
      <c r="A15" s="3" t="s">
        <v>201</v>
      </c>
      <c r="B15" s="4">
        <v>45706</v>
      </c>
      <c r="C15" s="5">
        <v>0.64583333333333337</v>
      </c>
      <c r="D15" s="4">
        <v>45706</v>
      </c>
      <c r="E15" s="5">
        <v>0.72916666666666663</v>
      </c>
      <c r="F15" s="3" t="s">
        <v>195</v>
      </c>
      <c r="G15" s="3" t="s">
        <v>303</v>
      </c>
      <c r="I15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1.9999999999999982</v>
      </c>
      <c r="J15" s="3" t="s">
        <v>12</v>
      </c>
      <c r="K15" s="3" t="s">
        <v>231</v>
      </c>
      <c r="L15" s="3" t="s">
        <v>51</v>
      </c>
      <c r="M15" s="3" t="s">
        <v>186</v>
      </c>
      <c r="N15" s="3" t="s">
        <v>186</v>
      </c>
    </row>
    <row r="16" spans="1:14" ht="30" x14ac:dyDescent="0.25">
      <c r="A16" s="3" t="s">
        <v>201</v>
      </c>
      <c r="B16" s="4">
        <v>45853</v>
      </c>
      <c r="C16" s="5">
        <v>0.4826388888888889</v>
      </c>
      <c r="D16" s="4">
        <v>45853</v>
      </c>
      <c r="E16" s="5">
        <v>0.52083333333333337</v>
      </c>
      <c r="F16" s="3" t="s">
        <v>203</v>
      </c>
      <c r="G16" s="3" t="s">
        <v>206</v>
      </c>
      <c r="I16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0.91666666666666741</v>
      </c>
      <c r="J16" s="3" t="s">
        <v>12</v>
      </c>
      <c r="K16" s="3" t="s">
        <v>210</v>
      </c>
      <c r="L16" s="3" t="s">
        <v>51</v>
      </c>
      <c r="M16" s="3" t="s">
        <v>186</v>
      </c>
      <c r="N16" s="3" t="s">
        <v>186</v>
      </c>
    </row>
    <row r="17" spans="1:14" ht="30" x14ac:dyDescent="0.25">
      <c r="A17" s="3" t="s">
        <v>201</v>
      </c>
      <c r="B17" s="4">
        <v>45938</v>
      </c>
      <c r="C17" s="5">
        <v>0.33680555555555558</v>
      </c>
      <c r="D17" s="4">
        <v>45938</v>
      </c>
      <c r="E17" s="5">
        <v>0.3923611111111111</v>
      </c>
      <c r="F17" s="3" t="s">
        <v>293</v>
      </c>
      <c r="G17" s="3" t="s">
        <v>300</v>
      </c>
      <c r="I17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1.3333333333333326</v>
      </c>
      <c r="J17" s="3" t="s">
        <v>12</v>
      </c>
      <c r="K17" s="3" t="s">
        <v>231</v>
      </c>
      <c r="L17" s="3" t="s">
        <v>51</v>
      </c>
      <c r="M17" s="3" t="s">
        <v>186</v>
      </c>
      <c r="N17" s="3" t="s">
        <v>186</v>
      </c>
    </row>
    <row r="18" spans="1:14" ht="30" x14ac:dyDescent="0.25">
      <c r="A18" s="3" t="s">
        <v>201</v>
      </c>
      <c r="B18" s="4">
        <v>45993</v>
      </c>
      <c r="C18" s="5">
        <v>0.6875</v>
      </c>
      <c r="D18" s="4">
        <v>45993</v>
      </c>
      <c r="E18" s="5">
        <v>0.72916666666666663</v>
      </c>
      <c r="F18" s="3" t="s">
        <v>195</v>
      </c>
      <c r="G18" s="3" t="s">
        <v>304</v>
      </c>
      <c r="I18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0.99999999999999911</v>
      </c>
      <c r="J18" s="3" t="s">
        <v>12</v>
      </c>
      <c r="K18" s="3" t="s">
        <v>231</v>
      </c>
      <c r="L18" s="3" t="s">
        <v>51</v>
      </c>
      <c r="M18" s="3" t="s">
        <v>186</v>
      </c>
      <c r="N18" s="3" t="s">
        <v>186</v>
      </c>
    </row>
    <row r="19" spans="1:14" ht="30" x14ac:dyDescent="0.25">
      <c r="A19" s="3" t="s">
        <v>202</v>
      </c>
      <c r="B19" s="4">
        <v>45786</v>
      </c>
      <c r="C19" s="5">
        <v>0.375</v>
      </c>
      <c r="D19" s="4">
        <v>45786</v>
      </c>
      <c r="E19" s="5">
        <v>0.40625</v>
      </c>
      <c r="F19" s="3" t="s">
        <v>204</v>
      </c>
      <c r="G19" s="3" t="s">
        <v>305</v>
      </c>
      <c r="I19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0.75</v>
      </c>
      <c r="J19" s="3" t="s">
        <v>12</v>
      </c>
      <c r="K19" s="3" t="s">
        <v>210</v>
      </c>
      <c r="L19" s="3" t="s">
        <v>51</v>
      </c>
      <c r="M19" s="3" t="s">
        <v>306</v>
      </c>
      <c r="N19" s="3" t="s">
        <v>307</v>
      </c>
    </row>
    <row r="20" spans="1:14" ht="45" x14ac:dyDescent="0.25">
      <c r="A20" s="3" t="s">
        <v>202</v>
      </c>
      <c r="B20" s="4">
        <v>45859</v>
      </c>
      <c r="C20" s="5">
        <v>0.33333333333333331</v>
      </c>
      <c r="D20" s="4">
        <v>45859</v>
      </c>
      <c r="E20" s="5">
        <v>0.35416666666666669</v>
      </c>
      <c r="F20" s="3" t="s">
        <v>204</v>
      </c>
      <c r="G20" s="3" t="s">
        <v>308</v>
      </c>
      <c r="H20" s="3" t="s">
        <v>230</v>
      </c>
      <c r="I20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0.50000000000000089</v>
      </c>
      <c r="J20" s="3" t="s">
        <v>12</v>
      </c>
      <c r="K20" s="3" t="s">
        <v>231</v>
      </c>
      <c r="L20" s="3" t="s">
        <v>83</v>
      </c>
      <c r="M20" s="3" t="s">
        <v>232</v>
      </c>
      <c r="N20" s="3" t="s">
        <v>233</v>
      </c>
    </row>
    <row r="21" spans="1:14" ht="30" x14ac:dyDescent="0.25">
      <c r="A21" s="3" t="s">
        <v>202</v>
      </c>
      <c r="B21" s="4">
        <v>45884</v>
      </c>
      <c r="C21" s="5">
        <v>0.39583333333333331</v>
      </c>
      <c r="D21" s="4">
        <v>45884</v>
      </c>
      <c r="E21" s="5">
        <v>0.54166666666666663</v>
      </c>
      <c r="F21" s="3" t="s">
        <v>195</v>
      </c>
      <c r="G21" s="3" t="s">
        <v>309</v>
      </c>
      <c r="H21" s="3" t="s">
        <v>186</v>
      </c>
      <c r="I21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3.4999999999999996</v>
      </c>
      <c r="J21" s="3" t="s">
        <v>12</v>
      </c>
      <c r="K21" s="3" t="s">
        <v>210</v>
      </c>
      <c r="L21" s="3" t="s">
        <v>51</v>
      </c>
      <c r="M21" s="3" t="s">
        <v>310</v>
      </c>
      <c r="N21" s="3" t="s">
        <v>311</v>
      </c>
    </row>
    <row r="22" spans="1:14" ht="45" x14ac:dyDescent="0.25">
      <c r="A22" s="3" t="s">
        <v>202</v>
      </c>
      <c r="B22" s="4">
        <v>45890</v>
      </c>
      <c r="C22" s="5">
        <v>0.33333333333333331</v>
      </c>
      <c r="D22" s="4">
        <v>45890</v>
      </c>
      <c r="E22" s="5">
        <v>0.35416666666666669</v>
      </c>
      <c r="F22" s="3" t="s">
        <v>204</v>
      </c>
      <c r="G22" s="3" t="s">
        <v>312</v>
      </c>
      <c r="H22" s="3" t="s">
        <v>230</v>
      </c>
      <c r="I22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0.50000000000000089</v>
      </c>
      <c r="J22" s="3" t="s">
        <v>12</v>
      </c>
      <c r="K22" s="3" t="s">
        <v>231</v>
      </c>
      <c r="L22" s="3" t="s">
        <v>83</v>
      </c>
      <c r="M22" s="3" t="s">
        <v>232</v>
      </c>
      <c r="N22" s="3" t="s">
        <v>233</v>
      </c>
    </row>
    <row r="23" spans="1:14" ht="45" x14ac:dyDescent="0.25">
      <c r="A23" s="3" t="s">
        <v>202</v>
      </c>
      <c r="B23" s="4">
        <v>45891</v>
      </c>
      <c r="C23" s="5">
        <v>0.34375</v>
      </c>
      <c r="D23" s="4">
        <v>45891</v>
      </c>
      <c r="E23" s="5">
        <v>0.3611111111111111</v>
      </c>
      <c r="F23" s="3" t="s">
        <v>204</v>
      </c>
      <c r="G23" s="3" t="s">
        <v>313</v>
      </c>
      <c r="H23" s="3" t="s">
        <v>230</v>
      </c>
      <c r="I23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0.41666666666666652</v>
      </c>
      <c r="J23" s="3" t="s">
        <v>12</v>
      </c>
      <c r="K23" s="3" t="s">
        <v>231</v>
      </c>
      <c r="L23" s="3" t="s">
        <v>83</v>
      </c>
      <c r="M23" s="3" t="s">
        <v>232</v>
      </c>
      <c r="N23" s="3" t="s">
        <v>233</v>
      </c>
    </row>
    <row r="24" spans="1:14" ht="45" x14ac:dyDescent="0.25">
      <c r="A24" s="3" t="s">
        <v>202</v>
      </c>
      <c r="B24" s="4">
        <v>45903</v>
      </c>
      <c r="C24" s="5">
        <v>0.33333333333333331</v>
      </c>
      <c r="D24" s="4">
        <v>45903</v>
      </c>
      <c r="E24" s="5">
        <v>0.3611111111111111</v>
      </c>
      <c r="F24" s="3" t="s">
        <v>204</v>
      </c>
      <c r="G24" s="3" t="s">
        <v>314</v>
      </c>
      <c r="H24" s="3" t="s">
        <v>230</v>
      </c>
      <c r="I24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0.66666666666666696</v>
      </c>
      <c r="J24" s="3" t="s">
        <v>12</v>
      </c>
      <c r="K24" s="3" t="s">
        <v>231</v>
      </c>
      <c r="L24" s="3" t="s">
        <v>83</v>
      </c>
      <c r="M24" s="3" t="s">
        <v>232</v>
      </c>
      <c r="N24" s="3" t="s">
        <v>233</v>
      </c>
    </row>
    <row r="25" spans="1:14" ht="30" x14ac:dyDescent="0.25">
      <c r="A25" s="3" t="s">
        <v>202</v>
      </c>
      <c r="B25" s="4">
        <v>46000</v>
      </c>
      <c r="C25" s="5">
        <v>0.5625</v>
      </c>
      <c r="D25" s="4">
        <v>46000</v>
      </c>
      <c r="E25" s="5">
        <v>0.72916666666666663</v>
      </c>
      <c r="F25" s="3" t="s">
        <v>204</v>
      </c>
      <c r="G25" s="3" t="s">
        <v>315</v>
      </c>
      <c r="I25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3.9999999999999991</v>
      </c>
      <c r="J25" s="3" t="s">
        <v>12</v>
      </c>
      <c r="K25" s="3" t="s">
        <v>231</v>
      </c>
      <c r="L25" s="3" t="s">
        <v>51</v>
      </c>
      <c r="M25" s="3" t="s">
        <v>186</v>
      </c>
      <c r="N25" s="3" t="s">
        <v>186</v>
      </c>
    </row>
    <row r="26" spans="1:14" ht="30" x14ac:dyDescent="0.25">
      <c r="A26" s="3" t="s">
        <v>188</v>
      </c>
      <c r="B26" s="4">
        <v>45691</v>
      </c>
      <c r="C26" s="5">
        <v>0.45833333333333331</v>
      </c>
      <c r="D26" s="4">
        <v>45691</v>
      </c>
      <c r="E26" s="5">
        <v>0.58333333333333337</v>
      </c>
      <c r="F26" s="3" t="s">
        <v>198</v>
      </c>
      <c r="G26" s="3" t="s">
        <v>316</v>
      </c>
      <c r="H26" s="3" t="s">
        <v>186</v>
      </c>
      <c r="I26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3.0000000000000013</v>
      </c>
      <c r="J26" s="3" t="s">
        <v>12</v>
      </c>
      <c r="K26" s="3" t="s">
        <v>210</v>
      </c>
      <c r="L26" s="3" t="s">
        <v>89</v>
      </c>
      <c r="M26" s="3" t="s">
        <v>317</v>
      </c>
      <c r="N26" s="3" t="s">
        <v>318</v>
      </c>
    </row>
    <row r="27" spans="1:14" ht="30" x14ac:dyDescent="0.25">
      <c r="A27" s="3" t="s">
        <v>188</v>
      </c>
      <c r="B27" s="4">
        <v>45709</v>
      </c>
      <c r="C27" s="5">
        <v>0.34027777777777773</v>
      </c>
      <c r="D27" s="4">
        <v>45709</v>
      </c>
      <c r="E27" s="5">
        <v>0.52083333333333337</v>
      </c>
      <c r="F27" s="3" t="s">
        <v>198</v>
      </c>
      <c r="G27" s="3" t="s">
        <v>319</v>
      </c>
      <c r="H27" s="3" t="s">
        <v>320</v>
      </c>
      <c r="I27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4.3333333333333357</v>
      </c>
      <c r="J27" s="3" t="s">
        <v>12</v>
      </c>
      <c r="K27" s="3" t="s">
        <v>210</v>
      </c>
      <c r="L27" s="3" t="s">
        <v>297</v>
      </c>
      <c r="M27" s="3" t="s">
        <v>321</v>
      </c>
      <c r="N27" s="3" t="s">
        <v>322</v>
      </c>
    </row>
    <row r="28" spans="1:14" ht="30" x14ac:dyDescent="0.25">
      <c r="A28" s="3" t="s">
        <v>188</v>
      </c>
      <c r="B28" s="4">
        <v>45747</v>
      </c>
      <c r="C28" s="5">
        <v>0.33333333333333331</v>
      </c>
      <c r="D28" s="4">
        <v>45747</v>
      </c>
      <c r="E28" s="5">
        <v>0.3888888888888889</v>
      </c>
      <c r="F28" s="3" t="s">
        <v>198</v>
      </c>
      <c r="G28" s="3" t="s">
        <v>323</v>
      </c>
      <c r="H28" s="3" t="s">
        <v>186</v>
      </c>
      <c r="I28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1.3333333333333339</v>
      </c>
      <c r="J28" s="3" t="s">
        <v>12</v>
      </c>
      <c r="K28" s="3" t="s">
        <v>210</v>
      </c>
      <c r="L28" s="3" t="s">
        <v>51</v>
      </c>
      <c r="M28" s="3" t="s">
        <v>235</v>
      </c>
      <c r="N28" s="3" t="s">
        <v>324</v>
      </c>
    </row>
    <row r="29" spans="1:14" ht="30" x14ac:dyDescent="0.25">
      <c r="A29" s="3" t="s">
        <v>188</v>
      </c>
      <c r="B29" s="4">
        <v>45943</v>
      </c>
      <c r="C29" s="5">
        <v>0.46180555555555558</v>
      </c>
      <c r="D29" s="4">
        <v>45943</v>
      </c>
      <c r="E29" s="5">
        <v>0.54861111111111105</v>
      </c>
      <c r="F29" s="3" t="s">
        <v>198</v>
      </c>
      <c r="G29" s="3" t="s">
        <v>325</v>
      </c>
      <c r="H29" s="3" t="s">
        <v>186</v>
      </c>
      <c r="I29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2.0833333333333313</v>
      </c>
      <c r="J29" s="3" t="s">
        <v>12</v>
      </c>
      <c r="K29" s="3" t="s">
        <v>210</v>
      </c>
      <c r="L29" s="3" t="s">
        <v>51</v>
      </c>
      <c r="M29" s="3" t="s">
        <v>326</v>
      </c>
      <c r="N29" s="3" t="s">
        <v>327</v>
      </c>
    </row>
    <row r="30" spans="1:14" ht="30" x14ac:dyDescent="0.25">
      <c r="A30" s="3" t="s">
        <v>193</v>
      </c>
      <c r="B30" s="4">
        <v>45673</v>
      </c>
      <c r="C30" s="5">
        <v>0.33680555555555558</v>
      </c>
      <c r="D30" s="4">
        <v>45673</v>
      </c>
      <c r="E30" s="5">
        <v>0.625</v>
      </c>
      <c r="F30" s="3" t="s">
        <v>194</v>
      </c>
      <c r="G30" s="3" t="s">
        <v>328</v>
      </c>
      <c r="H30" s="3" t="s">
        <v>186</v>
      </c>
      <c r="I30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6.9166666666666661</v>
      </c>
      <c r="J30" s="3" t="s">
        <v>12</v>
      </c>
      <c r="K30" s="3" t="s">
        <v>210</v>
      </c>
      <c r="L30" s="3" t="s">
        <v>51</v>
      </c>
      <c r="M30" s="3" t="s">
        <v>126</v>
      </c>
      <c r="N30" s="3" t="s">
        <v>186</v>
      </c>
    </row>
    <row r="31" spans="1:14" ht="30" x14ac:dyDescent="0.25">
      <c r="A31" s="3" t="s">
        <v>193</v>
      </c>
      <c r="B31" s="4">
        <v>45698</v>
      </c>
      <c r="C31" s="5">
        <v>0.43055555555555558</v>
      </c>
      <c r="D31" s="4">
        <v>45698</v>
      </c>
      <c r="E31" s="5">
        <v>0.63888888888888895</v>
      </c>
      <c r="F31" s="3" t="s">
        <v>194</v>
      </c>
      <c r="G31" s="3" t="s">
        <v>329</v>
      </c>
      <c r="H31" s="3" t="s">
        <v>222</v>
      </c>
      <c r="I31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5.0000000000000009</v>
      </c>
      <c r="J31" s="3" t="s">
        <v>12</v>
      </c>
      <c r="K31" s="3" t="s">
        <v>210</v>
      </c>
      <c r="L31" s="3" t="s">
        <v>51</v>
      </c>
      <c r="M31" s="3" t="s">
        <v>222</v>
      </c>
      <c r="N31" s="3" t="s">
        <v>53</v>
      </c>
    </row>
    <row r="32" spans="1:14" ht="30" x14ac:dyDescent="0.25">
      <c r="A32" s="3" t="s">
        <v>193</v>
      </c>
      <c r="B32" s="4">
        <v>45700</v>
      </c>
      <c r="C32" s="5">
        <v>0.3354166666666667</v>
      </c>
      <c r="D32" s="4">
        <v>45700</v>
      </c>
      <c r="E32" s="5">
        <v>0.47916666666666669</v>
      </c>
      <c r="F32" s="3" t="s">
        <v>194</v>
      </c>
      <c r="G32" s="3" t="s">
        <v>330</v>
      </c>
      <c r="H32" s="3" t="s">
        <v>186</v>
      </c>
      <c r="I32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3.4499999999999997</v>
      </c>
      <c r="J32" s="3" t="s">
        <v>12</v>
      </c>
      <c r="K32" s="3" t="s">
        <v>210</v>
      </c>
      <c r="L32" s="3" t="s">
        <v>89</v>
      </c>
      <c r="M32" s="3" t="s">
        <v>165</v>
      </c>
      <c r="N32" s="3" t="s">
        <v>331</v>
      </c>
    </row>
    <row r="33" spans="1:14" ht="30" x14ac:dyDescent="0.25">
      <c r="A33" s="3" t="s">
        <v>193</v>
      </c>
      <c r="B33" s="4">
        <v>45735</v>
      </c>
      <c r="C33" s="5">
        <v>0.3347222222222222</v>
      </c>
      <c r="D33" s="4">
        <v>45735</v>
      </c>
      <c r="E33" s="5">
        <v>0.59722222222222221</v>
      </c>
      <c r="F33" s="3" t="s">
        <v>194</v>
      </c>
      <c r="G33" s="3" t="s">
        <v>332</v>
      </c>
      <c r="H33" s="3" t="s">
        <v>186</v>
      </c>
      <c r="I33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6.3000000000000007</v>
      </c>
      <c r="J33" s="3" t="s">
        <v>12</v>
      </c>
      <c r="K33" s="3" t="s">
        <v>231</v>
      </c>
      <c r="L33" s="3" t="s">
        <v>51</v>
      </c>
      <c r="M33" s="3" t="s">
        <v>333</v>
      </c>
      <c r="N33" s="3" t="s">
        <v>186</v>
      </c>
    </row>
    <row r="34" spans="1:14" ht="30" x14ac:dyDescent="0.25">
      <c r="A34" s="3" t="s">
        <v>193</v>
      </c>
      <c r="B34" s="4">
        <v>45743</v>
      </c>
      <c r="C34" s="5">
        <v>0.375</v>
      </c>
      <c r="D34" s="4">
        <v>45743</v>
      </c>
      <c r="E34" s="5">
        <v>0.72569444444444453</v>
      </c>
      <c r="F34" s="3" t="s">
        <v>194</v>
      </c>
      <c r="G34" s="3" t="s">
        <v>334</v>
      </c>
      <c r="H34" s="3" t="s">
        <v>186</v>
      </c>
      <c r="I34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8.4166666666666679</v>
      </c>
      <c r="J34" s="3" t="s">
        <v>12</v>
      </c>
      <c r="K34" s="3" t="s">
        <v>231</v>
      </c>
      <c r="L34" s="3" t="s">
        <v>89</v>
      </c>
      <c r="M34" s="3" t="s">
        <v>165</v>
      </c>
      <c r="N34" s="3" t="s">
        <v>186</v>
      </c>
    </row>
    <row r="35" spans="1:14" ht="30" x14ac:dyDescent="0.25">
      <c r="A35" s="3" t="s">
        <v>193</v>
      </c>
      <c r="B35" s="4">
        <v>45756</v>
      </c>
      <c r="C35" s="5">
        <v>0.58333333333333337</v>
      </c>
      <c r="D35" s="4">
        <v>45756</v>
      </c>
      <c r="E35" s="5">
        <v>0.72916666666666663</v>
      </c>
      <c r="F35" s="3" t="s">
        <v>198</v>
      </c>
      <c r="G35" s="3" t="s">
        <v>335</v>
      </c>
      <c r="H35" s="3" t="s">
        <v>186</v>
      </c>
      <c r="I35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3.4999999999999982</v>
      </c>
      <c r="J35" s="3" t="s">
        <v>12</v>
      </c>
      <c r="K35" s="3" t="s">
        <v>210</v>
      </c>
      <c r="L35" s="3" t="s">
        <v>89</v>
      </c>
      <c r="M35" s="3" t="s">
        <v>336</v>
      </c>
      <c r="N35" s="3" t="s">
        <v>186</v>
      </c>
    </row>
    <row r="36" spans="1:14" ht="30" x14ac:dyDescent="0.25">
      <c r="A36" s="3" t="s">
        <v>193</v>
      </c>
      <c r="B36" s="4">
        <v>45763</v>
      </c>
      <c r="C36" s="5">
        <v>0.60069444444444442</v>
      </c>
      <c r="D36" s="4">
        <v>45763</v>
      </c>
      <c r="E36" s="5">
        <v>0.72916666666666663</v>
      </c>
      <c r="F36" s="3" t="s">
        <v>198</v>
      </c>
      <c r="G36" s="3" t="s">
        <v>337</v>
      </c>
      <c r="H36" s="3" t="s">
        <v>338</v>
      </c>
      <c r="I36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3.083333333333333</v>
      </c>
      <c r="J36" s="3" t="s">
        <v>12</v>
      </c>
      <c r="K36" s="3" t="s">
        <v>210</v>
      </c>
      <c r="L36" s="3" t="s">
        <v>71</v>
      </c>
      <c r="M36" s="3" t="s">
        <v>339</v>
      </c>
      <c r="N36" s="3" t="s">
        <v>340</v>
      </c>
    </row>
    <row r="37" spans="1:14" ht="30" x14ac:dyDescent="0.25">
      <c r="A37" s="3" t="s">
        <v>193</v>
      </c>
      <c r="B37" s="4">
        <v>45763</v>
      </c>
      <c r="C37" s="5">
        <v>0.60416666666666663</v>
      </c>
      <c r="D37" s="4">
        <v>45763</v>
      </c>
      <c r="E37" s="5">
        <v>0.6875</v>
      </c>
      <c r="F37" s="3" t="s">
        <v>194</v>
      </c>
      <c r="G37" s="3" t="s">
        <v>341</v>
      </c>
      <c r="H37" s="3" t="s">
        <v>338</v>
      </c>
      <c r="I37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2.0000000000000009</v>
      </c>
      <c r="J37" s="3" t="s">
        <v>12</v>
      </c>
      <c r="K37" s="3" t="s">
        <v>210</v>
      </c>
      <c r="L37" s="3" t="s">
        <v>71</v>
      </c>
      <c r="M37" s="3" t="s">
        <v>339</v>
      </c>
      <c r="N37" s="3" t="s">
        <v>340</v>
      </c>
    </row>
    <row r="38" spans="1:14" ht="45" x14ac:dyDescent="0.25">
      <c r="A38" s="3" t="s">
        <v>193</v>
      </c>
      <c r="B38" s="4">
        <v>45776</v>
      </c>
      <c r="C38" s="5">
        <v>0.375</v>
      </c>
      <c r="D38" s="4">
        <v>45776</v>
      </c>
      <c r="E38" s="5">
        <v>0.72569444444444453</v>
      </c>
      <c r="F38" s="3" t="s">
        <v>194</v>
      </c>
      <c r="G38" s="3" t="s">
        <v>342</v>
      </c>
      <c r="H38" s="3" t="s">
        <v>186</v>
      </c>
      <c r="I38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8.4166666666666679</v>
      </c>
      <c r="J38" s="3" t="s">
        <v>12</v>
      </c>
      <c r="K38" s="3" t="s">
        <v>210</v>
      </c>
      <c r="L38" s="3" t="s">
        <v>351</v>
      </c>
      <c r="M38" s="3" t="s">
        <v>343</v>
      </c>
      <c r="N38" s="3" t="s">
        <v>186</v>
      </c>
    </row>
    <row r="39" spans="1:14" ht="30" x14ac:dyDescent="0.25">
      <c r="A39" s="3" t="s">
        <v>193</v>
      </c>
      <c r="B39" s="4">
        <v>45841</v>
      </c>
      <c r="C39" s="5">
        <v>0.63263888888888886</v>
      </c>
      <c r="D39" s="4">
        <v>45841</v>
      </c>
      <c r="E39" s="5">
        <v>0.70833333333333337</v>
      </c>
      <c r="F39" s="3" t="s">
        <v>194</v>
      </c>
      <c r="G39" s="3" t="s">
        <v>344</v>
      </c>
      <c r="H39" s="3" t="s">
        <v>186</v>
      </c>
      <c r="I39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1.8166666666666682</v>
      </c>
      <c r="J39" s="3" t="s">
        <v>12</v>
      </c>
      <c r="K39" s="3" t="s">
        <v>210</v>
      </c>
      <c r="L39" s="3" t="s">
        <v>51</v>
      </c>
      <c r="M39" s="3" t="s">
        <v>333</v>
      </c>
      <c r="N39" s="3" t="s">
        <v>186</v>
      </c>
    </row>
    <row r="40" spans="1:14" ht="30" x14ac:dyDescent="0.25">
      <c r="A40" s="3" t="s">
        <v>193</v>
      </c>
      <c r="B40" s="4">
        <v>45854</v>
      </c>
      <c r="C40" s="5">
        <v>0.64652777777777781</v>
      </c>
      <c r="D40" s="4">
        <v>45854</v>
      </c>
      <c r="E40" s="5">
        <v>0.6875</v>
      </c>
      <c r="F40" s="3" t="s">
        <v>194</v>
      </c>
      <c r="G40" s="3" t="s">
        <v>345</v>
      </c>
      <c r="H40" s="3" t="s">
        <v>222</v>
      </c>
      <c r="I40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0.9833333333333325</v>
      </c>
      <c r="J40" s="3" t="s">
        <v>12</v>
      </c>
      <c r="K40" s="3" t="s">
        <v>210</v>
      </c>
      <c r="L40" s="3" t="s">
        <v>51</v>
      </c>
      <c r="M40" s="3" t="s">
        <v>222</v>
      </c>
      <c r="N40" s="3" t="s">
        <v>53</v>
      </c>
    </row>
    <row r="41" spans="1:14" ht="30" x14ac:dyDescent="0.25">
      <c r="A41" s="3" t="s">
        <v>190</v>
      </c>
      <c r="B41" s="4">
        <v>45665</v>
      </c>
      <c r="C41" s="5">
        <v>0.6875</v>
      </c>
      <c r="D41" s="4">
        <v>45665</v>
      </c>
      <c r="E41" s="5">
        <v>0.72916666666666663</v>
      </c>
      <c r="F41" s="3" t="s">
        <v>195</v>
      </c>
      <c r="G41" s="3" t="s">
        <v>346</v>
      </c>
      <c r="H41" s="3" t="s">
        <v>186</v>
      </c>
      <c r="I41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0.99999999999999911</v>
      </c>
      <c r="J41" s="3" t="s">
        <v>12</v>
      </c>
      <c r="K41" s="3" t="s">
        <v>210</v>
      </c>
      <c r="L41" s="3" t="s">
        <v>51</v>
      </c>
      <c r="M41" s="3" t="s">
        <v>347</v>
      </c>
      <c r="N41" s="3" t="s">
        <v>186</v>
      </c>
    </row>
    <row r="42" spans="1:14" ht="30" x14ac:dyDescent="0.25">
      <c r="A42" s="3" t="s">
        <v>190</v>
      </c>
      <c r="B42" s="4">
        <v>45666</v>
      </c>
      <c r="C42" s="5">
        <v>0.33333333333333331</v>
      </c>
      <c r="D42" s="4">
        <v>45666</v>
      </c>
      <c r="E42" s="5">
        <v>0.39583333333333331</v>
      </c>
      <c r="F42" s="3" t="s">
        <v>195</v>
      </c>
      <c r="G42" s="3" t="s">
        <v>348</v>
      </c>
      <c r="H42" s="3" t="s">
        <v>186</v>
      </c>
      <c r="I42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1.5</v>
      </c>
      <c r="J42" s="3" t="s">
        <v>12</v>
      </c>
      <c r="K42" s="3" t="s">
        <v>210</v>
      </c>
      <c r="L42" s="3" t="s">
        <v>51</v>
      </c>
      <c r="M42" s="3" t="s">
        <v>349</v>
      </c>
      <c r="N42" s="3" t="s">
        <v>186</v>
      </c>
    </row>
    <row r="43" spans="1:14" ht="30" x14ac:dyDescent="0.25">
      <c r="A43" s="3" t="s">
        <v>190</v>
      </c>
      <c r="B43" s="4">
        <v>45681</v>
      </c>
      <c r="C43" s="5">
        <v>0.33333333333333331</v>
      </c>
      <c r="D43" s="4">
        <v>45681</v>
      </c>
      <c r="E43" s="5">
        <v>0.39583333333333331</v>
      </c>
      <c r="F43" s="3" t="s">
        <v>195</v>
      </c>
      <c r="G43" s="3" t="s">
        <v>206</v>
      </c>
      <c r="I43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1.5</v>
      </c>
      <c r="J43" s="3" t="s">
        <v>12</v>
      </c>
      <c r="K43" s="3" t="s">
        <v>210</v>
      </c>
      <c r="L43" s="3" t="s">
        <v>51</v>
      </c>
      <c r="M43" s="3" t="s">
        <v>186</v>
      </c>
      <c r="N43" s="3" t="s">
        <v>186</v>
      </c>
    </row>
    <row r="44" spans="1:14" ht="30" x14ac:dyDescent="0.25">
      <c r="A44" s="3" t="s">
        <v>190</v>
      </c>
      <c r="B44" s="4">
        <v>45685</v>
      </c>
      <c r="C44" s="5">
        <v>0.5625</v>
      </c>
      <c r="D44" s="4">
        <v>45685</v>
      </c>
      <c r="E44" s="5">
        <v>0.58333333333333337</v>
      </c>
      <c r="F44" s="3" t="s">
        <v>195</v>
      </c>
      <c r="G44" s="3" t="s">
        <v>206</v>
      </c>
      <c r="I44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0.50000000000000089</v>
      </c>
      <c r="J44" s="3" t="s">
        <v>12</v>
      </c>
      <c r="K44" s="3" t="s">
        <v>210</v>
      </c>
      <c r="L44" s="3" t="s">
        <v>51</v>
      </c>
      <c r="M44" s="3" t="s">
        <v>186</v>
      </c>
      <c r="N44" s="3" t="s">
        <v>186</v>
      </c>
    </row>
    <row r="45" spans="1:14" ht="60" x14ac:dyDescent="0.25">
      <c r="A45" s="3" t="s">
        <v>190</v>
      </c>
      <c r="B45" s="4">
        <v>45686</v>
      </c>
      <c r="C45" s="5">
        <v>0.5</v>
      </c>
      <c r="D45" s="4">
        <v>45686</v>
      </c>
      <c r="E45" s="5">
        <v>0.58333333333333337</v>
      </c>
      <c r="F45" s="3" t="s">
        <v>195</v>
      </c>
      <c r="G45" s="3" t="s">
        <v>350</v>
      </c>
      <c r="H45" s="3" t="s">
        <v>186</v>
      </c>
      <c r="I45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2.0000000000000009</v>
      </c>
      <c r="J45" s="3" t="s">
        <v>12</v>
      </c>
      <c r="K45" s="3" t="s">
        <v>231</v>
      </c>
      <c r="L45" s="3" t="s">
        <v>351</v>
      </c>
      <c r="M45" s="3" t="s">
        <v>352</v>
      </c>
      <c r="N45" s="3" t="s">
        <v>353</v>
      </c>
    </row>
    <row r="46" spans="1:14" ht="30" x14ac:dyDescent="0.25">
      <c r="A46" s="3" t="s">
        <v>190</v>
      </c>
      <c r="B46" s="4">
        <v>45687</v>
      </c>
      <c r="C46" s="5">
        <v>0.33333333333333331</v>
      </c>
      <c r="D46" s="4">
        <v>45687</v>
      </c>
      <c r="E46" s="5">
        <v>0.41666666666666669</v>
      </c>
      <c r="F46" s="3" t="s">
        <v>354</v>
      </c>
      <c r="G46" s="3" t="s">
        <v>355</v>
      </c>
      <c r="H46" s="3" t="s">
        <v>186</v>
      </c>
      <c r="I46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2.0000000000000009</v>
      </c>
      <c r="J46" s="3" t="s">
        <v>12</v>
      </c>
      <c r="K46" s="3" t="s">
        <v>231</v>
      </c>
      <c r="L46" s="3" t="s">
        <v>51</v>
      </c>
      <c r="M46" s="3" t="s">
        <v>356</v>
      </c>
      <c r="N46" s="3" t="s">
        <v>186</v>
      </c>
    </row>
    <row r="47" spans="1:14" ht="30" x14ac:dyDescent="0.25">
      <c r="A47" s="3" t="s">
        <v>190</v>
      </c>
      <c r="B47" s="4">
        <v>45743</v>
      </c>
      <c r="C47" s="5">
        <v>0.625</v>
      </c>
      <c r="D47" s="4">
        <v>45743</v>
      </c>
      <c r="E47" s="5">
        <v>0.72916666666666663</v>
      </c>
      <c r="F47" s="3" t="s">
        <v>195</v>
      </c>
      <c r="G47" s="3" t="s">
        <v>206</v>
      </c>
      <c r="I47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2.4999999999999991</v>
      </c>
      <c r="J47" s="3" t="s">
        <v>12</v>
      </c>
      <c r="K47" s="3" t="s">
        <v>210</v>
      </c>
      <c r="L47" s="3" t="s">
        <v>51</v>
      </c>
      <c r="M47" s="3" t="s">
        <v>186</v>
      </c>
      <c r="N47" s="3" t="s">
        <v>186</v>
      </c>
    </row>
    <row r="48" spans="1:14" ht="30" x14ac:dyDescent="0.25">
      <c r="A48" s="3" t="s">
        <v>190</v>
      </c>
      <c r="B48" s="4">
        <v>45763</v>
      </c>
      <c r="C48" s="5">
        <v>0.57291666666666663</v>
      </c>
      <c r="D48" s="4">
        <v>45763</v>
      </c>
      <c r="E48" s="5">
        <v>0.65625</v>
      </c>
      <c r="F48" s="3" t="s">
        <v>195</v>
      </c>
      <c r="G48" s="3" t="s">
        <v>357</v>
      </c>
      <c r="H48" s="3" t="s">
        <v>186</v>
      </c>
      <c r="I48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2.0000000000000009</v>
      </c>
      <c r="J48" s="3" t="s">
        <v>12</v>
      </c>
      <c r="K48" s="3" t="s">
        <v>231</v>
      </c>
      <c r="L48" s="3" t="s">
        <v>51</v>
      </c>
      <c r="M48" s="3" t="s">
        <v>358</v>
      </c>
      <c r="N48" s="3" t="s">
        <v>186</v>
      </c>
    </row>
    <row r="49" spans="1:14" ht="30" x14ac:dyDescent="0.25">
      <c r="A49" s="3" t="s">
        <v>190</v>
      </c>
      <c r="B49" s="4">
        <v>45775</v>
      </c>
      <c r="C49" s="5">
        <v>0.52083333333333337</v>
      </c>
      <c r="D49" s="4">
        <v>45775</v>
      </c>
      <c r="E49" s="5">
        <v>0.5625</v>
      </c>
      <c r="F49" s="3" t="s">
        <v>205</v>
      </c>
      <c r="G49" s="3" t="s">
        <v>359</v>
      </c>
      <c r="H49" s="3" t="s">
        <v>186</v>
      </c>
      <c r="I49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0.99999999999999911</v>
      </c>
      <c r="J49" s="3" t="s">
        <v>12</v>
      </c>
      <c r="K49" s="3" t="s">
        <v>231</v>
      </c>
      <c r="L49" s="3" t="s">
        <v>89</v>
      </c>
      <c r="M49" s="3" t="s">
        <v>360</v>
      </c>
      <c r="N49" s="3" t="s">
        <v>186</v>
      </c>
    </row>
    <row r="50" spans="1:14" ht="30" x14ac:dyDescent="0.25">
      <c r="A50" s="3" t="s">
        <v>190</v>
      </c>
      <c r="B50" s="4">
        <v>45784</v>
      </c>
      <c r="C50" s="5">
        <v>0.52083333333333337</v>
      </c>
      <c r="D50" s="4">
        <v>45784</v>
      </c>
      <c r="E50" s="5">
        <v>0.54166666666666663</v>
      </c>
      <c r="F50" s="3" t="s">
        <v>205</v>
      </c>
      <c r="G50" s="3" t="s">
        <v>361</v>
      </c>
      <c r="H50" s="3" t="s">
        <v>362</v>
      </c>
      <c r="I50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0.49999999999999822</v>
      </c>
      <c r="J50" s="3" t="s">
        <v>12</v>
      </c>
      <c r="K50" s="3" t="s">
        <v>210</v>
      </c>
      <c r="L50" s="3" t="s">
        <v>51</v>
      </c>
      <c r="M50" s="3" t="s">
        <v>362</v>
      </c>
      <c r="N50" s="3" t="s">
        <v>363</v>
      </c>
    </row>
    <row r="51" spans="1:14" ht="30" x14ac:dyDescent="0.25">
      <c r="A51" s="3" t="s">
        <v>190</v>
      </c>
      <c r="B51" s="4">
        <v>45784</v>
      </c>
      <c r="C51" s="5">
        <v>0.52083333333333337</v>
      </c>
      <c r="D51" s="4">
        <v>45784</v>
      </c>
      <c r="E51" s="5">
        <v>0.54166666666666663</v>
      </c>
      <c r="F51" s="3" t="s">
        <v>195</v>
      </c>
      <c r="G51" s="3" t="s">
        <v>364</v>
      </c>
      <c r="H51" s="3" t="s">
        <v>362</v>
      </c>
      <c r="I51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0.49999999999999822</v>
      </c>
      <c r="J51" s="3" t="s">
        <v>12</v>
      </c>
      <c r="K51" s="3" t="s">
        <v>210</v>
      </c>
      <c r="L51" s="3" t="s">
        <v>51</v>
      </c>
      <c r="M51" s="3" t="s">
        <v>362</v>
      </c>
      <c r="N51" s="3" t="s">
        <v>363</v>
      </c>
    </row>
    <row r="52" spans="1:14" ht="30" x14ac:dyDescent="0.25">
      <c r="A52" s="3" t="s">
        <v>190</v>
      </c>
      <c r="B52" s="4">
        <v>45868</v>
      </c>
      <c r="C52" s="5">
        <v>0.33333333333333331</v>
      </c>
      <c r="D52" s="4">
        <v>45868</v>
      </c>
      <c r="E52" s="5">
        <v>0.375</v>
      </c>
      <c r="F52" s="3" t="s">
        <v>293</v>
      </c>
      <c r="G52" s="3" t="s">
        <v>365</v>
      </c>
      <c r="H52" s="3" t="s">
        <v>186</v>
      </c>
      <c r="I52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1.0000000000000004</v>
      </c>
      <c r="J52" s="3" t="s">
        <v>12</v>
      </c>
      <c r="K52" s="3" t="s">
        <v>210</v>
      </c>
      <c r="L52" s="3" t="s">
        <v>51</v>
      </c>
      <c r="M52" s="3" t="s">
        <v>222</v>
      </c>
      <c r="N52" s="3" t="s">
        <v>366</v>
      </c>
    </row>
    <row r="53" spans="1:14" ht="30" x14ac:dyDescent="0.25">
      <c r="A53" s="3" t="s">
        <v>190</v>
      </c>
      <c r="B53" s="4">
        <v>45883</v>
      </c>
      <c r="C53" s="5">
        <v>0.58333333333333337</v>
      </c>
      <c r="D53" s="4">
        <v>45883</v>
      </c>
      <c r="E53" s="5">
        <v>0.66666666666666663</v>
      </c>
      <c r="F53" s="3" t="s">
        <v>195</v>
      </c>
      <c r="G53" s="3" t="s">
        <v>367</v>
      </c>
      <c r="H53" s="3" t="s">
        <v>186</v>
      </c>
      <c r="I53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1.9999999999999982</v>
      </c>
      <c r="J53" s="3" t="s">
        <v>12</v>
      </c>
      <c r="K53" s="3" t="s">
        <v>210</v>
      </c>
      <c r="L53" s="3" t="s">
        <v>51</v>
      </c>
      <c r="M53" s="3" t="s">
        <v>259</v>
      </c>
      <c r="N53" s="3" t="s">
        <v>311</v>
      </c>
    </row>
    <row r="54" spans="1:14" ht="30" x14ac:dyDescent="0.25">
      <c r="A54" s="3" t="s">
        <v>185</v>
      </c>
      <c r="B54" s="4">
        <v>45695</v>
      </c>
      <c r="C54" s="5">
        <v>0.34027777777777773</v>
      </c>
      <c r="D54" s="4">
        <v>45695</v>
      </c>
      <c r="E54" s="5">
        <v>0.39583333333333331</v>
      </c>
      <c r="F54" s="3" t="s">
        <v>354</v>
      </c>
      <c r="G54" s="3" t="s">
        <v>300</v>
      </c>
      <c r="I54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1.3333333333333339</v>
      </c>
      <c r="J54" s="3" t="s">
        <v>12</v>
      </c>
      <c r="K54" s="3" t="s">
        <v>231</v>
      </c>
      <c r="L54" s="3" t="s">
        <v>51</v>
      </c>
      <c r="M54" s="3" t="s">
        <v>186</v>
      </c>
      <c r="N54" s="3" t="s">
        <v>186</v>
      </c>
    </row>
    <row r="55" spans="1:14" ht="30" x14ac:dyDescent="0.25">
      <c r="A55" s="3" t="s">
        <v>185</v>
      </c>
      <c r="B55" s="4">
        <v>45695</v>
      </c>
      <c r="C55" s="5">
        <v>0.3611111111111111</v>
      </c>
      <c r="D55" s="4">
        <v>45695</v>
      </c>
      <c r="E55" s="5">
        <v>0.40277777777777773</v>
      </c>
      <c r="F55" s="3" t="s">
        <v>195</v>
      </c>
      <c r="G55" s="3" t="s">
        <v>368</v>
      </c>
      <c r="H55" s="3" t="s">
        <v>186</v>
      </c>
      <c r="I55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0.99999999999999911</v>
      </c>
      <c r="J55" s="3" t="s">
        <v>12</v>
      </c>
      <c r="K55" s="3" t="s">
        <v>210</v>
      </c>
      <c r="L55" s="3" t="s">
        <v>51</v>
      </c>
      <c r="M55" s="3" t="s">
        <v>126</v>
      </c>
      <c r="N55" s="3" t="s">
        <v>369</v>
      </c>
    </row>
    <row r="56" spans="1:14" ht="30" x14ac:dyDescent="0.25">
      <c r="A56" s="3" t="s">
        <v>185</v>
      </c>
      <c r="B56" s="4">
        <v>45741</v>
      </c>
      <c r="C56" s="5">
        <v>0.43055555555555558</v>
      </c>
      <c r="D56" s="4">
        <v>45741</v>
      </c>
      <c r="E56" s="5">
        <v>0.45833333333333331</v>
      </c>
      <c r="F56" s="3" t="s">
        <v>195</v>
      </c>
      <c r="G56" s="3" t="s">
        <v>206</v>
      </c>
      <c r="I56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0.66666666666666563</v>
      </c>
      <c r="J56" s="3" t="s">
        <v>12</v>
      </c>
      <c r="K56" s="3" t="s">
        <v>210</v>
      </c>
      <c r="L56" s="3" t="s">
        <v>51</v>
      </c>
      <c r="M56" s="3" t="s">
        <v>186</v>
      </c>
      <c r="N56" s="3" t="s">
        <v>186</v>
      </c>
    </row>
    <row r="57" spans="1:14" ht="30" x14ac:dyDescent="0.25">
      <c r="A57" s="3" t="s">
        <v>185</v>
      </c>
      <c r="B57" s="4">
        <v>45741</v>
      </c>
      <c r="C57" s="5">
        <v>0.66666666666666663</v>
      </c>
      <c r="D57" s="4">
        <v>45741</v>
      </c>
      <c r="E57" s="5">
        <v>0.72916666666666663</v>
      </c>
      <c r="F57" s="3" t="s">
        <v>195</v>
      </c>
      <c r="G57" s="3" t="s">
        <v>206</v>
      </c>
      <c r="I57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1.5</v>
      </c>
      <c r="J57" s="3" t="s">
        <v>12</v>
      </c>
      <c r="K57" s="3" t="s">
        <v>210</v>
      </c>
      <c r="L57" s="3" t="s">
        <v>51</v>
      </c>
      <c r="M57" s="3" t="s">
        <v>186</v>
      </c>
      <c r="N57" s="3" t="s">
        <v>186</v>
      </c>
    </row>
    <row r="58" spans="1:14" ht="30" x14ac:dyDescent="0.25">
      <c r="A58" s="3" t="s">
        <v>185</v>
      </c>
      <c r="B58" s="4">
        <v>45743</v>
      </c>
      <c r="C58" s="5">
        <v>0.3125</v>
      </c>
      <c r="D58" s="4">
        <v>45743</v>
      </c>
      <c r="E58" s="5">
        <v>0.45833333333333331</v>
      </c>
      <c r="F58" s="3" t="s">
        <v>195</v>
      </c>
      <c r="G58" s="3" t="s">
        <v>370</v>
      </c>
      <c r="H58" s="3" t="s">
        <v>186</v>
      </c>
      <c r="I58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3</v>
      </c>
      <c r="J58" s="3" t="s">
        <v>12</v>
      </c>
      <c r="K58" s="3" t="s">
        <v>231</v>
      </c>
      <c r="L58" s="3" t="s">
        <v>51</v>
      </c>
      <c r="M58" s="3" t="s">
        <v>371</v>
      </c>
      <c r="N58" s="3" t="s">
        <v>186</v>
      </c>
    </row>
    <row r="59" spans="1:14" ht="30" x14ac:dyDescent="0.25">
      <c r="A59" s="3" t="s">
        <v>185</v>
      </c>
      <c r="B59" s="4">
        <v>45807</v>
      </c>
      <c r="C59" s="5">
        <v>0.33333333333333331</v>
      </c>
      <c r="D59" s="4">
        <v>45807</v>
      </c>
      <c r="E59" s="5">
        <v>0.3611111111111111</v>
      </c>
      <c r="F59" s="3" t="s">
        <v>195</v>
      </c>
      <c r="G59" s="3" t="s">
        <v>372</v>
      </c>
      <c r="H59" s="3" t="s">
        <v>186</v>
      </c>
      <c r="I59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0.66666666666666696</v>
      </c>
      <c r="J59" s="3" t="s">
        <v>12</v>
      </c>
      <c r="K59" s="3" t="s">
        <v>210</v>
      </c>
      <c r="L59" s="3" t="s">
        <v>51</v>
      </c>
      <c r="M59" s="3" t="s">
        <v>373</v>
      </c>
      <c r="N59" s="3" t="s">
        <v>374</v>
      </c>
    </row>
    <row r="60" spans="1:14" ht="30" x14ac:dyDescent="0.25">
      <c r="A60" s="3" t="s">
        <v>185</v>
      </c>
      <c r="B60" s="4">
        <v>45860</v>
      </c>
      <c r="C60" s="5">
        <v>0.47916666666666669</v>
      </c>
      <c r="D60" s="4">
        <v>45860</v>
      </c>
      <c r="E60" s="5">
        <v>0.54166666666666663</v>
      </c>
      <c r="F60" s="3" t="s">
        <v>354</v>
      </c>
      <c r="G60" s="3" t="s">
        <v>300</v>
      </c>
      <c r="I60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1.4999999999999987</v>
      </c>
      <c r="J60" s="3" t="s">
        <v>12</v>
      </c>
      <c r="K60" s="3" t="s">
        <v>231</v>
      </c>
      <c r="L60" s="3" t="s">
        <v>51</v>
      </c>
      <c r="M60" s="3" t="s">
        <v>186</v>
      </c>
      <c r="N60" s="3" t="s">
        <v>186</v>
      </c>
    </row>
    <row r="61" spans="1:14" ht="30" x14ac:dyDescent="0.25">
      <c r="A61" s="3" t="s">
        <v>185</v>
      </c>
      <c r="B61" s="4">
        <v>45925</v>
      </c>
      <c r="C61" s="5">
        <v>0.53472222222222221</v>
      </c>
      <c r="D61" s="4">
        <v>45925</v>
      </c>
      <c r="E61" s="5">
        <v>0.59375</v>
      </c>
      <c r="F61" s="3" t="s">
        <v>354</v>
      </c>
      <c r="G61" s="3" t="s">
        <v>300</v>
      </c>
      <c r="I61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1.416666666666667</v>
      </c>
      <c r="J61" s="3" t="s">
        <v>12</v>
      </c>
      <c r="K61" s="3" t="s">
        <v>231</v>
      </c>
      <c r="L61" s="3" t="s">
        <v>51</v>
      </c>
      <c r="M61" s="3" t="s">
        <v>186</v>
      </c>
      <c r="N61" s="3" t="s">
        <v>186</v>
      </c>
    </row>
    <row r="62" spans="1:14" ht="30" x14ac:dyDescent="0.25">
      <c r="A62" s="3" t="s">
        <v>189</v>
      </c>
      <c r="B62" s="4">
        <v>45667</v>
      </c>
      <c r="C62" s="5">
        <v>0.5625</v>
      </c>
      <c r="D62" s="4">
        <v>45667</v>
      </c>
      <c r="E62" s="5">
        <v>0.70833333333333337</v>
      </c>
      <c r="F62" s="3" t="s">
        <v>195</v>
      </c>
      <c r="G62" s="3" t="s">
        <v>375</v>
      </c>
      <c r="H62" s="3" t="s">
        <v>287</v>
      </c>
      <c r="I62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3.5000000000000009</v>
      </c>
      <c r="J62" s="3" t="s">
        <v>12</v>
      </c>
      <c r="K62" s="3" t="s">
        <v>210</v>
      </c>
      <c r="L62" s="3" t="s">
        <v>51</v>
      </c>
      <c r="M62" s="3" t="s">
        <v>287</v>
      </c>
      <c r="N62" s="3" t="s">
        <v>53</v>
      </c>
    </row>
    <row r="63" spans="1:14" ht="30" x14ac:dyDescent="0.25">
      <c r="A63" s="3" t="s">
        <v>189</v>
      </c>
      <c r="B63" s="4">
        <v>45702</v>
      </c>
      <c r="C63" s="5">
        <v>0.66666666666666663</v>
      </c>
      <c r="D63" s="4">
        <v>45702</v>
      </c>
      <c r="E63" s="5">
        <v>0.72916666666666663</v>
      </c>
      <c r="F63" s="3" t="s">
        <v>195</v>
      </c>
      <c r="G63" s="3" t="s">
        <v>300</v>
      </c>
      <c r="I63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1.5</v>
      </c>
      <c r="J63" s="3" t="s">
        <v>12</v>
      </c>
      <c r="K63" s="3" t="s">
        <v>231</v>
      </c>
      <c r="L63" s="3" t="s">
        <v>51</v>
      </c>
      <c r="M63" s="3" t="s">
        <v>186</v>
      </c>
      <c r="N63" s="3" t="s">
        <v>186</v>
      </c>
    </row>
    <row r="64" spans="1:14" ht="30" x14ac:dyDescent="0.25">
      <c r="A64" s="3" t="s">
        <v>189</v>
      </c>
      <c r="B64" s="4">
        <v>45706</v>
      </c>
      <c r="C64" s="5">
        <v>0.60416666666666663</v>
      </c>
      <c r="D64" s="4">
        <v>45706</v>
      </c>
      <c r="E64" s="5">
        <v>0.64583333333333337</v>
      </c>
      <c r="F64" s="3" t="s">
        <v>195</v>
      </c>
      <c r="G64" s="3" t="s">
        <v>376</v>
      </c>
      <c r="H64" s="3" t="s">
        <v>377</v>
      </c>
      <c r="I64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1.0000000000000018</v>
      </c>
      <c r="J64" s="3" t="s">
        <v>12</v>
      </c>
      <c r="K64" s="3" t="s">
        <v>210</v>
      </c>
      <c r="L64" s="3" t="s">
        <v>51</v>
      </c>
      <c r="M64" s="3" t="s">
        <v>378</v>
      </c>
      <c r="N64" s="3" t="s">
        <v>53</v>
      </c>
    </row>
    <row r="65" spans="1:14" ht="30" x14ac:dyDescent="0.25">
      <c r="A65" s="3" t="s">
        <v>189</v>
      </c>
      <c r="B65" s="4">
        <v>45754</v>
      </c>
      <c r="C65" s="5">
        <v>0.52083333333333337</v>
      </c>
      <c r="D65" s="4">
        <v>45754</v>
      </c>
      <c r="E65" s="5">
        <v>0.5625</v>
      </c>
      <c r="F65" s="3" t="s">
        <v>195</v>
      </c>
      <c r="G65" s="3" t="s">
        <v>206</v>
      </c>
      <c r="I65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0.99999999999999911</v>
      </c>
      <c r="J65" s="3" t="s">
        <v>12</v>
      </c>
      <c r="K65" s="3" t="s">
        <v>210</v>
      </c>
      <c r="L65" s="3" t="s">
        <v>51</v>
      </c>
      <c r="M65" s="3" t="s">
        <v>186</v>
      </c>
      <c r="N65" s="3" t="s">
        <v>186</v>
      </c>
    </row>
    <row r="66" spans="1:14" ht="30" x14ac:dyDescent="0.25">
      <c r="A66" s="3" t="s">
        <v>189</v>
      </c>
      <c r="B66" s="4">
        <v>45756</v>
      </c>
      <c r="C66" s="5">
        <v>0.59027777777777779</v>
      </c>
      <c r="D66" s="4">
        <v>45756</v>
      </c>
      <c r="E66" s="5">
        <v>0.64583333333333337</v>
      </c>
      <c r="F66" s="3" t="s">
        <v>195</v>
      </c>
      <c r="G66" s="3" t="s">
        <v>206</v>
      </c>
      <c r="I66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1.3333333333333339</v>
      </c>
      <c r="J66" s="3" t="s">
        <v>12</v>
      </c>
      <c r="K66" s="3" t="s">
        <v>210</v>
      </c>
      <c r="L66" s="3" t="s">
        <v>51</v>
      </c>
      <c r="M66" s="3" t="s">
        <v>186</v>
      </c>
      <c r="N66" s="3" t="s">
        <v>186</v>
      </c>
    </row>
    <row r="67" spans="1:14" ht="30" x14ac:dyDescent="0.25">
      <c r="A67" s="3" t="s">
        <v>189</v>
      </c>
      <c r="B67" s="4">
        <v>45757</v>
      </c>
      <c r="C67" s="5">
        <v>0.41666666666666669</v>
      </c>
      <c r="D67" s="4">
        <v>45757</v>
      </c>
      <c r="E67" s="5">
        <v>0.45833333333333331</v>
      </c>
      <c r="F67" s="3" t="s">
        <v>195</v>
      </c>
      <c r="G67" s="3" t="s">
        <v>206</v>
      </c>
      <c r="I67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0.99999999999999911</v>
      </c>
      <c r="J67" s="3" t="s">
        <v>12</v>
      </c>
      <c r="K67" s="3" t="s">
        <v>210</v>
      </c>
      <c r="L67" s="3" t="s">
        <v>51</v>
      </c>
      <c r="M67" s="3" t="s">
        <v>186</v>
      </c>
      <c r="N67" s="3" t="s">
        <v>186</v>
      </c>
    </row>
    <row r="68" spans="1:14" ht="30" x14ac:dyDescent="0.25">
      <c r="A68" s="3" t="s">
        <v>189</v>
      </c>
      <c r="B68" s="4">
        <v>45757</v>
      </c>
      <c r="C68" s="5">
        <v>0.47916666666666669</v>
      </c>
      <c r="D68" s="4">
        <v>45757</v>
      </c>
      <c r="E68" s="5">
        <v>0.52083333333333337</v>
      </c>
      <c r="F68" s="3" t="s">
        <v>195</v>
      </c>
      <c r="G68" s="3" t="s">
        <v>206</v>
      </c>
      <c r="I68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1.0000000000000004</v>
      </c>
      <c r="J68" s="3" t="s">
        <v>12</v>
      </c>
      <c r="K68" s="3" t="s">
        <v>210</v>
      </c>
      <c r="L68" s="3" t="s">
        <v>51</v>
      </c>
      <c r="M68" s="3" t="s">
        <v>186</v>
      </c>
      <c r="N68" s="3" t="s">
        <v>186</v>
      </c>
    </row>
    <row r="69" spans="1:14" ht="45" x14ac:dyDescent="0.25">
      <c r="A69" s="3" t="s">
        <v>189</v>
      </c>
      <c r="B69" s="4">
        <v>45758</v>
      </c>
      <c r="C69" s="5">
        <v>0.375</v>
      </c>
      <c r="D69" s="4">
        <v>45758</v>
      </c>
      <c r="E69" s="5">
        <v>0.41666666666666669</v>
      </c>
      <c r="F69" s="3" t="s">
        <v>195</v>
      </c>
      <c r="G69" s="3" t="s">
        <v>379</v>
      </c>
      <c r="H69" s="3" t="s">
        <v>230</v>
      </c>
      <c r="I69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1.0000000000000004</v>
      </c>
      <c r="J69" s="3" t="s">
        <v>12</v>
      </c>
      <c r="K69" s="3" t="s">
        <v>231</v>
      </c>
      <c r="L69" s="3" t="s">
        <v>83</v>
      </c>
      <c r="M69" s="3" t="s">
        <v>380</v>
      </c>
      <c r="N69" s="3" t="s">
        <v>233</v>
      </c>
    </row>
    <row r="70" spans="1:14" ht="30" x14ac:dyDescent="0.25">
      <c r="A70" s="3" t="s">
        <v>189</v>
      </c>
      <c r="B70" s="4">
        <v>45764</v>
      </c>
      <c r="C70" s="5">
        <v>0.6875</v>
      </c>
      <c r="D70" s="4">
        <v>45764</v>
      </c>
      <c r="E70" s="5">
        <v>0.72916666666666663</v>
      </c>
      <c r="F70" s="3" t="s">
        <v>195</v>
      </c>
      <c r="G70" s="3" t="s">
        <v>206</v>
      </c>
      <c r="I70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0.99999999999999911</v>
      </c>
      <c r="J70" s="3" t="s">
        <v>12</v>
      </c>
      <c r="K70" s="3" t="s">
        <v>210</v>
      </c>
      <c r="L70" s="3" t="s">
        <v>51</v>
      </c>
      <c r="M70" s="3" t="s">
        <v>186</v>
      </c>
      <c r="N70" s="3" t="s">
        <v>186</v>
      </c>
    </row>
    <row r="71" spans="1:14" ht="30" x14ac:dyDescent="0.25">
      <c r="A71" s="3" t="s">
        <v>189</v>
      </c>
      <c r="B71" s="4">
        <v>45768</v>
      </c>
      <c r="C71" s="5">
        <v>0.33333333333333331</v>
      </c>
      <c r="D71" s="4">
        <v>45768</v>
      </c>
      <c r="E71" s="5">
        <v>0.39583333333333331</v>
      </c>
      <c r="F71" s="3" t="s">
        <v>195</v>
      </c>
      <c r="G71" s="3" t="s">
        <v>381</v>
      </c>
      <c r="H71" s="3" t="s">
        <v>291</v>
      </c>
      <c r="I71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1.5</v>
      </c>
      <c r="J71" s="3" t="s">
        <v>12</v>
      </c>
      <c r="K71" s="3" t="s">
        <v>210</v>
      </c>
      <c r="L71" s="3" t="s">
        <v>51</v>
      </c>
      <c r="M71" s="3" t="s">
        <v>291</v>
      </c>
      <c r="N71" s="3" t="s">
        <v>186</v>
      </c>
    </row>
    <row r="72" spans="1:14" ht="30" x14ac:dyDescent="0.25">
      <c r="A72" s="3" t="s">
        <v>189</v>
      </c>
      <c r="B72" s="4">
        <v>45770</v>
      </c>
      <c r="C72" s="5">
        <v>0.33333333333333331</v>
      </c>
      <c r="D72" s="4">
        <v>45770</v>
      </c>
      <c r="E72" s="5">
        <v>0.375</v>
      </c>
      <c r="F72" s="3" t="s">
        <v>195</v>
      </c>
      <c r="G72" s="3" t="s">
        <v>382</v>
      </c>
      <c r="H72" s="3" t="s">
        <v>378</v>
      </c>
      <c r="I72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1.0000000000000004</v>
      </c>
      <c r="J72" s="3" t="s">
        <v>12</v>
      </c>
      <c r="K72" s="3" t="s">
        <v>210</v>
      </c>
      <c r="L72" s="3" t="s">
        <v>51</v>
      </c>
      <c r="M72" s="3" t="s">
        <v>378</v>
      </c>
      <c r="N72" s="3" t="s">
        <v>53</v>
      </c>
    </row>
    <row r="73" spans="1:14" ht="30" x14ac:dyDescent="0.25">
      <c r="A73" s="3" t="s">
        <v>189</v>
      </c>
      <c r="B73" s="4">
        <v>45777</v>
      </c>
      <c r="C73" s="5">
        <v>0.41666666666666669</v>
      </c>
      <c r="D73" s="4">
        <v>45777</v>
      </c>
      <c r="E73" s="5">
        <v>0.5</v>
      </c>
      <c r="F73" s="3" t="s">
        <v>195</v>
      </c>
      <c r="G73" s="3" t="s">
        <v>206</v>
      </c>
      <c r="I73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1.9999999999999996</v>
      </c>
      <c r="J73" s="3" t="s">
        <v>12</v>
      </c>
      <c r="K73" s="3" t="s">
        <v>210</v>
      </c>
      <c r="L73" s="3" t="s">
        <v>51</v>
      </c>
      <c r="M73" s="3" t="s">
        <v>186</v>
      </c>
      <c r="N73" s="3" t="s">
        <v>186</v>
      </c>
    </row>
    <row r="74" spans="1:14" ht="30" x14ac:dyDescent="0.25">
      <c r="A74" s="3" t="s">
        <v>189</v>
      </c>
      <c r="B74" s="4">
        <v>45784</v>
      </c>
      <c r="C74" s="5">
        <v>0.52083333333333337</v>
      </c>
      <c r="D74" s="4">
        <v>45784</v>
      </c>
      <c r="E74" s="5">
        <v>0.5625</v>
      </c>
      <c r="F74" s="3" t="s">
        <v>195</v>
      </c>
      <c r="G74" s="3" t="s">
        <v>383</v>
      </c>
      <c r="H74" s="3" t="s">
        <v>362</v>
      </c>
      <c r="I74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0.99999999999999911</v>
      </c>
      <c r="J74" s="3" t="s">
        <v>12</v>
      </c>
      <c r="K74" s="3" t="s">
        <v>210</v>
      </c>
      <c r="L74" s="3" t="s">
        <v>51</v>
      </c>
      <c r="M74" s="3" t="s">
        <v>362</v>
      </c>
      <c r="N74" s="3" t="s">
        <v>363</v>
      </c>
    </row>
    <row r="75" spans="1:14" ht="30" x14ac:dyDescent="0.25">
      <c r="A75" s="3" t="s">
        <v>190</v>
      </c>
      <c r="B75" s="4">
        <v>45784</v>
      </c>
      <c r="C75" s="5">
        <v>0.66666666666666663</v>
      </c>
      <c r="D75" s="4">
        <v>45784</v>
      </c>
      <c r="E75" s="5">
        <v>0.70833333333333337</v>
      </c>
      <c r="F75" s="3" t="s">
        <v>195</v>
      </c>
      <c r="G75" s="3" t="s">
        <v>448</v>
      </c>
      <c r="I75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1.0000000000000018</v>
      </c>
      <c r="J75" s="3" t="s">
        <v>12</v>
      </c>
      <c r="K75" s="3" t="s">
        <v>210</v>
      </c>
      <c r="L75" s="3" t="s">
        <v>51</v>
      </c>
      <c r="M75" s="3" t="s">
        <v>186</v>
      </c>
      <c r="N75" s="3" t="s">
        <v>186</v>
      </c>
    </row>
    <row r="76" spans="1:14" ht="30" x14ac:dyDescent="0.25">
      <c r="A76" s="3" t="s">
        <v>189</v>
      </c>
      <c r="B76" s="4">
        <v>45792</v>
      </c>
      <c r="C76" s="5">
        <v>0.47916666666666669</v>
      </c>
      <c r="D76" s="4">
        <v>45792</v>
      </c>
      <c r="E76" s="5">
        <v>0.55555555555555558</v>
      </c>
      <c r="F76" s="3" t="s">
        <v>195</v>
      </c>
      <c r="G76" s="3" t="s">
        <v>206</v>
      </c>
      <c r="I76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1.8333333333333335</v>
      </c>
      <c r="J76" s="3" t="s">
        <v>12</v>
      </c>
      <c r="K76" s="3" t="s">
        <v>210</v>
      </c>
      <c r="L76" s="3" t="s">
        <v>51</v>
      </c>
      <c r="M76" s="3" t="s">
        <v>186</v>
      </c>
      <c r="N76" s="3" t="s">
        <v>186</v>
      </c>
    </row>
    <row r="77" spans="1:14" ht="30" x14ac:dyDescent="0.25">
      <c r="A77" s="3" t="s">
        <v>190</v>
      </c>
      <c r="B77" s="4">
        <v>45803</v>
      </c>
      <c r="C77" s="5">
        <v>0.5625</v>
      </c>
      <c r="D77" s="4">
        <v>45803</v>
      </c>
      <c r="E77" s="5">
        <v>0.66666666666666663</v>
      </c>
      <c r="F77" s="3" t="s">
        <v>195</v>
      </c>
      <c r="G77" s="3" t="s">
        <v>449</v>
      </c>
      <c r="H77" s="3" t="s">
        <v>186</v>
      </c>
      <c r="I77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2.4999999999999991</v>
      </c>
      <c r="J77" s="3" t="s">
        <v>12</v>
      </c>
      <c r="K77" s="3" t="s">
        <v>231</v>
      </c>
      <c r="L77" s="3" t="s">
        <v>71</v>
      </c>
      <c r="M77" s="3" t="s">
        <v>384</v>
      </c>
      <c r="N77" s="3" t="s">
        <v>186</v>
      </c>
    </row>
    <row r="78" spans="1:14" ht="30" x14ac:dyDescent="0.25">
      <c r="A78" s="3" t="s">
        <v>201</v>
      </c>
      <c r="B78" s="4">
        <v>45803</v>
      </c>
      <c r="C78" s="5">
        <v>0.66666666666666663</v>
      </c>
      <c r="D78" s="4">
        <v>45803</v>
      </c>
      <c r="E78" s="5">
        <v>0.80555555555555547</v>
      </c>
      <c r="F78" s="3" t="s">
        <v>195</v>
      </c>
      <c r="G78" s="3" t="s">
        <v>446</v>
      </c>
      <c r="I78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1.5</v>
      </c>
      <c r="J78" s="3" t="s">
        <v>12</v>
      </c>
      <c r="K78" s="3" t="s">
        <v>231</v>
      </c>
      <c r="L78" s="3" t="s">
        <v>51</v>
      </c>
      <c r="M78" s="3" t="s">
        <v>186</v>
      </c>
      <c r="N78" s="3" t="s">
        <v>186</v>
      </c>
    </row>
    <row r="79" spans="1:14" ht="30" x14ac:dyDescent="0.25">
      <c r="A79" s="3" t="s">
        <v>189</v>
      </c>
      <c r="B79" s="4">
        <v>45804</v>
      </c>
      <c r="C79" s="5">
        <v>0.70833333333333337</v>
      </c>
      <c r="D79" s="4">
        <v>45804</v>
      </c>
      <c r="E79" s="5">
        <v>0.73333333333333339</v>
      </c>
      <c r="F79" s="3" t="s">
        <v>195</v>
      </c>
      <c r="G79" s="3" t="s">
        <v>206</v>
      </c>
      <c r="I79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0.49999999999999822</v>
      </c>
      <c r="J79" s="3" t="s">
        <v>12</v>
      </c>
      <c r="K79" s="3" t="s">
        <v>210</v>
      </c>
      <c r="L79" s="3" t="s">
        <v>51</v>
      </c>
      <c r="M79" s="3" t="s">
        <v>186</v>
      </c>
      <c r="N79" s="3" t="s">
        <v>186</v>
      </c>
    </row>
    <row r="80" spans="1:14" ht="30" x14ac:dyDescent="0.25">
      <c r="A80" s="3" t="s">
        <v>450</v>
      </c>
      <c r="B80" s="4">
        <v>45811</v>
      </c>
      <c r="C80" s="5">
        <v>0.47916666666666669</v>
      </c>
      <c r="D80" s="4">
        <v>45811</v>
      </c>
      <c r="E80" s="5">
        <v>0.53472222222222221</v>
      </c>
      <c r="F80" s="3" t="s">
        <v>195</v>
      </c>
      <c r="G80" s="3" t="s">
        <v>385</v>
      </c>
      <c r="H80" s="3" t="s">
        <v>386</v>
      </c>
      <c r="I80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1.3333333333333326</v>
      </c>
      <c r="J80" s="3" t="s">
        <v>12</v>
      </c>
      <c r="K80" s="3" t="s">
        <v>210</v>
      </c>
      <c r="L80" s="3" t="s">
        <v>51</v>
      </c>
      <c r="M80" s="3" t="s">
        <v>254</v>
      </c>
      <c r="N80" s="3" t="s">
        <v>53</v>
      </c>
    </row>
    <row r="81" spans="1:14" ht="30" x14ac:dyDescent="0.25">
      <c r="A81" s="3" t="s">
        <v>189</v>
      </c>
      <c r="B81" s="4">
        <v>45811</v>
      </c>
      <c r="C81" s="5">
        <v>0.58333333333333337</v>
      </c>
      <c r="D81" s="4">
        <v>45811</v>
      </c>
      <c r="E81" s="5">
        <v>0.64583333333333337</v>
      </c>
      <c r="F81" s="3" t="s">
        <v>195</v>
      </c>
      <c r="G81" s="3" t="s">
        <v>451</v>
      </c>
      <c r="H81" s="3" t="s">
        <v>387</v>
      </c>
      <c r="I81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1.5</v>
      </c>
      <c r="J81" s="3" t="s">
        <v>12</v>
      </c>
      <c r="K81" s="3" t="s">
        <v>210</v>
      </c>
      <c r="L81" s="3" t="s">
        <v>51</v>
      </c>
      <c r="M81" s="3" t="s">
        <v>387</v>
      </c>
      <c r="N81" s="3" t="s">
        <v>388</v>
      </c>
    </row>
    <row r="82" spans="1:14" ht="45" x14ac:dyDescent="0.25">
      <c r="A82" s="3" t="s">
        <v>450</v>
      </c>
      <c r="B82" s="4">
        <v>45818</v>
      </c>
      <c r="C82" s="5">
        <v>0.41666666666666669</v>
      </c>
      <c r="D82" s="4">
        <v>45818</v>
      </c>
      <c r="E82" s="5">
        <v>0.4375</v>
      </c>
      <c r="F82" s="3" t="s">
        <v>195</v>
      </c>
      <c r="G82" s="3" t="s">
        <v>389</v>
      </c>
      <c r="H82" s="3" t="s">
        <v>186</v>
      </c>
      <c r="I82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0.49999999999999956</v>
      </c>
      <c r="J82" s="3" t="s">
        <v>12</v>
      </c>
      <c r="K82" s="3" t="s">
        <v>231</v>
      </c>
      <c r="L82" s="3" t="s">
        <v>51</v>
      </c>
      <c r="M82" s="3" t="s">
        <v>390</v>
      </c>
      <c r="N82" s="3" t="s">
        <v>268</v>
      </c>
    </row>
    <row r="83" spans="1:14" ht="45" x14ac:dyDescent="0.25">
      <c r="A83" s="3" t="s">
        <v>189</v>
      </c>
      <c r="B83" s="4">
        <v>45825</v>
      </c>
      <c r="C83" s="5">
        <v>0.58333333333333337</v>
      </c>
      <c r="D83" s="4">
        <v>45825</v>
      </c>
      <c r="E83" s="5">
        <v>0.625</v>
      </c>
      <c r="F83" s="3" t="s">
        <v>204</v>
      </c>
      <c r="G83" s="3" t="s">
        <v>391</v>
      </c>
      <c r="H83" s="3" t="s">
        <v>392</v>
      </c>
      <c r="I83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0.99999999999999911</v>
      </c>
      <c r="J83" s="3" t="s">
        <v>12</v>
      </c>
      <c r="K83" s="3" t="s">
        <v>231</v>
      </c>
      <c r="L83" s="3" t="s">
        <v>83</v>
      </c>
      <c r="M83" s="3" t="s">
        <v>393</v>
      </c>
      <c r="N83" s="3" t="s">
        <v>233</v>
      </c>
    </row>
    <row r="84" spans="1:14" ht="30" x14ac:dyDescent="0.25">
      <c r="A84" s="3" t="s">
        <v>200</v>
      </c>
      <c r="B84" s="4">
        <v>45835</v>
      </c>
      <c r="C84" s="5">
        <v>0.6875</v>
      </c>
      <c r="D84" s="4">
        <v>45835</v>
      </c>
      <c r="E84" s="5">
        <v>0.72916666666666663</v>
      </c>
      <c r="F84" s="3" t="s">
        <v>195</v>
      </c>
      <c r="G84" s="3" t="s">
        <v>394</v>
      </c>
      <c r="H84" s="3" t="s">
        <v>186</v>
      </c>
      <c r="I84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0.99999999999999911</v>
      </c>
      <c r="J84" s="3" t="s">
        <v>12</v>
      </c>
      <c r="K84" s="3" t="s">
        <v>210</v>
      </c>
      <c r="L84" s="3" t="s">
        <v>51</v>
      </c>
      <c r="M84" s="3" t="s">
        <v>395</v>
      </c>
      <c r="N84" s="3" t="s">
        <v>396</v>
      </c>
    </row>
    <row r="85" spans="1:14" ht="30" x14ac:dyDescent="0.25">
      <c r="A85" s="3" t="s">
        <v>201</v>
      </c>
      <c r="B85" s="4">
        <v>45840</v>
      </c>
      <c r="C85" s="5">
        <v>0.41666666666666669</v>
      </c>
      <c r="D85" s="4">
        <v>45840</v>
      </c>
      <c r="E85" s="5">
        <v>0.5</v>
      </c>
      <c r="F85" s="3" t="s">
        <v>195</v>
      </c>
      <c r="G85" s="3" t="s">
        <v>446</v>
      </c>
      <c r="I85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1.9999999999999996</v>
      </c>
      <c r="J85" s="3" t="s">
        <v>12</v>
      </c>
      <c r="K85" s="3" t="s">
        <v>231</v>
      </c>
      <c r="L85" s="3" t="s">
        <v>51</v>
      </c>
      <c r="M85" s="3" t="s">
        <v>186</v>
      </c>
      <c r="N85" s="3" t="s">
        <v>186</v>
      </c>
    </row>
    <row r="86" spans="1:14" ht="30" x14ac:dyDescent="0.25">
      <c r="A86" s="3" t="s">
        <v>189</v>
      </c>
      <c r="B86" s="4">
        <v>45841</v>
      </c>
      <c r="C86" s="5">
        <v>0.5</v>
      </c>
      <c r="D86" s="4">
        <v>45841</v>
      </c>
      <c r="E86" s="5">
        <v>0.625</v>
      </c>
      <c r="F86" s="3" t="s">
        <v>195</v>
      </c>
      <c r="G86" s="3" t="s">
        <v>397</v>
      </c>
      <c r="H86" s="3" t="s">
        <v>186</v>
      </c>
      <c r="I86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3</v>
      </c>
      <c r="J86" s="3" t="s">
        <v>12</v>
      </c>
      <c r="K86" s="3" t="s">
        <v>231</v>
      </c>
      <c r="L86" s="3" t="s">
        <v>51</v>
      </c>
      <c r="M86" s="3" t="s">
        <v>291</v>
      </c>
      <c r="N86" s="3" t="s">
        <v>186</v>
      </c>
    </row>
    <row r="87" spans="1:14" ht="45" x14ac:dyDescent="0.25">
      <c r="A87" s="3" t="s">
        <v>189</v>
      </c>
      <c r="B87" s="4">
        <v>45845</v>
      </c>
      <c r="C87" s="5">
        <v>0.33333333333333331</v>
      </c>
      <c r="D87" s="4">
        <v>45845</v>
      </c>
      <c r="E87" s="5">
        <v>0.72916666666666663</v>
      </c>
      <c r="F87" s="3" t="s">
        <v>195</v>
      </c>
      <c r="G87" s="3" t="s">
        <v>398</v>
      </c>
      <c r="H87" s="3" t="s">
        <v>399</v>
      </c>
      <c r="I87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9.5</v>
      </c>
      <c r="J87" s="3" t="s">
        <v>12</v>
      </c>
      <c r="K87" s="3" t="s">
        <v>210</v>
      </c>
      <c r="L87" s="3" t="s">
        <v>51</v>
      </c>
      <c r="M87" s="3" t="s">
        <v>400</v>
      </c>
      <c r="N87" s="3" t="s">
        <v>401</v>
      </c>
    </row>
    <row r="88" spans="1:14" ht="30" x14ac:dyDescent="0.25">
      <c r="A88" s="3" t="s">
        <v>189</v>
      </c>
      <c r="B88" s="4">
        <v>45847</v>
      </c>
      <c r="C88" s="5">
        <v>0.66666666666666663</v>
      </c>
      <c r="D88" s="4">
        <v>45847</v>
      </c>
      <c r="E88" s="5">
        <v>0.70833333333333337</v>
      </c>
      <c r="F88" s="3" t="s">
        <v>195</v>
      </c>
      <c r="G88" s="3" t="s">
        <v>402</v>
      </c>
      <c r="H88" s="3" t="s">
        <v>186</v>
      </c>
      <c r="I88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1.0000000000000018</v>
      </c>
      <c r="J88" s="3" t="s">
        <v>12</v>
      </c>
      <c r="K88" s="3" t="s">
        <v>210</v>
      </c>
      <c r="L88" s="3" t="s">
        <v>51</v>
      </c>
      <c r="M88" s="3" t="s">
        <v>176</v>
      </c>
      <c r="N88" s="3" t="s">
        <v>56</v>
      </c>
    </row>
    <row r="89" spans="1:14" ht="30" x14ac:dyDescent="0.25">
      <c r="A89" s="3" t="s">
        <v>200</v>
      </c>
      <c r="B89" s="4">
        <v>45848</v>
      </c>
      <c r="C89" s="5">
        <v>0.64583333333333337</v>
      </c>
      <c r="D89" s="4">
        <v>45848</v>
      </c>
      <c r="E89" s="5">
        <v>0.72916666666666663</v>
      </c>
      <c r="F89" s="3" t="s">
        <v>195</v>
      </c>
      <c r="G89" s="3" t="s">
        <v>403</v>
      </c>
      <c r="H89" s="3" t="s">
        <v>186</v>
      </c>
      <c r="I89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1.9999999999999982</v>
      </c>
      <c r="J89" s="3" t="s">
        <v>12</v>
      </c>
      <c r="K89" s="3" t="s">
        <v>231</v>
      </c>
      <c r="L89" s="3" t="s">
        <v>51</v>
      </c>
      <c r="M89" s="3" t="s">
        <v>404</v>
      </c>
      <c r="N89" s="3" t="s">
        <v>186</v>
      </c>
    </row>
    <row r="90" spans="1:14" ht="45" x14ac:dyDescent="0.25">
      <c r="A90" s="3" t="s">
        <v>189</v>
      </c>
      <c r="B90" s="4">
        <v>45860</v>
      </c>
      <c r="C90" s="5">
        <v>0.47916666666666669</v>
      </c>
      <c r="D90" s="4">
        <v>45860</v>
      </c>
      <c r="E90" s="5">
        <v>0.54166666666666663</v>
      </c>
      <c r="F90" s="3" t="s">
        <v>195</v>
      </c>
      <c r="G90" s="3" t="s">
        <v>405</v>
      </c>
      <c r="H90" s="3" t="s">
        <v>230</v>
      </c>
      <c r="I90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1.4999999999999987</v>
      </c>
      <c r="J90" s="3" t="s">
        <v>12</v>
      </c>
      <c r="K90" s="3" t="s">
        <v>231</v>
      </c>
      <c r="L90" s="3" t="s">
        <v>83</v>
      </c>
      <c r="M90" s="3" t="s">
        <v>380</v>
      </c>
      <c r="N90" s="3" t="s">
        <v>233</v>
      </c>
    </row>
    <row r="91" spans="1:14" ht="30" x14ac:dyDescent="0.25">
      <c r="A91" s="3" t="s">
        <v>189</v>
      </c>
      <c r="B91" s="4">
        <v>45866</v>
      </c>
      <c r="C91" s="5">
        <v>0.33333333333333331</v>
      </c>
      <c r="D91" s="4">
        <v>45866</v>
      </c>
      <c r="E91" s="5">
        <v>0.375</v>
      </c>
      <c r="F91" s="3" t="s">
        <v>195</v>
      </c>
      <c r="G91" s="3" t="s">
        <v>406</v>
      </c>
      <c r="H91" s="3" t="s">
        <v>186</v>
      </c>
      <c r="I91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1.0000000000000004</v>
      </c>
      <c r="J91" s="3" t="s">
        <v>12</v>
      </c>
      <c r="K91" s="3" t="s">
        <v>210</v>
      </c>
      <c r="L91" s="3" t="s">
        <v>51</v>
      </c>
      <c r="M91" s="3" t="s">
        <v>407</v>
      </c>
      <c r="N91" s="3" t="s">
        <v>53</v>
      </c>
    </row>
    <row r="92" spans="1:14" ht="30" x14ac:dyDescent="0.25">
      <c r="A92" s="3" t="s">
        <v>200</v>
      </c>
      <c r="B92" s="4">
        <v>45869</v>
      </c>
      <c r="C92" s="5">
        <v>0.65625</v>
      </c>
      <c r="D92" s="4">
        <v>45869</v>
      </c>
      <c r="E92" s="5">
        <v>0.70833333333333337</v>
      </c>
      <c r="F92" s="3" t="s">
        <v>195</v>
      </c>
      <c r="G92" s="3" t="s">
        <v>452</v>
      </c>
      <c r="H92" s="3" t="s">
        <v>408</v>
      </c>
      <c r="I92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1.2500000000000009</v>
      </c>
      <c r="J92" s="3" t="s">
        <v>12</v>
      </c>
      <c r="K92" s="3" t="s">
        <v>210</v>
      </c>
      <c r="L92" s="3" t="s">
        <v>51</v>
      </c>
      <c r="M92" s="3" t="s">
        <v>408</v>
      </c>
      <c r="N92" s="3" t="s">
        <v>363</v>
      </c>
    </row>
    <row r="93" spans="1:14" ht="30" x14ac:dyDescent="0.25">
      <c r="A93" s="3" t="s">
        <v>189</v>
      </c>
      <c r="B93" s="4">
        <v>45874</v>
      </c>
      <c r="C93" s="5">
        <v>0.60416666666666663</v>
      </c>
      <c r="D93" s="4">
        <v>45874</v>
      </c>
      <c r="E93" s="5">
        <v>0.64583333333333337</v>
      </c>
      <c r="F93" s="3" t="s">
        <v>195</v>
      </c>
      <c r="G93" s="3" t="s">
        <v>409</v>
      </c>
      <c r="H93" s="3" t="s">
        <v>410</v>
      </c>
      <c r="I93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1.0000000000000018</v>
      </c>
      <c r="J93" s="3" t="s">
        <v>12</v>
      </c>
      <c r="K93" s="3" t="s">
        <v>210</v>
      </c>
      <c r="L93" s="3" t="s">
        <v>51</v>
      </c>
      <c r="M93" s="3" t="s">
        <v>211</v>
      </c>
      <c r="N93" s="3" t="s">
        <v>53</v>
      </c>
    </row>
    <row r="94" spans="1:14" ht="30" x14ac:dyDescent="0.25">
      <c r="A94" s="3" t="s">
        <v>189</v>
      </c>
      <c r="B94" s="4">
        <v>45891</v>
      </c>
      <c r="C94" s="5">
        <v>0.6875</v>
      </c>
      <c r="D94" s="4">
        <v>45891</v>
      </c>
      <c r="E94" s="5">
        <v>0.70833333333333337</v>
      </c>
      <c r="F94" s="3" t="s">
        <v>195</v>
      </c>
      <c r="G94" s="3" t="s">
        <v>411</v>
      </c>
      <c r="H94" s="3" t="s">
        <v>186</v>
      </c>
      <c r="I94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0.50000000000000089</v>
      </c>
      <c r="J94" s="3" t="s">
        <v>12</v>
      </c>
      <c r="K94" s="3" t="s">
        <v>210</v>
      </c>
      <c r="L94" s="3" t="s">
        <v>51</v>
      </c>
      <c r="M94" s="3" t="s">
        <v>222</v>
      </c>
      <c r="N94" s="3" t="s">
        <v>186</v>
      </c>
    </row>
    <row r="95" spans="1:14" ht="30" x14ac:dyDescent="0.25">
      <c r="A95" s="3" t="s">
        <v>202</v>
      </c>
      <c r="B95" s="4">
        <v>45894</v>
      </c>
      <c r="C95" s="5">
        <v>0.66666666666666663</v>
      </c>
      <c r="D95" s="4">
        <v>45894</v>
      </c>
      <c r="E95" s="5">
        <v>0.72916666666666663</v>
      </c>
      <c r="F95" s="3" t="s">
        <v>195</v>
      </c>
      <c r="G95" s="3" t="s">
        <v>412</v>
      </c>
      <c r="H95" s="3" t="s">
        <v>186</v>
      </c>
      <c r="I95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1.5</v>
      </c>
      <c r="J95" s="3" t="s">
        <v>12</v>
      </c>
      <c r="K95" s="3" t="s">
        <v>210</v>
      </c>
      <c r="L95" s="3" t="s">
        <v>51</v>
      </c>
      <c r="M95" s="3" t="s">
        <v>291</v>
      </c>
      <c r="N95" s="3" t="s">
        <v>186</v>
      </c>
    </row>
    <row r="96" spans="1:14" ht="30" x14ac:dyDescent="0.25">
      <c r="A96" s="3" t="s">
        <v>189</v>
      </c>
      <c r="B96" s="4">
        <v>45896</v>
      </c>
      <c r="C96" s="5">
        <v>0.52430555555555558</v>
      </c>
      <c r="D96" s="4">
        <v>45896</v>
      </c>
      <c r="E96" s="5">
        <v>0.58333333333333337</v>
      </c>
      <c r="F96" s="3" t="s">
        <v>195</v>
      </c>
      <c r="G96" s="3" t="s">
        <v>413</v>
      </c>
      <c r="H96" s="3" t="s">
        <v>186</v>
      </c>
      <c r="I96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1.416666666666667</v>
      </c>
      <c r="J96" s="3" t="s">
        <v>12</v>
      </c>
      <c r="K96" s="3" t="s">
        <v>210</v>
      </c>
      <c r="L96" s="3" t="s">
        <v>51</v>
      </c>
      <c r="M96" s="3" t="s">
        <v>291</v>
      </c>
      <c r="N96" s="3" t="s">
        <v>53</v>
      </c>
    </row>
    <row r="97" spans="1:14" ht="30" x14ac:dyDescent="0.25">
      <c r="A97" s="3" t="s">
        <v>201</v>
      </c>
      <c r="B97" s="4">
        <v>45929</v>
      </c>
      <c r="C97" s="5">
        <v>0.64583333333333337</v>
      </c>
      <c r="D97" s="4">
        <v>45929</v>
      </c>
      <c r="E97" s="5">
        <v>0.66666666666666663</v>
      </c>
      <c r="F97" s="3" t="s">
        <v>195</v>
      </c>
      <c r="G97" s="3" t="s">
        <v>453</v>
      </c>
      <c r="H97" s="3" t="s">
        <v>186</v>
      </c>
      <c r="I97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0.49999999999999822</v>
      </c>
      <c r="J97" s="3" t="s">
        <v>12</v>
      </c>
      <c r="K97" s="3" t="s">
        <v>210</v>
      </c>
      <c r="L97" s="3" t="s">
        <v>89</v>
      </c>
      <c r="M97" s="3" t="s">
        <v>414</v>
      </c>
      <c r="N97" s="3" t="s">
        <v>415</v>
      </c>
    </row>
    <row r="98" spans="1:14" ht="30" x14ac:dyDescent="0.25">
      <c r="A98" s="3" t="s">
        <v>189</v>
      </c>
      <c r="B98" s="4">
        <v>45937</v>
      </c>
      <c r="C98" s="5">
        <v>0.58333333333333337</v>
      </c>
      <c r="D98" s="4">
        <v>45937</v>
      </c>
      <c r="E98" s="5">
        <v>0.625</v>
      </c>
      <c r="F98" s="3" t="s">
        <v>195</v>
      </c>
      <c r="G98" s="3" t="s">
        <v>376</v>
      </c>
      <c r="H98" s="3" t="s">
        <v>377</v>
      </c>
      <c r="I98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0.99999999999999911</v>
      </c>
      <c r="J98" s="3" t="s">
        <v>12</v>
      </c>
      <c r="K98" s="3" t="s">
        <v>210</v>
      </c>
      <c r="L98" s="3" t="s">
        <v>51</v>
      </c>
      <c r="M98" s="3" t="s">
        <v>378</v>
      </c>
      <c r="N98" s="3" t="s">
        <v>53</v>
      </c>
    </row>
    <row r="99" spans="1:14" ht="30" x14ac:dyDescent="0.25">
      <c r="A99" s="3" t="s">
        <v>190</v>
      </c>
      <c r="B99" s="4">
        <v>45938</v>
      </c>
      <c r="C99" s="5">
        <v>0.64583333333333337</v>
      </c>
      <c r="D99" s="4">
        <v>45938</v>
      </c>
      <c r="E99" s="5">
        <v>0.6875</v>
      </c>
      <c r="F99" s="3" t="s">
        <v>195</v>
      </c>
      <c r="G99" s="3" t="s">
        <v>416</v>
      </c>
      <c r="H99" s="3" t="s">
        <v>186</v>
      </c>
      <c r="I99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0.99999999999999911</v>
      </c>
      <c r="J99" s="3" t="s">
        <v>12</v>
      </c>
      <c r="K99" s="3" t="s">
        <v>231</v>
      </c>
      <c r="L99" s="3" t="s">
        <v>51</v>
      </c>
      <c r="M99" s="3" t="s">
        <v>417</v>
      </c>
      <c r="N99" s="3" t="s">
        <v>186</v>
      </c>
    </row>
    <row r="100" spans="1:14" ht="30" x14ac:dyDescent="0.25">
      <c r="A100" s="3" t="s">
        <v>189</v>
      </c>
      <c r="B100" s="4">
        <v>45951</v>
      </c>
      <c r="C100" s="5">
        <v>0.33333333333333331</v>
      </c>
      <c r="D100" s="4">
        <v>45951</v>
      </c>
      <c r="E100" s="5">
        <v>0.45833333333333331</v>
      </c>
      <c r="F100" s="3" t="s">
        <v>195</v>
      </c>
      <c r="G100" s="3" t="s">
        <v>418</v>
      </c>
      <c r="H100" s="3" t="s">
        <v>419</v>
      </c>
      <c r="I100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3</v>
      </c>
      <c r="J100" s="3" t="s">
        <v>12</v>
      </c>
      <c r="K100" s="3" t="s">
        <v>210</v>
      </c>
      <c r="L100" s="3" t="s">
        <v>51</v>
      </c>
      <c r="M100" s="3" t="s">
        <v>419</v>
      </c>
      <c r="N100" s="3" t="s">
        <v>186</v>
      </c>
    </row>
    <row r="101" spans="1:14" ht="30" x14ac:dyDescent="0.25">
      <c r="A101" s="3" t="s">
        <v>190</v>
      </c>
      <c r="B101" s="4">
        <v>45965</v>
      </c>
      <c r="C101" s="5">
        <v>0.68055555555555547</v>
      </c>
      <c r="D101" s="4">
        <v>45965</v>
      </c>
      <c r="E101" s="5">
        <v>0.70833333333333337</v>
      </c>
      <c r="F101" s="3" t="s">
        <v>195</v>
      </c>
      <c r="G101" s="3" t="s">
        <v>420</v>
      </c>
      <c r="H101" s="3" t="s">
        <v>186</v>
      </c>
      <c r="I101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0.66666666666666963</v>
      </c>
      <c r="J101" s="3" t="s">
        <v>12</v>
      </c>
      <c r="K101" s="3" t="s">
        <v>231</v>
      </c>
      <c r="L101" s="3" t="s">
        <v>51</v>
      </c>
      <c r="M101" s="3" t="s">
        <v>186</v>
      </c>
      <c r="N101" s="3" t="s">
        <v>186</v>
      </c>
    </row>
    <row r="102" spans="1:14" ht="30" x14ac:dyDescent="0.25">
      <c r="A102" s="3" t="s">
        <v>196</v>
      </c>
      <c r="B102" s="4">
        <v>45660</v>
      </c>
      <c r="C102" s="5">
        <v>0.42708333333333331</v>
      </c>
      <c r="D102" s="4">
        <v>45660</v>
      </c>
      <c r="E102" s="5">
        <v>0.5625</v>
      </c>
      <c r="F102" s="3" t="s">
        <v>197</v>
      </c>
      <c r="G102" s="3" t="s">
        <v>421</v>
      </c>
      <c r="H102" s="3" t="s">
        <v>186</v>
      </c>
      <c r="I102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3.2500000000000004</v>
      </c>
      <c r="J102" s="3" t="s">
        <v>12</v>
      </c>
      <c r="K102" s="3" t="s">
        <v>210</v>
      </c>
      <c r="L102" s="3" t="s">
        <v>51</v>
      </c>
      <c r="M102" s="3" t="s">
        <v>422</v>
      </c>
      <c r="N102" s="3" t="s">
        <v>186</v>
      </c>
    </row>
    <row r="103" spans="1:14" ht="30" x14ac:dyDescent="0.25">
      <c r="A103" s="3" t="s">
        <v>196</v>
      </c>
      <c r="B103" s="4">
        <v>45660</v>
      </c>
      <c r="C103" s="5">
        <v>0.58402777777777781</v>
      </c>
      <c r="D103" s="4">
        <v>45660</v>
      </c>
      <c r="E103" s="5">
        <v>0.64583333333333337</v>
      </c>
      <c r="F103" s="3" t="s">
        <v>197</v>
      </c>
      <c r="G103" s="3" t="s">
        <v>423</v>
      </c>
      <c r="H103" s="3" t="s">
        <v>186</v>
      </c>
      <c r="I103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1.4833333333333334</v>
      </c>
      <c r="J103" s="3" t="s">
        <v>12</v>
      </c>
      <c r="K103" s="3" t="s">
        <v>210</v>
      </c>
      <c r="L103" s="3" t="s">
        <v>51</v>
      </c>
      <c r="M103" s="3" t="s">
        <v>424</v>
      </c>
      <c r="N103" s="3" t="s">
        <v>186</v>
      </c>
    </row>
    <row r="104" spans="1:14" ht="30" x14ac:dyDescent="0.25">
      <c r="A104" s="3" t="s">
        <v>196</v>
      </c>
      <c r="B104" s="4">
        <v>45660</v>
      </c>
      <c r="C104" s="5">
        <v>0.64583333333333337</v>
      </c>
      <c r="D104" s="4">
        <v>45660</v>
      </c>
      <c r="E104" s="5">
        <v>0.72916666666666663</v>
      </c>
      <c r="F104" s="3" t="s">
        <v>197</v>
      </c>
      <c r="G104" s="3" t="s">
        <v>425</v>
      </c>
      <c r="H104" s="3" t="s">
        <v>426</v>
      </c>
      <c r="I104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1.9999999999999982</v>
      </c>
      <c r="J104" s="3" t="s">
        <v>12</v>
      </c>
      <c r="K104" s="3" t="s">
        <v>210</v>
      </c>
      <c r="L104" s="3" t="s">
        <v>51</v>
      </c>
      <c r="M104" s="3" t="s">
        <v>235</v>
      </c>
      <c r="N104" s="3" t="s">
        <v>53</v>
      </c>
    </row>
    <row r="105" spans="1:14" ht="30" x14ac:dyDescent="0.25">
      <c r="A105" s="3" t="s">
        <v>196</v>
      </c>
      <c r="B105" s="4">
        <v>45812</v>
      </c>
      <c r="C105" s="5">
        <v>0.66666666666666663</v>
      </c>
      <c r="D105" s="4">
        <v>45812</v>
      </c>
      <c r="E105" s="5">
        <v>0.70833333333333337</v>
      </c>
      <c r="F105" s="3" t="s">
        <v>197</v>
      </c>
      <c r="G105" s="3" t="s">
        <v>427</v>
      </c>
      <c r="H105" s="3" t="s">
        <v>186</v>
      </c>
      <c r="I105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1.0000000000000018</v>
      </c>
      <c r="J105" s="3" t="s">
        <v>12</v>
      </c>
      <c r="K105" s="3" t="s">
        <v>210</v>
      </c>
      <c r="L105" s="3" t="s">
        <v>51</v>
      </c>
      <c r="M105" s="3" t="s">
        <v>428</v>
      </c>
      <c r="N105" s="3" t="s">
        <v>429</v>
      </c>
    </row>
    <row r="106" spans="1:14" ht="30" x14ac:dyDescent="0.25">
      <c r="A106" s="3" t="s">
        <v>196</v>
      </c>
      <c r="B106" s="4">
        <v>45839</v>
      </c>
      <c r="C106" s="5">
        <v>0.375</v>
      </c>
      <c r="D106" s="4">
        <v>45839</v>
      </c>
      <c r="E106" s="5">
        <v>0.72916666666666663</v>
      </c>
      <c r="F106" s="3" t="s">
        <v>198</v>
      </c>
      <c r="G106" s="3" t="s">
        <v>430</v>
      </c>
      <c r="H106" s="3" t="s">
        <v>431</v>
      </c>
      <c r="I106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8.5</v>
      </c>
      <c r="J106" s="3" t="s">
        <v>12</v>
      </c>
      <c r="K106" s="3" t="s">
        <v>210</v>
      </c>
      <c r="L106" s="3" t="s">
        <v>51</v>
      </c>
      <c r="M106" s="3" t="s">
        <v>432</v>
      </c>
      <c r="N106" s="3" t="s">
        <v>433</v>
      </c>
    </row>
    <row r="107" spans="1:14" ht="30" x14ac:dyDescent="0.25">
      <c r="A107" s="3" t="s">
        <v>196</v>
      </c>
      <c r="B107" s="4">
        <v>45845</v>
      </c>
      <c r="C107" s="5">
        <v>0.33333333333333331</v>
      </c>
      <c r="D107" s="4">
        <v>45845</v>
      </c>
      <c r="E107" s="5">
        <v>0.4375</v>
      </c>
      <c r="F107" s="3" t="s">
        <v>197</v>
      </c>
      <c r="G107" s="3" t="s">
        <v>434</v>
      </c>
      <c r="H107" s="3" t="s">
        <v>186</v>
      </c>
      <c r="I107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2.5000000000000004</v>
      </c>
      <c r="J107" s="3" t="s">
        <v>12</v>
      </c>
      <c r="K107" s="3" t="s">
        <v>231</v>
      </c>
      <c r="L107" s="3" t="s">
        <v>51</v>
      </c>
      <c r="M107" s="3" t="s">
        <v>435</v>
      </c>
      <c r="N107" s="3" t="s">
        <v>186</v>
      </c>
    </row>
    <row r="108" spans="1:14" ht="45" x14ac:dyDescent="0.25">
      <c r="A108" s="3" t="s">
        <v>196</v>
      </c>
      <c r="B108" s="4">
        <v>45848</v>
      </c>
      <c r="C108" s="5">
        <v>0.33402777777777781</v>
      </c>
      <c r="D108" s="4">
        <v>45848</v>
      </c>
      <c r="E108" s="5">
        <v>0.72916666666666663</v>
      </c>
      <c r="F108" s="3" t="s">
        <v>197</v>
      </c>
      <c r="G108" s="3" t="s">
        <v>436</v>
      </c>
      <c r="H108" s="3" t="s">
        <v>186</v>
      </c>
      <c r="I108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9.4833333333333307</v>
      </c>
      <c r="J108" s="3" t="s">
        <v>12</v>
      </c>
      <c r="K108" s="3" t="s">
        <v>210</v>
      </c>
      <c r="L108" s="3" t="s">
        <v>297</v>
      </c>
      <c r="M108" s="3" t="s">
        <v>437</v>
      </c>
      <c r="N108" s="3" t="s">
        <v>438</v>
      </c>
    </row>
    <row r="109" spans="1:14" ht="45" x14ac:dyDescent="0.25">
      <c r="A109" s="3" t="s">
        <v>196</v>
      </c>
      <c r="B109" s="4">
        <v>45929</v>
      </c>
      <c r="C109" s="5">
        <v>0.50763888888888886</v>
      </c>
      <c r="D109" s="4">
        <v>45929</v>
      </c>
      <c r="E109" s="5">
        <v>0.58333333333333337</v>
      </c>
      <c r="F109" s="3" t="s">
        <v>197</v>
      </c>
      <c r="G109" s="3" t="s">
        <v>439</v>
      </c>
      <c r="H109" s="3" t="s">
        <v>186</v>
      </c>
      <c r="I109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1.8166666666666682</v>
      </c>
      <c r="J109" s="3" t="s">
        <v>12</v>
      </c>
      <c r="K109" s="3" t="s">
        <v>210</v>
      </c>
      <c r="L109" s="3" t="s">
        <v>51</v>
      </c>
      <c r="M109" s="3" t="s">
        <v>440</v>
      </c>
      <c r="N109" s="3" t="s">
        <v>441</v>
      </c>
    </row>
    <row r="110" spans="1:14" ht="30" x14ac:dyDescent="0.25">
      <c r="A110" s="3" t="s">
        <v>196</v>
      </c>
      <c r="B110" s="4">
        <v>45943</v>
      </c>
      <c r="C110" s="5">
        <v>0.39583333333333331</v>
      </c>
      <c r="D110" s="4">
        <v>45943</v>
      </c>
      <c r="E110" s="5">
        <v>0.4375</v>
      </c>
      <c r="F110" s="3" t="s">
        <v>197</v>
      </c>
      <c r="G110" s="3" t="s">
        <v>442</v>
      </c>
      <c r="H110" s="3" t="s">
        <v>222</v>
      </c>
      <c r="I110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1.0000000000000004</v>
      </c>
      <c r="J110" s="3" t="s">
        <v>12</v>
      </c>
      <c r="K110" s="3" t="s">
        <v>210</v>
      </c>
      <c r="L110" s="3" t="s">
        <v>51</v>
      </c>
      <c r="M110" s="3" t="s">
        <v>222</v>
      </c>
      <c r="N110" s="3" t="s">
        <v>53</v>
      </c>
    </row>
    <row r="111" spans="1:14" ht="30" x14ac:dyDescent="0.25">
      <c r="A111" s="3" t="s">
        <v>196</v>
      </c>
      <c r="B111" s="4">
        <v>45972</v>
      </c>
      <c r="C111" s="5">
        <v>0.44791666666666669</v>
      </c>
      <c r="D111" s="4">
        <v>45972</v>
      </c>
      <c r="E111" s="5">
        <v>0.70833333333333337</v>
      </c>
      <c r="F111" s="3" t="s">
        <v>197</v>
      </c>
      <c r="G111" s="3" t="s">
        <v>443</v>
      </c>
      <c r="H111" s="3" t="s">
        <v>186</v>
      </c>
      <c r="I111" s="7">
        <f>IF(Tabla7[[#This Row],[Fecha inicio]]=Tabla7[[#This Row],[Fecha fin]],IF(WEEKDAY(Tabla7[[#This Row],[Fecha inicio]],2)&gt;5,0,MAX(0,MIN(Tabla7[[#This Row],[Hora fin]],17.5/24)-MAX(Tabla7[[#This Row],[Hora inicio]],8/24))*24),(MAX(0,17.5/24-MAX(Tabla7[[#This Row],[Hora inicio]],8/24))*24+MAX(0,MIN(Tabla7[[#This Row],[Hora fin]],17.5/24)-8/24)*24+MAX(0,(Tabla7[[#This Row],[Fecha fin]]-Tabla7[[#This Row],[Fecha inicio]]-1))*9.5))</f>
        <v>6.25</v>
      </c>
      <c r="J111" s="3" t="s">
        <v>12</v>
      </c>
      <c r="K111" s="3" t="s">
        <v>210</v>
      </c>
      <c r="L111" s="3" t="s">
        <v>51</v>
      </c>
      <c r="M111" s="3" t="s">
        <v>444</v>
      </c>
      <c r="N111" s="3" t="s">
        <v>445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AFFD-C223-4306-9DF6-AAA8D53CA78A}">
  <dimension ref="B1:F10"/>
  <sheetViews>
    <sheetView topLeftCell="B1" workbookViewId="0">
      <selection activeCell="D4" sqref="D4"/>
    </sheetView>
  </sheetViews>
  <sheetFormatPr baseColWidth="10" defaultRowHeight="15" x14ac:dyDescent="0.25"/>
  <cols>
    <col min="1" max="1" width="0" style="6" hidden="1" customWidth="1"/>
    <col min="2" max="2" width="11.42578125" style="6"/>
    <col min="3" max="3" width="29.42578125" style="6" customWidth="1"/>
    <col min="4" max="4" width="46" style="6" customWidth="1"/>
    <col min="5" max="5" width="19.42578125" style="6" customWidth="1"/>
    <col min="6" max="6" width="54.140625" style="6" customWidth="1"/>
    <col min="7" max="16384" width="11.42578125" style="6"/>
  </cols>
  <sheetData>
    <row r="1" spans="2:6" x14ac:dyDescent="0.25">
      <c r="B1" s="6" t="s">
        <v>6</v>
      </c>
      <c r="C1" s="6" t="s">
        <v>454</v>
      </c>
      <c r="D1" s="6" t="s">
        <v>455</v>
      </c>
      <c r="E1" s="6" t="s">
        <v>456</v>
      </c>
      <c r="F1" s="6" t="s">
        <v>457</v>
      </c>
    </row>
    <row r="2" spans="2:6" x14ac:dyDescent="0.25">
      <c r="B2" s="6" t="s">
        <v>202</v>
      </c>
      <c r="C2" s="6" t="s">
        <v>458</v>
      </c>
      <c r="D2" s="6" t="s">
        <v>459</v>
      </c>
      <c r="E2" s="6" t="s">
        <v>460</v>
      </c>
      <c r="F2" s="6" t="s">
        <v>490</v>
      </c>
    </row>
    <row r="3" spans="2:6" x14ac:dyDescent="0.25">
      <c r="B3" s="6" t="s">
        <v>202</v>
      </c>
      <c r="C3" s="6" t="s">
        <v>461</v>
      </c>
      <c r="D3" s="6" t="s">
        <v>462</v>
      </c>
      <c r="E3" s="6" t="s">
        <v>463</v>
      </c>
      <c r="F3" s="6" t="s">
        <v>464</v>
      </c>
    </row>
    <row r="4" spans="2:6" x14ac:dyDescent="0.25">
      <c r="B4" s="6" t="s">
        <v>196</v>
      </c>
      <c r="C4" s="6" t="s">
        <v>465</v>
      </c>
      <c r="D4" s="6" t="s">
        <v>466</v>
      </c>
      <c r="E4" s="6" t="s">
        <v>467</v>
      </c>
      <c r="F4" s="6" t="s">
        <v>491</v>
      </c>
    </row>
    <row r="5" spans="2:6" x14ac:dyDescent="0.25">
      <c r="B5" s="6" t="s">
        <v>189</v>
      </c>
      <c r="C5" s="6" t="s">
        <v>468</v>
      </c>
      <c r="D5" s="6" t="s">
        <v>469</v>
      </c>
      <c r="E5" s="6" t="s">
        <v>470</v>
      </c>
      <c r="F5" s="6" t="s">
        <v>471</v>
      </c>
    </row>
    <row r="6" spans="2:6" x14ac:dyDescent="0.25">
      <c r="B6" s="6" t="s">
        <v>189</v>
      </c>
      <c r="C6" s="6" t="s">
        <v>472</v>
      </c>
      <c r="D6" s="6" t="s">
        <v>473</v>
      </c>
      <c r="E6" s="6" t="s">
        <v>474</v>
      </c>
      <c r="F6" s="6" t="s">
        <v>475</v>
      </c>
    </row>
    <row r="7" spans="2:6" x14ac:dyDescent="0.25">
      <c r="B7" s="6" t="s">
        <v>190</v>
      </c>
      <c r="C7" s="6" t="s">
        <v>476</v>
      </c>
      <c r="D7" s="6" t="s">
        <v>477</v>
      </c>
      <c r="E7" s="6" t="s">
        <v>470</v>
      </c>
      <c r="F7" s="6" t="s">
        <v>478</v>
      </c>
    </row>
    <row r="8" spans="2:6" x14ac:dyDescent="0.25">
      <c r="B8" s="6" t="s">
        <v>188</v>
      </c>
      <c r="C8" s="6" t="s">
        <v>479</v>
      </c>
      <c r="D8" s="6" t="s">
        <v>480</v>
      </c>
      <c r="E8" s="6" t="s">
        <v>481</v>
      </c>
      <c r="F8" s="6" t="s">
        <v>482</v>
      </c>
    </row>
    <row r="9" spans="2:6" x14ac:dyDescent="0.25">
      <c r="B9" s="6" t="s">
        <v>193</v>
      </c>
      <c r="C9" s="6" t="s">
        <v>222</v>
      </c>
      <c r="D9" s="6" t="s">
        <v>483</v>
      </c>
      <c r="E9" s="6" t="s">
        <v>484</v>
      </c>
      <c r="F9" s="6" t="s">
        <v>485</v>
      </c>
    </row>
    <row r="10" spans="2:6" x14ac:dyDescent="0.25">
      <c r="B10" s="6" t="s">
        <v>193</v>
      </c>
      <c r="C10" s="6" t="s">
        <v>486</v>
      </c>
      <c r="D10" s="6" t="s">
        <v>487</v>
      </c>
      <c r="E10" s="6" t="s">
        <v>488</v>
      </c>
      <c r="F10" s="6" t="s">
        <v>489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BBCC-DF0C-46CD-8B01-06C0454FF348}">
  <dimension ref="A1:E7"/>
  <sheetViews>
    <sheetView workbookViewId="0">
      <selection activeCell="A5" sqref="A5"/>
    </sheetView>
  </sheetViews>
  <sheetFormatPr baseColWidth="10" defaultColWidth="21.42578125" defaultRowHeight="15" x14ac:dyDescent="0.25"/>
  <sheetData>
    <row r="1" spans="1:5" x14ac:dyDescent="0.25">
      <c r="A1" s="1" t="s">
        <v>13</v>
      </c>
      <c r="B1" s="1" t="s">
        <v>15</v>
      </c>
      <c r="C1" s="1" t="s">
        <v>14</v>
      </c>
      <c r="D1" s="1" t="s">
        <v>17</v>
      </c>
      <c r="E1" s="1" t="s">
        <v>18</v>
      </c>
    </row>
    <row r="2" spans="1:5" ht="30" x14ac:dyDescent="0.25">
      <c r="A2" s="2" t="s">
        <v>19</v>
      </c>
      <c r="B2" s="2" t="s">
        <v>16</v>
      </c>
      <c r="C2" s="2" t="s">
        <v>20</v>
      </c>
      <c r="D2" s="2" t="s">
        <v>21</v>
      </c>
      <c r="E2" s="2" t="s">
        <v>22</v>
      </c>
    </row>
    <row r="3" spans="1:5" ht="30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</row>
    <row r="4" spans="1:5" ht="30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</row>
    <row r="5" spans="1:5" ht="30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</row>
    <row r="6" spans="1:5" ht="30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</row>
    <row r="7" spans="1:5" ht="30" x14ac:dyDescent="0.25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REG. PARADAS MTTO. 2026</vt:lpstr>
      <vt:lpstr>REG. PARADAS MTTO. 2025</vt:lpstr>
      <vt:lpstr>Hoja7</vt:lpstr>
      <vt:lpstr>TIPOS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IFA-PLANTA</dc:creator>
  <cp:lastModifiedBy>IFA-PLANTA</cp:lastModifiedBy>
  <cp:lastPrinted>2026-05-12T18:09:58Z</cp:lastPrinted>
  <dcterms:created xsi:type="dcterms:W3CDTF">2026-05-11T15:00:10Z</dcterms:created>
  <dcterms:modified xsi:type="dcterms:W3CDTF">2026-05-20T18:29:47Z</dcterms:modified>
</cp:coreProperties>
</file>